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8.xml" ContentType="application/vnd.ms-office.chartcolor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6.xml" ContentType="application/vnd.ms-office.chart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KALEM_LISTES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PANO!$A$1:$M$52</definedName>
    <definedName function="false" hidden="false" localSheetId="9" name="_xlnm.Print_Area" vbProcedure="false">RAPOR!$A$1:$L$29</definedName>
    <definedName function="false" hidden="false" name="ListePazaryerleri" vbProcedure="false">LISTELER!$A$7:$A$11</definedName>
    <definedName function="false" hidden="false" name="modulI1NetKarTahmin" vbProcedure="false">ANALITIK_MOTOR!$C$13</definedName>
    <definedName function="false" hidden="false" name="modulI1NetKar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I8HakedisEtkisi" vbProcedure="false">ANALITIK_MOTOR!$C$15</definedName>
    <definedName function="false" hidden="false" name="modulI8HakedisEtkisiYorum" vbProcedure="false">ANALITIK_MOTOR!$D$15</definedName>
    <definedName function="false" hidden="false" name="modulO1KarSapmasi" vbProcedure="false">ANALITIK_MOTOR!$C$8</definedName>
    <definedName function="false" hidden="false" name="modulO1KarSapmasiYorum" vbProcedure="false">ANALITIK_MOTOR!$D$8</definedName>
    <definedName function="false" hidden="false" name="modulO2EnYuksekKar" vbProcedure="false">ANALITIK_MOTOR!$C$9</definedName>
    <definedName function="false" hidden="false" name="modulO2EnYuksekKar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OrtMarj" vbProcedure="false">ANALITIK_MOTOR!$C$6</definedName>
    <definedName function="false" hidden="false" name="modulT1OrtMarjYorum" vbProcedure="false">ANALITIK_MOTOR!$D$6</definedName>
    <definedName function="false" hidden="false" name="modulT2OrtKomisyon" vbProcedure="false">ANALITIK_MOTOR!$C$7</definedName>
    <definedName function="false" hidden="false" name="modulT2OrtKomisyonYorum" vbProcedure="false">ANALITIK_MOTOR!$D$7</definedName>
    <definedName function="false" hidden="false" name="PazaryeriAksiyon1_ACIKLAMA" vbProcedure="false">AYARLAR!$B$31</definedName>
    <definedName function="false" hidden="false" name="PazaryeriAksiyon2_ACIKLAMA" vbProcedure="false">AYARLAR!$B$32</definedName>
    <definedName function="false" hidden="false" name="PazaryeriAksiyon3_ACIKLAMA" vbProcedure="false">AYARLAR!$B$33</definedName>
    <definedName function="false" hidden="false" name="PazaryeriDoluGiris" vbProcedure="false">KONTROLLER!$B$18</definedName>
    <definedName function="false" hidden="false" name="PazaryeriDosyaSurumu" vbProcedure="false">AYARLAR!$B$10</definedName>
    <definedName function="false" hidden="false" name="PazaryeriEksikHakedisEsik" vbProcedure="false">AYARLAR!$B$11</definedName>
    <definedName function="false" hidden="false" name="PazaryeriEksikHakedisTutarEsik" vbProcedure="false">AYARLAR!$B$12</definedName>
    <definedName function="false" hidden="false" name="PazaryeriEksikKalemSayisi" vbProcedure="false">HESAP!$B$25</definedName>
    <definedName function="false" hidden="false" name="PazaryeriEnIyiMarj" vbProcedure="false">HESAP!$B$28</definedName>
    <definedName function="false" hidden="false" name="PazaryeriEnIyiPazaryeri" vbProcedure="false">HESAP!$B$27</definedName>
    <definedName function="false" hidden="false" name="PazaryeriFirmaUnvan" vbProcedure="false">AYARLAR!$B$7</definedName>
    <definedName function="false" hidden="false" name="PazaryeriGenelMarj" vbProcedure="false">HESAP!$B$21</definedName>
    <definedName function="false" hidden="false" name="PazaryeriIadeVarsayilanOran" vbProcedure="false">AYARLAR!$B$17</definedName>
    <definedName function="false" hidden="false" name="PazaryeriKaliteIyi" vbProcedure="false">AYARLAR!$B$23</definedName>
    <definedName function="false" hidden="false" name="PazaryeriKaliteOrta" vbProcedure="false">AYARLAR!$B$24</definedName>
    <definedName function="false" hidden="false" name="PazaryeriKargoVarsayilanOran" vbProcedure="false">AYARLAR!$B$15</definedName>
    <definedName function="false" hidden="false" name="PazaryeriNetKarMarjiHedef" vbProcedure="false">AYARLAR!$B$13</definedName>
    <definedName function="false" hidden="false" name="PazaryeriNetKarMarjiKritik" vbProcedure="false">AYARLAR!$B$14</definedName>
    <definedName function="false" hidden="false" name="PazaryeriNetKarStd" vbProcedure="false">HESAP!$B$46</definedName>
    <definedName function="false" hidden="false" name="PazaryeriNetKarTahmin" vbProcedure="false">HESAP!$B$45</definedName>
    <definedName function="false" hidden="false" name="PazaryeriOrtalamaNetKar" vbProcedure="false">HESAP!$B$44</definedName>
    <definedName function="false" hidden="false" name="PazaryeriOrtKesintiOrani" vbProcedure="false">HESAP!$B$22</definedName>
    <definedName function="false" hidden="false" name="PazaryeriOrtMarj" vbProcedure="false">HESAP!$B$26</definedName>
    <definedName function="false" hidden="false" name="PazaryeriP90Oran" vbProcedure="false">AYARLAR!$B$26</definedName>
    <definedName function="false" hidden="false" name="PazaryeriPanelSatir_1" vbProcedure="false">AYARLAR!$B$35</definedName>
    <definedName function="false" hidden="false" name="PazaryeriPanelSatir_10" vbProcedure="false">AYARLAR!$B$44</definedName>
    <definedName function="false" hidden="false" name="PazaryeriPanelSatir_11" vbProcedure="false">AYARLAR!$B$45</definedName>
    <definedName function="false" hidden="false" name="PazaryeriPanelSatir_12" vbProcedure="false">AYARLAR!$B$46</definedName>
    <definedName function="false" hidden="false" name="PazaryeriPanelSatir_2" vbProcedure="false">AYARLAR!$B$36</definedName>
    <definedName function="false" hidden="false" name="PazaryeriPanelSatir_3" vbProcedure="false">AYARLAR!$B$37</definedName>
    <definedName function="false" hidden="false" name="PazaryeriPanelSatir_4" vbProcedure="false">AYARLAR!$B$38</definedName>
    <definedName function="false" hidden="false" name="PazaryeriPanelSatir_5" vbProcedure="false">AYARLAR!$B$39</definedName>
    <definedName function="false" hidden="false" name="PazaryeriPanelSatir_6" vbProcedure="false">AYARLAR!$B$40</definedName>
    <definedName function="false" hidden="false" name="PazaryeriPanelSatir_7" vbProcedure="false">AYARLAR!$B$41</definedName>
    <definedName function="false" hidden="false" name="PazaryeriPanelSatir_8" vbProcedure="false">AYARLAR!$B$42</definedName>
    <definedName function="false" hidden="false" name="PazaryeriPanelSatir_9" vbProcedure="false">AYARLAR!$B$43</definedName>
    <definedName function="false" hidden="false" name="PazaryeriRaporHazirlayan" vbProcedure="false">AYARLAR!$B$9</definedName>
    <definedName function="false" hidden="false" name="PazaryeriRaporTarihi" vbProcedure="false">AYARLAR!$B$8</definedName>
    <definedName function="false" hidden="false" name="PazaryeriReklamVarsayilanOran" vbProcedure="false">AYARLAR!$B$16</definedName>
    <definedName function="false" hidden="false" name="PazaryeriSenBazSatis" vbProcedure="false">AYARLAR!$B$19</definedName>
    <definedName function="false" hidden="false" name="PazaryeriSenIyiSatis" vbProcedure="false">AYARLAR!$B$18</definedName>
    <definedName function="false" hidden="false" name="PazaryeriSenKotuSatis" vbProcedure="false">AYARLAR!$B$20</definedName>
    <definedName function="false" hidden="false" name="PazaryeriSenKritikSatis" vbProcedure="false">AYARLAR!$B$21</definedName>
    <definedName function="false" hidden="false" name="PazaryeriTahminCarpan" vbProcedure="false">AYARLAR!$B$22</definedName>
    <definedName function="false" hidden="false" name="PazaryeriTemelKolonSayisi" vbProcedure="false">AYARLAR!$B$27</definedName>
    <definedName function="false" hidden="false" name="PazaryeriToplamBeklenenHakedis" vbProcedure="false">HESAP!$B$23</definedName>
    <definedName function="false" hidden="false" name="PazaryeriToplamFark" vbProcedure="false">HESAP!$B$24</definedName>
    <definedName function="false" hidden="false" name="PazaryeriToplamFarkEsik" vbProcedure="false">AYARLAR!$B$25</definedName>
    <definedName function="false" hidden="false" name="PazaryeriToplamGiris" vbProcedure="false">KONTROLLER!$B$17</definedName>
    <definedName function="false" hidden="false" name="PazaryeriToplamIade" vbProcedure="false">HESAP!$B$18</definedName>
    <definedName function="false" hidden="false" name="PazaryeriToplamKargo" vbProcedure="false">HESAP!$B$16</definedName>
    <definedName function="false" hidden="false" name="PazaryeriToplamKomisyon" vbProcedure="false">HESAP!$B$15</definedName>
    <definedName function="false" hidden="false" name="PazaryeriToplamMaliyet" vbProcedure="false">HESAP!$B$19</definedName>
    <definedName function="false" hidden="false" name="PazaryeriToplamNetKar" vbProcedure="false">HESAP!$B$20</definedName>
    <definedName function="false" hidden="false" name="PazaryeriToplamReklam" vbProcedure="false">HESAP!$B$17</definedName>
    <definedName function="false" hidden="false" name="PazaryeriToplamSatis" vbProcedure="false">HESAP!$B$14</definedName>
    <definedName function="false" hidden="false" name="PazaryeriTornadoKomisyonOran" vbProcedure="false">AYARLAR!$B$28</definedName>
    <definedName function="false" hidden="false" name="PazaryeriTornadoSatisOran" vbProcedure="false">AYARLAR!$B$29</definedName>
    <definedName function="false" hidden="false" name="PazaryeriYuksekToplamSatisEsik" vbProcedure="false">AYARLAR!$B$30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I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J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T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  <comment ref="Y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123</xdr:rowOff>
              </xdr:from>
              <xdr:to>
                <xdr:col>3</xdr:col>
                <xdr:colOff>9</xdr:colOff>
                <xdr:row>4</xdr:row>
                <xdr:rowOff>38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Pazaryeri | Neden önemli: Açılır listeyi besler | Doğru kullanım: Yeni pazaryeri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Pazaryeri | Neden önemli: Açılır listeyi besler | Doğru kullanım: Yeni pazaryeri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Pazaryeri | Neden önemli: Açılır listeyi besler | Doğru kullanım: Yeni pazaryeri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Pazaryeri | Neden önemli: Açılır listeyi besler | Doğru kullanım: Yeni pazaryeri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Pazaryeri | Neden önemli: Açılır listeyi besler | Doğru kullanım: Yeni pazaryeri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 unvanı rapor başlığında görünür.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Raporun dayanak tarihi.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Raporu hazırlayan kişi.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 sürümü.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Fark oranı eşiği; üzerindeki farklar eksik hakediş sayılır.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Fark tutarının ihmal edilmeyeceği asgari TL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GÜÇLÜ kararı için genel marj hedefi.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Marjın altına inmesi durumunda İNCELE kararı üretilir.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Kargo/operasyon oranı varsayılanı (kalem girişinde öneri).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Reklam oranı varsayılanı.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İade oranı varsayılanı.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İyimser senaryo satış fiyatı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Baz senaryo satış fiyatı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Kötümser senaryo satış fiyatı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Kritik senaryo satış fiyatı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Tahmin güven bandı çarpanı (%90 normal dağılım).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Yüksek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Orta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Toplam hakediş farkının kontrol edildiği eşik.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Satış fiyatı dağılımında üst yüzdelik dilimin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Veri kalitesi skorunda temel kabul edilen zorunlu giriş kolonu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Komisyon oranı tornado adımı (+1 puan).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Satış fiyatı tornado adımı (−%5).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Yüksek toplam satış kontrol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İNCELE kararında gösterilen ilk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GÜÇLÜ kararında gösterilen ikinci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İNCELE/NORMAL kararında gösterilen üçüncü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2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3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4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5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6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satır numarası 7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satır numarası 8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satır numarası 9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 satır numarası 10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Panel satır numarası 11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Panel satır numarası 12 | Neden önemli: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<sst xmlns="http://schemas.openxmlformats.org/spreadsheetml/2006/main" count="516" uniqueCount="356">
  <si>
    <t xml:space="preserve">KAPAK — Pazaryeri Net Kâr &amp; Eksik Hakediş Yakalayıcı</t>
  </si>
  <si>
    <t xml:space="preserve">Pazaryeri Net Kâr &amp; Eksik Hakediş Yakalayıcı</t>
  </si>
  <si>
    <t xml:space="preserve">Pazaryerinde sattığınız ürünlerin komisyon, kargo, reklam, iade ve ek gider sonrası gerçek net kârını hesaplayın; pazaryerinden gelen tahsilatı beklenen hakedişle karşılaştırarak eksik hakedişleri otomatik yakalayın.</t>
  </si>
  <si>
    <t xml:space="preserve">Bu ürün ne sağlar?</t>
  </si>
  <si>
    <t xml:space="preserve">• Kalem bazında satış, komisyon, kargo, reklam, iade ve ek gider sonrası net kâr ve kâr marjı hesabı</t>
  </si>
  <si>
    <t xml:space="preserve">• Beklenen hakediş (pazaryerinin ödemesi gereken) ile gerçek hakediş farkını yakalar; eksik tahsilatı eşiklerle işaretler</t>
  </si>
  <si>
    <t xml:space="preserve">• Pazaryeri bazında satış, kâr ve marj özeti; yoğunlaşma (HHI) ve anomali analizi</t>
  </si>
  <si>
    <t xml:space="preserve">• Satış fiyatı senaryoları ve komisyon duyarlılığı (tornado) ile kâr bant aralığı</t>
  </si>
  <si>
    <t xml:space="preserve">• Karar kapısı ve aksiyon önerisi ile portföy yönlendirmesi</t>
  </si>
  <si>
    <t xml:space="preserve">Kimler için?</t>
  </si>
  <si>
    <t xml:space="preserve">• Pazaryerinde satış yapan e-ticaret işletmeleri</t>
  </si>
  <si>
    <t xml:space="preserve">• Ürün bazında gerçek kârlılığını izlemek isteyen operasyon yöneticileri</t>
  </si>
  <si>
    <t xml:space="preserve">• Pazaryeri tahsilat farklarını denetleyen finans ve muhasebe ekipleri</t>
  </si>
  <si>
    <t xml:space="preserve">Nasıl başlanır?</t>
  </si>
  <si>
    <t xml:space="preserve">1. HIZLI_BASLANGIC sayfasını okuyun. 2. KALEM_LISTESI sayfasına satış kalemlerinizi ve gerçek hakedişleri girin. 3. PANO ve RAPOR'dan net kârı ve eksik hakedişleri izleyin.</t>
  </si>
  <si>
    <t xml:space="preserve">Sürüm 1.0.0 | 2026 | ExcelArşiv | Lisans: Tek kullanıcı</t>
  </si>
  <si>
    <t xml:space="preserve">HIZLI BASLANGIC — Pazaryeri Net Kâr &amp; Eksik Hakediş Yakalayıcı</t>
  </si>
  <si>
    <t xml:space="preserve">Nasıl kullanılır?</t>
  </si>
  <si>
    <t xml:space="preserve">Adım 1 — Kalemlerinizi girin</t>
  </si>
  <si>
    <t xml:space="preserve">KALEM_LISTESI sayfasındaki sarı hücrelere satış kalemi bilgilerini girin: satış fiyatı, miktar, ürün maliyeti, komisyon/kargo/reklam/iade oranları, ek gider.</t>
  </si>
  <si>
    <t xml:space="preserve">Adım 2 — Gerçek hakedişi girin</t>
  </si>
  <si>
    <t xml:space="preserve">Pazaryerinden gelen ödemeyi (hakediş) 'Gerçek Hakediş' sütununa girin; sistem beklenenle farkı hesaplar ve eksik hakedişi işaretler.</t>
  </si>
  <si>
    <t xml:space="preserve">Adım 3 — Kârı izleyin</t>
  </si>
  <si>
    <t xml:space="preserve">HESAP ve PANO sayfaları pazaryeri bazlı satış, kâr, marj ve eksik hakediş özetini üretir.</t>
  </si>
  <si>
    <t xml:space="preserve">Adım 4 — Kararı değerlendirin</t>
  </si>
  <si>
    <t xml:space="preserve">KARAR sayfası marj ve eksik hakediş durumuna göre GÜÇLÜ/NORMAL/İNCELE kararı üretir.</t>
  </si>
  <si>
    <t xml:space="preserve">Sık yapılan hatalar</t>
  </si>
  <si>
    <t xml:space="preserve">• Gerçek hakedişe KDV dahil tutar girmek (hakedişler KDV hariç karşılaştırılır)</t>
  </si>
  <si>
    <t xml:space="preserve">• Komisyon oranını yüzde olarak 25 değil 0,25 girmek</t>
  </si>
  <si>
    <t xml:space="preserve">• Miktar girilmeden satış fiyatı girmek (hesap sıfırlanır)</t>
  </si>
  <si>
    <t xml:space="preserve">Sık sorulan sorular</t>
  </si>
  <si>
    <t xml:space="preserve">Soru: Komisyon oranını yüzde olarak nasıl girerim? Cevap: 0,25 olarak (onluk kesir). %25 yazmak hesabı 25 kat büyütür.</t>
  </si>
  <si>
    <t xml:space="preserve">Soru: Gerçek hakediş KDV dahil mi? Cevap: Hakediş mutabakatı KDV hariç yapılır; KDV dahil tutar girmeyin.</t>
  </si>
  <si>
    <t xml:space="preserve">Soru: Beklenen hakedişten hangi tutarlar düşülür? Cevap: Komisyon, kargo/operasyon ve reklam tutarları düşülür; iade maliyeti kâr/marjda etkilidir.</t>
  </si>
  <si>
    <t xml:space="preserve">Soru: Hangi pazaryeri listesinde yoksa ne yapmalıyım? Cevap: LISTELER sayfasındaki sarı hücreye yeni pazaryeri adını ekleyin.</t>
  </si>
  <si>
    <t xml:space="preserve">Bu dosya karar destek aracıdır; vergi ve muhasebe hesabı mali müşavir görüşü yerine geçmez.</t>
  </si>
  <si>
    <t xml:space="preserve">KALEM LISTESI — Pazaryeri Net Kâr &amp; Eksik Hakediş Yakalayıcı</t>
  </si>
  <si>
    <t xml:space="preserve">Satış Kalemleri ve Hakediş Takibi</t>
  </si>
  <si>
    <t xml:space="preserve">Sarı hücrelere manuel veri girin. Satış, komisyon, kargo, reklam, iade, toplam maliyet, net kâr, marj ve hakediş farkı otomatik hesaplanır.</t>
  </si>
  <si>
    <t xml:space="preserve">Kalem Kodu</t>
  </si>
  <si>
    <t xml:space="preserve">Ürün Adı</t>
  </si>
  <si>
    <t xml:space="preserve">Birim Satış Fiyatı (TL)</t>
  </si>
  <si>
    <t xml:space="preserve">Miktar (Adet)</t>
  </si>
  <si>
    <t xml:space="preserve">Birim Ürün Maliyeti (TL)</t>
  </si>
  <si>
    <t xml:space="preserve">Komisyon Oranı</t>
  </si>
  <si>
    <t xml:space="preserve">Kargo/Operasyon Oranı</t>
  </si>
  <si>
    <t xml:space="preserve">Reklam Oranı</t>
  </si>
  <si>
    <t xml:space="preserve">İade Oranı</t>
  </si>
  <si>
    <t xml:space="preserve">Birim Ek Gider (TL)</t>
  </si>
  <si>
    <t xml:space="preserve">Toplam Satış (TL)</t>
  </si>
  <si>
    <t xml:space="preserve">Komisyon Tutarı (TL)</t>
  </si>
  <si>
    <t xml:space="preserve">Kargo Tutarı (TL)</t>
  </si>
  <si>
    <t xml:space="preserve">Reklam Tutarı (TL)</t>
  </si>
  <si>
    <t xml:space="preserve">İade Maliyeti (TL)</t>
  </si>
  <si>
    <t xml:space="preserve">Toplam Maliyet (TL)</t>
  </si>
  <si>
    <t xml:space="preserve">NET KÂR (TL)</t>
  </si>
  <si>
    <t xml:space="preserve">KÂR MARJI</t>
  </si>
  <si>
    <t xml:space="preserve">Beklenen Hakediş (TL)</t>
  </si>
  <si>
    <t xml:space="preserve">Gerçek Hakediş (TL)</t>
  </si>
  <si>
    <t xml:space="preserve">Hakediş Farkı (TL)</t>
  </si>
  <si>
    <t xml:space="preserve">Fark Oranı</t>
  </si>
  <si>
    <t xml:space="preserve">Durum</t>
  </si>
  <si>
    <t xml:space="preserve">Açıklama</t>
  </si>
  <si>
    <t xml:space="preserve">Pazaryeri</t>
  </si>
  <si>
    <t xml:space="preserve">P-1001</t>
  </si>
  <si>
    <t xml:space="preserve">Kulaklık Bluetooth</t>
  </si>
  <si>
    <t xml:space="preserve">Trendyol</t>
  </si>
  <si>
    <t xml:space="preserve">P-1002</t>
  </si>
  <si>
    <t xml:space="preserve">Powerbank 20.000mAh</t>
  </si>
  <si>
    <t xml:space="preserve">Hepsiburada</t>
  </si>
  <si>
    <t xml:space="preserve">P-1003</t>
  </si>
  <si>
    <t xml:space="preserve">Akıllı Saat</t>
  </si>
  <si>
    <t xml:space="preserve">P-1004</t>
  </si>
  <si>
    <t xml:space="preserve">Şarj Aleti 65W</t>
  </si>
  <si>
    <t xml:space="preserve">Amazon</t>
  </si>
  <si>
    <t xml:space="preserve">P-1005</t>
  </si>
  <si>
    <t xml:space="preserve">Kablo USB-C</t>
  </si>
  <si>
    <t xml:space="preserve">N11</t>
  </si>
  <si>
    <t xml:space="preserve">P-1006</t>
  </si>
  <si>
    <t xml:space="preserve">Mouse Kablosuz</t>
  </si>
  <si>
    <t xml:space="preserve">Sarı hücreler manuel giriştir; formül hücreleri kilitli ve korumalıdır.</t>
  </si>
  <si>
    <t xml:space="preserve">HESAP — Pazaryeri Net Kâr &amp; Eksik Hakediş Yakalayıcı</t>
  </si>
  <si>
    <t xml:space="preserve">Pazaryeri Bazlı Özet ve Net Kâr Motoru</t>
  </si>
  <si>
    <t xml:space="preserve">Özet kalem listesinden otomatik beslenir; pazaryeri bazında satış, maliyet, net kâr, marj ve hakediş farkı canlı üretilir.</t>
  </si>
  <si>
    <t xml:space="preserve">Adet</t>
  </si>
  <si>
    <t xml:space="preserve">Komisyon (TL)</t>
  </si>
  <si>
    <t xml:space="preserve">Kargo (TL)</t>
  </si>
  <si>
    <t xml:space="preserve">Reklam (TL)</t>
  </si>
  <si>
    <t xml:space="preserve">İade (TL)</t>
  </si>
  <si>
    <t xml:space="preserve">Diğer</t>
  </si>
  <si>
    <t xml:space="preserve">TOPLAM BLOK</t>
  </si>
  <si>
    <t xml:space="preserve">Toplam Komisyon (TL)</t>
  </si>
  <si>
    <t xml:space="preserve">Toplam Kargo/Operasyon (TL)</t>
  </si>
  <si>
    <t xml:space="preserve">Toplam Reklam (TL)</t>
  </si>
  <si>
    <t xml:space="preserve">Toplam İade Maliyeti (TL)</t>
  </si>
  <si>
    <t xml:space="preserve">TOPLAM NET KÂR (TL)</t>
  </si>
  <si>
    <t xml:space="preserve">Genel Kâr Marjı</t>
  </si>
  <si>
    <t xml:space="preserve">Ortalama Kesinti Oranı</t>
  </si>
  <si>
    <t xml:space="preserve">Toplam Beklenen Hakediş (TL)</t>
  </si>
  <si>
    <t xml:space="preserve">TOPLAM HAKEDİŞ FARKI (TL)</t>
  </si>
  <si>
    <t xml:space="preserve">Eksik Hakediş Kalem Sayısı</t>
  </si>
  <si>
    <t xml:space="preserve">Ortalama Kâr Marjı</t>
  </si>
  <si>
    <t xml:space="preserve">En İyi Pazaryeri</t>
  </si>
  <si>
    <t xml:space="preserve">En İyi Pazaryeri Marjı</t>
  </si>
  <si>
    <t xml:space="preserve">Kalem Sırası</t>
  </si>
  <si>
    <t xml:space="preserve">Ortalama NET KÂR (TL)</t>
  </si>
  <si>
    <t xml:space="preserve">Gelecek Dönem NET KÂR Tahmini (TL)</t>
  </si>
  <si>
    <t xml:space="preserve">NET KÂR Std Sapması (TL)</t>
  </si>
  <si>
    <t xml:space="preserve">Alt Tahmin Sınırı (TL)</t>
  </si>
  <si>
    <t xml:space="preserve">Üst Tahmin Sınırı (TL)</t>
  </si>
  <si>
    <t xml:space="preserve">Hesap satırları yalnızca kalem listesinden ve AYARLAR'dan beslenir; korumalıdır.</t>
  </si>
  <si>
    <t xml:space="preserve">ANALITIK MOTOR — Pazaryeri Net Kâr &amp; Eksik Hakediş Yakalayıcı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</si>
  <si>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</si>
  <si>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</si>
  <si>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</si>
  <si>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</si>
  <si>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</si>
  <si>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</si>
  <si>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T2</t>
  </si>
  <si>
    <t xml:space="preserve">Ortalama Komisyon Oranı</t>
  </si>
  <si>
    <t xml:space="preserve">O1</t>
  </si>
  <si>
    <t xml:space="preserve">Net Kâr Sapması (MAD)</t>
  </si>
  <si>
    <t xml:space="preserve">O2</t>
  </si>
  <si>
    <t xml:space="preserve">En Yüksek Net Kâr</t>
  </si>
  <si>
    <t xml:space="preserve">O3</t>
  </si>
  <si>
    <t xml:space="preserve">Senaryo Bant Genişliği</t>
  </si>
  <si>
    <t xml:space="preserve">O6</t>
  </si>
  <si>
    <t xml:space="preserve">Pazaryeri Yoğunlaşması (HHI)</t>
  </si>
  <si>
    <t xml:space="preserve">O8</t>
  </si>
  <si>
    <t xml:space="preserve">Veri Kalite Skoru</t>
  </si>
  <si>
    <t xml:space="preserve">I1</t>
  </si>
  <si>
    <t xml:space="preserve">Gelecek Dönem NET KÂR Tahmini</t>
  </si>
  <si>
    <t xml:space="preserve">I2</t>
  </si>
  <si>
    <t xml:space="preserve">Satış Fiyatı Yüzdelik P90</t>
  </si>
  <si>
    <t xml:space="preserve">I8</t>
  </si>
  <si>
    <t xml:space="preserve">Toplam Eksik Hakediş Etkisi</t>
  </si>
  <si>
    <t xml:space="preserve">KONTROLLER — Pazaryeri Net Kâr &amp; Eksik Hakediş Yakalayıcı</t>
  </si>
  <si>
    <t xml:space="preserve">Giriş Kalite Kontrolleri</t>
  </si>
  <si>
    <t xml:space="preserve">Aşağıdaki kontroller canlı formüllerle çalışır; sorun varsa uyarı üretir.</t>
  </si>
  <si>
    <t xml:space="preserve">Negatif satış fiyatı var mı?</t>
  </si>
  <si>
    <t xml:space="preserve">Negatif ürün maliyeti var mı?</t>
  </si>
  <si>
    <t xml:space="preserve">Komisyon oranı 0,50 üzerinde mi?</t>
  </si>
  <si>
    <t xml:space="preserve">İade oranı 0,50 üzerinde mi?</t>
  </si>
  <si>
    <t xml:space="preserve">Toplam hakediş farkı eşiği aşıyor mu?</t>
  </si>
  <si>
    <t xml:space="preserve">Eksik hakediş kalemi var mı?</t>
  </si>
  <si>
    <t xml:space="preserve">Genel marj kritik altında mı?</t>
  </si>
  <si>
    <t xml:space="preserve">Kalem sayısı yeterli mi?</t>
  </si>
  <si>
    <t xml:space="preserve">Veri Kalitesi Skoru (0-100)</t>
  </si>
  <si>
    <t xml:space="preserve">Temel giriş kolonlarının dolu olma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</si>
  <si>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</si>
  <si>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</si>
  <si>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</si>
  <si>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</si>
  <si>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</si>
  <si>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Pazaryeri Net Kâr &amp; Eksik Hakediş Yakalayıcı</t>
  </si>
  <si>
    <t xml:space="preserve">Karar Kapısı — Portföy Yönlendirme</t>
  </si>
  <si>
    <t xml:space="preserve">Genel kâr marjı, eksik hakediş durumu ve veri kalitesine göre üretilen portföy kararı.</t>
  </si>
  <si>
    <t xml:space="preserve">Toplam Net Kâr (TL)</t>
  </si>
  <si>
    <t xml:space="preserve">Toplam Hakediş Farkı (TL)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</si>
  <si>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</si>
  <si>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</si>
  <si>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</si>
  <si>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</si>
  <si>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</si>
  <si>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</si>
  <si>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oran/eşiklerden türetilir.</t>
  </si>
  <si>
    <t xml:space="preserve">PANO — Pazaryeri Net Kâr &amp; Eksik Hakediş Yakalayıcı</t>
  </si>
  <si>
    <t xml:space="preserve">Yönetim Paneli</t>
  </si>
  <si>
    <t xml:space="preserve">Toplam NET KÂR (TL)</t>
  </si>
  <si>
    <t xml:space="preserve">Eksik Kalem Sayısı</t>
  </si>
  <si>
    <t xml:space="preserve">Karar</t>
  </si>
  <si>
    <t xml:space="preserve">Trendyol Satış</t>
  </si>
  <si>
    <t xml:space="preserve">Hepsiburada Satış</t>
  </si>
  <si>
    <t xml:space="preserve">Amazon Satış</t>
  </si>
  <si>
    <t xml:space="preserve">N11 Satış</t>
  </si>
  <si>
    <t xml:space="preserve">Diğer Satış</t>
  </si>
  <si>
    <t xml:space="preserve">EKSİK HAKEDİŞ</t>
  </si>
  <si>
    <t xml:space="preserve">DOĞRU</t>
  </si>
  <si>
    <t xml:space="preserve">BEKLİYOR</t>
  </si>
  <si>
    <t xml:space="preserve">Ortalama NET KÂR</t>
  </si>
  <si>
    <t xml:space="preserve">NET KÂR Std Sapması</t>
  </si>
  <si>
    <t xml:space="preserve">Alt Tahmin Sınırı</t>
  </si>
  <si>
    <t xml:space="preserve">Üst Tahmin Sınırı</t>
  </si>
  <si>
    <t xml:space="preserve">Senaryo</t>
  </si>
  <si>
    <t xml:space="preserve">Net Kâr (TL)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</si>
  <si>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</si>
  <si>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</si>
  <si>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</si>
  <si>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</si>
  <si>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</si>
  <si>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Pazaryeri Net Kâr &amp; Eksik Hakediş Yakalayıcı</t>
  </si>
  <si>
    <t xml:space="preserve">Senaryo ve Duyarlılık Analizi</t>
  </si>
  <si>
    <t xml:space="preserve">Farklı satış fiyatı çarpanı senaryolarında net kâr bant aralığı; ardından hangi değişkenin net kârı en çok etkilediğini gösteren tornado analizi.</t>
  </si>
  <si>
    <t xml:space="preserve">Satış Fiyatı Çarpanı</t>
  </si>
  <si>
    <t xml:space="preserve">İYİMSER</t>
  </si>
  <si>
    <t xml:space="preserve">BAZ</t>
  </si>
  <si>
    <t xml:space="preserve">KÖTÜMSER</t>
  </si>
  <si>
    <t xml:space="preserve">KRİTİK</t>
  </si>
  <si>
    <t xml:space="preserve">Senaryo Bant Genişliği (İyi − Kritik)</t>
  </si>
  <si>
    <t xml:space="preserve">Tornado: Net Kâra Etki</t>
  </si>
  <si>
    <t xml:space="preserve">Komisyon Oranı +1 puan Etkisi</t>
  </si>
  <si>
    <t xml:space="preserve">Satış Fiyatı −%5 Etkisi</t>
  </si>
  <si>
    <t xml:space="preserve">En Etkili Değişken</t>
  </si>
  <si>
    <t xml:space="preserve">Senaryo çarpanları ve tornado adımları AYARLAR'dan türetilir.</t>
  </si>
  <si>
    <t xml:space="preserve">PAZARYERİ NET KÂR VE EKSİK HAKEDİŞ — YÖNETİCİ ÖZETİ</t>
  </si>
  <si>
    <t xml:space="preserve">Varsayımlar ve Önemli Notlar</t>
  </si>
  <si>
    <t xml:space="preserve">• Beklenen hakediş, satış bedelinden komisyon, kargo/operasyon ve reklam kesintileri düşüldükten sonra pazaryerinin ödemesi gereken tutardır.</t>
  </si>
  <si>
    <t xml:space="preserve">• Eksik hakediş tespiti, gerçek hakediş (pazaryerinden gelen ödeme) ile beklenen tutarın farkının eşikleri aşmasıyla üretilir; gerçek hakediş girilmeyen kalemler BEKLİYOR işaretlenir.</t>
  </si>
  <si>
    <t xml:space="preserve">• Net kâr; satıştan ürün maliyeti, komisyon, kargo, reklam, iade maliyeti ve ek giderler düşülerek hesaplanır.</t>
  </si>
  <si>
    <t xml:space="preserve">• Senaryo ve tornado analizi satış fiyatı ve komisyon değişimlerinin kâra etkisini gösterir; çarpanlar AYARLAR'dadır.</t>
  </si>
  <si>
    <t xml:space="preserve">• Bu dosya karar destek aracıdır; vergi ve muhasebe hesabı mali müşavir görüşü yerine geçmez.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</si>
  <si>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</si>
  <si>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</si>
  <si>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Pazaryeri Net Kâr &amp; Eksik Hakediş Yakalayıcı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</si>
  <si>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</si>
  <si>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</si>
  <si>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</si>
  <si>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Pazaryeri Net Kâr &amp; Eksik Hakediş Yakalayıcı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</si>
  <si>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</si>
  <si>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</si>
  <si>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</si>
  <si>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</si>
  <si>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</si>
  <si>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</si>
  <si>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10.08.2026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</si>
  <si>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</si>
  <si>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</si>
  <si>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</si>
  <si>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</si>
  <si>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Pazaryeri Net Kâr &amp; Eksik Hakediş Yakalayıcı</t>
  </si>
  <si>
    <t xml:space="preserve">Bağlı Listeler</t>
  </si>
  <si>
    <t xml:space="preserve">Bu sayfadaki listeler açılır menüleri besler; yeni seçenek eklemek için sarı hücrelere yazın.</t>
  </si>
  <si>
    <t xml:space="preserve">Pazaryerleri</t>
  </si>
  <si>
    <t xml:space="preserve">AYARLAR — Pazaryeri Net Kâr &amp; Eksik Hakediş Yakalayıcı</t>
  </si>
  <si>
    <t xml:space="preserve">Sistem Ayarları ve Oranlar</t>
  </si>
  <si>
    <t xml:space="preserve">Tüm sabitler bu sayfadadır. Eşikler, senaryo çarpanları ve oranları güncelleyin;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</si>
  <si>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</si>
  <si>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</si>
  <si>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</si>
  <si>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</si>
  <si>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</si>
  <si>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</si>
  <si>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</si>
  <si>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</si>
  <si>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</si>
  <si>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PazaryeriFirmaUnvan</t>
  </si>
  <si>
    <t xml:space="preserve">Örnek Firma A.Ş.</t>
  </si>
  <si>
    <t xml:space="preserve">Metin</t>
  </si>
  <si>
    <t xml:space="preserve">Firma unvanı rapor başlığında görünür.</t>
  </si>
  <si>
    <t xml:space="preserve">Kullanıcı</t>
  </si>
  <si>
    <t xml:space="preserve">PazaryeriRaporTarihi</t>
  </si>
  <si>
    <t xml:space="preserve">Raporun dayanak tarihi.</t>
  </si>
  <si>
    <t xml:space="preserve">PazaryeriRaporHazirlayan</t>
  </si>
  <si>
    <t xml:space="preserve">Pazaryeri Operasyon Müdürü</t>
  </si>
  <si>
    <t xml:space="preserve">Raporu hazırlayan kişi.</t>
  </si>
  <si>
    <t xml:space="preserve">PazaryeriDosyaSurumu</t>
  </si>
  <si>
    <t xml:space="preserve">Dosya sürümü.</t>
  </si>
  <si>
    <t xml:space="preserve">PazaryeriEksikHakedisEsik</t>
  </si>
  <si>
    <t xml:space="preserve">Oran</t>
  </si>
  <si>
    <t xml:space="preserve">Fark oranı eşiği; üzerindeki farklar eksik hakediş sayılır.</t>
  </si>
  <si>
    <t xml:space="preserve">Varsayım</t>
  </si>
  <si>
    <t xml:space="preserve">PazaryeriEksikHakedisTutarEsik</t>
  </si>
  <si>
    <t xml:space="preserve">TL</t>
  </si>
  <si>
    <t xml:space="preserve">Fark tutarının ihmal edilmeyeceği asgari TL eşiği.</t>
  </si>
  <si>
    <t xml:space="preserve">PazaryeriNetKarMarjiHedef</t>
  </si>
  <si>
    <t xml:space="preserve">GÜÇLÜ kararı için genel marj hedefi.</t>
  </si>
  <si>
    <t xml:space="preserve">PazaryeriNetKarMarjiKritik</t>
  </si>
  <si>
    <t xml:space="preserve">Marjın altına inmesi durumunda İNCELE kararı üretilir.</t>
  </si>
  <si>
    <t xml:space="preserve">PazaryeriKargoVarsayilanOran</t>
  </si>
  <si>
    <t xml:space="preserve">Kargo/operasyon oranı varsayılanı (kalem girişinde öneri).</t>
  </si>
  <si>
    <t xml:space="preserve">PazaryeriReklamVarsayilanOran</t>
  </si>
  <si>
    <t xml:space="preserve">Reklam oranı varsayılanı.</t>
  </si>
  <si>
    <t xml:space="preserve">PazaryeriIadeVarsayilanOran</t>
  </si>
  <si>
    <t xml:space="preserve">İade oranı varsayılanı.</t>
  </si>
  <si>
    <t xml:space="preserve">PazaryeriSenIyiSatis</t>
  </si>
  <si>
    <t xml:space="preserve">İyimser senaryo satış fiyatı çarpanı.</t>
  </si>
  <si>
    <t xml:space="preserve">PazaryeriSenBazSatis</t>
  </si>
  <si>
    <t xml:space="preserve">Baz senaryo satış fiyatı çarpanı.</t>
  </si>
  <si>
    <t xml:space="preserve">PazaryeriSenKotuSatis</t>
  </si>
  <si>
    <t xml:space="preserve">Kötümser senaryo satış fiyatı çarpanı.</t>
  </si>
  <si>
    <t xml:space="preserve">PazaryeriSenKritikSatis</t>
  </si>
  <si>
    <t xml:space="preserve">Kritik senaryo satış fiyatı çarpanı.</t>
  </si>
  <si>
    <t xml:space="preserve">PazaryeriTahminCarpan</t>
  </si>
  <si>
    <t xml:space="preserve">Çarpan</t>
  </si>
  <si>
    <t xml:space="preserve">Tahmin güven bandı çarpanı (%90 normal dağılım).</t>
  </si>
  <si>
    <t xml:space="preserve">PazaryeriKaliteIyi</t>
  </si>
  <si>
    <t xml:space="preserve">Puan</t>
  </si>
  <si>
    <t xml:space="preserve">Yüksek kalite skoru eşiği.</t>
  </si>
  <si>
    <t xml:space="preserve">PazaryeriKaliteOrta</t>
  </si>
  <si>
    <t xml:space="preserve">Orta kalite skoru eşiği.</t>
  </si>
  <si>
    <t xml:space="preserve">PazaryeriToplamFarkEsik</t>
  </si>
  <si>
    <t xml:space="preserve">Toplam hakediş farkının kontrol edildiği eşik.</t>
  </si>
  <si>
    <t xml:space="preserve">PazaryeriP90Oran</t>
  </si>
  <si>
    <t xml:space="preserve">Satış fiyatı dağılımında üst yüzdelik dilimin oranı.</t>
  </si>
  <si>
    <t xml:space="preserve">PazaryeriTemelKolonSayisi</t>
  </si>
  <si>
    <t xml:space="preserve">Veri kalitesi skorunda temel kabul edilen zorunlu giriş kolonu sayısı.</t>
  </si>
  <si>
    <t xml:space="preserve">PazaryeriTornadoKomisyonOran</t>
  </si>
  <si>
    <t xml:space="preserve">Komisyon oranı tornado adımı (+1 puan).</t>
  </si>
  <si>
    <t xml:space="preserve">PazaryeriTornadoSatisOran</t>
  </si>
  <si>
    <t xml:space="preserve">Satış fiyatı tornado adımı (−%5).</t>
  </si>
  <si>
    <t xml:space="preserve">PazaryeriYuksekToplamSatisEsik</t>
  </si>
  <si>
    <t xml:space="preserve">Yüksek toplam satış kontrol eşiği.</t>
  </si>
  <si>
    <t xml:space="preserve">PazaryeriAksiyon1_ACIKLAMA</t>
  </si>
  <si>
    <t xml:space="preserve">Eksik hakediş tespit edildi; pazaryeri müşteri hizmetlerine fark dökümünü ileterek tutarın iadesini talep edin.</t>
  </si>
  <si>
    <t xml:space="preserve">İNCELE kararında gösterilen ilk öneri.</t>
  </si>
  <si>
    <t xml:space="preserve">PazaryeriAksiyon2_ACIKLAMA</t>
  </si>
  <si>
    <t xml:space="preserve">Genel marj hedefin üzerinde; satışı artırmak için kâr marjı yüksek kalemlerin reklam bütçesini öne çekin.</t>
  </si>
  <si>
    <t xml:space="preserve">GÜÇLÜ kararında gösterilen ikinci öneri.</t>
  </si>
  <si>
    <t xml:space="preserve">PazaryeriAksiyon3_ACIKLAMA</t>
  </si>
  <si>
    <t xml:space="preserve">Marj kritik altında; komisyon yüksek pazaryerlerinde fiyat/komisyon yapısını yeniden müzakere edin veya portföyü gözden geçirin.</t>
  </si>
  <si>
    <t xml:space="preserve">İNCELE/NORMAL kararında gösterilen üçüncü öneri.</t>
  </si>
  <si>
    <t xml:space="preserve">PazaryeriPanelSatir_1</t>
  </si>
  <si>
    <t xml:space="preserve">Satır</t>
  </si>
  <si>
    <t xml:space="preserve">HESAP/PANO'daki kalem bazlı grafiğin tablodaki veri satırı (1. veri).</t>
  </si>
  <si>
    <t xml:space="preserve">PazaryeriPanelSatir_2</t>
  </si>
  <si>
    <t xml:space="preserve">HESAP/PANO'daki kalem bazlı grafiğin tablodaki veri satırı (2. veri).</t>
  </si>
  <si>
    <t xml:space="preserve">PazaryeriPanelSatir_3</t>
  </si>
  <si>
    <t xml:space="preserve">HESAP/PANO'daki kalem bazlı grafiğin tablodaki veri satırı (3. veri).</t>
  </si>
  <si>
    <t xml:space="preserve">PazaryeriPanelSatir_4</t>
  </si>
  <si>
    <t xml:space="preserve">HESAP/PANO'daki kalem bazlı grafiğin tablodaki veri satırı (4. veri).</t>
  </si>
  <si>
    <t xml:space="preserve">PazaryeriPanelSatir_5</t>
  </si>
  <si>
    <t xml:space="preserve">HESAP/PANO'daki kalem bazlı grafiğin tablodaki veri satırı (5. veri).</t>
  </si>
  <si>
    <t xml:space="preserve">PazaryeriPanelSatir_6</t>
  </si>
  <si>
    <t xml:space="preserve">HESAP/PANO'daki kalem bazlı grafiğin tablodaki veri satırı (6. veri).</t>
  </si>
  <si>
    <t xml:space="preserve">PazaryeriPanelSatir_7</t>
  </si>
  <si>
    <t xml:space="preserve">HESAP/PANO'daki kalem bazlı grafiğin tablodaki veri satırı (7. veri).</t>
  </si>
  <si>
    <t xml:space="preserve">PazaryeriPanelSatir_8</t>
  </si>
  <si>
    <t xml:space="preserve">HESAP/PANO'daki kalem bazlı grafiğin tablodaki veri satırı (8. veri).</t>
  </si>
  <si>
    <t xml:space="preserve">PazaryeriPanelSatir_9</t>
  </si>
  <si>
    <t xml:space="preserve">HESAP/PANO'daki kalem bazlı grafiğin tablodaki veri satırı (9. veri).</t>
  </si>
  <si>
    <t xml:space="preserve">PazaryeriPanelSatir_10</t>
  </si>
  <si>
    <t xml:space="preserve">HESAP/PANO'daki kalem bazlı grafiğin tablodaki veri satırı (10. veri).</t>
  </si>
  <si>
    <t xml:space="preserve">PazaryeriPanelSatir_11</t>
  </si>
  <si>
    <t xml:space="preserve">HESAP/PANO'daki kalem bazlı grafiğin tablodaki veri satırı (11. veri).</t>
  </si>
  <si>
    <t xml:space="preserve">PazaryeriPanelSatir_12</t>
  </si>
  <si>
    <t xml:space="preserve">HESAP/PANO'daki kalem bazlı grafiğin tablodaki veri satırı (12. veri).</t>
  </si>
  <si>
    <t xml:space="preserve">KILAVUZ — Pazaryeri Net Kâr &amp; Eksik Hakediş Yakalayıcı</t>
  </si>
  <si>
    <t xml:space="preserve">Kullanım Kılavuzu</t>
  </si>
  <si>
    <t xml:space="preserve">Veri girişi</t>
  </si>
  <si>
    <t xml:space="preserve">KALEM_LISTESI sayfasında sarı hücrelere satış kalemlerinizi girin. Satış fiyatı, miktar, ürün maliyeti, komisyon/kargo/reklam/iade oranları ve ek gider doldurulunca net kâr ve marj otomatik hesaplanır.</t>
  </si>
  <si>
    <t xml:space="preserve">Eksik hakediş yakalama</t>
  </si>
  <si>
    <t xml:space="preserve">Her kalem için pazaryerinden gelen gerçek ödemeyi 'Gerçek Hakediş' sütununa girin. Beklenen hakedişten fark, eşiklerin üzerindeyse kalem 'EKSİK HAKEDİŞ' olarak işaretlenir.</t>
  </si>
  <si>
    <t xml:space="preserve">Eksik hakediş mutabakatı</t>
  </si>
  <si>
    <t xml:space="preserve">Beklenen hakediş; satış tutarından komisyon, kargo/operasyon ve reklam tutarları düşülerek hesaplanır. İade maliyeti mutabakata doğrudan girmez; kâr ve marjda etkilidir. Gerçek hakedişi KDV hariç girin; fark, AYARLAR'daki eşikleri aşınca EKSİK HAKEDİŞ işaretlenir.</t>
  </si>
  <si>
    <t xml:space="preserve">Veri kalite skoru</t>
  </si>
  <si>
    <t xml:space="preserve">KONTROLLER sayfası zorunlu giriş kolonlarının doluluk oranını ölçer ve 0-100 puan üretir. Düşük skorda PANO'daki tüm çıktılara DÜŞÜK GÜVEN uyarısı basılır; karar kalitesini artırmak için eksik alanları doldurun.</t>
  </si>
  <si>
    <t xml:space="preserve">Karar ve aksiyon</t>
  </si>
  <si>
    <t xml:space="preserve">KARAR sayfası marj ve eksik hakediş durumuna göre GÜÇLÜ/NORMAL/İNCELE kararını gerekçesiyle üretir ve önerilen aksiyonları gösterir.</t>
  </si>
  <si>
    <t xml:space="preserve">Oranlar ve senaryolar</t>
  </si>
  <si>
    <t xml:space="preserve">AYARLAR sayfasından marj hedefleri, eksik hakediş eşikleri, senaryo ve tornado çarpanlarını güncelleyin; PANO ve SENARYO_DUYARLILIK anında güncellenir.</t>
  </si>
  <si>
    <t xml:space="preserve">Güven ve karar kalitesi</t>
  </si>
  <si>
    <t xml:space="preserve">Veri kalite skoru girişlerin tamlığını ölçer. Kalem girişi yokken karar VERİ YOK; negatif girişte DURDUR üretir. Verileriniz cihazınızdan çıkmaz; dosya tamamen çevrimdışıdır.</t>
  </si>
  <si>
    <t xml:space="preserve">Uyumluluk</t>
  </si>
  <si>
    <t xml:space="preserve">Excel 2016-365 (Windows ve Mac), LibreOffice ve Google Sheets ile uyumludur. Makro içermez; formüller ayrıştırıcı ile denetlenmiştir.</t>
  </si>
  <si>
    <t xml:space="preserve">Karar kuralları</t>
  </si>
  <si>
    <t xml:space="preserve">KARAR sayfasındaki sonuç şu kurallarla üretilir: (1) kalem girişi yoksa VERİ YOK; (2) negatif satış fiyatı veya maliyet varsa DURDUR; (3) genel kâr marjı hedefin üzerindeyse ve eksik hakediş yoksa GÜÇLÜ; (4) eksik hakediş tespit edilmişse veya marj kritik eşiğin altındaysa İNCELE; (5) diğer durumlarda NORMAL. Gerekçe, kararın altında makine tarafından üretilir ve hangi kuralın tetiklendiğini açıklar.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</si>
</sst>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₺ &quot;#,##0;[RED]&quot;(₺ &quot;#,##0\);\-"/>
    <numFmt numFmtId="166" formatCode="#,##0"/>
    <numFmt numFmtId="167" formatCode="0.0%;[RED]\(0.0%\);\-"/>
    <numFmt numFmtId="168" formatCode="dd/mm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sz val="10"/>
      <name val="Arial"/>
      <family val="2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ill>
        <patternFill>
          <bgColor rgb="FFFFF2CC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Pazaryeri Bazlı Toplam Satış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Toplam Satış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Trendyol Satış</c:v>
                </c:pt>
                <c:pt idx="1">
                  <c:v>Hepsiburada Satış</c:v>
                </c:pt>
                <c:pt idx="2">
                  <c:v>Amazon Satış</c:v>
                </c:pt>
                <c:pt idx="3">
                  <c:v>N11 Satış</c:v>
                </c:pt>
                <c:pt idx="4">
                  <c:v>Diğer Satış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49457</c:v>
                </c:pt>
                <c:pt idx="1">
                  <c:v>32940</c:v>
                </c:pt>
                <c:pt idx="2">
                  <c:v>64200</c:v>
                </c:pt>
                <c:pt idx="3">
                  <c:v>38700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4279389"/>
        <c:axId val="89707319"/>
      </c:barChart>
      <c:catAx>
        <c:axId val="14279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07319"/>
        <c:crosses val="autoZero"/>
        <c:auto val="1"/>
        <c:lblAlgn val="ctr"/>
        <c:lblOffset val="100"/>
        <c:noMultiLvlLbl val="0"/>
      </c:catAx>
      <c:valAx>
        <c:axId val="89707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793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Pazaryeri Bazlı Net Kâr Payı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PANO!C10</c:f>
              <c:strCache>
                <c:ptCount val="1"/>
                <c:pt idx="0">
                  <c:v>NET KÂR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PANO!$A$11:$A$15</c:f>
              <c:strCache>
                <c:ptCount val="5"/>
                <c:pt idx="0">
                  <c:v>Trendyol Satış</c:v>
                </c:pt>
                <c:pt idx="1">
                  <c:v>Hepsiburada Satış</c:v>
                </c:pt>
                <c:pt idx="2">
                  <c:v>Amazon Satış</c:v>
                </c:pt>
                <c:pt idx="3">
                  <c:v>N11 Satış</c:v>
                </c:pt>
                <c:pt idx="4">
                  <c:v>Diğer Satış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6429.149</c:v>
                </c:pt>
                <c:pt idx="1">
                  <c:v>5231.472</c:v>
                </c:pt>
                <c:pt idx="2">
                  <c:v>7264.536</c:v>
                </c:pt>
                <c:pt idx="3">
                  <c:v>8877.3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Pazaryeri Bazlı Kâr Marjı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PANO!D10</c:f>
              <c:strCache>
                <c:ptCount val="1"/>
                <c:pt idx="0">
                  <c:v>KÂR MARJI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Trendyol Satış</c:v>
                </c:pt>
                <c:pt idx="1">
                  <c:v>Hepsiburada Satış</c:v>
                </c:pt>
                <c:pt idx="2">
                  <c:v>Amazon Satış</c:v>
                </c:pt>
                <c:pt idx="3">
                  <c:v>N11 Satış</c:v>
                </c:pt>
                <c:pt idx="4">
                  <c:v>Diğer Satış</c:v>
                </c:pt>
              </c:strCache>
            </c:strRef>
          </c:cat>
          <c:val>
            <c:numRef>
              <c:f>PANO!$D$11:$D$15</c:f>
              <c:numCache>
                <c:formatCode>0.0%;[RED]\(0.0%\);\-</c:formatCode>
                <c:ptCount val="5"/>
                <c:pt idx="0">
                  <c:v>24728.5</c:v>
                </c:pt>
                <c:pt idx="1">
                  <c:v>32940</c:v>
                </c:pt>
                <c:pt idx="2">
                  <c:v>32100</c:v>
                </c:pt>
                <c:pt idx="3">
                  <c:v>38700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6580058"/>
        <c:axId val="40072253"/>
      </c:barChart>
      <c:catAx>
        <c:axId val="66580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72253"/>
        <c:crosses val="autoZero"/>
        <c:auto val="1"/>
        <c:lblAlgn val="ctr"/>
        <c:lblOffset val="100"/>
        <c:noMultiLvlLbl val="0"/>
      </c:catAx>
      <c:valAx>
        <c:axId val="40072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800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Pazaryeri Bazlı Beklenen Hakediş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>Beklenen Hakediş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Trendyol Satış</c:v>
                </c:pt>
                <c:pt idx="1">
                  <c:v>Hepsiburada Satış</c:v>
                </c:pt>
                <c:pt idx="2">
                  <c:v>Amazon Satış</c:v>
                </c:pt>
                <c:pt idx="3">
                  <c:v>N11 Satış</c:v>
                </c:pt>
                <c:pt idx="4">
                  <c:v>Diğer Satış</c:v>
                </c:pt>
              </c:strCache>
            </c:strRef>
          </c:cat>
          <c:val>
            <c:numRef>
              <c:f>PANO!$E$11:$E$15</c:f>
              <c:numCache>
                <c:formatCode>"₺ "#,##0;[RED]"(₺ "#,##0\);\-</c:formatCode>
                <c:ptCount val="5"/>
                <c:pt idx="0">
                  <c:v>34529.76</c:v>
                </c:pt>
                <c:pt idx="1">
                  <c:v>22399.2</c:v>
                </c:pt>
                <c:pt idx="2">
                  <c:v>39776.4</c:v>
                </c:pt>
                <c:pt idx="3">
                  <c:v>28251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0525798"/>
        <c:axId val="11743405"/>
      </c:barChart>
      <c:catAx>
        <c:axId val="90525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43405"/>
        <c:crosses val="autoZero"/>
        <c:auto val="1"/>
        <c:lblAlgn val="ctr"/>
        <c:lblOffset val="100"/>
        <c:noMultiLvlLbl val="0"/>
      </c:catAx>
      <c:valAx>
        <c:axId val="11743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257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Kalem Bazlı NET KÂR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PANO!H20</c:f>
              <c:strCache>
                <c:ptCount val="1"/>
                <c:pt idx="0">
                  <c:v>NET KÂR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PANO!$G$21:$G$32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PANO!$H$21:$H$32</c:f>
              <c:numCache>
                <c:formatCode>"₺ "#,##0;[RED]"(₺ "#,##0\);\-</c:formatCode>
                <c:ptCount val="12"/>
                <c:pt idx="0">
                  <c:v>4460.525</c:v>
                </c:pt>
                <c:pt idx="1">
                  <c:v>5231.472</c:v>
                </c:pt>
                <c:pt idx="2">
                  <c:v>1968.624</c:v>
                </c:pt>
                <c:pt idx="3">
                  <c:v>5509.536</c:v>
                </c:pt>
                <c:pt idx="4">
                  <c:v>8877.3</c:v>
                </c:pt>
                <c:pt idx="5">
                  <c:v>1755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840561"/>
        <c:axId val="68212871"/>
      </c:lineChart>
      <c:catAx>
        <c:axId val="8184056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212871"/>
        <c:crosses val="autoZero"/>
        <c:auto val="1"/>
        <c:lblAlgn val="ctr"/>
        <c:lblOffset val="100"/>
        <c:noMultiLvlLbl val="0"/>
      </c:catAx>
      <c:valAx>
        <c:axId val="68212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405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Kalem Bazlı Hakediş Farkı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PANO!I20</c:f>
              <c:strCache>
                <c:ptCount val="1"/>
                <c:pt idx="0">
                  <c:v>Hakediş Farkı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PANO!$G$21:$G$32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PANO!$I$21:$I$32</c:f>
              <c:numCache>
                <c:formatCode>"₺ "#,##0;[RED]"(₺ "#,##0\);\-</c:formatCode>
                <c:ptCount val="12"/>
                <c:pt idx="0">
                  <c:v>0</c:v>
                </c:pt>
                <c:pt idx="1">
                  <c:v>5899.2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0039172"/>
        <c:axId val="29764467"/>
      </c:barChart>
      <c:catAx>
        <c:axId val="3003917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764467"/>
        <c:crosses val="autoZero"/>
        <c:auto val="1"/>
        <c:lblAlgn val="ctr"/>
        <c:lblOffset val="100"/>
        <c:noMultiLvlLbl val="0"/>
      </c:catAx>
      <c:valAx>
        <c:axId val="29764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391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Hakediş Durum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PANO!B34</c:f>
              <c:strCache>
                <c:ptCount val="1"/>
                <c:pt idx="0">
                  <c:v>Adet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PANO!$A$35:$A$38</c:f>
              <c:strCache>
                <c:ptCount val="4"/>
                <c:pt idx="0">
                  <c:v>EKSİK HAKEDİŞ</c:v>
                </c:pt>
                <c:pt idx="1">
                  <c:v>DOĞRU</c:v>
                </c:pt>
                <c:pt idx="2">
                  <c:v>BEKLİYOR</c:v>
                </c:pt>
                <c:pt idx="3">
                  <c:v/>
                </c:pt>
              </c:strCache>
            </c:strRef>
          </c:cat>
          <c:val>
            <c:numRef>
              <c:f>PANO!$B$35:$B$38</c:f>
              <c:numCache>
                <c:formatCode>#,##0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PANO!B40</c:f>
              <c:strCache>
                <c:ptCount val="1"/>
                <c:pt idx="0">
                  <c:v>₺ 2.317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PANO!$A$41:$A$44</c:f>
              <c:strCache>
                <c:ptCount val="4"/>
                <c:pt idx="0">
                  <c:v>Gelecek Dönem NET KÂR Tahmini</c:v>
                </c:pt>
                <c:pt idx="1">
                  <c:v>NET KÂR Std Sapması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PANO!$B$41:$B$44</c:f>
              <c:numCache>
                <c:formatCode>"₺ "#,##0;[RED]"(₺ 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2317</c:v>
                </c:pt>
                <c:pt idx="3">
                  <c:v>2317</c:v>
                </c:pt>
              </c:numCache>
            </c:numRef>
          </c:val>
        </c:ser>
        <c:gapWidth val="150"/>
        <c:overlap val="0"/>
        <c:axId val="3225536"/>
        <c:axId val="86504705"/>
      </c:barChart>
      <c:catAx>
        <c:axId val="32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04705"/>
        <c:crosses val="autoZero"/>
        <c:auto val="1"/>
        <c:lblAlgn val="ctr"/>
        <c:lblOffset val="100"/>
        <c:noMultiLvlLbl val="0"/>
      </c:catAx>
      <c:valAx>
        <c:axId val="86504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255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Net Kârları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PANO!F46</c:f>
              <c:strCache>
                <c:ptCount val="1"/>
                <c:pt idx="0">
                  <c:v>Net Kâr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PANO!$E$47:$E$51</c:f>
              <c:strCache>
                <c:ptCount val="5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  <c:pt idx="4">
                  <c:v/>
                </c:pt>
              </c:strCache>
            </c:strRef>
          </c:cat>
          <c:val>
            <c:numRef>
              <c:f>PANO!$F$47:$F$51</c:f>
              <c:numCache>
                <c:formatCode>"₺ "#,##0;[RED]"(₺ "#,##0\);\-</c:formatCode>
                <c:ptCount val="5"/>
                <c:pt idx="0">
                  <c:v>33699.77985</c:v>
                </c:pt>
                <c:pt idx="1">
                  <c:v>27802.457</c:v>
                </c:pt>
                <c:pt idx="2">
                  <c:v>21905.13415</c:v>
                </c:pt>
                <c:pt idx="3">
                  <c:v>16007.8113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362383"/>
        <c:axId val="63719406"/>
      </c:lineChart>
      <c:catAx>
        <c:axId val="9236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19406"/>
        <c:crosses val="autoZero"/>
        <c:auto val="1"/>
        <c:lblAlgn val="ctr"/>
        <c:lblOffset val="100"/>
        <c:noMultiLvlLbl val="0"/>
      </c:catAx>
      <c:valAx>
        <c:axId val="63719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3623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Net Kâra Etki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SENARYO_DUYARLILIK!B13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SENARYO_DUYARLILIK!$A$14:$A$15</c:f>
              <c:strCache>
                <c:ptCount val="2"/>
                <c:pt idx="0">
                  <c:v>Komisyon Oranı +1 puan Etkisi</c:v>
                </c:pt>
                <c:pt idx="1">
                  <c:v>Satış Fiyatı −%5 Etkisi</c:v>
                </c:pt>
              </c:strCache>
            </c:strRef>
          </c:cat>
          <c:val>
            <c:numRef>
              <c:f>SENARYO_DUYARLILIK!$B$14:$B$15</c:f>
              <c:numCache>
                <c:formatCode>"₺ "#,##0;[RED]"(₺ "#,##0\);\-</c:formatCode>
                <c:ptCount val="2"/>
                <c:pt idx="0">
                  <c:v>1852.97</c:v>
                </c:pt>
                <c:pt idx="1">
                  <c:v>5897.32285</c:v>
                </c:pt>
              </c:numCache>
            </c:numRef>
          </c:val>
        </c:ser>
        <c:gapWidth val="150"/>
        <c:overlap val="0"/>
        <c:axId val="85190576"/>
        <c:axId val="65642621"/>
      </c:barChart>
      <c:catAx>
        <c:axId val="851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42621"/>
        <c:crosses val="autoZero"/>
        <c:auto val="1"/>
        <c:lblAlgn val="ctr"/>
        <c:lblOffset val="100"/>
        <c:noMultiLvlLbl val="0"/>
      </c:catAx>
      <c:valAx>
        <c:axId val="65642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905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8</xdr:col>
      <xdr:colOff>1170360</xdr:colOff>
      <xdr:row>23</xdr:row>
      <xdr:rowOff>22320</xdr:rowOff>
    </xdr:to>
    <xdr:graphicFrame>
      <xdr:nvGraphicFramePr>
        <xdr:cNvPr id="1" name="Chart 1"/>
        <xdr:cNvGraphicFramePr/>
      </xdr:nvGraphicFramePr>
      <xdr:xfrm>
        <a:off x="8317080" y="1827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39240</xdr:colOff>
      <xdr:row>23</xdr:row>
      <xdr:rowOff>22320</xdr:rowOff>
    </xdr:to>
    <xdr:graphicFrame>
      <xdr:nvGraphicFramePr>
        <xdr:cNvPr id="2" name="Chart 2"/>
        <xdr:cNvGraphicFramePr/>
      </xdr:nvGraphicFramePr>
      <xdr:xfrm>
        <a:off x="20541600" y="18270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8</xdr:col>
      <xdr:colOff>1170360</xdr:colOff>
      <xdr:row>37</xdr:row>
      <xdr:rowOff>1080</xdr:rowOff>
    </xdr:to>
    <xdr:graphicFrame>
      <xdr:nvGraphicFramePr>
        <xdr:cNvPr id="3" name="Chart 3"/>
        <xdr:cNvGraphicFramePr/>
      </xdr:nvGraphicFramePr>
      <xdr:xfrm>
        <a:off x="8317080" y="4473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20</xdr:row>
      <xdr:rowOff>0</xdr:rowOff>
    </xdr:from>
    <xdr:to>
      <xdr:col>27</xdr:col>
      <xdr:colOff>39240</xdr:colOff>
      <xdr:row>37</xdr:row>
      <xdr:rowOff>1080</xdr:rowOff>
    </xdr:to>
    <xdr:graphicFrame>
      <xdr:nvGraphicFramePr>
        <xdr:cNvPr id="4" name="Chart 4"/>
        <xdr:cNvGraphicFramePr/>
      </xdr:nvGraphicFramePr>
      <xdr:xfrm>
        <a:off x="20541600" y="44730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1170360</xdr:colOff>
      <xdr:row>50</xdr:row>
      <xdr:rowOff>1080</xdr:rowOff>
    </xdr:to>
    <xdr:graphicFrame>
      <xdr:nvGraphicFramePr>
        <xdr:cNvPr id="5" name="Chart 5"/>
        <xdr:cNvGraphicFramePr/>
      </xdr:nvGraphicFramePr>
      <xdr:xfrm>
        <a:off x="8317080" y="6949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33</xdr:row>
      <xdr:rowOff>0</xdr:rowOff>
    </xdr:from>
    <xdr:to>
      <xdr:col>27</xdr:col>
      <xdr:colOff>39240</xdr:colOff>
      <xdr:row>50</xdr:row>
      <xdr:rowOff>1080</xdr:rowOff>
    </xdr:to>
    <xdr:graphicFrame>
      <xdr:nvGraphicFramePr>
        <xdr:cNvPr id="6" name="Chart 6"/>
        <xdr:cNvGraphicFramePr/>
      </xdr:nvGraphicFramePr>
      <xdr:xfrm>
        <a:off x="20541600" y="6949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90360</xdr:colOff>
      <xdr:row>62</xdr:row>
      <xdr:rowOff>134280</xdr:rowOff>
    </xdr:to>
    <xdr:graphicFrame>
      <xdr:nvGraphicFramePr>
        <xdr:cNvPr id="7" name="Chart 7"/>
        <xdr:cNvGraphicFramePr/>
      </xdr:nvGraphicFramePr>
      <xdr:xfrm>
        <a:off x="8317080" y="9425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46</xdr:row>
      <xdr:rowOff>0</xdr:rowOff>
    </xdr:from>
    <xdr:to>
      <xdr:col>28</xdr:col>
      <xdr:colOff>507600</xdr:colOff>
      <xdr:row>62</xdr:row>
      <xdr:rowOff>134280</xdr:rowOff>
    </xdr:to>
    <xdr:graphicFrame>
      <xdr:nvGraphicFramePr>
        <xdr:cNvPr id="8" name="Chart 8"/>
        <xdr:cNvGraphicFramePr/>
      </xdr:nvGraphicFramePr>
      <xdr:xfrm>
        <a:off x="20541600" y="9425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0</xdr:colOff>
      <xdr:row>53</xdr:row>
      <xdr:rowOff>0</xdr:rowOff>
    </xdr:from>
    <xdr:to>
      <xdr:col>8</xdr:col>
      <xdr:colOff>90360</xdr:colOff>
      <xdr:row>70</xdr:row>
      <xdr:rowOff>1080</xdr:rowOff>
    </xdr:to>
    <xdr:graphicFrame>
      <xdr:nvGraphicFramePr>
        <xdr:cNvPr id="9" name="Chart 9"/>
        <xdr:cNvGraphicFramePr/>
      </xdr:nvGraphicFramePr>
      <xdr:xfrm>
        <a:off x="8317080" y="108165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11</xdr:col>
      <xdr:colOff>399240</xdr:colOff>
      <xdr:row>30</xdr:row>
      <xdr:rowOff>155520</xdr:rowOff>
    </xdr:to>
    <xdr:graphicFrame>
      <xdr:nvGraphicFramePr>
        <xdr:cNvPr id="10" name="Chart 1"/>
        <xdr:cNvGraphicFramePr/>
      </xdr:nvGraphicFramePr>
      <xdr:xfrm>
        <a:off x="7753320" y="3535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alem" displayName="tblKalem" ref="A5:Y1004" headerRowCount="1" totalsRowCount="0" totalsRowShown="0">
  <tableColumns count="25">
    <tableColumn id="1" name="Kalem Kodu"/>
    <tableColumn id="2" name="Ürün Adı"/>
    <tableColumn id="3" name="Birim Satış Fiyatı (TL)"/>
    <tableColumn id="4" name="Miktar (Adet)"/>
    <tableColumn id="5" name="Birim Ürün Maliyeti (TL)"/>
    <tableColumn id="6" name="Komisyon Oranı"/>
    <tableColumn id="7" name="Kargo/Operasyon Oranı"/>
    <tableColumn id="8" name="Reklam Oranı"/>
    <tableColumn id="9" name="İade Oranı"/>
    <tableColumn id="10" name="Birim Ek Gider (TL)"/>
    <tableColumn id="11" name="Toplam Satış (TL)">
      <calculatedColumnFormula>=IF(tblKalem[[#This Row],[Miktar (Adet)]]="",0,tblKalem[[#This Row],[Birim Satış Fiyatı (TL)]]*tblKalem[[#This Row],[Miktar (Adet)]])</calculatedColumnFormula>
    </tableColumn>
    <tableColumn id="12" name="Komisyon Tutarı (TL)">
      <calculatedColumnFormula>=IF(tblKalem[[#This Row],[Miktar (Adet)]]="",0,tblKalem[[#This Row],[Komisyon Oranı]]*tblKalem[[#This Row],[Toplam Satış (TL)]])</calculatedColumnFormula>
    </tableColumn>
    <tableColumn id="13" name="Kargo Tutarı (TL)">
      <calculatedColumnFormula>=IF(tblKalem[[#This Row],[Miktar (Adet)]]="",0,tblKalem[[#This Row],[Kargo/Operasyon Oranı]]*tblKalem[[#This Row],[Toplam Satış (TL)]])</calculatedColumnFormula>
    </tableColumn>
    <tableColumn id="14" name="Reklam Tutarı (TL)">
      <calculatedColumnFormula>=IF(tblKalem[[#This Row],[Miktar (Adet)]]="",0,tblKalem[[#This Row],[Reklam Oranı]]*tblKalem[[#This Row],[Toplam Satış (TL)]])</calculatedColumnFormula>
    </tableColumn>
    <tableColumn id="15" name="İade Maliyeti (TL)">
      <calculatedColumnFormula>=IF(tblKalem[[#This Row],[Miktar (Adet)]]="",0,tblKalem[[#This Row],[İade Oranı]]*tblKalem[[#This Row],[Toplam Satış (TL)]]*(1-tblKalem[[#This Row],[Komisyon Oranı]]))</calculatedColumnFormula>
    </tableColumn>
    <tableColumn id="16" name="Toplam Maliyet (TL)">
      <calculatedColumnFormula>=IF(tblKalem[[#This Row],[Miktar (Adet)]]="",0,tblKalem[[#This Row],[Birim Ürün Maliyeti (TL)]]*tblKalem[[#This Row],[Miktar (Adet)]]+tblKalem[[#This Row],[Komisyon Tutarı (TL)]]+tblKalem[[#This Row],[Kargo Tutarı (TL)]]+tblKalem[[#This Row],[Reklam Tutarı (TL)]]+tblKalem[[#This Row],[İade Maliyeti (TL)]]+tblKalem[[#This Row],[Birim Ek Gider (TL)]]*tblKalem[[#This Row],[Miktar (Adet)]])</calculatedColumnFormula>
    </tableColumn>
    <tableColumn id="17" name="NET KÂR (TL)">
      <calculatedColumnFormula>=IF(tblKalem[[#This Row],[Miktar (Adet)]]="",0,tblKalem[[#This Row],[Toplam Satış (TL)]]-tblKalem[[#This Row],[Toplam Maliyet (TL)]])</calculatedColumnFormula>
    </tableColumn>
    <tableColumn id="18" name="KÂR MARJI">
      <calculatedColumnFormula>=IF(tblKalem[[#This Row],[Toplam Satış (TL)]]=0,0,tblKalem[[#This Row],[NET KÂR (TL)]]/tblKalem[[#This Row],[Toplam Satış (TL)]])</calculatedColumnFormula>
    </tableColumn>
    <tableColumn id="19" name="Beklenen Hakediş (TL)">
      <calculatedColumnFormula>=IF(tblKalem[[#This Row],[Miktar (Adet)]]="",0,tblKalem[[#This Row],[Toplam Satış (TL)]]-tblKalem[[#This Row],[Komisyon Tutarı (TL)]]-tblKalem[[#This Row],[Kargo Tutarı (TL)]]-tblKalem[[#This Row],[Reklam Tutarı (TL)]])</calculatedColumnFormula>
    </tableColumn>
    <tableColumn id="20" name="Gerçek Hakediş (TL)"/>
    <tableColumn id="21" name="Hakediş Farkı (TL)">
      <calculatedColumnFormula>=IF(tblKalem[[#This Row],[Gerçek Hakediş (TL)]]="",0,MAX(0,tblKalem[[#This Row],[Beklenen Hakediş (TL)]]-tblKalem[[#This Row],[Gerçek Hakediş (TL)]]))</calculatedColumnFormula>
    </tableColumn>
    <tableColumn id="22" name="Fark Oranı">
      <calculatedColumnFormula>=IF(tblKalem[[#This Row],[Beklenen Hakediş (TL)]]=0,0,tblKalem[[#This Row],[Hakediş Farkı (TL)]]/tblKalem[[#This Row],[Beklenen Hakediş (TL)]])</calculatedColumnFormula>
    </tableColumn>
    <tableColumn id="23" name="Durum">
      <calculatedColumnFormula>=IF(tblKalem[[#This Row],[Miktar (Adet)]]="","",IF(tblKalem[[#This Row],[Gerçek Hakediş (TL)]]="","BEKLİYOR",IF(OR(tblKalem[[#This Row],[Hakediş Farkı (TL)]]=0,tblKalem[[#This Row],[Beklenen Hakediş (TL)]]=0),"DOĞRU",IF(AND(tblKalem[[#This Row],[Fark Oranı]]&gt;PazaryeriEksikHakedisEsik,tblKalem[[#This Row],[Hakediş Farkı (TL)]]&gt;PazaryeriEksikHakedisTutarEsik),"EKSİK HAKEDİŞ","DOĞRU"))))</calculatedColumnFormula>
    </tableColumn>
    <tableColumn id="24" name="Açıklama">
      <calculatedColumnFormula>=IF(tblKalem[[#This Row],[Ürün Adı]]="","",CONCATENATE("Ürün: ",tblKalem[[#This Row],[Ürün Adı]]," | Kâr: ",TEXT(tblKalem[[#This Row],[NET KÂR (TL)]],"₺ #,##0")," | Durum: ",tblKalem[[#This Row],[Durum]]))</calculatedColumnFormula>
    </tableColumn>
    <tableColumn id="25" name="Pazaryeri"/>
  </tableColumns>
</table>
</file>

<file path=xl/tables/table2.xml><?xml version="1.0" encoding="utf-8"?>
<table xmlns="http://schemas.openxmlformats.org/spreadsheetml/2006/main" id="2" name="tblOrnekKalem" displayName="tblOrnekKalem" ref="A5:N1004" headerRowCount="1" totalsRowCount="0" totalsRowShown="0">
  <tableColumns count="14">
    <tableColumn id="1" name="Kalem Kodu"/>
    <tableColumn id="2" name="Ürün Adı"/>
    <tableColumn id="3" name="Pazaryeri"/>
    <tableColumn id="4" name="Birim Satış Fiyatı (TL)"/>
    <tableColumn id="5" name="Miktar (Adet)"/>
    <tableColumn id="6" name="Birim Ürün Maliyeti (TL)"/>
    <tableColumn id="7" name="Komisyon Oranı"/>
    <tableColumn id="8" name="Kargo/Operasyon Oranı"/>
    <tableColumn id="9" name="Reklam Oranı"/>
    <tableColumn id="10" name="İade Oranı"/>
    <tableColumn id="11" name="Birim Ek Gider (TL)"/>
    <tableColumn id="12" name="Beklenen Hakediş (TL)">
      <calculatedColumnFormula>=IF(tblOrnekKalem[[#This Row],[Miktar (Adet)]]="",0,tblOrnekKalem[[#This Row],[Birim Satış Fiyatı (TL)]]*tblOrnekKalem[[#This Row],[Miktar (Adet)]]*(1-tblOrnekKalem[[#This Row],[Komisyon Oranı]]-tblOrnekKalem[[#This Row],[Kargo/Operasyon Oranı]]-tblOrnekKalem[[#This Row],[Reklam Oranı]]))</calculatedColumnFormula>
    </tableColumn>
    <tableColumn id="13" name="NET KÂR (TL)">
      <calculatedColumnFormula>=IF(tblOrnekKalem[[#This Row],[Miktar (Adet)]]="",0,tblOrnekKalem[[#This Row],[Birim Satış Fiyatı (TL)]]*tblOrnekKalem[[#This Row],[Miktar (Adet)]]-(tblOrnekKalem[[#This Row],[Birim Ürün Maliyeti (TL)]]*tblOrnekKalem[[#This Row],[Miktar (Adet)]]+tblOrnekKalem[[#This Row],[Komisyon Oranı]]*tblOrnekKalem[[#This Row],[Birim Satış Fiyatı (TL)]]*tblOrnekKalem[[#This Row],[Miktar (Adet)]]+tblOrnekKalem[[#This Row],[Kargo/Operasyon Oranı]]*tblOrnekKalem[[#This Row],[Birim Satış Fiyatı (TL)]]*tblOrnekKalem[[#This Row],[Miktar (Adet)]]+tblOrnekKalem[[#This Row],[Reklam Oranı]]*tblOrnekKalem[[#This Row],[Birim Satış Fiyatı (TL)]]*tblOrnekKalem[[#This Row],[Miktar (Adet)]]+tblOrnekKalem[[#This Row],[İade Oranı]]*tblOrnekKalem[[#This Row],[Birim Satış Fiyatı (TL)]]*tblOrnekKalem[[#This Row],[Miktar (Adet)]]*(1-tblOrnekKalem[[#This Row],[Komisyon Oranı]])+tblOrnekKalem[[#This Row],[Birim Ek Gider (TL)]]*tblOrnekKalem[[#This Row],[Miktar (Adet)]]))</calculatedColumnFormula>
    </tableColumn>
    <tableColumn id="14" name="Açıklama">
      <calculatedColumnFormula>=IF(tblOrnekKalem[[#This Row],[Ürün Adı]]="","",CONCATENATE("Örnek kalem: ",tblOrnekKalem[[#This Row],[Ürün Adı]]))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6" customFormat="false" ht="15" hidden="false" customHeight="false" outlineLevel="0" collapsed="false">
      <c r="A16" s="4" t="s">
        <v>30</v>
      </c>
    </row>
    <row r="17" customFormat="false" ht="31.5" hidden="false" customHeight="true" outlineLevel="0" collapsed="false">
      <c r="A17" s="5" t="s">
        <v>31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customFormat="false" ht="31.5" hidden="false" customHeight="true" outlineLevel="0" collapsed="false">
      <c r="A18" s="5" t="s">
        <v>32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customFormat="false" ht="31.5" hidden="false" customHeight="true" outlineLevel="0" collapsed="false">
      <c r="A19" s="5" t="s">
        <v>33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customFormat="false" ht="31.5" hidden="false" customHeight="true" outlineLevel="0" collapsed="false">
      <c r="A20" s="5" t="s">
        <v>34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2" customFormat="false" ht="25.35" hidden="false" customHeight="false" outlineLevel="0" collapsed="false">
      <c r="A22" s="12" t="s">
        <v>35</v>
      </c>
    </row>
  </sheetData>
  <sheetProtection sheet="true" password="cc3d" objects="true" scenarios="true" deleteColumns="false" deleteRows="false"/>
  <mergeCells count="9">
    <mergeCell ref="A1:AD1"/>
    <mergeCell ref="B5:T5"/>
    <mergeCell ref="B6:T6"/>
    <mergeCell ref="B7:T7"/>
    <mergeCell ref="B8:T8"/>
    <mergeCell ref="A17:AD17"/>
    <mergeCell ref="A18:AD18"/>
    <mergeCell ref="A19:AD19"/>
    <mergeCell ref="A20:A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5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10"/>
    <col collapsed="false" customWidth="true" hidden="false" outlineLevel="0" max="20" min="19" style="0" width="17"/>
    <col collapsed="false" customWidth="true" hidden="false" outlineLevel="0" max="21" min="21" style="0" width="15"/>
    <col collapsed="false" customWidth="true" hidden="false" outlineLevel="0" max="22" min="22" style="0" width="10"/>
    <col collapsed="false" customWidth="true" hidden="false" outlineLevel="0" max="23" min="23" style="0" width="16"/>
    <col collapsed="false" customWidth="true" hidden="false" outlineLevel="0" max="24" min="24" style="0" width="40"/>
    <col collapsed="false" customWidth="true" hidden="false" outlineLevel="0" max="25" min="25" style="0" width="15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3" t="s">
        <v>37</v>
      </c>
    </row>
    <row r="4" customFormat="false" ht="176.1" hidden="false" customHeight="false" outlineLevel="0" collapsed="false">
      <c r="A4" s="14" t="s">
        <v>38</v>
      </c>
    </row>
    <row r="5" customFormat="false" ht="30" hidden="false" customHeight="true" outlineLevel="0" collapsed="false">
      <c r="A5" s="15" t="s">
        <v>39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  <c r="I5" s="15" t="s">
        <v>47</v>
      </c>
      <c r="J5" s="15" t="s">
        <v>48</v>
      </c>
      <c r="K5" s="15" t="s">
        <v>49</v>
      </c>
      <c r="L5" s="15" t="s">
        <v>50</v>
      </c>
      <c r="M5" s="15" t="s">
        <v>51</v>
      </c>
      <c r="N5" s="15" t="s">
        <v>52</v>
      </c>
      <c r="O5" s="15" t="s">
        <v>53</v>
      </c>
      <c r="P5" s="15" t="s">
        <v>54</v>
      </c>
      <c r="Q5" s="15" t="s">
        <v>55</v>
      </c>
      <c r="R5" s="15" t="s">
        <v>56</v>
      </c>
      <c r="S5" s="15" t="s">
        <v>57</v>
      </c>
      <c r="T5" s="15" t="s">
        <v>58</v>
      </c>
      <c r="U5" s="15" t="s">
        <v>59</v>
      </c>
      <c r="V5" s="15" t="s">
        <v>60</v>
      </c>
      <c r="W5" s="15" t="s">
        <v>61</v>
      </c>
      <c r="X5" s="15" t="s">
        <v>62</v>
      </c>
      <c r="Y5" s="15" t="s">
        <v>63</v>
      </c>
    </row>
    <row r="6" customFormat="false" ht="15" hidden="false" customHeight="false" outlineLevel="0" collapsed="false">
      <c r="A6" s="16" t="s">
        <v>64</v>
      </c>
      <c r="B6" s="16" t="s">
        <v>65</v>
      </c>
      <c r="C6" s="17" t="n">
        <v>899</v>
      </c>
      <c r="D6" s="18" t="n">
        <v>25</v>
      </c>
      <c r="E6" s="17" t="n">
        <v>420</v>
      </c>
      <c r="F6" s="19" t="n">
        <v>0.18</v>
      </c>
      <c r="G6" s="19" t="n">
        <v>0.04</v>
      </c>
      <c r="H6" s="19" t="n">
        <v>0.06</v>
      </c>
      <c r="I6" s="19" t="n">
        <v>0.05</v>
      </c>
      <c r="J6" s="17" t="n">
        <v>12</v>
      </c>
      <c r="K6" s="20" t="n">
        <f aca="false">IF($D6="",0,$C6*$D6)</f>
        <v>22475</v>
      </c>
      <c r="L6" s="20" t="n">
        <f aca="false">IF($D6="",0,$F6*$K6)</f>
        <v>4045.5</v>
      </c>
      <c r="M6" s="20" t="n">
        <f aca="false">IF($D6="",0,$G6*$K6)</f>
        <v>899</v>
      </c>
      <c r="N6" s="20" t="n">
        <f aca="false">IF($D6="",0,$H6*$K6)</f>
        <v>1348.5</v>
      </c>
      <c r="O6" s="20" t="n">
        <f aca="false">IF($D6="",0,$I6*$K6*(1-$F6))</f>
        <v>921.475</v>
      </c>
      <c r="P6" s="20" t="n">
        <f aca="false">IF($D6="",0,$E6*$D6+$L6+$M6+$N6+$O6+$J6*$D6)</f>
        <v>18014.475</v>
      </c>
      <c r="Q6" s="20" t="n">
        <f aca="false">IF($D6="",0,$K6-$P6)</f>
        <v>4460.525</v>
      </c>
      <c r="R6" s="21" t="n">
        <f aca="false">IF($K6=0,0,$Q6/$K6)</f>
        <v>0.198466073414906</v>
      </c>
      <c r="S6" s="20" t="n">
        <f aca="false">IF($D6="",0,$K6-$L6-$M6-$N6)</f>
        <v>16182</v>
      </c>
      <c r="T6" s="22"/>
      <c r="U6" s="20" t="n">
        <f aca="false">IF($T6="",0,MAX(0,$S6-$T6))</f>
        <v>0</v>
      </c>
      <c r="V6" s="21" t="n">
        <f aca="false">IF($S6=0,0,$U6/$S6)</f>
        <v>0</v>
      </c>
      <c r="W6" s="23" t="str">
        <f aca="false">IF($D6="","",IF($T6="","BEKLİYOR",IF(OR($U6=0,$S6=0),"DOĞRU",IF(AND($V6&gt;PazaryeriEksikHakedisEsik,$U6&gt;PazaryeriEksikHakedisTutarEsik),"EKSİK HAKEDİŞ","DOĞRU"))))</f>
        <v>BEKLİYOR</v>
      </c>
      <c r="X6" s="23" t="str">
        <f aca="false">IF($B6="","",CONCATENATE("Ürün: ",$B6," | Kâr: ",TEXT($Q6,"₺ #,##0")," | Durum: ",$W6))</f>
        <v>Ürün: Kulaklık Bluetooth | Kâr: ₺ 4460,525 | Durum: BEKLİYOR</v>
      </c>
      <c r="Y6" s="16" t="s">
        <v>66</v>
      </c>
    </row>
    <row r="7" customFormat="false" ht="15" hidden="false" customHeight="false" outlineLevel="0" collapsed="false">
      <c r="A7" s="16" t="s">
        <v>67</v>
      </c>
      <c r="B7" s="16" t="s">
        <v>68</v>
      </c>
      <c r="C7" s="17" t="n">
        <v>549</v>
      </c>
      <c r="D7" s="18" t="n">
        <v>60</v>
      </c>
      <c r="E7" s="17" t="n">
        <v>260</v>
      </c>
      <c r="F7" s="19" t="n">
        <v>0.22</v>
      </c>
      <c r="G7" s="19" t="n">
        <v>0.05</v>
      </c>
      <c r="H7" s="19" t="n">
        <v>0.05</v>
      </c>
      <c r="I7" s="19" t="n">
        <v>0.04</v>
      </c>
      <c r="J7" s="17" t="n">
        <v>9</v>
      </c>
      <c r="K7" s="20" t="n">
        <f aca="false">IF($D7="",0,$C7*$D7)</f>
        <v>32940</v>
      </c>
      <c r="L7" s="20" t="n">
        <f aca="false">IF($D7="",0,$F7*$K7)</f>
        <v>7246.8</v>
      </c>
      <c r="M7" s="20" t="n">
        <f aca="false">IF($D7="",0,$G7*$K7)</f>
        <v>1647</v>
      </c>
      <c r="N7" s="20" t="n">
        <f aca="false">IF($D7="",0,$H7*$K7)</f>
        <v>1647</v>
      </c>
      <c r="O7" s="20" t="n">
        <f aca="false">IF($D7="",0,$I7*$K7*(1-$F7))</f>
        <v>1027.728</v>
      </c>
      <c r="P7" s="20" t="n">
        <f aca="false">IF($D7="",0,$E7*$D7+$L7+$M7+$N7+$O7+$J7*$D7)</f>
        <v>27708.528</v>
      </c>
      <c r="Q7" s="20" t="n">
        <f aca="false">IF($D7="",0,$K7-$P7)</f>
        <v>5231.472</v>
      </c>
      <c r="R7" s="21" t="n">
        <f aca="false">IF($K7=0,0,$Q7/$K7)</f>
        <v>0.158818214936248</v>
      </c>
      <c r="S7" s="20" t="n">
        <f aca="false">IF($D7="",0,$K7-$L7-$M7-$N7)</f>
        <v>22399.2</v>
      </c>
      <c r="T7" s="17" t="n">
        <v>16500</v>
      </c>
      <c r="U7" s="20" t="n">
        <f aca="false">IF($T7="",0,MAX(0,$S7-$T7))</f>
        <v>5899.2</v>
      </c>
      <c r="V7" s="21" t="n">
        <f aca="false">IF($S7=0,0,$U7/$S7)</f>
        <v>0.263366548805315</v>
      </c>
      <c r="W7" s="23" t="str">
        <f aca="false">IF($D7="","",IF($T7="","BEKLİYOR",IF(OR($U7=0,$S7=0),"DOĞRU",IF(AND($V7&gt;PazaryeriEksikHakedisEsik,$U7&gt;PazaryeriEksikHakedisTutarEsik),"EKSİK HAKEDİŞ","DOĞRU"))))</f>
        <v>EKSİK HAKEDİŞ</v>
      </c>
      <c r="X7" s="23" t="str">
        <f aca="false">IF($B7="","",CONCATENATE("Ürün: ",$B7," | Kâr: ",TEXT($Q7,"₺ #,##0")," | Durum: ",$W7))</f>
        <v>Ürün: Powerbank 20.000mAh | Kâr: ₺ 5231,472 | Durum: EKSİK HAKEDİŞ</v>
      </c>
      <c r="Y7" s="16" t="s">
        <v>69</v>
      </c>
    </row>
    <row r="8" customFormat="false" ht="15" hidden="false" customHeight="false" outlineLevel="0" collapsed="false">
      <c r="A8" s="16" t="s">
        <v>70</v>
      </c>
      <c r="B8" s="16" t="s">
        <v>71</v>
      </c>
      <c r="C8" s="17" t="n">
        <v>1499</v>
      </c>
      <c r="D8" s="18" t="n">
        <v>18</v>
      </c>
      <c r="E8" s="17" t="n">
        <v>820</v>
      </c>
      <c r="F8" s="19" t="n">
        <v>0.2</v>
      </c>
      <c r="G8" s="19" t="n">
        <v>0.04</v>
      </c>
      <c r="H8" s="19" t="n">
        <v>0.08</v>
      </c>
      <c r="I8" s="19" t="n">
        <v>0.06</v>
      </c>
      <c r="J8" s="17" t="n">
        <v>18</v>
      </c>
      <c r="K8" s="20" t="n">
        <f aca="false">IF($D8="",0,$C8*$D8)</f>
        <v>26982</v>
      </c>
      <c r="L8" s="20" t="n">
        <f aca="false">IF($D8="",0,$F8*$K8)</f>
        <v>5396.4</v>
      </c>
      <c r="M8" s="20" t="n">
        <f aca="false">IF($D8="",0,$G8*$K8)</f>
        <v>1079.28</v>
      </c>
      <c r="N8" s="20" t="n">
        <f aca="false">IF($D8="",0,$H8*$K8)</f>
        <v>2158.56</v>
      </c>
      <c r="O8" s="20" t="n">
        <f aca="false">IF($D8="",0,$I8*$K8*(1-$F8))</f>
        <v>1295.136</v>
      </c>
      <c r="P8" s="20" t="n">
        <f aca="false">IF($D8="",0,$E8*$D8+$L8+$M8+$N8+$O8+$J8*$D8)</f>
        <v>25013.376</v>
      </c>
      <c r="Q8" s="20" t="n">
        <f aca="false">IF($D8="",0,$K8-$P8)</f>
        <v>1968.624</v>
      </c>
      <c r="R8" s="21" t="n">
        <f aca="false">IF($K8=0,0,$Q8/$K8)</f>
        <v>0.0729606404269513</v>
      </c>
      <c r="S8" s="20" t="n">
        <f aca="false">IF($D8="",0,$K8-$L8-$M8-$N8)</f>
        <v>18347.76</v>
      </c>
      <c r="T8" s="17" t="n">
        <v>19600</v>
      </c>
      <c r="U8" s="20" t="n">
        <f aca="false">IF($T8="",0,MAX(0,$S8-$T8))</f>
        <v>0</v>
      </c>
      <c r="V8" s="21" t="n">
        <f aca="false">IF($S8=0,0,$U8/$S8)</f>
        <v>0</v>
      </c>
      <c r="W8" s="23" t="str">
        <f aca="false">IF($D8="","",IF($T8="","BEKLİYOR",IF(OR($U8=0,$S8=0),"DOĞRU",IF(AND($V8&gt;PazaryeriEksikHakedisEsik,$U8&gt;PazaryeriEksikHakedisTutarEsik),"EKSİK HAKEDİŞ","DOĞRU"))))</f>
        <v>DOĞRU</v>
      </c>
      <c r="X8" s="23" t="str">
        <f aca="false">IF($B8="","",CONCATENATE("Ürün: ",$B8," | Kâr: ",TEXT($Q8,"₺ #,##0")," | Durum: ",$W8))</f>
        <v>Ürün: Akıllı Saat | Kâr: ₺ 1968,624 | Durum: DOĞRU</v>
      </c>
      <c r="Y8" s="16" t="s">
        <v>66</v>
      </c>
    </row>
    <row r="9" customFormat="false" ht="15" hidden="false" customHeight="false" outlineLevel="0" collapsed="false">
      <c r="A9" s="16" t="s">
        <v>72</v>
      </c>
      <c r="B9" s="16" t="s">
        <v>73</v>
      </c>
      <c r="C9" s="17" t="n">
        <v>349</v>
      </c>
      <c r="D9" s="18" t="n">
        <v>120</v>
      </c>
      <c r="E9" s="17" t="n">
        <v>160</v>
      </c>
      <c r="F9" s="19" t="n">
        <v>0.24</v>
      </c>
      <c r="G9" s="19" t="n">
        <v>0.06</v>
      </c>
      <c r="H9" s="19" t="n">
        <v>0.07</v>
      </c>
      <c r="I9" s="19" t="n">
        <v>0.03</v>
      </c>
      <c r="J9" s="17" t="n">
        <v>6</v>
      </c>
      <c r="K9" s="20" t="n">
        <f aca="false">IF($D9="",0,$C9*$D9)</f>
        <v>41880</v>
      </c>
      <c r="L9" s="20" t="n">
        <f aca="false">IF($D9="",0,$F9*$K9)</f>
        <v>10051.2</v>
      </c>
      <c r="M9" s="20" t="n">
        <f aca="false">IF($D9="",0,$G9*$K9)</f>
        <v>2512.8</v>
      </c>
      <c r="N9" s="20" t="n">
        <f aca="false">IF($D9="",0,$H9*$K9)</f>
        <v>2931.6</v>
      </c>
      <c r="O9" s="20" t="n">
        <f aca="false">IF($D9="",0,$I9*$K9*(1-$F9))</f>
        <v>954.864</v>
      </c>
      <c r="P9" s="20" t="n">
        <f aca="false">IF($D9="",0,$E9*$D9+$L9+$M9+$N9+$O9+$J9*$D9)</f>
        <v>36370.464</v>
      </c>
      <c r="Q9" s="20" t="n">
        <f aca="false">IF($D9="",0,$K9-$P9)</f>
        <v>5509.536</v>
      </c>
      <c r="R9" s="21" t="n">
        <f aca="false">IF($K9=0,0,$Q9/$K9)</f>
        <v>0.131555300859599</v>
      </c>
      <c r="S9" s="20" t="n">
        <f aca="false">IF($D9="",0,$K9-$L9-$M9-$N9)</f>
        <v>26384.4</v>
      </c>
      <c r="T9" s="22"/>
      <c r="U9" s="20" t="n">
        <f aca="false">IF($T9="",0,MAX(0,$S9-$T9))</f>
        <v>0</v>
      </c>
      <c r="V9" s="21" t="n">
        <f aca="false">IF($S9=0,0,$U9/$S9)</f>
        <v>0</v>
      </c>
      <c r="W9" s="23" t="str">
        <f aca="false">IF($D9="","",IF($T9="","BEKLİYOR",IF(OR($U9=0,$S9=0),"DOĞRU",IF(AND($V9&gt;PazaryeriEksikHakedisEsik,$U9&gt;PazaryeriEksikHakedisTutarEsik),"EKSİK HAKEDİŞ","DOĞRU"))))</f>
        <v>BEKLİYOR</v>
      </c>
      <c r="X9" s="23" t="str">
        <f aca="false">IF($B9="","",CONCATENATE("Ürün: ",$B9," | Kâr: ",TEXT($Q9,"₺ #,##0")," | Durum: ",$W9))</f>
        <v>Ürün: Şarj Aleti 65W | Kâr: ₺ 5509,536 | Durum: BEKLİYOR</v>
      </c>
      <c r="Y9" s="16" t="s">
        <v>74</v>
      </c>
    </row>
    <row r="10" customFormat="false" ht="15" hidden="false" customHeight="false" outlineLevel="0" collapsed="false">
      <c r="A10" s="16" t="s">
        <v>75</v>
      </c>
      <c r="B10" s="16" t="s">
        <v>76</v>
      </c>
      <c r="C10" s="17" t="n">
        <v>129</v>
      </c>
      <c r="D10" s="18" t="n">
        <v>300</v>
      </c>
      <c r="E10" s="17" t="n">
        <v>55</v>
      </c>
      <c r="F10" s="19" t="n">
        <v>0.15</v>
      </c>
      <c r="G10" s="19" t="n">
        <v>0.08</v>
      </c>
      <c r="H10" s="19" t="n">
        <v>0.04</v>
      </c>
      <c r="I10" s="19" t="n">
        <v>0.06</v>
      </c>
      <c r="J10" s="17" t="n">
        <v>3</v>
      </c>
      <c r="K10" s="20" t="n">
        <f aca="false">IF($D10="",0,$C10*$D10)</f>
        <v>38700</v>
      </c>
      <c r="L10" s="20" t="n">
        <f aca="false">IF($D10="",0,$F10*$K10)</f>
        <v>5805</v>
      </c>
      <c r="M10" s="20" t="n">
        <f aca="false">IF($D10="",0,$G10*$K10)</f>
        <v>3096</v>
      </c>
      <c r="N10" s="20" t="n">
        <f aca="false">IF($D10="",0,$H10*$K10)</f>
        <v>1548</v>
      </c>
      <c r="O10" s="20" t="n">
        <f aca="false">IF($D10="",0,$I10*$K10*(1-$F10))</f>
        <v>1973.7</v>
      </c>
      <c r="P10" s="20" t="n">
        <f aca="false">IF($D10="",0,$E10*$D10+$L10+$M10+$N10+$O10+$J10*$D10)</f>
        <v>29822.7</v>
      </c>
      <c r="Q10" s="20" t="n">
        <f aca="false">IF($D10="",0,$K10-$P10)</f>
        <v>8877.3</v>
      </c>
      <c r="R10" s="21" t="n">
        <f aca="false">IF($K10=0,0,$Q10/$K10)</f>
        <v>0.229387596899225</v>
      </c>
      <c r="S10" s="20" t="n">
        <f aca="false">IF($D10="",0,$K10-$L10-$M10-$N10)</f>
        <v>28251</v>
      </c>
      <c r="T10" s="17" t="n">
        <v>28300</v>
      </c>
      <c r="U10" s="20" t="n">
        <f aca="false">IF($T10="",0,MAX(0,$S10-$T10))</f>
        <v>0</v>
      </c>
      <c r="V10" s="21" t="n">
        <f aca="false">IF($S10=0,0,$U10/$S10)</f>
        <v>0</v>
      </c>
      <c r="W10" s="23" t="str">
        <f aca="false">IF($D10="","",IF($T10="","BEKLİYOR",IF(OR($U10=0,$S10=0),"DOĞRU",IF(AND($V10&gt;PazaryeriEksikHakedisEsik,$U10&gt;PazaryeriEksikHakedisTutarEsik),"EKSİK HAKEDİŞ","DOĞRU"))))</f>
        <v>DOĞRU</v>
      </c>
      <c r="X10" s="23" t="str">
        <f aca="false">IF($B10="","",CONCATENATE("Ürün: ",$B10," | Kâr: ",TEXT($Q10,"₺ #,##0")," | Durum: ",$W10))</f>
        <v>Ürün: Kablo USB-C | Kâr: ₺ 8877,300 | Durum: DOĞRU</v>
      </c>
      <c r="Y10" s="16" t="s">
        <v>77</v>
      </c>
    </row>
    <row r="11" customFormat="false" ht="15" hidden="false" customHeight="false" outlineLevel="0" collapsed="false">
      <c r="A11" s="16" t="s">
        <v>78</v>
      </c>
      <c r="B11" s="16" t="s">
        <v>79</v>
      </c>
      <c r="C11" s="17" t="n">
        <v>279</v>
      </c>
      <c r="D11" s="18" t="n">
        <v>80</v>
      </c>
      <c r="E11" s="17" t="n">
        <v>130</v>
      </c>
      <c r="F11" s="19" t="n">
        <v>0.25</v>
      </c>
      <c r="G11" s="19" t="n">
        <v>0.06</v>
      </c>
      <c r="H11" s="19" t="n">
        <v>0.09</v>
      </c>
      <c r="I11" s="19" t="n">
        <v>0.05</v>
      </c>
      <c r="J11" s="17" t="n">
        <v>5</v>
      </c>
      <c r="K11" s="20" t="n">
        <f aca="false">IF($D11="",0,$C11*$D11)</f>
        <v>22320</v>
      </c>
      <c r="L11" s="20" t="n">
        <f aca="false">IF($D11="",0,$F11*$K11)</f>
        <v>5580</v>
      </c>
      <c r="M11" s="20" t="n">
        <f aca="false">IF($D11="",0,$G11*$K11)</f>
        <v>1339.2</v>
      </c>
      <c r="N11" s="20" t="n">
        <f aca="false">IF($D11="",0,$H11*$K11)</f>
        <v>2008.8</v>
      </c>
      <c r="O11" s="20" t="n">
        <f aca="false">IF($D11="",0,$I11*$K11*(1-$F11))</f>
        <v>837</v>
      </c>
      <c r="P11" s="20" t="n">
        <f aca="false">IF($D11="",0,$E11*$D11+$L11+$M11+$N11+$O11+$J11*$D11)</f>
        <v>20565</v>
      </c>
      <c r="Q11" s="20" t="n">
        <f aca="false">IF($D11="",0,$K11-$P11)</f>
        <v>1755</v>
      </c>
      <c r="R11" s="21" t="n">
        <f aca="false">IF($K11=0,0,$Q11/$K11)</f>
        <v>0.0786290322580645</v>
      </c>
      <c r="S11" s="20" t="n">
        <f aca="false">IF($D11="",0,$K11-$L11-$M11-$N11)</f>
        <v>13392</v>
      </c>
      <c r="T11" s="17" t="n">
        <v>12750</v>
      </c>
      <c r="U11" s="20" t="n">
        <f aca="false">IF($T11="",0,MAX(0,$S11-$T11))</f>
        <v>642</v>
      </c>
      <c r="V11" s="21" t="n">
        <f aca="false">IF($S11=0,0,$U11/$S11)</f>
        <v>0.0479390681003584</v>
      </c>
      <c r="W11" s="23" t="str">
        <f aca="false">IF($D11="","",IF($T11="","BEKLİYOR",IF(OR($U11=0,$S11=0),"DOĞRU",IF(AND($V11&gt;PazaryeriEksikHakedisEsik,$U11&gt;PazaryeriEksikHakedisTutarEsik),"EKSİK HAKEDİŞ","DOĞRU"))))</f>
        <v>EKSİK HAKEDİŞ</v>
      </c>
      <c r="X11" s="23" t="str">
        <f aca="false">IF($B11="","",CONCATENATE("Ürün: ",$B11," | Kâr: ",TEXT($Q11,"₺ #,##0")," | Durum: ",$W11))</f>
        <v>Ürün: Mouse Kablosuz | Kâr: ₺ 1755,000 | Durum: EKSİK HAKEDİŞ</v>
      </c>
      <c r="Y11" s="16" t="s">
        <v>74</v>
      </c>
    </row>
    <row r="12" customFormat="false" ht="15" hidden="false" customHeight="false" outlineLevel="0" collapsed="false">
      <c r="A12" s="24"/>
      <c r="B12" s="24"/>
      <c r="C12" s="22"/>
      <c r="D12" s="25"/>
      <c r="E12" s="22"/>
      <c r="F12" s="26"/>
      <c r="G12" s="26"/>
      <c r="H12" s="26"/>
      <c r="I12" s="26"/>
      <c r="J12" s="22"/>
      <c r="K12" s="20" t="n">
        <f aca="false">IF($D12="",0,$C12*$D12)</f>
        <v>0</v>
      </c>
      <c r="L12" s="20" t="n">
        <f aca="false">IF($D12="",0,$F12*$K12)</f>
        <v>0</v>
      </c>
      <c r="M12" s="20" t="n">
        <f aca="false">IF($D12="",0,$G12*$K12)</f>
        <v>0</v>
      </c>
      <c r="N12" s="20" t="n">
        <f aca="false">IF($D12="",0,$H12*$K12)</f>
        <v>0</v>
      </c>
      <c r="O12" s="20" t="n">
        <f aca="false">IF($D12="",0,$I12*$K12*(1-$F12))</f>
        <v>0</v>
      </c>
      <c r="P12" s="20" t="n">
        <f aca="false">IF($D12="",0,$E12*$D12+$L12+$M12+$N12+$O12+$J12*$D12)</f>
        <v>0</v>
      </c>
      <c r="Q12" s="20" t="n">
        <f aca="false">IF($D12="",0,$K12-$P12)</f>
        <v>0</v>
      </c>
      <c r="R12" s="21" t="n">
        <f aca="false">IF($K12=0,0,$Q12/$K12)</f>
        <v>0</v>
      </c>
      <c r="S12" s="20" t="n">
        <f aca="false">IF($D12="",0,$K12-$L12-$M12-$N12)</f>
        <v>0</v>
      </c>
      <c r="T12" s="22"/>
      <c r="U12" s="20" t="n">
        <f aca="false">IF($T12="",0,MAX(0,$S12-$T12))</f>
        <v>0</v>
      </c>
      <c r="V12" s="21" t="n">
        <f aca="false">IF($S12=0,0,$U12/$S12)</f>
        <v>0</v>
      </c>
      <c r="W12" s="23" t="str">
        <f aca="false">IF($D12="","",IF($T12="","BEKLİYOR",IF(OR($U12=0,$S12=0),"DOĞRU",IF(AND($V12&gt;PazaryeriEksikHakedisEsik,$U12&gt;PazaryeriEksikHakedisTutarEsik),"EKSİK HAKEDİŞ","DOĞRU"))))</f>
        <v/>
      </c>
      <c r="X12" s="23" t="str">
        <f aca="false">IF($B12="","",CONCATENATE("Ürün: ",$B12," | Kâr: ",TEXT($Q12,"₺ #,##0")," | Durum: ",$W12))</f>
        <v/>
      </c>
      <c r="Y12" s="24"/>
    </row>
    <row r="13" customFormat="false" ht="15" hidden="false" customHeight="false" outlineLevel="0" collapsed="false">
      <c r="A13" s="24"/>
      <c r="B13" s="24"/>
      <c r="C13" s="22"/>
      <c r="D13" s="25"/>
      <c r="E13" s="22"/>
      <c r="F13" s="26"/>
      <c r="G13" s="26"/>
      <c r="H13" s="26"/>
      <c r="I13" s="26"/>
      <c r="J13" s="22"/>
      <c r="K13" s="20" t="n">
        <f aca="false">IF($D13="",0,$C13*$D13)</f>
        <v>0</v>
      </c>
      <c r="L13" s="20" t="n">
        <f aca="false">IF($D13="",0,$F13*$K13)</f>
        <v>0</v>
      </c>
      <c r="M13" s="20" t="n">
        <f aca="false">IF($D13="",0,$G13*$K13)</f>
        <v>0</v>
      </c>
      <c r="N13" s="20" t="n">
        <f aca="false">IF($D13="",0,$H13*$K13)</f>
        <v>0</v>
      </c>
      <c r="O13" s="20" t="n">
        <f aca="false">IF($D13="",0,$I13*$K13*(1-$F13))</f>
        <v>0</v>
      </c>
      <c r="P13" s="20" t="n">
        <f aca="false">IF($D13="",0,$E13*$D13+$L13+$M13+$N13+$O13+$J13*$D13)</f>
        <v>0</v>
      </c>
      <c r="Q13" s="20" t="n">
        <f aca="false">IF($D13="",0,$K13-$P13)</f>
        <v>0</v>
      </c>
      <c r="R13" s="21" t="n">
        <f aca="false">IF($K13=0,0,$Q13/$K13)</f>
        <v>0</v>
      </c>
      <c r="S13" s="20" t="n">
        <f aca="false">IF($D13="",0,$K13-$L13-$M13-$N13)</f>
        <v>0</v>
      </c>
      <c r="T13" s="22"/>
      <c r="U13" s="20" t="n">
        <f aca="false">IF($T13="",0,MAX(0,$S13-$T13))</f>
        <v>0</v>
      </c>
      <c r="V13" s="21" t="n">
        <f aca="false">IF($S13=0,0,$U13/$S13)</f>
        <v>0</v>
      </c>
      <c r="W13" s="23" t="str">
        <f aca="false">IF($D13="","",IF($T13="","BEKLİYOR",IF(OR($U13=0,$S13=0),"DOĞRU",IF(AND($V13&gt;PazaryeriEksikHakedisEsik,$U13&gt;PazaryeriEksikHakedisTutarEsik),"EKSİK HAKEDİŞ","DOĞRU"))))</f>
        <v/>
      </c>
      <c r="X13" s="23" t="str">
        <f aca="false">IF($B13="","",CONCATENATE("Ürün: ",$B13," | Kâr: ",TEXT($Q13,"₺ #,##0")," | Durum: ",$W13))</f>
        <v/>
      </c>
      <c r="Y13" s="24"/>
    </row>
    <row r="14" customFormat="false" ht="15" hidden="false" customHeight="false" outlineLevel="0" collapsed="false">
      <c r="A14" s="24"/>
      <c r="B14" s="24"/>
      <c r="C14" s="22"/>
      <c r="D14" s="25"/>
      <c r="E14" s="22"/>
      <c r="F14" s="26"/>
      <c r="G14" s="26"/>
      <c r="H14" s="26"/>
      <c r="I14" s="26"/>
      <c r="J14" s="22"/>
      <c r="K14" s="20" t="n">
        <f aca="false">IF($D14="",0,$C14*$D14)</f>
        <v>0</v>
      </c>
      <c r="L14" s="20" t="n">
        <f aca="false">IF($D14="",0,$F14*$K14)</f>
        <v>0</v>
      </c>
      <c r="M14" s="20" t="n">
        <f aca="false">IF($D14="",0,$G14*$K14)</f>
        <v>0</v>
      </c>
      <c r="N14" s="20" t="n">
        <f aca="false">IF($D14="",0,$H14*$K14)</f>
        <v>0</v>
      </c>
      <c r="O14" s="20" t="n">
        <f aca="false">IF($D14="",0,$I14*$K14*(1-$F14))</f>
        <v>0</v>
      </c>
      <c r="P14" s="20" t="n">
        <f aca="false">IF($D14="",0,$E14*$D14+$L14+$M14+$N14+$O14+$J14*$D14)</f>
        <v>0</v>
      </c>
      <c r="Q14" s="20" t="n">
        <f aca="false">IF($D14="",0,$K14-$P14)</f>
        <v>0</v>
      </c>
      <c r="R14" s="21" t="n">
        <f aca="false">IF($K14=0,0,$Q14/$K14)</f>
        <v>0</v>
      </c>
      <c r="S14" s="20" t="n">
        <f aca="false">IF($D14="",0,$K14-$L14-$M14-$N14)</f>
        <v>0</v>
      </c>
      <c r="T14" s="22"/>
      <c r="U14" s="20" t="n">
        <f aca="false">IF($T14="",0,MAX(0,$S14-$T14))</f>
        <v>0</v>
      </c>
      <c r="V14" s="21" t="n">
        <f aca="false">IF($S14=0,0,$U14/$S14)</f>
        <v>0</v>
      </c>
      <c r="W14" s="23" t="str">
        <f aca="false">IF($D14="","",IF($T14="","BEKLİYOR",IF(OR($U14=0,$S14=0),"DOĞRU",IF(AND($V14&gt;PazaryeriEksikHakedisEsik,$U14&gt;PazaryeriEksikHakedisTutarEsik),"EKSİK HAKEDİŞ","DOĞRU"))))</f>
        <v/>
      </c>
      <c r="X14" s="23" t="str">
        <f aca="false">IF($B14="","",CONCATENATE("Ürün: ",$B14," | Kâr: ",TEXT($Q14,"₺ #,##0")," | Durum: ",$W14))</f>
        <v/>
      </c>
      <c r="Y14" s="24"/>
    </row>
    <row r="15" customFormat="false" ht="15" hidden="false" customHeight="false" outlineLevel="0" collapsed="false">
      <c r="A15" s="24"/>
      <c r="B15" s="24"/>
      <c r="C15" s="22"/>
      <c r="D15" s="25"/>
      <c r="E15" s="22"/>
      <c r="F15" s="26"/>
      <c r="G15" s="26"/>
      <c r="H15" s="26"/>
      <c r="I15" s="26"/>
      <c r="J15" s="22"/>
      <c r="K15" s="20" t="n">
        <f aca="false">IF($D15="",0,$C15*$D15)</f>
        <v>0</v>
      </c>
      <c r="L15" s="20" t="n">
        <f aca="false">IF($D15="",0,$F15*$K15)</f>
        <v>0</v>
      </c>
      <c r="M15" s="20" t="n">
        <f aca="false">IF($D15="",0,$G15*$K15)</f>
        <v>0</v>
      </c>
      <c r="N15" s="20" t="n">
        <f aca="false">IF($D15="",0,$H15*$K15)</f>
        <v>0</v>
      </c>
      <c r="O15" s="20" t="n">
        <f aca="false">IF($D15="",0,$I15*$K15*(1-$F15))</f>
        <v>0</v>
      </c>
      <c r="P15" s="20" t="n">
        <f aca="false">IF($D15="",0,$E15*$D15+$L15+$M15+$N15+$O15+$J15*$D15)</f>
        <v>0</v>
      </c>
      <c r="Q15" s="20" t="n">
        <f aca="false">IF($D15="",0,$K15-$P15)</f>
        <v>0</v>
      </c>
      <c r="R15" s="21" t="n">
        <f aca="false">IF($K15=0,0,$Q15/$K15)</f>
        <v>0</v>
      </c>
      <c r="S15" s="20" t="n">
        <f aca="false">IF($D15="",0,$K15-$L15-$M15-$N15)</f>
        <v>0</v>
      </c>
      <c r="T15" s="22"/>
      <c r="U15" s="20" t="n">
        <f aca="false">IF($T15="",0,MAX(0,$S15-$T15))</f>
        <v>0</v>
      </c>
      <c r="V15" s="21" t="n">
        <f aca="false">IF($S15=0,0,$U15/$S15)</f>
        <v>0</v>
      </c>
      <c r="W15" s="23" t="str">
        <f aca="false">IF($D15="","",IF($T15="","BEKLİYOR",IF(OR($U15=0,$S15=0),"DOĞRU",IF(AND($V15&gt;PazaryeriEksikHakedisEsik,$U15&gt;PazaryeriEksikHakedisTutarEsik),"EKSİK HAKEDİŞ","DOĞRU"))))</f>
        <v/>
      </c>
      <c r="X15" s="23" t="str">
        <f aca="false">IF($B15="","",CONCATENATE("Ürün: ",$B15," | Kâr: ",TEXT($Q15,"₺ #,##0")," | Durum: ",$W15))</f>
        <v/>
      </c>
      <c r="Y15" s="24"/>
    </row>
    <row r="16" customFormat="false" ht="15" hidden="false" customHeight="false" outlineLevel="0" collapsed="false">
      <c r="A16" s="24"/>
      <c r="B16" s="24"/>
      <c r="C16" s="22"/>
      <c r="D16" s="25"/>
      <c r="E16" s="22"/>
      <c r="F16" s="26"/>
      <c r="G16" s="26"/>
      <c r="H16" s="26"/>
      <c r="I16" s="26"/>
      <c r="J16" s="22"/>
      <c r="K16" s="20" t="n">
        <f aca="false">IF($D16="",0,$C16*$D16)</f>
        <v>0</v>
      </c>
      <c r="L16" s="20" t="n">
        <f aca="false">IF($D16="",0,$F16*$K16)</f>
        <v>0</v>
      </c>
      <c r="M16" s="20" t="n">
        <f aca="false">IF($D16="",0,$G16*$K16)</f>
        <v>0</v>
      </c>
      <c r="N16" s="20" t="n">
        <f aca="false">IF($D16="",0,$H16*$K16)</f>
        <v>0</v>
      </c>
      <c r="O16" s="20" t="n">
        <f aca="false">IF($D16="",0,$I16*$K16*(1-$F16))</f>
        <v>0</v>
      </c>
      <c r="P16" s="20" t="n">
        <f aca="false">IF($D16="",0,$E16*$D16+$L16+$M16+$N16+$O16+$J16*$D16)</f>
        <v>0</v>
      </c>
      <c r="Q16" s="20" t="n">
        <f aca="false">IF($D16="",0,$K16-$P16)</f>
        <v>0</v>
      </c>
      <c r="R16" s="21" t="n">
        <f aca="false">IF($K16=0,0,$Q16/$K16)</f>
        <v>0</v>
      </c>
      <c r="S16" s="20" t="n">
        <f aca="false">IF($D16="",0,$K16-$L16-$M16-$N16)</f>
        <v>0</v>
      </c>
      <c r="T16" s="22"/>
      <c r="U16" s="20" t="n">
        <f aca="false">IF($T16="",0,MAX(0,$S16-$T16))</f>
        <v>0</v>
      </c>
      <c r="V16" s="21" t="n">
        <f aca="false">IF($S16=0,0,$U16/$S16)</f>
        <v>0</v>
      </c>
      <c r="W16" s="23" t="str">
        <f aca="false">IF($D16="","",IF($T16="","BEKLİYOR",IF(OR($U16=0,$S16=0),"DOĞRU",IF(AND($V16&gt;PazaryeriEksikHakedisEsik,$U16&gt;PazaryeriEksikHakedisTutarEsik),"EKSİK HAKEDİŞ","DOĞRU"))))</f>
        <v/>
      </c>
      <c r="X16" s="23" t="str">
        <f aca="false">IF($B16="","",CONCATENATE("Ürün: ",$B16," | Kâr: ",TEXT($Q16,"₺ #,##0")," | Durum: ",$W16))</f>
        <v/>
      </c>
      <c r="Y16" s="24"/>
    </row>
    <row r="17" customFormat="false" ht="15" hidden="false" customHeight="false" outlineLevel="0" collapsed="false">
      <c r="A17" s="24"/>
      <c r="B17" s="24"/>
      <c r="C17" s="22"/>
      <c r="D17" s="25"/>
      <c r="E17" s="22"/>
      <c r="F17" s="26"/>
      <c r="G17" s="26"/>
      <c r="H17" s="26"/>
      <c r="I17" s="26"/>
      <c r="J17" s="22"/>
      <c r="K17" s="20" t="n">
        <f aca="false">IF($D17="",0,$C17*$D17)</f>
        <v>0</v>
      </c>
      <c r="L17" s="20" t="n">
        <f aca="false">IF($D17="",0,$F17*$K17)</f>
        <v>0</v>
      </c>
      <c r="M17" s="20" t="n">
        <f aca="false">IF($D17="",0,$G17*$K17)</f>
        <v>0</v>
      </c>
      <c r="N17" s="20" t="n">
        <f aca="false">IF($D17="",0,$H17*$K17)</f>
        <v>0</v>
      </c>
      <c r="O17" s="20" t="n">
        <f aca="false">IF($D17="",0,$I17*$K17*(1-$F17))</f>
        <v>0</v>
      </c>
      <c r="P17" s="20" t="n">
        <f aca="false">IF($D17="",0,$E17*$D17+$L17+$M17+$N17+$O17+$J17*$D17)</f>
        <v>0</v>
      </c>
      <c r="Q17" s="20" t="n">
        <f aca="false">IF($D17="",0,$K17-$P17)</f>
        <v>0</v>
      </c>
      <c r="R17" s="21" t="n">
        <f aca="false">IF($K17=0,0,$Q17/$K17)</f>
        <v>0</v>
      </c>
      <c r="S17" s="20" t="n">
        <f aca="false">IF($D17="",0,$K17-$L17-$M17-$N17)</f>
        <v>0</v>
      </c>
      <c r="T17" s="22"/>
      <c r="U17" s="20" t="n">
        <f aca="false">IF($T17="",0,MAX(0,$S17-$T17))</f>
        <v>0</v>
      </c>
      <c r="V17" s="21" t="n">
        <f aca="false">IF($S17=0,0,$U17/$S17)</f>
        <v>0</v>
      </c>
      <c r="W17" s="23" t="str">
        <f aca="false">IF($D17="","",IF($T17="","BEKLİYOR",IF(OR($U17=0,$S17=0),"DOĞRU",IF(AND($V17&gt;PazaryeriEksikHakedisEsik,$U17&gt;PazaryeriEksikHakedisTutarEsik),"EKSİK HAKEDİŞ","DOĞRU"))))</f>
        <v/>
      </c>
      <c r="X17" s="23" t="str">
        <f aca="false">IF($B17="","",CONCATENATE("Ürün: ",$B17," | Kâr: ",TEXT($Q17,"₺ #,##0")," | Durum: ",$W17))</f>
        <v/>
      </c>
      <c r="Y17" s="24"/>
    </row>
    <row r="18" customFormat="false" ht="15" hidden="false" customHeight="false" outlineLevel="0" collapsed="false">
      <c r="A18" s="24"/>
      <c r="B18" s="24"/>
      <c r="C18" s="22"/>
      <c r="D18" s="25"/>
      <c r="E18" s="22"/>
      <c r="F18" s="26"/>
      <c r="G18" s="26"/>
      <c r="H18" s="26"/>
      <c r="I18" s="26"/>
      <c r="J18" s="22"/>
      <c r="K18" s="20" t="n">
        <f aca="false">IF($D18="",0,$C18*$D18)</f>
        <v>0</v>
      </c>
      <c r="L18" s="20" t="n">
        <f aca="false">IF($D18="",0,$F18*$K18)</f>
        <v>0</v>
      </c>
      <c r="M18" s="20" t="n">
        <f aca="false">IF($D18="",0,$G18*$K18)</f>
        <v>0</v>
      </c>
      <c r="N18" s="20" t="n">
        <f aca="false">IF($D18="",0,$H18*$K18)</f>
        <v>0</v>
      </c>
      <c r="O18" s="20" t="n">
        <f aca="false">IF($D18="",0,$I18*$K18*(1-$F18))</f>
        <v>0</v>
      </c>
      <c r="P18" s="20" t="n">
        <f aca="false">IF($D18="",0,$E18*$D18+$L18+$M18+$N18+$O18+$J18*$D18)</f>
        <v>0</v>
      </c>
      <c r="Q18" s="20" t="n">
        <f aca="false">IF($D18="",0,$K18-$P18)</f>
        <v>0</v>
      </c>
      <c r="R18" s="21" t="n">
        <f aca="false">IF($K18=0,0,$Q18/$K18)</f>
        <v>0</v>
      </c>
      <c r="S18" s="20" t="n">
        <f aca="false">IF($D18="",0,$K18-$L18-$M18-$N18)</f>
        <v>0</v>
      </c>
      <c r="T18" s="22"/>
      <c r="U18" s="20" t="n">
        <f aca="false">IF($T18="",0,MAX(0,$S18-$T18))</f>
        <v>0</v>
      </c>
      <c r="V18" s="21" t="n">
        <f aca="false">IF($S18=0,0,$U18/$S18)</f>
        <v>0</v>
      </c>
      <c r="W18" s="23" t="str">
        <f aca="false">IF($D18="","",IF($T18="","BEKLİYOR",IF(OR($U18=0,$S18=0),"DOĞRU",IF(AND($V18&gt;PazaryeriEksikHakedisEsik,$U18&gt;PazaryeriEksikHakedisTutarEsik),"EKSİK HAKEDİŞ","DOĞRU"))))</f>
        <v/>
      </c>
      <c r="X18" s="23" t="str">
        <f aca="false">IF($B18="","",CONCATENATE("Ürün: ",$B18," | Kâr: ",TEXT($Q18,"₺ #,##0")," | Durum: ",$W18))</f>
        <v/>
      </c>
      <c r="Y18" s="24"/>
    </row>
    <row r="19" customFormat="false" ht="15" hidden="false" customHeight="false" outlineLevel="0" collapsed="false">
      <c r="A19" s="24"/>
      <c r="B19" s="24"/>
      <c r="C19" s="22"/>
      <c r="D19" s="25"/>
      <c r="E19" s="22"/>
      <c r="F19" s="26"/>
      <c r="G19" s="26"/>
      <c r="H19" s="26"/>
      <c r="I19" s="26"/>
      <c r="J19" s="22"/>
      <c r="K19" s="20" t="n">
        <f aca="false">IF($D19="",0,$C19*$D19)</f>
        <v>0</v>
      </c>
      <c r="L19" s="20" t="n">
        <f aca="false">IF($D19="",0,$F19*$K19)</f>
        <v>0</v>
      </c>
      <c r="M19" s="20" t="n">
        <f aca="false">IF($D19="",0,$G19*$K19)</f>
        <v>0</v>
      </c>
      <c r="N19" s="20" t="n">
        <f aca="false">IF($D19="",0,$H19*$K19)</f>
        <v>0</v>
      </c>
      <c r="O19" s="20" t="n">
        <f aca="false">IF($D19="",0,$I19*$K19*(1-$F19))</f>
        <v>0</v>
      </c>
      <c r="P19" s="20" t="n">
        <f aca="false">IF($D19="",0,$E19*$D19+$L19+$M19+$N19+$O19+$J19*$D19)</f>
        <v>0</v>
      </c>
      <c r="Q19" s="20" t="n">
        <f aca="false">IF($D19="",0,$K19-$P19)</f>
        <v>0</v>
      </c>
      <c r="R19" s="21" t="n">
        <f aca="false">IF($K19=0,0,$Q19/$K19)</f>
        <v>0</v>
      </c>
      <c r="S19" s="20" t="n">
        <f aca="false">IF($D19="",0,$K19-$L19-$M19-$N19)</f>
        <v>0</v>
      </c>
      <c r="T19" s="22"/>
      <c r="U19" s="20" t="n">
        <f aca="false">IF($T19="",0,MAX(0,$S19-$T19))</f>
        <v>0</v>
      </c>
      <c r="V19" s="21" t="n">
        <f aca="false">IF($S19=0,0,$U19/$S19)</f>
        <v>0</v>
      </c>
      <c r="W19" s="23" t="str">
        <f aca="false">IF($D19="","",IF($T19="","BEKLİYOR",IF(OR($U19=0,$S19=0),"DOĞRU",IF(AND($V19&gt;PazaryeriEksikHakedisEsik,$U19&gt;PazaryeriEksikHakedisTutarEsik),"EKSİK HAKEDİŞ","DOĞRU"))))</f>
        <v/>
      </c>
      <c r="X19" s="23" t="str">
        <f aca="false">IF($B19="","",CONCATENATE("Ürün: ",$B19," | Kâr: ",TEXT($Q19,"₺ #,##0")," | Durum: ",$W19))</f>
        <v/>
      </c>
      <c r="Y19" s="24"/>
    </row>
    <row r="20" customFormat="false" ht="15" hidden="false" customHeight="false" outlineLevel="0" collapsed="false">
      <c r="A20" s="24"/>
      <c r="B20" s="24"/>
      <c r="C20" s="22"/>
      <c r="D20" s="25"/>
      <c r="E20" s="22"/>
      <c r="F20" s="26"/>
      <c r="G20" s="26"/>
      <c r="H20" s="26"/>
      <c r="I20" s="26"/>
      <c r="J20" s="22"/>
      <c r="K20" s="20" t="n">
        <f aca="false">IF($D20="",0,$C20*$D20)</f>
        <v>0</v>
      </c>
      <c r="L20" s="20" t="n">
        <f aca="false">IF($D20="",0,$F20*$K20)</f>
        <v>0</v>
      </c>
      <c r="M20" s="20" t="n">
        <f aca="false">IF($D20="",0,$G20*$K20)</f>
        <v>0</v>
      </c>
      <c r="N20" s="20" t="n">
        <f aca="false">IF($D20="",0,$H20*$K20)</f>
        <v>0</v>
      </c>
      <c r="O20" s="20" t="n">
        <f aca="false">IF($D20="",0,$I20*$K20*(1-$F20))</f>
        <v>0</v>
      </c>
      <c r="P20" s="20" t="n">
        <f aca="false">IF($D20="",0,$E20*$D20+$L20+$M20+$N20+$O20+$J20*$D20)</f>
        <v>0</v>
      </c>
      <c r="Q20" s="20" t="n">
        <f aca="false">IF($D20="",0,$K20-$P20)</f>
        <v>0</v>
      </c>
      <c r="R20" s="21" t="n">
        <f aca="false">IF($K20=0,0,$Q20/$K20)</f>
        <v>0</v>
      </c>
      <c r="S20" s="20" t="n">
        <f aca="false">IF($D20="",0,$K20-$L20-$M20-$N20)</f>
        <v>0</v>
      </c>
      <c r="T20" s="22"/>
      <c r="U20" s="20" t="n">
        <f aca="false">IF($T20="",0,MAX(0,$S20-$T20))</f>
        <v>0</v>
      </c>
      <c r="V20" s="21" t="n">
        <f aca="false">IF($S20=0,0,$U20/$S20)</f>
        <v>0</v>
      </c>
      <c r="W20" s="23" t="str">
        <f aca="false">IF($D20="","",IF($T20="","BEKLİYOR",IF(OR($U20=0,$S20=0),"DOĞRU",IF(AND($V20&gt;PazaryeriEksikHakedisEsik,$U20&gt;PazaryeriEksikHakedisTutarEsik),"EKSİK HAKEDİŞ","DOĞRU"))))</f>
        <v/>
      </c>
      <c r="X20" s="23" t="str">
        <f aca="false">IF($B20="","",CONCATENATE("Ürün: ",$B20," | Kâr: ",TEXT($Q20,"₺ #,##0")," | Durum: ",$W20))</f>
        <v/>
      </c>
      <c r="Y20" s="24"/>
    </row>
    <row r="21" customFormat="false" ht="15" hidden="false" customHeight="false" outlineLevel="0" collapsed="false">
      <c r="A21" s="24"/>
      <c r="B21" s="24"/>
      <c r="C21" s="22"/>
      <c r="D21" s="25"/>
      <c r="E21" s="22"/>
      <c r="F21" s="26"/>
      <c r="G21" s="26"/>
      <c r="H21" s="26"/>
      <c r="I21" s="26"/>
      <c r="J21" s="22"/>
      <c r="K21" s="20" t="n">
        <f aca="false">IF($D21="",0,$C21*$D21)</f>
        <v>0</v>
      </c>
      <c r="L21" s="20" t="n">
        <f aca="false">IF($D21="",0,$F21*$K21)</f>
        <v>0</v>
      </c>
      <c r="M21" s="20" t="n">
        <f aca="false">IF($D21="",0,$G21*$K21)</f>
        <v>0</v>
      </c>
      <c r="N21" s="20" t="n">
        <f aca="false">IF($D21="",0,$H21*$K21)</f>
        <v>0</v>
      </c>
      <c r="O21" s="20" t="n">
        <f aca="false">IF($D21="",0,$I21*$K21*(1-$F21))</f>
        <v>0</v>
      </c>
      <c r="P21" s="20" t="n">
        <f aca="false">IF($D21="",0,$E21*$D21+$L21+$M21+$N21+$O21+$J21*$D21)</f>
        <v>0</v>
      </c>
      <c r="Q21" s="20" t="n">
        <f aca="false">IF($D21="",0,$K21-$P21)</f>
        <v>0</v>
      </c>
      <c r="R21" s="21" t="n">
        <f aca="false">IF($K21=0,0,$Q21/$K21)</f>
        <v>0</v>
      </c>
      <c r="S21" s="20" t="n">
        <f aca="false">IF($D21="",0,$K21-$L21-$M21-$N21)</f>
        <v>0</v>
      </c>
      <c r="T21" s="22"/>
      <c r="U21" s="20" t="n">
        <f aca="false">IF($T21="",0,MAX(0,$S21-$T21))</f>
        <v>0</v>
      </c>
      <c r="V21" s="21" t="n">
        <f aca="false">IF($S21=0,0,$U21/$S21)</f>
        <v>0</v>
      </c>
      <c r="W21" s="23" t="str">
        <f aca="false">IF($D21="","",IF($T21="","BEKLİYOR",IF(OR($U21=0,$S21=0),"DOĞRU",IF(AND($V21&gt;PazaryeriEksikHakedisEsik,$U21&gt;PazaryeriEksikHakedisTutarEsik),"EKSİK HAKEDİŞ","DOĞRU"))))</f>
        <v/>
      </c>
      <c r="X21" s="23" t="str">
        <f aca="false">IF($B21="","",CONCATENATE("Ürün: ",$B21," | Kâr: ",TEXT($Q21,"₺ #,##0")," | Durum: ",$W21))</f>
        <v/>
      </c>
      <c r="Y21" s="24"/>
    </row>
    <row r="22" customFormat="false" ht="15" hidden="false" customHeight="false" outlineLevel="0" collapsed="false">
      <c r="A22" s="24"/>
      <c r="B22" s="24"/>
      <c r="C22" s="22"/>
      <c r="D22" s="25"/>
      <c r="E22" s="22"/>
      <c r="F22" s="26"/>
      <c r="G22" s="26"/>
      <c r="H22" s="26"/>
      <c r="I22" s="26"/>
      <c r="J22" s="22"/>
      <c r="K22" s="20" t="n">
        <f aca="false">IF($D22="",0,$C22*$D22)</f>
        <v>0</v>
      </c>
      <c r="L22" s="20" t="n">
        <f aca="false">IF($D22="",0,$F22*$K22)</f>
        <v>0</v>
      </c>
      <c r="M22" s="20" t="n">
        <f aca="false">IF($D22="",0,$G22*$K22)</f>
        <v>0</v>
      </c>
      <c r="N22" s="20" t="n">
        <f aca="false">IF($D22="",0,$H22*$K22)</f>
        <v>0</v>
      </c>
      <c r="O22" s="20" t="n">
        <f aca="false">IF($D22="",0,$I22*$K22*(1-$F22))</f>
        <v>0</v>
      </c>
      <c r="P22" s="20" t="n">
        <f aca="false">IF($D22="",0,$E22*$D22+$L22+$M22+$N22+$O22+$J22*$D22)</f>
        <v>0</v>
      </c>
      <c r="Q22" s="20" t="n">
        <f aca="false">IF($D22="",0,$K22-$P22)</f>
        <v>0</v>
      </c>
      <c r="R22" s="21" t="n">
        <f aca="false">IF($K22=0,0,$Q22/$K22)</f>
        <v>0</v>
      </c>
      <c r="S22" s="20" t="n">
        <f aca="false">IF($D22="",0,$K22-$L22-$M22-$N22)</f>
        <v>0</v>
      </c>
      <c r="T22" s="22"/>
      <c r="U22" s="20" t="n">
        <f aca="false">IF($T22="",0,MAX(0,$S22-$T22))</f>
        <v>0</v>
      </c>
      <c r="V22" s="21" t="n">
        <f aca="false">IF($S22=0,0,$U22/$S22)</f>
        <v>0</v>
      </c>
      <c r="W22" s="23" t="str">
        <f aca="false">IF($D22="","",IF($T22="","BEKLİYOR",IF(OR($U22=0,$S22=0),"DOĞRU",IF(AND($V22&gt;PazaryeriEksikHakedisEsik,$U22&gt;PazaryeriEksikHakedisTutarEsik),"EKSİK HAKEDİŞ","DOĞRU"))))</f>
        <v/>
      </c>
      <c r="X22" s="23" t="str">
        <f aca="false">IF($B22="","",CONCATENATE("Ürün: ",$B22," | Kâr: ",TEXT($Q22,"₺ #,##0")," | Durum: ",$W22))</f>
        <v/>
      </c>
      <c r="Y22" s="24"/>
    </row>
    <row r="23" customFormat="false" ht="15" hidden="false" customHeight="false" outlineLevel="0" collapsed="false">
      <c r="A23" s="24"/>
      <c r="B23" s="24"/>
      <c r="C23" s="22"/>
      <c r="D23" s="25"/>
      <c r="E23" s="22"/>
      <c r="F23" s="26"/>
      <c r="G23" s="26"/>
      <c r="H23" s="26"/>
      <c r="I23" s="26"/>
      <c r="J23" s="22"/>
      <c r="K23" s="20" t="n">
        <f aca="false">IF($D23="",0,$C23*$D23)</f>
        <v>0</v>
      </c>
      <c r="L23" s="20" t="n">
        <f aca="false">IF($D23="",0,$F23*$K23)</f>
        <v>0</v>
      </c>
      <c r="M23" s="20" t="n">
        <f aca="false">IF($D23="",0,$G23*$K23)</f>
        <v>0</v>
      </c>
      <c r="N23" s="20" t="n">
        <f aca="false">IF($D23="",0,$H23*$K23)</f>
        <v>0</v>
      </c>
      <c r="O23" s="20" t="n">
        <f aca="false">IF($D23="",0,$I23*$K23*(1-$F23))</f>
        <v>0</v>
      </c>
      <c r="P23" s="20" t="n">
        <f aca="false">IF($D23="",0,$E23*$D23+$L23+$M23+$N23+$O23+$J23*$D23)</f>
        <v>0</v>
      </c>
      <c r="Q23" s="20" t="n">
        <f aca="false">IF($D23="",0,$K23-$P23)</f>
        <v>0</v>
      </c>
      <c r="R23" s="21" t="n">
        <f aca="false">IF($K23=0,0,$Q23/$K23)</f>
        <v>0</v>
      </c>
      <c r="S23" s="20" t="n">
        <f aca="false">IF($D23="",0,$K23-$L23-$M23-$N23)</f>
        <v>0</v>
      </c>
      <c r="T23" s="22"/>
      <c r="U23" s="20" t="n">
        <f aca="false">IF($T23="",0,MAX(0,$S23-$T23))</f>
        <v>0</v>
      </c>
      <c r="V23" s="21" t="n">
        <f aca="false">IF($S23=0,0,$U23/$S23)</f>
        <v>0</v>
      </c>
      <c r="W23" s="23" t="str">
        <f aca="false">IF($D23="","",IF($T23="","BEKLİYOR",IF(OR($U23=0,$S23=0),"DOĞRU",IF(AND($V23&gt;PazaryeriEksikHakedisEsik,$U23&gt;PazaryeriEksikHakedisTutarEsik),"EKSİK HAKEDİŞ","DOĞRU"))))</f>
        <v/>
      </c>
      <c r="X23" s="23" t="str">
        <f aca="false">IF($B23="","",CONCATENATE("Ürün: ",$B23," | Kâr: ",TEXT($Q23,"₺ #,##0")," | Durum: ",$W23))</f>
        <v/>
      </c>
      <c r="Y23" s="24"/>
    </row>
    <row r="24" customFormat="false" ht="15" hidden="false" customHeight="false" outlineLevel="0" collapsed="false">
      <c r="A24" s="24"/>
      <c r="B24" s="24"/>
      <c r="C24" s="22"/>
      <c r="D24" s="25"/>
      <c r="E24" s="22"/>
      <c r="F24" s="26"/>
      <c r="G24" s="26"/>
      <c r="H24" s="26"/>
      <c r="I24" s="26"/>
      <c r="J24" s="22"/>
      <c r="K24" s="20" t="n">
        <f aca="false">IF($D24="",0,$C24*$D24)</f>
        <v>0</v>
      </c>
      <c r="L24" s="20" t="n">
        <f aca="false">IF($D24="",0,$F24*$K24)</f>
        <v>0</v>
      </c>
      <c r="M24" s="20" t="n">
        <f aca="false">IF($D24="",0,$G24*$K24)</f>
        <v>0</v>
      </c>
      <c r="N24" s="20" t="n">
        <f aca="false">IF($D24="",0,$H24*$K24)</f>
        <v>0</v>
      </c>
      <c r="O24" s="20" t="n">
        <f aca="false">IF($D24="",0,$I24*$K24*(1-$F24))</f>
        <v>0</v>
      </c>
      <c r="P24" s="20" t="n">
        <f aca="false">IF($D24="",0,$E24*$D24+$L24+$M24+$N24+$O24+$J24*$D24)</f>
        <v>0</v>
      </c>
      <c r="Q24" s="20" t="n">
        <f aca="false">IF($D24="",0,$K24-$P24)</f>
        <v>0</v>
      </c>
      <c r="R24" s="21" t="n">
        <f aca="false">IF($K24=0,0,$Q24/$K24)</f>
        <v>0</v>
      </c>
      <c r="S24" s="20" t="n">
        <f aca="false">IF($D24="",0,$K24-$L24-$M24-$N24)</f>
        <v>0</v>
      </c>
      <c r="T24" s="22"/>
      <c r="U24" s="20" t="n">
        <f aca="false">IF($T24="",0,MAX(0,$S24-$T24))</f>
        <v>0</v>
      </c>
      <c r="V24" s="21" t="n">
        <f aca="false">IF($S24=0,0,$U24/$S24)</f>
        <v>0</v>
      </c>
      <c r="W24" s="23" t="str">
        <f aca="false">IF($D24="","",IF($T24="","BEKLİYOR",IF(OR($U24=0,$S24=0),"DOĞRU",IF(AND($V24&gt;PazaryeriEksikHakedisEsik,$U24&gt;PazaryeriEksikHakedisTutarEsik),"EKSİK HAKEDİŞ","DOĞRU"))))</f>
        <v/>
      </c>
      <c r="X24" s="23" t="str">
        <f aca="false">IF($B24="","",CONCATENATE("Ürün: ",$B24," | Kâr: ",TEXT($Q24,"₺ #,##0")," | Durum: ",$W24))</f>
        <v/>
      </c>
      <c r="Y24" s="24"/>
    </row>
    <row r="25" customFormat="false" ht="15" hidden="false" customHeight="false" outlineLevel="0" collapsed="false">
      <c r="A25" s="24"/>
      <c r="B25" s="24"/>
      <c r="C25" s="22"/>
      <c r="D25" s="25"/>
      <c r="E25" s="22"/>
      <c r="F25" s="26"/>
      <c r="G25" s="26"/>
      <c r="H25" s="26"/>
      <c r="I25" s="26"/>
      <c r="J25" s="22"/>
      <c r="K25" s="20" t="n">
        <f aca="false">IF($D25="",0,$C25*$D25)</f>
        <v>0</v>
      </c>
      <c r="L25" s="20" t="n">
        <f aca="false">IF($D25="",0,$F25*$K25)</f>
        <v>0</v>
      </c>
      <c r="M25" s="20" t="n">
        <f aca="false">IF($D25="",0,$G25*$K25)</f>
        <v>0</v>
      </c>
      <c r="N25" s="20" t="n">
        <f aca="false">IF($D25="",0,$H25*$K25)</f>
        <v>0</v>
      </c>
      <c r="O25" s="20" t="n">
        <f aca="false">IF($D25="",0,$I25*$K25*(1-$F25))</f>
        <v>0</v>
      </c>
      <c r="P25" s="20" t="n">
        <f aca="false">IF($D25="",0,$E25*$D25+$L25+$M25+$N25+$O25+$J25*$D25)</f>
        <v>0</v>
      </c>
      <c r="Q25" s="20" t="n">
        <f aca="false">IF($D25="",0,$K25-$P25)</f>
        <v>0</v>
      </c>
      <c r="R25" s="21" t="n">
        <f aca="false">IF($K25=0,0,$Q25/$K25)</f>
        <v>0</v>
      </c>
      <c r="S25" s="20" t="n">
        <f aca="false">IF($D25="",0,$K25-$L25-$M25-$N25)</f>
        <v>0</v>
      </c>
      <c r="T25" s="22"/>
      <c r="U25" s="20" t="n">
        <f aca="false">IF($T25="",0,MAX(0,$S25-$T25))</f>
        <v>0</v>
      </c>
      <c r="V25" s="21" t="n">
        <f aca="false">IF($S25=0,0,$U25/$S25)</f>
        <v>0</v>
      </c>
      <c r="W25" s="23" t="str">
        <f aca="false">IF($D25="","",IF($T25="","BEKLİYOR",IF(OR($U25=0,$S25=0),"DOĞRU",IF(AND($V25&gt;PazaryeriEksikHakedisEsik,$U25&gt;PazaryeriEksikHakedisTutarEsik),"EKSİK HAKEDİŞ","DOĞRU"))))</f>
        <v/>
      </c>
      <c r="X25" s="23" t="str">
        <f aca="false">IF($B25="","",CONCATENATE("Ürün: ",$B25," | Kâr: ",TEXT($Q25,"₺ #,##0")," | Durum: ",$W25))</f>
        <v/>
      </c>
      <c r="Y25" s="24"/>
    </row>
    <row r="26" customFormat="false" ht="15" hidden="false" customHeight="false" outlineLevel="0" collapsed="false">
      <c r="A26" s="24"/>
      <c r="B26" s="24"/>
      <c r="C26" s="22"/>
      <c r="D26" s="25"/>
      <c r="E26" s="22"/>
      <c r="F26" s="26"/>
      <c r="G26" s="26"/>
      <c r="H26" s="26"/>
      <c r="I26" s="26"/>
      <c r="J26" s="22"/>
      <c r="K26" s="20" t="n">
        <f aca="false">IF($D26="",0,$C26*$D26)</f>
        <v>0</v>
      </c>
      <c r="L26" s="20" t="n">
        <f aca="false">IF($D26="",0,$F26*$K26)</f>
        <v>0</v>
      </c>
      <c r="M26" s="20" t="n">
        <f aca="false">IF($D26="",0,$G26*$K26)</f>
        <v>0</v>
      </c>
      <c r="N26" s="20" t="n">
        <f aca="false">IF($D26="",0,$H26*$K26)</f>
        <v>0</v>
      </c>
      <c r="O26" s="20" t="n">
        <f aca="false">IF($D26="",0,$I26*$K26*(1-$F26))</f>
        <v>0</v>
      </c>
      <c r="P26" s="20" t="n">
        <f aca="false">IF($D26="",0,$E26*$D26+$L26+$M26+$N26+$O26+$J26*$D26)</f>
        <v>0</v>
      </c>
      <c r="Q26" s="20" t="n">
        <f aca="false">IF($D26="",0,$K26-$P26)</f>
        <v>0</v>
      </c>
      <c r="R26" s="21" t="n">
        <f aca="false">IF($K26=0,0,$Q26/$K26)</f>
        <v>0</v>
      </c>
      <c r="S26" s="20" t="n">
        <f aca="false">IF($D26="",0,$K26-$L26-$M26-$N26)</f>
        <v>0</v>
      </c>
      <c r="T26" s="22"/>
      <c r="U26" s="20" t="n">
        <f aca="false">IF($T26="",0,MAX(0,$S26-$T26))</f>
        <v>0</v>
      </c>
      <c r="V26" s="21" t="n">
        <f aca="false">IF($S26=0,0,$U26/$S26)</f>
        <v>0</v>
      </c>
      <c r="W26" s="23" t="str">
        <f aca="false">IF($D26="","",IF($T26="","BEKLİYOR",IF(OR($U26=0,$S26=0),"DOĞRU",IF(AND($V26&gt;PazaryeriEksikHakedisEsik,$U26&gt;PazaryeriEksikHakedisTutarEsik),"EKSİK HAKEDİŞ","DOĞRU"))))</f>
        <v/>
      </c>
      <c r="X26" s="23" t="str">
        <f aca="false">IF($B26="","",CONCATENATE("Ürün: ",$B26," | Kâr: ",TEXT($Q26,"₺ #,##0")," | Durum: ",$W26))</f>
        <v/>
      </c>
      <c r="Y26" s="24"/>
    </row>
    <row r="27" customFormat="false" ht="15" hidden="false" customHeight="false" outlineLevel="0" collapsed="false">
      <c r="A27" s="24"/>
      <c r="B27" s="24"/>
      <c r="C27" s="22"/>
      <c r="D27" s="25"/>
      <c r="E27" s="22"/>
      <c r="F27" s="26"/>
      <c r="G27" s="26"/>
      <c r="H27" s="26"/>
      <c r="I27" s="26"/>
      <c r="J27" s="22"/>
      <c r="K27" s="20" t="n">
        <f aca="false">IF($D27="",0,$C27*$D27)</f>
        <v>0</v>
      </c>
      <c r="L27" s="20" t="n">
        <f aca="false">IF($D27="",0,$F27*$K27)</f>
        <v>0</v>
      </c>
      <c r="M27" s="20" t="n">
        <f aca="false">IF($D27="",0,$G27*$K27)</f>
        <v>0</v>
      </c>
      <c r="N27" s="20" t="n">
        <f aca="false">IF($D27="",0,$H27*$K27)</f>
        <v>0</v>
      </c>
      <c r="O27" s="20" t="n">
        <f aca="false">IF($D27="",0,$I27*$K27*(1-$F27))</f>
        <v>0</v>
      </c>
      <c r="P27" s="20" t="n">
        <f aca="false">IF($D27="",0,$E27*$D27+$L27+$M27+$N27+$O27+$J27*$D27)</f>
        <v>0</v>
      </c>
      <c r="Q27" s="20" t="n">
        <f aca="false">IF($D27="",0,$K27-$P27)</f>
        <v>0</v>
      </c>
      <c r="R27" s="21" t="n">
        <f aca="false">IF($K27=0,0,$Q27/$K27)</f>
        <v>0</v>
      </c>
      <c r="S27" s="20" t="n">
        <f aca="false">IF($D27="",0,$K27-$L27-$M27-$N27)</f>
        <v>0</v>
      </c>
      <c r="T27" s="22"/>
      <c r="U27" s="20" t="n">
        <f aca="false">IF($T27="",0,MAX(0,$S27-$T27))</f>
        <v>0</v>
      </c>
      <c r="V27" s="21" t="n">
        <f aca="false">IF($S27=0,0,$U27/$S27)</f>
        <v>0</v>
      </c>
      <c r="W27" s="23" t="str">
        <f aca="false">IF($D27="","",IF($T27="","BEKLİYOR",IF(OR($U27=0,$S27=0),"DOĞRU",IF(AND($V27&gt;PazaryeriEksikHakedisEsik,$U27&gt;PazaryeriEksikHakedisTutarEsik),"EKSİK HAKEDİŞ","DOĞRU"))))</f>
        <v/>
      </c>
      <c r="X27" s="23" t="str">
        <f aca="false">IF($B27="","",CONCATENATE("Ürün: ",$B27," | Kâr: ",TEXT($Q27,"₺ #,##0")," | Durum: ",$W27))</f>
        <v/>
      </c>
      <c r="Y27" s="24"/>
    </row>
    <row r="28" customFormat="false" ht="15" hidden="false" customHeight="false" outlineLevel="0" collapsed="false">
      <c r="A28" s="24"/>
      <c r="B28" s="24"/>
      <c r="C28" s="22"/>
      <c r="D28" s="25"/>
      <c r="E28" s="22"/>
      <c r="F28" s="26"/>
      <c r="G28" s="26"/>
      <c r="H28" s="26"/>
      <c r="I28" s="26"/>
      <c r="J28" s="22"/>
      <c r="K28" s="20" t="n">
        <f aca="false">IF($D28="",0,$C28*$D28)</f>
        <v>0</v>
      </c>
      <c r="L28" s="20" t="n">
        <f aca="false">IF($D28="",0,$F28*$K28)</f>
        <v>0</v>
      </c>
      <c r="M28" s="20" t="n">
        <f aca="false">IF($D28="",0,$G28*$K28)</f>
        <v>0</v>
      </c>
      <c r="N28" s="20" t="n">
        <f aca="false">IF($D28="",0,$H28*$K28)</f>
        <v>0</v>
      </c>
      <c r="O28" s="20" t="n">
        <f aca="false">IF($D28="",0,$I28*$K28*(1-$F28))</f>
        <v>0</v>
      </c>
      <c r="P28" s="20" t="n">
        <f aca="false">IF($D28="",0,$E28*$D28+$L28+$M28+$N28+$O28+$J28*$D28)</f>
        <v>0</v>
      </c>
      <c r="Q28" s="20" t="n">
        <f aca="false">IF($D28="",0,$K28-$P28)</f>
        <v>0</v>
      </c>
      <c r="R28" s="21" t="n">
        <f aca="false">IF($K28=0,0,$Q28/$K28)</f>
        <v>0</v>
      </c>
      <c r="S28" s="20" t="n">
        <f aca="false">IF($D28="",0,$K28-$L28-$M28-$N28)</f>
        <v>0</v>
      </c>
      <c r="T28" s="22"/>
      <c r="U28" s="20" t="n">
        <f aca="false">IF($T28="",0,MAX(0,$S28-$T28))</f>
        <v>0</v>
      </c>
      <c r="V28" s="21" t="n">
        <f aca="false">IF($S28=0,0,$U28/$S28)</f>
        <v>0</v>
      </c>
      <c r="W28" s="23" t="str">
        <f aca="false">IF($D28="","",IF($T28="","BEKLİYOR",IF(OR($U28=0,$S28=0),"DOĞRU",IF(AND($V28&gt;PazaryeriEksikHakedisEsik,$U28&gt;PazaryeriEksikHakedisTutarEsik),"EKSİK HAKEDİŞ","DOĞRU"))))</f>
        <v/>
      </c>
      <c r="X28" s="23" t="str">
        <f aca="false">IF($B28="","",CONCATENATE("Ürün: ",$B28," | Kâr: ",TEXT($Q28,"₺ #,##0")," | Durum: ",$W28))</f>
        <v/>
      </c>
      <c r="Y28" s="24"/>
    </row>
    <row r="29" customFormat="false" ht="15" hidden="false" customHeight="false" outlineLevel="0" collapsed="false">
      <c r="A29" s="24"/>
      <c r="B29" s="24"/>
      <c r="C29" s="22"/>
      <c r="D29" s="25"/>
      <c r="E29" s="22"/>
      <c r="F29" s="26"/>
      <c r="G29" s="26"/>
      <c r="H29" s="26"/>
      <c r="I29" s="26"/>
      <c r="J29" s="22"/>
      <c r="K29" s="20" t="n">
        <f aca="false">IF($D29="",0,$C29*$D29)</f>
        <v>0</v>
      </c>
      <c r="L29" s="20" t="n">
        <f aca="false">IF($D29="",0,$F29*$K29)</f>
        <v>0</v>
      </c>
      <c r="M29" s="20" t="n">
        <f aca="false">IF($D29="",0,$G29*$K29)</f>
        <v>0</v>
      </c>
      <c r="N29" s="20" t="n">
        <f aca="false">IF($D29="",0,$H29*$K29)</f>
        <v>0</v>
      </c>
      <c r="O29" s="20" t="n">
        <f aca="false">IF($D29="",0,$I29*$K29*(1-$F29))</f>
        <v>0</v>
      </c>
      <c r="P29" s="20" t="n">
        <f aca="false">IF($D29="",0,$E29*$D29+$L29+$M29+$N29+$O29+$J29*$D29)</f>
        <v>0</v>
      </c>
      <c r="Q29" s="20" t="n">
        <f aca="false">IF($D29="",0,$K29-$P29)</f>
        <v>0</v>
      </c>
      <c r="R29" s="21" t="n">
        <f aca="false">IF($K29=0,0,$Q29/$K29)</f>
        <v>0</v>
      </c>
      <c r="S29" s="20" t="n">
        <f aca="false">IF($D29="",0,$K29-$L29-$M29-$N29)</f>
        <v>0</v>
      </c>
      <c r="T29" s="22"/>
      <c r="U29" s="20" t="n">
        <f aca="false">IF($T29="",0,MAX(0,$S29-$T29))</f>
        <v>0</v>
      </c>
      <c r="V29" s="21" t="n">
        <f aca="false">IF($S29=0,0,$U29/$S29)</f>
        <v>0</v>
      </c>
      <c r="W29" s="23" t="str">
        <f aca="false">IF($D29="","",IF($T29="","BEKLİYOR",IF(OR($U29=0,$S29=0),"DOĞRU",IF(AND($V29&gt;PazaryeriEksikHakedisEsik,$U29&gt;PazaryeriEksikHakedisTutarEsik),"EKSİK HAKEDİŞ","DOĞRU"))))</f>
        <v/>
      </c>
      <c r="X29" s="23" t="str">
        <f aca="false">IF($B29="","",CONCATENATE("Ürün: ",$B29," | Kâr: ",TEXT($Q29,"₺ #,##0")," | Durum: ",$W29))</f>
        <v/>
      </c>
      <c r="Y29" s="24"/>
    </row>
    <row r="30" customFormat="false" ht="15" hidden="false" customHeight="false" outlineLevel="0" collapsed="false">
      <c r="A30" s="24"/>
      <c r="B30" s="24"/>
      <c r="C30" s="22"/>
      <c r="D30" s="25"/>
      <c r="E30" s="22"/>
      <c r="F30" s="26"/>
      <c r="G30" s="26"/>
      <c r="H30" s="26"/>
      <c r="I30" s="26"/>
      <c r="J30" s="22"/>
      <c r="K30" s="20" t="n">
        <f aca="false">IF($D30="",0,$C30*$D30)</f>
        <v>0</v>
      </c>
      <c r="L30" s="20" t="n">
        <f aca="false">IF($D30="",0,$F30*$K30)</f>
        <v>0</v>
      </c>
      <c r="M30" s="20" t="n">
        <f aca="false">IF($D30="",0,$G30*$K30)</f>
        <v>0</v>
      </c>
      <c r="N30" s="20" t="n">
        <f aca="false">IF($D30="",0,$H30*$K30)</f>
        <v>0</v>
      </c>
      <c r="O30" s="20" t="n">
        <f aca="false">IF($D30="",0,$I30*$K30*(1-$F30))</f>
        <v>0</v>
      </c>
      <c r="P30" s="20" t="n">
        <f aca="false">IF($D30="",0,$E30*$D30+$L30+$M30+$N30+$O30+$J30*$D30)</f>
        <v>0</v>
      </c>
      <c r="Q30" s="20" t="n">
        <f aca="false">IF($D30="",0,$K30-$P30)</f>
        <v>0</v>
      </c>
      <c r="R30" s="21" t="n">
        <f aca="false">IF($K30=0,0,$Q30/$K30)</f>
        <v>0</v>
      </c>
      <c r="S30" s="20" t="n">
        <f aca="false">IF($D30="",0,$K30-$L30-$M30-$N30)</f>
        <v>0</v>
      </c>
      <c r="T30" s="22"/>
      <c r="U30" s="20" t="n">
        <f aca="false">IF($T30="",0,MAX(0,$S30-$T30))</f>
        <v>0</v>
      </c>
      <c r="V30" s="21" t="n">
        <f aca="false">IF($S30=0,0,$U30/$S30)</f>
        <v>0</v>
      </c>
      <c r="W30" s="23" t="str">
        <f aca="false">IF($D30="","",IF($T30="","BEKLİYOR",IF(OR($U30=0,$S30=0),"DOĞRU",IF(AND($V30&gt;PazaryeriEksikHakedisEsik,$U30&gt;PazaryeriEksikHakedisTutarEsik),"EKSİK HAKEDİŞ","DOĞRU"))))</f>
        <v/>
      </c>
      <c r="X30" s="23" t="str">
        <f aca="false">IF($B30="","",CONCATENATE("Ürün: ",$B30," | Kâr: ",TEXT($Q30,"₺ #,##0")," | Durum: ",$W30))</f>
        <v/>
      </c>
      <c r="Y30" s="24"/>
    </row>
    <row r="31" customFormat="false" ht="15" hidden="false" customHeight="false" outlineLevel="0" collapsed="false">
      <c r="A31" s="24"/>
      <c r="B31" s="24"/>
      <c r="C31" s="22"/>
      <c r="D31" s="25"/>
      <c r="E31" s="22"/>
      <c r="F31" s="26"/>
      <c r="G31" s="26"/>
      <c r="H31" s="26"/>
      <c r="I31" s="26"/>
      <c r="J31" s="22"/>
      <c r="K31" s="20" t="n">
        <f aca="false">IF($D31="",0,$C31*$D31)</f>
        <v>0</v>
      </c>
      <c r="L31" s="20" t="n">
        <f aca="false">IF($D31="",0,$F31*$K31)</f>
        <v>0</v>
      </c>
      <c r="M31" s="20" t="n">
        <f aca="false">IF($D31="",0,$G31*$K31)</f>
        <v>0</v>
      </c>
      <c r="N31" s="20" t="n">
        <f aca="false">IF($D31="",0,$H31*$K31)</f>
        <v>0</v>
      </c>
      <c r="O31" s="20" t="n">
        <f aca="false">IF($D31="",0,$I31*$K31*(1-$F31))</f>
        <v>0</v>
      </c>
      <c r="P31" s="20" t="n">
        <f aca="false">IF($D31="",0,$E31*$D31+$L31+$M31+$N31+$O31+$J31*$D31)</f>
        <v>0</v>
      </c>
      <c r="Q31" s="20" t="n">
        <f aca="false">IF($D31="",0,$K31-$P31)</f>
        <v>0</v>
      </c>
      <c r="R31" s="21" t="n">
        <f aca="false">IF($K31=0,0,$Q31/$K31)</f>
        <v>0</v>
      </c>
      <c r="S31" s="20" t="n">
        <f aca="false">IF($D31="",0,$K31-$L31-$M31-$N31)</f>
        <v>0</v>
      </c>
      <c r="T31" s="22"/>
      <c r="U31" s="20" t="n">
        <f aca="false">IF($T31="",0,MAX(0,$S31-$T31))</f>
        <v>0</v>
      </c>
      <c r="V31" s="21" t="n">
        <f aca="false">IF($S31=0,0,$U31/$S31)</f>
        <v>0</v>
      </c>
      <c r="W31" s="23" t="str">
        <f aca="false">IF($D31="","",IF($T31="","BEKLİYOR",IF(OR($U31=0,$S31=0),"DOĞRU",IF(AND($V31&gt;PazaryeriEksikHakedisEsik,$U31&gt;PazaryeriEksikHakedisTutarEsik),"EKSİK HAKEDİŞ","DOĞRU"))))</f>
        <v/>
      </c>
      <c r="X31" s="23" t="str">
        <f aca="false">IF($B31="","",CONCATENATE("Ürün: ",$B31," | Kâr: ",TEXT($Q31,"₺ #,##0")," | Durum: ",$W31))</f>
        <v/>
      </c>
      <c r="Y31" s="24"/>
    </row>
    <row r="32" customFormat="false" ht="15" hidden="false" customHeight="false" outlineLevel="0" collapsed="false">
      <c r="A32" s="24"/>
      <c r="B32" s="24"/>
      <c r="C32" s="22"/>
      <c r="D32" s="25"/>
      <c r="E32" s="22"/>
      <c r="F32" s="26"/>
      <c r="G32" s="26"/>
      <c r="H32" s="26"/>
      <c r="I32" s="26"/>
      <c r="J32" s="22"/>
      <c r="K32" s="20" t="n">
        <f aca="false">IF($D32="",0,$C32*$D32)</f>
        <v>0</v>
      </c>
      <c r="L32" s="20" t="n">
        <f aca="false">IF($D32="",0,$F32*$K32)</f>
        <v>0</v>
      </c>
      <c r="M32" s="20" t="n">
        <f aca="false">IF($D32="",0,$G32*$K32)</f>
        <v>0</v>
      </c>
      <c r="N32" s="20" t="n">
        <f aca="false">IF($D32="",0,$H32*$K32)</f>
        <v>0</v>
      </c>
      <c r="O32" s="20" t="n">
        <f aca="false">IF($D32="",0,$I32*$K32*(1-$F32))</f>
        <v>0</v>
      </c>
      <c r="P32" s="20" t="n">
        <f aca="false">IF($D32="",0,$E32*$D32+$L32+$M32+$N32+$O32+$J32*$D32)</f>
        <v>0</v>
      </c>
      <c r="Q32" s="20" t="n">
        <f aca="false">IF($D32="",0,$K32-$P32)</f>
        <v>0</v>
      </c>
      <c r="R32" s="21" t="n">
        <f aca="false">IF($K32=0,0,$Q32/$K32)</f>
        <v>0</v>
      </c>
      <c r="S32" s="20" t="n">
        <f aca="false">IF($D32="",0,$K32-$L32-$M32-$N32)</f>
        <v>0</v>
      </c>
      <c r="T32" s="22"/>
      <c r="U32" s="20" t="n">
        <f aca="false">IF($T32="",0,MAX(0,$S32-$T32))</f>
        <v>0</v>
      </c>
      <c r="V32" s="21" t="n">
        <f aca="false">IF($S32=0,0,$U32/$S32)</f>
        <v>0</v>
      </c>
      <c r="W32" s="23" t="str">
        <f aca="false">IF($D32="","",IF($T32="","BEKLİYOR",IF(OR($U32=0,$S32=0),"DOĞRU",IF(AND($V32&gt;PazaryeriEksikHakedisEsik,$U32&gt;PazaryeriEksikHakedisTutarEsik),"EKSİK HAKEDİŞ","DOĞRU"))))</f>
        <v/>
      </c>
      <c r="X32" s="23" t="str">
        <f aca="false">IF($B32="","",CONCATENATE("Ürün: ",$B32," | Kâr: ",TEXT($Q32,"₺ #,##0")," | Durum: ",$W32))</f>
        <v/>
      </c>
      <c r="Y32" s="24"/>
    </row>
    <row r="33" customFormat="false" ht="15" hidden="false" customHeight="false" outlineLevel="0" collapsed="false">
      <c r="A33" s="24"/>
      <c r="B33" s="24"/>
      <c r="C33" s="22"/>
      <c r="D33" s="25"/>
      <c r="E33" s="22"/>
      <c r="F33" s="26"/>
      <c r="G33" s="26"/>
      <c r="H33" s="26"/>
      <c r="I33" s="26"/>
      <c r="J33" s="22"/>
      <c r="K33" s="20" t="n">
        <f aca="false">IF($D33="",0,$C33*$D33)</f>
        <v>0</v>
      </c>
      <c r="L33" s="20" t="n">
        <f aca="false">IF($D33="",0,$F33*$K33)</f>
        <v>0</v>
      </c>
      <c r="M33" s="20" t="n">
        <f aca="false">IF($D33="",0,$G33*$K33)</f>
        <v>0</v>
      </c>
      <c r="N33" s="20" t="n">
        <f aca="false">IF($D33="",0,$H33*$K33)</f>
        <v>0</v>
      </c>
      <c r="O33" s="20" t="n">
        <f aca="false">IF($D33="",0,$I33*$K33*(1-$F33))</f>
        <v>0</v>
      </c>
      <c r="P33" s="20" t="n">
        <f aca="false">IF($D33="",0,$E33*$D33+$L33+$M33+$N33+$O33+$J33*$D33)</f>
        <v>0</v>
      </c>
      <c r="Q33" s="20" t="n">
        <f aca="false">IF($D33="",0,$K33-$P33)</f>
        <v>0</v>
      </c>
      <c r="R33" s="21" t="n">
        <f aca="false">IF($K33=0,0,$Q33/$K33)</f>
        <v>0</v>
      </c>
      <c r="S33" s="20" t="n">
        <f aca="false">IF($D33="",0,$K33-$L33-$M33-$N33)</f>
        <v>0</v>
      </c>
      <c r="T33" s="22"/>
      <c r="U33" s="20" t="n">
        <f aca="false">IF($T33="",0,MAX(0,$S33-$T33))</f>
        <v>0</v>
      </c>
      <c r="V33" s="21" t="n">
        <f aca="false">IF($S33=0,0,$U33/$S33)</f>
        <v>0</v>
      </c>
      <c r="W33" s="23" t="str">
        <f aca="false">IF($D33="","",IF($T33="","BEKLİYOR",IF(OR($U33=0,$S33=0),"DOĞRU",IF(AND($V33&gt;PazaryeriEksikHakedisEsik,$U33&gt;PazaryeriEksikHakedisTutarEsik),"EKSİK HAKEDİŞ","DOĞRU"))))</f>
        <v/>
      </c>
      <c r="X33" s="23" t="str">
        <f aca="false">IF($B33="","",CONCATENATE("Ürün: ",$B33," | Kâr: ",TEXT($Q33,"₺ #,##0")," | Durum: ",$W33))</f>
        <v/>
      </c>
      <c r="Y33" s="24"/>
    </row>
    <row r="34" customFormat="false" ht="15" hidden="false" customHeight="false" outlineLevel="0" collapsed="false">
      <c r="A34" s="24"/>
      <c r="B34" s="24"/>
      <c r="C34" s="22"/>
      <c r="D34" s="25"/>
      <c r="E34" s="22"/>
      <c r="F34" s="26"/>
      <c r="G34" s="26"/>
      <c r="H34" s="26"/>
      <c r="I34" s="26"/>
      <c r="J34" s="22"/>
      <c r="K34" s="20" t="n">
        <f aca="false">IF($D34="",0,$C34*$D34)</f>
        <v>0</v>
      </c>
      <c r="L34" s="20" t="n">
        <f aca="false">IF($D34="",0,$F34*$K34)</f>
        <v>0</v>
      </c>
      <c r="M34" s="20" t="n">
        <f aca="false">IF($D34="",0,$G34*$K34)</f>
        <v>0</v>
      </c>
      <c r="N34" s="20" t="n">
        <f aca="false">IF($D34="",0,$H34*$K34)</f>
        <v>0</v>
      </c>
      <c r="O34" s="20" t="n">
        <f aca="false">IF($D34="",0,$I34*$K34*(1-$F34))</f>
        <v>0</v>
      </c>
      <c r="P34" s="20" t="n">
        <f aca="false">IF($D34="",0,$E34*$D34+$L34+$M34+$N34+$O34+$J34*$D34)</f>
        <v>0</v>
      </c>
      <c r="Q34" s="20" t="n">
        <f aca="false">IF($D34="",0,$K34-$P34)</f>
        <v>0</v>
      </c>
      <c r="R34" s="21" t="n">
        <f aca="false">IF($K34=0,0,$Q34/$K34)</f>
        <v>0</v>
      </c>
      <c r="S34" s="20" t="n">
        <f aca="false">IF($D34="",0,$K34-$L34-$M34-$N34)</f>
        <v>0</v>
      </c>
      <c r="T34" s="22"/>
      <c r="U34" s="20" t="n">
        <f aca="false">IF($T34="",0,MAX(0,$S34-$T34))</f>
        <v>0</v>
      </c>
      <c r="V34" s="21" t="n">
        <f aca="false">IF($S34=0,0,$U34/$S34)</f>
        <v>0</v>
      </c>
      <c r="W34" s="23" t="str">
        <f aca="false">IF($D34="","",IF($T34="","BEKLİYOR",IF(OR($U34=0,$S34=0),"DOĞRU",IF(AND($V34&gt;PazaryeriEksikHakedisEsik,$U34&gt;PazaryeriEksikHakedisTutarEsik),"EKSİK HAKEDİŞ","DOĞRU"))))</f>
        <v/>
      </c>
      <c r="X34" s="23" t="str">
        <f aca="false">IF($B34="","",CONCATENATE("Ürün: ",$B34," | Kâr: ",TEXT($Q34,"₺ #,##0")," | Durum: ",$W34))</f>
        <v/>
      </c>
      <c r="Y34" s="24"/>
    </row>
    <row r="35" customFormat="false" ht="15" hidden="false" customHeight="false" outlineLevel="0" collapsed="false">
      <c r="A35" s="24"/>
      <c r="B35" s="24"/>
      <c r="C35" s="22"/>
      <c r="D35" s="25"/>
      <c r="E35" s="22"/>
      <c r="F35" s="26"/>
      <c r="G35" s="26"/>
      <c r="H35" s="26"/>
      <c r="I35" s="26"/>
      <c r="J35" s="22"/>
      <c r="K35" s="20" t="n">
        <f aca="false">IF($D35="",0,$C35*$D35)</f>
        <v>0</v>
      </c>
      <c r="L35" s="20" t="n">
        <f aca="false">IF($D35="",0,$F35*$K35)</f>
        <v>0</v>
      </c>
      <c r="M35" s="20" t="n">
        <f aca="false">IF($D35="",0,$G35*$K35)</f>
        <v>0</v>
      </c>
      <c r="N35" s="20" t="n">
        <f aca="false">IF($D35="",0,$H35*$K35)</f>
        <v>0</v>
      </c>
      <c r="O35" s="20" t="n">
        <f aca="false">IF($D35="",0,$I35*$K35*(1-$F35))</f>
        <v>0</v>
      </c>
      <c r="P35" s="20" t="n">
        <f aca="false">IF($D35="",0,$E35*$D35+$L35+$M35+$N35+$O35+$J35*$D35)</f>
        <v>0</v>
      </c>
      <c r="Q35" s="20" t="n">
        <f aca="false">IF($D35="",0,$K35-$P35)</f>
        <v>0</v>
      </c>
      <c r="R35" s="21" t="n">
        <f aca="false">IF($K35=0,0,$Q35/$K35)</f>
        <v>0</v>
      </c>
      <c r="S35" s="20" t="n">
        <f aca="false">IF($D35="",0,$K35-$L35-$M35-$N35)</f>
        <v>0</v>
      </c>
      <c r="T35" s="22"/>
      <c r="U35" s="20" t="n">
        <f aca="false">IF($T35="",0,MAX(0,$S35-$T35))</f>
        <v>0</v>
      </c>
      <c r="V35" s="21" t="n">
        <f aca="false">IF($S35=0,0,$U35/$S35)</f>
        <v>0</v>
      </c>
      <c r="W35" s="23" t="str">
        <f aca="false">IF($D35="","",IF($T35="","BEKLİYOR",IF(OR($U35=0,$S35=0),"DOĞRU",IF(AND($V35&gt;PazaryeriEksikHakedisEsik,$U35&gt;PazaryeriEksikHakedisTutarEsik),"EKSİK HAKEDİŞ","DOĞRU"))))</f>
        <v/>
      </c>
      <c r="X35" s="23" t="str">
        <f aca="false">IF($B35="","",CONCATENATE("Ürün: ",$B35," | Kâr: ",TEXT($Q35,"₺ #,##0")," | Durum: ",$W35))</f>
        <v/>
      </c>
      <c r="Y35" s="24"/>
    </row>
    <row r="36" customFormat="false" ht="15" hidden="false" customHeight="false" outlineLevel="0" collapsed="false">
      <c r="A36" s="24"/>
      <c r="B36" s="24"/>
      <c r="C36" s="22"/>
      <c r="D36" s="25"/>
      <c r="E36" s="22"/>
      <c r="F36" s="26"/>
      <c r="G36" s="26"/>
      <c r="H36" s="26"/>
      <c r="I36" s="26"/>
      <c r="J36" s="22"/>
      <c r="K36" s="20" t="n">
        <f aca="false">IF($D36="",0,$C36*$D36)</f>
        <v>0</v>
      </c>
      <c r="L36" s="20" t="n">
        <f aca="false">IF($D36="",0,$F36*$K36)</f>
        <v>0</v>
      </c>
      <c r="M36" s="20" t="n">
        <f aca="false">IF($D36="",0,$G36*$K36)</f>
        <v>0</v>
      </c>
      <c r="N36" s="20" t="n">
        <f aca="false">IF($D36="",0,$H36*$K36)</f>
        <v>0</v>
      </c>
      <c r="O36" s="20" t="n">
        <f aca="false">IF($D36="",0,$I36*$K36*(1-$F36))</f>
        <v>0</v>
      </c>
      <c r="P36" s="20" t="n">
        <f aca="false">IF($D36="",0,$E36*$D36+$L36+$M36+$N36+$O36+$J36*$D36)</f>
        <v>0</v>
      </c>
      <c r="Q36" s="20" t="n">
        <f aca="false">IF($D36="",0,$K36-$P36)</f>
        <v>0</v>
      </c>
      <c r="R36" s="21" t="n">
        <f aca="false">IF($K36=0,0,$Q36/$K36)</f>
        <v>0</v>
      </c>
      <c r="S36" s="20" t="n">
        <f aca="false">IF($D36="",0,$K36-$L36-$M36-$N36)</f>
        <v>0</v>
      </c>
      <c r="T36" s="22"/>
      <c r="U36" s="20" t="n">
        <f aca="false">IF($T36="",0,MAX(0,$S36-$T36))</f>
        <v>0</v>
      </c>
      <c r="V36" s="21" t="n">
        <f aca="false">IF($S36=0,0,$U36/$S36)</f>
        <v>0</v>
      </c>
      <c r="W36" s="23" t="str">
        <f aca="false">IF($D36="","",IF($T36="","BEKLİYOR",IF(OR($U36=0,$S36=0),"DOĞRU",IF(AND($V36&gt;PazaryeriEksikHakedisEsik,$U36&gt;PazaryeriEksikHakedisTutarEsik),"EKSİK HAKEDİŞ","DOĞRU"))))</f>
        <v/>
      </c>
      <c r="X36" s="23" t="str">
        <f aca="false">IF($B36="","",CONCATENATE("Ürün: ",$B36," | Kâr: ",TEXT($Q36,"₺ #,##0")," | Durum: ",$W36))</f>
        <v/>
      </c>
      <c r="Y36" s="24"/>
    </row>
    <row r="37" customFormat="false" ht="15" hidden="false" customHeight="false" outlineLevel="0" collapsed="false">
      <c r="A37" s="24"/>
      <c r="B37" s="24"/>
      <c r="C37" s="22"/>
      <c r="D37" s="25"/>
      <c r="E37" s="22"/>
      <c r="F37" s="26"/>
      <c r="G37" s="26"/>
      <c r="H37" s="26"/>
      <c r="I37" s="26"/>
      <c r="J37" s="22"/>
      <c r="K37" s="20" t="n">
        <f aca="false">IF($D37="",0,$C37*$D37)</f>
        <v>0</v>
      </c>
      <c r="L37" s="20" t="n">
        <f aca="false">IF($D37="",0,$F37*$K37)</f>
        <v>0</v>
      </c>
      <c r="M37" s="20" t="n">
        <f aca="false">IF($D37="",0,$G37*$K37)</f>
        <v>0</v>
      </c>
      <c r="N37" s="20" t="n">
        <f aca="false">IF($D37="",0,$H37*$K37)</f>
        <v>0</v>
      </c>
      <c r="O37" s="20" t="n">
        <f aca="false">IF($D37="",0,$I37*$K37*(1-$F37))</f>
        <v>0</v>
      </c>
      <c r="P37" s="20" t="n">
        <f aca="false">IF($D37="",0,$E37*$D37+$L37+$M37+$N37+$O37+$J37*$D37)</f>
        <v>0</v>
      </c>
      <c r="Q37" s="20" t="n">
        <f aca="false">IF($D37="",0,$K37-$P37)</f>
        <v>0</v>
      </c>
      <c r="R37" s="21" t="n">
        <f aca="false">IF($K37=0,0,$Q37/$K37)</f>
        <v>0</v>
      </c>
      <c r="S37" s="20" t="n">
        <f aca="false">IF($D37="",0,$K37-$L37-$M37-$N37)</f>
        <v>0</v>
      </c>
      <c r="T37" s="22"/>
      <c r="U37" s="20" t="n">
        <f aca="false">IF($T37="",0,MAX(0,$S37-$T37))</f>
        <v>0</v>
      </c>
      <c r="V37" s="21" t="n">
        <f aca="false">IF($S37=0,0,$U37/$S37)</f>
        <v>0</v>
      </c>
      <c r="W37" s="23" t="str">
        <f aca="false">IF($D37="","",IF($T37="","BEKLİYOR",IF(OR($U37=0,$S37=0),"DOĞRU",IF(AND($V37&gt;PazaryeriEksikHakedisEsik,$U37&gt;PazaryeriEksikHakedisTutarEsik),"EKSİK HAKEDİŞ","DOĞRU"))))</f>
        <v/>
      </c>
      <c r="X37" s="23" t="str">
        <f aca="false">IF($B37="","",CONCATENATE("Ürün: ",$B37," | Kâr: ",TEXT($Q37,"₺ #,##0")," | Durum: ",$W37))</f>
        <v/>
      </c>
      <c r="Y37" s="24"/>
    </row>
    <row r="38" customFormat="false" ht="15" hidden="false" customHeight="false" outlineLevel="0" collapsed="false">
      <c r="A38" s="24"/>
      <c r="B38" s="24"/>
      <c r="C38" s="22"/>
      <c r="D38" s="25"/>
      <c r="E38" s="22"/>
      <c r="F38" s="26"/>
      <c r="G38" s="26"/>
      <c r="H38" s="26"/>
      <c r="I38" s="26"/>
      <c r="J38" s="22"/>
      <c r="K38" s="20" t="n">
        <f aca="false">IF($D38="",0,$C38*$D38)</f>
        <v>0</v>
      </c>
      <c r="L38" s="20" t="n">
        <f aca="false">IF($D38="",0,$F38*$K38)</f>
        <v>0</v>
      </c>
      <c r="M38" s="20" t="n">
        <f aca="false">IF($D38="",0,$G38*$K38)</f>
        <v>0</v>
      </c>
      <c r="N38" s="20" t="n">
        <f aca="false">IF($D38="",0,$H38*$K38)</f>
        <v>0</v>
      </c>
      <c r="O38" s="20" t="n">
        <f aca="false">IF($D38="",0,$I38*$K38*(1-$F38))</f>
        <v>0</v>
      </c>
      <c r="P38" s="20" t="n">
        <f aca="false">IF($D38="",0,$E38*$D38+$L38+$M38+$N38+$O38+$J38*$D38)</f>
        <v>0</v>
      </c>
      <c r="Q38" s="20" t="n">
        <f aca="false">IF($D38="",0,$K38-$P38)</f>
        <v>0</v>
      </c>
      <c r="R38" s="21" t="n">
        <f aca="false">IF($K38=0,0,$Q38/$K38)</f>
        <v>0</v>
      </c>
      <c r="S38" s="20" t="n">
        <f aca="false">IF($D38="",0,$K38-$L38-$M38-$N38)</f>
        <v>0</v>
      </c>
      <c r="T38" s="22"/>
      <c r="U38" s="20" t="n">
        <f aca="false">IF($T38="",0,MAX(0,$S38-$T38))</f>
        <v>0</v>
      </c>
      <c r="V38" s="21" t="n">
        <f aca="false">IF($S38=0,0,$U38/$S38)</f>
        <v>0</v>
      </c>
      <c r="W38" s="23" t="str">
        <f aca="false">IF($D38="","",IF($T38="","BEKLİYOR",IF(OR($U38=0,$S38=0),"DOĞRU",IF(AND($V38&gt;PazaryeriEksikHakedisEsik,$U38&gt;PazaryeriEksikHakedisTutarEsik),"EKSİK HAKEDİŞ","DOĞRU"))))</f>
        <v/>
      </c>
      <c r="X38" s="23" t="str">
        <f aca="false">IF($B38="","",CONCATENATE("Ürün: ",$B38," | Kâr: ",TEXT($Q38,"₺ #,##0")," | Durum: ",$W38))</f>
        <v/>
      </c>
      <c r="Y38" s="24"/>
    </row>
    <row r="39" customFormat="false" ht="15" hidden="false" customHeight="false" outlineLevel="0" collapsed="false">
      <c r="A39" s="24"/>
      <c r="B39" s="24"/>
      <c r="C39" s="22"/>
      <c r="D39" s="25"/>
      <c r="E39" s="22"/>
      <c r="F39" s="26"/>
      <c r="G39" s="26"/>
      <c r="H39" s="26"/>
      <c r="I39" s="26"/>
      <c r="J39" s="22"/>
      <c r="K39" s="20" t="n">
        <f aca="false">IF($D39="",0,$C39*$D39)</f>
        <v>0</v>
      </c>
      <c r="L39" s="20" t="n">
        <f aca="false">IF($D39="",0,$F39*$K39)</f>
        <v>0</v>
      </c>
      <c r="M39" s="20" t="n">
        <f aca="false">IF($D39="",0,$G39*$K39)</f>
        <v>0</v>
      </c>
      <c r="N39" s="20" t="n">
        <f aca="false">IF($D39="",0,$H39*$K39)</f>
        <v>0</v>
      </c>
      <c r="O39" s="20" t="n">
        <f aca="false">IF($D39="",0,$I39*$K39*(1-$F39))</f>
        <v>0</v>
      </c>
      <c r="P39" s="20" t="n">
        <f aca="false">IF($D39="",0,$E39*$D39+$L39+$M39+$N39+$O39+$J39*$D39)</f>
        <v>0</v>
      </c>
      <c r="Q39" s="20" t="n">
        <f aca="false">IF($D39="",0,$K39-$P39)</f>
        <v>0</v>
      </c>
      <c r="R39" s="21" t="n">
        <f aca="false">IF($K39=0,0,$Q39/$K39)</f>
        <v>0</v>
      </c>
      <c r="S39" s="20" t="n">
        <f aca="false">IF($D39="",0,$K39-$L39-$M39-$N39)</f>
        <v>0</v>
      </c>
      <c r="T39" s="22"/>
      <c r="U39" s="20" t="n">
        <f aca="false">IF($T39="",0,MAX(0,$S39-$T39))</f>
        <v>0</v>
      </c>
      <c r="V39" s="21" t="n">
        <f aca="false">IF($S39=0,0,$U39/$S39)</f>
        <v>0</v>
      </c>
      <c r="W39" s="23" t="str">
        <f aca="false">IF($D39="","",IF($T39="","BEKLİYOR",IF(OR($U39=0,$S39=0),"DOĞRU",IF(AND($V39&gt;PazaryeriEksikHakedisEsik,$U39&gt;PazaryeriEksikHakedisTutarEsik),"EKSİK HAKEDİŞ","DOĞRU"))))</f>
        <v/>
      </c>
      <c r="X39" s="23" t="str">
        <f aca="false">IF($B39="","",CONCATENATE("Ürün: ",$B39," | Kâr: ",TEXT($Q39,"₺ #,##0")," | Durum: ",$W39))</f>
        <v/>
      </c>
      <c r="Y39" s="24"/>
    </row>
    <row r="40" customFormat="false" ht="15" hidden="false" customHeight="false" outlineLevel="0" collapsed="false">
      <c r="A40" s="24"/>
      <c r="B40" s="24"/>
      <c r="C40" s="22"/>
      <c r="D40" s="25"/>
      <c r="E40" s="22"/>
      <c r="F40" s="26"/>
      <c r="G40" s="26"/>
      <c r="H40" s="26"/>
      <c r="I40" s="26"/>
      <c r="J40" s="22"/>
      <c r="K40" s="20" t="n">
        <f aca="false">IF($D40="",0,$C40*$D40)</f>
        <v>0</v>
      </c>
      <c r="L40" s="20" t="n">
        <f aca="false">IF($D40="",0,$F40*$K40)</f>
        <v>0</v>
      </c>
      <c r="M40" s="20" t="n">
        <f aca="false">IF($D40="",0,$G40*$K40)</f>
        <v>0</v>
      </c>
      <c r="N40" s="20" t="n">
        <f aca="false">IF($D40="",0,$H40*$K40)</f>
        <v>0</v>
      </c>
      <c r="O40" s="20" t="n">
        <f aca="false">IF($D40="",0,$I40*$K40*(1-$F40))</f>
        <v>0</v>
      </c>
      <c r="P40" s="20" t="n">
        <f aca="false">IF($D40="",0,$E40*$D40+$L40+$M40+$N40+$O40+$J40*$D40)</f>
        <v>0</v>
      </c>
      <c r="Q40" s="20" t="n">
        <f aca="false">IF($D40="",0,$K40-$P40)</f>
        <v>0</v>
      </c>
      <c r="R40" s="21" t="n">
        <f aca="false">IF($K40=0,0,$Q40/$K40)</f>
        <v>0</v>
      </c>
      <c r="S40" s="20" t="n">
        <f aca="false">IF($D40="",0,$K40-$L40-$M40-$N40)</f>
        <v>0</v>
      </c>
      <c r="T40" s="22"/>
      <c r="U40" s="20" t="n">
        <f aca="false">IF($T40="",0,MAX(0,$S40-$T40))</f>
        <v>0</v>
      </c>
      <c r="V40" s="21" t="n">
        <f aca="false">IF($S40=0,0,$U40/$S40)</f>
        <v>0</v>
      </c>
      <c r="W40" s="23" t="str">
        <f aca="false">IF($D40="","",IF($T40="","BEKLİYOR",IF(OR($U40=0,$S40=0),"DOĞRU",IF(AND($V40&gt;PazaryeriEksikHakedisEsik,$U40&gt;PazaryeriEksikHakedisTutarEsik),"EKSİK HAKEDİŞ","DOĞRU"))))</f>
        <v/>
      </c>
      <c r="X40" s="23" t="str">
        <f aca="false">IF($B40="","",CONCATENATE("Ürün: ",$B40," | Kâr: ",TEXT($Q40,"₺ #,##0")," | Durum: ",$W40))</f>
        <v/>
      </c>
      <c r="Y40" s="24"/>
    </row>
    <row r="41" customFormat="false" ht="15" hidden="false" customHeight="false" outlineLevel="0" collapsed="false">
      <c r="A41" s="24"/>
      <c r="B41" s="24"/>
      <c r="C41" s="22"/>
      <c r="D41" s="25"/>
      <c r="E41" s="22"/>
      <c r="F41" s="26"/>
      <c r="G41" s="26"/>
      <c r="H41" s="26"/>
      <c r="I41" s="26"/>
      <c r="J41" s="22"/>
      <c r="K41" s="20" t="n">
        <f aca="false">IF($D41="",0,$C41*$D41)</f>
        <v>0</v>
      </c>
      <c r="L41" s="20" t="n">
        <f aca="false">IF($D41="",0,$F41*$K41)</f>
        <v>0</v>
      </c>
      <c r="M41" s="20" t="n">
        <f aca="false">IF($D41="",0,$G41*$K41)</f>
        <v>0</v>
      </c>
      <c r="N41" s="20" t="n">
        <f aca="false">IF($D41="",0,$H41*$K41)</f>
        <v>0</v>
      </c>
      <c r="O41" s="20" t="n">
        <f aca="false">IF($D41="",0,$I41*$K41*(1-$F41))</f>
        <v>0</v>
      </c>
      <c r="P41" s="20" t="n">
        <f aca="false">IF($D41="",0,$E41*$D41+$L41+$M41+$N41+$O41+$J41*$D41)</f>
        <v>0</v>
      </c>
      <c r="Q41" s="20" t="n">
        <f aca="false">IF($D41="",0,$K41-$P41)</f>
        <v>0</v>
      </c>
      <c r="R41" s="21" t="n">
        <f aca="false">IF($K41=0,0,$Q41/$K41)</f>
        <v>0</v>
      </c>
      <c r="S41" s="20" t="n">
        <f aca="false">IF($D41="",0,$K41-$L41-$M41-$N41)</f>
        <v>0</v>
      </c>
      <c r="T41" s="22"/>
      <c r="U41" s="20" t="n">
        <f aca="false">IF($T41="",0,MAX(0,$S41-$T41))</f>
        <v>0</v>
      </c>
      <c r="V41" s="21" t="n">
        <f aca="false">IF($S41=0,0,$U41/$S41)</f>
        <v>0</v>
      </c>
      <c r="W41" s="23" t="str">
        <f aca="false">IF($D41="","",IF($T41="","BEKLİYOR",IF(OR($U41=0,$S41=0),"DOĞRU",IF(AND($V41&gt;PazaryeriEksikHakedisEsik,$U41&gt;PazaryeriEksikHakedisTutarEsik),"EKSİK HAKEDİŞ","DOĞRU"))))</f>
        <v/>
      </c>
      <c r="X41" s="23" t="str">
        <f aca="false">IF($B41="","",CONCATENATE("Ürün: ",$B41," | Kâr: ",TEXT($Q41,"₺ #,##0")," | Durum: ",$W41))</f>
        <v/>
      </c>
      <c r="Y41" s="24"/>
    </row>
    <row r="42" customFormat="false" ht="15" hidden="false" customHeight="false" outlineLevel="0" collapsed="false">
      <c r="A42" s="24"/>
      <c r="B42" s="24"/>
      <c r="C42" s="22"/>
      <c r="D42" s="25"/>
      <c r="E42" s="22"/>
      <c r="F42" s="26"/>
      <c r="G42" s="26"/>
      <c r="H42" s="26"/>
      <c r="I42" s="26"/>
      <c r="J42" s="22"/>
      <c r="K42" s="20" t="n">
        <f aca="false">IF($D42="",0,$C42*$D42)</f>
        <v>0</v>
      </c>
      <c r="L42" s="20" t="n">
        <f aca="false">IF($D42="",0,$F42*$K42)</f>
        <v>0</v>
      </c>
      <c r="M42" s="20" t="n">
        <f aca="false">IF($D42="",0,$G42*$K42)</f>
        <v>0</v>
      </c>
      <c r="N42" s="20" t="n">
        <f aca="false">IF($D42="",0,$H42*$K42)</f>
        <v>0</v>
      </c>
      <c r="O42" s="20" t="n">
        <f aca="false">IF($D42="",0,$I42*$K42*(1-$F42))</f>
        <v>0</v>
      </c>
      <c r="P42" s="20" t="n">
        <f aca="false">IF($D42="",0,$E42*$D42+$L42+$M42+$N42+$O42+$J42*$D42)</f>
        <v>0</v>
      </c>
      <c r="Q42" s="20" t="n">
        <f aca="false">IF($D42="",0,$K42-$P42)</f>
        <v>0</v>
      </c>
      <c r="R42" s="21" t="n">
        <f aca="false">IF($K42=0,0,$Q42/$K42)</f>
        <v>0</v>
      </c>
      <c r="S42" s="20" t="n">
        <f aca="false">IF($D42="",0,$K42-$L42-$M42-$N42)</f>
        <v>0</v>
      </c>
      <c r="T42" s="22"/>
      <c r="U42" s="20" t="n">
        <f aca="false">IF($T42="",0,MAX(0,$S42-$T42))</f>
        <v>0</v>
      </c>
      <c r="V42" s="21" t="n">
        <f aca="false">IF($S42=0,0,$U42/$S42)</f>
        <v>0</v>
      </c>
      <c r="W42" s="23" t="str">
        <f aca="false">IF($D42="","",IF($T42="","BEKLİYOR",IF(OR($U42=0,$S42=0),"DOĞRU",IF(AND($V42&gt;PazaryeriEksikHakedisEsik,$U42&gt;PazaryeriEksikHakedisTutarEsik),"EKSİK HAKEDİŞ","DOĞRU"))))</f>
        <v/>
      </c>
      <c r="X42" s="23" t="str">
        <f aca="false">IF($B42="","",CONCATENATE("Ürün: ",$B42," | Kâr: ",TEXT($Q42,"₺ #,##0")," | Durum: ",$W42))</f>
        <v/>
      </c>
      <c r="Y42" s="24"/>
    </row>
    <row r="43" customFormat="false" ht="15" hidden="false" customHeight="false" outlineLevel="0" collapsed="false">
      <c r="A43" s="24"/>
      <c r="B43" s="24"/>
      <c r="C43" s="22"/>
      <c r="D43" s="25"/>
      <c r="E43" s="22"/>
      <c r="F43" s="26"/>
      <c r="G43" s="26"/>
      <c r="H43" s="26"/>
      <c r="I43" s="26"/>
      <c r="J43" s="22"/>
      <c r="K43" s="20" t="n">
        <f aca="false">IF($D43="",0,$C43*$D43)</f>
        <v>0</v>
      </c>
      <c r="L43" s="20" t="n">
        <f aca="false">IF($D43="",0,$F43*$K43)</f>
        <v>0</v>
      </c>
      <c r="M43" s="20" t="n">
        <f aca="false">IF($D43="",0,$G43*$K43)</f>
        <v>0</v>
      </c>
      <c r="N43" s="20" t="n">
        <f aca="false">IF($D43="",0,$H43*$K43)</f>
        <v>0</v>
      </c>
      <c r="O43" s="20" t="n">
        <f aca="false">IF($D43="",0,$I43*$K43*(1-$F43))</f>
        <v>0</v>
      </c>
      <c r="P43" s="20" t="n">
        <f aca="false">IF($D43="",0,$E43*$D43+$L43+$M43+$N43+$O43+$J43*$D43)</f>
        <v>0</v>
      </c>
      <c r="Q43" s="20" t="n">
        <f aca="false">IF($D43="",0,$K43-$P43)</f>
        <v>0</v>
      </c>
      <c r="R43" s="21" t="n">
        <f aca="false">IF($K43=0,0,$Q43/$K43)</f>
        <v>0</v>
      </c>
      <c r="S43" s="20" t="n">
        <f aca="false">IF($D43="",0,$K43-$L43-$M43-$N43)</f>
        <v>0</v>
      </c>
      <c r="T43" s="22"/>
      <c r="U43" s="20" t="n">
        <f aca="false">IF($T43="",0,MAX(0,$S43-$T43))</f>
        <v>0</v>
      </c>
      <c r="V43" s="21" t="n">
        <f aca="false">IF($S43=0,0,$U43/$S43)</f>
        <v>0</v>
      </c>
      <c r="W43" s="23" t="str">
        <f aca="false">IF($D43="","",IF($T43="","BEKLİYOR",IF(OR($U43=0,$S43=0),"DOĞRU",IF(AND($V43&gt;PazaryeriEksikHakedisEsik,$U43&gt;PazaryeriEksikHakedisTutarEsik),"EKSİK HAKEDİŞ","DOĞRU"))))</f>
        <v/>
      </c>
      <c r="X43" s="23" t="str">
        <f aca="false">IF($B43="","",CONCATENATE("Ürün: ",$B43," | Kâr: ",TEXT($Q43,"₺ #,##0")," | Durum: ",$W43))</f>
        <v/>
      </c>
      <c r="Y43" s="24"/>
    </row>
    <row r="44" customFormat="false" ht="15" hidden="false" customHeight="false" outlineLevel="0" collapsed="false">
      <c r="A44" s="24"/>
      <c r="B44" s="24"/>
      <c r="C44" s="22"/>
      <c r="D44" s="25"/>
      <c r="E44" s="22"/>
      <c r="F44" s="26"/>
      <c r="G44" s="26"/>
      <c r="H44" s="26"/>
      <c r="I44" s="26"/>
      <c r="J44" s="22"/>
      <c r="K44" s="20" t="n">
        <f aca="false">IF($D44="",0,$C44*$D44)</f>
        <v>0</v>
      </c>
      <c r="L44" s="20" t="n">
        <f aca="false">IF($D44="",0,$F44*$K44)</f>
        <v>0</v>
      </c>
      <c r="M44" s="20" t="n">
        <f aca="false">IF($D44="",0,$G44*$K44)</f>
        <v>0</v>
      </c>
      <c r="N44" s="20" t="n">
        <f aca="false">IF($D44="",0,$H44*$K44)</f>
        <v>0</v>
      </c>
      <c r="O44" s="20" t="n">
        <f aca="false">IF($D44="",0,$I44*$K44*(1-$F44))</f>
        <v>0</v>
      </c>
      <c r="P44" s="20" t="n">
        <f aca="false">IF($D44="",0,$E44*$D44+$L44+$M44+$N44+$O44+$J44*$D44)</f>
        <v>0</v>
      </c>
      <c r="Q44" s="20" t="n">
        <f aca="false">IF($D44="",0,$K44-$P44)</f>
        <v>0</v>
      </c>
      <c r="R44" s="21" t="n">
        <f aca="false">IF($K44=0,0,$Q44/$K44)</f>
        <v>0</v>
      </c>
      <c r="S44" s="20" t="n">
        <f aca="false">IF($D44="",0,$K44-$L44-$M44-$N44)</f>
        <v>0</v>
      </c>
      <c r="T44" s="22"/>
      <c r="U44" s="20" t="n">
        <f aca="false">IF($T44="",0,MAX(0,$S44-$T44))</f>
        <v>0</v>
      </c>
      <c r="V44" s="21" t="n">
        <f aca="false">IF($S44=0,0,$U44/$S44)</f>
        <v>0</v>
      </c>
      <c r="W44" s="23" t="str">
        <f aca="false">IF($D44="","",IF($T44="","BEKLİYOR",IF(OR($U44=0,$S44=0),"DOĞRU",IF(AND($V44&gt;PazaryeriEksikHakedisEsik,$U44&gt;PazaryeriEksikHakedisTutarEsik),"EKSİK HAKEDİŞ","DOĞRU"))))</f>
        <v/>
      </c>
      <c r="X44" s="23" t="str">
        <f aca="false">IF($B44="","",CONCATENATE("Ürün: ",$B44," | Kâr: ",TEXT($Q44,"₺ #,##0")," | Durum: ",$W44))</f>
        <v/>
      </c>
      <c r="Y44" s="24"/>
    </row>
    <row r="45" customFormat="false" ht="15" hidden="false" customHeight="false" outlineLevel="0" collapsed="false">
      <c r="A45" s="24"/>
      <c r="B45" s="24"/>
      <c r="C45" s="22"/>
      <c r="D45" s="25"/>
      <c r="E45" s="22"/>
      <c r="F45" s="26"/>
      <c r="G45" s="26"/>
      <c r="H45" s="26"/>
      <c r="I45" s="26"/>
      <c r="J45" s="22"/>
      <c r="K45" s="20" t="n">
        <f aca="false">IF($D45="",0,$C45*$D45)</f>
        <v>0</v>
      </c>
      <c r="L45" s="20" t="n">
        <f aca="false">IF($D45="",0,$F45*$K45)</f>
        <v>0</v>
      </c>
      <c r="M45" s="20" t="n">
        <f aca="false">IF($D45="",0,$G45*$K45)</f>
        <v>0</v>
      </c>
      <c r="N45" s="20" t="n">
        <f aca="false">IF($D45="",0,$H45*$K45)</f>
        <v>0</v>
      </c>
      <c r="O45" s="20" t="n">
        <f aca="false">IF($D45="",0,$I45*$K45*(1-$F45))</f>
        <v>0</v>
      </c>
      <c r="P45" s="20" t="n">
        <f aca="false">IF($D45="",0,$E45*$D45+$L45+$M45+$N45+$O45+$J45*$D45)</f>
        <v>0</v>
      </c>
      <c r="Q45" s="20" t="n">
        <f aca="false">IF($D45="",0,$K45-$P45)</f>
        <v>0</v>
      </c>
      <c r="R45" s="21" t="n">
        <f aca="false">IF($K45=0,0,$Q45/$K45)</f>
        <v>0</v>
      </c>
      <c r="S45" s="20" t="n">
        <f aca="false">IF($D45="",0,$K45-$L45-$M45-$N45)</f>
        <v>0</v>
      </c>
      <c r="T45" s="22"/>
      <c r="U45" s="20" t="n">
        <f aca="false">IF($T45="",0,MAX(0,$S45-$T45))</f>
        <v>0</v>
      </c>
      <c r="V45" s="21" t="n">
        <f aca="false">IF($S45=0,0,$U45/$S45)</f>
        <v>0</v>
      </c>
      <c r="W45" s="23" t="str">
        <f aca="false">IF($D45="","",IF($T45="","BEKLİYOR",IF(OR($U45=0,$S45=0),"DOĞRU",IF(AND($V45&gt;PazaryeriEksikHakedisEsik,$U45&gt;PazaryeriEksikHakedisTutarEsik),"EKSİK HAKEDİŞ","DOĞRU"))))</f>
        <v/>
      </c>
      <c r="X45" s="23" t="str">
        <f aca="false">IF($B45="","",CONCATENATE("Ürün: ",$B45," | Kâr: ",TEXT($Q45,"₺ #,##0")," | Durum: ",$W45))</f>
        <v/>
      </c>
      <c r="Y45" s="24"/>
    </row>
    <row r="46" customFormat="false" ht="15" hidden="false" customHeight="false" outlineLevel="0" collapsed="false">
      <c r="A46" s="24"/>
      <c r="B46" s="24"/>
      <c r="C46" s="22"/>
      <c r="D46" s="25"/>
      <c r="E46" s="22"/>
      <c r="F46" s="26"/>
      <c r="G46" s="26"/>
      <c r="H46" s="26"/>
      <c r="I46" s="26"/>
      <c r="J46" s="22"/>
      <c r="K46" s="20" t="n">
        <f aca="false">IF($D46="",0,$C46*$D46)</f>
        <v>0</v>
      </c>
      <c r="L46" s="20" t="n">
        <f aca="false">IF($D46="",0,$F46*$K46)</f>
        <v>0</v>
      </c>
      <c r="M46" s="20" t="n">
        <f aca="false">IF($D46="",0,$G46*$K46)</f>
        <v>0</v>
      </c>
      <c r="N46" s="20" t="n">
        <f aca="false">IF($D46="",0,$H46*$K46)</f>
        <v>0</v>
      </c>
      <c r="O46" s="20" t="n">
        <f aca="false">IF($D46="",0,$I46*$K46*(1-$F46))</f>
        <v>0</v>
      </c>
      <c r="P46" s="20" t="n">
        <f aca="false">IF($D46="",0,$E46*$D46+$L46+$M46+$N46+$O46+$J46*$D46)</f>
        <v>0</v>
      </c>
      <c r="Q46" s="20" t="n">
        <f aca="false">IF($D46="",0,$K46-$P46)</f>
        <v>0</v>
      </c>
      <c r="R46" s="21" t="n">
        <f aca="false">IF($K46=0,0,$Q46/$K46)</f>
        <v>0</v>
      </c>
      <c r="S46" s="20" t="n">
        <f aca="false">IF($D46="",0,$K46-$L46-$M46-$N46)</f>
        <v>0</v>
      </c>
      <c r="T46" s="22"/>
      <c r="U46" s="20" t="n">
        <f aca="false">IF($T46="",0,MAX(0,$S46-$T46))</f>
        <v>0</v>
      </c>
      <c r="V46" s="21" t="n">
        <f aca="false">IF($S46=0,0,$U46/$S46)</f>
        <v>0</v>
      </c>
      <c r="W46" s="23" t="str">
        <f aca="false">IF($D46="","",IF($T46="","BEKLİYOR",IF(OR($U46=0,$S46=0),"DOĞRU",IF(AND($V46&gt;PazaryeriEksikHakedisEsik,$U46&gt;PazaryeriEksikHakedisTutarEsik),"EKSİK HAKEDİŞ","DOĞRU"))))</f>
        <v/>
      </c>
      <c r="X46" s="23" t="str">
        <f aca="false">IF($B46="","",CONCATENATE("Ürün: ",$B46," | Kâr: ",TEXT($Q46,"₺ #,##0")," | Durum: ",$W46))</f>
        <v/>
      </c>
      <c r="Y46" s="24"/>
    </row>
    <row r="47" customFormat="false" ht="15" hidden="false" customHeight="false" outlineLevel="0" collapsed="false">
      <c r="A47" s="24"/>
      <c r="B47" s="24"/>
      <c r="C47" s="22"/>
      <c r="D47" s="25"/>
      <c r="E47" s="22"/>
      <c r="F47" s="26"/>
      <c r="G47" s="26"/>
      <c r="H47" s="26"/>
      <c r="I47" s="26"/>
      <c r="J47" s="22"/>
      <c r="K47" s="20" t="n">
        <f aca="false">IF($D47="",0,$C47*$D47)</f>
        <v>0</v>
      </c>
      <c r="L47" s="20" t="n">
        <f aca="false">IF($D47="",0,$F47*$K47)</f>
        <v>0</v>
      </c>
      <c r="M47" s="20" t="n">
        <f aca="false">IF($D47="",0,$G47*$K47)</f>
        <v>0</v>
      </c>
      <c r="N47" s="20" t="n">
        <f aca="false">IF($D47="",0,$H47*$K47)</f>
        <v>0</v>
      </c>
      <c r="O47" s="20" t="n">
        <f aca="false">IF($D47="",0,$I47*$K47*(1-$F47))</f>
        <v>0</v>
      </c>
      <c r="P47" s="20" t="n">
        <f aca="false">IF($D47="",0,$E47*$D47+$L47+$M47+$N47+$O47+$J47*$D47)</f>
        <v>0</v>
      </c>
      <c r="Q47" s="20" t="n">
        <f aca="false">IF($D47="",0,$K47-$P47)</f>
        <v>0</v>
      </c>
      <c r="R47" s="21" t="n">
        <f aca="false">IF($K47=0,0,$Q47/$K47)</f>
        <v>0</v>
      </c>
      <c r="S47" s="20" t="n">
        <f aca="false">IF($D47="",0,$K47-$L47-$M47-$N47)</f>
        <v>0</v>
      </c>
      <c r="T47" s="22"/>
      <c r="U47" s="20" t="n">
        <f aca="false">IF($T47="",0,MAX(0,$S47-$T47))</f>
        <v>0</v>
      </c>
      <c r="V47" s="21" t="n">
        <f aca="false">IF($S47=0,0,$U47/$S47)</f>
        <v>0</v>
      </c>
      <c r="W47" s="23" t="str">
        <f aca="false">IF($D47="","",IF($T47="","BEKLİYOR",IF(OR($U47=0,$S47=0),"DOĞRU",IF(AND($V47&gt;PazaryeriEksikHakedisEsik,$U47&gt;PazaryeriEksikHakedisTutarEsik),"EKSİK HAKEDİŞ","DOĞRU"))))</f>
        <v/>
      </c>
      <c r="X47" s="23" t="str">
        <f aca="false">IF($B47="","",CONCATENATE("Ürün: ",$B47," | Kâr: ",TEXT($Q47,"₺ #,##0")," | Durum: ",$W47))</f>
        <v/>
      </c>
      <c r="Y47" s="24"/>
    </row>
    <row r="48" customFormat="false" ht="15" hidden="false" customHeight="false" outlineLevel="0" collapsed="false">
      <c r="A48" s="24"/>
      <c r="B48" s="24"/>
      <c r="C48" s="22"/>
      <c r="D48" s="25"/>
      <c r="E48" s="22"/>
      <c r="F48" s="26"/>
      <c r="G48" s="26"/>
      <c r="H48" s="26"/>
      <c r="I48" s="26"/>
      <c r="J48" s="22"/>
      <c r="K48" s="20" t="n">
        <f aca="false">IF($D48="",0,$C48*$D48)</f>
        <v>0</v>
      </c>
      <c r="L48" s="20" t="n">
        <f aca="false">IF($D48="",0,$F48*$K48)</f>
        <v>0</v>
      </c>
      <c r="M48" s="20" t="n">
        <f aca="false">IF($D48="",0,$G48*$K48)</f>
        <v>0</v>
      </c>
      <c r="N48" s="20" t="n">
        <f aca="false">IF($D48="",0,$H48*$K48)</f>
        <v>0</v>
      </c>
      <c r="O48" s="20" t="n">
        <f aca="false">IF($D48="",0,$I48*$K48*(1-$F48))</f>
        <v>0</v>
      </c>
      <c r="P48" s="20" t="n">
        <f aca="false">IF($D48="",0,$E48*$D48+$L48+$M48+$N48+$O48+$J48*$D48)</f>
        <v>0</v>
      </c>
      <c r="Q48" s="20" t="n">
        <f aca="false">IF($D48="",0,$K48-$P48)</f>
        <v>0</v>
      </c>
      <c r="R48" s="21" t="n">
        <f aca="false">IF($K48=0,0,$Q48/$K48)</f>
        <v>0</v>
      </c>
      <c r="S48" s="20" t="n">
        <f aca="false">IF($D48="",0,$K48-$L48-$M48-$N48)</f>
        <v>0</v>
      </c>
      <c r="T48" s="22"/>
      <c r="U48" s="20" t="n">
        <f aca="false">IF($T48="",0,MAX(0,$S48-$T48))</f>
        <v>0</v>
      </c>
      <c r="V48" s="21" t="n">
        <f aca="false">IF($S48=0,0,$U48/$S48)</f>
        <v>0</v>
      </c>
      <c r="W48" s="23" t="str">
        <f aca="false">IF($D48="","",IF($T48="","BEKLİYOR",IF(OR($U48=0,$S48=0),"DOĞRU",IF(AND($V48&gt;PazaryeriEksikHakedisEsik,$U48&gt;PazaryeriEksikHakedisTutarEsik),"EKSİK HAKEDİŞ","DOĞRU"))))</f>
        <v/>
      </c>
      <c r="X48" s="23" t="str">
        <f aca="false">IF($B48="","",CONCATENATE("Ürün: ",$B48," | Kâr: ",TEXT($Q48,"₺ #,##0")," | Durum: ",$W48))</f>
        <v/>
      </c>
      <c r="Y48" s="24"/>
    </row>
    <row r="49" customFormat="false" ht="15" hidden="false" customHeight="false" outlineLevel="0" collapsed="false">
      <c r="A49" s="24"/>
      <c r="B49" s="24"/>
      <c r="C49" s="22"/>
      <c r="D49" s="25"/>
      <c r="E49" s="22"/>
      <c r="F49" s="26"/>
      <c r="G49" s="26"/>
      <c r="H49" s="26"/>
      <c r="I49" s="26"/>
      <c r="J49" s="22"/>
      <c r="K49" s="20" t="n">
        <f aca="false">IF($D49="",0,$C49*$D49)</f>
        <v>0</v>
      </c>
      <c r="L49" s="20" t="n">
        <f aca="false">IF($D49="",0,$F49*$K49)</f>
        <v>0</v>
      </c>
      <c r="M49" s="20" t="n">
        <f aca="false">IF($D49="",0,$G49*$K49)</f>
        <v>0</v>
      </c>
      <c r="N49" s="20" t="n">
        <f aca="false">IF($D49="",0,$H49*$K49)</f>
        <v>0</v>
      </c>
      <c r="O49" s="20" t="n">
        <f aca="false">IF($D49="",0,$I49*$K49*(1-$F49))</f>
        <v>0</v>
      </c>
      <c r="P49" s="20" t="n">
        <f aca="false">IF($D49="",0,$E49*$D49+$L49+$M49+$N49+$O49+$J49*$D49)</f>
        <v>0</v>
      </c>
      <c r="Q49" s="20" t="n">
        <f aca="false">IF($D49="",0,$K49-$P49)</f>
        <v>0</v>
      </c>
      <c r="R49" s="21" t="n">
        <f aca="false">IF($K49=0,0,$Q49/$K49)</f>
        <v>0</v>
      </c>
      <c r="S49" s="20" t="n">
        <f aca="false">IF($D49="",0,$K49-$L49-$M49-$N49)</f>
        <v>0</v>
      </c>
      <c r="T49" s="22"/>
      <c r="U49" s="20" t="n">
        <f aca="false">IF($T49="",0,MAX(0,$S49-$T49))</f>
        <v>0</v>
      </c>
      <c r="V49" s="21" t="n">
        <f aca="false">IF($S49=0,0,$U49/$S49)</f>
        <v>0</v>
      </c>
      <c r="W49" s="23" t="str">
        <f aca="false">IF($D49="","",IF($T49="","BEKLİYOR",IF(OR($U49=0,$S49=0),"DOĞRU",IF(AND($V49&gt;PazaryeriEksikHakedisEsik,$U49&gt;PazaryeriEksikHakedisTutarEsik),"EKSİK HAKEDİŞ","DOĞRU"))))</f>
        <v/>
      </c>
      <c r="X49" s="23" t="str">
        <f aca="false">IF($B49="","",CONCATENATE("Ürün: ",$B49," | Kâr: ",TEXT($Q49,"₺ #,##0")," | Durum: ",$W49))</f>
        <v/>
      </c>
      <c r="Y49" s="24"/>
    </row>
    <row r="50" customFormat="false" ht="15" hidden="false" customHeight="false" outlineLevel="0" collapsed="false">
      <c r="A50" s="24"/>
      <c r="B50" s="24"/>
      <c r="C50" s="22"/>
      <c r="D50" s="25"/>
      <c r="E50" s="22"/>
      <c r="F50" s="26"/>
      <c r="G50" s="26"/>
      <c r="H50" s="26"/>
      <c r="I50" s="26"/>
      <c r="J50" s="22"/>
      <c r="K50" s="20" t="n">
        <f aca="false">IF($D50="",0,$C50*$D50)</f>
        <v>0</v>
      </c>
      <c r="L50" s="20" t="n">
        <f aca="false">IF($D50="",0,$F50*$K50)</f>
        <v>0</v>
      </c>
      <c r="M50" s="20" t="n">
        <f aca="false">IF($D50="",0,$G50*$K50)</f>
        <v>0</v>
      </c>
      <c r="N50" s="20" t="n">
        <f aca="false">IF($D50="",0,$H50*$K50)</f>
        <v>0</v>
      </c>
      <c r="O50" s="20" t="n">
        <f aca="false">IF($D50="",0,$I50*$K50*(1-$F50))</f>
        <v>0</v>
      </c>
      <c r="P50" s="20" t="n">
        <f aca="false">IF($D50="",0,$E50*$D50+$L50+$M50+$N50+$O50+$J50*$D50)</f>
        <v>0</v>
      </c>
      <c r="Q50" s="20" t="n">
        <f aca="false">IF($D50="",0,$K50-$P50)</f>
        <v>0</v>
      </c>
      <c r="R50" s="21" t="n">
        <f aca="false">IF($K50=0,0,$Q50/$K50)</f>
        <v>0</v>
      </c>
      <c r="S50" s="20" t="n">
        <f aca="false">IF($D50="",0,$K50-$L50-$M50-$N50)</f>
        <v>0</v>
      </c>
      <c r="T50" s="22"/>
      <c r="U50" s="20" t="n">
        <f aca="false">IF($T50="",0,MAX(0,$S50-$T50))</f>
        <v>0</v>
      </c>
      <c r="V50" s="21" t="n">
        <f aca="false">IF($S50=0,0,$U50/$S50)</f>
        <v>0</v>
      </c>
      <c r="W50" s="23" t="str">
        <f aca="false">IF($D50="","",IF($T50="","BEKLİYOR",IF(OR($U50=0,$S50=0),"DOĞRU",IF(AND($V50&gt;PazaryeriEksikHakedisEsik,$U50&gt;PazaryeriEksikHakedisTutarEsik),"EKSİK HAKEDİŞ","DOĞRU"))))</f>
        <v/>
      </c>
      <c r="X50" s="23" t="str">
        <f aca="false">IF($B50="","",CONCATENATE("Ürün: ",$B50," | Kâr: ",TEXT($Q50,"₺ #,##0")," | Durum: ",$W50))</f>
        <v/>
      </c>
      <c r="Y50" s="24"/>
    </row>
    <row r="51" customFormat="false" ht="15" hidden="false" customHeight="false" outlineLevel="0" collapsed="false">
      <c r="A51" s="24"/>
      <c r="B51" s="24"/>
      <c r="C51" s="22"/>
      <c r="D51" s="25"/>
      <c r="E51" s="22"/>
      <c r="F51" s="26"/>
      <c r="G51" s="26"/>
      <c r="H51" s="26"/>
      <c r="I51" s="26"/>
      <c r="J51" s="22"/>
      <c r="K51" s="20" t="n">
        <f aca="false">IF($D51="",0,$C51*$D51)</f>
        <v>0</v>
      </c>
      <c r="L51" s="20" t="n">
        <f aca="false">IF($D51="",0,$F51*$K51)</f>
        <v>0</v>
      </c>
      <c r="M51" s="20" t="n">
        <f aca="false">IF($D51="",0,$G51*$K51)</f>
        <v>0</v>
      </c>
      <c r="N51" s="20" t="n">
        <f aca="false">IF($D51="",0,$H51*$K51)</f>
        <v>0</v>
      </c>
      <c r="O51" s="20" t="n">
        <f aca="false">IF($D51="",0,$I51*$K51*(1-$F51))</f>
        <v>0</v>
      </c>
      <c r="P51" s="20" t="n">
        <f aca="false">IF($D51="",0,$E51*$D51+$L51+$M51+$N51+$O51+$J51*$D51)</f>
        <v>0</v>
      </c>
      <c r="Q51" s="20" t="n">
        <f aca="false">IF($D51="",0,$K51-$P51)</f>
        <v>0</v>
      </c>
      <c r="R51" s="21" t="n">
        <f aca="false">IF($K51=0,0,$Q51/$K51)</f>
        <v>0</v>
      </c>
      <c r="S51" s="20" t="n">
        <f aca="false">IF($D51="",0,$K51-$L51-$M51-$N51)</f>
        <v>0</v>
      </c>
      <c r="T51" s="22"/>
      <c r="U51" s="20" t="n">
        <f aca="false">IF($T51="",0,MAX(0,$S51-$T51))</f>
        <v>0</v>
      </c>
      <c r="V51" s="21" t="n">
        <f aca="false">IF($S51=0,0,$U51/$S51)</f>
        <v>0</v>
      </c>
      <c r="W51" s="23" t="str">
        <f aca="false">IF($D51="","",IF($T51="","BEKLİYOR",IF(OR($U51=0,$S51=0),"DOĞRU",IF(AND($V51&gt;PazaryeriEksikHakedisEsik,$U51&gt;PazaryeriEksikHakedisTutarEsik),"EKSİK HAKEDİŞ","DOĞRU"))))</f>
        <v/>
      </c>
      <c r="X51" s="23" t="str">
        <f aca="false">IF($B51="","",CONCATENATE("Ürün: ",$B51," | Kâr: ",TEXT($Q51,"₺ #,##0")," | Durum: ",$W51))</f>
        <v/>
      </c>
      <c r="Y51" s="24"/>
    </row>
    <row r="52" customFormat="false" ht="15" hidden="false" customHeight="false" outlineLevel="0" collapsed="false">
      <c r="A52" s="24"/>
      <c r="B52" s="24"/>
      <c r="C52" s="22"/>
      <c r="D52" s="25"/>
      <c r="E52" s="22"/>
      <c r="F52" s="26"/>
      <c r="G52" s="26"/>
      <c r="H52" s="26"/>
      <c r="I52" s="26"/>
      <c r="J52" s="22"/>
      <c r="K52" s="20" t="n">
        <f aca="false">IF($D52="",0,$C52*$D52)</f>
        <v>0</v>
      </c>
      <c r="L52" s="20" t="n">
        <f aca="false">IF($D52="",0,$F52*$K52)</f>
        <v>0</v>
      </c>
      <c r="M52" s="20" t="n">
        <f aca="false">IF($D52="",0,$G52*$K52)</f>
        <v>0</v>
      </c>
      <c r="N52" s="20" t="n">
        <f aca="false">IF($D52="",0,$H52*$K52)</f>
        <v>0</v>
      </c>
      <c r="O52" s="20" t="n">
        <f aca="false">IF($D52="",0,$I52*$K52*(1-$F52))</f>
        <v>0</v>
      </c>
      <c r="P52" s="20" t="n">
        <f aca="false">IF($D52="",0,$E52*$D52+$L52+$M52+$N52+$O52+$J52*$D52)</f>
        <v>0</v>
      </c>
      <c r="Q52" s="20" t="n">
        <f aca="false">IF($D52="",0,$K52-$P52)</f>
        <v>0</v>
      </c>
      <c r="R52" s="21" t="n">
        <f aca="false">IF($K52=0,0,$Q52/$K52)</f>
        <v>0</v>
      </c>
      <c r="S52" s="20" t="n">
        <f aca="false">IF($D52="",0,$K52-$L52-$M52-$N52)</f>
        <v>0</v>
      </c>
      <c r="T52" s="22"/>
      <c r="U52" s="20" t="n">
        <f aca="false">IF($T52="",0,MAX(0,$S52-$T52))</f>
        <v>0</v>
      </c>
      <c r="V52" s="21" t="n">
        <f aca="false">IF($S52=0,0,$U52/$S52)</f>
        <v>0</v>
      </c>
      <c r="W52" s="23" t="str">
        <f aca="false">IF($D52="","",IF($T52="","BEKLİYOR",IF(OR($U52=0,$S52=0),"DOĞRU",IF(AND($V52&gt;PazaryeriEksikHakedisEsik,$U52&gt;PazaryeriEksikHakedisTutarEsik),"EKSİK HAKEDİŞ","DOĞRU"))))</f>
        <v/>
      </c>
      <c r="X52" s="23" t="str">
        <f aca="false">IF($B52="","",CONCATENATE("Ürün: ",$B52," | Kâr: ",TEXT($Q52,"₺ #,##0")," | Durum: ",$W52))</f>
        <v/>
      </c>
      <c r="Y52" s="24"/>
    </row>
    <row r="53" customFormat="false" ht="15" hidden="false" customHeight="false" outlineLevel="0" collapsed="false">
      <c r="A53" s="24"/>
      <c r="B53" s="24"/>
      <c r="C53" s="22"/>
      <c r="D53" s="25"/>
      <c r="E53" s="22"/>
      <c r="F53" s="26"/>
      <c r="G53" s="26"/>
      <c r="H53" s="26"/>
      <c r="I53" s="26"/>
      <c r="J53" s="22"/>
      <c r="K53" s="20" t="n">
        <f aca="false">IF($D53="",0,$C53*$D53)</f>
        <v>0</v>
      </c>
      <c r="L53" s="20" t="n">
        <f aca="false">IF($D53="",0,$F53*$K53)</f>
        <v>0</v>
      </c>
      <c r="M53" s="20" t="n">
        <f aca="false">IF($D53="",0,$G53*$K53)</f>
        <v>0</v>
      </c>
      <c r="N53" s="20" t="n">
        <f aca="false">IF($D53="",0,$H53*$K53)</f>
        <v>0</v>
      </c>
      <c r="O53" s="20" t="n">
        <f aca="false">IF($D53="",0,$I53*$K53*(1-$F53))</f>
        <v>0</v>
      </c>
      <c r="P53" s="20" t="n">
        <f aca="false">IF($D53="",0,$E53*$D53+$L53+$M53+$N53+$O53+$J53*$D53)</f>
        <v>0</v>
      </c>
      <c r="Q53" s="20" t="n">
        <f aca="false">IF($D53="",0,$K53-$P53)</f>
        <v>0</v>
      </c>
      <c r="R53" s="21" t="n">
        <f aca="false">IF($K53=0,0,$Q53/$K53)</f>
        <v>0</v>
      </c>
      <c r="S53" s="20" t="n">
        <f aca="false">IF($D53="",0,$K53-$L53-$M53-$N53)</f>
        <v>0</v>
      </c>
      <c r="T53" s="22"/>
      <c r="U53" s="20" t="n">
        <f aca="false">IF($T53="",0,MAX(0,$S53-$T53))</f>
        <v>0</v>
      </c>
      <c r="V53" s="21" t="n">
        <f aca="false">IF($S53=0,0,$U53/$S53)</f>
        <v>0</v>
      </c>
      <c r="W53" s="23" t="str">
        <f aca="false">IF($D53="","",IF($T53="","BEKLİYOR",IF(OR($U53=0,$S53=0),"DOĞRU",IF(AND($V53&gt;PazaryeriEksikHakedisEsik,$U53&gt;PazaryeriEksikHakedisTutarEsik),"EKSİK HAKEDİŞ","DOĞRU"))))</f>
        <v/>
      </c>
      <c r="X53" s="23" t="str">
        <f aca="false">IF($B53="","",CONCATENATE("Ürün: ",$B53," | Kâr: ",TEXT($Q53,"₺ #,##0")," | Durum: ",$W53))</f>
        <v/>
      </c>
      <c r="Y53" s="24"/>
    </row>
    <row r="54" customFormat="false" ht="15" hidden="false" customHeight="false" outlineLevel="0" collapsed="false">
      <c r="A54" s="24"/>
      <c r="B54" s="24"/>
      <c r="C54" s="22"/>
      <c r="D54" s="25"/>
      <c r="E54" s="22"/>
      <c r="F54" s="26"/>
      <c r="G54" s="26"/>
      <c r="H54" s="26"/>
      <c r="I54" s="26"/>
      <c r="J54" s="22"/>
      <c r="K54" s="20" t="n">
        <f aca="false">IF($D54="",0,$C54*$D54)</f>
        <v>0</v>
      </c>
      <c r="L54" s="20" t="n">
        <f aca="false">IF($D54="",0,$F54*$K54)</f>
        <v>0</v>
      </c>
      <c r="M54" s="20" t="n">
        <f aca="false">IF($D54="",0,$G54*$K54)</f>
        <v>0</v>
      </c>
      <c r="N54" s="20" t="n">
        <f aca="false">IF($D54="",0,$H54*$K54)</f>
        <v>0</v>
      </c>
      <c r="O54" s="20" t="n">
        <f aca="false">IF($D54="",0,$I54*$K54*(1-$F54))</f>
        <v>0</v>
      </c>
      <c r="P54" s="20" t="n">
        <f aca="false">IF($D54="",0,$E54*$D54+$L54+$M54+$N54+$O54+$J54*$D54)</f>
        <v>0</v>
      </c>
      <c r="Q54" s="20" t="n">
        <f aca="false">IF($D54="",0,$K54-$P54)</f>
        <v>0</v>
      </c>
      <c r="R54" s="21" t="n">
        <f aca="false">IF($K54=0,0,$Q54/$K54)</f>
        <v>0</v>
      </c>
      <c r="S54" s="20" t="n">
        <f aca="false">IF($D54="",0,$K54-$L54-$M54-$N54)</f>
        <v>0</v>
      </c>
      <c r="T54" s="22"/>
      <c r="U54" s="20" t="n">
        <f aca="false">IF($T54="",0,MAX(0,$S54-$T54))</f>
        <v>0</v>
      </c>
      <c r="V54" s="21" t="n">
        <f aca="false">IF($S54=0,0,$U54/$S54)</f>
        <v>0</v>
      </c>
      <c r="W54" s="23" t="str">
        <f aca="false">IF($D54="","",IF($T54="","BEKLİYOR",IF(OR($U54=0,$S54=0),"DOĞRU",IF(AND($V54&gt;PazaryeriEksikHakedisEsik,$U54&gt;PazaryeriEksikHakedisTutarEsik),"EKSİK HAKEDİŞ","DOĞRU"))))</f>
        <v/>
      </c>
      <c r="X54" s="23" t="str">
        <f aca="false">IF($B54="","",CONCATENATE("Ürün: ",$B54," | Kâr: ",TEXT($Q54,"₺ #,##0")," | Durum: ",$W54))</f>
        <v/>
      </c>
      <c r="Y54" s="24"/>
    </row>
    <row r="55" customFormat="false" ht="15" hidden="false" customHeight="false" outlineLevel="0" collapsed="false">
      <c r="A55" s="24"/>
      <c r="B55" s="24"/>
      <c r="C55" s="22"/>
      <c r="D55" s="25"/>
      <c r="E55" s="22"/>
      <c r="F55" s="26"/>
      <c r="G55" s="26"/>
      <c r="H55" s="26"/>
      <c r="I55" s="26"/>
      <c r="J55" s="22"/>
      <c r="K55" s="20" t="n">
        <f aca="false">IF($D55="",0,$C55*$D55)</f>
        <v>0</v>
      </c>
      <c r="L55" s="20" t="n">
        <f aca="false">IF($D55="",0,$F55*$K55)</f>
        <v>0</v>
      </c>
      <c r="M55" s="20" t="n">
        <f aca="false">IF($D55="",0,$G55*$K55)</f>
        <v>0</v>
      </c>
      <c r="N55" s="20" t="n">
        <f aca="false">IF($D55="",0,$H55*$K55)</f>
        <v>0</v>
      </c>
      <c r="O55" s="20" t="n">
        <f aca="false">IF($D55="",0,$I55*$K55*(1-$F55))</f>
        <v>0</v>
      </c>
      <c r="P55" s="20" t="n">
        <f aca="false">IF($D55="",0,$E55*$D55+$L55+$M55+$N55+$O55+$J55*$D55)</f>
        <v>0</v>
      </c>
      <c r="Q55" s="20" t="n">
        <f aca="false">IF($D55="",0,$K55-$P55)</f>
        <v>0</v>
      </c>
      <c r="R55" s="21" t="n">
        <f aca="false">IF($K55=0,0,$Q55/$K55)</f>
        <v>0</v>
      </c>
      <c r="S55" s="20" t="n">
        <f aca="false">IF($D55="",0,$K55-$L55-$M55-$N55)</f>
        <v>0</v>
      </c>
      <c r="T55" s="22"/>
      <c r="U55" s="20" t="n">
        <f aca="false">IF($T55="",0,MAX(0,$S55-$T55))</f>
        <v>0</v>
      </c>
      <c r="V55" s="21" t="n">
        <f aca="false">IF($S55=0,0,$U55/$S55)</f>
        <v>0</v>
      </c>
      <c r="W55" s="23" t="str">
        <f aca="false">IF($D55="","",IF($T55="","BEKLİYOR",IF(OR($U55=0,$S55=0),"DOĞRU",IF(AND($V55&gt;PazaryeriEksikHakedisEsik,$U55&gt;PazaryeriEksikHakedisTutarEsik),"EKSİK HAKEDİŞ","DOĞRU"))))</f>
        <v/>
      </c>
      <c r="X55" s="23" t="str">
        <f aca="false">IF($B55="","",CONCATENATE("Ürün: ",$B55," | Kâr: ",TEXT($Q55,"₺ #,##0")," | Durum: ",$W55))</f>
        <v/>
      </c>
      <c r="Y55" s="24"/>
    </row>
    <row r="56" customFormat="false" ht="15" hidden="false" customHeight="false" outlineLevel="0" collapsed="false">
      <c r="A56" s="24"/>
      <c r="B56" s="24"/>
      <c r="C56" s="22"/>
      <c r="D56" s="25"/>
      <c r="E56" s="22"/>
      <c r="F56" s="26"/>
      <c r="G56" s="26"/>
      <c r="H56" s="26"/>
      <c r="I56" s="26"/>
      <c r="J56" s="22"/>
      <c r="K56" s="20" t="n">
        <f aca="false">IF($D56="",0,$C56*$D56)</f>
        <v>0</v>
      </c>
      <c r="L56" s="20" t="n">
        <f aca="false">IF($D56="",0,$F56*$K56)</f>
        <v>0</v>
      </c>
      <c r="M56" s="20" t="n">
        <f aca="false">IF($D56="",0,$G56*$K56)</f>
        <v>0</v>
      </c>
      <c r="N56" s="20" t="n">
        <f aca="false">IF($D56="",0,$H56*$K56)</f>
        <v>0</v>
      </c>
      <c r="O56" s="20" t="n">
        <f aca="false">IF($D56="",0,$I56*$K56*(1-$F56))</f>
        <v>0</v>
      </c>
      <c r="P56" s="20" t="n">
        <f aca="false">IF($D56="",0,$E56*$D56+$L56+$M56+$N56+$O56+$J56*$D56)</f>
        <v>0</v>
      </c>
      <c r="Q56" s="20" t="n">
        <f aca="false">IF($D56="",0,$K56-$P56)</f>
        <v>0</v>
      </c>
      <c r="R56" s="21" t="n">
        <f aca="false">IF($K56=0,0,$Q56/$K56)</f>
        <v>0</v>
      </c>
      <c r="S56" s="20" t="n">
        <f aca="false">IF($D56="",0,$K56-$L56-$M56-$N56)</f>
        <v>0</v>
      </c>
      <c r="T56" s="22"/>
      <c r="U56" s="20" t="n">
        <f aca="false">IF($T56="",0,MAX(0,$S56-$T56))</f>
        <v>0</v>
      </c>
      <c r="V56" s="21" t="n">
        <f aca="false">IF($S56=0,0,$U56/$S56)</f>
        <v>0</v>
      </c>
      <c r="W56" s="23" t="str">
        <f aca="false">IF($D56="","",IF($T56="","BEKLİYOR",IF(OR($U56=0,$S56=0),"DOĞRU",IF(AND($V56&gt;PazaryeriEksikHakedisEsik,$U56&gt;PazaryeriEksikHakedisTutarEsik),"EKSİK HAKEDİŞ","DOĞRU"))))</f>
        <v/>
      </c>
      <c r="X56" s="23" t="str">
        <f aca="false">IF($B56="","",CONCATENATE("Ürün: ",$B56," | Kâr: ",TEXT($Q56,"₺ #,##0")," | Durum: ",$W56))</f>
        <v/>
      </c>
      <c r="Y56" s="24"/>
    </row>
    <row r="57" customFormat="false" ht="15" hidden="false" customHeight="false" outlineLevel="0" collapsed="false">
      <c r="A57" s="24"/>
      <c r="B57" s="24"/>
      <c r="C57" s="22"/>
      <c r="D57" s="25"/>
      <c r="E57" s="22"/>
      <c r="F57" s="26"/>
      <c r="G57" s="26"/>
      <c r="H57" s="26"/>
      <c r="I57" s="26"/>
      <c r="J57" s="22"/>
      <c r="K57" s="20" t="n">
        <f aca="false">IF($D57="",0,$C57*$D57)</f>
        <v>0</v>
      </c>
      <c r="L57" s="20" t="n">
        <f aca="false">IF($D57="",0,$F57*$K57)</f>
        <v>0</v>
      </c>
      <c r="M57" s="20" t="n">
        <f aca="false">IF($D57="",0,$G57*$K57)</f>
        <v>0</v>
      </c>
      <c r="N57" s="20" t="n">
        <f aca="false">IF($D57="",0,$H57*$K57)</f>
        <v>0</v>
      </c>
      <c r="O57" s="20" t="n">
        <f aca="false">IF($D57="",0,$I57*$K57*(1-$F57))</f>
        <v>0</v>
      </c>
      <c r="P57" s="20" t="n">
        <f aca="false">IF($D57="",0,$E57*$D57+$L57+$M57+$N57+$O57+$J57*$D57)</f>
        <v>0</v>
      </c>
      <c r="Q57" s="20" t="n">
        <f aca="false">IF($D57="",0,$K57-$P57)</f>
        <v>0</v>
      </c>
      <c r="R57" s="21" t="n">
        <f aca="false">IF($K57=0,0,$Q57/$K57)</f>
        <v>0</v>
      </c>
      <c r="S57" s="20" t="n">
        <f aca="false">IF($D57="",0,$K57-$L57-$M57-$N57)</f>
        <v>0</v>
      </c>
      <c r="T57" s="22"/>
      <c r="U57" s="20" t="n">
        <f aca="false">IF($T57="",0,MAX(0,$S57-$T57))</f>
        <v>0</v>
      </c>
      <c r="V57" s="21" t="n">
        <f aca="false">IF($S57=0,0,$U57/$S57)</f>
        <v>0</v>
      </c>
      <c r="W57" s="23" t="str">
        <f aca="false">IF($D57="","",IF($T57="","BEKLİYOR",IF(OR($U57=0,$S57=0),"DOĞRU",IF(AND($V57&gt;PazaryeriEksikHakedisEsik,$U57&gt;PazaryeriEksikHakedisTutarEsik),"EKSİK HAKEDİŞ","DOĞRU"))))</f>
        <v/>
      </c>
      <c r="X57" s="23" t="str">
        <f aca="false">IF($B57="","",CONCATENATE("Ürün: ",$B57," | Kâr: ",TEXT($Q57,"₺ #,##0")," | Durum: ",$W57))</f>
        <v/>
      </c>
      <c r="Y57" s="24"/>
    </row>
    <row r="58" customFormat="false" ht="15" hidden="false" customHeight="false" outlineLevel="0" collapsed="false">
      <c r="A58" s="24"/>
      <c r="B58" s="24"/>
      <c r="C58" s="22"/>
      <c r="D58" s="25"/>
      <c r="E58" s="22"/>
      <c r="F58" s="26"/>
      <c r="G58" s="26"/>
      <c r="H58" s="26"/>
      <c r="I58" s="26"/>
      <c r="J58" s="22"/>
      <c r="K58" s="20" t="n">
        <f aca="false">IF($D58="",0,$C58*$D58)</f>
        <v>0</v>
      </c>
      <c r="L58" s="20" t="n">
        <f aca="false">IF($D58="",0,$F58*$K58)</f>
        <v>0</v>
      </c>
      <c r="M58" s="20" t="n">
        <f aca="false">IF($D58="",0,$G58*$K58)</f>
        <v>0</v>
      </c>
      <c r="N58" s="20" t="n">
        <f aca="false">IF($D58="",0,$H58*$K58)</f>
        <v>0</v>
      </c>
      <c r="O58" s="20" t="n">
        <f aca="false">IF($D58="",0,$I58*$K58*(1-$F58))</f>
        <v>0</v>
      </c>
      <c r="P58" s="20" t="n">
        <f aca="false">IF($D58="",0,$E58*$D58+$L58+$M58+$N58+$O58+$J58*$D58)</f>
        <v>0</v>
      </c>
      <c r="Q58" s="20" t="n">
        <f aca="false">IF($D58="",0,$K58-$P58)</f>
        <v>0</v>
      </c>
      <c r="R58" s="21" t="n">
        <f aca="false">IF($K58=0,0,$Q58/$K58)</f>
        <v>0</v>
      </c>
      <c r="S58" s="20" t="n">
        <f aca="false">IF($D58="",0,$K58-$L58-$M58-$N58)</f>
        <v>0</v>
      </c>
      <c r="T58" s="22"/>
      <c r="U58" s="20" t="n">
        <f aca="false">IF($T58="",0,MAX(0,$S58-$T58))</f>
        <v>0</v>
      </c>
      <c r="V58" s="21" t="n">
        <f aca="false">IF($S58=0,0,$U58/$S58)</f>
        <v>0</v>
      </c>
      <c r="W58" s="23" t="str">
        <f aca="false">IF($D58="","",IF($T58="","BEKLİYOR",IF(OR($U58=0,$S58=0),"DOĞRU",IF(AND($V58&gt;PazaryeriEksikHakedisEsik,$U58&gt;PazaryeriEksikHakedisTutarEsik),"EKSİK HAKEDİŞ","DOĞRU"))))</f>
        <v/>
      </c>
      <c r="X58" s="23" t="str">
        <f aca="false">IF($B58="","",CONCATENATE("Ürün: ",$B58," | Kâr: ",TEXT($Q58,"₺ #,##0")," | Durum: ",$W58))</f>
        <v/>
      </c>
      <c r="Y58" s="24"/>
    </row>
    <row r="59" customFormat="false" ht="15" hidden="false" customHeight="false" outlineLevel="0" collapsed="false">
      <c r="A59" s="24"/>
      <c r="B59" s="24"/>
      <c r="C59" s="22"/>
      <c r="D59" s="25"/>
      <c r="E59" s="22"/>
      <c r="F59" s="26"/>
      <c r="G59" s="26"/>
      <c r="H59" s="26"/>
      <c r="I59" s="26"/>
      <c r="J59" s="22"/>
      <c r="K59" s="20" t="n">
        <f aca="false">IF($D59="",0,$C59*$D59)</f>
        <v>0</v>
      </c>
      <c r="L59" s="20" t="n">
        <f aca="false">IF($D59="",0,$F59*$K59)</f>
        <v>0</v>
      </c>
      <c r="M59" s="20" t="n">
        <f aca="false">IF($D59="",0,$G59*$K59)</f>
        <v>0</v>
      </c>
      <c r="N59" s="20" t="n">
        <f aca="false">IF($D59="",0,$H59*$K59)</f>
        <v>0</v>
      </c>
      <c r="O59" s="20" t="n">
        <f aca="false">IF($D59="",0,$I59*$K59*(1-$F59))</f>
        <v>0</v>
      </c>
      <c r="P59" s="20" t="n">
        <f aca="false">IF($D59="",0,$E59*$D59+$L59+$M59+$N59+$O59+$J59*$D59)</f>
        <v>0</v>
      </c>
      <c r="Q59" s="20" t="n">
        <f aca="false">IF($D59="",0,$K59-$P59)</f>
        <v>0</v>
      </c>
      <c r="R59" s="21" t="n">
        <f aca="false">IF($K59=0,0,$Q59/$K59)</f>
        <v>0</v>
      </c>
      <c r="S59" s="20" t="n">
        <f aca="false">IF($D59="",0,$K59-$L59-$M59-$N59)</f>
        <v>0</v>
      </c>
      <c r="T59" s="22"/>
      <c r="U59" s="20" t="n">
        <f aca="false">IF($T59="",0,MAX(0,$S59-$T59))</f>
        <v>0</v>
      </c>
      <c r="V59" s="21" t="n">
        <f aca="false">IF($S59=0,0,$U59/$S59)</f>
        <v>0</v>
      </c>
      <c r="W59" s="23" t="str">
        <f aca="false">IF($D59="","",IF($T59="","BEKLİYOR",IF(OR($U59=0,$S59=0),"DOĞRU",IF(AND($V59&gt;PazaryeriEksikHakedisEsik,$U59&gt;PazaryeriEksikHakedisTutarEsik),"EKSİK HAKEDİŞ","DOĞRU"))))</f>
        <v/>
      </c>
      <c r="X59" s="23" t="str">
        <f aca="false">IF($B59="","",CONCATENATE("Ürün: ",$B59," | Kâr: ",TEXT($Q59,"₺ #,##0")," | Durum: ",$W59))</f>
        <v/>
      </c>
      <c r="Y59" s="24"/>
    </row>
    <row r="60" customFormat="false" ht="15" hidden="false" customHeight="false" outlineLevel="0" collapsed="false">
      <c r="A60" s="24"/>
      <c r="B60" s="24"/>
      <c r="C60" s="22"/>
      <c r="D60" s="25"/>
      <c r="E60" s="22"/>
      <c r="F60" s="26"/>
      <c r="G60" s="26"/>
      <c r="H60" s="26"/>
      <c r="I60" s="26"/>
      <c r="J60" s="22"/>
      <c r="K60" s="20" t="n">
        <f aca="false">IF($D60="",0,$C60*$D60)</f>
        <v>0</v>
      </c>
      <c r="L60" s="20" t="n">
        <f aca="false">IF($D60="",0,$F60*$K60)</f>
        <v>0</v>
      </c>
      <c r="M60" s="20" t="n">
        <f aca="false">IF($D60="",0,$G60*$K60)</f>
        <v>0</v>
      </c>
      <c r="N60" s="20" t="n">
        <f aca="false">IF($D60="",0,$H60*$K60)</f>
        <v>0</v>
      </c>
      <c r="O60" s="20" t="n">
        <f aca="false">IF($D60="",0,$I60*$K60*(1-$F60))</f>
        <v>0</v>
      </c>
      <c r="P60" s="20" t="n">
        <f aca="false">IF($D60="",0,$E60*$D60+$L60+$M60+$N60+$O60+$J60*$D60)</f>
        <v>0</v>
      </c>
      <c r="Q60" s="20" t="n">
        <f aca="false">IF($D60="",0,$K60-$P60)</f>
        <v>0</v>
      </c>
      <c r="R60" s="21" t="n">
        <f aca="false">IF($K60=0,0,$Q60/$K60)</f>
        <v>0</v>
      </c>
      <c r="S60" s="20" t="n">
        <f aca="false">IF($D60="",0,$K60-$L60-$M60-$N60)</f>
        <v>0</v>
      </c>
      <c r="T60" s="22"/>
      <c r="U60" s="20" t="n">
        <f aca="false">IF($T60="",0,MAX(0,$S60-$T60))</f>
        <v>0</v>
      </c>
      <c r="V60" s="21" t="n">
        <f aca="false">IF($S60=0,0,$U60/$S60)</f>
        <v>0</v>
      </c>
      <c r="W60" s="23" t="str">
        <f aca="false">IF($D60="","",IF($T60="","BEKLİYOR",IF(OR($U60=0,$S60=0),"DOĞRU",IF(AND($V60&gt;PazaryeriEksikHakedisEsik,$U60&gt;PazaryeriEksikHakedisTutarEsik),"EKSİK HAKEDİŞ","DOĞRU"))))</f>
        <v/>
      </c>
      <c r="X60" s="23" t="str">
        <f aca="false">IF($B60="","",CONCATENATE("Ürün: ",$B60," | Kâr: ",TEXT($Q60,"₺ #,##0")," | Durum: ",$W60))</f>
        <v/>
      </c>
      <c r="Y60" s="24"/>
    </row>
    <row r="61" customFormat="false" ht="15" hidden="false" customHeight="false" outlineLevel="0" collapsed="false">
      <c r="A61" s="24"/>
      <c r="B61" s="24"/>
      <c r="C61" s="22"/>
      <c r="D61" s="25"/>
      <c r="E61" s="22"/>
      <c r="F61" s="26"/>
      <c r="G61" s="26"/>
      <c r="H61" s="26"/>
      <c r="I61" s="26"/>
      <c r="J61" s="22"/>
      <c r="K61" s="20" t="n">
        <f aca="false">IF($D61="",0,$C61*$D61)</f>
        <v>0</v>
      </c>
      <c r="L61" s="20" t="n">
        <f aca="false">IF($D61="",0,$F61*$K61)</f>
        <v>0</v>
      </c>
      <c r="M61" s="20" t="n">
        <f aca="false">IF($D61="",0,$G61*$K61)</f>
        <v>0</v>
      </c>
      <c r="N61" s="20" t="n">
        <f aca="false">IF($D61="",0,$H61*$K61)</f>
        <v>0</v>
      </c>
      <c r="O61" s="20" t="n">
        <f aca="false">IF($D61="",0,$I61*$K61*(1-$F61))</f>
        <v>0</v>
      </c>
      <c r="P61" s="20" t="n">
        <f aca="false">IF($D61="",0,$E61*$D61+$L61+$M61+$N61+$O61+$J61*$D61)</f>
        <v>0</v>
      </c>
      <c r="Q61" s="20" t="n">
        <f aca="false">IF($D61="",0,$K61-$P61)</f>
        <v>0</v>
      </c>
      <c r="R61" s="21" t="n">
        <f aca="false">IF($K61=0,0,$Q61/$K61)</f>
        <v>0</v>
      </c>
      <c r="S61" s="20" t="n">
        <f aca="false">IF($D61="",0,$K61-$L61-$M61-$N61)</f>
        <v>0</v>
      </c>
      <c r="T61" s="22"/>
      <c r="U61" s="20" t="n">
        <f aca="false">IF($T61="",0,MAX(0,$S61-$T61))</f>
        <v>0</v>
      </c>
      <c r="V61" s="21" t="n">
        <f aca="false">IF($S61=0,0,$U61/$S61)</f>
        <v>0</v>
      </c>
      <c r="W61" s="23" t="str">
        <f aca="false">IF($D61="","",IF($T61="","BEKLİYOR",IF(OR($U61=0,$S61=0),"DOĞRU",IF(AND($V61&gt;PazaryeriEksikHakedisEsik,$U61&gt;PazaryeriEksikHakedisTutarEsik),"EKSİK HAKEDİŞ","DOĞRU"))))</f>
        <v/>
      </c>
      <c r="X61" s="23" t="str">
        <f aca="false">IF($B61="","",CONCATENATE("Ürün: ",$B61," | Kâr: ",TEXT($Q61,"₺ #,##0")," | Durum: ",$W61))</f>
        <v/>
      </c>
      <c r="Y61" s="24"/>
    </row>
    <row r="62" customFormat="false" ht="15" hidden="false" customHeight="false" outlineLevel="0" collapsed="false">
      <c r="A62" s="24"/>
      <c r="B62" s="24"/>
      <c r="C62" s="22"/>
      <c r="D62" s="25"/>
      <c r="E62" s="22"/>
      <c r="F62" s="26"/>
      <c r="G62" s="26"/>
      <c r="H62" s="26"/>
      <c r="I62" s="26"/>
      <c r="J62" s="22"/>
      <c r="K62" s="20" t="n">
        <f aca="false">IF($D62="",0,$C62*$D62)</f>
        <v>0</v>
      </c>
      <c r="L62" s="20" t="n">
        <f aca="false">IF($D62="",0,$F62*$K62)</f>
        <v>0</v>
      </c>
      <c r="M62" s="20" t="n">
        <f aca="false">IF($D62="",0,$G62*$K62)</f>
        <v>0</v>
      </c>
      <c r="N62" s="20" t="n">
        <f aca="false">IF($D62="",0,$H62*$K62)</f>
        <v>0</v>
      </c>
      <c r="O62" s="20" t="n">
        <f aca="false">IF($D62="",0,$I62*$K62*(1-$F62))</f>
        <v>0</v>
      </c>
      <c r="P62" s="20" t="n">
        <f aca="false">IF($D62="",0,$E62*$D62+$L62+$M62+$N62+$O62+$J62*$D62)</f>
        <v>0</v>
      </c>
      <c r="Q62" s="20" t="n">
        <f aca="false">IF($D62="",0,$K62-$P62)</f>
        <v>0</v>
      </c>
      <c r="R62" s="21" t="n">
        <f aca="false">IF($K62=0,0,$Q62/$K62)</f>
        <v>0</v>
      </c>
      <c r="S62" s="20" t="n">
        <f aca="false">IF($D62="",0,$K62-$L62-$M62-$N62)</f>
        <v>0</v>
      </c>
      <c r="T62" s="22"/>
      <c r="U62" s="20" t="n">
        <f aca="false">IF($T62="",0,MAX(0,$S62-$T62))</f>
        <v>0</v>
      </c>
      <c r="V62" s="21" t="n">
        <f aca="false">IF($S62=0,0,$U62/$S62)</f>
        <v>0</v>
      </c>
      <c r="W62" s="23" t="str">
        <f aca="false">IF($D62="","",IF($T62="","BEKLİYOR",IF(OR($U62=0,$S62=0),"DOĞRU",IF(AND($V62&gt;PazaryeriEksikHakedisEsik,$U62&gt;PazaryeriEksikHakedisTutarEsik),"EKSİK HAKEDİŞ","DOĞRU"))))</f>
        <v/>
      </c>
      <c r="X62" s="23" t="str">
        <f aca="false">IF($B62="","",CONCATENATE("Ürün: ",$B62," | Kâr: ",TEXT($Q62,"₺ #,##0")," | Durum: ",$W62))</f>
        <v/>
      </c>
      <c r="Y62" s="24"/>
    </row>
    <row r="63" customFormat="false" ht="15" hidden="false" customHeight="false" outlineLevel="0" collapsed="false">
      <c r="A63" s="24"/>
      <c r="B63" s="24"/>
      <c r="C63" s="22"/>
      <c r="D63" s="25"/>
      <c r="E63" s="22"/>
      <c r="F63" s="26"/>
      <c r="G63" s="26"/>
      <c r="H63" s="26"/>
      <c r="I63" s="26"/>
      <c r="J63" s="22"/>
      <c r="K63" s="20" t="n">
        <f aca="false">IF($D63="",0,$C63*$D63)</f>
        <v>0</v>
      </c>
      <c r="L63" s="20" t="n">
        <f aca="false">IF($D63="",0,$F63*$K63)</f>
        <v>0</v>
      </c>
      <c r="M63" s="20" t="n">
        <f aca="false">IF($D63="",0,$G63*$K63)</f>
        <v>0</v>
      </c>
      <c r="N63" s="20" t="n">
        <f aca="false">IF($D63="",0,$H63*$K63)</f>
        <v>0</v>
      </c>
      <c r="O63" s="20" t="n">
        <f aca="false">IF($D63="",0,$I63*$K63*(1-$F63))</f>
        <v>0</v>
      </c>
      <c r="P63" s="20" t="n">
        <f aca="false">IF($D63="",0,$E63*$D63+$L63+$M63+$N63+$O63+$J63*$D63)</f>
        <v>0</v>
      </c>
      <c r="Q63" s="20" t="n">
        <f aca="false">IF($D63="",0,$K63-$P63)</f>
        <v>0</v>
      </c>
      <c r="R63" s="21" t="n">
        <f aca="false">IF($K63=0,0,$Q63/$K63)</f>
        <v>0</v>
      </c>
      <c r="S63" s="20" t="n">
        <f aca="false">IF($D63="",0,$K63-$L63-$M63-$N63)</f>
        <v>0</v>
      </c>
      <c r="T63" s="22"/>
      <c r="U63" s="20" t="n">
        <f aca="false">IF($T63="",0,MAX(0,$S63-$T63))</f>
        <v>0</v>
      </c>
      <c r="V63" s="21" t="n">
        <f aca="false">IF($S63=0,0,$U63/$S63)</f>
        <v>0</v>
      </c>
      <c r="W63" s="23" t="str">
        <f aca="false">IF($D63="","",IF($T63="","BEKLİYOR",IF(OR($U63=0,$S63=0),"DOĞRU",IF(AND($V63&gt;PazaryeriEksikHakedisEsik,$U63&gt;PazaryeriEksikHakedisTutarEsik),"EKSİK HAKEDİŞ","DOĞRU"))))</f>
        <v/>
      </c>
      <c r="X63" s="23" t="str">
        <f aca="false">IF($B63="","",CONCATENATE("Ürün: ",$B63," | Kâr: ",TEXT($Q63,"₺ #,##0")," | Durum: ",$W63))</f>
        <v/>
      </c>
      <c r="Y63" s="24"/>
    </row>
    <row r="64" customFormat="false" ht="15" hidden="false" customHeight="false" outlineLevel="0" collapsed="false">
      <c r="A64" s="24"/>
      <c r="B64" s="24"/>
      <c r="C64" s="22"/>
      <c r="D64" s="25"/>
      <c r="E64" s="22"/>
      <c r="F64" s="26"/>
      <c r="G64" s="26"/>
      <c r="H64" s="26"/>
      <c r="I64" s="26"/>
      <c r="J64" s="22"/>
      <c r="K64" s="20" t="n">
        <f aca="false">IF($D64="",0,$C64*$D64)</f>
        <v>0</v>
      </c>
      <c r="L64" s="20" t="n">
        <f aca="false">IF($D64="",0,$F64*$K64)</f>
        <v>0</v>
      </c>
      <c r="M64" s="20" t="n">
        <f aca="false">IF($D64="",0,$G64*$K64)</f>
        <v>0</v>
      </c>
      <c r="N64" s="20" t="n">
        <f aca="false">IF($D64="",0,$H64*$K64)</f>
        <v>0</v>
      </c>
      <c r="O64" s="20" t="n">
        <f aca="false">IF($D64="",0,$I64*$K64*(1-$F64))</f>
        <v>0</v>
      </c>
      <c r="P64" s="20" t="n">
        <f aca="false">IF($D64="",0,$E64*$D64+$L64+$M64+$N64+$O64+$J64*$D64)</f>
        <v>0</v>
      </c>
      <c r="Q64" s="20" t="n">
        <f aca="false">IF($D64="",0,$K64-$P64)</f>
        <v>0</v>
      </c>
      <c r="R64" s="21" t="n">
        <f aca="false">IF($K64=0,0,$Q64/$K64)</f>
        <v>0</v>
      </c>
      <c r="S64" s="20" t="n">
        <f aca="false">IF($D64="",0,$K64-$L64-$M64-$N64)</f>
        <v>0</v>
      </c>
      <c r="T64" s="22"/>
      <c r="U64" s="20" t="n">
        <f aca="false">IF($T64="",0,MAX(0,$S64-$T64))</f>
        <v>0</v>
      </c>
      <c r="V64" s="21" t="n">
        <f aca="false">IF($S64=0,0,$U64/$S64)</f>
        <v>0</v>
      </c>
      <c r="W64" s="23" t="str">
        <f aca="false">IF($D64="","",IF($T64="","BEKLİYOR",IF(OR($U64=0,$S64=0),"DOĞRU",IF(AND($V64&gt;PazaryeriEksikHakedisEsik,$U64&gt;PazaryeriEksikHakedisTutarEsik),"EKSİK HAKEDİŞ","DOĞRU"))))</f>
        <v/>
      </c>
      <c r="X64" s="23" t="str">
        <f aca="false">IF($B64="","",CONCATENATE("Ürün: ",$B64," | Kâr: ",TEXT($Q64,"₺ #,##0")," | Durum: ",$W64))</f>
        <v/>
      </c>
      <c r="Y64" s="24"/>
    </row>
    <row r="65" customFormat="false" ht="15" hidden="false" customHeight="false" outlineLevel="0" collapsed="false">
      <c r="A65" s="24"/>
      <c r="B65" s="24"/>
      <c r="C65" s="22"/>
      <c r="D65" s="25"/>
      <c r="E65" s="22"/>
      <c r="F65" s="26"/>
      <c r="G65" s="26"/>
      <c r="H65" s="26"/>
      <c r="I65" s="26"/>
      <c r="J65" s="22"/>
      <c r="K65" s="20" t="n">
        <f aca="false">IF($D65="",0,$C65*$D65)</f>
        <v>0</v>
      </c>
      <c r="L65" s="20" t="n">
        <f aca="false">IF($D65="",0,$F65*$K65)</f>
        <v>0</v>
      </c>
      <c r="M65" s="20" t="n">
        <f aca="false">IF($D65="",0,$G65*$K65)</f>
        <v>0</v>
      </c>
      <c r="N65" s="20" t="n">
        <f aca="false">IF($D65="",0,$H65*$K65)</f>
        <v>0</v>
      </c>
      <c r="O65" s="20" t="n">
        <f aca="false">IF($D65="",0,$I65*$K65*(1-$F65))</f>
        <v>0</v>
      </c>
      <c r="P65" s="20" t="n">
        <f aca="false">IF($D65="",0,$E65*$D65+$L65+$M65+$N65+$O65+$J65*$D65)</f>
        <v>0</v>
      </c>
      <c r="Q65" s="20" t="n">
        <f aca="false">IF($D65="",0,$K65-$P65)</f>
        <v>0</v>
      </c>
      <c r="R65" s="21" t="n">
        <f aca="false">IF($K65=0,0,$Q65/$K65)</f>
        <v>0</v>
      </c>
      <c r="S65" s="20" t="n">
        <f aca="false">IF($D65="",0,$K65-$L65-$M65-$N65)</f>
        <v>0</v>
      </c>
      <c r="T65" s="22"/>
      <c r="U65" s="20" t="n">
        <f aca="false">IF($T65="",0,MAX(0,$S65-$T65))</f>
        <v>0</v>
      </c>
      <c r="V65" s="21" t="n">
        <f aca="false">IF($S65=0,0,$U65/$S65)</f>
        <v>0</v>
      </c>
      <c r="W65" s="23" t="str">
        <f aca="false">IF($D65="","",IF($T65="","BEKLİYOR",IF(OR($U65=0,$S65=0),"DOĞRU",IF(AND($V65&gt;PazaryeriEksikHakedisEsik,$U65&gt;PazaryeriEksikHakedisTutarEsik),"EKSİK HAKEDİŞ","DOĞRU"))))</f>
        <v/>
      </c>
      <c r="X65" s="23" t="str">
        <f aca="false">IF($B65="","",CONCATENATE("Ürün: ",$B65," | Kâr: ",TEXT($Q65,"₺ #,##0")," | Durum: ",$W65))</f>
        <v/>
      </c>
      <c r="Y65" s="24"/>
    </row>
    <row r="66" customFormat="false" ht="15" hidden="false" customHeight="false" outlineLevel="0" collapsed="false">
      <c r="A66" s="24"/>
      <c r="B66" s="24"/>
      <c r="C66" s="22"/>
      <c r="D66" s="25"/>
      <c r="E66" s="22"/>
      <c r="F66" s="26"/>
      <c r="G66" s="26"/>
      <c r="H66" s="26"/>
      <c r="I66" s="26"/>
      <c r="J66" s="22"/>
      <c r="K66" s="20" t="n">
        <f aca="false">IF($D66="",0,$C66*$D66)</f>
        <v>0</v>
      </c>
      <c r="L66" s="20" t="n">
        <f aca="false">IF($D66="",0,$F66*$K66)</f>
        <v>0</v>
      </c>
      <c r="M66" s="20" t="n">
        <f aca="false">IF($D66="",0,$G66*$K66)</f>
        <v>0</v>
      </c>
      <c r="N66" s="20" t="n">
        <f aca="false">IF($D66="",0,$H66*$K66)</f>
        <v>0</v>
      </c>
      <c r="O66" s="20" t="n">
        <f aca="false">IF($D66="",0,$I66*$K66*(1-$F66))</f>
        <v>0</v>
      </c>
      <c r="P66" s="20" t="n">
        <f aca="false">IF($D66="",0,$E66*$D66+$L66+$M66+$N66+$O66+$J66*$D66)</f>
        <v>0</v>
      </c>
      <c r="Q66" s="20" t="n">
        <f aca="false">IF($D66="",0,$K66-$P66)</f>
        <v>0</v>
      </c>
      <c r="R66" s="21" t="n">
        <f aca="false">IF($K66=0,0,$Q66/$K66)</f>
        <v>0</v>
      </c>
      <c r="S66" s="20" t="n">
        <f aca="false">IF($D66="",0,$K66-$L66-$M66-$N66)</f>
        <v>0</v>
      </c>
      <c r="T66" s="22"/>
      <c r="U66" s="20" t="n">
        <f aca="false">IF($T66="",0,MAX(0,$S66-$T66))</f>
        <v>0</v>
      </c>
      <c r="V66" s="21" t="n">
        <f aca="false">IF($S66=0,0,$U66/$S66)</f>
        <v>0</v>
      </c>
      <c r="W66" s="23" t="str">
        <f aca="false">IF($D66="","",IF($T66="","BEKLİYOR",IF(OR($U66=0,$S66=0),"DOĞRU",IF(AND($V66&gt;PazaryeriEksikHakedisEsik,$U66&gt;PazaryeriEksikHakedisTutarEsik),"EKSİK HAKEDİŞ","DOĞRU"))))</f>
        <v/>
      </c>
      <c r="X66" s="23" t="str">
        <f aca="false">IF($B66="","",CONCATENATE("Ürün: ",$B66," | Kâr: ",TEXT($Q66,"₺ #,##0")," | Durum: ",$W66))</f>
        <v/>
      </c>
      <c r="Y66" s="24"/>
    </row>
    <row r="67" customFormat="false" ht="15" hidden="false" customHeight="false" outlineLevel="0" collapsed="false">
      <c r="A67" s="24"/>
      <c r="B67" s="24"/>
      <c r="C67" s="22"/>
      <c r="D67" s="25"/>
      <c r="E67" s="22"/>
      <c r="F67" s="26"/>
      <c r="G67" s="26"/>
      <c r="H67" s="26"/>
      <c r="I67" s="26"/>
      <c r="J67" s="22"/>
      <c r="K67" s="20" t="n">
        <f aca="false">IF($D67="",0,$C67*$D67)</f>
        <v>0</v>
      </c>
      <c r="L67" s="20" t="n">
        <f aca="false">IF($D67="",0,$F67*$K67)</f>
        <v>0</v>
      </c>
      <c r="M67" s="20" t="n">
        <f aca="false">IF($D67="",0,$G67*$K67)</f>
        <v>0</v>
      </c>
      <c r="N67" s="20" t="n">
        <f aca="false">IF($D67="",0,$H67*$K67)</f>
        <v>0</v>
      </c>
      <c r="O67" s="20" t="n">
        <f aca="false">IF($D67="",0,$I67*$K67*(1-$F67))</f>
        <v>0</v>
      </c>
      <c r="P67" s="20" t="n">
        <f aca="false">IF($D67="",0,$E67*$D67+$L67+$M67+$N67+$O67+$J67*$D67)</f>
        <v>0</v>
      </c>
      <c r="Q67" s="20" t="n">
        <f aca="false">IF($D67="",0,$K67-$P67)</f>
        <v>0</v>
      </c>
      <c r="R67" s="21" t="n">
        <f aca="false">IF($K67=0,0,$Q67/$K67)</f>
        <v>0</v>
      </c>
      <c r="S67" s="20" t="n">
        <f aca="false">IF($D67="",0,$K67-$L67-$M67-$N67)</f>
        <v>0</v>
      </c>
      <c r="T67" s="22"/>
      <c r="U67" s="20" t="n">
        <f aca="false">IF($T67="",0,MAX(0,$S67-$T67))</f>
        <v>0</v>
      </c>
      <c r="V67" s="21" t="n">
        <f aca="false">IF($S67=0,0,$U67/$S67)</f>
        <v>0</v>
      </c>
      <c r="W67" s="23" t="str">
        <f aca="false">IF($D67="","",IF($T67="","BEKLİYOR",IF(OR($U67=0,$S67=0),"DOĞRU",IF(AND($V67&gt;PazaryeriEksikHakedisEsik,$U67&gt;PazaryeriEksikHakedisTutarEsik),"EKSİK HAKEDİŞ","DOĞRU"))))</f>
        <v/>
      </c>
      <c r="X67" s="23" t="str">
        <f aca="false">IF($B67="","",CONCATENATE("Ürün: ",$B67," | Kâr: ",TEXT($Q67,"₺ #,##0")," | Durum: ",$W67))</f>
        <v/>
      </c>
      <c r="Y67" s="24"/>
    </row>
    <row r="68" customFormat="false" ht="15" hidden="false" customHeight="false" outlineLevel="0" collapsed="false">
      <c r="A68" s="24"/>
      <c r="B68" s="24"/>
      <c r="C68" s="22"/>
      <c r="D68" s="25"/>
      <c r="E68" s="22"/>
      <c r="F68" s="26"/>
      <c r="G68" s="26"/>
      <c r="H68" s="26"/>
      <c r="I68" s="26"/>
      <c r="J68" s="22"/>
      <c r="K68" s="20" t="n">
        <f aca="false">IF($D68="",0,$C68*$D68)</f>
        <v>0</v>
      </c>
      <c r="L68" s="20" t="n">
        <f aca="false">IF($D68="",0,$F68*$K68)</f>
        <v>0</v>
      </c>
      <c r="M68" s="20" t="n">
        <f aca="false">IF($D68="",0,$G68*$K68)</f>
        <v>0</v>
      </c>
      <c r="N68" s="20" t="n">
        <f aca="false">IF($D68="",0,$H68*$K68)</f>
        <v>0</v>
      </c>
      <c r="O68" s="20" t="n">
        <f aca="false">IF($D68="",0,$I68*$K68*(1-$F68))</f>
        <v>0</v>
      </c>
      <c r="P68" s="20" t="n">
        <f aca="false">IF($D68="",0,$E68*$D68+$L68+$M68+$N68+$O68+$J68*$D68)</f>
        <v>0</v>
      </c>
      <c r="Q68" s="20" t="n">
        <f aca="false">IF($D68="",0,$K68-$P68)</f>
        <v>0</v>
      </c>
      <c r="R68" s="21" t="n">
        <f aca="false">IF($K68=0,0,$Q68/$K68)</f>
        <v>0</v>
      </c>
      <c r="S68" s="20" t="n">
        <f aca="false">IF($D68="",0,$K68-$L68-$M68-$N68)</f>
        <v>0</v>
      </c>
      <c r="T68" s="22"/>
      <c r="U68" s="20" t="n">
        <f aca="false">IF($T68="",0,MAX(0,$S68-$T68))</f>
        <v>0</v>
      </c>
      <c r="V68" s="21" t="n">
        <f aca="false">IF($S68=0,0,$U68/$S68)</f>
        <v>0</v>
      </c>
      <c r="W68" s="23" t="str">
        <f aca="false">IF($D68="","",IF($T68="","BEKLİYOR",IF(OR($U68=0,$S68=0),"DOĞRU",IF(AND($V68&gt;PazaryeriEksikHakedisEsik,$U68&gt;PazaryeriEksikHakedisTutarEsik),"EKSİK HAKEDİŞ","DOĞRU"))))</f>
        <v/>
      </c>
      <c r="X68" s="23" t="str">
        <f aca="false">IF($B68="","",CONCATENATE("Ürün: ",$B68," | Kâr: ",TEXT($Q68,"₺ #,##0")," | Durum: ",$W68))</f>
        <v/>
      </c>
      <c r="Y68" s="24"/>
    </row>
    <row r="69" customFormat="false" ht="15" hidden="false" customHeight="false" outlineLevel="0" collapsed="false">
      <c r="A69" s="24"/>
      <c r="B69" s="24"/>
      <c r="C69" s="22"/>
      <c r="D69" s="25"/>
      <c r="E69" s="22"/>
      <c r="F69" s="26"/>
      <c r="G69" s="26"/>
      <c r="H69" s="26"/>
      <c r="I69" s="26"/>
      <c r="J69" s="22"/>
      <c r="K69" s="20" t="n">
        <f aca="false">IF($D69="",0,$C69*$D69)</f>
        <v>0</v>
      </c>
      <c r="L69" s="20" t="n">
        <f aca="false">IF($D69="",0,$F69*$K69)</f>
        <v>0</v>
      </c>
      <c r="M69" s="20" t="n">
        <f aca="false">IF($D69="",0,$G69*$K69)</f>
        <v>0</v>
      </c>
      <c r="N69" s="20" t="n">
        <f aca="false">IF($D69="",0,$H69*$K69)</f>
        <v>0</v>
      </c>
      <c r="O69" s="20" t="n">
        <f aca="false">IF($D69="",0,$I69*$K69*(1-$F69))</f>
        <v>0</v>
      </c>
      <c r="P69" s="20" t="n">
        <f aca="false">IF($D69="",0,$E69*$D69+$L69+$M69+$N69+$O69+$J69*$D69)</f>
        <v>0</v>
      </c>
      <c r="Q69" s="20" t="n">
        <f aca="false">IF($D69="",0,$K69-$P69)</f>
        <v>0</v>
      </c>
      <c r="R69" s="21" t="n">
        <f aca="false">IF($K69=0,0,$Q69/$K69)</f>
        <v>0</v>
      </c>
      <c r="S69" s="20" t="n">
        <f aca="false">IF($D69="",0,$K69-$L69-$M69-$N69)</f>
        <v>0</v>
      </c>
      <c r="T69" s="22"/>
      <c r="U69" s="20" t="n">
        <f aca="false">IF($T69="",0,MAX(0,$S69-$T69))</f>
        <v>0</v>
      </c>
      <c r="V69" s="21" t="n">
        <f aca="false">IF($S69=0,0,$U69/$S69)</f>
        <v>0</v>
      </c>
      <c r="W69" s="23" t="str">
        <f aca="false">IF($D69="","",IF($T69="","BEKLİYOR",IF(OR($U69=0,$S69=0),"DOĞRU",IF(AND($V69&gt;PazaryeriEksikHakedisEsik,$U69&gt;PazaryeriEksikHakedisTutarEsik),"EKSİK HAKEDİŞ","DOĞRU"))))</f>
        <v/>
      </c>
      <c r="X69" s="23" t="str">
        <f aca="false">IF($B69="","",CONCATENATE("Ürün: ",$B69," | Kâr: ",TEXT($Q69,"₺ #,##0")," | Durum: ",$W69))</f>
        <v/>
      </c>
      <c r="Y69" s="24"/>
    </row>
    <row r="70" customFormat="false" ht="15" hidden="false" customHeight="false" outlineLevel="0" collapsed="false">
      <c r="A70" s="24"/>
      <c r="B70" s="24"/>
      <c r="C70" s="22"/>
      <c r="D70" s="25"/>
      <c r="E70" s="22"/>
      <c r="F70" s="26"/>
      <c r="G70" s="26"/>
      <c r="H70" s="26"/>
      <c r="I70" s="26"/>
      <c r="J70" s="22"/>
      <c r="K70" s="20" t="n">
        <f aca="false">IF($D70="",0,$C70*$D70)</f>
        <v>0</v>
      </c>
      <c r="L70" s="20" t="n">
        <f aca="false">IF($D70="",0,$F70*$K70)</f>
        <v>0</v>
      </c>
      <c r="M70" s="20" t="n">
        <f aca="false">IF($D70="",0,$G70*$K70)</f>
        <v>0</v>
      </c>
      <c r="N70" s="20" t="n">
        <f aca="false">IF($D70="",0,$H70*$K70)</f>
        <v>0</v>
      </c>
      <c r="O70" s="20" t="n">
        <f aca="false">IF($D70="",0,$I70*$K70*(1-$F70))</f>
        <v>0</v>
      </c>
      <c r="P70" s="20" t="n">
        <f aca="false">IF($D70="",0,$E70*$D70+$L70+$M70+$N70+$O70+$J70*$D70)</f>
        <v>0</v>
      </c>
      <c r="Q70" s="20" t="n">
        <f aca="false">IF($D70="",0,$K70-$P70)</f>
        <v>0</v>
      </c>
      <c r="R70" s="21" t="n">
        <f aca="false">IF($K70=0,0,$Q70/$K70)</f>
        <v>0</v>
      </c>
      <c r="S70" s="20" t="n">
        <f aca="false">IF($D70="",0,$K70-$L70-$M70-$N70)</f>
        <v>0</v>
      </c>
      <c r="T70" s="22"/>
      <c r="U70" s="20" t="n">
        <f aca="false">IF($T70="",0,MAX(0,$S70-$T70))</f>
        <v>0</v>
      </c>
      <c r="V70" s="21" t="n">
        <f aca="false">IF($S70=0,0,$U70/$S70)</f>
        <v>0</v>
      </c>
      <c r="W70" s="23" t="str">
        <f aca="false">IF($D70="","",IF($T70="","BEKLİYOR",IF(OR($U70=0,$S70=0),"DOĞRU",IF(AND($V70&gt;PazaryeriEksikHakedisEsik,$U70&gt;PazaryeriEksikHakedisTutarEsik),"EKSİK HAKEDİŞ","DOĞRU"))))</f>
        <v/>
      </c>
      <c r="X70" s="23" t="str">
        <f aca="false">IF($B70="","",CONCATENATE("Ürün: ",$B70," | Kâr: ",TEXT($Q70,"₺ #,##0")," | Durum: ",$W70))</f>
        <v/>
      </c>
      <c r="Y70" s="24"/>
    </row>
    <row r="71" customFormat="false" ht="15" hidden="false" customHeight="false" outlineLevel="0" collapsed="false">
      <c r="A71" s="24"/>
      <c r="B71" s="24"/>
      <c r="C71" s="22"/>
      <c r="D71" s="25"/>
      <c r="E71" s="22"/>
      <c r="F71" s="26"/>
      <c r="G71" s="26"/>
      <c r="H71" s="26"/>
      <c r="I71" s="26"/>
      <c r="J71" s="22"/>
      <c r="K71" s="20" t="n">
        <f aca="false">IF($D71="",0,$C71*$D71)</f>
        <v>0</v>
      </c>
      <c r="L71" s="20" t="n">
        <f aca="false">IF($D71="",0,$F71*$K71)</f>
        <v>0</v>
      </c>
      <c r="M71" s="20" t="n">
        <f aca="false">IF($D71="",0,$G71*$K71)</f>
        <v>0</v>
      </c>
      <c r="N71" s="20" t="n">
        <f aca="false">IF($D71="",0,$H71*$K71)</f>
        <v>0</v>
      </c>
      <c r="O71" s="20" t="n">
        <f aca="false">IF($D71="",0,$I71*$K71*(1-$F71))</f>
        <v>0</v>
      </c>
      <c r="P71" s="20" t="n">
        <f aca="false">IF($D71="",0,$E71*$D71+$L71+$M71+$N71+$O71+$J71*$D71)</f>
        <v>0</v>
      </c>
      <c r="Q71" s="20" t="n">
        <f aca="false">IF($D71="",0,$K71-$P71)</f>
        <v>0</v>
      </c>
      <c r="R71" s="21" t="n">
        <f aca="false">IF($K71=0,0,$Q71/$K71)</f>
        <v>0</v>
      </c>
      <c r="S71" s="20" t="n">
        <f aca="false">IF($D71="",0,$K71-$L71-$M71-$N71)</f>
        <v>0</v>
      </c>
      <c r="T71" s="22"/>
      <c r="U71" s="20" t="n">
        <f aca="false">IF($T71="",0,MAX(0,$S71-$T71))</f>
        <v>0</v>
      </c>
      <c r="V71" s="21" t="n">
        <f aca="false">IF($S71=0,0,$U71/$S71)</f>
        <v>0</v>
      </c>
      <c r="W71" s="23" t="str">
        <f aca="false">IF($D71="","",IF($T71="","BEKLİYOR",IF(OR($U71=0,$S71=0),"DOĞRU",IF(AND($V71&gt;PazaryeriEksikHakedisEsik,$U71&gt;PazaryeriEksikHakedisTutarEsik),"EKSİK HAKEDİŞ","DOĞRU"))))</f>
        <v/>
      </c>
      <c r="X71" s="23" t="str">
        <f aca="false">IF($B71="","",CONCATENATE("Ürün: ",$B71," | Kâr: ",TEXT($Q71,"₺ #,##0")," | Durum: ",$W71))</f>
        <v/>
      </c>
      <c r="Y71" s="24"/>
    </row>
    <row r="72" customFormat="false" ht="15" hidden="false" customHeight="false" outlineLevel="0" collapsed="false">
      <c r="A72" s="24"/>
      <c r="B72" s="24"/>
      <c r="C72" s="22"/>
      <c r="D72" s="25"/>
      <c r="E72" s="22"/>
      <c r="F72" s="26"/>
      <c r="G72" s="26"/>
      <c r="H72" s="26"/>
      <c r="I72" s="26"/>
      <c r="J72" s="22"/>
      <c r="K72" s="20" t="n">
        <f aca="false">IF($D72="",0,$C72*$D72)</f>
        <v>0</v>
      </c>
      <c r="L72" s="20" t="n">
        <f aca="false">IF($D72="",0,$F72*$K72)</f>
        <v>0</v>
      </c>
      <c r="M72" s="20" t="n">
        <f aca="false">IF($D72="",0,$G72*$K72)</f>
        <v>0</v>
      </c>
      <c r="N72" s="20" t="n">
        <f aca="false">IF($D72="",0,$H72*$K72)</f>
        <v>0</v>
      </c>
      <c r="O72" s="20" t="n">
        <f aca="false">IF($D72="",0,$I72*$K72*(1-$F72))</f>
        <v>0</v>
      </c>
      <c r="P72" s="20" t="n">
        <f aca="false">IF($D72="",0,$E72*$D72+$L72+$M72+$N72+$O72+$J72*$D72)</f>
        <v>0</v>
      </c>
      <c r="Q72" s="20" t="n">
        <f aca="false">IF($D72="",0,$K72-$P72)</f>
        <v>0</v>
      </c>
      <c r="R72" s="21" t="n">
        <f aca="false">IF($K72=0,0,$Q72/$K72)</f>
        <v>0</v>
      </c>
      <c r="S72" s="20" t="n">
        <f aca="false">IF($D72="",0,$K72-$L72-$M72-$N72)</f>
        <v>0</v>
      </c>
      <c r="T72" s="22"/>
      <c r="U72" s="20" t="n">
        <f aca="false">IF($T72="",0,MAX(0,$S72-$T72))</f>
        <v>0</v>
      </c>
      <c r="V72" s="21" t="n">
        <f aca="false">IF($S72=0,0,$U72/$S72)</f>
        <v>0</v>
      </c>
      <c r="W72" s="23" t="str">
        <f aca="false">IF($D72="","",IF($T72="","BEKLİYOR",IF(OR($U72=0,$S72=0),"DOĞRU",IF(AND($V72&gt;PazaryeriEksikHakedisEsik,$U72&gt;PazaryeriEksikHakedisTutarEsik),"EKSİK HAKEDİŞ","DOĞRU"))))</f>
        <v/>
      </c>
      <c r="X72" s="23" t="str">
        <f aca="false">IF($B72="","",CONCATENATE("Ürün: ",$B72," | Kâr: ",TEXT($Q72,"₺ #,##0")," | Durum: ",$W72))</f>
        <v/>
      </c>
      <c r="Y72" s="24"/>
    </row>
    <row r="73" customFormat="false" ht="15" hidden="false" customHeight="false" outlineLevel="0" collapsed="false">
      <c r="A73" s="24"/>
      <c r="B73" s="24"/>
      <c r="C73" s="22"/>
      <c r="D73" s="25"/>
      <c r="E73" s="22"/>
      <c r="F73" s="26"/>
      <c r="G73" s="26"/>
      <c r="H73" s="26"/>
      <c r="I73" s="26"/>
      <c r="J73" s="22"/>
      <c r="K73" s="20" t="n">
        <f aca="false">IF($D73="",0,$C73*$D73)</f>
        <v>0</v>
      </c>
      <c r="L73" s="20" t="n">
        <f aca="false">IF($D73="",0,$F73*$K73)</f>
        <v>0</v>
      </c>
      <c r="M73" s="20" t="n">
        <f aca="false">IF($D73="",0,$G73*$K73)</f>
        <v>0</v>
      </c>
      <c r="N73" s="20" t="n">
        <f aca="false">IF($D73="",0,$H73*$K73)</f>
        <v>0</v>
      </c>
      <c r="O73" s="20" t="n">
        <f aca="false">IF($D73="",0,$I73*$K73*(1-$F73))</f>
        <v>0</v>
      </c>
      <c r="P73" s="20" t="n">
        <f aca="false">IF($D73="",0,$E73*$D73+$L73+$M73+$N73+$O73+$J73*$D73)</f>
        <v>0</v>
      </c>
      <c r="Q73" s="20" t="n">
        <f aca="false">IF($D73="",0,$K73-$P73)</f>
        <v>0</v>
      </c>
      <c r="R73" s="21" t="n">
        <f aca="false">IF($K73=0,0,$Q73/$K73)</f>
        <v>0</v>
      </c>
      <c r="S73" s="20" t="n">
        <f aca="false">IF($D73="",0,$K73-$L73-$M73-$N73)</f>
        <v>0</v>
      </c>
      <c r="T73" s="22"/>
      <c r="U73" s="20" t="n">
        <f aca="false">IF($T73="",0,MAX(0,$S73-$T73))</f>
        <v>0</v>
      </c>
      <c r="V73" s="21" t="n">
        <f aca="false">IF($S73=0,0,$U73/$S73)</f>
        <v>0</v>
      </c>
      <c r="W73" s="23" t="str">
        <f aca="false">IF($D73="","",IF($T73="","BEKLİYOR",IF(OR($U73=0,$S73=0),"DOĞRU",IF(AND($V73&gt;PazaryeriEksikHakedisEsik,$U73&gt;PazaryeriEksikHakedisTutarEsik),"EKSİK HAKEDİŞ","DOĞRU"))))</f>
        <v/>
      </c>
      <c r="X73" s="23" t="str">
        <f aca="false">IF($B73="","",CONCATENATE("Ürün: ",$B73," | Kâr: ",TEXT($Q73,"₺ #,##0")," | Durum: ",$W73))</f>
        <v/>
      </c>
      <c r="Y73" s="24"/>
    </row>
    <row r="74" customFormat="false" ht="15" hidden="false" customHeight="false" outlineLevel="0" collapsed="false">
      <c r="A74" s="24"/>
      <c r="B74" s="24"/>
      <c r="C74" s="22"/>
      <c r="D74" s="25"/>
      <c r="E74" s="22"/>
      <c r="F74" s="26"/>
      <c r="G74" s="26"/>
      <c r="H74" s="26"/>
      <c r="I74" s="26"/>
      <c r="J74" s="22"/>
      <c r="K74" s="20" t="n">
        <f aca="false">IF($D74="",0,$C74*$D74)</f>
        <v>0</v>
      </c>
      <c r="L74" s="20" t="n">
        <f aca="false">IF($D74="",0,$F74*$K74)</f>
        <v>0</v>
      </c>
      <c r="M74" s="20" t="n">
        <f aca="false">IF($D74="",0,$G74*$K74)</f>
        <v>0</v>
      </c>
      <c r="N74" s="20" t="n">
        <f aca="false">IF($D74="",0,$H74*$K74)</f>
        <v>0</v>
      </c>
      <c r="O74" s="20" t="n">
        <f aca="false">IF($D74="",0,$I74*$K74*(1-$F74))</f>
        <v>0</v>
      </c>
      <c r="P74" s="20" t="n">
        <f aca="false">IF($D74="",0,$E74*$D74+$L74+$M74+$N74+$O74+$J74*$D74)</f>
        <v>0</v>
      </c>
      <c r="Q74" s="20" t="n">
        <f aca="false">IF($D74="",0,$K74-$P74)</f>
        <v>0</v>
      </c>
      <c r="R74" s="21" t="n">
        <f aca="false">IF($K74=0,0,$Q74/$K74)</f>
        <v>0</v>
      </c>
      <c r="S74" s="20" t="n">
        <f aca="false">IF($D74="",0,$K74-$L74-$M74-$N74)</f>
        <v>0</v>
      </c>
      <c r="T74" s="22"/>
      <c r="U74" s="20" t="n">
        <f aca="false">IF($T74="",0,MAX(0,$S74-$T74))</f>
        <v>0</v>
      </c>
      <c r="V74" s="21" t="n">
        <f aca="false">IF($S74=0,0,$U74/$S74)</f>
        <v>0</v>
      </c>
      <c r="W74" s="23" t="str">
        <f aca="false">IF($D74="","",IF($T74="","BEKLİYOR",IF(OR($U74=0,$S74=0),"DOĞRU",IF(AND($V74&gt;PazaryeriEksikHakedisEsik,$U74&gt;PazaryeriEksikHakedisTutarEsik),"EKSİK HAKEDİŞ","DOĞRU"))))</f>
        <v/>
      </c>
      <c r="X74" s="23" t="str">
        <f aca="false">IF($B74="","",CONCATENATE("Ürün: ",$B74," | Kâr: ",TEXT($Q74,"₺ #,##0")," | Durum: ",$W74))</f>
        <v/>
      </c>
      <c r="Y74" s="24"/>
    </row>
    <row r="75" customFormat="false" ht="15" hidden="false" customHeight="false" outlineLevel="0" collapsed="false">
      <c r="A75" s="24"/>
      <c r="B75" s="24"/>
      <c r="C75" s="22"/>
      <c r="D75" s="25"/>
      <c r="E75" s="22"/>
      <c r="F75" s="26"/>
      <c r="G75" s="26"/>
      <c r="H75" s="26"/>
      <c r="I75" s="26"/>
      <c r="J75" s="22"/>
      <c r="K75" s="20" t="n">
        <f aca="false">IF($D75="",0,$C75*$D75)</f>
        <v>0</v>
      </c>
      <c r="L75" s="20" t="n">
        <f aca="false">IF($D75="",0,$F75*$K75)</f>
        <v>0</v>
      </c>
      <c r="M75" s="20" t="n">
        <f aca="false">IF($D75="",0,$G75*$K75)</f>
        <v>0</v>
      </c>
      <c r="N75" s="20" t="n">
        <f aca="false">IF($D75="",0,$H75*$K75)</f>
        <v>0</v>
      </c>
      <c r="O75" s="20" t="n">
        <f aca="false">IF($D75="",0,$I75*$K75*(1-$F75))</f>
        <v>0</v>
      </c>
      <c r="P75" s="20" t="n">
        <f aca="false">IF($D75="",0,$E75*$D75+$L75+$M75+$N75+$O75+$J75*$D75)</f>
        <v>0</v>
      </c>
      <c r="Q75" s="20" t="n">
        <f aca="false">IF($D75="",0,$K75-$P75)</f>
        <v>0</v>
      </c>
      <c r="R75" s="21" t="n">
        <f aca="false">IF($K75=0,0,$Q75/$K75)</f>
        <v>0</v>
      </c>
      <c r="S75" s="20" t="n">
        <f aca="false">IF($D75="",0,$K75-$L75-$M75-$N75)</f>
        <v>0</v>
      </c>
      <c r="T75" s="22"/>
      <c r="U75" s="20" t="n">
        <f aca="false">IF($T75="",0,MAX(0,$S75-$T75))</f>
        <v>0</v>
      </c>
      <c r="V75" s="21" t="n">
        <f aca="false">IF($S75=0,0,$U75/$S75)</f>
        <v>0</v>
      </c>
      <c r="W75" s="23" t="str">
        <f aca="false">IF($D75="","",IF($T75="","BEKLİYOR",IF(OR($U75=0,$S75=0),"DOĞRU",IF(AND($V75&gt;PazaryeriEksikHakedisEsik,$U75&gt;PazaryeriEksikHakedisTutarEsik),"EKSİK HAKEDİŞ","DOĞRU"))))</f>
        <v/>
      </c>
      <c r="X75" s="23" t="str">
        <f aca="false">IF($B75="","",CONCATENATE("Ürün: ",$B75," | Kâr: ",TEXT($Q75,"₺ #,##0")," | Durum: ",$W75))</f>
        <v/>
      </c>
      <c r="Y75" s="24"/>
    </row>
    <row r="76" customFormat="false" ht="15" hidden="false" customHeight="false" outlineLevel="0" collapsed="false">
      <c r="A76" s="24"/>
      <c r="B76" s="24"/>
      <c r="C76" s="22"/>
      <c r="D76" s="25"/>
      <c r="E76" s="22"/>
      <c r="F76" s="26"/>
      <c r="G76" s="26"/>
      <c r="H76" s="26"/>
      <c r="I76" s="26"/>
      <c r="J76" s="22"/>
      <c r="K76" s="20" t="n">
        <f aca="false">IF($D76="",0,$C76*$D76)</f>
        <v>0</v>
      </c>
      <c r="L76" s="20" t="n">
        <f aca="false">IF($D76="",0,$F76*$K76)</f>
        <v>0</v>
      </c>
      <c r="M76" s="20" t="n">
        <f aca="false">IF($D76="",0,$G76*$K76)</f>
        <v>0</v>
      </c>
      <c r="N76" s="20" t="n">
        <f aca="false">IF($D76="",0,$H76*$K76)</f>
        <v>0</v>
      </c>
      <c r="O76" s="20" t="n">
        <f aca="false">IF($D76="",0,$I76*$K76*(1-$F76))</f>
        <v>0</v>
      </c>
      <c r="P76" s="20" t="n">
        <f aca="false">IF($D76="",0,$E76*$D76+$L76+$M76+$N76+$O76+$J76*$D76)</f>
        <v>0</v>
      </c>
      <c r="Q76" s="20" t="n">
        <f aca="false">IF($D76="",0,$K76-$P76)</f>
        <v>0</v>
      </c>
      <c r="R76" s="21" t="n">
        <f aca="false">IF($K76=0,0,$Q76/$K76)</f>
        <v>0</v>
      </c>
      <c r="S76" s="20" t="n">
        <f aca="false">IF($D76="",0,$K76-$L76-$M76-$N76)</f>
        <v>0</v>
      </c>
      <c r="T76" s="22"/>
      <c r="U76" s="20" t="n">
        <f aca="false">IF($T76="",0,MAX(0,$S76-$T76))</f>
        <v>0</v>
      </c>
      <c r="V76" s="21" t="n">
        <f aca="false">IF($S76=0,0,$U76/$S76)</f>
        <v>0</v>
      </c>
      <c r="W76" s="23" t="str">
        <f aca="false">IF($D76="","",IF($T76="","BEKLİYOR",IF(OR($U76=0,$S76=0),"DOĞRU",IF(AND($V76&gt;PazaryeriEksikHakedisEsik,$U76&gt;PazaryeriEksikHakedisTutarEsik),"EKSİK HAKEDİŞ","DOĞRU"))))</f>
        <v/>
      </c>
      <c r="X76" s="23" t="str">
        <f aca="false">IF($B76="","",CONCATENATE("Ürün: ",$B76," | Kâr: ",TEXT($Q76,"₺ #,##0")," | Durum: ",$W76))</f>
        <v/>
      </c>
      <c r="Y76" s="24"/>
    </row>
    <row r="77" customFormat="false" ht="15" hidden="false" customHeight="false" outlineLevel="0" collapsed="false">
      <c r="A77" s="24"/>
      <c r="B77" s="24"/>
      <c r="C77" s="22"/>
      <c r="D77" s="25"/>
      <c r="E77" s="22"/>
      <c r="F77" s="26"/>
      <c r="G77" s="26"/>
      <c r="H77" s="26"/>
      <c r="I77" s="26"/>
      <c r="J77" s="22"/>
      <c r="K77" s="20" t="n">
        <f aca="false">IF($D77="",0,$C77*$D77)</f>
        <v>0</v>
      </c>
      <c r="L77" s="20" t="n">
        <f aca="false">IF($D77="",0,$F77*$K77)</f>
        <v>0</v>
      </c>
      <c r="M77" s="20" t="n">
        <f aca="false">IF($D77="",0,$G77*$K77)</f>
        <v>0</v>
      </c>
      <c r="N77" s="20" t="n">
        <f aca="false">IF($D77="",0,$H77*$K77)</f>
        <v>0</v>
      </c>
      <c r="O77" s="20" t="n">
        <f aca="false">IF($D77="",0,$I77*$K77*(1-$F77))</f>
        <v>0</v>
      </c>
      <c r="P77" s="20" t="n">
        <f aca="false">IF($D77="",0,$E77*$D77+$L77+$M77+$N77+$O77+$J77*$D77)</f>
        <v>0</v>
      </c>
      <c r="Q77" s="20" t="n">
        <f aca="false">IF($D77="",0,$K77-$P77)</f>
        <v>0</v>
      </c>
      <c r="R77" s="21" t="n">
        <f aca="false">IF($K77=0,0,$Q77/$K77)</f>
        <v>0</v>
      </c>
      <c r="S77" s="20" t="n">
        <f aca="false">IF($D77="",0,$K77-$L77-$M77-$N77)</f>
        <v>0</v>
      </c>
      <c r="T77" s="22"/>
      <c r="U77" s="20" t="n">
        <f aca="false">IF($T77="",0,MAX(0,$S77-$T77))</f>
        <v>0</v>
      </c>
      <c r="V77" s="21" t="n">
        <f aca="false">IF($S77=0,0,$U77/$S77)</f>
        <v>0</v>
      </c>
      <c r="W77" s="23" t="str">
        <f aca="false">IF($D77="","",IF($T77="","BEKLİYOR",IF(OR($U77=0,$S77=0),"DOĞRU",IF(AND($V77&gt;PazaryeriEksikHakedisEsik,$U77&gt;PazaryeriEksikHakedisTutarEsik),"EKSİK HAKEDİŞ","DOĞRU"))))</f>
        <v/>
      </c>
      <c r="X77" s="23" t="str">
        <f aca="false">IF($B77="","",CONCATENATE("Ürün: ",$B77," | Kâr: ",TEXT($Q77,"₺ #,##0")," | Durum: ",$W77))</f>
        <v/>
      </c>
      <c r="Y77" s="24"/>
    </row>
    <row r="78" customFormat="false" ht="15" hidden="false" customHeight="false" outlineLevel="0" collapsed="false">
      <c r="A78" s="24"/>
      <c r="B78" s="24"/>
      <c r="C78" s="22"/>
      <c r="D78" s="25"/>
      <c r="E78" s="22"/>
      <c r="F78" s="26"/>
      <c r="G78" s="26"/>
      <c r="H78" s="26"/>
      <c r="I78" s="26"/>
      <c r="J78" s="22"/>
      <c r="K78" s="20" t="n">
        <f aca="false">IF($D78="",0,$C78*$D78)</f>
        <v>0</v>
      </c>
      <c r="L78" s="20" t="n">
        <f aca="false">IF($D78="",0,$F78*$K78)</f>
        <v>0</v>
      </c>
      <c r="M78" s="20" t="n">
        <f aca="false">IF($D78="",0,$G78*$K78)</f>
        <v>0</v>
      </c>
      <c r="N78" s="20" t="n">
        <f aca="false">IF($D78="",0,$H78*$K78)</f>
        <v>0</v>
      </c>
      <c r="O78" s="20" t="n">
        <f aca="false">IF($D78="",0,$I78*$K78*(1-$F78))</f>
        <v>0</v>
      </c>
      <c r="P78" s="20" t="n">
        <f aca="false">IF($D78="",0,$E78*$D78+$L78+$M78+$N78+$O78+$J78*$D78)</f>
        <v>0</v>
      </c>
      <c r="Q78" s="20" t="n">
        <f aca="false">IF($D78="",0,$K78-$P78)</f>
        <v>0</v>
      </c>
      <c r="R78" s="21" t="n">
        <f aca="false">IF($K78=0,0,$Q78/$K78)</f>
        <v>0</v>
      </c>
      <c r="S78" s="20" t="n">
        <f aca="false">IF($D78="",0,$K78-$L78-$M78-$N78)</f>
        <v>0</v>
      </c>
      <c r="T78" s="22"/>
      <c r="U78" s="20" t="n">
        <f aca="false">IF($T78="",0,MAX(0,$S78-$T78))</f>
        <v>0</v>
      </c>
      <c r="V78" s="21" t="n">
        <f aca="false">IF($S78=0,0,$U78/$S78)</f>
        <v>0</v>
      </c>
      <c r="W78" s="23" t="str">
        <f aca="false">IF($D78="","",IF($T78="","BEKLİYOR",IF(OR($U78=0,$S78=0),"DOĞRU",IF(AND($V78&gt;PazaryeriEksikHakedisEsik,$U78&gt;PazaryeriEksikHakedisTutarEsik),"EKSİK HAKEDİŞ","DOĞRU"))))</f>
        <v/>
      </c>
      <c r="X78" s="23" t="str">
        <f aca="false">IF($B78="","",CONCATENATE("Ürün: ",$B78," | Kâr: ",TEXT($Q78,"₺ #,##0")," | Durum: ",$W78))</f>
        <v/>
      </c>
      <c r="Y78" s="24"/>
    </row>
    <row r="79" customFormat="false" ht="15" hidden="false" customHeight="false" outlineLevel="0" collapsed="false">
      <c r="A79" s="24"/>
      <c r="B79" s="24"/>
      <c r="C79" s="22"/>
      <c r="D79" s="25"/>
      <c r="E79" s="22"/>
      <c r="F79" s="26"/>
      <c r="G79" s="26"/>
      <c r="H79" s="26"/>
      <c r="I79" s="26"/>
      <c r="J79" s="22"/>
      <c r="K79" s="20" t="n">
        <f aca="false">IF($D79="",0,$C79*$D79)</f>
        <v>0</v>
      </c>
      <c r="L79" s="20" t="n">
        <f aca="false">IF($D79="",0,$F79*$K79)</f>
        <v>0</v>
      </c>
      <c r="M79" s="20" t="n">
        <f aca="false">IF($D79="",0,$G79*$K79)</f>
        <v>0</v>
      </c>
      <c r="N79" s="20" t="n">
        <f aca="false">IF($D79="",0,$H79*$K79)</f>
        <v>0</v>
      </c>
      <c r="O79" s="20" t="n">
        <f aca="false">IF($D79="",0,$I79*$K79*(1-$F79))</f>
        <v>0</v>
      </c>
      <c r="P79" s="20" t="n">
        <f aca="false">IF($D79="",0,$E79*$D79+$L79+$M79+$N79+$O79+$J79*$D79)</f>
        <v>0</v>
      </c>
      <c r="Q79" s="20" t="n">
        <f aca="false">IF($D79="",0,$K79-$P79)</f>
        <v>0</v>
      </c>
      <c r="R79" s="21" t="n">
        <f aca="false">IF($K79=0,0,$Q79/$K79)</f>
        <v>0</v>
      </c>
      <c r="S79" s="20" t="n">
        <f aca="false">IF($D79="",0,$K79-$L79-$M79-$N79)</f>
        <v>0</v>
      </c>
      <c r="T79" s="22"/>
      <c r="U79" s="20" t="n">
        <f aca="false">IF($T79="",0,MAX(0,$S79-$T79))</f>
        <v>0</v>
      </c>
      <c r="V79" s="21" t="n">
        <f aca="false">IF($S79=0,0,$U79/$S79)</f>
        <v>0</v>
      </c>
      <c r="W79" s="23" t="str">
        <f aca="false">IF($D79="","",IF($T79="","BEKLİYOR",IF(OR($U79=0,$S79=0),"DOĞRU",IF(AND($V79&gt;PazaryeriEksikHakedisEsik,$U79&gt;PazaryeriEksikHakedisTutarEsik),"EKSİK HAKEDİŞ","DOĞRU"))))</f>
        <v/>
      </c>
      <c r="X79" s="23" t="str">
        <f aca="false">IF($B79="","",CONCATENATE("Ürün: ",$B79," | Kâr: ",TEXT($Q79,"₺ #,##0")," | Durum: ",$W79))</f>
        <v/>
      </c>
      <c r="Y79" s="24"/>
    </row>
    <row r="80" customFormat="false" ht="15" hidden="false" customHeight="false" outlineLevel="0" collapsed="false">
      <c r="A80" s="24"/>
      <c r="B80" s="24"/>
      <c r="C80" s="22"/>
      <c r="D80" s="25"/>
      <c r="E80" s="22"/>
      <c r="F80" s="26"/>
      <c r="G80" s="26"/>
      <c r="H80" s="26"/>
      <c r="I80" s="26"/>
      <c r="J80" s="22"/>
      <c r="K80" s="20" t="n">
        <f aca="false">IF($D80="",0,$C80*$D80)</f>
        <v>0</v>
      </c>
      <c r="L80" s="20" t="n">
        <f aca="false">IF($D80="",0,$F80*$K80)</f>
        <v>0</v>
      </c>
      <c r="M80" s="20" t="n">
        <f aca="false">IF($D80="",0,$G80*$K80)</f>
        <v>0</v>
      </c>
      <c r="N80" s="20" t="n">
        <f aca="false">IF($D80="",0,$H80*$K80)</f>
        <v>0</v>
      </c>
      <c r="O80" s="20" t="n">
        <f aca="false">IF($D80="",0,$I80*$K80*(1-$F80))</f>
        <v>0</v>
      </c>
      <c r="P80" s="20" t="n">
        <f aca="false">IF($D80="",0,$E80*$D80+$L80+$M80+$N80+$O80+$J80*$D80)</f>
        <v>0</v>
      </c>
      <c r="Q80" s="20" t="n">
        <f aca="false">IF($D80="",0,$K80-$P80)</f>
        <v>0</v>
      </c>
      <c r="R80" s="21" t="n">
        <f aca="false">IF($K80=0,0,$Q80/$K80)</f>
        <v>0</v>
      </c>
      <c r="S80" s="20" t="n">
        <f aca="false">IF($D80="",0,$K80-$L80-$M80-$N80)</f>
        <v>0</v>
      </c>
      <c r="T80" s="22"/>
      <c r="U80" s="20" t="n">
        <f aca="false">IF($T80="",0,MAX(0,$S80-$T80))</f>
        <v>0</v>
      </c>
      <c r="V80" s="21" t="n">
        <f aca="false">IF($S80=0,0,$U80/$S80)</f>
        <v>0</v>
      </c>
      <c r="W80" s="23" t="str">
        <f aca="false">IF($D80="","",IF($T80="","BEKLİYOR",IF(OR($U80=0,$S80=0),"DOĞRU",IF(AND($V80&gt;PazaryeriEksikHakedisEsik,$U80&gt;PazaryeriEksikHakedisTutarEsik),"EKSİK HAKEDİŞ","DOĞRU"))))</f>
        <v/>
      </c>
      <c r="X80" s="23" t="str">
        <f aca="false">IF($B80="","",CONCATENATE("Ürün: ",$B80," | Kâr: ",TEXT($Q80,"₺ #,##0")," | Durum: ",$W80))</f>
        <v/>
      </c>
      <c r="Y80" s="24"/>
    </row>
    <row r="81" customFormat="false" ht="15" hidden="false" customHeight="false" outlineLevel="0" collapsed="false">
      <c r="A81" s="24"/>
      <c r="B81" s="24"/>
      <c r="C81" s="22"/>
      <c r="D81" s="25"/>
      <c r="E81" s="22"/>
      <c r="F81" s="26"/>
      <c r="G81" s="26"/>
      <c r="H81" s="26"/>
      <c r="I81" s="26"/>
      <c r="J81" s="22"/>
      <c r="K81" s="20" t="n">
        <f aca="false">IF($D81="",0,$C81*$D81)</f>
        <v>0</v>
      </c>
      <c r="L81" s="20" t="n">
        <f aca="false">IF($D81="",0,$F81*$K81)</f>
        <v>0</v>
      </c>
      <c r="M81" s="20" t="n">
        <f aca="false">IF($D81="",0,$G81*$K81)</f>
        <v>0</v>
      </c>
      <c r="N81" s="20" t="n">
        <f aca="false">IF($D81="",0,$H81*$K81)</f>
        <v>0</v>
      </c>
      <c r="O81" s="20" t="n">
        <f aca="false">IF($D81="",0,$I81*$K81*(1-$F81))</f>
        <v>0</v>
      </c>
      <c r="P81" s="20" t="n">
        <f aca="false">IF($D81="",0,$E81*$D81+$L81+$M81+$N81+$O81+$J81*$D81)</f>
        <v>0</v>
      </c>
      <c r="Q81" s="20" t="n">
        <f aca="false">IF($D81="",0,$K81-$P81)</f>
        <v>0</v>
      </c>
      <c r="R81" s="21" t="n">
        <f aca="false">IF($K81=0,0,$Q81/$K81)</f>
        <v>0</v>
      </c>
      <c r="S81" s="20" t="n">
        <f aca="false">IF($D81="",0,$K81-$L81-$M81-$N81)</f>
        <v>0</v>
      </c>
      <c r="T81" s="22"/>
      <c r="U81" s="20" t="n">
        <f aca="false">IF($T81="",0,MAX(0,$S81-$T81))</f>
        <v>0</v>
      </c>
      <c r="V81" s="21" t="n">
        <f aca="false">IF($S81=0,0,$U81/$S81)</f>
        <v>0</v>
      </c>
      <c r="W81" s="23" t="str">
        <f aca="false">IF($D81="","",IF($T81="","BEKLİYOR",IF(OR($U81=0,$S81=0),"DOĞRU",IF(AND($V81&gt;PazaryeriEksikHakedisEsik,$U81&gt;PazaryeriEksikHakedisTutarEsik),"EKSİK HAKEDİŞ","DOĞRU"))))</f>
        <v/>
      </c>
      <c r="X81" s="23" t="str">
        <f aca="false">IF($B81="","",CONCATENATE("Ürün: ",$B81," | Kâr: ",TEXT($Q81,"₺ #,##0")," | Durum: ",$W81))</f>
        <v/>
      </c>
      <c r="Y81" s="24"/>
    </row>
    <row r="82" customFormat="false" ht="15" hidden="false" customHeight="false" outlineLevel="0" collapsed="false">
      <c r="A82" s="24"/>
      <c r="B82" s="24"/>
      <c r="C82" s="22"/>
      <c r="D82" s="25"/>
      <c r="E82" s="22"/>
      <c r="F82" s="26"/>
      <c r="G82" s="26"/>
      <c r="H82" s="26"/>
      <c r="I82" s="26"/>
      <c r="J82" s="22"/>
      <c r="K82" s="20" t="n">
        <f aca="false">IF($D82="",0,$C82*$D82)</f>
        <v>0</v>
      </c>
      <c r="L82" s="20" t="n">
        <f aca="false">IF($D82="",0,$F82*$K82)</f>
        <v>0</v>
      </c>
      <c r="M82" s="20" t="n">
        <f aca="false">IF($D82="",0,$G82*$K82)</f>
        <v>0</v>
      </c>
      <c r="N82" s="20" t="n">
        <f aca="false">IF($D82="",0,$H82*$K82)</f>
        <v>0</v>
      </c>
      <c r="O82" s="20" t="n">
        <f aca="false">IF($D82="",0,$I82*$K82*(1-$F82))</f>
        <v>0</v>
      </c>
      <c r="P82" s="20" t="n">
        <f aca="false">IF($D82="",0,$E82*$D82+$L82+$M82+$N82+$O82+$J82*$D82)</f>
        <v>0</v>
      </c>
      <c r="Q82" s="20" t="n">
        <f aca="false">IF($D82="",0,$K82-$P82)</f>
        <v>0</v>
      </c>
      <c r="R82" s="21" t="n">
        <f aca="false">IF($K82=0,0,$Q82/$K82)</f>
        <v>0</v>
      </c>
      <c r="S82" s="20" t="n">
        <f aca="false">IF($D82="",0,$K82-$L82-$M82-$N82)</f>
        <v>0</v>
      </c>
      <c r="T82" s="22"/>
      <c r="U82" s="20" t="n">
        <f aca="false">IF($T82="",0,MAX(0,$S82-$T82))</f>
        <v>0</v>
      </c>
      <c r="V82" s="21" t="n">
        <f aca="false">IF($S82=0,0,$U82/$S82)</f>
        <v>0</v>
      </c>
      <c r="W82" s="23" t="str">
        <f aca="false">IF($D82="","",IF($T82="","BEKLİYOR",IF(OR($U82=0,$S82=0),"DOĞRU",IF(AND($V82&gt;PazaryeriEksikHakedisEsik,$U82&gt;PazaryeriEksikHakedisTutarEsik),"EKSİK HAKEDİŞ","DOĞRU"))))</f>
        <v/>
      </c>
      <c r="X82" s="23" t="str">
        <f aca="false">IF($B82="","",CONCATENATE("Ürün: ",$B82," | Kâr: ",TEXT($Q82,"₺ #,##0")," | Durum: ",$W82))</f>
        <v/>
      </c>
      <c r="Y82" s="24"/>
    </row>
    <row r="83" customFormat="false" ht="15" hidden="false" customHeight="false" outlineLevel="0" collapsed="false">
      <c r="A83" s="24"/>
      <c r="B83" s="24"/>
      <c r="C83" s="22"/>
      <c r="D83" s="25"/>
      <c r="E83" s="22"/>
      <c r="F83" s="26"/>
      <c r="G83" s="26"/>
      <c r="H83" s="26"/>
      <c r="I83" s="26"/>
      <c r="J83" s="22"/>
      <c r="K83" s="20" t="n">
        <f aca="false">IF($D83="",0,$C83*$D83)</f>
        <v>0</v>
      </c>
      <c r="L83" s="20" t="n">
        <f aca="false">IF($D83="",0,$F83*$K83)</f>
        <v>0</v>
      </c>
      <c r="M83" s="20" t="n">
        <f aca="false">IF($D83="",0,$G83*$K83)</f>
        <v>0</v>
      </c>
      <c r="N83" s="20" t="n">
        <f aca="false">IF($D83="",0,$H83*$K83)</f>
        <v>0</v>
      </c>
      <c r="O83" s="20" t="n">
        <f aca="false">IF($D83="",0,$I83*$K83*(1-$F83))</f>
        <v>0</v>
      </c>
      <c r="P83" s="20" t="n">
        <f aca="false">IF($D83="",0,$E83*$D83+$L83+$M83+$N83+$O83+$J83*$D83)</f>
        <v>0</v>
      </c>
      <c r="Q83" s="20" t="n">
        <f aca="false">IF($D83="",0,$K83-$P83)</f>
        <v>0</v>
      </c>
      <c r="R83" s="21" t="n">
        <f aca="false">IF($K83=0,0,$Q83/$K83)</f>
        <v>0</v>
      </c>
      <c r="S83" s="20" t="n">
        <f aca="false">IF($D83="",0,$K83-$L83-$M83-$N83)</f>
        <v>0</v>
      </c>
      <c r="T83" s="22"/>
      <c r="U83" s="20" t="n">
        <f aca="false">IF($T83="",0,MAX(0,$S83-$T83))</f>
        <v>0</v>
      </c>
      <c r="V83" s="21" t="n">
        <f aca="false">IF($S83=0,0,$U83/$S83)</f>
        <v>0</v>
      </c>
      <c r="W83" s="23" t="str">
        <f aca="false">IF($D83="","",IF($T83="","BEKLİYOR",IF(OR($U83=0,$S83=0),"DOĞRU",IF(AND($V83&gt;PazaryeriEksikHakedisEsik,$U83&gt;PazaryeriEksikHakedisTutarEsik),"EKSİK HAKEDİŞ","DOĞRU"))))</f>
        <v/>
      </c>
      <c r="X83" s="23" t="str">
        <f aca="false">IF($B83="","",CONCATENATE("Ürün: ",$B83," | Kâr: ",TEXT($Q83,"₺ #,##0")," | Durum: ",$W83))</f>
        <v/>
      </c>
      <c r="Y83" s="24"/>
    </row>
    <row r="84" customFormat="false" ht="15" hidden="false" customHeight="false" outlineLevel="0" collapsed="false">
      <c r="A84" s="24"/>
      <c r="B84" s="24"/>
      <c r="C84" s="22"/>
      <c r="D84" s="25"/>
      <c r="E84" s="22"/>
      <c r="F84" s="26"/>
      <c r="G84" s="26"/>
      <c r="H84" s="26"/>
      <c r="I84" s="26"/>
      <c r="J84" s="22"/>
      <c r="K84" s="20" t="n">
        <f aca="false">IF($D84="",0,$C84*$D84)</f>
        <v>0</v>
      </c>
      <c r="L84" s="20" t="n">
        <f aca="false">IF($D84="",0,$F84*$K84)</f>
        <v>0</v>
      </c>
      <c r="M84" s="20" t="n">
        <f aca="false">IF($D84="",0,$G84*$K84)</f>
        <v>0</v>
      </c>
      <c r="N84" s="20" t="n">
        <f aca="false">IF($D84="",0,$H84*$K84)</f>
        <v>0</v>
      </c>
      <c r="O84" s="20" t="n">
        <f aca="false">IF($D84="",0,$I84*$K84*(1-$F84))</f>
        <v>0</v>
      </c>
      <c r="P84" s="20" t="n">
        <f aca="false">IF($D84="",0,$E84*$D84+$L84+$M84+$N84+$O84+$J84*$D84)</f>
        <v>0</v>
      </c>
      <c r="Q84" s="20" t="n">
        <f aca="false">IF($D84="",0,$K84-$P84)</f>
        <v>0</v>
      </c>
      <c r="R84" s="21" t="n">
        <f aca="false">IF($K84=0,0,$Q84/$K84)</f>
        <v>0</v>
      </c>
      <c r="S84" s="20" t="n">
        <f aca="false">IF($D84="",0,$K84-$L84-$M84-$N84)</f>
        <v>0</v>
      </c>
      <c r="T84" s="22"/>
      <c r="U84" s="20" t="n">
        <f aca="false">IF($T84="",0,MAX(0,$S84-$T84))</f>
        <v>0</v>
      </c>
      <c r="V84" s="21" t="n">
        <f aca="false">IF($S84=0,0,$U84/$S84)</f>
        <v>0</v>
      </c>
      <c r="W84" s="23" t="str">
        <f aca="false">IF($D84="","",IF($T84="","BEKLİYOR",IF(OR($U84=0,$S84=0),"DOĞRU",IF(AND($V84&gt;PazaryeriEksikHakedisEsik,$U84&gt;PazaryeriEksikHakedisTutarEsik),"EKSİK HAKEDİŞ","DOĞRU"))))</f>
        <v/>
      </c>
      <c r="X84" s="23" t="str">
        <f aca="false">IF($B84="","",CONCATENATE("Ürün: ",$B84," | Kâr: ",TEXT($Q84,"₺ #,##0")," | Durum: ",$W84))</f>
        <v/>
      </c>
      <c r="Y84" s="24"/>
    </row>
    <row r="85" customFormat="false" ht="15" hidden="false" customHeight="false" outlineLevel="0" collapsed="false">
      <c r="A85" s="24"/>
      <c r="B85" s="24"/>
      <c r="C85" s="22"/>
      <c r="D85" s="25"/>
      <c r="E85" s="22"/>
      <c r="F85" s="26"/>
      <c r="G85" s="26"/>
      <c r="H85" s="26"/>
      <c r="I85" s="26"/>
      <c r="J85" s="22"/>
      <c r="K85" s="20" t="n">
        <f aca="false">IF($D85="",0,$C85*$D85)</f>
        <v>0</v>
      </c>
      <c r="L85" s="20" t="n">
        <f aca="false">IF($D85="",0,$F85*$K85)</f>
        <v>0</v>
      </c>
      <c r="M85" s="20" t="n">
        <f aca="false">IF($D85="",0,$G85*$K85)</f>
        <v>0</v>
      </c>
      <c r="N85" s="20" t="n">
        <f aca="false">IF($D85="",0,$H85*$K85)</f>
        <v>0</v>
      </c>
      <c r="O85" s="20" t="n">
        <f aca="false">IF($D85="",0,$I85*$K85*(1-$F85))</f>
        <v>0</v>
      </c>
      <c r="P85" s="20" t="n">
        <f aca="false">IF($D85="",0,$E85*$D85+$L85+$M85+$N85+$O85+$J85*$D85)</f>
        <v>0</v>
      </c>
      <c r="Q85" s="20" t="n">
        <f aca="false">IF($D85="",0,$K85-$P85)</f>
        <v>0</v>
      </c>
      <c r="R85" s="21" t="n">
        <f aca="false">IF($K85=0,0,$Q85/$K85)</f>
        <v>0</v>
      </c>
      <c r="S85" s="20" t="n">
        <f aca="false">IF($D85="",0,$K85-$L85-$M85-$N85)</f>
        <v>0</v>
      </c>
      <c r="T85" s="22"/>
      <c r="U85" s="20" t="n">
        <f aca="false">IF($T85="",0,MAX(0,$S85-$T85))</f>
        <v>0</v>
      </c>
      <c r="V85" s="21" t="n">
        <f aca="false">IF($S85=0,0,$U85/$S85)</f>
        <v>0</v>
      </c>
      <c r="W85" s="23" t="str">
        <f aca="false">IF($D85="","",IF($T85="","BEKLİYOR",IF(OR($U85=0,$S85=0),"DOĞRU",IF(AND($V85&gt;PazaryeriEksikHakedisEsik,$U85&gt;PazaryeriEksikHakedisTutarEsik),"EKSİK HAKEDİŞ","DOĞRU"))))</f>
        <v/>
      </c>
      <c r="X85" s="23" t="str">
        <f aca="false">IF($B85="","",CONCATENATE("Ürün: ",$B85," | Kâr: ",TEXT($Q85,"₺ #,##0")," | Durum: ",$W85))</f>
        <v/>
      </c>
      <c r="Y85" s="24"/>
    </row>
    <row r="86" customFormat="false" ht="15" hidden="false" customHeight="false" outlineLevel="0" collapsed="false">
      <c r="A86" s="24"/>
      <c r="B86" s="24"/>
      <c r="C86" s="22"/>
      <c r="D86" s="25"/>
      <c r="E86" s="22"/>
      <c r="F86" s="26"/>
      <c r="G86" s="26"/>
      <c r="H86" s="26"/>
      <c r="I86" s="26"/>
      <c r="J86" s="22"/>
      <c r="K86" s="20" t="n">
        <f aca="false">IF($D86="",0,$C86*$D86)</f>
        <v>0</v>
      </c>
      <c r="L86" s="20" t="n">
        <f aca="false">IF($D86="",0,$F86*$K86)</f>
        <v>0</v>
      </c>
      <c r="M86" s="20" t="n">
        <f aca="false">IF($D86="",0,$G86*$K86)</f>
        <v>0</v>
      </c>
      <c r="N86" s="20" t="n">
        <f aca="false">IF($D86="",0,$H86*$K86)</f>
        <v>0</v>
      </c>
      <c r="O86" s="20" t="n">
        <f aca="false">IF($D86="",0,$I86*$K86*(1-$F86))</f>
        <v>0</v>
      </c>
      <c r="P86" s="20" t="n">
        <f aca="false">IF($D86="",0,$E86*$D86+$L86+$M86+$N86+$O86+$J86*$D86)</f>
        <v>0</v>
      </c>
      <c r="Q86" s="20" t="n">
        <f aca="false">IF($D86="",0,$K86-$P86)</f>
        <v>0</v>
      </c>
      <c r="R86" s="21" t="n">
        <f aca="false">IF($K86=0,0,$Q86/$K86)</f>
        <v>0</v>
      </c>
      <c r="S86" s="20" t="n">
        <f aca="false">IF($D86="",0,$K86-$L86-$M86-$N86)</f>
        <v>0</v>
      </c>
      <c r="T86" s="22"/>
      <c r="U86" s="20" t="n">
        <f aca="false">IF($T86="",0,MAX(0,$S86-$T86))</f>
        <v>0</v>
      </c>
      <c r="V86" s="21" t="n">
        <f aca="false">IF($S86=0,0,$U86/$S86)</f>
        <v>0</v>
      </c>
      <c r="W86" s="23" t="str">
        <f aca="false">IF($D86="","",IF($T86="","BEKLİYOR",IF(OR($U86=0,$S86=0),"DOĞRU",IF(AND($V86&gt;PazaryeriEksikHakedisEsik,$U86&gt;PazaryeriEksikHakedisTutarEsik),"EKSİK HAKEDİŞ","DOĞRU"))))</f>
        <v/>
      </c>
      <c r="X86" s="23" t="str">
        <f aca="false">IF($B86="","",CONCATENATE("Ürün: ",$B86," | Kâr: ",TEXT($Q86,"₺ #,##0")," | Durum: ",$W86))</f>
        <v/>
      </c>
      <c r="Y86" s="24"/>
    </row>
    <row r="87" customFormat="false" ht="15" hidden="false" customHeight="false" outlineLevel="0" collapsed="false">
      <c r="A87" s="24"/>
      <c r="B87" s="24"/>
      <c r="C87" s="22"/>
      <c r="D87" s="25"/>
      <c r="E87" s="22"/>
      <c r="F87" s="26"/>
      <c r="G87" s="26"/>
      <c r="H87" s="26"/>
      <c r="I87" s="26"/>
      <c r="J87" s="22"/>
      <c r="K87" s="20" t="n">
        <f aca="false">IF($D87="",0,$C87*$D87)</f>
        <v>0</v>
      </c>
      <c r="L87" s="20" t="n">
        <f aca="false">IF($D87="",0,$F87*$K87)</f>
        <v>0</v>
      </c>
      <c r="M87" s="20" t="n">
        <f aca="false">IF($D87="",0,$G87*$K87)</f>
        <v>0</v>
      </c>
      <c r="N87" s="20" t="n">
        <f aca="false">IF($D87="",0,$H87*$K87)</f>
        <v>0</v>
      </c>
      <c r="O87" s="20" t="n">
        <f aca="false">IF($D87="",0,$I87*$K87*(1-$F87))</f>
        <v>0</v>
      </c>
      <c r="P87" s="20" t="n">
        <f aca="false">IF($D87="",0,$E87*$D87+$L87+$M87+$N87+$O87+$J87*$D87)</f>
        <v>0</v>
      </c>
      <c r="Q87" s="20" t="n">
        <f aca="false">IF($D87="",0,$K87-$P87)</f>
        <v>0</v>
      </c>
      <c r="R87" s="21" t="n">
        <f aca="false">IF($K87=0,0,$Q87/$K87)</f>
        <v>0</v>
      </c>
      <c r="S87" s="20" t="n">
        <f aca="false">IF($D87="",0,$K87-$L87-$M87-$N87)</f>
        <v>0</v>
      </c>
      <c r="T87" s="22"/>
      <c r="U87" s="20" t="n">
        <f aca="false">IF($T87="",0,MAX(0,$S87-$T87))</f>
        <v>0</v>
      </c>
      <c r="V87" s="21" t="n">
        <f aca="false">IF($S87=0,0,$U87/$S87)</f>
        <v>0</v>
      </c>
      <c r="W87" s="23" t="str">
        <f aca="false">IF($D87="","",IF($T87="","BEKLİYOR",IF(OR($U87=0,$S87=0),"DOĞRU",IF(AND($V87&gt;PazaryeriEksikHakedisEsik,$U87&gt;PazaryeriEksikHakedisTutarEsik),"EKSİK HAKEDİŞ","DOĞRU"))))</f>
        <v/>
      </c>
      <c r="X87" s="23" t="str">
        <f aca="false">IF($B87="","",CONCATENATE("Ürün: ",$B87," | Kâr: ",TEXT($Q87,"₺ #,##0")," | Durum: ",$W87))</f>
        <v/>
      </c>
      <c r="Y87" s="24"/>
    </row>
    <row r="88" customFormat="false" ht="15" hidden="false" customHeight="false" outlineLevel="0" collapsed="false">
      <c r="A88" s="24"/>
      <c r="B88" s="24"/>
      <c r="C88" s="22"/>
      <c r="D88" s="25"/>
      <c r="E88" s="22"/>
      <c r="F88" s="26"/>
      <c r="G88" s="26"/>
      <c r="H88" s="26"/>
      <c r="I88" s="26"/>
      <c r="J88" s="22"/>
      <c r="K88" s="20" t="n">
        <f aca="false">IF($D88="",0,$C88*$D88)</f>
        <v>0</v>
      </c>
      <c r="L88" s="20" t="n">
        <f aca="false">IF($D88="",0,$F88*$K88)</f>
        <v>0</v>
      </c>
      <c r="M88" s="20" t="n">
        <f aca="false">IF($D88="",0,$G88*$K88)</f>
        <v>0</v>
      </c>
      <c r="N88" s="20" t="n">
        <f aca="false">IF($D88="",0,$H88*$K88)</f>
        <v>0</v>
      </c>
      <c r="O88" s="20" t="n">
        <f aca="false">IF($D88="",0,$I88*$K88*(1-$F88))</f>
        <v>0</v>
      </c>
      <c r="P88" s="20" t="n">
        <f aca="false">IF($D88="",0,$E88*$D88+$L88+$M88+$N88+$O88+$J88*$D88)</f>
        <v>0</v>
      </c>
      <c r="Q88" s="20" t="n">
        <f aca="false">IF($D88="",0,$K88-$P88)</f>
        <v>0</v>
      </c>
      <c r="R88" s="21" t="n">
        <f aca="false">IF($K88=0,0,$Q88/$K88)</f>
        <v>0</v>
      </c>
      <c r="S88" s="20" t="n">
        <f aca="false">IF($D88="",0,$K88-$L88-$M88-$N88)</f>
        <v>0</v>
      </c>
      <c r="T88" s="22"/>
      <c r="U88" s="20" t="n">
        <f aca="false">IF($T88="",0,MAX(0,$S88-$T88))</f>
        <v>0</v>
      </c>
      <c r="V88" s="21" t="n">
        <f aca="false">IF($S88=0,0,$U88/$S88)</f>
        <v>0</v>
      </c>
      <c r="W88" s="23" t="str">
        <f aca="false">IF($D88="","",IF($T88="","BEKLİYOR",IF(OR($U88=0,$S88=0),"DOĞRU",IF(AND($V88&gt;PazaryeriEksikHakedisEsik,$U88&gt;PazaryeriEksikHakedisTutarEsik),"EKSİK HAKEDİŞ","DOĞRU"))))</f>
        <v/>
      </c>
      <c r="X88" s="23" t="str">
        <f aca="false">IF($B88="","",CONCATENATE("Ürün: ",$B88," | Kâr: ",TEXT($Q88,"₺ #,##0")," | Durum: ",$W88))</f>
        <v/>
      </c>
      <c r="Y88" s="24"/>
    </row>
    <row r="89" customFormat="false" ht="15" hidden="false" customHeight="false" outlineLevel="0" collapsed="false">
      <c r="A89" s="24"/>
      <c r="B89" s="24"/>
      <c r="C89" s="22"/>
      <c r="D89" s="25"/>
      <c r="E89" s="22"/>
      <c r="F89" s="26"/>
      <c r="G89" s="26"/>
      <c r="H89" s="26"/>
      <c r="I89" s="26"/>
      <c r="J89" s="22"/>
      <c r="K89" s="20" t="n">
        <f aca="false">IF($D89="",0,$C89*$D89)</f>
        <v>0</v>
      </c>
      <c r="L89" s="20" t="n">
        <f aca="false">IF($D89="",0,$F89*$K89)</f>
        <v>0</v>
      </c>
      <c r="M89" s="20" t="n">
        <f aca="false">IF($D89="",0,$G89*$K89)</f>
        <v>0</v>
      </c>
      <c r="N89" s="20" t="n">
        <f aca="false">IF($D89="",0,$H89*$K89)</f>
        <v>0</v>
      </c>
      <c r="O89" s="20" t="n">
        <f aca="false">IF($D89="",0,$I89*$K89*(1-$F89))</f>
        <v>0</v>
      </c>
      <c r="P89" s="20" t="n">
        <f aca="false">IF($D89="",0,$E89*$D89+$L89+$M89+$N89+$O89+$J89*$D89)</f>
        <v>0</v>
      </c>
      <c r="Q89" s="20" t="n">
        <f aca="false">IF($D89="",0,$K89-$P89)</f>
        <v>0</v>
      </c>
      <c r="R89" s="21" t="n">
        <f aca="false">IF($K89=0,0,$Q89/$K89)</f>
        <v>0</v>
      </c>
      <c r="S89" s="20" t="n">
        <f aca="false">IF($D89="",0,$K89-$L89-$M89-$N89)</f>
        <v>0</v>
      </c>
      <c r="T89" s="22"/>
      <c r="U89" s="20" t="n">
        <f aca="false">IF($T89="",0,MAX(0,$S89-$T89))</f>
        <v>0</v>
      </c>
      <c r="V89" s="21" t="n">
        <f aca="false">IF($S89=0,0,$U89/$S89)</f>
        <v>0</v>
      </c>
      <c r="W89" s="23" t="str">
        <f aca="false">IF($D89="","",IF($T89="","BEKLİYOR",IF(OR($U89=0,$S89=0),"DOĞRU",IF(AND($V89&gt;PazaryeriEksikHakedisEsik,$U89&gt;PazaryeriEksikHakedisTutarEsik),"EKSİK HAKEDİŞ","DOĞRU"))))</f>
        <v/>
      </c>
      <c r="X89" s="23" t="str">
        <f aca="false">IF($B89="","",CONCATENATE("Ürün: ",$B89," | Kâr: ",TEXT($Q89,"₺ #,##0")," | Durum: ",$W89))</f>
        <v/>
      </c>
      <c r="Y89" s="24"/>
    </row>
    <row r="90" customFormat="false" ht="15" hidden="false" customHeight="false" outlineLevel="0" collapsed="false">
      <c r="A90" s="24"/>
      <c r="B90" s="24"/>
      <c r="C90" s="22"/>
      <c r="D90" s="25"/>
      <c r="E90" s="22"/>
      <c r="F90" s="26"/>
      <c r="G90" s="26"/>
      <c r="H90" s="26"/>
      <c r="I90" s="26"/>
      <c r="J90" s="22"/>
      <c r="K90" s="20" t="n">
        <f aca="false">IF($D90="",0,$C90*$D90)</f>
        <v>0</v>
      </c>
      <c r="L90" s="20" t="n">
        <f aca="false">IF($D90="",0,$F90*$K90)</f>
        <v>0</v>
      </c>
      <c r="M90" s="20" t="n">
        <f aca="false">IF($D90="",0,$G90*$K90)</f>
        <v>0</v>
      </c>
      <c r="N90" s="20" t="n">
        <f aca="false">IF($D90="",0,$H90*$K90)</f>
        <v>0</v>
      </c>
      <c r="O90" s="20" t="n">
        <f aca="false">IF($D90="",0,$I90*$K90*(1-$F90))</f>
        <v>0</v>
      </c>
      <c r="P90" s="20" t="n">
        <f aca="false">IF($D90="",0,$E90*$D90+$L90+$M90+$N90+$O90+$J90*$D90)</f>
        <v>0</v>
      </c>
      <c r="Q90" s="20" t="n">
        <f aca="false">IF($D90="",0,$K90-$P90)</f>
        <v>0</v>
      </c>
      <c r="R90" s="21" t="n">
        <f aca="false">IF($K90=0,0,$Q90/$K90)</f>
        <v>0</v>
      </c>
      <c r="S90" s="20" t="n">
        <f aca="false">IF($D90="",0,$K90-$L90-$M90-$N90)</f>
        <v>0</v>
      </c>
      <c r="T90" s="22"/>
      <c r="U90" s="20" t="n">
        <f aca="false">IF($T90="",0,MAX(0,$S90-$T90))</f>
        <v>0</v>
      </c>
      <c r="V90" s="21" t="n">
        <f aca="false">IF($S90=0,0,$U90/$S90)</f>
        <v>0</v>
      </c>
      <c r="W90" s="23" t="str">
        <f aca="false">IF($D90="","",IF($T90="","BEKLİYOR",IF(OR($U90=0,$S90=0),"DOĞRU",IF(AND($V90&gt;PazaryeriEksikHakedisEsik,$U90&gt;PazaryeriEksikHakedisTutarEsik),"EKSİK HAKEDİŞ","DOĞRU"))))</f>
        <v/>
      </c>
      <c r="X90" s="23" t="str">
        <f aca="false">IF($B90="","",CONCATENATE("Ürün: ",$B90," | Kâr: ",TEXT($Q90,"₺ #,##0")," | Durum: ",$W90))</f>
        <v/>
      </c>
      <c r="Y90" s="24"/>
    </row>
    <row r="91" customFormat="false" ht="15" hidden="false" customHeight="false" outlineLevel="0" collapsed="false">
      <c r="A91" s="24"/>
      <c r="B91" s="24"/>
      <c r="C91" s="22"/>
      <c r="D91" s="25"/>
      <c r="E91" s="22"/>
      <c r="F91" s="26"/>
      <c r="G91" s="26"/>
      <c r="H91" s="26"/>
      <c r="I91" s="26"/>
      <c r="J91" s="22"/>
      <c r="K91" s="20" t="n">
        <f aca="false">IF($D91="",0,$C91*$D91)</f>
        <v>0</v>
      </c>
      <c r="L91" s="20" t="n">
        <f aca="false">IF($D91="",0,$F91*$K91)</f>
        <v>0</v>
      </c>
      <c r="M91" s="20" t="n">
        <f aca="false">IF($D91="",0,$G91*$K91)</f>
        <v>0</v>
      </c>
      <c r="N91" s="20" t="n">
        <f aca="false">IF($D91="",0,$H91*$K91)</f>
        <v>0</v>
      </c>
      <c r="O91" s="20" t="n">
        <f aca="false">IF($D91="",0,$I91*$K91*(1-$F91))</f>
        <v>0</v>
      </c>
      <c r="P91" s="20" t="n">
        <f aca="false">IF($D91="",0,$E91*$D91+$L91+$M91+$N91+$O91+$J91*$D91)</f>
        <v>0</v>
      </c>
      <c r="Q91" s="20" t="n">
        <f aca="false">IF($D91="",0,$K91-$P91)</f>
        <v>0</v>
      </c>
      <c r="R91" s="21" t="n">
        <f aca="false">IF($K91=0,0,$Q91/$K91)</f>
        <v>0</v>
      </c>
      <c r="S91" s="20" t="n">
        <f aca="false">IF($D91="",0,$K91-$L91-$M91-$N91)</f>
        <v>0</v>
      </c>
      <c r="T91" s="22"/>
      <c r="U91" s="20" t="n">
        <f aca="false">IF($T91="",0,MAX(0,$S91-$T91))</f>
        <v>0</v>
      </c>
      <c r="V91" s="21" t="n">
        <f aca="false">IF($S91=0,0,$U91/$S91)</f>
        <v>0</v>
      </c>
      <c r="W91" s="23" t="str">
        <f aca="false">IF($D91="","",IF($T91="","BEKLİYOR",IF(OR($U91=0,$S91=0),"DOĞRU",IF(AND($V91&gt;PazaryeriEksikHakedisEsik,$U91&gt;PazaryeriEksikHakedisTutarEsik),"EKSİK HAKEDİŞ","DOĞRU"))))</f>
        <v/>
      </c>
      <c r="X91" s="23" t="str">
        <f aca="false">IF($B91="","",CONCATENATE("Ürün: ",$B91," | Kâr: ",TEXT($Q91,"₺ #,##0")," | Durum: ",$W91))</f>
        <v/>
      </c>
      <c r="Y91" s="24"/>
    </row>
    <row r="92" customFormat="false" ht="15" hidden="false" customHeight="false" outlineLevel="0" collapsed="false">
      <c r="A92" s="24"/>
      <c r="B92" s="24"/>
      <c r="C92" s="22"/>
      <c r="D92" s="25"/>
      <c r="E92" s="22"/>
      <c r="F92" s="26"/>
      <c r="G92" s="26"/>
      <c r="H92" s="26"/>
      <c r="I92" s="26"/>
      <c r="J92" s="22"/>
      <c r="K92" s="20" t="n">
        <f aca="false">IF($D92="",0,$C92*$D92)</f>
        <v>0</v>
      </c>
      <c r="L92" s="20" t="n">
        <f aca="false">IF($D92="",0,$F92*$K92)</f>
        <v>0</v>
      </c>
      <c r="M92" s="20" t="n">
        <f aca="false">IF($D92="",0,$G92*$K92)</f>
        <v>0</v>
      </c>
      <c r="N92" s="20" t="n">
        <f aca="false">IF($D92="",0,$H92*$K92)</f>
        <v>0</v>
      </c>
      <c r="O92" s="20" t="n">
        <f aca="false">IF($D92="",0,$I92*$K92*(1-$F92))</f>
        <v>0</v>
      </c>
      <c r="P92" s="20" t="n">
        <f aca="false">IF($D92="",0,$E92*$D92+$L92+$M92+$N92+$O92+$J92*$D92)</f>
        <v>0</v>
      </c>
      <c r="Q92" s="20" t="n">
        <f aca="false">IF($D92="",0,$K92-$P92)</f>
        <v>0</v>
      </c>
      <c r="R92" s="21" t="n">
        <f aca="false">IF($K92=0,0,$Q92/$K92)</f>
        <v>0</v>
      </c>
      <c r="S92" s="20" t="n">
        <f aca="false">IF($D92="",0,$K92-$L92-$M92-$N92)</f>
        <v>0</v>
      </c>
      <c r="T92" s="22"/>
      <c r="U92" s="20" t="n">
        <f aca="false">IF($T92="",0,MAX(0,$S92-$T92))</f>
        <v>0</v>
      </c>
      <c r="V92" s="21" t="n">
        <f aca="false">IF($S92=0,0,$U92/$S92)</f>
        <v>0</v>
      </c>
      <c r="W92" s="23" t="str">
        <f aca="false">IF($D92="","",IF($T92="","BEKLİYOR",IF(OR($U92=0,$S92=0),"DOĞRU",IF(AND($V92&gt;PazaryeriEksikHakedisEsik,$U92&gt;PazaryeriEksikHakedisTutarEsik),"EKSİK HAKEDİŞ","DOĞRU"))))</f>
        <v/>
      </c>
      <c r="X92" s="23" t="str">
        <f aca="false">IF($B92="","",CONCATENATE("Ürün: ",$B92," | Kâr: ",TEXT($Q92,"₺ #,##0")," | Durum: ",$W92))</f>
        <v/>
      </c>
      <c r="Y92" s="24"/>
    </row>
    <row r="93" customFormat="false" ht="15" hidden="false" customHeight="false" outlineLevel="0" collapsed="false">
      <c r="A93" s="24"/>
      <c r="B93" s="24"/>
      <c r="C93" s="22"/>
      <c r="D93" s="25"/>
      <c r="E93" s="22"/>
      <c r="F93" s="26"/>
      <c r="G93" s="26"/>
      <c r="H93" s="26"/>
      <c r="I93" s="26"/>
      <c r="J93" s="22"/>
      <c r="K93" s="20" t="n">
        <f aca="false">IF($D93="",0,$C93*$D93)</f>
        <v>0</v>
      </c>
      <c r="L93" s="20" t="n">
        <f aca="false">IF($D93="",0,$F93*$K93)</f>
        <v>0</v>
      </c>
      <c r="M93" s="20" t="n">
        <f aca="false">IF($D93="",0,$G93*$K93)</f>
        <v>0</v>
      </c>
      <c r="N93" s="20" t="n">
        <f aca="false">IF($D93="",0,$H93*$K93)</f>
        <v>0</v>
      </c>
      <c r="O93" s="20" t="n">
        <f aca="false">IF($D93="",0,$I93*$K93*(1-$F93))</f>
        <v>0</v>
      </c>
      <c r="P93" s="20" t="n">
        <f aca="false">IF($D93="",0,$E93*$D93+$L93+$M93+$N93+$O93+$J93*$D93)</f>
        <v>0</v>
      </c>
      <c r="Q93" s="20" t="n">
        <f aca="false">IF($D93="",0,$K93-$P93)</f>
        <v>0</v>
      </c>
      <c r="R93" s="21" t="n">
        <f aca="false">IF($K93=0,0,$Q93/$K93)</f>
        <v>0</v>
      </c>
      <c r="S93" s="20" t="n">
        <f aca="false">IF($D93="",0,$K93-$L93-$M93-$N93)</f>
        <v>0</v>
      </c>
      <c r="T93" s="22"/>
      <c r="U93" s="20" t="n">
        <f aca="false">IF($T93="",0,MAX(0,$S93-$T93))</f>
        <v>0</v>
      </c>
      <c r="V93" s="21" t="n">
        <f aca="false">IF($S93=0,0,$U93/$S93)</f>
        <v>0</v>
      </c>
      <c r="W93" s="23" t="str">
        <f aca="false">IF($D93="","",IF($T93="","BEKLİYOR",IF(OR($U93=0,$S93=0),"DOĞRU",IF(AND($V93&gt;PazaryeriEksikHakedisEsik,$U93&gt;PazaryeriEksikHakedisTutarEsik),"EKSİK HAKEDİŞ","DOĞRU"))))</f>
        <v/>
      </c>
      <c r="X93" s="23" t="str">
        <f aca="false">IF($B93="","",CONCATENATE("Ürün: ",$B93," | Kâr: ",TEXT($Q93,"₺ #,##0")," | Durum: ",$W93))</f>
        <v/>
      </c>
      <c r="Y93" s="24"/>
    </row>
    <row r="94" customFormat="false" ht="15" hidden="false" customHeight="false" outlineLevel="0" collapsed="false">
      <c r="A94" s="24"/>
      <c r="B94" s="24"/>
      <c r="C94" s="22"/>
      <c r="D94" s="25"/>
      <c r="E94" s="22"/>
      <c r="F94" s="26"/>
      <c r="G94" s="26"/>
      <c r="H94" s="26"/>
      <c r="I94" s="26"/>
      <c r="J94" s="22"/>
      <c r="K94" s="20" t="n">
        <f aca="false">IF($D94="",0,$C94*$D94)</f>
        <v>0</v>
      </c>
      <c r="L94" s="20" t="n">
        <f aca="false">IF($D94="",0,$F94*$K94)</f>
        <v>0</v>
      </c>
      <c r="M94" s="20" t="n">
        <f aca="false">IF($D94="",0,$G94*$K94)</f>
        <v>0</v>
      </c>
      <c r="N94" s="20" t="n">
        <f aca="false">IF($D94="",0,$H94*$K94)</f>
        <v>0</v>
      </c>
      <c r="O94" s="20" t="n">
        <f aca="false">IF($D94="",0,$I94*$K94*(1-$F94))</f>
        <v>0</v>
      </c>
      <c r="P94" s="20" t="n">
        <f aca="false">IF($D94="",0,$E94*$D94+$L94+$M94+$N94+$O94+$J94*$D94)</f>
        <v>0</v>
      </c>
      <c r="Q94" s="20" t="n">
        <f aca="false">IF($D94="",0,$K94-$P94)</f>
        <v>0</v>
      </c>
      <c r="R94" s="21" t="n">
        <f aca="false">IF($K94=0,0,$Q94/$K94)</f>
        <v>0</v>
      </c>
      <c r="S94" s="20" t="n">
        <f aca="false">IF($D94="",0,$K94-$L94-$M94-$N94)</f>
        <v>0</v>
      </c>
      <c r="T94" s="22"/>
      <c r="U94" s="20" t="n">
        <f aca="false">IF($T94="",0,MAX(0,$S94-$T94))</f>
        <v>0</v>
      </c>
      <c r="V94" s="21" t="n">
        <f aca="false">IF($S94=0,0,$U94/$S94)</f>
        <v>0</v>
      </c>
      <c r="W94" s="23" t="str">
        <f aca="false">IF($D94="","",IF($T94="","BEKLİYOR",IF(OR($U94=0,$S94=0),"DOĞRU",IF(AND($V94&gt;PazaryeriEksikHakedisEsik,$U94&gt;PazaryeriEksikHakedisTutarEsik),"EKSİK HAKEDİŞ","DOĞRU"))))</f>
        <v/>
      </c>
      <c r="X94" s="23" t="str">
        <f aca="false">IF($B94="","",CONCATENATE("Ürün: ",$B94," | Kâr: ",TEXT($Q94,"₺ #,##0")," | Durum: ",$W94))</f>
        <v/>
      </c>
      <c r="Y94" s="24"/>
    </row>
    <row r="95" customFormat="false" ht="15" hidden="false" customHeight="false" outlineLevel="0" collapsed="false">
      <c r="A95" s="24"/>
      <c r="B95" s="24"/>
      <c r="C95" s="22"/>
      <c r="D95" s="25"/>
      <c r="E95" s="22"/>
      <c r="F95" s="26"/>
      <c r="G95" s="26"/>
      <c r="H95" s="26"/>
      <c r="I95" s="26"/>
      <c r="J95" s="22"/>
      <c r="K95" s="20" t="n">
        <f aca="false">IF($D95="",0,$C95*$D95)</f>
        <v>0</v>
      </c>
      <c r="L95" s="20" t="n">
        <f aca="false">IF($D95="",0,$F95*$K95)</f>
        <v>0</v>
      </c>
      <c r="M95" s="20" t="n">
        <f aca="false">IF($D95="",0,$G95*$K95)</f>
        <v>0</v>
      </c>
      <c r="N95" s="20" t="n">
        <f aca="false">IF($D95="",0,$H95*$K95)</f>
        <v>0</v>
      </c>
      <c r="O95" s="20" t="n">
        <f aca="false">IF($D95="",0,$I95*$K95*(1-$F95))</f>
        <v>0</v>
      </c>
      <c r="P95" s="20" t="n">
        <f aca="false">IF($D95="",0,$E95*$D95+$L95+$M95+$N95+$O95+$J95*$D95)</f>
        <v>0</v>
      </c>
      <c r="Q95" s="20" t="n">
        <f aca="false">IF($D95="",0,$K95-$P95)</f>
        <v>0</v>
      </c>
      <c r="R95" s="21" t="n">
        <f aca="false">IF($K95=0,0,$Q95/$K95)</f>
        <v>0</v>
      </c>
      <c r="S95" s="20" t="n">
        <f aca="false">IF($D95="",0,$K95-$L95-$M95-$N95)</f>
        <v>0</v>
      </c>
      <c r="T95" s="22"/>
      <c r="U95" s="20" t="n">
        <f aca="false">IF($T95="",0,MAX(0,$S95-$T95))</f>
        <v>0</v>
      </c>
      <c r="V95" s="21" t="n">
        <f aca="false">IF($S95=0,0,$U95/$S95)</f>
        <v>0</v>
      </c>
      <c r="W95" s="23" t="str">
        <f aca="false">IF($D95="","",IF($T95="","BEKLİYOR",IF(OR($U95=0,$S95=0),"DOĞRU",IF(AND($V95&gt;PazaryeriEksikHakedisEsik,$U95&gt;PazaryeriEksikHakedisTutarEsik),"EKSİK HAKEDİŞ","DOĞRU"))))</f>
        <v/>
      </c>
      <c r="X95" s="23" t="str">
        <f aca="false">IF($B95="","",CONCATENATE("Ürün: ",$B95," | Kâr: ",TEXT($Q95,"₺ #,##0")," | Durum: ",$W95))</f>
        <v/>
      </c>
      <c r="Y95" s="24"/>
    </row>
    <row r="96" customFormat="false" ht="15" hidden="false" customHeight="false" outlineLevel="0" collapsed="false">
      <c r="A96" s="24"/>
      <c r="B96" s="24"/>
      <c r="C96" s="22"/>
      <c r="D96" s="25"/>
      <c r="E96" s="22"/>
      <c r="F96" s="26"/>
      <c r="G96" s="26"/>
      <c r="H96" s="26"/>
      <c r="I96" s="26"/>
      <c r="J96" s="22"/>
      <c r="K96" s="20" t="n">
        <f aca="false">IF($D96="",0,$C96*$D96)</f>
        <v>0</v>
      </c>
      <c r="L96" s="20" t="n">
        <f aca="false">IF($D96="",0,$F96*$K96)</f>
        <v>0</v>
      </c>
      <c r="M96" s="20" t="n">
        <f aca="false">IF($D96="",0,$G96*$K96)</f>
        <v>0</v>
      </c>
      <c r="N96" s="20" t="n">
        <f aca="false">IF($D96="",0,$H96*$K96)</f>
        <v>0</v>
      </c>
      <c r="O96" s="20" t="n">
        <f aca="false">IF($D96="",0,$I96*$K96*(1-$F96))</f>
        <v>0</v>
      </c>
      <c r="P96" s="20" t="n">
        <f aca="false">IF($D96="",0,$E96*$D96+$L96+$M96+$N96+$O96+$J96*$D96)</f>
        <v>0</v>
      </c>
      <c r="Q96" s="20" t="n">
        <f aca="false">IF($D96="",0,$K96-$P96)</f>
        <v>0</v>
      </c>
      <c r="R96" s="21" t="n">
        <f aca="false">IF($K96=0,0,$Q96/$K96)</f>
        <v>0</v>
      </c>
      <c r="S96" s="20" t="n">
        <f aca="false">IF($D96="",0,$K96-$L96-$M96-$N96)</f>
        <v>0</v>
      </c>
      <c r="T96" s="22"/>
      <c r="U96" s="20" t="n">
        <f aca="false">IF($T96="",0,MAX(0,$S96-$T96))</f>
        <v>0</v>
      </c>
      <c r="V96" s="21" t="n">
        <f aca="false">IF($S96=0,0,$U96/$S96)</f>
        <v>0</v>
      </c>
      <c r="W96" s="23" t="str">
        <f aca="false">IF($D96="","",IF($T96="","BEKLİYOR",IF(OR($U96=0,$S96=0),"DOĞRU",IF(AND($V96&gt;PazaryeriEksikHakedisEsik,$U96&gt;PazaryeriEksikHakedisTutarEsik),"EKSİK HAKEDİŞ","DOĞRU"))))</f>
        <v/>
      </c>
      <c r="X96" s="23" t="str">
        <f aca="false">IF($B96="","",CONCATENATE("Ürün: ",$B96," | Kâr: ",TEXT($Q96,"₺ #,##0")," | Durum: ",$W96))</f>
        <v/>
      </c>
      <c r="Y96" s="24"/>
    </row>
    <row r="97" customFormat="false" ht="15" hidden="false" customHeight="false" outlineLevel="0" collapsed="false">
      <c r="A97" s="24"/>
      <c r="B97" s="24"/>
      <c r="C97" s="22"/>
      <c r="D97" s="25"/>
      <c r="E97" s="22"/>
      <c r="F97" s="26"/>
      <c r="G97" s="26"/>
      <c r="H97" s="26"/>
      <c r="I97" s="26"/>
      <c r="J97" s="22"/>
      <c r="K97" s="20" t="n">
        <f aca="false">IF($D97="",0,$C97*$D97)</f>
        <v>0</v>
      </c>
      <c r="L97" s="20" t="n">
        <f aca="false">IF($D97="",0,$F97*$K97)</f>
        <v>0</v>
      </c>
      <c r="M97" s="20" t="n">
        <f aca="false">IF($D97="",0,$G97*$K97)</f>
        <v>0</v>
      </c>
      <c r="N97" s="20" t="n">
        <f aca="false">IF($D97="",0,$H97*$K97)</f>
        <v>0</v>
      </c>
      <c r="O97" s="20" t="n">
        <f aca="false">IF($D97="",0,$I97*$K97*(1-$F97))</f>
        <v>0</v>
      </c>
      <c r="P97" s="20" t="n">
        <f aca="false">IF($D97="",0,$E97*$D97+$L97+$M97+$N97+$O97+$J97*$D97)</f>
        <v>0</v>
      </c>
      <c r="Q97" s="20" t="n">
        <f aca="false">IF($D97="",0,$K97-$P97)</f>
        <v>0</v>
      </c>
      <c r="R97" s="21" t="n">
        <f aca="false">IF($K97=0,0,$Q97/$K97)</f>
        <v>0</v>
      </c>
      <c r="S97" s="20" t="n">
        <f aca="false">IF($D97="",0,$K97-$L97-$M97-$N97)</f>
        <v>0</v>
      </c>
      <c r="T97" s="22"/>
      <c r="U97" s="20" t="n">
        <f aca="false">IF($T97="",0,MAX(0,$S97-$T97))</f>
        <v>0</v>
      </c>
      <c r="V97" s="21" t="n">
        <f aca="false">IF($S97=0,0,$U97/$S97)</f>
        <v>0</v>
      </c>
      <c r="W97" s="23" t="str">
        <f aca="false">IF($D97="","",IF($T97="","BEKLİYOR",IF(OR($U97=0,$S97=0),"DOĞRU",IF(AND($V97&gt;PazaryeriEksikHakedisEsik,$U97&gt;PazaryeriEksikHakedisTutarEsik),"EKSİK HAKEDİŞ","DOĞRU"))))</f>
        <v/>
      </c>
      <c r="X97" s="23" t="str">
        <f aca="false">IF($B97="","",CONCATENATE("Ürün: ",$B97," | Kâr: ",TEXT($Q97,"₺ #,##0")," | Durum: ",$W97))</f>
        <v/>
      </c>
      <c r="Y97" s="24"/>
    </row>
    <row r="98" customFormat="false" ht="15" hidden="false" customHeight="false" outlineLevel="0" collapsed="false">
      <c r="A98" s="24"/>
      <c r="B98" s="24"/>
      <c r="C98" s="22"/>
      <c r="D98" s="25"/>
      <c r="E98" s="22"/>
      <c r="F98" s="26"/>
      <c r="G98" s="26"/>
      <c r="H98" s="26"/>
      <c r="I98" s="26"/>
      <c r="J98" s="22"/>
      <c r="K98" s="20" t="n">
        <f aca="false">IF($D98="",0,$C98*$D98)</f>
        <v>0</v>
      </c>
      <c r="L98" s="20" t="n">
        <f aca="false">IF($D98="",0,$F98*$K98)</f>
        <v>0</v>
      </c>
      <c r="M98" s="20" t="n">
        <f aca="false">IF($D98="",0,$G98*$K98)</f>
        <v>0</v>
      </c>
      <c r="N98" s="20" t="n">
        <f aca="false">IF($D98="",0,$H98*$K98)</f>
        <v>0</v>
      </c>
      <c r="O98" s="20" t="n">
        <f aca="false">IF($D98="",0,$I98*$K98*(1-$F98))</f>
        <v>0</v>
      </c>
      <c r="P98" s="20" t="n">
        <f aca="false">IF($D98="",0,$E98*$D98+$L98+$M98+$N98+$O98+$J98*$D98)</f>
        <v>0</v>
      </c>
      <c r="Q98" s="20" t="n">
        <f aca="false">IF($D98="",0,$K98-$P98)</f>
        <v>0</v>
      </c>
      <c r="R98" s="21" t="n">
        <f aca="false">IF($K98=0,0,$Q98/$K98)</f>
        <v>0</v>
      </c>
      <c r="S98" s="20" t="n">
        <f aca="false">IF($D98="",0,$K98-$L98-$M98-$N98)</f>
        <v>0</v>
      </c>
      <c r="T98" s="22"/>
      <c r="U98" s="20" t="n">
        <f aca="false">IF($T98="",0,MAX(0,$S98-$T98))</f>
        <v>0</v>
      </c>
      <c r="V98" s="21" t="n">
        <f aca="false">IF($S98=0,0,$U98/$S98)</f>
        <v>0</v>
      </c>
      <c r="W98" s="23" t="str">
        <f aca="false">IF($D98="","",IF($T98="","BEKLİYOR",IF(OR($U98=0,$S98=0),"DOĞRU",IF(AND($V98&gt;PazaryeriEksikHakedisEsik,$U98&gt;PazaryeriEksikHakedisTutarEsik),"EKSİK HAKEDİŞ","DOĞRU"))))</f>
        <v/>
      </c>
      <c r="X98" s="23" t="str">
        <f aca="false">IF($B98="","",CONCATENATE("Ürün: ",$B98," | Kâr: ",TEXT($Q98,"₺ #,##0")," | Durum: ",$W98))</f>
        <v/>
      </c>
      <c r="Y98" s="24"/>
    </row>
    <row r="99" customFormat="false" ht="15" hidden="false" customHeight="false" outlineLevel="0" collapsed="false">
      <c r="A99" s="24"/>
      <c r="B99" s="24"/>
      <c r="C99" s="22"/>
      <c r="D99" s="25"/>
      <c r="E99" s="22"/>
      <c r="F99" s="26"/>
      <c r="G99" s="26"/>
      <c r="H99" s="26"/>
      <c r="I99" s="26"/>
      <c r="J99" s="22"/>
      <c r="K99" s="20" t="n">
        <f aca="false">IF($D99="",0,$C99*$D99)</f>
        <v>0</v>
      </c>
      <c r="L99" s="20" t="n">
        <f aca="false">IF($D99="",0,$F99*$K99)</f>
        <v>0</v>
      </c>
      <c r="M99" s="20" t="n">
        <f aca="false">IF($D99="",0,$G99*$K99)</f>
        <v>0</v>
      </c>
      <c r="N99" s="20" t="n">
        <f aca="false">IF($D99="",0,$H99*$K99)</f>
        <v>0</v>
      </c>
      <c r="O99" s="20" t="n">
        <f aca="false">IF($D99="",0,$I99*$K99*(1-$F99))</f>
        <v>0</v>
      </c>
      <c r="P99" s="20" t="n">
        <f aca="false">IF($D99="",0,$E99*$D99+$L99+$M99+$N99+$O99+$J99*$D99)</f>
        <v>0</v>
      </c>
      <c r="Q99" s="20" t="n">
        <f aca="false">IF($D99="",0,$K99-$P99)</f>
        <v>0</v>
      </c>
      <c r="R99" s="21" t="n">
        <f aca="false">IF($K99=0,0,$Q99/$K99)</f>
        <v>0</v>
      </c>
      <c r="S99" s="20" t="n">
        <f aca="false">IF($D99="",0,$K99-$L99-$M99-$N99)</f>
        <v>0</v>
      </c>
      <c r="T99" s="22"/>
      <c r="U99" s="20" t="n">
        <f aca="false">IF($T99="",0,MAX(0,$S99-$T99))</f>
        <v>0</v>
      </c>
      <c r="V99" s="21" t="n">
        <f aca="false">IF($S99=0,0,$U99/$S99)</f>
        <v>0</v>
      </c>
      <c r="W99" s="23" t="str">
        <f aca="false">IF($D99="","",IF($T99="","BEKLİYOR",IF(OR($U99=0,$S99=0),"DOĞRU",IF(AND($V99&gt;PazaryeriEksikHakedisEsik,$U99&gt;PazaryeriEksikHakedisTutarEsik),"EKSİK HAKEDİŞ","DOĞRU"))))</f>
        <v/>
      </c>
      <c r="X99" s="23" t="str">
        <f aca="false">IF($B99="","",CONCATENATE("Ürün: ",$B99," | Kâr: ",TEXT($Q99,"₺ #,##0")," | Durum: ",$W99))</f>
        <v/>
      </c>
      <c r="Y99" s="24"/>
    </row>
    <row r="100" customFormat="false" ht="15" hidden="false" customHeight="false" outlineLevel="0" collapsed="false">
      <c r="A100" s="24"/>
      <c r="B100" s="24"/>
      <c r="C100" s="22"/>
      <c r="D100" s="25"/>
      <c r="E100" s="22"/>
      <c r="F100" s="26"/>
      <c r="G100" s="26"/>
      <c r="H100" s="26"/>
      <c r="I100" s="26"/>
      <c r="J100" s="22"/>
      <c r="K100" s="20" t="n">
        <f aca="false">IF($D100="",0,$C100*$D100)</f>
        <v>0</v>
      </c>
      <c r="L100" s="20" t="n">
        <f aca="false">IF($D100="",0,$F100*$K100)</f>
        <v>0</v>
      </c>
      <c r="M100" s="20" t="n">
        <f aca="false">IF($D100="",0,$G100*$K100)</f>
        <v>0</v>
      </c>
      <c r="N100" s="20" t="n">
        <f aca="false">IF($D100="",0,$H100*$K100)</f>
        <v>0</v>
      </c>
      <c r="O100" s="20" t="n">
        <f aca="false">IF($D100="",0,$I100*$K100*(1-$F100))</f>
        <v>0</v>
      </c>
      <c r="P100" s="20" t="n">
        <f aca="false">IF($D100="",0,$E100*$D100+$L100+$M100+$N100+$O100+$J100*$D100)</f>
        <v>0</v>
      </c>
      <c r="Q100" s="20" t="n">
        <f aca="false">IF($D100="",0,$K100-$P100)</f>
        <v>0</v>
      </c>
      <c r="R100" s="21" t="n">
        <f aca="false">IF($K100=0,0,$Q100/$K100)</f>
        <v>0</v>
      </c>
      <c r="S100" s="20" t="n">
        <f aca="false">IF($D100="",0,$K100-$L100-$M100-$N100)</f>
        <v>0</v>
      </c>
      <c r="T100" s="22"/>
      <c r="U100" s="20" t="n">
        <f aca="false">IF($T100="",0,MAX(0,$S100-$T100))</f>
        <v>0</v>
      </c>
      <c r="V100" s="21" t="n">
        <f aca="false">IF($S100=0,0,$U100/$S100)</f>
        <v>0</v>
      </c>
      <c r="W100" s="23" t="str">
        <f aca="false">IF($D100="","",IF($T100="","BEKLİYOR",IF(OR($U100=0,$S100=0),"DOĞRU",IF(AND($V100&gt;PazaryeriEksikHakedisEsik,$U100&gt;PazaryeriEksikHakedisTutarEsik),"EKSİK HAKEDİŞ","DOĞRU"))))</f>
        <v/>
      </c>
      <c r="X100" s="23" t="str">
        <f aca="false">IF($B100="","",CONCATENATE("Ürün: ",$B100," | Kâr: ",TEXT($Q100,"₺ #,##0")," | Durum: ",$W100))</f>
        <v/>
      </c>
      <c r="Y100" s="24"/>
    </row>
    <row r="101" customFormat="false" ht="15" hidden="false" customHeight="false" outlineLevel="0" collapsed="false">
      <c r="A101" s="24"/>
      <c r="B101" s="24"/>
      <c r="C101" s="22"/>
      <c r="D101" s="25"/>
      <c r="E101" s="22"/>
      <c r="F101" s="26"/>
      <c r="G101" s="26"/>
      <c r="H101" s="26"/>
      <c r="I101" s="26"/>
      <c r="J101" s="22"/>
      <c r="K101" s="20" t="n">
        <f aca="false">IF($D101="",0,$C101*$D101)</f>
        <v>0</v>
      </c>
      <c r="L101" s="20" t="n">
        <f aca="false">IF($D101="",0,$F101*$K101)</f>
        <v>0</v>
      </c>
      <c r="M101" s="20" t="n">
        <f aca="false">IF($D101="",0,$G101*$K101)</f>
        <v>0</v>
      </c>
      <c r="N101" s="20" t="n">
        <f aca="false">IF($D101="",0,$H101*$K101)</f>
        <v>0</v>
      </c>
      <c r="O101" s="20" t="n">
        <f aca="false">IF($D101="",0,$I101*$K101*(1-$F101))</f>
        <v>0</v>
      </c>
      <c r="P101" s="20" t="n">
        <f aca="false">IF($D101="",0,$E101*$D101+$L101+$M101+$N101+$O101+$J101*$D101)</f>
        <v>0</v>
      </c>
      <c r="Q101" s="20" t="n">
        <f aca="false">IF($D101="",0,$K101-$P101)</f>
        <v>0</v>
      </c>
      <c r="R101" s="21" t="n">
        <f aca="false">IF($K101=0,0,$Q101/$K101)</f>
        <v>0</v>
      </c>
      <c r="S101" s="20" t="n">
        <f aca="false">IF($D101="",0,$K101-$L101-$M101-$N101)</f>
        <v>0</v>
      </c>
      <c r="T101" s="22"/>
      <c r="U101" s="20" t="n">
        <f aca="false">IF($T101="",0,MAX(0,$S101-$T101))</f>
        <v>0</v>
      </c>
      <c r="V101" s="21" t="n">
        <f aca="false">IF($S101=0,0,$U101/$S101)</f>
        <v>0</v>
      </c>
      <c r="W101" s="23" t="str">
        <f aca="false">IF($D101="","",IF($T101="","BEKLİYOR",IF(OR($U101=0,$S101=0),"DOĞRU",IF(AND($V101&gt;PazaryeriEksikHakedisEsik,$U101&gt;PazaryeriEksikHakedisTutarEsik),"EKSİK HAKEDİŞ","DOĞRU"))))</f>
        <v/>
      </c>
      <c r="X101" s="23" t="str">
        <f aca="false">IF($B101="","",CONCATENATE("Ürün: ",$B101," | Kâr: ",TEXT($Q101,"₺ #,##0")," | Durum: ",$W101))</f>
        <v/>
      </c>
      <c r="Y101" s="24"/>
    </row>
    <row r="102" customFormat="false" ht="15" hidden="false" customHeight="false" outlineLevel="0" collapsed="false">
      <c r="A102" s="24"/>
      <c r="B102" s="24"/>
      <c r="C102" s="22"/>
      <c r="D102" s="25"/>
      <c r="E102" s="22"/>
      <c r="F102" s="26"/>
      <c r="G102" s="26"/>
      <c r="H102" s="26"/>
      <c r="I102" s="26"/>
      <c r="J102" s="22"/>
      <c r="K102" s="20" t="n">
        <f aca="false">IF($D102="",0,$C102*$D102)</f>
        <v>0</v>
      </c>
      <c r="L102" s="20" t="n">
        <f aca="false">IF($D102="",0,$F102*$K102)</f>
        <v>0</v>
      </c>
      <c r="M102" s="20" t="n">
        <f aca="false">IF($D102="",0,$G102*$K102)</f>
        <v>0</v>
      </c>
      <c r="N102" s="20" t="n">
        <f aca="false">IF($D102="",0,$H102*$K102)</f>
        <v>0</v>
      </c>
      <c r="O102" s="20" t="n">
        <f aca="false">IF($D102="",0,$I102*$K102*(1-$F102))</f>
        <v>0</v>
      </c>
      <c r="P102" s="20" t="n">
        <f aca="false">IF($D102="",0,$E102*$D102+$L102+$M102+$N102+$O102+$J102*$D102)</f>
        <v>0</v>
      </c>
      <c r="Q102" s="20" t="n">
        <f aca="false">IF($D102="",0,$K102-$P102)</f>
        <v>0</v>
      </c>
      <c r="R102" s="21" t="n">
        <f aca="false">IF($K102=0,0,$Q102/$K102)</f>
        <v>0</v>
      </c>
      <c r="S102" s="20" t="n">
        <f aca="false">IF($D102="",0,$K102-$L102-$M102-$N102)</f>
        <v>0</v>
      </c>
      <c r="T102" s="22"/>
      <c r="U102" s="20" t="n">
        <f aca="false">IF($T102="",0,MAX(0,$S102-$T102))</f>
        <v>0</v>
      </c>
      <c r="V102" s="21" t="n">
        <f aca="false">IF($S102=0,0,$U102/$S102)</f>
        <v>0</v>
      </c>
      <c r="W102" s="23" t="str">
        <f aca="false">IF($D102="","",IF($T102="","BEKLİYOR",IF(OR($U102=0,$S102=0),"DOĞRU",IF(AND($V102&gt;PazaryeriEksikHakedisEsik,$U102&gt;PazaryeriEksikHakedisTutarEsik),"EKSİK HAKEDİŞ","DOĞRU"))))</f>
        <v/>
      </c>
      <c r="X102" s="23" t="str">
        <f aca="false">IF($B102="","",CONCATENATE("Ürün: ",$B102," | Kâr: ",TEXT($Q102,"₺ #,##0")," | Durum: ",$W102))</f>
        <v/>
      </c>
      <c r="Y102" s="24"/>
    </row>
    <row r="103" customFormat="false" ht="15" hidden="false" customHeight="false" outlineLevel="0" collapsed="false">
      <c r="A103" s="24"/>
      <c r="B103" s="24"/>
      <c r="C103" s="22"/>
      <c r="D103" s="25"/>
      <c r="E103" s="22"/>
      <c r="F103" s="26"/>
      <c r="G103" s="26"/>
      <c r="H103" s="26"/>
      <c r="I103" s="26"/>
      <c r="J103" s="22"/>
      <c r="K103" s="20" t="n">
        <f aca="false">IF($D103="",0,$C103*$D103)</f>
        <v>0</v>
      </c>
      <c r="L103" s="20" t="n">
        <f aca="false">IF($D103="",0,$F103*$K103)</f>
        <v>0</v>
      </c>
      <c r="M103" s="20" t="n">
        <f aca="false">IF($D103="",0,$G103*$K103)</f>
        <v>0</v>
      </c>
      <c r="N103" s="20" t="n">
        <f aca="false">IF($D103="",0,$H103*$K103)</f>
        <v>0</v>
      </c>
      <c r="O103" s="20" t="n">
        <f aca="false">IF($D103="",0,$I103*$K103*(1-$F103))</f>
        <v>0</v>
      </c>
      <c r="P103" s="20" t="n">
        <f aca="false">IF($D103="",0,$E103*$D103+$L103+$M103+$N103+$O103+$J103*$D103)</f>
        <v>0</v>
      </c>
      <c r="Q103" s="20" t="n">
        <f aca="false">IF($D103="",0,$K103-$P103)</f>
        <v>0</v>
      </c>
      <c r="R103" s="21" t="n">
        <f aca="false">IF($K103=0,0,$Q103/$K103)</f>
        <v>0</v>
      </c>
      <c r="S103" s="20" t="n">
        <f aca="false">IF($D103="",0,$K103-$L103-$M103-$N103)</f>
        <v>0</v>
      </c>
      <c r="T103" s="22"/>
      <c r="U103" s="20" t="n">
        <f aca="false">IF($T103="",0,MAX(0,$S103-$T103))</f>
        <v>0</v>
      </c>
      <c r="V103" s="21" t="n">
        <f aca="false">IF($S103=0,0,$U103/$S103)</f>
        <v>0</v>
      </c>
      <c r="W103" s="23" t="str">
        <f aca="false">IF($D103="","",IF($T103="","BEKLİYOR",IF(OR($U103=0,$S103=0),"DOĞRU",IF(AND($V103&gt;PazaryeriEksikHakedisEsik,$U103&gt;PazaryeriEksikHakedisTutarEsik),"EKSİK HAKEDİŞ","DOĞRU"))))</f>
        <v/>
      </c>
      <c r="X103" s="23" t="str">
        <f aca="false">IF($B103="","",CONCATENATE("Ürün: ",$B103," | Kâr: ",TEXT($Q103,"₺ #,##0")," | Durum: ",$W103))</f>
        <v/>
      </c>
      <c r="Y103" s="24"/>
    </row>
    <row r="104" customFormat="false" ht="15" hidden="false" customHeight="false" outlineLevel="0" collapsed="false">
      <c r="A104" s="24"/>
      <c r="B104" s="24"/>
      <c r="C104" s="22"/>
      <c r="D104" s="25"/>
      <c r="E104" s="22"/>
      <c r="F104" s="26"/>
      <c r="G104" s="26"/>
      <c r="H104" s="26"/>
      <c r="I104" s="26"/>
      <c r="J104" s="22"/>
      <c r="K104" s="20" t="n">
        <f aca="false">IF($D104="",0,$C104*$D104)</f>
        <v>0</v>
      </c>
      <c r="L104" s="20" t="n">
        <f aca="false">IF($D104="",0,$F104*$K104)</f>
        <v>0</v>
      </c>
      <c r="M104" s="20" t="n">
        <f aca="false">IF($D104="",0,$G104*$K104)</f>
        <v>0</v>
      </c>
      <c r="N104" s="20" t="n">
        <f aca="false">IF($D104="",0,$H104*$K104)</f>
        <v>0</v>
      </c>
      <c r="O104" s="20" t="n">
        <f aca="false">IF($D104="",0,$I104*$K104*(1-$F104))</f>
        <v>0</v>
      </c>
      <c r="P104" s="20" t="n">
        <f aca="false">IF($D104="",0,$E104*$D104+$L104+$M104+$N104+$O104+$J104*$D104)</f>
        <v>0</v>
      </c>
      <c r="Q104" s="20" t="n">
        <f aca="false">IF($D104="",0,$K104-$P104)</f>
        <v>0</v>
      </c>
      <c r="R104" s="21" t="n">
        <f aca="false">IF($K104=0,0,$Q104/$K104)</f>
        <v>0</v>
      </c>
      <c r="S104" s="20" t="n">
        <f aca="false">IF($D104="",0,$K104-$L104-$M104-$N104)</f>
        <v>0</v>
      </c>
      <c r="T104" s="22"/>
      <c r="U104" s="20" t="n">
        <f aca="false">IF($T104="",0,MAX(0,$S104-$T104))</f>
        <v>0</v>
      </c>
      <c r="V104" s="21" t="n">
        <f aca="false">IF($S104=0,0,$U104/$S104)</f>
        <v>0</v>
      </c>
      <c r="W104" s="23" t="str">
        <f aca="false">IF($D104="","",IF($T104="","BEKLİYOR",IF(OR($U104=0,$S104=0),"DOĞRU",IF(AND($V104&gt;PazaryeriEksikHakedisEsik,$U104&gt;PazaryeriEksikHakedisTutarEsik),"EKSİK HAKEDİŞ","DOĞRU"))))</f>
        <v/>
      </c>
      <c r="X104" s="23" t="str">
        <f aca="false">IF($B104="","",CONCATENATE("Ürün: ",$B104," | Kâr: ",TEXT($Q104,"₺ #,##0")," | Durum: ",$W104))</f>
        <v/>
      </c>
      <c r="Y104" s="24"/>
    </row>
    <row r="105" customFormat="false" ht="15" hidden="false" customHeight="false" outlineLevel="0" collapsed="false">
      <c r="A105" s="24"/>
      <c r="B105" s="24"/>
      <c r="C105" s="22"/>
      <c r="D105" s="25"/>
      <c r="E105" s="22"/>
      <c r="F105" s="26"/>
      <c r="G105" s="26"/>
      <c r="H105" s="26"/>
      <c r="I105" s="26"/>
      <c r="J105" s="22"/>
      <c r="K105" s="20" t="n">
        <f aca="false">IF($D105="",0,$C105*$D105)</f>
        <v>0</v>
      </c>
      <c r="L105" s="20" t="n">
        <f aca="false">IF($D105="",0,$F105*$K105)</f>
        <v>0</v>
      </c>
      <c r="M105" s="20" t="n">
        <f aca="false">IF($D105="",0,$G105*$K105)</f>
        <v>0</v>
      </c>
      <c r="N105" s="20" t="n">
        <f aca="false">IF($D105="",0,$H105*$K105)</f>
        <v>0</v>
      </c>
      <c r="O105" s="20" t="n">
        <f aca="false">IF($D105="",0,$I105*$K105*(1-$F105))</f>
        <v>0</v>
      </c>
      <c r="P105" s="20" t="n">
        <f aca="false">IF($D105="",0,$E105*$D105+$L105+$M105+$N105+$O105+$J105*$D105)</f>
        <v>0</v>
      </c>
      <c r="Q105" s="20" t="n">
        <f aca="false">IF($D105="",0,$K105-$P105)</f>
        <v>0</v>
      </c>
      <c r="R105" s="21" t="n">
        <f aca="false">IF($K105=0,0,$Q105/$K105)</f>
        <v>0</v>
      </c>
      <c r="S105" s="20" t="n">
        <f aca="false">IF($D105="",0,$K105-$L105-$M105-$N105)</f>
        <v>0</v>
      </c>
      <c r="T105" s="22"/>
      <c r="U105" s="20" t="n">
        <f aca="false">IF($T105="",0,MAX(0,$S105-$T105))</f>
        <v>0</v>
      </c>
      <c r="V105" s="21" t="n">
        <f aca="false">IF($S105=0,0,$U105/$S105)</f>
        <v>0</v>
      </c>
      <c r="W105" s="23" t="str">
        <f aca="false">IF($D105="","",IF($T105="","BEKLİYOR",IF(OR($U105=0,$S105=0),"DOĞRU",IF(AND($V105&gt;PazaryeriEksikHakedisEsik,$U105&gt;PazaryeriEksikHakedisTutarEsik),"EKSİK HAKEDİŞ","DOĞRU"))))</f>
        <v/>
      </c>
      <c r="X105" s="23" t="str">
        <f aca="false">IF($B105="","",CONCATENATE("Ürün: ",$B105," | Kâr: ",TEXT($Q105,"₺ #,##0")," | Durum: ",$W105))</f>
        <v/>
      </c>
      <c r="Y105" s="24"/>
    </row>
    <row r="106" customFormat="false" ht="15" hidden="false" customHeight="false" outlineLevel="0" collapsed="false">
      <c r="A106" s="24"/>
      <c r="B106" s="24"/>
      <c r="C106" s="22"/>
      <c r="D106" s="25"/>
      <c r="E106" s="22"/>
      <c r="F106" s="26"/>
      <c r="G106" s="26"/>
      <c r="H106" s="26"/>
      <c r="I106" s="26"/>
      <c r="J106" s="22"/>
      <c r="K106" s="20" t="n">
        <f aca="false">IF($D106="",0,$C106*$D106)</f>
        <v>0</v>
      </c>
      <c r="L106" s="20" t="n">
        <f aca="false">IF($D106="",0,$F106*$K106)</f>
        <v>0</v>
      </c>
      <c r="M106" s="20" t="n">
        <f aca="false">IF($D106="",0,$G106*$K106)</f>
        <v>0</v>
      </c>
      <c r="N106" s="20" t="n">
        <f aca="false">IF($D106="",0,$H106*$K106)</f>
        <v>0</v>
      </c>
      <c r="O106" s="20" t="n">
        <f aca="false">IF($D106="",0,$I106*$K106*(1-$F106))</f>
        <v>0</v>
      </c>
      <c r="P106" s="20" t="n">
        <f aca="false">IF($D106="",0,$E106*$D106+$L106+$M106+$N106+$O106+$J106*$D106)</f>
        <v>0</v>
      </c>
      <c r="Q106" s="20" t="n">
        <f aca="false">IF($D106="",0,$K106-$P106)</f>
        <v>0</v>
      </c>
      <c r="R106" s="21" t="n">
        <f aca="false">IF($K106=0,0,$Q106/$K106)</f>
        <v>0</v>
      </c>
      <c r="S106" s="20" t="n">
        <f aca="false">IF($D106="",0,$K106-$L106-$M106-$N106)</f>
        <v>0</v>
      </c>
      <c r="T106" s="22"/>
      <c r="U106" s="20" t="n">
        <f aca="false">IF($T106="",0,MAX(0,$S106-$T106))</f>
        <v>0</v>
      </c>
      <c r="V106" s="21" t="n">
        <f aca="false">IF($S106=0,0,$U106/$S106)</f>
        <v>0</v>
      </c>
      <c r="W106" s="23" t="str">
        <f aca="false">IF($D106="","",IF($T106="","BEKLİYOR",IF(OR($U106=0,$S106=0),"DOĞRU",IF(AND($V106&gt;PazaryeriEksikHakedisEsik,$U106&gt;PazaryeriEksikHakedisTutarEsik),"EKSİK HAKEDİŞ","DOĞRU"))))</f>
        <v/>
      </c>
      <c r="X106" s="23" t="str">
        <f aca="false">IF($B106="","",CONCATENATE("Ürün: ",$B106," | Kâr: ",TEXT($Q106,"₺ #,##0")," | Durum: ",$W106))</f>
        <v/>
      </c>
      <c r="Y106" s="24"/>
    </row>
    <row r="107" customFormat="false" ht="15" hidden="false" customHeight="false" outlineLevel="0" collapsed="false">
      <c r="A107" s="24"/>
      <c r="B107" s="24"/>
      <c r="C107" s="22"/>
      <c r="D107" s="25"/>
      <c r="E107" s="22"/>
      <c r="F107" s="26"/>
      <c r="G107" s="26"/>
      <c r="H107" s="26"/>
      <c r="I107" s="26"/>
      <c r="J107" s="22"/>
      <c r="K107" s="20" t="n">
        <f aca="false">IF($D107="",0,$C107*$D107)</f>
        <v>0</v>
      </c>
      <c r="L107" s="20" t="n">
        <f aca="false">IF($D107="",0,$F107*$K107)</f>
        <v>0</v>
      </c>
      <c r="M107" s="20" t="n">
        <f aca="false">IF($D107="",0,$G107*$K107)</f>
        <v>0</v>
      </c>
      <c r="N107" s="20" t="n">
        <f aca="false">IF($D107="",0,$H107*$K107)</f>
        <v>0</v>
      </c>
      <c r="O107" s="20" t="n">
        <f aca="false">IF($D107="",0,$I107*$K107*(1-$F107))</f>
        <v>0</v>
      </c>
      <c r="P107" s="20" t="n">
        <f aca="false">IF($D107="",0,$E107*$D107+$L107+$M107+$N107+$O107+$J107*$D107)</f>
        <v>0</v>
      </c>
      <c r="Q107" s="20" t="n">
        <f aca="false">IF($D107="",0,$K107-$P107)</f>
        <v>0</v>
      </c>
      <c r="R107" s="21" t="n">
        <f aca="false">IF($K107=0,0,$Q107/$K107)</f>
        <v>0</v>
      </c>
      <c r="S107" s="20" t="n">
        <f aca="false">IF($D107="",0,$K107-$L107-$M107-$N107)</f>
        <v>0</v>
      </c>
      <c r="T107" s="22"/>
      <c r="U107" s="20" t="n">
        <f aca="false">IF($T107="",0,MAX(0,$S107-$T107))</f>
        <v>0</v>
      </c>
      <c r="V107" s="21" t="n">
        <f aca="false">IF($S107=0,0,$U107/$S107)</f>
        <v>0</v>
      </c>
      <c r="W107" s="23" t="str">
        <f aca="false">IF($D107="","",IF($T107="","BEKLİYOR",IF(OR($U107=0,$S107=0),"DOĞRU",IF(AND($V107&gt;PazaryeriEksikHakedisEsik,$U107&gt;PazaryeriEksikHakedisTutarEsik),"EKSİK HAKEDİŞ","DOĞRU"))))</f>
        <v/>
      </c>
      <c r="X107" s="23" t="str">
        <f aca="false">IF($B107="","",CONCATENATE("Ürün: ",$B107," | Kâr: ",TEXT($Q107,"₺ #,##0")," | Durum: ",$W107))</f>
        <v/>
      </c>
      <c r="Y107" s="24"/>
    </row>
    <row r="108" customFormat="false" ht="15" hidden="false" customHeight="false" outlineLevel="0" collapsed="false">
      <c r="A108" s="24"/>
      <c r="B108" s="24"/>
      <c r="C108" s="22"/>
      <c r="D108" s="25"/>
      <c r="E108" s="22"/>
      <c r="F108" s="26"/>
      <c r="G108" s="26"/>
      <c r="H108" s="26"/>
      <c r="I108" s="26"/>
      <c r="J108" s="22"/>
      <c r="K108" s="20" t="n">
        <f aca="false">IF($D108="",0,$C108*$D108)</f>
        <v>0</v>
      </c>
      <c r="L108" s="20" t="n">
        <f aca="false">IF($D108="",0,$F108*$K108)</f>
        <v>0</v>
      </c>
      <c r="M108" s="20" t="n">
        <f aca="false">IF($D108="",0,$G108*$K108)</f>
        <v>0</v>
      </c>
      <c r="N108" s="20" t="n">
        <f aca="false">IF($D108="",0,$H108*$K108)</f>
        <v>0</v>
      </c>
      <c r="O108" s="20" t="n">
        <f aca="false">IF($D108="",0,$I108*$K108*(1-$F108))</f>
        <v>0</v>
      </c>
      <c r="P108" s="20" t="n">
        <f aca="false">IF($D108="",0,$E108*$D108+$L108+$M108+$N108+$O108+$J108*$D108)</f>
        <v>0</v>
      </c>
      <c r="Q108" s="20" t="n">
        <f aca="false">IF($D108="",0,$K108-$P108)</f>
        <v>0</v>
      </c>
      <c r="R108" s="21" t="n">
        <f aca="false">IF($K108=0,0,$Q108/$K108)</f>
        <v>0</v>
      </c>
      <c r="S108" s="20" t="n">
        <f aca="false">IF($D108="",0,$K108-$L108-$M108-$N108)</f>
        <v>0</v>
      </c>
      <c r="T108" s="22"/>
      <c r="U108" s="20" t="n">
        <f aca="false">IF($T108="",0,MAX(0,$S108-$T108))</f>
        <v>0</v>
      </c>
      <c r="V108" s="21" t="n">
        <f aca="false">IF($S108=0,0,$U108/$S108)</f>
        <v>0</v>
      </c>
      <c r="W108" s="23" t="str">
        <f aca="false">IF($D108="","",IF($T108="","BEKLİYOR",IF(OR($U108=0,$S108=0),"DOĞRU",IF(AND($V108&gt;PazaryeriEksikHakedisEsik,$U108&gt;PazaryeriEksikHakedisTutarEsik),"EKSİK HAKEDİŞ","DOĞRU"))))</f>
        <v/>
      </c>
      <c r="X108" s="23" t="str">
        <f aca="false">IF($B108="","",CONCATENATE("Ürün: ",$B108," | Kâr: ",TEXT($Q108,"₺ #,##0")," | Durum: ",$W108))</f>
        <v/>
      </c>
      <c r="Y108" s="24"/>
    </row>
    <row r="109" customFormat="false" ht="15" hidden="false" customHeight="false" outlineLevel="0" collapsed="false">
      <c r="A109" s="24"/>
      <c r="B109" s="24"/>
      <c r="C109" s="22"/>
      <c r="D109" s="25"/>
      <c r="E109" s="22"/>
      <c r="F109" s="26"/>
      <c r="G109" s="26"/>
      <c r="H109" s="26"/>
      <c r="I109" s="26"/>
      <c r="J109" s="22"/>
      <c r="K109" s="20" t="n">
        <f aca="false">IF($D109="",0,$C109*$D109)</f>
        <v>0</v>
      </c>
      <c r="L109" s="20" t="n">
        <f aca="false">IF($D109="",0,$F109*$K109)</f>
        <v>0</v>
      </c>
      <c r="M109" s="20" t="n">
        <f aca="false">IF($D109="",0,$G109*$K109)</f>
        <v>0</v>
      </c>
      <c r="N109" s="20" t="n">
        <f aca="false">IF($D109="",0,$H109*$K109)</f>
        <v>0</v>
      </c>
      <c r="O109" s="20" t="n">
        <f aca="false">IF($D109="",0,$I109*$K109*(1-$F109))</f>
        <v>0</v>
      </c>
      <c r="P109" s="20" t="n">
        <f aca="false">IF($D109="",0,$E109*$D109+$L109+$M109+$N109+$O109+$J109*$D109)</f>
        <v>0</v>
      </c>
      <c r="Q109" s="20" t="n">
        <f aca="false">IF($D109="",0,$K109-$P109)</f>
        <v>0</v>
      </c>
      <c r="R109" s="21" t="n">
        <f aca="false">IF($K109=0,0,$Q109/$K109)</f>
        <v>0</v>
      </c>
      <c r="S109" s="20" t="n">
        <f aca="false">IF($D109="",0,$K109-$L109-$M109-$N109)</f>
        <v>0</v>
      </c>
      <c r="T109" s="22"/>
      <c r="U109" s="20" t="n">
        <f aca="false">IF($T109="",0,MAX(0,$S109-$T109))</f>
        <v>0</v>
      </c>
      <c r="V109" s="21" t="n">
        <f aca="false">IF($S109=0,0,$U109/$S109)</f>
        <v>0</v>
      </c>
      <c r="W109" s="23" t="str">
        <f aca="false">IF($D109="","",IF($T109="","BEKLİYOR",IF(OR($U109=0,$S109=0),"DOĞRU",IF(AND($V109&gt;PazaryeriEksikHakedisEsik,$U109&gt;PazaryeriEksikHakedisTutarEsik),"EKSİK HAKEDİŞ","DOĞRU"))))</f>
        <v/>
      </c>
      <c r="X109" s="23" t="str">
        <f aca="false">IF($B109="","",CONCATENATE("Ürün: ",$B109," | Kâr: ",TEXT($Q109,"₺ #,##0")," | Durum: ",$W109))</f>
        <v/>
      </c>
      <c r="Y109" s="24"/>
    </row>
    <row r="110" customFormat="false" ht="15" hidden="false" customHeight="false" outlineLevel="0" collapsed="false">
      <c r="A110" s="24"/>
      <c r="B110" s="24"/>
      <c r="C110" s="22"/>
      <c r="D110" s="25"/>
      <c r="E110" s="22"/>
      <c r="F110" s="26"/>
      <c r="G110" s="26"/>
      <c r="H110" s="26"/>
      <c r="I110" s="26"/>
      <c r="J110" s="22"/>
      <c r="K110" s="20" t="n">
        <f aca="false">IF($D110="",0,$C110*$D110)</f>
        <v>0</v>
      </c>
      <c r="L110" s="20" t="n">
        <f aca="false">IF($D110="",0,$F110*$K110)</f>
        <v>0</v>
      </c>
      <c r="M110" s="20" t="n">
        <f aca="false">IF($D110="",0,$G110*$K110)</f>
        <v>0</v>
      </c>
      <c r="N110" s="20" t="n">
        <f aca="false">IF($D110="",0,$H110*$K110)</f>
        <v>0</v>
      </c>
      <c r="O110" s="20" t="n">
        <f aca="false">IF($D110="",0,$I110*$K110*(1-$F110))</f>
        <v>0</v>
      </c>
      <c r="P110" s="20" t="n">
        <f aca="false">IF($D110="",0,$E110*$D110+$L110+$M110+$N110+$O110+$J110*$D110)</f>
        <v>0</v>
      </c>
      <c r="Q110" s="20" t="n">
        <f aca="false">IF($D110="",0,$K110-$P110)</f>
        <v>0</v>
      </c>
      <c r="R110" s="21" t="n">
        <f aca="false">IF($K110=0,0,$Q110/$K110)</f>
        <v>0</v>
      </c>
      <c r="S110" s="20" t="n">
        <f aca="false">IF($D110="",0,$K110-$L110-$M110-$N110)</f>
        <v>0</v>
      </c>
      <c r="T110" s="22"/>
      <c r="U110" s="20" t="n">
        <f aca="false">IF($T110="",0,MAX(0,$S110-$T110))</f>
        <v>0</v>
      </c>
      <c r="V110" s="21" t="n">
        <f aca="false">IF($S110=0,0,$U110/$S110)</f>
        <v>0</v>
      </c>
      <c r="W110" s="23" t="str">
        <f aca="false">IF($D110="","",IF($T110="","BEKLİYOR",IF(OR($U110=0,$S110=0),"DOĞRU",IF(AND($V110&gt;PazaryeriEksikHakedisEsik,$U110&gt;PazaryeriEksikHakedisTutarEsik),"EKSİK HAKEDİŞ","DOĞRU"))))</f>
        <v/>
      </c>
      <c r="X110" s="23" t="str">
        <f aca="false">IF($B110="","",CONCATENATE("Ürün: ",$B110," | Kâr: ",TEXT($Q110,"₺ #,##0")," | Durum: ",$W110))</f>
        <v/>
      </c>
      <c r="Y110" s="24"/>
    </row>
    <row r="111" customFormat="false" ht="15" hidden="false" customHeight="false" outlineLevel="0" collapsed="false">
      <c r="A111" s="24"/>
      <c r="B111" s="24"/>
      <c r="C111" s="22"/>
      <c r="D111" s="25"/>
      <c r="E111" s="22"/>
      <c r="F111" s="26"/>
      <c r="G111" s="26"/>
      <c r="H111" s="26"/>
      <c r="I111" s="26"/>
      <c r="J111" s="22"/>
      <c r="K111" s="20" t="n">
        <f aca="false">IF($D111="",0,$C111*$D111)</f>
        <v>0</v>
      </c>
      <c r="L111" s="20" t="n">
        <f aca="false">IF($D111="",0,$F111*$K111)</f>
        <v>0</v>
      </c>
      <c r="M111" s="20" t="n">
        <f aca="false">IF($D111="",0,$G111*$K111)</f>
        <v>0</v>
      </c>
      <c r="N111" s="20" t="n">
        <f aca="false">IF($D111="",0,$H111*$K111)</f>
        <v>0</v>
      </c>
      <c r="O111" s="20" t="n">
        <f aca="false">IF($D111="",0,$I111*$K111*(1-$F111))</f>
        <v>0</v>
      </c>
      <c r="P111" s="20" t="n">
        <f aca="false">IF($D111="",0,$E111*$D111+$L111+$M111+$N111+$O111+$J111*$D111)</f>
        <v>0</v>
      </c>
      <c r="Q111" s="20" t="n">
        <f aca="false">IF($D111="",0,$K111-$P111)</f>
        <v>0</v>
      </c>
      <c r="R111" s="21" t="n">
        <f aca="false">IF($K111=0,0,$Q111/$K111)</f>
        <v>0</v>
      </c>
      <c r="S111" s="20" t="n">
        <f aca="false">IF($D111="",0,$K111-$L111-$M111-$N111)</f>
        <v>0</v>
      </c>
      <c r="T111" s="22"/>
      <c r="U111" s="20" t="n">
        <f aca="false">IF($T111="",0,MAX(0,$S111-$T111))</f>
        <v>0</v>
      </c>
      <c r="V111" s="21" t="n">
        <f aca="false">IF($S111=0,0,$U111/$S111)</f>
        <v>0</v>
      </c>
      <c r="W111" s="23" t="str">
        <f aca="false">IF($D111="","",IF($T111="","BEKLİYOR",IF(OR($U111=0,$S111=0),"DOĞRU",IF(AND($V111&gt;PazaryeriEksikHakedisEsik,$U111&gt;PazaryeriEksikHakedisTutarEsik),"EKSİK HAKEDİŞ","DOĞRU"))))</f>
        <v/>
      </c>
      <c r="X111" s="23" t="str">
        <f aca="false">IF($B111="","",CONCATENATE("Ürün: ",$B111," | Kâr: ",TEXT($Q111,"₺ #,##0")," | Durum: ",$W111))</f>
        <v/>
      </c>
      <c r="Y111" s="24"/>
    </row>
    <row r="112" customFormat="false" ht="15" hidden="false" customHeight="false" outlineLevel="0" collapsed="false">
      <c r="A112" s="24"/>
      <c r="B112" s="24"/>
      <c r="C112" s="22"/>
      <c r="D112" s="25"/>
      <c r="E112" s="22"/>
      <c r="F112" s="26"/>
      <c r="G112" s="26"/>
      <c r="H112" s="26"/>
      <c r="I112" s="26"/>
      <c r="J112" s="22"/>
      <c r="K112" s="20" t="n">
        <f aca="false">IF($D112="",0,$C112*$D112)</f>
        <v>0</v>
      </c>
      <c r="L112" s="20" t="n">
        <f aca="false">IF($D112="",0,$F112*$K112)</f>
        <v>0</v>
      </c>
      <c r="M112" s="20" t="n">
        <f aca="false">IF($D112="",0,$G112*$K112)</f>
        <v>0</v>
      </c>
      <c r="N112" s="20" t="n">
        <f aca="false">IF($D112="",0,$H112*$K112)</f>
        <v>0</v>
      </c>
      <c r="O112" s="20" t="n">
        <f aca="false">IF($D112="",0,$I112*$K112*(1-$F112))</f>
        <v>0</v>
      </c>
      <c r="P112" s="20" t="n">
        <f aca="false">IF($D112="",0,$E112*$D112+$L112+$M112+$N112+$O112+$J112*$D112)</f>
        <v>0</v>
      </c>
      <c r="Q112" s="20" t="n">
        <f aca="false">IF($D112="",0,$K112-$P112)</f>
        <v>0</v>
      </c>
      <c r="R112" s="21" t="n">
        <f aca="false">IF($K112=0,0,$Q112/$K112)</f>
        <v>0</v>
      </c>
      <c r="S112" s="20" t="n">
        <f aca="false">IF($D112="",0,$K112-$L112-$M112-$N112)</f>
        <v>0</v>
      </c>
      <c r="T112" s="22"/>
      <c r="U112" s="20" t="n">
        <f aca="false">IF($T112="",0,MAX(0,$S112-$T112))</f>
        <v>0</v>
      </c>
      <c r="V112" s="21" t="n">
        <f aca="false">IF($S112=0,0,$U112/$S112)</f>
        <v>0</v>
      </c>
      <c r="W112" s="23" t="str">
        <f aca="false">IF($D112="","",IF($T112="","BEKLİYOR",IF(OR($U112=0,$S112=0),"DOĞRU",IF(AND($V112&gt;PazaryeriEksikHakedisEsik,$U112&gt;PazaryeriEksikHakedisTutarEsik),"EKSİK HAKEDİŞ","DOĞRU"))))</f>
        <v/>
      </c>
      <c r="X112" s="23" t="str">
        <f aca="false">IF($B112="","",CONCATENATE("Ürün: ",$B112," | Kâr: ",TEXT($Q112,"₺ #,##0")," | Durum: ",$W112))</f>
        <v/>
      </c>
      <c r="Y112" s="24"/>
    </row>
    <row r="113" customFormat="false" ht="15" hidden="false" customHeight="false" outlineLevel="0" collapsed="false">
      <c r="A113" s="24"/>
      <c r="B113" s="24"/>
      <c r="C113" s="22"/>
      <c r="D113" s="25"/>
      <c r="E113" s="22"/>
      <c r="F113" s="26"/>
      <c r="G113" s="26"/>
      <c r="H113" s="26"/>
      <c r="I113" s="26"/>
      <c r="J113" s="22"/>
      <c r="K113" s="20" t="n">
        <f aca="false">IF($D113="",0,$C113*$D113)</f>
        <v>0</v>
      </c>
      <c r="L113" s="20" t="n">
        <f aca="false">IF($D113="",0,$F113*$K113)</f>
        <v>0</v>
      </c>
      <c r="M113" s="20" t="n">
        <f aca="false">IF($D113="",0,$G113*$K113)</f>
        <v>0</v>
      </c>
      <c r="N113" s="20" t="n">
        <f aca="false">IF($D113="",0,$H113*$K113)</f>
        <v>0</v>
      </c>
      <c r="O113" s="20" t="n">
        <f aca="false">IF($D113="",0,$I113*$K113*(1-$F113))</f>
        <v>0</v>
      </c>
      <c r="P113" s="20" t="n">
        <f aca="false">IF($D113="",0,$E113*$D113+$L113+$M113+$N113+$O113+$J113*$D113)</f>
        <v>0</v>
      </c>
      <c r="Q113" s="20" t="n">
        <f aca="false">IF($D113="",0,$K113-$P113)</f>
        <v>0</v>
      </c>
      <c r="R113" s="21" t="n">
        <f aca="false">IF($K113=0,0,$Q113/$K113)</f>
        <v>0</v>
      </c>
      <c r="S113" s="20" t="n">
        <f aca="false">IF($D113="",0,$K113-$L113-$M113-$N113)</f>
        <v>0</v>
      </c>
      <c r="T113" s="22"/>
      <c r="U113" s="20" t="n">
        <f aca="false">IF($T113="",0,MAX(0,$S113-$T113))</f>
        <v>0</v>
      </c>
      <c r="V113" s="21" t="n">
        <f aca="false">IF($S113=0,0,$U113/$S113)</f>
        <v>0</v>
      </c>
      <c r="W113" s="23" t="str">
        <f aca="false">IF($D113="","",IF($T113="","BEKLİYOR",IF(OR($U113=0,$S113=0),"DOĞRU",IF(AND($V113&gt;PazaryeriEksikHakedisEsik,$U113&gt;PazaryeriEksikHakedisTutarEsik),"EKSİK HAKEDİŞ","DOĞRU"))))</f>
        <v/>
      </c>
      <c r="X113" s="23" t="str">
        <f aca="false">IF($B113="","",CONCATENATE("Ürün: ",$B113," | Kâr: ",TEXT($Q113,"₺ #,##0")," | Durum: ",$W113))</f>
        <v/>
      </c>
      <c r="Y113" s="24"/>
    </row>
    <row r="114" customFormat="false" ht="15" hidden="false" customHeight="false" outlineLevel="0" collapsed="false">
      <c r="A114" s="24"/>
      <c r="B114" s="24"/>
      <c r="C114" s="22"/>
      <c r="D114" s="25"/>
      <c r="E114" s="22"/>
      <c r="F114" s="26"/>
      <c r="G114" s="26"/>
      <c r="H114" s="26"/>
      <c r="I114" s="26"/>
      <c r="J114" s="22"/>
      <c r="K114" s="20" t="n">
        <f aca="false">IF($D114="",0,$C114*$D114)</f>
        <v>0</v>
      </c>
      <c r="L114" s="20" t="n">
        <f aca="false">IF($D114="",0,$F114*$K114)</f>
        <v>0</v>
      </c>
      <c r="M114" s="20" t="n">
        <f aca="false">IF($D114="",0,$G114*$K114)</f>
        <v>0</v>
      </c>
      <c r="N114" s="20" t="n">
        <f aca="false">IF($D114="",0,$H114*$K114)</f>
        <v>0</v>
      </c>
      <c r="O114" s="20" t="n">
        <f aca="false">IF($D114="",0,$I114*$K114*(1-$F114))</f>
        <v>0</v>
      </c>
      <c r="P114" s="20" t="n">
        <f aca="false">IF($D114="",0,$E114*$D114+$L114+$M114+$N114+$O114+$J114*$D114)</f>
        <v>0</v>
      </c>
      <c r="Q114" s="20" t="n">
        <f aca="false">IF($D114="",0,$K114-$P114)</f>
        <v>0</v>
      </c>
      <c r="R114" s="21" t="n">
        <f aca="false">IF($K114=0,0,$Q114/$K114)</f>
        <v>0</v>
      </c>
      <c r="S114" s="20" t="n">
        <f aca="false">IF($D114="",0,$K114-$L114-$M114-$N114)</f>
        <v>0</v>
      </c>
      <c r="T114" s="22"/>
      <c r="U114" s="20" t="n">
        <f aca="false">IF($T114="",0,MAX(0,$S114-$T114))</f>
        <v>0</v>
      </c>
      <c r="V114" s="21" t="n">
        <f aca="false">IF($S114=0,0,$U114/$S114)</f>
        <v>0</v>
      </c>
      <c r="W114" s="23" t="str">
        <f aca="false">IF($D114="","",IF($T114="","BEKLİYOR",IF(OR($U114=0,$S114=0),"DOĞRU",IF(AND($V114&gt;PazaryeriEksikHakedisEsik,$U114&gt;PazaryeriEksikHakedisTutarEsik),"EKSİK HAKEDİŞ","DOĞRU"))))</f>
        <v/>
      </c>
      <c r="X114" s="23" t="str">
        <f aca="false">IF($B114="","",CONCATENATE("Ürün: ",$B114," | Kâr: ",TEXT($Q114,"₺ #,##0")," | Durum: ",$W114))</f>
        <v/>
      </c>
      <c r="Y114" s="24"/>
    </row>
    <row r="115" customFormat="false" ht="15" hidden="false" customHeight="false" outlineLevel="0" collapsed="false">
      <c r="A115" s="24"/>
      <c r="B115" s="24"/>
      <c r="C115" s="22"/>
      <c r="D115" s="25"/>
      <c r="E115" s="22"/>
      <c r="F115" s="26"/>
      <c r="G115" s="26"/>
      <c r="H115" s="26"/>
      <c r="I115" s="26"/>
      <c r="J115" s="22"/>
      <c r="K115" s="20" t="n">
        <f aca="false">IF($D115="",0,$C115*$D115)</f>
        <v>0</v>
      </c>
      <c r="L115" s="20" t="n">
        <f aca="false">IF($D115="",0,$F115*$K115)</f>
        <v>0</v>
      </c>
      <c r="M115" s="20" t="n">
        <f aca="false">IF($D115="",0,$G115*$K115)</f>
        <v>0</v>
      </c>
      <c r="N115" s="20" t="n">
        <f aca="false">IF($D115="",0,$H115*$K115)</f>
        <v>0</v>
      </c>
      <c r="O115" s="20" t="n">
        <f aca="false">IF($D115="",0,$I115*$K115*(1-$F115))</f>
        <v>0</v>
      </c>
      <c r="P115" s="20" t="n">
        <f aca="false">IF($D115="",0,$E115*$D115+$L115+$M115+$N115+$O115+$J115*$D115)</f>
        <v>0</v>
      </c>
      <c r="Q115" s="20" t="n">
        <f aca="false">IF($D115="",0,$K115-$P115)</f>
        <v>0</v>
      </c>
      <c r="R115" s="21" t="n">
        <f aca="false">IF($K115=0,0,$Q115/$K115)</f>
        <v>0</v>
      </c>
      <c r="S115" s="20" t="n">
        <f aca="false">IF($D115="",0,$K115-$L115-$M115-$N115)</f>
        <v>0</v>
      </c>
      <c r="T115" s="22"/>
      <c r="U115" s="20" t="n">
        <f aca="false">IF($T115="",0,MAX(0,$S115-$T115))</f>
        <v>0</v>
      </c>
      <c r="V115" s="21" t="n">
        <f aca="false">IF($S115=0,0,$U115/$S115)</f>
        <v>0</v>
      </c>
      <c r="W115" s="23" t="str">
        <f aca="false">IF($D115="","",IF($T115="","BEKLİYOR",IF(OR($U115=0,$S115=0),"DOĞRU",IF(AND($V115&gt;PazaryeriEksikHakedisEsik,$U115&gt;PazaryeriEksikHakedisTutarEsik),"EKSİK HAKEDİŞ","DOĞRU"))))</f>
        <v/>
      </c>
      <c r="X115" s="23" t="str">
        <f aca="false">IF($B115="","",CONCATENATE("Ürün: ",$B115," | Kâr: ",TEXT($Q115,"₺ #,##0")," | Durum: ",$W115))</f>
        <v/>
      </c>
      <c r="Y115" s="24"/>
    </row>
    <row r="116" customFormat="false" ht="15" hidden="false" customHeight="false" outlineLevel="0" collapsed="false">
      <c r="A116" s="24"/>
      <c r="B116" s="24"/>
      <c r="C116" s="22"/>
      <c r="D116" s="25"/>
      <c r="E116" s="22"/>
      <c r="F116" s="26"/>
      <c r="G116" s="26"/>
      <c r="H116" s="26"/>
      <c r="I116" s="26"/>
      <c r="J116" s="22"/>
      <c r="K116" s="20" t="n">
        <f aca="false">IF($D116="",0,$C116*$D116)</f>
        <v>0</v>
      </c>
      <c r="L116" s="20" t="n">
        <f aca="false">IF($D116="",0,$F116*$K116)</f>
        <v>0</v>
      </c>
      <c r="M116" s="20" t="n">
        <f aca="false">IF($D116="",0,$G116*$K116)</f>
        <v>0</v>
      </c>
      <c r="N116" s="20" t="n">
        <f aca="false">IF($D116="",0,$H116*$K116)</f>
        <v>0</v>
      </c>
      <c r="O116" s="20" t="n">
        <f aca="false">IF($D116="",0,$I116*$K116*(1-$F116))</f>
        <v>0</v>
      </c>
      <c r="P116" s="20" t="n">
        <f aca="false">IF($D116="",0,$E116*$D116+$L116+$M116+$N116+$O116+$J116*$D116)</f>
        <v>0</v>
      </c>
      <c r="Q116" s="20" t="n">
        <f aca="false">IF($D116="",0,$K116-$P116)</f>
        <v>0</v>
      </c>
      <c r="R116" s="21" t="n">
        <f aca="false">IF($K116=0,0,$Q116/$K116)</f>
        <v>0</v>
      </c>
      <c r="S116" s="20" t="n">
        <f aca="false">IF($D116="",0,$K116-$L116-$M116-$N116)</f>
        <v>0</v>
      </c>
      <c r="T116" s="22"/>
      <c r="U116" s="20" t="n">
        <f aca="false">IF($T116="",0,MAX(0,$S116-$T116))</f>
        <v>0</v>
      </c>
      <c r="V116" s="21" t="n">
        <f aca="false">IF($S116=0,0,$U116/$S116)</f>
        <v>0</v>
      </c>
      <c r="W116" s="23" t="str">
        <f aca="false">IF($D116="","",IF($T116="","BEKLİYOR",IF(OR($U116=0,$S116=0),"DOĞRU",IF(AND($V116&gt;PazaryeriEksikHakedisEsik,$U116&gt;PazaryeriEksikHakedisTutarEsik),"EKSİK HAKEDİŞ","DOĞRU"))))</f>
        <v/>
      </c>
      <c r="X116" s="23" t="str">
        <f aca="false">IF($B116="","",CONCATENATE("Ürün: ",$B116," | Kâr: ",TEXT($Q116,"₺ #,##0")," | Durum: ",$W116))</f>
        <v/>
      </c>
      <c r="Y116" s="24"/>
    </row>
    <row r="117" customFormat="false" ht="15" hidden="false" customHeight="false" outlineLevel="0" collapsed="false">
      <c r="A117" s="24"/>
      <c r="B117" s="24"/>
      <c r="C117" s="22"/>
      <c r="D117" s="25"/>
      <c r="E117" s="22"/>
      <c r="F117" s="26"/>
      <c r="G117" s="26"/>
      <c r="H117" s="26"/>
      <c r="I117" s="26"/>
      <c r="J117" s="22"/>
      <c r="K117" s="20" t="n">
        <f aca="false">IF($D117="",0,$C117*$D117)</f>
        <v>0</v>
      </c>
      <c r="L117" s="20" t="n">
        <f aca="false">IF($D117="",0,$F117*$K117)</f>
        <v>0</v>
      </c>
      <c r="M117" s="20" t="n">
        <f aca="false">IF($D117="",0,$G117*$K117)</f>
        <v>0</v>
      </c>
      <c r="N117" s="20" t="n">
        <f aca="false">IF($D117="",0,$H117*$K117)</f>
        <v>0</v>
      </c>
      <c r="O117" s="20" t="n">
        <f aca="false">IF($D117="",0,$I117*$K117*(1-$F117))</f>
        <v>0</v>
      </c>
      <c r="P117" s="20" t="n">
        <f aca="false">IF($D117="",0,$E117*$D117+$L117+$M117+$N117+$O117+$J117*$D117)</f>
        <v>0</v>
      </c>
      <c r="Q117" s="20" t="n">
        <f aca="false">IF($D117="",0,$K117-$P117)</f>
        <v>0</v>
      </c>
      <c r="R117" s="21" t="n">
        <f aca="false">IF($K117=0,0,$Q117/$K117)</f>
        <v>0</v>
      </c>
      <c r="S117" s="20" t="n">
        <f aca="false">IF($D117="",0,$K117-$L117-$M117-$N117)</f>
        <v>0</v>
      </c>
      <c r="T117" s="22"/>
      <c r="U117" s="20" t="n">
        <f aca="false">IF($T117="",0,MAX(0,$S117-$T117))</f>
        <v>0</v>
      </c>
      <c r="V117" s="21" t="n">
        <f aca="false">IF($S117=0,0,$U117/$S117)</f>
        <v>0</v>
      </c>
      <c r="W117" s="23" t="str">
        <f aca="false">IF($D117="","",IF($T117="","BEKLİYOR",IF(OR($U117=0,$S117=0),"DOĞRU",IF(AND($V117&gt;PazaryeriEksikHakedisEsik,$U117&gt;PazaryeriEksikHakedisTutarEsik),"EKSİK HAKEDİŞ","DOĞRU"))))</f>
        <v/>
      </c>
      <c r="X117" s="23" t="str">
        <f aca="false">IF($B117="","",CONCATENATE("Ürün: ",$B117," | Kâr: ",TEXT($Q117,"₺ #,##0")," | Durum: ",$W117))</f>
        <v/>
      </c>
      <c r="Y117" s="24"/>
    </row>
    <row r="118" customFormat="false" ht="15" hidden="false" customHeight="false" outlineLevel="0" collapsed="false">
      <c r="A118" s="24"/>
      <c r="B118" s="24"/>
      <c r="C118" s="22"/>
      <c r="D118" s="25"/>
      <c r="E118" s="22"/>
      <c r="F118" s="26"/>
      <c r="G118" s="26"/>
      <c r="H118" s="26"/>
      <c r="I118" s="26"/>
      <c r="J118" s="22"/>
      <c r="K118" s="20" t="n">
        <f aca="false">IF($D118="",0,$C118*$D118)</f>
        <v>0</v>
      </c>
      <c r="L118" s="20" t="n">
        <f aca="false">IF($D118="",0,$F118*$K118)</f>
        <v>0</v>
      </c>
      <c r="M118" s="20" t="n">
        <f aca="false">IF($D118="",0,$G118*$K118)</f>
        <v>0</v>
      </c>
      <c r="N118" s="20" t="n">
        <f aca="false">IF($D118="",0,$H118*$K118)</f>
        <v>0</v>
      </c>
      <c r="O118" s="20" t="n">
        <f aca="false">IF($D118="",0,$I118*$K118*(1-$F118))</f>
        <v>0</v>
      </c>
      <c r="P118" s="20" t="n">
        <f aca="false">IF($D118="",0,$E118*$D118+$L118+$M118+$N118+$O118+$J118*$D118)</f>
        <v>0</v>
      </c>
      <c r="Q118" s="20" t="n">
        <f aca="false">IF($D118="",0,$K118-$P118)</f>
        <v>0</v>
      </c>
      <c r="R118" s="21" t="n">
        <f aca="false">IF($K118=0,0,$Q118/$K118)</f>
        <v>0</v>
      </c>
      <c r="S118" s="20" t="n">
        <f aca="false">IF($D118="",0,$K118-$L118-$M118-$N118)</f>
        <v>0</v>
      </c>
      <c r="T118" s="22"/>
      <c r="U118" s="20" t="n">
        <f aca="false">IF($T118="",0,MAX(0,$S118-$T118))</f>
        <v>0</v>
      </c>
      <c r="V118" s="21" t="n">
        <f aca="false">IF($S118=0,0,$U118/$S118)</f>
        <v>0</v>
      </c>
      <c r="W118" s="23" t="str">
        <f aca="false">IF($D118="","",IF($T118="","BEKLİYOR",IF(OR($U118=0,$S118=0),"DOĞRU",IF(AND($V118&gt;PazaryeriEksikHakedisEsik,$U118&gt;PazaryeriEksikHakedisTutarEsik),"EKSİK HAKEDİŞ","DOĞRU"))))</f>
        <v/>
      </c>
      <c r="X118" s="23" t="str">
        <f aca="false">IF($B118="","",CONCATENATE("Ürün: ",$B118," | Kâr: ",TEXT($Q118,"₺ #,##0")," | Durum: ",$W118))</f>
        <v/>
      </c>
      <c r="Y118" s="24"/>
    </row>
    <row r="119" customFormat="false" ht="15" hidden="false" customHeight="false" outlineLevel="0" collapsed="false">
      <c r="A119" s="24"/>
      <c r="B119" s="24"/>
      <c r="C119" s="22"/>
      <c r="D119" s="25"/>
      <c r="E119" s="22"/>
      <c r="F119" s="26"/>
      <c r="G119" s="26"/>
      <c r="H119" s="26"/>
      <c r="I119" s="26"/>
      <c r="J119" s="22"/>
      <c r="K119" s="20" t="n">
        <f aca="false">IF($D119="",0,$C119*$D119)</f>
        <v>0</v>
      </c>
      <c r="L119" s="20" t="n">
        <f aca="false">IF($D119="",0,$F119*$K119)</f>
        <v>0</v>
      </c>
      <c r="M119" s="20" t="n">
        <f aca="false">IF($D119="",0,$G119*$K119)</f>
        <v>0</v>
      </c>
      <c r="N119" s="20" t="n">
        <f aca="false">IF($D119="",0,$H119*$K119)</f>
        <v>0</v>
      </c>
      <c r="O119" s="20" t="n">
        <f aca="false">IF($D119="",0,$I119*$K119*(1-$F119))</f>
        <v>0</v>
      </c>
      <c r="P119" s="20" t="n">
        <f aca="false">IF($D119="",0,$E119*$D119+$L119+$M119+$N119+$O119+$J119*$D119)</f>
        <v>0</v>
      </c>
      <c r="Q119" s="20" t="n">
        <f aca="false">IF($D119="",0,$K119-$P119)</f>
        <v>0</v>
      </c>
      <c r="R119" s="21" t="n">
        <f aca="false">IF($K119=0,0,$Q119/$K119)</f>
        <v>0</v>
      </c>
      <c r="S119" s="20" t="n">
        <f aca="false">IF($D119="",0,$K119-$L119-$M119-$N119)</f>
        <v>0</v>
      </c>
      <c r="T119" s="22"/>
      <c r="U119" s="20" t="n">
        <f aca="false">IF($T119="",0,MAX(0,$S119-$T119))</f>
        <v>0</v>
      </c>
      <c r="V119" s="21" t="n">
        <f aca="false">IF($S119=0,0,$U119/$S119)</f>
        <v>0</v>
      </c>
      <c r="W119" s="23" t="str">
        <f aca="false">IF($D119="","",IF($T119="","BEKLİYOR",IF(OR($U119=0,$S119=0),"DOĞRU",IF(AND($V119&gt;PazaryeriEksikHakedisEsik,$U119&gt;PazaryeriEksikHakedisTutarEsik),"EKSİK HAKEDİŞ","DOĞRU"))))</f>
        <v/>
      </c>
      <c r="X119" s="23" t="str">
        <f aca="false">IF($B119="","",CONCATENATE("Ürün: ",$B119," | Kâr: ",TEXT($Q119,"₺ #,##0")," | Durum: ",$W119))</f>
        <v/>
      </c>
      <c r="Y119" s="24"/>
    </row>
    <row r="120" customFormat="false" ht="15" hidden="false" customHeight="false" outlineLevel="0" collapsed="false">
      <c r="A120" s="24"/>
      <c r="B120" s="24"/>
      <c r="C120" s="22"/>
      <c r="D120" s="25"/>
      <c r="E120" s="22"/>
      <c r="F120" s="26"/>
      <c r="G120" s="26"/>
      <c r="H120" s="26"/>
      <c r="I120" s="26"/>
      <c r="J120" s="22"/>
      <c r="K120" s="20" t="n">
        <f aca="false">IF($D120="",0,$C120*$D120)</f>
        <v>0</v>
      </c>
      <c r="L120" s="20" t="n">
        <f aca="false">IF($D120="",0,$F120*$K120)</f>
        <v>0</v>
      </c>
      <c r="M120" s="20" t="n">
        <f aca="false">IF($D120="",0,$G120*$K120)</f>
        <v>0</v>
      </c>
      <c r="N120" s="20" t="n">
        <f aca="false">IF($D120="",0,$H120*$K120)</f>
        <v>0</v>
      </c>
      <c r="O120" s="20" t="n">
        <f aca="false">IF($D120="",0,$I120*$K120*(1-$F120))</f>
        <v>0</v>
      </c>
      <c r="P120" s="20" t="n">
        <f aca="false">IF($D120="",0,$E120*$D120+$L120+$M120+$N120+$O120+$J120*$D120)</f>
        <v>0</v>
      </c>
      <c r="Q120" s="20" t="n">
        <f aca="false">IF($D120="",0,$K120-$P120)</f>
        <v>0</v>
      </c>
      <c r="R120" s="21" t="n">
        <f aca="false">IF($K120=0,0,$Q120/$K120)</f>
        <v>0</v>
      </c>
      <c r="S120" s="20" t="n">
        <f aca="false">IF($D120="",0,$K120-$L120-$M120-$N120)</f>
        <v>0</v>
      </c>
      <c r="T120" s="22"/>
      <c r="U120" s="20" t="n">
        <f aca="false">IF($T120="",0,MAX(0,$S120-$T120))</f>
        <v>0</v>
      </c>
      <c r="V120" s="21" t="n">
        <f aca="false">IF($S120=0,0,$U120/$S120)</f>
        <v>0</v>
      </c>
      <c r="W120" s="23" t="str">
        <f aca="false">IF($D120="","",IF($T120="","BEKLİYOR",IF(OR($U120=0,$S120=0),"DOĞRU",IF(AND($V120&gt;PazaryeriEksikHakedisEsik,$U120&gt;PazaryeriEksikHakedisTutarEsik),"EKSİK HAKEDİŞ","DOĞRU"))))</f>
        <v/>
      </c>
      <c r="X120" s="23" t="str">
        <f aca="false">IF($B120="","",CONCATENATE("Ürün: ",$B120," | Kâr: ",TEXT($Q120,"₺ #,##0")," | Durum: ",$W120))</f>
        <v/>
      </c>
      <c r="Y120" s="24"/>
    </row>
    <row r="121" customFormat="false" ht="15" hidden="false" customHeight="false" outlineLevel="0" collapsed="false">
      <c r="A121" s="24"/>
      <c r="B121" s="24"/>
      <c r="C121" s="22"/>
      <c r="D121" s="25"/>
      <c r="E121" s="22"/>
      <c r="F121" s="26"/>
      <c r="G121" s="26"/>
      <c r="H121" s="26"/>
      <c r="I121" s="26"/>
      <c r="J121" s="22"/>
      <c r="K121" s="20" t="n">
        <f aca="false">IF($D121="",0,$C121*$D121)</f>
        <v>0</v>
      </c>
      <c r="L121" s="20" t="n">
        <f aca="false">IF($D121="",0,$F121*$K121)</f>
        <v>0</v>
      </c>
      <c r="M121" s="20" t="n">
        <f aca="false">IF($D121="",0,$G121*$K121)</f>
        <v>0</v>
      </c>
      <c r="N121" s="20" t="n">
        <f aca="false">IF($D121="",0,$H121*$K121)</f>
        <v>0</v>
      </c>
      <c r="O121" s="20" t="n">
        <f aca="false">IF($D121="",0,$I121*$K121*(1-$F121))</f>
        <v>0</v>
      </c>
      <c r="P121" s="20" t="n">
        <f aca="false">IF($D121="",0,$E121*$D121+$L121+$M121+$N121+$O121+$J121*$D121)</f>
        <v>0</v>
      </c>
      <c r="Q121" s="20" t="n">
        <f aca="false">IF($D121="",0,$K121-$P121)</f>
        <v>0</v>
      </c>
      <c r="R121" s="21" t="n">
        <f aca="false">IF($K121=0,0,$Q121/$K121)</f>
        <v>0</v>
      </c>
      <c r="S121" s="20" t="n">
        <f aca="false">IF($D121="",0,$K121-$L121-$M121-$N121)</f>
        <v>0</v>
      </c>
      <c r="T121" s="22"/>
      <c r="U121" s="20" t="n">
        <f aca="false">IF($T121="",0,MAX(0,$S121-$T121))</f>
        <v>0</v>
      </c>
      <c r="V121" s="21" t="n">
        <f aca="false">IF($S121=0,0,$U121/$S121)</f>
        <v>0</v>
      </c>
      <c r="W121" s="23" t="str">
        <f aca="false">IF($D121="","",IF($T121="","BEKLİYOR",IF(OR($U121=0,$S121=0),"DOĞRU",IF(AND($V121&gt;PazaryeriEksikHakedisEsik,$U121&gt;PazaryeriEksikHakedisTutarEsik),"EKSİK HAKEDİŞ","DOĞRU"))))</f>
        <v/>
      </c>
      <c r="X121" s="23" t="str">
        <f aca="false">IF($B121="","",CONCATENATE("Ürün: ",$B121," | Kâr: ",TEXT($Q121,"₺ #,##0")," | Durum: ",$W121))</f>
        <v/>
      </c>
      <c r="Y121" s="24"/>
    </row>
    <row r="122" customFormat="false" ht="15" hidden="false" customHeight="false" outlineLevel="0" collapsed="false">
      <c r="A122" s="24"/>
      <c r="B122" s="24"/>
      <c r="C122" s="22"/>
      <c r="D122" s="25"/>
      <c r="E122" s="22"/>
      <c r="F122" s="26"/>
      <c r="G122" s="26"/>
      <c r="H122" s="26"/>
      <c r="I122" s="26"/>
      <c r="J122" s="22"/>
      <c r="K122" s="20" t="n">
        <f aca="false">IF($D122="",0,$C122*$D122)</f>
        <v>0</v>
      </c>
      <c r="L122" s="20" t="n">
        <f aca="false">IF($D122="",0,$F122*$K122)</f>
        <v>0</v>
      </c>
      <c r="M122" s="20" t="n">
        <f aca="false">IF($D122="",0,$G122*$K122)</f>
        <v>0</v>
      </c>
      <c r="N122" s="20" t="n">
        <f aca="false">IF($D122="",0,$H122*$K122)</f>
        <v>0</v>
      </c>
      <c r="O122" s="20" t="n">
        <f aca="false">IF($D122="",0,$I122*$K122*(1-$F122))</f>
        <v>0</v>
      </c>
      <c r="P122" s="20" t="n">
        <f aca="false">IF($D122="",0,$E122*$D122+$L122+$M122+$N122+$O122+$J122*$D122)</f>
        <v>0</v>
      </c>
      <c r="Q122" s="20" t="n">
        <f aca="false">IF($D122="",0,$K122-$P122)</f>
        <v>0</v>
      </c>
      <c r="R122" s="21" t="n">
        <f aca="false">IF($K122=0,0,$Q122/$K122)</f>
        <v>0</v>
      </c>
      <c r="S122" s="20" t="n">
        <f aca="false">IF($D122="",0,$K122-$L122-$M122-$N122)</f>
        <v>0</v>
      </c>
      <c r="T122" s="22"/>
      <c r="U122" s="20" t="n">
        <f aca="false">IF($T122="",0,MAX(0,$S122-$T122))</f>
        <v>0</v>
      </c>
      <c r="V122" s="21" t="n">
        <f aca="false">IF($S122=0,0,$U122/$S122)</f>
        <v>0</v>
      </c>
      <c r="W122" s="23" t="str">
        <f aca="false">IF($D122="","",IF($T122="","BEKLİYOR",IF(OR($U122=0,$S122=0),"DOĞRU",IF(AND($V122&gt;PazaryeriEksikHakedisEsik,$U122&gt;PazaryeriEksikHakedisTutarEsik),"EKSİK HAKEDİŞ","DOĞRU"))))</f>
        <v/>
      </c>
      <c r="X122" s="23" t="str">
        <f aca="false">IF($B122="","",CONCATENATE("Ürün: ",$B122," | Kâr: ",TEXT($Q122,"₺ #,##0")," | Durum: ",$W122))</f>
        <v/>
      </c>
      <c r="Y122" s="24"/>
    </row>
    <row r="123" customFormat="false" ht="15" hidden="false" customHeight="false" outlineLevel="0" collapsed="false">
      <c r="A123" s="24"/>
      <c r="B123" s="24"/>
      <c r="C123" s="22"/>
      <c r="D123" s="25"/>
      <c r="E123" s="22"/>
      <c r="F123" s="26"/>
      <c r="G123" s="26"/>
      <c r="H123" s="26"/>
      <c r="I123" s="26"/>
      <c r="J123" s="22"/>
      <c r="K123" s="20" t="n">
        <f aca="false">IF($D123="",0,$C123*$D123)</f>
        <v>0</v>
      </c>
      <c r="L123" s="20" t="n">
        <f aca="false">IF($D123="",0,$F123*$K123)</f>
        <v>0</v>
      </c>
      <c r="M123" s="20" t="n">
        <f aca="false">IF($D123="",0,$G123*$K123)</f>
        <v>0</v>
      </c>
      <c r="N123" s="20" t="n">
        <f aca="false">IF($D123="",0,$H123*$K123)</f>
        <v>0</v>
      </c>
      <c r="O123" s="20" t="n">
        <f aca="false">IF($D123="",0,$I123*$K123*(1-$F123))</f>
        <v>0</v>
      </c>
      <c r="P123" s="20" t="n">
        <f aca="false">IF($D123="",0,$E123*$D123+$L123+$M123+$N123+$O123+$J123*$D123)</f>
        <v>0</v>
      </c>
      <c r="Q123" s="20" t="n">
        <f aca="false">IF($D123="",0,$K123-$P123)</f>
        <v>0</v>
      </c>
      <c r="R123" s="21" t="n">
        <f aca="false">IF($K123=0,0,$Q123/$K123)</f>
        <v>0</v>
      </c>
      <c r="S123" s="20" t="n">
        <f aca="false">IF($D123="",0,$K123-$L123-$M123-$N123)</f>
        <v>0</v>
      </c>
      <c r="T123" s="22"/>
      <c r="U123" s="20" t="n">
        <f aca="false">IF($T123="",0,MAX(0,$S123-$T123))</f>
        <v>0</v>
      </c>
      <c r="V123" s="21" t="n">
        <f aca="false">IF($S123=0,0,$U123/$S123)</f>
        <v>0</v>
      </c>
      <c r="W123" s="23" t="str">
        <f aca="false">IF($D123="","",IF($T123="","BEKLİYOR",IF(OR($U123=0,$S123=0),"DOĞRU",IF(AND($V123&gt;PazaryeriEksikHakedisEsik,$U123&gt;PazaryeriEksikHakedisTutarEsik),"EKSİK HAKEDİŞ","DOĞRU"))))</f>
        <v/>
      </c>
      <c r="X123" s="23" t="str">
        <f aca="false">IF($B123="","",CONCATENATE("Ürün: ",$B123," | Kâr: ",TEXT($Q123,"₺ #,##0")," | Durum: ",$W123))</f>
        <v/>
      </c>
      <c r="Y123" s="24"/>
    </row>
    <row r="124" customFormat="false" ht="15" hidden="false" customHeight="false" outlineLevel="0" collapsed="false">
      <c r="A124" s="24"/>
      <c r="B124" s="24"/>
      <c r="C124" s="22"/>
      <c r="D124" s="25"/>
      <c r="E124" s="22"/>
      <c r="F124" s="26"/>
      <c r="G124" s="26"/>
      <c r="H124" s="26"/>
      <c r="I124" s="26"/>
      <c r="J124" s="22"/>
      <c r="K124" s="20" t="n">
        <f aca="false">IF($D124="",0,$C124*$D124)</f>
        <v>0</v>
      </c>
      <c r="L124" s="20" t="n">
        <f aca="false">IF($D124="",0,$F124*$K124)</f>
        <v>0</v>
      </c>
      <c r="M124" s="20" t="n">
        <f aca="false">IF($D124="",0,$G124*$K124)</f>
        <v>0</v>
      </c>
      <c r="N124" s="20" t="n">
        <f aca="false">IF($D124="",0,$H124*$K124)</f>
        <v>0</v>
      </c>
      <c r="O124" s="20" t="n">
        <f aca="false">IF($D124="",0,$I124*$K124*(1-$F124))</f>
        <v>0</v>
      </c>
      <c r="P124" s="20" t="n">
        <f aca="false">IF($D124="",0,$E124*$D124+$L124+$M124+$N124+$O124+$J124*$D124)</f>
        <v>0</v>
      </c>
      <c r="Q124" s="20" t="n">
        <f aca="false">IF($D124="",0,$K124-$P124)</f>
        <v>0</v>
      </c>
      <c r="R124" s="21" t="n">
        <f aca="false">IF($K124=0,0,$Q124/$K124)</f>
        <v>0</v>
      </c>
      <c r="S124" s="20" t="n">
        <f aca="false">IF($D124="",0,$K124-$L124-$M124-$N124)</f>
        <v>0</v>
      </c>
      <c r="T124" s="22"/>
      <c r="U124" s="20" t="n">
        <f aca="false">IF($T124="",0,MAX(0,$S124-$T124))</f>
        <v>0</v>
      </c>
      <c r="V124" s="21" t="n">
        <f aca="false">IF($S124=0,0,$U124/$S124)</f>
        <v>0</v>
      </c>
      <c r="W124" s="23" t="str">
        <f aca="false">IF($D124="","",IF($T124="","BEKLİYOR",IF(OR($U124=0,$S124=0),"DOĞRU",IF(AND($V124&gt;PazaryeriEksikHakedisEsik,$U124&gt;PazaryeriEksikHakedisTutarEsik),"EKSİK HAKEDİŞ","DOĞRU"))))</f>
        <v/>
      </c>
      <c r="X124" s="23" t="str">
        <f aca="false">IF($B124="","",CONCATENATE("Ürün: ",$B124," | Kâr: ",TEXT($Q124,"₺ #,##0")," | Durum: ",$W124))</f>
        <v/>
      </c>
      <c r="Y124" s="24"/>
    </row>
    <row r="125" customFormat="false" ht="15" hidden="false" customHeight="false" outlineLevel="0" collapsed="false">
      <c r="A125" s="24"/>
      <c r="B125" s="24"/>
      <c r="C125" s="22"/>
      <c r="D125" s="25"/>
      <c r="E125" s="22"/>
      <c r="F125" s="26"/>
      <c r="G125" s="26"/>
      <c r="H125" s="26"/>
      <c r="I125" s="26"/>
      <c r="J125" s="22"/>
      <c r="K125" s="20" t="n">
        <f aca="false">IF($D125="",0,$C125*$D125)</f>
        <v>0</v>
      </c>
      <c r="L125" s="20" t="n">
        <f aca="false">IF($D125="",0,$F125*$K125)</f>
        <v>0</v>
      </c>
      <c r="M125" s="20" t="n">
        <f aca="false">IF($D125="",0,$G125*$K125)</f>
        <v>0</v>
      </c>
      <c r="N125" s="20" t="n">
        <f aca="false">IF($D125="",0,$H125*$K125)</f>
        <v>0</v>
      </c>
      <c r="O125" s="20" t="n">
        <f aca="false">IF($D125="",0,$I125*$K125*(1-$F125))</f>
        <v>0</v>
      </c>
      <c r="P125" s="20" t="n">
        <f aca="false">IF($D125="",0,$E125*$D125+$L125+$M125+$N125+$O125+$J125*$D125)</f>
        <v>0</v>
      </c>
      <c r="Q125" s="20" t="n">
        <f aca="false">IF($D125="",0,$K125-$P125)</f>
        <v>0</v>
      </c>
      <c r="R125" s="21" t="n">
        <f aca="false">IF($K125=0,0,$Q125/$K125)</f>
        <v>0</v>
      </c>
      <c r="S125" s="20" t="n">
        <f aca="false">IF($D125="",0,$K125-$L125-$M125-$N125)</f>
        <v>0</v>
      </c>
      <c r="T125" s="22"/>
      <c r="U125" s="20" t="n">
        <f aca="false">IF($T125="",0,MAX(0,$S125-$T125))</f>
        <v>0</v>
      </c>
      <c r="V125" s="21" t="n">
        <f aca="false">IF($S125=0,0,$U125/$S125)</f>
        <v>0</v>
      </c>
      <c r="W125" s="23" t="str">
        <f aca="false">IF($D125="","",IF($T125="","BEKLİYOR",IF(OR($U125=0,$S125=0),"DOĞRU",IF(AND($V125&gt;PazaryeriEksikHakedisEsik,$U125&gt;PazaryeriEksikHakedisTutarEsik),"EKSİK HAKEDİŞ","DOĞRU"))))</f>
        <v/>
      </c>
      <c r="X125" s="23" t="str">
        <f aca="false">IF($B125="","",CONCATENATE("Ürün: ",$B125," | Kâr: ",TEXT($Q125,"₺ #,##0")," | Durum: ",$W125))</f>
        <v/>
      </c>
      <c r="Y125" s="24"/>
    </row>
    <row r="126" customFormat="false" ht="15" hidden="false" customHeight="false" outlineLevel="0" collapsed="false">
      <c r="A126" s="24"/>
      <c r="B126" s="24"/>
      <c r="C126" s="22"/>
      <c r="D126" s="25"/>
      <c r="E126" s="22"/>
      <c r="F126" s="26"/>
      <c r="G126" s="26"/>
      <c r="H126" s="26"/>
      <c r="I126" s="26"/>
      <c r="J126" s="22"/>
      <c r="K126" s="20" t="n">
        <f aca="false">IF($D126="",0,$C126*$D126)</f>
        <v>0</v>
      </c>
      <c r="L126" s="20" t="n">
        <f aca="false">IF($D126="",0,$F126*$K126)</f>
        <v>0</v>
      </c>
      <c r="M126" s="20" t="n">
        <f aca="false">IF($D126="",0,$G126*$K126)</f>
        <v>0</v>
      </c>
      <c r="N126" s="20" t="n">
        <f aca="false">IF($D126="",0,$H126*$K126)</f>
        <v>0</v>
      </c>
      <c r="O126" s="20" t="n">
        <f aca="false">IF($D126="",0,$I126*$K126*(1-$F126))</f>
        <v>0</v>
      </c>
      <c r="P126" s="20" t="n">
        <f aca="false">IF($D126="",0,$E126*$D126+$L126+$M126+$N126+$O126+$J126*$D126)</f>
        <v>0</v>
      </c>
      <c r="Q126" s="20" t="n">
        <f aca="false">IF($D126="",0,$K126-$P126)</f>
        <v>0</v>
      </c>
      <c r="R126" s="21" t="n">
        <f aca="false">IF($K126=0,0,$Q126/$K126)</f>
        <v>0</v>
      </c>
      <c r="S126" s="20" t="n">
        <f aca="false">IF($D126="",0,$K126-$L126-$M126-$N126)</f>
        <v>0</v>
      </c>
      <c r="T126" s="22"/>
      <c r="U126" s="20" t="n">
        <f aca="false">IF($T126="",0,MAX(0,$S126-$T126))</f>
        <v>0</v>
      </c>
      <c r="V126" s="21" t="n">
        <f aca="false">IF($S126=0,0,$U126/$S126)</f>
        <v>0</v>
      </c>
      <c r="W126" s="23" t="str">
        <f aca="false">IF($D126="","",IF($T126="","BEKLİYOR",IF(OR($U126=0,$S126=0),"DOĞRU",IF(AND($V126&gt;PazaryeriEksikHakedisEsik,$U126&gt;PazaryeriEksikHakedisTutarEsik),"EKSİK HAKEDİŞ","DOĞRU"))))</f>
        <v/>
      </c>
      <c r="X126" s="23" t="str">
        <f aca="false">IF($B126="","",CONCATENATE("Ürün: ",$B126," | Kâr: ",TEXT($Q126,"₺ #,##0")," | Durum: ",$W126))</f>
        <v/>
      </c>
      <c r="Y126" s="24"/>
    </row>
    <row r="127" customFormat="false" ht="15" hidden="false" customHeight="false" outlineLevel="0" collapsed="false">
      <c r="A127" s="24"/>
      <c r="B127" s="24"/>
      <c r="C127" s="22"/>
      <c r="D127" s="25"/>
      <c r="E127" s="22"/>
      <c r="F127" s="26"/>
      <c r="G127" s="26"/>
      <c r="H127" s="26"/>
      <c r="I127" s="26"/>
      <c r="J127" s="22"/>
      <c r="K127" s="20" t="n">
        <f aca="false">IF($D127="",0,$C127*$D127)</f>
        <v>0</v>
      </c>
      <c r="L127" s="20" t="n">
        <f aca="false">IF($D127="",0,$F127*$K127)</f>
        <v>0</v>
      </c>
      <c r="M127" s="20" t="n">
        <f aca="false">IF($D127="",0,$G127*$K127)</f>
        <v>0</v>
      </c>
      <c r="N127" s="20" t="n">
        <f aca="false">IF($D127="",0,$H127*$K127)</f>
        <v>0</v>
      </c>
      <c r="O127" s="20" t="n">
        <f aca="false">IF($D127="",0,$I127*$K127*(1-$F127))</f>
        <v>0</v>
      </c>
      <c r="P127" s="20" t="n">
        <f aca="false">IF($D127="",0,$E127*$D127+$L127+$M127+$N127+$O127+$J127*$D127)</f>
        <v>0</v>
      </c>
      <c r="Q127" s="20" t="n">
        <f aca="false">IF($D127="",0,$K127-$P127)</f>
        <v>0</v>
      </c>
      <c r="R127" s="21" t="n">
        <f aca="false">IF($K127=0,0,$Q127/$K127)</f>
        <v>0</v>
      </c>
      <c r="S127" s="20" t="n">
        <f aca="false">IF($D127="",0,$K127-$L127-$M127-$N127)</f>
        <v>0</v>
      </c>
      <c r="T127" s="22"/>
      <c r="U127" s="20" t="n">
        <f aca="false">IF($T127="",0,MAX(0,$S127-$T127))</f>
        <v>0</v>
      </c>
      <c r="V127" s="21" t="n">
        <f aca="false">IF($S127=0,0,$U127/$S127)</f>
        <v>0</v>
      </c>
      <c r="W127" s="23" t="str">
        <f aca="false">IF($D127="","",IF($T127="","BEKLİYOR",IF(OR($U127=0,$S127=0),"DOĞRU",IF(AND($V127&gt;PazaryeriEksikHakedisEsik,$U127&gt;PazaryeriEksikHakedisTutarEsik),"EKSİK HAKEDİŞ","DOĞRU"))))</f>
        <v/>
      </c>
      <c r="X127" s="23" t="str">
        <f aca="false">IF($B127="","",CONCATENATE("Ürün: ",$B127," | Kâr: ",TEXT($Q127,"₺ #,##0")," | Durum: ",$W127))</f>
        <v/>
      </c>
      <c r="Y127" s="24"/>
    </row>
    <row r="128" customFormat="false" ht="15" hidden="false" customHeight="false" outlineLevel="0" collapsed="false">
      <c r="A128" s="24"/>
      <c r="B128" s="24"/>
      <c r="C128" s="22"/>
      <c r="D128" s="25"/>
      <c r="E128" s="22"/>
      <c r="F128" s="26"/>
      <c r="G128" s="26"/>
      <c r="H128" s="26"/>
      <c r="I128" s="26"/>
      <c r="J128" s="22"/>
      <c r="K128" s="20" t="n">
        <f aca="false">IF($D128="",0,$C128*$D128)</f>
        <v>0</v>
      </c>
      <c r="L128" s="20" t="n">
        <f aca="false">IF($D128="",0,$F128*$K128)</f>
        <v>0</v>
      </c>
      <c r="M128" s="20" t="n">
        <f aca="false">IF($D128="",0,$G128*$K128)</f>
        <v>0</v>
      </c>
      <c r="N128" s="20" t="n">
        <f aca="false">IF($D128="",0,$H128*$K128)</f>
        <v>0</v>
      </c>
      <c r="O128" s="20" t="n">
        <f aca="false">IF($D128="",0,$I128*$K128*(1-$F128))</f>
        <v>0</v>
      </c>
      <c r="P128" s="20" t="n">
        <f aca="false">IF($D128="",0,$E128*$D128+$L128+$M128+$N128+$O128+$J128*$D128)</f>
        <v>0</v>
      </c>
      <c r="Q128" s="20" t="n">
        <f aca="false">IF($D128="",0,$K128-$P128)</f>
        <v>0</v>
      </c>
      <c r="R128" s="21" t="n">
        <f aca="false">IF($K128=0,0,$Q128/$K128)</f>
        <v>0</v>
      </c>
      <c r="S128" s="20" t="n">
        <f aca="false">IF($D128="",0,$K128-$L128-$M128-$N128)</f>
        <v>0</v>
      </c>
      <c r="T128" s="22"/>
      <c r="U128" s="20" t="n">
        <f aca="false">IF($T128="",0,MAX(0,$S128-$T128))</f>
        <v>0</v>
      </c>
      <c r="V128" s="21" t="n">
        <f aca="false">IF($S128=0,0,$U128/$S128)</f>
        <v>0</v>
      </c>
      <c r="W128" s="23" t="str">
        <f aca="false">IF($D128="","",IF($T128="","BEKLİYOR",IF(OR($U128=0,$S128=0),"DOĞRU",IF(AND($V128&gt;PazaryeriEksikHakedisEsik,$U128&gt;PazaryeriEksikHakedisTutarEsik),"EKSİK HAKEDİŞ","DOĞRU"))))</f>
        <v/>
      </c>
      <c r="X128" s="23" t="str">
        <f aca="false">IF($B128="","",CONCATENATE("Ürün: ",$B128," | Kâr: ",TEXT($Q128,"₺ #,##0")," | Durum: ",$W128))</f>
        <v/>
      </c>
      <c r="Y128" s="24"/>
    </row>
    <row r="129" customFormat="false" ht="15" hidden="false" customHeight="false" outlineLevel="0" collapsed="false">
      <c r="A129" s="24"/>
      <c r="B129" s="24"/>
      <c r="C129" s="22"/>
      <c r="D129" s="25"/>
      <c r="E129" s="22"/>
      <c r="F129" s="26"/>
      <c r="G129" s="26"/>
      <c r="H129" s="26"/>
      <c r="I129" s="26"/>
      <c r="J129" s="22"/>
      <c r="K129" s="20" t="n">
        <f aca="false">IF($D129="",0,$C129*$D129)</f>
        <v>0</v>
      </c>
      <c r="L129" s="20" t="n">
        <f aca="false">IF($D129="",0,$F129*$K129)</f>
        <v>0</v>
      </c>
      <c r="M129" s="20" t="n">
        <f aca="false">IF($D129="",0,$G129*$K129)</f>
        <v>0</v>
      </c>
      <c r="N129" s="20" t="n">
        <f aca="false">IF($D129="",0,$H129*$K129)</f>
        <v>0</v>
      </c>
      <c r="O129" s="20" t="n">
        <f aca="false">IF($D129="",0,$I129*$K129*(1-$F129))</f>
        <v>0</v>
      </c>
      <c r="P129" s="20" t="n">
        <f aca="false">IF($D129="",0,$E129*$D129+$L129+$M129+$N129+$O129+$J129*$D129)</f>
        <v>0</v>
      </c>
      <c r="Q129" s="20" t="n">
        <f aca="false">IF($D129="",0,$K129-$P129)</f>
        <v>0</v>
      </c>
      <c r="R129" s="21" t="n">
        <f aca="false">IF($K129=0,0,$Q129/$K129)</f>
        <v>0</v>
      </c>
      <c r="S129" s="20" t="n">
        <f aca="false">IF($D129="",0,$K129-$L129-$M129-$N129)</f>
        <v>0</v>
      </c>
      <c r="T129" s="22"/>
      <c r="U129" s="20" t="n">
        <f aca="false">IF($T129="",0,MAX(0,$S129-$T129))</f>
        <v>0</v>
      </c>
      <c r="V129" s="21" t="n">
        <f aca="false">IF($S129=0,0,$U129/$S129)</f>
        <v>0</v>
      </c>
      <c r="W129" s="23" t="str">
        <f aca="false">IF($D129="","",IF($T129="","BEKLİYOR",IF(OR($U129=0,$S129=0),"DOĞRU",IF(AND($V129&gt;PazaryeriEksikHakedisEsik,$U129&gt;PazaryeriEksikHakedisTutarEsik),"EKSİK HAKEDİŞ","DOĞRU"))))</f>
        <v/>
      </c>
      <c r="X129" s="23" t="str">
        <f aca="false">IF($B129="","",CONCATENATE("Ürün: ",$B129," | Kâr: ",TEXT($Q129,"₺ #,##0")," | Durum: ",$W129))</f>
        <v/>
      </c>
      <c r="Y129" s="24"/>
    </row>
    <row r="130" customFormat="false" ht="15" hidden="false" customHeight="false" outlineLevel="0" collapsed="false">
      <c r="A130" s="24"/>
      <c r="B130" s="24"/>
      <c r="C130" s="22"/>
      <c r="D130" s="25"/>
      <c r="E130" s="22"/>
      <c r="F130" s="26"/>
      <c r="G130" s="26"/>
      <c r="H130" s="26"/>
      <c r="I130" s="26"/>
      <c r="J130" s="22"/>
      <c r="K130" s="20" t="n">
        <f aca="false">IF($D130="",0,$C130*$D130)</f>
        <v>0</v>
      </c>
      <c r="L130" s="20" t="n">
        <f aca="false">IF($D130="",0,$F130*$K130)</f>
        <v>0</v>
      </c>
      <c r="M130" s="20" t="n">
        <f aca="false">IF($D130="",0,$G130*$K130)</f>
        <v>0</v>
      </c>
      <c r="N130" s="20" t="n">
        <f aca="false">IF($D130="",0,$H130*$K130)</f>
        <v>0</v>
      </c>
      <c r="O130" s="20" t="n">
        <f aca="false">IF($D130="",0,$I130*$K130*(1-$F130))</f>
        <v>0</v>
      </c>
      <c r="P130" s="20" t="n">
        <f aca="false">IF($D130="",0,$E130*$D130+$L130+$M130+$N130+$O130+$J130*$D130)</f>
        <v>0</v>
      </c>
      <c r="Q130" s="20" t="n">
        <f aca="false">IF($D130="",0,$K130-$P130)</f>
        <v>0</v>
      </c>
      <c r="R130" s="21" t="n">
        <f aca="false">IF($K130=0,0,$Q130/$K130)</f>
        <v>0</v>
      </c>
      <c r="S130" s="20" t="n">
        <f aca="false">IF($D130="",0,$K130-$L130-$M130-$N130)</f>
        <v>0</v>
      </c>
      <c r="T130" s="22"/>
      <c r="U130" s="20" t="n">
        <f aca="false">IF($T130="",0,MAX(0,$S130-$T130))</f>
        <v>0</v>
      </c>
      <c r="V130" s="21" t="n">
        <f aca="false">IF($S130=0,0,$U130/$S130)</f>
        <v>0</v>
      </c>
      <c r="W130" s="23" t="str">
        <f aca="false">IF($D130="","",IF($T130="","BEKLİYOR",IF(OR($U130=0,$S130=0),"DOĞRU",IF(AND($V130&gt;PazaryeriEksikHakedisEsik,$U130&gt;PazaryeriEksikHakedisTutarEsik),"EKSİK HAKEDİŞ","DOĞRU"))))</f>
        <v/>
      </c>
      <c r="X130" s="23" t="str">
        <f aca="false">IF($B130="","",CONCATENATE("Ürün: ",$B130," | Kâr: ",TEXT($Q130,"₺ #,##0")," | Durum: ",$W130))</f>
        <v/>
      </c>
      <c r="Y130" s="24"/>
    </row>
    <row r="131" customFormat="false" ht="15" hidden="false" customHeight="false" outlineLevel="0" collapsed="false">
      <c r="A131" s="24"/>
      <c r="B131" s="24"/>
      <c r="C131" s="22"/>
      <c r="D131" s="25"/>
      <c r="E131" s="22"/>
      <c r="F131" s="26"/>
      <c r="G131" s="26"/>
      <c r="H131" s="26"/>
      <c r="I131" s="26"/>
      <c r="J131" s="22"/>
      <c r="K131" s="20" t="n">
        <f aca="false">IF($D131="",0,$C131*$D131)</f>
        <v>0</v>
      </c>
      <c r="L131" s="20" t="n">
        <f aca="false">IF($D131="",0,$F131*$K131)</f>
        <v>0</v>
      </c>
      <c r="M131" s="20" t="n">
        <f aca="false">IF($D131="",0,$G131*$K131)</f>
        <v>0</v>
      </c>
      <c r="N131" s="20" t="n">
        <f aca="false">IF($D131="",0,$H131*$K131)</f>
        <v>0</v>
      </c>
      <c r="O131" s="20" t="n">
        <f aca="false">IF($D131="",0,$I131*$K131*(1-$F131))</f>
        <v>0</v>
      </c>
      <c r="P131" s="20" t="n">
        <f aca="false">IF($D131="",0,$E131*$D131+$L131+$M131+$N131+$O131+$J131*$D131)</f>
        <v>0</v>
      </c>
      <c r="Q131" s="20" t="n">
        <f aca="false">IF($D131="",0,$K131-$P131)</f>
        <v>0</v>
      </c>
      <c r="R131" s="21" t="n">
        <f aca="false">IF($K131=0,0,$Q131/$K131)</f>
        <v>0</v>
      </c>
      <c r="S131" s="20" t="n">
        <f aca="false">IF($D131="",0,$K131-$L131-$M131-$N131)</f>
        <v>0</v>
      </c>
      <c r="T131" s="22"/>
      <c r="U131" s="20" t="n">
        <f aca="false">IF($T131="",0,MAX(0,$S131-$T131))</f>
        <v>0</v>
      </c>
      <c r="V131" s="21" t="n">
        <f aca="false">IF($S131=0,0,$U131/$S131)</f>
        <v>0</v>
      </c>
      <c r="W131" s="23" t="str">
        <f aca="false">IF($D131="","",IF($T131="","BEKLİYOR",IF(OR($U131=0,$S131=0),"DOĞRU",IF(AND($V131&gt;PazaryeriEksikHakedisEsik,$U131&gt;PazaryeriEksikHakedisTutarEsik),"EKSİK HAKEDİŞ","DOĞRU"))))</f>
        <v/>
      </c>
      <c r="X131" s="23" t="str">
        <f aca="false">IF($B131="","",CONCATENATE("Ürün: ",$B131," | Kâr: ",TEXT($Q131,"₺ #,##0")," | Durum: ",$W131))</f>
        <v/>
      </c>
      <c r="Y131" s="24"/>
    </row>
    <row r="132" customFormat="false" ht="15" hidden="false" customHeight="false" outlineLevel="0" collapsed="false">
      <c r="A132" s="24"/>
      <c r="B132" s="24"/>
      <c r="C132" s="22"/>
      <c r="D132" s="25"/>
      <c r="E132" s="22"/>
      <c r="F132" s="26"/>
      <c r="G132" s="26"/>
      <c r="H132" s="26"/>
      <c r="I132" s="26"/>
      <c r="J132" s="22"/>
      <c r="K132" s="20" t="n">
        <f aca="false">IF($D132="",0,$C132*$D132)</f>
        <v>0</v>
      </c>
      <c r="L132" s="20" t="n">
        <f aca="false">IF($D132="",0,$F132*$K132)</f>
        <v>0</v>
      </c>
      <c r="M132" s="20" t="n">
        <f aca="false">IF($D132="",0,$G132*$K132)</f>
        <v>0</v>
      </c>
      <c r="N132" s="20" t="n">
        <f aca="false">IF($D132="",0,$H132*$K132)</f>
        <v>0</v>
      </c>
      <c r="O132" s="20" t="n">
        <f aca="false">IF($D132="",0,$I132*$K132*(1-$F132))</f>
        <v>0</v>
      </c>
      <c r="P132" s="20" t="n">
        <f aca="false">IF($D132="",0,$E132*$D132+$L132+$M132+$N132+$O132+$J132*$D132)</f>
        <v>0</v>
      </c>
      <c r="Q132" s="20" t="n">
        <f aca="false">IF($D132="",0,$K132-$P132)</f>
        <v>0</v>
      </c>
      <c r="R132" s="21" t="n">
        <f aca="false">IF($K132=0,0,$Q132/$K132)</f>
        <v>0</v>
      </c>
      <c r="S132" s="20" t="n">
        <f aca="false">IF($D132="",0,$K132-$L132-$M132-$N132)</f>
        <v>0</v>
      </c>
      <c r="T132" s="22"/>
      <c r="U132" s="20" t="n">
        <f aca="false">IF($T132="",0,MAX(0,$S132-$T132))</f>
        <v>0</v>
      </c>
      <c r="V132" s="21" t="n">
        <f aca="false">IF($S132=0,0,$U132/$S132)</f>
        <v>0</v>
      </c>
      <c r="W132" s="23" t="str">
        <f aca="false">IF($D132="","",IF($T132="","BEKLİYOR",IF(OR($U132=0,$S132=0),"DOĞRU",IF(AND($V132&gt;PazaryeriEksikHakedisEsik,$U132&gt;PazaryeriEksikHakedisTutarEsik),"EKSİK HAKEDİŞ","DOĞRU"))))</f>
        <v/>
      </c>
      <c r="X132" s="23" t="str">
        <f aca="false">IF($B132="","",CONCATENATE("Ürün: ",$B132," | Kâr: ",TEXT($Q132,"₺ #,##0")," | Durum: ",$W132))</f>
        <v/>
      </c>
      <c r="Y132" s="24"/>
    </row>
    <row r="133" customFormat="false" ht="15" hidden="false" customHeight="false" outlineLevel="0" collapsed="false">
      <c r="A133" s="24"/>
      <c r="B133" s="24"/>
      <c r="C133" s="22"/>
      <c r="D133" s="25"/>
      <c r="E133" s="22"/>
      <c r="F133" s="26"/>
      <c r="G133" s="26"/>
      <c r="H133" s="26"/>
      <c r="I133" s="26"/>
      <c r="J133" s="22"/>
      <c r="K133" s="20" t="n">
        <f aca="false">IF($D133="",0,$C133*$D133)</f>
        <v>0</v>
      </c>
      <c r="L133" s="20" t="n">
        <f aca="false">IF($D133="",0,$F133*$K133)</f>
        <v>0</v>
      </c>
      <c r="M133" s="20" t="n">
        <f aca="false">IF($D133="",0,$G133*$K133)</f>
        <v>0</v>
      </c>
      <c r="N133" s="20" t="n">
        <f aca="false">IF($D133="",0,$H133*$K133)</f>
        <v>0</v>
      </c>
      <c r="O133" s="20" t="n">
        <f aca="false">IF($D133="",0,$I133*$K133*(1-$F133))</f>
        <v>0</v>
      </c>
      <c r="P133" s="20" t="n">
        <f aca="false">IF($D133="",0,$E133*$D133+$L133+$M133+$N133+$O133+$J133*$D133)</f>
        <v>0</v>
      </c>
      <c r="Q133" s="20" t="n">
        <f aca="false">IF($D133="",0,$K133-$P133)</f>
        <v>0</v>
      </c>
      <c r="R133" s="21" t="n">
        <f aca="false">IF($K133=0,0,$Q133/$K133)</f>
        <v>0</v>
      </c>
      <c r="S133" s="20" t="n">
        <f aca="false">IF($D133="",0,$K133-$L133-$M133-$N133)</f>
        <v>0</v>
      </c>
      <c r="T133" s="22"/>
      <c r="U133" s="20" t="n">
        <f aca="false">IF($T133="",0,MAX(0,$S133-$T133))</f>
        <v>0</v>
      </c>
      <c r="V133" s="21" t="n">
        <f aca="false">IF($S133=0,0,$U133/$S133)</f>
        <v>0</v>
      </c>
      <c r="W133" s="23" t="str">
        <f aca="false">IF($D133="","",IF($T133="","BEKLİYOR",IF(OR($U133=0,$S133=0),"DOĞRU",IF(AND($V133&gt;PazaryeriEksikHakedisEsik,$U133&gt;PazaryeriEksikHakedisTutarEsik),"EKSİK HAKEDİŞ","DOĞRU"))))</f>
        <v/>
      </c>
      <c r="X133" s="23" t="str">
        <f aca="false">IF($B133="","",CONCATENATE("Ürün: ",$B133," | Kâr: ",TEXT($Q133,"₺ #,##0")," | Durum: ",$W133))</f>
        <v/>
      </c>
      <c r="Y133" s="24"/>
    </row>
    <row r="134" customFormat="false" ht="15" hidden="false" customHeight="false" outlineLevel="0" collapsed="false">
      <c r="A134" s="24"/>
      <c r="B134" s="24"/>
      <c r="C134" s="22"/>
      <c r="D134" s="25"/>
      <c r="E134" s="22"/>
      <c r="F134" s="26"/>
      <c r="G134" s="26"/>
      <c r="H134" s="26"/>
      <c r="I134" s="26"/>
      <c r="J134" s="22"/>
      <c r="K134" s="20" t="n">
        <f aca="false">IF($D134="",0,$C134*$D134)</f>
        <v>0</v>
      </c>
      <c r="L134" s="20" t="n">
        <f aca="false">IF($D134="",0,$F134*$K134)</f>
        <v>0</v>
      </c>
      <c r="M134" s="20" t="n">
        <f aca="false">IF($D134="",0,$G134*$K134)</f>
        <v>0</v>
      </c>
      <c r="N134" s="20" t="n">
        <f aca="false">IF($D134="",0,$H134*$K134)</f>
        <v>0</v>
      </c>
      <c r="O134" s="20" t="n">
        <f aca="false">IF($D134="",0,$I134*$K134*(1-$F134))</f>
        <v>0</v>
      </c>
      <c r="P134" s="20" t="n">
        <f aca="false">IF($D134="",0,$E134*$D134+$L134+$M134+$N134+$O134+$J134*$D134)</f>
        <v>0</v>
      </c>
      <c r="Q134" s="20" t="n">
        <f aca="false">IF($D134="",0,$K134-$P134)</f>
        <v>0</v>
      </c>
      <c r="R134" s="21" t="n">
        <f aca="false">IF($K134=0,0,$Q134/$K134)</f>
        <v>0</v>
      </c>
      <c r="S134" s="20" t="n">
        <f aca="false">IF($D134="",0,$K134-$L134-$M134-$N134)</f>
        <v>0</v>
      </c>
      <c r="T134" s="22"/>
      <c r="U134" s="20" t="n">
        <f aca="false">IF($T134="",0,MAX(0,$S134-$T134))</f>
        <v>0</v>
      </c>
      <c r="V134" s="21" t="n">
        <f aca="false">IF($S134=0,0,$U134/$S134)</f>
        <v>0</v>
      </c>
      <c r="W134" s="23" t="str">
        <f aca="false">IF($D134="","",IF($T134="","BEKLİYOR",IF(OR($U134=0,$S134=0),"DOĞRU",IF(AND($V134&gt;PazaryeriEksikHakedisEsik,$U134&gt;PazaryeriEksikHakedisTutarEsik),"EKSİK HAKEDİŞ","DOĞRU"))))</f>
        <v/>
      </c>
      <c r="X134" s="23" t="str">
        <f aca="false">IF($B134="","",CONCATENATE("Ürün: ",$B134," | Kâr: ",TEXT($Q134,"₺ #,##0")," | Durum: ",$W134))</f>
        <v/>
      </c>
      <c r="Y134" s="24"/>
    </row>
    <row r="135" customFormat="false" ht="15" hidden="false" customHeight="false" outlineLevel="0" collapsed="false">
      <c r="A135" s="24"/>
      <c r="B135" s="24"/>
      <c r="C135" s="22"/>
      <c r="D135" s="25"/>
      <c r="E135" s="22"/>
      <c r="F135" s="26"/>
      <c r="G135" s="26"/>
      <c r="H135" s="26"/>
      <c r="I135" s="26"/>
      <c r="J135" s="22"/>
      <c r="K135" s="20" t="n">
        <f aca="false">IF($D135="",0,$C135*$D135)</f>
        <v>0</v>
      </c>
      <c r="L135" s="20" t="n">
        <f aca="false">IF($D135="",0,$F135*$K135)</f>
        <v>0</v>
      </c>
      <c r="M135" s="20" t="n">
        <f aca="false">IF($D135="",0,$G135*$K135)</f>
        <v>0</v>
      </c>
      <c r="N135" s="20" t="n">
        <f aca="false">IF($D135="",0,$H135*$K135)</f>
        <v>0</v>
      </c>
      <c r="O135" s="20" t="n">
        <f aca="false">IF($D135="",0,$I135*$K135*(1-$F135))</f>
        <v>0</v>
      </c>
      <c r="P135" s="20" t="n">
        <f aca="false">IF($D135="",0,$E135*$D135+$L135+$M135+$N135+$O135+$J135*$D135)</f>
        <v>0</v>
      </c>
      <c r="Q135" s="20" t="n">
        <f aca="false">IF($D135="",0,$K135-$P135)</f>
        <v>0</v>
      </c>
      <c r="R135" s="21" t="n">
        <f aca="false">IF($K135=0,0,$Q135/$K135)</f>
        <v>0</v>
      </c>
      <c r="S135" s="20" t="n">
        <f aca="false">IF($D135="",0,$K135-$L135-$M135-$N135)</f>
        <v>0</v>
      </c>
      <c r="T135" s="22"/>
      <c r="U135" s="20" t="n">
        <f aca="false">IF($T135="",0,MAX(0,$S135-$T135))</f>
        <v>0</v>
      </c>
      <c r="V135" s="21" t="n">
        <f aca="false">IF($S135=0,0,$U135/$S135)</f>
        <v>0</v>
      </c>
      <c r="W135" s="23" t="str">
        <f aca="false">IF($D135="","",IF($T135="","BEKLİYOR",IF(OR($U135=0,$S135=0),"DOĞRU",IF(AND($V135&gt;PazaryeriEksikHakedisEsik,$U135&gt;PazaryeriEksikHakedisTutarEsik),"EKSİK HAKEDİŞ","DOĞRU"))))</f>
        <v/>
      </c>
      <c r="X135" s="23" t="str">
        <f aca="false">IF($B135="","",CONCATENATE("Ürün: ",$B135," | Kâr: ",TEXT($Q135,"₺ #,##0")," | Durum: ",$W135))</f>
        <v/>
      </c>
      <c r="Y135" s="24"/>
    </row>
    <row r="136" customFormat="false" ht="15" hidden="false" customHeight="false" outlineLevel="0" collapsed="false">
      <c r="A136" s="24"/>
      <c r="B136" s="24"/>
      <c r="C136" s="22"/>
      <c r="D136" s="25"/>
      <c r="E136" s="22"/>
      <c r="F136" s="26"/>
      <c r="G136" s="26"/>
      <c r="H136" s="26"/>
      <c r="I136" s="26"/>
      <c r="J136" s="22"/>
      <c r="K136" s="20" t="n">
        <f aca="false">IF($D136="",0,$C136*$D136)</f>
        <v>0</v>
      </c>
      <c r="L136" s="20" t="n">
        <f aca="false">IF($D136="",0,$F136*$K136)</f>
        <v>0</v>
      </c>
      <c r="M136" s="20" t="n">
        <f aca="false">IF($D136="",0,$G136*$K136)</f>
        <v>0</v>
      </c>
      <c r="N136" s="20" t="n">
        <f aca="false">IF($D136="",0,$H136*$K136)</f>
        <v>0</v>
      </c>
      <c r="O136" s="20" t="n">
        <f aca="false">IF($D136="",0,$I136*$K136*(1-$F136))</f>
        <v>0</v>
      </c>
      <c r="P136" s="20" t="n">
        <f aca="false">IF($D136="",0,$E136*$D136+$L136+$M136+$N136+$O136+$J136*$D136)</f>
        <v>0</v>
      </c>
      <c r="Q136" s="20" t="n">
        <f aca="false">IF($D136="",0,$K136-$P136)</f>
        <v>0</v>
      </c>
      <c r="R136" s="21" t="n">
        <f aca="false">IF($K136=0,0,$Q136/$K136)</f>
        <v>0</v>
      </c>
      <c r="S136" s="20" t="n">
        <f aca="false">IF($D136="",0,$K136-$L136-$M136-$N136)</f>
        <v>0</v>
      </c>
      <c r="T136" s="22"/>
      <c r="U136" s="20" t="n">
        <f aca="false">IF($T136="",0,MAX(0,$S136-$T136))</f>
        <v>0</v>
      </c>
      <c r="V136" s="21" t="n">
        <f aca="false">IF($S136=0,0,$U136/$S136)</f>
        <v>0</v>
      </c>
      <c r="W136" s="23" t="str">
        <f aca="false">IF($D136="","",IF($T136="","BEKLİYOR",IF(OR($U136=0,$S136=0),"DOĞRU",IF(AND($V136&gt;PazaryeriEksikHakedisEsik,$U136&gt;PazaryeriEksikHakedisTutarEsik),"EKSİK HAKEDİŞ","DOĞRU"))))</f>
        <v/>
      </c>
      <c r="X136" s="23" t="str">
        <f aca="false">IF($B136="","",CONCATENATE("Ürün: ",$B136," | Kâr: ",TEXT($Q136,"₺ #,##0")," | Durum: ",$W136))</f>
        <v/>
      </c>
      <c r="Y136" s="24"/>
    </row>
    <row r="137" customFormat="false" ht="15" hidden="false" customHeight="false" outlineLevel="0" collapsed="false">
      <c r="A137" s="24"/>
      <c r="B137" s="24"/>
      <c r="C137" s="22"/>
      <c r="D137" s="25"/>
      <c r="E137" s="22"/>
      <c r="F137" s="26"/>
      <c r="G137" s="26"/>
      <c r="H137" s="26"/>
      <c r="I137" s="26"/>
      <c r="J137" s="22"/>
      <c r="K137" s="20" t="n">
        <f aca="false">IF($D137="",0,$C137*$D137)</f>
        <v>0</v>
      </c>
      <c r="L137" s="20" t="n">
        <f aca="false">IF($D137="",0,$F137*$K137)</f>
        <v>0</v>
      </c>
      <c r="M137" s="20" t="n">
        <f aca="false">IF($D137="",0,$G137*$K137)</f>
        <v>0</v>
      </c>
      <c r="N137" s="20" t="n">
        <f aca="false">IF($D137="",0,$H137*$K137)</f>
        <v>0</v>
      </c>
      <c r="O137" s="20" t="n">
        <f aca="false">IF($D137="",0,$I137*$K137*(1-$F137))</f>
        <v>0</v>
      </c>
      <c r="P137" s="20" t="n">
        <f aca="false">IF($D137="",0,$E137*$D137+$L137+$M137+$N137+$O137+$J137*$D137)</f>
        <v>0</v>
      </c>
      <c r="Q137" s="20" t="n">
        <f aca="false">IF($D137="",0,$K137-$P137)</f>
        <v>0</v>
      </c>
      <c r="R137" s="21" t="n">
        <f aca="false">IF($K137=0,0,$Q137/$K137)</f>
        <v>0</v>
      </c>
      <c r="S137" s="20" t="n">
        <f aca="false">IF($D137="",0,$K137-$L137-$M137-$N137)</f>
        <v>0</v>
      </c>
      <c r="T137" s="22"/>
      <c r="U137" s="20" t="n">
        <f aca="false">IF($T137="",0,MAX(0,$S137-$T137))</f>
        <v>0</v>
      </c>
      <c r="V137" s="21" t="n">
        <f aca="false">IF($S137=0,0,$U137/$S137)</f>
        <v>0</v>
      </c>
      <c r="W137" s="23" t="str">
        <f aca="false">IF($D137="","",IF($T137="","BEKLİYOR",IF(OR($U137=0,$S137=0),"DOĞRU",IF(AND($V137&gt;PazaryeriEksikHakedisEsik,$U137&gt;PazaryeriEksikHakedisTutarEsik),"EKSİK HAKEDİŞ","DOĞRU"))))</f>
        <v/>
      </c>
      <c r="X137" s="23" t="str">
        <f aca="false">IF($B137="","",CONCATENATE("Ürün: ",$B137," | Kâr: ",TEXT($Q137,"₺ #,##0")," | Durum: ",$W137))</f>
        <v/>
      </c>
      <c r="Y137" s="24"/>
    </row>
    <row r="138" customFormat="false" ht="15" hidden="false" customHeight="false" outlineLevel="0" collapsed="false">
      <c r="A138" s="24"/>
      <c r="B138" s="24"/>
      <c r="C138" s="22"/>
      <c r="D138" s="25"/>
      <c r="E138" s="22"/>
      <c r="F138" s="26"/>
      <c r="G138" s="26"/>
      <c r="H138" s="26"/>
      <c r="I138" s="26"/>
      <c r="J138" s="22"/>
      <c r="K138" s="20" t="n">
        <f aca="false">IF($D138="",0,$C138*$D138)</f>
        <v>0</v>
      </c>
      <c r="L138" s="20" t="n">
        <f aca="false">IF($D138="",0,$F138*$K138)</f>
        <v>0</v>
      </c>
      <c r="M138" s="20" t="n">
        <f aca="false">IF($D138="",0,$G138*$K138)</f>
        <v>0</v>
      </c>
      <c r="N138" s="20" t="n">
        <f aca="false">IF($D138="",0,$H138*$K138)</f>
        <v>0</v>
      </c>
      <c r="O138" s="20" t="n">
        <f aca="false">IF($D138="",0,$I138*$K138*(1-$F138))</f>
        <v>0</v>
      </c>
      <c r="P138" s="20" t="n">
        <f aca="false">IF($D138="",0,$E138*$D138+$L138+$M138+$N138+$O138+$J138*$D138)</f>
        <v>0</v>
      </c>
      <c r="Q138" s="20" t="n">
        <f aca="false">IF($D138="",0,$K138-$P138)</f>
        <v>0</v>
      </c>
      <c r="R138" s="21" t="n">
        <f aca="false">IF($K138=0,0,$Q138/$K138)</f>
        <v>0</v>
      </c>
      <c r="S138" s="20" t="n">
        <f aca="false">IF($D138="",0,$K138-$L138-$M138-$N138)</f>
        <v>0</v>
      </c>
      <c r="T138" s="22"/>
      <c r="U138" s="20" t="n">
        <f aca="false">IF($T138="",0,MAX(0,$S138-$T138))</f>
        <v>0</v>
      </c>
      <c r="V138" s="21" t="n">
        <f aca="false">IF($S138=0,0,$U138/$S138)</f>
        <v>0</v>
      </c>
      <c r="W138" s="23" t="str">
        <f aca="false">IF($D138="","",IF($T138="","BEKLİYOR",IF(OR($U138=0,$S138=0),"DOĞRU",IF(AND($V138&gt;PazaryeriEksikHakedisEsik,$U138&gt;PazaryeriEksikHakedisTutarEsik),"EKSİK HAKEDİŞ","DOĞRU"))))</f>
        <v/>
      </c>
      <c r="X138" s="23" t="str">
        <f aca="false">IF($B138="","",CONCATENATE("Ürün: ",$B138," | Kâr: ",TEXT($Q138,"₺ #,##0")," | Durum: ",$W138))</f>
        <v/>
      </c>
      <c r="Y138" s="24"/>
    </row>
    <row r="139" customFormat="false" ht="15" hidden="false" customHeight="false" outlineLevel="0" collapsed="false">
      <c r="A139" s="24"/>
      <c r="B139" s="24"/>
      <c r="C139" s="22"/>
      <c r="D139" s="25"/>
      <c r="E139" s="22"/>
      <c r="F139" s="26"/>
      <c r="G139" s="26"/>
      <c r="H139" s="26"/>
      <c r="I139" s="26"/>
      <c r="J139" s="22"/>
      <c r="K139" s="20" t="n">
        <f aca="false">IF($D139="",0,$C139*$D139)</f>
        <v>0</v>
      </c>
      <c r="L139" s="20" t="n">
        <f aca="false">IF($D139="",0,$F139*$K139)</f>
        <v>0</v>
      </c>
      <c r="M139" s="20" t="n">
        <f aca="false">IF($D139="",0,$G139*$K139)</f>
        <v>0</v>
      </c>
      <c r="N139" s="20" t="n">
        <f aca="false">IF($D139="",0,$H139*$K139)</f>
        <v>0</v>
      </c>
      <c r="O139" s="20" t="n">
        <f aca="false">IF($D139="",0,$I139*$K139*(1-$F139))</f>
        <v>0</v>
      </c>
      <c r="P139" s="20" t="n">
        <f aca="false">IF($D139="",0,$E139*$D139+$L139+$M139+$N139+$O139+$J139*$D139)</f>
        <v>0</v>
      </c>
      <c r="Q139" s="20" t="n">
        <f aca="false">IF($D139="",0,$K139-$P139)</f>
        <v>0</v>
      </c>
      <c r="R139" s="21" t="n">
        <f aca="false">IF($K139=0,0,$Q139/$K139)</f>
        <v>0</v>
      </c>
      <c r="S139" s="20" t="n">
        <f aca="false">IF($D139="",0,$K139-$L139-$M139-$N139)</f>
        <v>0</v>
      </c>
      <c r="T139" s="22"/>
      <c r="U139" s="20" t="n">
        <f aca="false">IF($T139="",0,MAX(0,$S139-$T139))</f>
        <v>0</v>
      </c>
      <c r="V139" s="21" t="n">
        <f aca="false">IF($S139=0,0,$U139/$S139)</f>
        <v>0</v>
      </c>
      <c r="W139" s="23" t="str">
        <f aca="false">IF($D139="","",IF($T139="","BEKLİYOR",IF(OR($U139=0,$S139=0),"DOĞRU",IF(AND($V139&gt;PazaryeriEksikHakedisEsik,$U139&gt;PazaryeriEksikHakedisTutarEsik),"EKSİK HAKEDİŞ","DOĞRU"))))</f>
        <v/>
      </c>
      <c r="X139" s="23" t="str">
        <f aca="false">IF($B139="","",CONCATENATE("Ürün: ",$B139," | Kâr: ",TEXT($Q139,"₺ #,##0")," | Durum: ",$W139))</f>
        <v/>
      </c>
      <c r="Y139" s="24"/>
    </row>
    <row r="140" customFormat="false" ht="15" hidden="false" customHeight="false" outlineLevel="0" collapsed="false">
      <c r="A140" s="24"/>
      <c r="B140" s="24"/>
      <c r="C140" s="22"/>
      <c r="D140" s="25"/>
      <c r="E140" s="22"/>
      <c r="F140" s="26"/>
      <c r="G140" s="26"/>
      <c r="H140" s="26"/>
      <c r="I140" s="26"/>
      <c r="J140" s="22"/>
      <c r="K140" s="20" t="n">
        <f aca="false">IF($D140="",0,$C140*$D140)</f>
        <v>0</v>
      </c>
      <c r="L140" s="20" t="n">
        <f aca="false">IF($D140="",0,$F140*$K140)</f>
        <v>0</v>
      </c>
      <c r="M140" s="20" t="n">
        <f aca="false">IF($D140="",0,$G140*$K140)</f>
        <v>0</v>
      </c>
      <c r="N140" s="20" t="n">
        <f aca="false">IF($D140="",0,$H140*$K140)</f>
        <v>0</v>
      </c>
      <c r="O140" s="20" t="n">
        <f aca="false">IF($D140="",0,$I140*$K140*(1-$F140))</f>
        <v>0</v>
      </c>
      <c r="P140" s="20" t="n">
        <f aca="false">IF($D140="",0,$E140*$D140+$L140+$M140+$N140+$O140+$J140*$D140)</f>
        <v>0</v>
      </c>
      <c r="Q140" s="20" t="n">
        <f aca="false">IF($D140="",0,$K140-$P140)</f>
        <v>0</v>
      </c>
      <c r="R140" s="21" t="n">
        <f aca="false">IF($K140=0,0,$Q140/$K140)</f>
        <v>0</v>
      </c>
      <c r="S140" s="20" t="n">
        <f aca="false">IF($D140="",0,$K140-$L140-$M140-$N140)</f>
        <v>0</v>
      </c>
      <c r="T140" s="22"/>
      <c r="U140" s="20" t="n">
        <f aca="false">IF($T140="",0,MAX(0,$S140-$T140))</f>
        <v>0</v>
      </c>
      <c r="V140" s="21" t="n">
        <f aca="false">IF($S140=0,0,$U140/$S140)</f>
        <v>0</v>
      </c>
      <c r="W140" s="23" t="str">
        <f aca="false">IF($D140="","",IF($T140="","BEKLİYOR",IF(OR($U140=0,$S140=0),"DOĞRU",IF(AND($V140&gt;PazaryeriEksikHakedisEsik,$U140&gt;PazaryeriEksikHakedisTutarEsik),"EKSİK HAKEDİŞ","DOĞRU"))))</f>
        <v/>
      </c>
      <c r="X140" s="23" t="str">
        <f aca="false">IF($B140="","",CONCATENATE("Ürün: ",$B140," | Kâr: ",TEXT($Q140,"₺ #,##0")," | Durum: ",$W140))</f>
        <v/>
      </c>
      <c r="Y140" s="24"/>
    </row>
    <row r="141" customFormat="false" ht="15" hidden="false" customHeight="false" outlineLevel="0" collapsed="false">
      <c r="A141" s="24"/>
      <c r="B141" s="24"/>
      <c r="C141" s="22"/>
      <c r="D141" s="25"/>
      <c r="E141" s="22"/>
      <c r="F141" s="26"/>
      <c r="G141" s="26"/>
      <c r="H141" s="26"/>
      <c r="I141" s="26"/>
      <c r="J141" s="22"/>
      <c r="K141" s="20" t="n">
        <f aca="false">IF($D141="",0,$C141*$D141)</f>
        <v>0</v>
      </c>
      <c r="L141" s="20" t="n">
        <f aca="false">IF($D141="",0,$F141*$K141)</f>
        <v>0</v>
      </c>
      <c r="M141" s="20" t="n">
        <f aca="false">IF($D141="",0,$G141*$K141)</f>
        <v>0</v>
      </c>
      <c r="N141" s="20" t="n">
        <f aca="false">IF($D141="",0,$H141*$K141)</f>
        <v>0</v>
      </c>
      <c r="O141" s="20" t="n">
        <f aca="false">IF($D141="",0,$I141*$K141*(1-$F141))</f>
        <v>0</v>
      </c>
      <c r="P141" s="20" t="n">
        <f aca="false">IF($D141="",0,$E141*$D141+$L141+$M141+$N141+$O141+$J141*$D141)</f>
        <v>0</v>
      </c>
      <c r="Q141" s="20" t="n">
        <f aca="false">IF($D141="",0,$K141-$P141)</f>
        <v>0</v>
      </c>
      <c r="R141" s="21" t="n">
        <f aca="false">IF($K141=0,0,$Q141/$K141)</f>
        <v>0</v>
      </c>
      <c r="S141" s="20" t="n">
        <f aca="false">IF($D141="",0,$K141-$L141-$M141-$N141)</f>
        <v>0</v>
      </c>
      <c r="T141" s="22"/>
      <c r="U141" s="20" t="n">
        <f aca="false">IF($T141="",0,MAX(0,$S141-$T141))</f>
        <v>0</v>
      </c>
      <c r="V141" s="21" t="n">
        <f aca="false">IF($S141=0,0,$U141/$S141)</f>
        <v>0</v>
      </c>
      <c r="W141" s="23" t="str">
        <f aca="false">IF($D141="","",IF($T141="","BEKLİYOR",IF(OR($U141=0,$S141=0),"DOĞRU",IF(AND($V141&gt;PazaryeriEksikHakedisEsik,$U141&gt;PazaryeriEksikHakedisTutarEsik),"EKSİK HAKEDİŞ","DOĞRU"))))</f>
        <v/>
      </c>
      <c r="X141" s="23" t="str">
        <f aca="false">IF($B141="","",CONCATENATE("Ürün: ",$B141," | Kâr: ",TEXT($Q141,"₺ #,##0")," | Durum: ",$W141))</f>
        <v/>
      </c>
      <c r="Y141" s="24"/>
    </row>
    <row r="142" customFormat="false" ht="15" hidden="false" customHeight="false" outlineLevel="0" collapsed="false">
      <c r="A142" s="24"/>
      <c r="B142" s="24"/>
      <c r="C142" s="22"/>
      <c r="D142" s="25"/>
      <c r="E142" s="22"/>
      <c r="F142" s="26"/>
      <c r="G142" s="26"/>
      <c r="H142" s="26"/>
      <c r="I142" s="26"/>
      <c r="J142" s="22"/>
      <c r="K142" s="20" t="n">
        <f aca="false">IF($D142="",0,$C142*$D142)</f>
        <v>0</v>
      </c>
      <c r="L142" s="20" t="n">
        <f aca="false">IF($D142="",0,$F142*$K142)</f>
        <v>0</v>
      </c>
      <c r="M142" s="20" t="n">
        <f aca="false">IF($D142="",0,$G142*$K142)</f>
        <v>0</v>
      </c>
      <c r="N142" s="20" t="n">
        <f aca="false">IF($D142="",0,$H142*$K142)</f>
        <v>0</v>
      </c>
      <c r="O142" s="20" t="n">
        <f aca="false">IF($D142="",0,$I142*$K142*(1-$F142))</f>
        <v>0</v>
      </c>
      <c r="P142" s="20" t="n">
        <f aca="false">IF($D142="",0,$E142*$D142+$L142+$M142+$N142+$O142+$J142*$D142)</f>
        <v>0</v>
      </c>
      <c r="Q142" s="20" t="n">
        <f aca="false">IF($D142="",0,$K142-$P142)</f>
        <v>0</v>
      </c>
      <c r="R142" s="21" t="n">
        <f aca="false">IF($K142=0,0,$Q142/$K142)</f>
        <v>0</v>
      </c>
      <c r="S142" s="20" t="n">
        <f aca="false">IF($D142="",0,$K142-$L142-$M142-$N142)</f>
        <v>0</v>
      </c>
      <c r="T142" s="22"/>
      <c r="U142" s="20" t="n">
        <f aca="false">IF($T142="",0,MAX(0,$S142-$T142))</f>
        <v>0</v>
      </c>
      <c r="V142" s="21" t="n">
        <f aca="false">IF($S142=0,0,$U142/$S142)</f>
        <v>0</v>
      </c>
      <c r="W142" s="23" t="str">
        <f aca="false">IF($D142="","",IF($T142="","BEKLİYOR",IF(OR($U142=0,$S142=0),"DOĞRU",IF(AND($V142&gt;PazaryeriEksikHakedisEsik,$U142&gt;PazaryeriEksikHakedisTutarEsik),"EKSİK HAKEDİŞ","DOĞRU"))))</f>
        <v/>
      </c>
      <c r="X142" s="23" t="str">
        <f aca="false">IF($B142="","",CONCATENATE("Ürün: ",$B142," | Kâr: ",TEXT($Q142,"₺ #,##0")," | Durum: ",$W142))</f>
        <v/>
      </c>
      <c r="Y142" s="24"/>
    </row>
    <row r="143" customFormat="false" ht="15" hidden="false" customHeight="false" outlineLevel="0" collapsed="false">
      <c r="A143" s="24"/>
      <c r="B143" s="24"/>
      <c r="C143" s="22"/>
      <c r="D143" s="25"/>
      <c r="E143" s="22"/>
      <c r="F143" s="26"/>
      <c r="G143" s="26"/>
      <c r="H143" s="26"/>
      <c r="I143" s="26"/>
      <c r="J143" s="22"/>
      <c r="K143" s="20" t="n">
        <f aca="false">IF($D143="",0,$C143*$D143)</f>
        <v>0</v>
      </c>
      <c r="L143" s="20" t="n">
        <f aca="false">IF($D143="",0,$F143*$K143)</f>
        <v>0</v>
      </c>
      <c r="M143" s="20" t="n">
        <f aca="false">IF($D143="",0,$G143*$K143)</f>
        <v>0</v>
      </c>
      <c r="N143" s="20" t="n">
        <f aca="false">IF($D143="",0,$H143*$K143)</f>
        <v>0</v>
      </c>
      <c r="O143" s="20" t="n">
        <f aca="false">IF($D143="",0,$I143*$K143*(1-$F143))</f>
        <v>0</v>
      </c>
      <c r="P143" s="20" t="n">
        <f aca="false">IF($D143="",0,$E143*$D143+$L143+$M143+$N143+$O143+$J143*$D143)</f>
        <v>0</v>
      </c>
      <c r="Q143" s="20" t="n">
        <f aca="false">IF($D143="",0,$K143-$P143)</f>
        <v>0</v>
      </c>
      <c r="R143" s="21" t="n">
        <f aca="false">IF($K143=0,0,$Q143/$K143)</f>
        <v>0</v>
      </c>
      <c r="S143" s="20" t="n">
        <f aca="false">IF($D143="",0,$K143-$L143-$M143-$N143)</f>
        <v>0</v>
      </c>
      <c r="T143" s="22"/>
      <c r="U143" s="20" t="n">
        <f aca="false">IF($T143="",0,MAX(0,$S143-$T143))</f>
        <v>0</v>
      </c>
      <c r="V143" s="21" t="n">
        <f aca="false">IF($S143=0,0,$U143/$S143)</f>
        <v>0</v>
      </c>
      <c r="W143" s="23" t="str">
        <f aca="false">IF($D143="","",IF($T143="","BEKLİYOR",IF(OR($U143=0,$S143=0),"DOĞRU",IF(AND($V143&gt;PazaryeriEksikHakedisEsik,$U143&gt;PazaryeriEksikHakedisTutarEsik),"EKSİK HAKEDİŞ","DOĞRU"))))</f>
        <v/>
      </c>
      <c r="X143" s="23" t="str">
        <f aca="false">IF($B143="","",CONCATENATE("Ürün: ",$B143," | Kâr: ",TEXT($Q143,"₺ #,##0")," | Durum: ",$W143))</f>
        <v/>
      </c>
      <c r="Y143" s="24"/>
    </row>
    <row r="144" customFormat="false" ht="15" hidden="false" customHeight="false" outlineLevel="0" collapsed="false">
      <c r="A144" s="24"/>
      <c r="B144" s="24"/>
      <c r="C144" s="22"/>
      <c r="D144" s="25"/>
      <c r="E144" s="22"/>
      <c r="F144" s="26"/>
      <c r="G144" s="26"/>
      <c r="H144" s="26"/>
      <c r="I144" s="26"/>
      <c r="J144" s="22"/>
      <c r="K144" s="20" t="n">
        <f aca="false">IF($D144="",0,$C144*$D144)</f>
        <v>0</v>
      </c>
      <c r="L144" s="20" t="n">
        <f aca="false">IF($D144="",0,$F144*$K144)</f>
        <v>0</v>
      </c>
      <c r="M144" s="20" t="n">
        <f aca="false">IF($D144="",0,$G144*$K144)</f>
        <v>0</v>
      </c>
      <c r="N144" s="20" t="n">
        <f aca="false">IF($D144="",0,$H144*$K144)</f>
        <v>0</v>
      </c>
      <c r="O144" s="20" t="n">
        <f aca="false">IF($D144="",0,$I144*$K144*(1-$F144))</f>
        <v>0</v>
      </c>
      <c r="P144" s="20" t="n">
        <f aca="false">IF($D144="",0,$E144*$D144+$L144+$M144+$N144+$O144+$J144*$D144)</f>
        <v>0</v>
      </c>
      <c r="Q144" s="20" t="n">
        <f aca="false">IF($D144="",0,$K144-$P144)</f>
        <v>0</v>
      </c>
      <c r="R144" s="21" t="n">
        <f aca="false">IF($K144=0,0,$Q144/$K144)</f>
        <v>0</v>
      </c>
      <c r="S144" s="20" t="n">
        <f aca="false">IF($D144="",0,$K144-$L144-$M144-$N144)</f>
        <v>0</v>
      </c>
      <c r="T144" s="22"/>
      <c r="U144" s="20" t="n">
        <f aca="false">IF($T144="",0,MAX(0,$S144-$T144))</f>
        <v>0</v>
      </c>
      <c r="V144" s="21" t="n">
        <f aca="false">IF($S144=0,0,$U144/$S144)</f>
        <v>0</v>
      </c>
      <c r="W144" s="23" t="str">
        <f aca="false">IF($D144="","",IF($T144="","BEKLİYOR",IF(OR($U144=0,$S144=0),"DOĞRU",IF(AND($V144&gt;PazaryeriEksikHakedisEsik,$U144&gt;PazaryeriEksikHakedisTutarEsik),"EKSİK HAKEDİŞ","DOĞRU"))))</f>
        <v/>
      </c>
      <c r="X144" s="23" t="str">
        <f aca="false">IF($B144="","",CONCATENATE("Ürün: ",$B144," | Kâr: ",TEXT($Q144,"₺ #,##0")," | Durum: ",$W144))</f>
        <v/>
      </c>
      <c r="Y144" s="24"/>
    </row>
    <row r="145" customFormat="false" ht="15" hidden="false" customHeight="false" outlineLevel="0" collapsed="false">
      <c r="A145" s="24"/>
      <c r="B145" s="24"/>
      <c r="C145" s="22"/>
      <c r="D145" s="25"/>
      <c r="E145" s="22"/>
      <c r="F145" s="26"/>
      <c r="G145" s="26"/>
      <c r="H145" s="26"/>
      <c r="I145" s="26"/>
      <c r="J145" s="22"/>
      <c r="K145" s="20" t="n">
        <f aca="false">IF($D145="",0,$C145*$D145)</f>
        <v>0</v>
      </c>
      <c r="L145" s="20" t="n">
        <f aca="false">IF($D145="",0,$F145*$K145)</f>
        <v>0</v>
      </c>
      <c r="M145" s="20" t="n">
        <f aca="false">IF($D145="",0,$G145*$K145)</f>
        <v>0</v>
      </c>
      <c r="N145" s="20" t="n">
        <f aca="false">IF($D145="",0,$H145*$K145)</f>
        <v>0</v>
      </c>
      <c r="O145" s="20" t="n">
        <f aca="false">IF($D145="",0,$I145*$K145*(1-$F145))</f>
        <v>0</v>
      </c>
      <c r="P145" s="20" t="n">
        <f aca="false">IF($D145="",0,$E145*$D145+$L145+$M145+$N145+$O145+$J145*$D145)</f>
        <v>0</v>
      </c>
      <c r="Q145" s="20" t="n">
        <f aca="false">IF($D145="",0,$K145-$P145)</f>
        <v>0</v>
      </c>
      <c r="R145" s="21" t="n">
        <f aca="false">IF($K145=0,0,$Q145/$K145)</f>
        <v>0</v>
      </c>
      <c r="S145" s="20" t="n">
        <f aca="false">IF($D145="",0,$K145-$L145-$M145-$N145)</f>
        <v>0</v>
      </c>
      <c r="T145" s="22"/>
      <c r="U145" s="20" t="n">
        <f aca="false">IF($T145="",0,MAX(0,$S145-$T145))</f>
        <v>0</v>
      </c>
      <c r="V145" s="21" t="n">
        <f aca="false">IF($S145=0,0,$U145/$S145)</f>
        <v>0</v>
      </c>
      <c r="W145" s="23" t="str">
        <f aca="false">IF($D145="","",IF($T145="","BEKLİYOR",IF(OR($U145=0,$S145=0),"DOĞRU",IF(AND($V145&gt;PazaryeriEksikHakedisEsik,$U145&gt;PazaryeriEksikHakedisTutarEsik),"EKSİK HAKEDİŞ","DOĞRU"))))</f>
        <v/>
      </c>
      <c r="X145" s="23" t="str">
        <f aca="false">IF($B145="","",CONCATENATE("Ürün: ",$B145," | Kâr: ",TEXT($Q145,"₺ #,##0")," | Durum: ",$W145))</f>
        <v/>
      </c>
      <c r="Y145" s="24"/>
    </row>
    <row r="146" customFormat="false" ht="15" hidden="false" customHeight="false" outlineLevel="0" collapsed="false">
      <c r="A146" s="24"/>
      <c r="B146" s="24"/>
      <c r="C146" s="22"/>
      <c r="D146" s="25"/>
      <c r="E146" s="22"/>
      <c r="F146" s="26"/>
      <c r="G146" s="26"/>
      <c r="H146" s="26"/>
      <c r="I146" s="26"/>
      <c r="J146" s="22"/>
      <c r="K146" s="20" t="n">
        <f aca="false">IF($D146="",0,$C146*$D146)</f>
        <v>0</v>
      </c>
      <c r="L146" s="20" t="n">
        <f aca="false">IF($D146="",0,$F146*$K146)</f>
        <v>0</v>
      </c>
      <c r="M146" s="20" t="n">
        <f aca="false">IF($D146="",0,$G146*$K146)</f>
        <v>0</v>
      </c>
      <c r="N146" s="20" t="n">
        <f aca="false">IF($D146="",0,$H146*$K146)</f>
        <v>0</v>
      </c>
      <c r="O146" s="20" t="n">
        <f aca="false">IF($D146="",0,$I146*$K146*(1-$F146))</f>
        <v>0</v>
      </c>
      <c r="P146" s="20" t="n">
        <f aca="false">IF($D146="",0,$E146*$D146+$L146+$M146+$N146+$O146+$J146*$D146)</f>
        <v>0</v>
      </c>
      <c r="Q146" s="20" t="n">
        <f aca="false">IF($D146="",0,$K146-$P146)</f>
        <v>0</v>
      </c>
      <c r="R146" s="21" t="n">
        <f aca="false">IF($K146=0,0,$Q146/$K146)</f>
        <v>0</v>
      </c>
      <c r="S146" s="20" t="n">
        <f aca="false">IF($D146="",0,$K146-$L146-$M146-$N146)</f>
        <v>0</v>
      </c>
      <c r="T146" s="22"/>
      <c r="U146" s="20" t="n">
        <f aca="false">IF($T146="",0,MAX(0,$S146-$T146))</f>
        <v>0</v>
      </c>
      <c r="V146" s="21" t="n">
        <f aca="false">IF($S146=0,0,$U146/$S146)</f>
        <v>0</v>
      </c>
      <c r="W146" s="23" t="str">
        <f aca="false">IF($D146="","",IF($T146="","BEKLİYOR",IF(OR($U146=0,$S146=0),"DOĞRU",IF(AND($V146&gt;PazaryeriEksikHakedisEsik,$U146&gt;PazaryeriEksikHakedisTutarEsik),"EKSİK HAKEDİŞ","DOĞRU"))))</f>
        <v/>
      </c>
      <c r="X146" s="23" t="str">
        <f aca="false">IF($B146="","",CONCATENATE("Ürün: ",$B146," | Kâr: ",TEXT($Q146,"₺ #,##0")," | Durum: ",$W146))</f>
        <v/>
      </c>
      <c r="Y146" s="24"/>
    </row>
    <row r="147" customFormat="false" ht="15" hidden="false" customHeight="false" outlineLevel="0" collapsed="false">
      <c r="A147" s="24"/>
      <c r="B147" s="24"/>
      <c r="C147" s="22"/>
      <c r="D147" s="25"/>
      <c r="E147" s="22"/>
      <c r="F147" s="26"/>
      <c r="G147" s="26"/>
      <c r="H147" s="26"/>
      <c r="I147" s="26"/>
      <c r="J147" s="22"/>
      <c r="K147" s="20" t="n">
        <f aca="false">IF($D147="",0,$C147*$D147)</f>
        <v>0</v>
      </c>
      <c r="L147" s="20" t="n">
        <f aca="false">IF($D147="",0,$F147*$K147)</f>
        <v>0</v>
      </c>
      <c r="M147" s="20" t="n">
        <f aca="false">IF($D147="",0,$G147*$K147)</f>
        <v>0</v>
      </c>
      <c r="N147" s="20" t="n">
        <f aca="false">IF($D147="",0,$H147*$K147)</f>
        <v>0</v>
      </c>
      <c r="O147" s="20" t="n">
        <f aca="false">IF($D147="",0,$I147*$K147*(1-$F147))</f>
        <v>0</v>
      </c>
      <c r="P147" s="20" t="n">
        <f aca="false">IF($D147="",0,$E147*$D147+$L147+$M147+$N147+$O147+$J147*$D147)</f>
        <v>0</v>
      </c>
      <c r="Q147" s="20" t="n">
        <f aca="false">IF($D147="",0,$K147-$P147)</f>
        <v>0</v>
      </c>
      <c r="R147" s="21" t="n">
        <f aca="false">IF($K147=0,0,$Q147/$K147)</f>
        <v>0</v>
      </c>
      <c r="S147" s="20" t="n">
        <f aca="false">IF($D147="",0,$K147-$L147-$M147-$N147)</f>
        <v>0</v>
      </c>
      <c r="T147" s="22"/>
      <c r="U147" s="20" t="n">
        <f aca="false">IF($T147="",0,MAX(0,$S147-$T147))</f>
        <v>0</v>
      </c>
      <c r="V147" s="21" t="n">
        <f aca="false">IF($S147=0,0,$U147/$S147)</f>
        <v>0</v>
      </c>
      <c r="W147" s="23" t="str">
        <f aca="false">IF($D147="","",IF($T147="","BEKLİYOR",IF(OR($U147=0,$S147=0),"DOĞRU",IF(AND($V147&gt;PazaryeriEksikHakedisEsik,$U147&gt;PazaryeriEksikHakedisTutarEsik),"EKSİK HAKEDİŞ","DOĞRU"))))</f>
        <v/>
      </c>
      <c r="X147" s="23" t="str">
        <f aca="false">IF($B147="","",CONCATENATE("Ürün: ",$B147," | Kâr: ",TEXT($Q147,"₺ #,##0")," | Durum: ",$W147))</f>
        <v/>
      </c>
      <c r="Y147" s="24"/>
    </row>
    <row r="148" customFormat="false" ht="15" hidden="false" customHeight="false" outlineLevel="0" collapsed="false">
      <c r="A148" s="24"/>
      <c r="B148" s="24"/>
      <c r="C148" s="22"/>
      <c r="D148" s="25"/>
      <c r="E148" s="22"/>
      <c r="F148" s="26"/>
      <c r="G148" s="26"/>
      <c r="H148" s="26"/>
      <c r="I148" s="26"/>
      <c r="J148" s="22"/>
      <c r="K148" s="20" t="n">
        <f aca="false">IF($D148="",0,$C148*$D148)</f>
        <v>0</v>
      </c>
      <c r="L148" s="20" t="n">
        <f aca="false">IF($D148="",0,$F148*$K148)</f>
        <v>0</v>
      </c>
      <c r="M148" s="20" t="n">
        <f aca="false">IF($D148="",0,$G148*$K148)</f>
        <v>0</v>
      </c>
      <c r="N148" s="20" t="n">
        <f aca="false">IF($D148="",0,$H148*$K148)</f>
        <v>0</v>
      </c>
      <c r="O148" s="20" t="n">
        <f aca="false">IF($D148="",0,$I148*$K148*(1-$F148))</f>
        <v>0</v>
      </c>
      <c r="P148" s="20" t="n">
        <f aca="false">IF($D148="",0,$E148*$D148+$L148+$M148+$N148+$O148+$J148*$D148)</f>
        <v>0</v>
      </c>
      <c r="Q148" s="20" t="n">
        <f aca="false">IF($D148="",0,$K148-$P148)</f>
        <v>0</v>
      </c>
      <c r="R148" s="21" t="n">
        <f aca="false">IF($K148=0,0,$Q148/$K148)</f>
        <v>0</v>
      </c>
      <c r="S148" s="20" t="n">
        <f aca="false">IF($D148="",0,$K148-$L148-$M148-$N148)</f>
        <v>0</v>
      </c>
      <c r="T148" s="22"/>
      <c r="U148" s="20" t="n">
        <f aca="false">IF($T148="",0,MAX(0,$S148-$T148))</f>
        <v>0</v>
      </c>
      <c r="V148" s="21" t="n">
        <f aca="false">IF($S148=0,0,$U148/$S148)</f>
        <v>0</v>
      </c>
      <c r="W148" s="23" t="str">
        <f aca="false">IF($D148="","",IF($T148="","BEKLİYOR",IF(OR($U148=0,$S148=0),"DOĞRU",IF(AND($V148&gt;PazaryeriEksikHakedisEsik,$U148&gt;PazaryeriEksikHakedisTutarEsik),"EKSİK HAKEDİŞ","DOĞRU"))))</f>
        <v/>
      </c>
      <c r="X148" s="23" t="str">
        <f aca="false">IF($B148="","",CONCATENATE("Ürün: ",$B148," | Kâr: ",TEXT($Q148,"₺ #,##0")," | Durum: ",$W148))</f>
        <v/>
      </c>
      <c r="Y148" s="24"/>
    </row>
    <row r="149" customFormat="false" ht="15" hidden="false" customHeight="false" outlineLevel="0" collapsed="false">
      <c r="A149" s="24"/>
      <c r="B149" s="24"/>
      <c r="C149" s="22"/>
      <c r="D149" s="25"/>
      <c r="E149" s="22"/>
      <c r="F149" s="26"/>
      <c r="G149" s="26"/>
      <c r="H149" s="26"/>
      <c r="I149" s="26"/>
      <c r="J149" s="22"/>
      <c r="K149" s="20" t="n">
        <f aca="false">IF($D149="",0,$C149*$D149)</f>
        <v>0</v>
      </c>
      <c r="L149" s="20" t="n">
        <f aca="false">IF($D149="",0,$F149*$K149)</f>
        <v>0</v>
      </c>
      <c r="M149" s="20" t="n">
        <f aca="false">IF($D149="",0,$G149*$K149)</f>
        <v>0</v>
      </c>
      <c r="N149" s="20" t="n">
        <f aca="false">IF($D149="",0,$H149*$K149)</f>
        <v>0</v>
      </c>
      <c r="O149" s="20" t="n">
        <f aca="false">IF($D149="",0,$I149*$K149*(1-$F149))</f>
        <v>0</v>
      </c>
      <c r="P149" s="20" t="n">
        <f aca="false">IF($D149="",0,$E149*$D149+$L149+$M149+$N149+$O149+$J149*$D149)</f>
        <v>0</v>
      </c>
      <c r="Q149" s="20" t="n">
        <f aca="false">IF($D149="",0,$K149-$P149)</f>
        <v>0</v>
      </c>
      <c r="R149" s="21" t="n">
        <f aca="false">IF($K149=0,0,$Q149/$K149)</f>
        <v>0</v>
      </c>
      <c r="S149" s="20" t="n">
        <f aca="false">IF($D149="",0,$K149-$L149-$M149-$N149)</f>
        <v>0</v>
      </c>
      <c r="T149" s="22"/>
      <c r="U149" s="20" t="n">
        <f aca="false">IF($T149="",0,MAX(0,$S149-$T149))</f>
        <v>0</v>
      </c>
      <c r="V149" s="21" t="n">
        <f aca="false">IF($S149=0,0,$U149/$S149)</f>
        <v>0</v>
      </c>
      <c r="W149" s="23" t="str">
        <f aca="false">IF($D149="","",IF($T149="","BEKLİYOR",IF(OR($U149=0,$S149=0),"DOĞRU",IF(AND($V149&gt;PazaryeriEksikHakedisEsik,$U149&gt;PazaryeriEksikHakedisTutarEsik),"EKSİK HAKEDİŞ","DOĞRU"))))</f>
        <v/>
      </c>
      <c r="X149" s="23" t="str">
        <f aca="false">IF($B149="","",CONCATENATE("Ürün: ",$B149," | Kâr: ",TEXT($Q149,"₺ #,##0")," | Durum: ",$W149))</f>
        <v/>
      </c>
      <c r="Y149" s="24"/>
    </row>
    <row r="150" customFormat="false" ht="15" hidden="false" customHeight="false" outlineLevel="0" collapsed="false">
      <c r="A150" s="24"/>
      <c r="B150" s="24"/>
      <c r="C150" s="22"/>
      <c r="D150" s="25"/>
      <c r="E150" s="22"/>
      <c r="F150" s="26"/>
      <c r="G150" s="26"/>
      <c r="H150" s="26"/>
      <c r="I150" s="26"/>
      <c r="J150" s="22"/>
      <c r="K150" s="20" t="n">
        <f aca="false">IF($D150="",0,$C150*$D150)</f>
        <v>0</v>
      </c>
      <c r="L150" s="20" t="n">
        <f aca="false">IF($D150="",0,$F150*$K150)</f>
        <v>0</v>
      </c>
      <c r="M150" s="20" t="n">
        <f aca="false">IF($D150="",0,$G150*$K150)</f>
        <v>0</v>
      </c>
      <c r="N150" s="20" t="n">
        <f aca="false">IF($D150="",0,$H150*$K150)</f>
        <v>0</v>
      </c>
      <c r="O150" s="20" t="n">
        <f aca="false">IF($D150="",0,$I150*$K150*(1-$F150))</f>
        <v>0</v>
      </c>
      <c r="P150" s="20" t="n">
        <f aca="false">IF($D150="",0,$E150*$D150+$L150+$M150+$N150+$O150+$J150*$D150)</f>
        <v>0</v>
      </c>
      <c r="Q150" s="20" t="n">
        <f aca="false">IF($D150="",0,$K150-$P150)</f>
        <v>0</v>
      </c>
      <c r="R150" s="21" t="n">
        <f aca="false">IF($K150=0,0,$Q150/$K150)</f>
        <v>0</v>
      </c>
      <c r="S150" s="20" t="n">
        <f aca="false">IF($D150="",0,$K150-$L150-$M150-$N150)</f>
        <v>0</v>
      </c>
      <c r="T150" s="22"/>
      <c r="U150" s="20" t="n">
        <f aca="false">IF($T150="",0,MAX(0,$S150-$T150))</f>
        <v>0</v>
      </c>
      <c r="V150" s="21" t="n">
        <f aca="false">IF($S150=0,0,$U150/$S150)</f>
        <v>0</v>
      </c>
      <c r="W150" s="23" t="str">
        <f aca="false">IF($D150="","",IF($T150="","BEKLİYOR",IF(OR($U150=0,$S150=0),"DOĞRU",IF(AND($V150&gt;PazaryeriEksikHakedisEsik,$U150&gt;PazaryeriEksikHakedisTutarEsik),"EKSİK HAKEDİŞ","DOĞRU"))))</f>
        <v/>
      </c>
      <c r="X150" s="23" t="str">
        <f aca="false">IF($B150="","",CONCATENATE("Ürün: ",$B150," | Kâr: ",TEXT($Q150,"₺ #,##0")," | Durum: ",$W150))</f>
        <v/>
      </c>
      <c r="Y150" s="24"/>
    </row>
    <row r="151" customFormat="false" ht="15" hidden="false" customHeight="false" outlineLevel="0" collapsed="false">
      <c r="A151" s="24"/>
      <c r="B151" s="24"/>
      <c r="C151" s="22"/>
      <c r="D151" s="25"/>
      <c r="E151" s="22"/>
      <c r="F151" s="26"/>
      <c r="G151" s="26"/>
      <c r="H151" s="26"/>
      <c r="I151" s="26"/>
      <c r="J151" s="22"/>
      <c r="K151" s="20" t="n">
        <f aca="false">IF($D151="",0,$C151*$D151)</f>
        <v>0</v>
      </c>
      <c r="L151" s="20" t="n">
        <f aca="false">IF($D151="",0,$F151*$K151)</f>
        <v>0</v>
      </c>
      <c r="M151" s="20" t="n">
        <f aca="false">IF($D151="",0,$G151*$K151)</f>
        <v>0</v>
      </c>
      <c r="N151" s="20" t="n">
        <f aca="false">IF($D151="",0,$H151*$K151)</f>
        <v>0</v>
      </c>
      <c r="O151" s="20" t="n">
        <f aca="false">IF($D151="",0,$I151*$K151*(1-$F151))</f>
        <v>0</v>
      </c>
      <c r="P151" s="20" t="n">
        <f aca="false">IF($D151="",0,$E151*$D151+$L151+$M151+$N151+$O151+$J151*$D151)</f>
        <v>0</v>
      </c>
      <c r="Q151" s="20" t="n">
        <f aca="false">IF($D151="",0,$K151-$P151)</f>
        <v>0</v>
      </c>
      <c r="R151" s="21" t="n">
        <f aca="false">IF($K151=0,0,$Q151/$K151)</f>
        <v>0</v>
      </c>
      <c r="S151" s="20" t="n">
        <f aca="false">IF($D151="",0,$K151-$L151-$M151-$N151)</f>
        <v>0</v>
      </c>
      <c r="T151" s="22"/>
      <c r="U151" s="20" t="n">
        <f aca="false">IF($T151="",0,MAX(0,$S151-$T151))</f>
        <v>0</v>
      </c>
      <c r="V151" s="21" t="n">
        <f aca="false">IF($S151=0,0,$U151/$S151)</f>
        <v>0</v>
      </c>
      <c r="W151" s="23" t="str">
        <f aca="false">IF($D151="","",IF($T151="","BEKLİYOR",IF(OR($U151=0,$S151=0),"DOĞRU",IF(AND($V151&gt;PazaryeriEksikHakedisEsik,$U151&gt;PazaryeriEksikHakedisTutarEsik),"EKSİK HAKEDİŞ","DOĞRU"))))</f>
        <v/>
      </c>
      <c r="X151" s="23" t="str">
        <f aca="false">IF($B151="","",CONCATENATE("Ürün: ",$B151," | Kâr: ",TEXT($Q151,"₺ #,##0")," | Durum: ",$W151))</f>
        <v/>
      </c>
      <c r="Y151" s="24"/>
    </row>
    <row r="152" customFormat="false" ht="15" hidden="false" customHeight="false" outlineLevel="0" collapsed="false">
      <c r="A152" s="24"/>
      <c r="B152" s="24"/>
      <c r="C152" s="22"/>
      <c r="D152" s="25"/>
      <c r="E152" s="22"/>
      <c r="F152" s="26"/>
      <c r="G152" s="26"/>
      <c r="H152" s="26"/>
      <c r="I152" s="26"/>
      <c r="J152" s="22"/>
      <c r="K152" s="20" t="n">
        <f aca="false">IF($D152="",0,$C152*$D152)</f>
        <v>0</v>
      </c>
      <c r="L152" s="20" t="n">
        <f aca="false">IF($D152="",0,$F152*$K152)</f>
        <v>0</v>
      </c>
      <c r="M152" s="20" t="n">
        <f aca="false">IF($D152="",0,$G152*$K152)</f>
        <v>0</v>
      </c>
      <c r="N152" s="20" t="n">
        <f aca="false">IF($D152="",0,$H152*$K152)</f>
        <v>0</v>
      </c>
      <c r="O152" s="20" t="n">
        <f aca="false">IF($D152="",0,$I152*$K152*(1-$F152))</f>
        <v>0</v>
      </c>
      <c r="P152" s="20" t="n">
        <f aca="false">IF($D152="",0,$E152*$D152+$L152+$M152+$N152+$O152+$J152*$D152)</f>
        <v>0</v>
      </c>
      <c r="Q152" s="20" t="n">
        <f aca="false">IF($D152="",0,$K152-$P152)</f>
        <v>0</v>
      </c>
      <c r="R152" s="21" t="n">
        <f aca="false">IF($K152=0,0,$Q152/$K152)</f>
        <v>0</v>
      </c>
      <c r="S152" s="20" t="n">
        <f aca="false">IF($D152="",0,$K152-$L152-$M152-$N152)</f>
        <v>0</v>
      </c>
      <c r="T152" s="22"/>
      <c r="U152" s="20" t="n">
        <f aca="false">IF($T152="",0,MAX(0,$S152-$T152))</f>
        <v>0</v>
      </c>
      <c r="V152" s="21" t="n">
        <f aca="false">IF($S152=0,0,$U152/$S152)</f>
        <v>0</v>
      </c>
      <c r="W152" s="23" t="str">
        <f aca="false">IF($D152="","",IF($T152="","BEKLİYOR",IF(OR($U152=0,$S152=0),"DOĞRU",IF(AND($V152&gt;PazaryeriEksikHakedisEsik,$U152&gt;PazaryeriEksikHakedisTutarEsik),"EKSİK HAKEDİŞ","DOĞRU"))))</f>
        <v/>
      </c>
      <c r="X152" s="23" t="str">
        <f aca="false">IF($B152="","",CONCATENATE("Ürün: ",$B152," | Kâr: ",TEXT($Q152,"₺ #,##0")," | Durum: ",$W152))</f>
        <v/>
      </c>
      <c r="Y152" s="24"/>
    </row>
    <row r="153" customFormat="false" ht="15" hidden="false" customHeight="false" outlineLevel="0" collapsed="false">
      <c r="A153" s="24"/>
      <c r="B153" s="24"/>
      <c r="C153" s="22"/>
      <c r="D153" s="25"/>
      <c r="E153" s="22"/>
      <c r="F153" s="26"/>
      <c r="G153" s="26"/>
      <c r="H153" s="26"/>
      <c r="I153" s="26"/>
      <c r="J153" s="22"/>
      <c r="K153" s="20" t="n">
        <f aca="false">IF($D153="",0,$C153*$D153)</f>
        <v>0</v>
      </c>
      <c r="L153" s="20" t="n">
        <f aca="false">IF($D153="",0,$F153*$K153)</f>
        <v>0</v>
      </c>
      <c r="M153" s="20" t="n">
        <f aca="false">IF($D153="",0,$G153*$K153)</f>
        <v>0</v>
      </c>
      <c r="N153" s="20" t="n">
        <f aca="false">IF($D153="",0,$H153*$K153)</f>
        <v>0</v>
      </c>
      <c r="O153" s="20" t="n">
        <f aca="false">IF($D153="",0,$I153*$K153*(1-$F153))</f>
        <v>0</v>
      </c>
      <c r="P153" s="20" t="n">
        <f aca="false">IF($D153="",0,$E153*$D153+$L153+$M153+$N153+$O153+$J153*$D153)</f>
        <v>0</v>
      </c>
      <c r="Q153" s="20" t="n">
        <f aca="false">IF($D153="",0,$K153-$P153)</f>
        <v>0</v>
      </c>
      <c r="R153" s="21" t="n">
        <f aca="false">IF($K153=0,0,$Q153/$K153)</f>
        <v>0</v>
      </c>
      <c r="S153" s="20" t="n">
        <f aca="false">IF($D153="",0,$K153-$L153-$M153-$N153)</f>
        <v>0</v>
      </c>
      <c r="T153" s="22"/>
      <c r="U153" s="20" t="n">
        <f aca="false">IF($T153="",0,MAX(0,$S153-$T153))</f>
        <v>0</v>
      </c>
      <c r="V153" s="21" t="n">
        <f aca="false">IF($S153=0,0,$U153/$S153)</f>
        <v>0</v>
      </c>
      <c r="W153" s="23" t="str">
        <f aca="false">IF($D153="","",IF($T153="","BEKLİYOR",IF(OR($U153=0,$S153=0),"DOĞRU",IF(AND($V153&gt;PazaryeriEksikHakedisEsik,$U153&gt;PazaryeriEksikHakedisTutarEsik),"EKSİK HAKEDİŞ","DOĞRU"))))</f>
        <v/>
      </c>
      <c r="X153" s="23" t="str">
        <f aca="false">IF($B153="","",CONCATENATE("Ürün: ",$B153," | Kâr: ",TEXT($Q153,"₺ #,##0")," | Durum: ",$W153))</f>
        <v/>
      </c>
      <c r="Y153" s="24"/>
    </row>
    <row r="154" customFormat="false" ht="15" hidden="false" customHeight="false" outlineLevel="0" collapsed="false">
      <c r="A154" s="24"/>
      <c r="B154" s="24"/>
      <c r="C154" s="22"/>
      <c r="D154" s="25"/>
      <c r="E154" s="22"/>
      <c r="F154" s="26"/>
      <c r="G154" s="26"/>
      <c r="H154" s="26"/>
      <c r="I154" s="26"/>
      <c r="J154" s="22"/>
      <c r="K154" s="20" t="n">
        <f aca="false">IF($D154="",0,$C154*$D154)</f>
        <v>0</v>
      </c>
      <c r="L154" s="20" t="n">
        <f aca="false">IF($D154="",0,$F154*$K154)</f>
        <v>0</v>
      </c>
      <c r="M154" s="20" t="n">
        <f aca="false">IF($D154="",0,$G154*$K154)</f>
        <v>0</v>
      </c>
      <c r="N154" s="20" t="n">
        <f aca="false">IF($D154="",0,$H154*$K154)</f>
        <v>0</v>
      </c>
      <c r="O154" s="20" t="n">
        <f aca="false">IF($D154="",0,$I154*$K154*(1-$F154))</f>
        <v>0</v>
      </c>
      <c r="P154" s="20" t="n">
        <f aca="false">IF($D154="",0,$E154*$D154+$L154+$M154+$N154+$O154+$J154*$D154)</f>
        <v>0</v>
      </c>
      <c r="Q154" s="20" t="n">
        <f aca="false">IF($D154="",0,$K154-$P154)</f>
        <v>0</v>
      </c>
      <c r="R154" s="21" t="n">
        <f aca="false">IF($K154=0,0,$Q154/$K154)</f>
        <v>0</v>
      </c>
      <c r="S154" s="20" t="n">
        <f aca="false">IF($D154="",0,$K154-$L154-$M154-$N154)</f>
        <v>0</v>
      </c>
      <c r="T154" s="22"/>
      <c r="U154" s="20" t="n">
        <f aca="false">IF($T154="",0,MAX(0,$S154-$T154))</f>
        <v>0</v>
      </c>
      <c r="V154" s="21" t="n">
        <f aca="false">IF($S154=0,0,$U154/$S154)</f>
        <v>0</v>
      </c>
      <c r="W154" s="23" t="str">
        <f aca="false">IF($D154="","",IF($T154="","BEKLİYOR",IF(OR($U154=0,$S154=0),"DOĞRU",IF(AND($V154&gt;PazaryeriEksikHakedisEsik,$U154&gt;PazaryeriEksikHakedisTutarEsik),"EKSİK HAKEDİŞ","DOĞRU"))))</f>
        <v/>
      </c>
      <c r="X154" s="23" t="str">
        <f aca="false">IF($B154="","",CONCATENATE("Ürün: ",$B154," | Kâr: ",TEXT($Q154,"₺ #,##0")," | Durum: ",$W154))</f>
        <v/>
      </c>
      <c r="Y154" s="24"/>
    </row>
    <row r="155" customFormat="false" ht="15" hidden="false" customHeight="false" outlineLevel="0" collapsed="false">
      <c r="A155" s="24"/>
      <c r="B155" s="24"/>
      <c r="C155" s="22"/>
      <c r="D155" s="25"/>
      <c r="E155" s="22"/>
      <c r="F155" s="26"/>
      <c r="G155" s="26"/>
      <c r="H155" s="26"/>
      <c r="I155" s="26"/>
      <c r="J155" s="22"/>
      <c r="K155" s="20" t="n">
        <f aca="false">IF($D155="",0,$C155*$D155)</f>
        <v>0</v>
      </c>
      <c r="L155" s="20" t="n">
        <f aca="false">IF($D155="",0,$F155*$K155)</f>
        <v>0</v>
      </c>
      <c r="M155" s="20" t="n">
        <f aca="false">IF($D155="",0,$G155*$K155)</f>
        <v>0</v>
      </c>
      <c r="N155" s="20" t="n">
        <f aca="false">IF($D155="",0,$H155*$K155)</f>
        <v>0</v>
      </c>
      <c r="O155" s="20" t="n">
        <f aca="false">IF($D155="",0,$I155*$K155*(1-$F155))</f>
        <v>0</v>
      </c>
      <c r="P155" s="20" t="n">
        <f aca="false">IF($D155="",0,$E155*$D155+$L155+$M155+$N155+$O155+$J155*$D155)</f>
        <v>0</v>
      </c>
      <c r="Q155" s="20" t="n">
        <f aca="false">IF($D155="",0,$K155-$P155)</f>
        <v>0</v>
      </c>
      <c r="R155" s="21" t="n">
        <f aca="false">IF($K155=0,0,$Q155/$K155)</f>
        <v>0</v>
      </c>
      <c r="S155" s="20" t="n">
        <f aca="false">IF($D155="",0,$K155-$L155-$M155-$N155)</f>
        <v>0</v>
      </c>
      <c r="T155" s="22"/>
      <c r="U155" s="20" t="n">
        <f aca="false">IF($T155="",0,MAX(0,$S155-$T155))</f>
        <v>0</v>
      </c>
      <c r="V155" s="21" t="n">
        <f aca="false">IF($S155=0,0,$U155/$S155)</f>
        <v>0</v>
      </c>
      <c r="W155" s="23" t="str">
        <f aca="false">IF($D155="","",IF($T155="","BEKLİYOR",IF(OR($U155=0,$S155=0),"DOĞRU",IF(AND($V155&gt;PazaryeriEksikHakedisEsik,$U155&gt;PazaryeriEksikHakedisTutarEsik),"EKSİK HAKEDİŞ","DOĞRU"))))</f>
        <v/>
      </c>
      <c r="X155" s="23" t="str">
        <f aca="false">IF($B155="","",CONCATENATE("Ürün: ",$B155," | Kâr: ",TEXT($Q155,"₺ #,##0")," | Durum: ",$W155))</f>
        <v/>
      </c>
      <c r="Y155" s="24"/>
    </row>
    <row r="156" customFormat="false" ht="15" hidden="false" customHeight="false" outlineLevel="0" collapsed="false">
      <c r="A156" s="24"/>
      <c r="B156" s="24"/>
      <c r="C156" s="22"/>
      <c r="D156" s="25"/>
      <c r="E156" s="22"/>
      <c r="F156" s="26"/>
      <c r="G156" s="26"/>
      <c r="H156" s="26"/>
      <c r="I156" s="26"/>
      <c r="J156" s="22"/>
      <c r="K156" s="20" t="n">
        <f aca="false">IF($D156="",0,$C156*$D156)</f>
        <v>0</v>
      </c>
      <c r="L156" s="20" t="n">
        <f aca="false">IF($D156="",0,$F156*$K156)</f>
        <v>0</v>
      </c>
      <c r="M156" s="20" t="n">
        <f aca="false">IF($D156="",0,$G156*$K156)</f>
        <v>0</v>
      </c>
      <c r="N156" s="20" t="n">
        <f aca="false">IF($D156="",0,$H156*$K156)</f>
        <v>0</v>
      </c>
      <c r="O156" s="20" t="n">
        <f aca="false">IF($D156="",0,$I156*$K156*(1-$F156))</f>
        <v>0</v>
      </c>
      <c r="P156" s="20" t="n">
        <f aca="false">IF($D156="",0,$E156*$D156+$L156+$M156+$N156+$O156+$J156*$D156)</f>
        <v>0</v>
      </c>
      <c r="Q156" s="20" t="n">
        <f aca="false">IF($D156="",0,$K156-$P156)</f>
        <v>0</v>
      </c>
      <c r="R156" s="21" t="n">
        <f aca="false">IF($K156=0,0,$Q156/$K156)</f>
        <v>0</v>
      </c>
      <c r="S156" s="20" t="n">
        <f aca="false">IF($D156="",0,$K156-$L156-$M156-$N156)</f>
        <v>0</v>
      </c>
      <c r="T156" s="22"/>
      <c r="U156" s="20" t="n">
        <f aca="false">IF($T156="",0,MAX(0,$S156-$T156))</f>
        <v>0</v>
      </c>
      <c r="V156" s="21" t="n">
        <f aca="false">IF($S156=0,0,$U156/$S156)</f>
        <v>0</v>
      </c>
      <c r="W156" s="23" t="str">
        <f aca="false">IF($D156="","",IF($T156="","BEKLİYOR",IF(OR($U156=0,$S156=0),"DOĞRU",IF(AND($V156&gt;PazaryeriEksikHakedisEsik,$U156&gt;PazaryeriEksikHakedisTutarEsik),"EKSİK HAKEDİŞ","DOĞRU"))))</f>
        <v/>
      </c>
      <c r="X156" s="23" t="str">
        <f aca="false">IF($B156="","",CONCATENATE("Ürün: ",$B156," | Kâr: ",TEXT($Q156,"₺ #,##0")," | Durum: ",$W156))</f>
        <v/>
      </c>
      <c r="Y156" s="24"/>
    </row>
    <row r="157" customFormat="false" ht="15" hidden="false" customHeight="false" outlineLevel="0" collapsed="false">
      <c r="A157" s="24"/>
      <c r="B157" s="24"/>
      <c r="C157" s="22"/>
      <c r="D157" s="25"/>
      <c r="E157" s="22"/>
      <c r="F157" s="26"/>
      <c r="G157" s="26"/>
      <c r="H157" s="26"/>
      <c r="I157" s="26"/>
      <c r="J157" s="22"/>
      <c r="K157" s="20" t="n">
        <f aca="false">IF($D157="",0,$C157*$D157)</f>
        <v>0</v>
      </c>
      <c r="L157" s="20" t="n">
        <f aca="false">IF($D157="",0,$F157*$K157)</f>
        <v>0</v>
      </c>
      <c r="M157" s="20" t="n">
        <f aca="false">IF($D157="",0,$G157*$K157)</f>
        <v>0</v>
      </c>
      <c r="N157" s="20" t="n">
        <f aca="false">IF($D157="",0,$H157*$K157)</f>
        <v>0</v>
      </c>
      <c r="O157" s="20" t="n">
        <f aca="false">IF($D157="",0,$I157*$K157*(1-$F157))</f>
        <v>0</v>
      </c>
      <c r="P157" s="20" t="n">
        <f aca="false">IF($D157="",0,$E157*$D157+$L157+$M157+$N157+$O157+$J157*$D157)</f>
        <v>0</v>
      </c>
      <c r="Q157" s="20" t="n">
        <f aca="false">IF($D157="",0,$K157-$P157)</f>
        <v>0</v>
      </c>
      <c r="R157" s="21" t="n">
        <f aca="false">IF($K157=0,0,$Q157/$K157)</f>
        <v>0</v>
      </c>
      <c r="S157" s="20" t="n">
        <f aca="false">IF($D157="",0,$K157-$L157-$M157-$N157)</f>
        <v>0</v>
      </c>
      <c r="T157" s="22"/>
      <c r="U157" s="20" t="n">
        <f aca="false">IF($T157="",0,MAX(0,$S157-$T157))</f>
        <v>0</v>
      </c>
      <c r="V157" s="21" t="n">
        <f aca="false">IF($S157=0,0,$U157/$S157)</f>
        <v>0</v>
      </c>
      <c r="W157" s="23" t="str">
        <f aca="false">IF($D157="","",IF($T157="","BEKLİYOR",IF(OR($U157=0,$S157=0),"DOĞRU",IF(AND($V157&gt;PazaryeriEksikHakedisEsik,$U157&gt;PazaryeriEksikHakedisTutarEsik),"EKSİK HAKEDİŞ","DOĞRU"))))</f>
        <v/>
      </c>
      <c r="X157" s="23" t="str">
        <f aca="false">IF($B157="","",CONCATENATE("Ürün: ",$B157," | Kâr: ",TEXT($Q157,"₺ #,##0")," | Durum: ",$W157))</f>
        <v/>
      </c>
      <c r="Y157" s="24"/>
    </row>
    <row r="158" customFormat="false" ht="15" hidden="false" customHeight="false" outlineLevel="0" collapsed="false">
      <c r="A158" s="24"/>
      <c r="B158" s="24"/>
      <c r="C158" s="22"/>
      <c r="D158" s="25"/>
      <c r="E158" s="22"/>
      <c r="F158" s="26"/>
      <c r="G158" s="26"/>
      <c r="H158" s="26"/>
      <c r="I158" s="26"/>
      <c r="J158" s="22"/>
      <c r="K158" s="20" t="n">
        <f aca="false">IF($D158="",0,$C158*$D158)</f>
        <v>0</v>
      </c>
      <c r="L158" s="20" t="n">
        <f aca="false">IF($D158="",0,$F158*$K158)</f>
        <v>0</v>
      </c>
      <c r="M158" s="20" t="n">
        <f aca="false">IF($D158="",0,$G158*$K158)</f>
        <v>0</v>
      </c>
      <c r="N158" s="20" t="n">
        <f aca="false">IF($D158="",0,$H158*$K158)</f>
        <v>0</v>
      </c>
      <c r="O158" s="20" t="n">
        <f aca="false">IF($D158="",0,$I158*$K158*(1-$F158))</f>
        <v>0</v>
      </c>
      <c r="P158" s="20" t="n">
        <f aca="false">IF($D158="",0,$E158*$D158+$L158+$M158+$N158+$O158+$J158*$D158)</f>
        <v>0</v>
      </c>
      <c r="Q158" s="20" t="n">
        <f aca="false">IF($D158="",0,$K158-$P158)</f>
        <v>0</v>
      </c>
      <c r="R158" s="21" t="n">
        <f aca="false">IF($K158=0,0,$Q158/$K158)</f>
        <v>0</v>
      </c>
      <c r="S158" s="20" t="n">
        <f aca="false">IF($D158="",0,$K158-$L158-$M158-$N158)</f>
        <v>0</v>
      </c>
      <c r="T158" s="22"/>
      <c r="U158" s="20" t="n">
        <f aca="false">IF($T158="",0,MAX(0,$S158-$T158))</f>
        <v>0</v>
      </c>
      <c r="V158" s="21" t="n">
        <f aca="false">IF($S158=0,0,$U158/$S158)</f>
        <v>0</v>
      </c>
      <c r="W158" s="23" t="str">
        <f aca="false">IF($D158="","",IF($T158="","BEKLİYOR",IF(OR($U158=0,$S158=0),"DOĞRU",IF(AND($V158&gt;PazaryeriEksikHakedisEsik,$U158&gt;PazaryeriEksikHakedisTutarEsik),"EKSİK HAKEDİŞ","DOĞRU"))))</f>
        <v/>
      </c>
      <c r="X158" s="23" t="str">
        <f aca="false">IF($B158="","",CONCATENATE("Ürün: ",$B158," | Kâr: ",TEXT($Q158,"₺ #,##0")," | Durum: ",$W158))</f>
        <v/>
      </c>
      <c r="Y158" s="24"/>
    </row>
    <row r="159" customFormat="false" ht="15" hidden="false" customHeight="false" outlineLevel="0" collapsed="false">
      <c r="A159" s="24"/>
      <c r="B159" s="24"/>
      <c r="C159" s="22"/>
      <c r="D159" s="25"/>
      <c r="E159" s="22"/>
      <c r="F159" s="26"/>
      <c r="G159" s="26"/>
      <c r="H159" s="26"/>
      <c r="I159" s="26"/>
      <c r="J159" s="22"/>
      <c r="K159" s="20" t="n">
        <f aca="false">IF($D159="",0,$C159*$D159)</f>
        <v>0</v>
      </c>
      <c r="L159" s="20" t="n">
        <f aca="false">IF($D159="",0,$F159*$K159)</f>
        <v>0</v>
      </c>
      <c r="M159" s="20" t="n">
        <f aca="false">IF($D159="",0,$G159*$K159)</f>
        <v>0</v>
      </c>
      <c r="N159" s="20" t="n">
        <f aca="false">IF($D159="",0,$H159*$K159)</f>
        <v>0</v>
      </c>
      <c r="O159" s="20" t="n">
        <f aca="false">IF($D159="",0,$I159*$K159*(1-$F159))</f>
        <v>0</v>
      </c>
      <c r="P159" s="20" t="n">
        <f aca="false">IF($D159="",0,$E159*$D159+$L159+$M159+$N159+$O159+$J159*$D159)</f>
        <v>0</v>
      </c>
      <c r="Q159" s="20" t="n">
        <f aca="false">IF($D159="",0,$K159-$P159)</f>
        <v>0</v>
      </c>
      <c r="R159" s="21" t="n">
        <f aca="false">IF($K159=0,0,$Q159/$K159)</f>
        <v>0</v>
      </c>
      <c r="S159" s="20" t="n">
        <f aca="false">IF($D159="",0,$K159-$L159-$M159-$N159)</f>
        <v>0</v>
      </c>
      <c r="T159" s="22"/>
      <c r="U159" s="20" t="n">
        <f aca="false">IF($T159="",0,MAX(0,$S159-$T159))</f>
        <v>0</v>
      </c>
      <c r="V159" s="21" t="n">
        <f aca="false">IF($S159=0,0,$U159/$S159)</f>
        <v>0</v>
      </c>
      <c r="W159" s="23" t="str">
        <f aca="false">IF($D159="","",IF($T159="","BEKLİYOR",IF(OR($U159=0,$S159=0),"DOĞRU",IF(AND($V159&gt;PazaryeriEksikHakedisEsik,$U159&gt;PazaryeriEksikHakedisTutarEsik),"EKSİK HAKEDİŞ","DOĞRU"))))</f>
        <v/>
      </c>
      <c r="X159" s="23" t="str">
        <f aca="false">IF($B159="","",CONCATENATE("Ürün: ",$B159," | Kâr: ",TEXT($Q159,"₺ #,##0")," | Durum: ",$W159))</f>
        <v/>
      </c>
      <c r="Y159" s="24"/>
    </row>
    <row r="160" customFormat="false" ht="15" hidden="false" customHeight="false" outlineLevel="0" collapsed="false">
      <c r="A160" s="24"/>
      <c r="B160" s="24"/>
      <c r="C160" s="22"/>
      <c r="D160" s="25"/>
      <c r="E160" s="22"/>
      <c r="F160" s="26"/>
      <c r="G160" s="26"/>
      <c r="H160" s="26"/>
      <c r="I160" s="26"/>
      <c r="J160" s="22"/>
      <c r="K160" s="20" t="n">
        <f aca="false">IF($D160="",0,$C160*$D160)</f>
        <v>0</v>
      </c>
      <c r="L160" s="20" t="n">
        <f aca="false">IF($D160="",0,$F160*$K160)</f>
        <v>0</v>
      </c>
      <c r="M160" s="20" t="n">
        <f aca="false">IF($D160="",0,$G160*$K160)</f>
        <v>0</v>
      </c>
      <c r="N160" s="20" t="n">
        <f aca="false">IF($D160="",0,$H160*$K160)</f>
        <v>0</v>
      </c>
      <c r="O160" s="20" t="n">
        <f aca="false">IF($D160="",0,$I160*$K160*(1-$F160))</f>
        <v>0</v>
      </c>
      <c r="P160" s="20" t="n">
        <f aca="false">IF($D160="",0,$E160*$D160+$L160+$M160+$N160+$O160+$J160*$D160)</f>
        <v>0</v>
      </c>
      <c r="Q160" s="20" t="n">
        <f aca="false">IF($D160="",0,$K160-$P160)</f>
        <v>0</v>
      </c>
      <c r="R160" s="21" t="n">
        <f aca="false">IF($K160=0,0,$Q160/$K160)</f>
        <v>0</v>
      </c>
      <c r="S160" s="20" t="n">
        <f aca="false">IF($D160="",0,$K160-$L160-$M160-$N160)</f>
        <v>0</v>
      </c>
      <c r="T160" s="22"/>
      <c r="U160" s="20" t="n">
        <f aca="false">IF($T160="",0,MAX(0,$S160-$T160))</f>
        <v>0</v>
      </c>
      <c r="V160" s="21" t="n">
        <f aca="false">IF($S160=0,0,$U160/$S160)</f>
        <v>0</v>
      </c>
      <c r="W160" s="23" t="str">
        <f aca="false">IF($D160="","",IF($T160="","BEKLİYOR",IF(OR($U160=0,$S160=0),"DOĞRU",IF(AND($V160&gt;PazaryeriEksikHakedisEsik,$U160&gt;PazaryeriEksikHakedisTutarEsik),"EKSİK HAKEDİŞ","DOĞRU"))))</f>
        <v/>
      </c>
      <c r="X160" s="23" t="str">
        <f aca="false">IF($B160="","",CONCATENATE("Ürün: ",$B160," | Kâr: ",TEXT($Q160,"₺ #,##0")," | Durum: ",$W160))</f>
        <v/>
      </c>
      <c r="Y160" s="24"/>
    </row>
    <row r="161" customFormat="false" ht="15" hidden="false" customHeight="false" outlineLevel="0" collapsed="false">
      <c r="A161" s="24"/>
      <c r="B161" s="24"/>
      <c r="C161" s="22"/>
      <c r="D161" s="25"/>
      <c r="E161" s="22"/>
      <c r="F161" s="26"/>
      <c r="G161" s="26"/>
      <c r="H161" s="26"/>
      <c r="I161" s="26"/>
      <c r="J161" s="22"/>
      <c r="K161" s="20" t="n">
        <f aca="false">IF($D161="",0,$C161*$D161)</f>
        <v>0</v>
      </c>
      <c r="L161" s="20" t="n">
        <f aca="false">IF($D161="",0,$F161*$K161)</f>
        <v>0</v>
      </c>
      <c r="M161" s="20" t="n">
        <f aca="false">IF($D161="",0,$G161*$K161)</f>
        <v>0</v>
      </c>
      <c r="N161" s="20" t="n">
        <f aca="false">IF($D161="",0,$H161*$K161)</f>
        <v>0</v>
      </c>
      <c r="O161" s="20" t="n">
        <f aca="false">IF($D161="",0,$I161*$K161*(1-$F161))</f>
        <v>0</v>
      </c>
      <c r="P161" s="20" t="n">
        <f aca="false">IF($D161="",0,$E161*$D161+$L161+$M161+$N161+$O161+$J161*$D161)</f>
        <v>0</v>
      </c>
      <c r="Q161" s="20" t="n">
        <f aca="false">IF($D161="",0,$K161-$P161)</f>
        <v>0</v>
      </c>
      <c r="R161" s="21" t="n">
        <f aca="false">IF($K161=0,0,$Q161/$K161)</f>
        <v>0</v>
      </c>
      <c r="S161" s="20" t="n">
        <f aca="false">IF($D161="",0,$K161-$L161-$M161-$N161)</f>
        <v>0</v>
      </c>
      <c r="T161" s="22"/>
      <c r="U161" s="20" t="n">
        <f aca="false">IF($T161="",0,MAX(0,$S161-$T161))</f>
        <v>0</v>
      </c>
      <c r="V161" s="21" t="n">
        <f aca="false">IF($S161=0,0,$U161/$S161)</f>
        <v>0</v>
      </c>
      <c r="W161" s="23" t="str">
        <f aca="false">IF($D161="","",IF($T161="","BEKLİYOR",IF(OR($U161=0,$S161=0),"DOĞRU",IF(AND($V161&gt;PazaryeriEksikHakedisEsik,$U161&gt;PazaryeriEksikHakedisTutarEsik),"EKSİK HAKEDİŞ","DOĞRU"))))</f>
        <v/>
      </c>
      <c r="X161" s="23" t="str">
        <f aca="false">IF($B161="","",CONCATENATE("Ürün: ",$B161," | Kâr: ",TEXT($Q161,"₺ #,##0")," | Durum: ",$W161))</f>
        <v/>
      </c>
      <c r="Y161" s="24"/>
    </row>
    <row r="162" customFormat="false" ht="15" hidden="false" customHeight="false" outlineLevel="0" collapsed="false">
      <c r="A162" s="24"/>
      <c r="B162" s="24"/>
      <c r="C162" s="22"/>
      <c r="D162" s="25"/>
      <c r="E162" s="22"/>
      <c r="F162" s="26"/>
      <c r="G162" s="26"/>
      <c r="H162" s="26"/>
      <c r="I162" s="26"/>
      <c r="J162" s="22"/>
      <c r="K162" s="20" t="n">
        <f aca="false">IF($D162="",0,$C162*$D162)</f>
        <v>0</v>
      </c>
      <c r="L162" s="20" t="n">
        <f aca="false">IF($D162="",0,$F162*$K162)</f>
        <v>0</v>
      </c>
      <c r="M162" s="20" t="n">
        <f aca="false">IF($D162="",0,$G162*$K162)</f>
        <v>0</v>
      </c>
      <c r="N162" s="20" t="n">
        <f aca="false">IF($D162="",0,$H162*$K162)</f>
        <v>0</v>
      </c>
      <c r="O162" s="20" t="n">
        <f aca="false">IF($D162="",0,$I162*$K162*(1-$F162))</f>
        <v>0</v>
      </c>
      <c r="P162" s="20" t="n">
        <f aca="false">IF($D162="",0,$E162*$D162+$L162+$M162+$N162+$O162+$J162*$D162)</f>
        <v>0</v>
      </c>
      <c r="Q162" s="20" t="n">
        <f aca="false">IF($D162="",0,$K162-$P162)</f>
        <v>0</v>
      </c>
      <c r="R162" s="21" t="n">
        <f aca="false">IF($K162=0,0,$Q162/$K162)</f>
        <v>0</v>
      </c>
      <c r="S162" s="20" t="n">
        <f aca="false">IF($D162="",0,$K162-$L162-$M162-$N162)</f>
        <v>0</v>
      </c>
      <c r="T162" s="22"/>
      <c r="U162" s="20" t="n">
        <f aca="false">IF($T162="",0,MAX(0,$S162-$T162))</f>
        <v>0</v>
      </c>
      <c r="V162" s="21" t="n">
        <f aca="false">IF($S162=0,0,$U162/$S162)</f>
        <v>0</v>
      </c>
      <c r="W162" s="23" t="str">
        <f aca="false">IF($D162="","",IF($T162="","BEKLİYOR",IF(OR($U162=0,$S162=0),"DOĞRU",IF(AND($V162&gt;PazaryeriEksikHakedisEsik,$U162&gt;PazaryeriEksikHakedisTutarEsik),"EKSİK HAKEDİŞ","DOĞRU"))))</f>
        <v/>
      </c>
      <c r="X162" s="23" t="str">
        <f aca="false">IF($B162="","",CONCATENATE("Ürün: ",$B162," | Kâr: ",TEXT($Q162,"₺ #,##0")," | Durum: ",$W162))</f>
        <v/>
      </c>
      <c r="Y162" s="24"/>
    </row>
    <row r="163" customFormat="false" ht="15" hidden="false" customHeight="false" outlineLevel="0" collapsed="false">
      <c r="A163" s="24"/>
      <c r="B163" s="24"/>
      <c r="C163" s="22"/>
      <c r="D163" s="25"/>
      <c r="E163" s="22"/>
      <c r="F163" s="26"/>
      <c r="G163" s="26"/>
      <c r="H163" s="26"/>
      <c r="I163" s="26"/>
      <c r="J163" s="22"/>
      <c r="K163" s="20" t="n">
        <f aca="false">IF($D163="",0,$C163*$D163)</f>
        <v>0</v>
      </c>
      <c r="L163" s="20" t="n">
        <f aca="false">IF($D163="",0,$F163*$K163)</f>
        <v>0</v>
      </c>
      <c r="M163" s="20" t="n">
        <f aca="false">IF($D163="",0,$G163*$K163)</f>
        <v>0</v>
      </c>
      <c r="N163" s="20" t="n">
        <f aca="false">IF($D163="",0,$H163*$K163)</f>
        <v>0</v>
      </c>
      <c r="O163" s="20" t="n">
        <f aca="false">IF($D163="",0,$I163*$K163*(1-$F163))</f>
        <v>0</v>
      </c>
      <c r="P163" s="20" t="n">
        <f aca="false">IF($D163="",0,$E163*$D163+$L163+$M163+$N163+$O163+$J163*$D163)</f>
        <v>0</v>
      </c>
      <c r="Q163" s="20" t="n">
        <f aca="false">IF($D163="",0,$K163-$P163)</f>
        <v>0</v>
      </c>
      <c r="R163" s="21" t="n">
        <f aca="false">IF($K163=0,0,$Q163/$K163)</f>
        <v>0</v>
      </c>
      <c r="S163" s="20" t="n">
        <f aca="false">IF($D163="",0,$K163-$L163-$M163-$N163)</f>
        <v>0</v>
      </c>
      <c r="T163" s="22"/>
      <c r="U163" s="20" t="n">
        <f aca="false">IF($T163="",0,MAX(0,$S163-$T163))</f>
        <v>0</v>
      </c>
      <c r="V163" s="21" t="n">
        <f aca="false">IF($S163=0,0,$U163/$S163)</f>
        <v>0</v>
      </c>
      <c r="W163" s="23" t="str">
        <f aca="false">IF($D163="","",IF($T163="","BEKLİYOR",IF(OR($U163=0,$S163=0),"DOĞRU",IF(AND($V163&gt;PazaryeriEksikHakedisEsik,$U163&gt;PazaryeriEksikHakedisTutarEsik),"EKSİK HAKEDİŞ","DOĞRU"))))</f>
        <v/>
      </c>
      <c r="X163" s="23" t="str">
        <f aca="false">IF($B163="","",CONCATENATE("Ürün: ",$B163," | Kâr: ",TEXT($Q163,"₺ #,##0")," | Durum: ",$W163))</f>
        <v/>
      </c>
      <c r="Y163" s="24"/>
    </row>
    <row r="164" customFormat="false" ht="15" hidden="false" customHeight="false" outlineLevel="0" collapsed="false">
      <c r="A164" s="24"/>
      <c r="B164" s="24"/>
      <c r="C164" s="22"/>
      <c r="D164" s="25"/>
      <c r="E164" s="22"/>
      <c r="F164" s="26"/>
      <c r="G164" s="26"/>
      <c r="H164" s="26"/>
      <c r="I164" s="26"/>
      <c r="J164" s="22"/>
      <c r="K164" s="20" t="n">
        <f aca="false">IF($D164="",0,$C164*$D164)</f>
        <v>0</v>
      </c>
      <c r="L164" s="20" t="n">
        <f aca="false">IF($D164="",0,$F164*$K164)</f>
        <v>0</v>
      </c>
      <c r="M164" s="20" t="n">
        <f aca="false">IF($D164="",0,$G164*$K164)</f>
        <v>0</v>
      </c>
      <c r="N164" s="20" t="n">
        <f aca="false">IF($D164="",0,$H164*$K164)</f>
        <v>0</v>
      </c>
      <c r="O164" s="20" t="n">
        <f aca="false">IF($D164="",0,$I164*$K164*(1-$F164))</f>
        <v>0</v>
      </c>
      <c r="P164" s="20" t="n">
        <f aca="false">IF($D164="",0,$E164*$D164+$L164+$M164+$N164+$O164+$J164*$D164)</f>
        <v>0</v>
      </c>
      <c r="Q164" s="20" t="n">
        <f aca="false">IF($D164="",0,$K164-$P164)</f>
        <v>0</v>
      </c>
      <c r="R164" s="21" t="n">
        <f aca="false">IF($K164=0,0,$Q164/$K164)</f>
        <v>0</v>
      </c>
      <c r="S164" s="20" t="n">
        <f aca="false">IF($D164="",0,$K164-$L164-$M164-$N164)</f>
        <v>0</v>
      </c>
      <c r="T164" s="22"/>
      <c r="U164" s="20" t="n">
        <f aca="false">IF($T164="",0,MAX(0,$S164-$T164))</f>
        <v>0</v>
      </c>
      <c r="V164" s="21" t="n">
        <f aca="false">IF($S164=0,0,$U164/$S164)</f>
        <v>0</v>
      </c>
      <c r="W164" s="23" t="str">
        <f aca="false">IF($D164="","",IF($T164="","BEKLİYOR",IF(OR($U164=0,$S164=0),"DOĞRU",IF(AND($V164&gt;PazaryeriEksikHakedisEsik,$U164&gt;PazaryeriEksikHakedisTutarEsik),"EKSİK HAKEDİŞ","DOĞRU"))))</f>
        <v/>
      </c>
      <c r="X164" s="23" t="str">
        <f aca="false">IF($B164="","",CONCATENATE("Ürün: ",$B164," | Kâr: ",TEXT($Q164,"₺ #,##0")," | Durum: ",$W164))</f>
        <v/>
      </c>
      <c r="Y164" s="24"/>
    </row>
    <row r="165" customFormat="false" ht="15" hidden="false" customHeight="false" outlineLevel="0" collapsed="false">
      <c r="A165" s="24"/>
      <c r="B165" s="24"/>
      <c r="C165" s="22"/>
      <c r="D165" s="25"/>
      <c r="E165" s="22"/>
      <c r="F165" s="26"/>
      <c r="G165" s="26"/>
      <c r="H165" s="26"/>
      <c r="I165" s="26"/>
      <c r="J165" s="22"/>
      <c r="K165" s="20" t="n">
        <f aca="false">IF($D165="",0,$C165*$D165)</f>
        <v>0</v>
      </c>
      <c r="L165" s="20" t="n">
        <f aca="false">IF($D165="",0,$F165*$K165)</f>
        <v>0</v>
      </c>
      <c r="M165" s="20" t="n">
        <f aca="false">IF($D165="",0,$G165*$K165)</f>
        <v>0</v>
      </c>
      <c r="N165" s="20" t="n">
        <f aca="false">IF($D165="",0,$H165*$K165)</f>
        <v>0</v>
      </c>
      <c r="O165" s="20" t="n">
        <f aca="false">IF($D165="",0,$I165*$K165*(1-$F165))</f>
        <v>0</v>
      </c>
      <c r="P165" s="20" t="n">
        <f aca="false">IF($D165="",0,$E165*$D165+$L165+$M165+$N165+$O165+$J165*$D165)</f>
        <v>0</v>
      </c>
      <c r="Q165" s="20" t="n">
        <f aca="false">IF($D165="",0,$K165-$P165)</f>
        <v>0</v>
      </c>
      <c r="R165" s="21" t="n">
        <f aca="false">IF($K165=0,0,$Q165/$K165)</f>
        <v>0</v>
      </c>
      <c r="S165" s="20" t="n">
        <f aca="false">IF($D165="",0,$K165-$L165-$M165-$N165)</f>
        <v>0</v>
      </c>
      <c r="T165" s="22"/>
      <c r="U165" s="20" t="n">
        <f aca="false">IF($T165="",0,MAX(0,$S165-$T165))</f>
        <v>0</v>
      </c>
      <c r="V165" s="21" t="n">
        <f aca="false">IF($S165=0,0,$U165/$S165)</f>
        <v>0</v>
      </c>
      <c r="W165" s="23" t="str">
        <f aca="false">IF($D165="","",IF($T165="","BEKLİYOR",IF(OR($U165=0,$S165=0),"DOĞRU",IF(AND($V165&gt;PazaryeriEksikHakedisEsik,$U165&gt;PazaryeriEksikHakedisTutarEsik),"EKSİK HAKEDİŞ","DOĞRU"))))</f>
        <v/>
      </c>
      <c r="X165" s="23" t="str">
        <f aca="false">IF($B165="","",CONCATENATE("Ürün: ",$B165," | Kâr: ",TEXT($Q165,"₺ #,##0")," | Durum: ",$W165))</f>
        <v/>
      </c>
      <c r="Y165" s="24"/>
    </row>
    <row r="166" customFormat="false" ht="15" hidden="false" customHeight="false" outlineLevel="0" collapsed="false">
      <c r="A166" s="24"/>
      <c r="B166" s="24"/>
      <c r="C166" s="22"/>
      <c r="D166" s="25"/>
      <c r="E166" s="22"/>
      <c r="F166" s="26"/>
      <c r="G166" s="26"/>
      <c r="H166" s="26"/>
      <c r="I166" s="26"/>
      <c r="J166" s="22"/>
      <c r="K166" s="20" t="n">
        <f aca="false">IF($D166="",0,$C166*$D166)</f>
        <v>0</v>
      </c>
      <c r="L166" s="20" t="n">
        <f aca="false">IF($D166="",0,$F166*$K166)</f>
        <v>0</v>
      </c>
      <c r="M166" s="20" t="n">
        <f aca="false">IF($D166="",0,$G166*$K166)</f>
        <v>0</v>
      </c>
      <c r="N166" s="20" t="n">
        <f aca="false">IF($D166="",0,$H166*$K166)</f>
        <v>0</v>
      </c>
      <c r="O166" s="20" t="n">
        <f aca="false">IF($D166="",0,$I166*$K166*(1-$F166))</f>
        <v>0</v>
      </c>
      <c r="P166" s="20" t="n">
        <f aca="false">IF($D166="",0,$E166*$D166+$L166+$M166+$N166+$O166+$J166*$D166)</f>
        <v>0</v>
      </c>
      <c r="Q166" s="20" t="n">
        <f aca="false">IF($D166="",0,$K166-$P166)</f>
        <v>0</v>
      </c>
      <c r="R166" s="21" t="n">
        <f aca="false">IF($K166=0,0,$Q166/$K166)</f>
        <v>0</v>
      </c>
      <c r="S166" s="20" t="n">
        <f aca="false">IF($D166="",0,$K166-$L166-$M166-$N166)</f>
        <v>0</v>
      </c>
      <c r="T166" s="22"/>
      <c r="U166" s="20" t="n">
        <f aca="false">IF($T166="",0,MAX(0,$S166-$T166))</f>
        <v>0</v>
      </c>
      <c r="V166" s="21" t="n">
        <f aca="false">IF($S166=0,0,$U166/$S166)</f>
        <v>0</v>
      </c>
      <c r="W166" s="23" t="str">
        <f aca="false">IF($D166="","",IF($T166="","BEKLİYOR",IF(OR($U166=0,$S166=0),"DOĞRU",IF(AND($V166&gt;PazaryeriEksikHakedisEsik,$U166&gt;PazaryeriEksikHakedisTutarEsik),"EKSİK HAKEDİŞ","DOĞRU"))))</f>
        <v/>
      </c>
      <c r="X166" s="23" t="str">
        <f aca="false">IF($B166="","",CONCATENATE("Ürün: ",$B166," | Kâr: ",TEXT($Q166,"₺ #,##0")," | Durum: ",$W166))</f>
        <v/>
      </c>
      <c r="Y166" s="24"/>
    </row>
    <row r="167" customFormat="false" ht="15" hidden="false" customHeight="false" outlineLevel="0" collapsed="false">
      <c r="A167" s="24"/>
      <c r="B167" s="24"/>
      <c r="C167" s="22"/>
      <c r="D167" s="25"/>
      <c r="E167" s="22"/>
      <c r="F167" s="26"/>
      <c r="G167" s="26"/>
      <c r="H167" s="26"/>
      <c r="I167" s="26"/>
      <c r="J167" s="22"/>
      <c r="K167" s="20" t="n">
        <f aca="false">IF($D167="",0,$C167*$D167)</f>
        <v>0</v>
      </c>
      <c r="L167" s="20" t="n">
        <f aca="false">IF($D167="",0,$F167*$K167)</f>
        <v>0</v>
      </c>
      <c r="M167" s="20" t="n">
        <f aca="false">IF($D167="",0,$G167*$K167)</f>
        <v>0</v>
      </c>
      <c r="N167" s="20" t="n">
        <f aca="false">IF($D167="",0,$H167*$K167)</f>
        <v>0</v>
      </c>
      <c r="O167" s="20" t="n">
        <f aca="false">IF($D167="",0,$I167*$K167*(1-$F167))</f>
        <v>0</v>
      </c>
      <c r="P167" s="20" t="n">
        <f aca="false">IF($D167="",0,$E167*$D167+$L167+$M167+$N167+$O167+$J167*$D167)</f>
        <v>0</v>
      </c>
      <c r="Q167" s="20" t="n">
        <f aca="false">IF($D167="",0,$K167-$P167)</f>
        <v>0</v>
      </c>
      <c r="R167" s="21" t="n">
        <f aca="false">IF($K167=0,0,$Q167/$K167)</f>
        <v>0</v>
      </c>
      <c r="S167" s="20" t="n">
        <f aca="false">IF($D167="",0,$K167-$L167-$M167-$N167)</f>
        <v>0</v>
      </c>
      <c r="T167" s="22"/>
      <c r="U167" s="20" t="n">
        <f aca="false">IF($T167="",0,MAX(0,$S167-$T167))</f>
        <v>0</v>
      </c>
      <c r="V167" s="21" t="n">
        <f aca="false">IF($S167=0,0,$U167/$S167)</f>
        <v>0</v>
      </c>
      <c r="W167" s="23" t="str">
        <f aca="false">IF($D167="","",IF($T167="","BEKLİYOR",IF(OR($U167=0,$S167=0),"DOĞRU",IF(AND($V167&gt;PazaryeriEksikHakedisEsik,$U167&gt;PazaryeriEksikHakedisTutarEsik),"EKSİK HAKEDİŞ","DOĞRU"))))</f>
        <v/>
      </c>
      <c r="X167" s="23" t="str">
        <f aca="false">IF($B167="","",CONCATENATE("Ürün: ",$B167," | Kâr: ",TEXT($Q167,"₺ #,##0")," | Durum: ",$W167))</f>
        <v/>
      </c>
      <c r="Y167" s="24"/>
    </row>
    <row r="168" customFormat="false" ht="15" hidden="false" customHeight="false" outlineLevel="0" collapsed="false">
      <c r="A168" s="24"/>
      <c r="B168" s="24"/>
      <c r="C168" s="22"/>
      <c r="D168" s="25"/>
      <c r="E168" s="22"/>
      <c r="F168" s="26"/>
      <c r="G168" s="26"/>
      <c r="H168" s="26"/>
      <c r="I168" s="26"/>
      <c r="J168" s="22"/>
      <c r="K168" s="20" t="n">
        <f aca="false">IF($D168="",0,$C168*$D168)</f>
        <v>0</v>
      </c>
      <c r="L168" s="20" t="n">
        <f aca="false">IF($D168="",0,$F168*$K168)</f>
        <v>0</v>
      </c>
      <c r="M168" s="20" t="n">
        <f aca="false">IF($D168="",0,$G168*$K168)</f>
        <v>0</v>
      </c>
      <c r="N168" s="20" t="n">
        <f aca="false">IF($D168="",0,$H168*$K168)</f>
        <v>0</v>
      </c>
      <c r="O168" s="20" t="n">
        <f aca="false">IF($D168="",0,$I168*$K168*(1-$F168))</f>
        <v>0</v>
      </c>
      <c r="P168" s="20" t="n">
        <f aca="false">IF($D168="",0,$E168*$D168+$L168+$M168+$N168+$O168+$J168*$D168)</f>
        <v>0</v>
      </c>
      <c r="Q168" s="20" t="n">
        <f aca="false">IF($D168="",0,$K168-$P168)</f>
        <v>0</v>
      </c>
      <c r="R168" s="21" t="n">
        <f aca="false">IF($K168=0,0,$Q168/$K168)</f>
        <v>0</v>
      </c>
      <c r="S168" s="20" t="n">
        <f aca="false">IF($D168="",0,$K168-$L168-$M168-$N168)</f>
        <v>0</v>
      </c>
      <c r="T168" s="22"/>
      <c r="U168" s="20" t="n">
        <f aca="false">IF($T168="",0,MAX(0,$S168-$T168))</f>
        <v>0</v>
      </c>
      <c r="V168" s="21" t="n">
        <f aca="false">IF($S168=0,0,$U168/$S168)</f>
        <v>0</v>
      </c>
      <c r="W168" s="23" t="str">
        <f aca="false">IF($D168="","",IF($T168="","BEKLİYOR",IF(OR($U168=0,$S168=0),"DOĞRU",IF(AND($V168&gt;PazaryeriEksikHakedisEsik,$U168&gt;PazaryeriEksikHakedisTutarEsik),"EKSİK HAKEDİŞ","DOĞRU"))))</f>
        <v/>
      </c>
      <c r="X168" s="23" t="str">
        <f aca="false">IF($B168="","",CONCATENATE("Ürün: ",$B168," | Kâr: ",TEXT($Q168,"₺ #,##0")," | Durum: ",$W168))</f>
        <v/>
      </c>
      <c r="Y168" s="24"/>
    </row>
    <row r="169" customFormat="false" ht="15" hidden="false" customHeight="false" outlineLevel="0" collapsed="false">
      <c r="A169" s="24"/>
      <c r="B169" s="24"/>
      <c r="C169" s="22"/>
      <c r="D169" s="25"/>
      <c r="E169" s="22"/>
      <c r="F169" s="26"/>
      <c r="G169" s="26"/>
      <c r="H169" s="26"/>
      <c r="I169" s="26"/>
      <c r="J169" s="22"/>
      <c r="K169" s="20" t="n">
        <f aca="false">IF($D169="",0,$C169*$D169)</f>
        <v>0</v>
      </c>
      <c r="L169" s="20" t="n">
        <f aca="false">IF($D169="",0,$F169*$K169)</f>
        <v>0</v>
      </c>
      <c r="M169" s="20" t="n">
        <f aca="false">IF($D169="",0,$G169*$K169)</f>
        <v>0</v>
      </c>
      <c r="N169" s="20" t="n">
        <f aca="false">IF($D169="",0,$H169*$K169)</f>
        <v>0</v>
      </c>
      <c r="O169" s="20" t="n">
        <f aca="false">IF($D169="",0,$I169*$K169*(1-$F169))</f>
        <v>0</v>
      </c>
      <c r="P169" s="20" t="n">
        <f aca="false">IF($D169="",0,$E169*$D169+$L169+$M169+$N169+$O169+$J169*$D169)</f>
        <v>0</v>
      </c>
      <c r="Q169" s="20" t="n">
        <f aca="false">IF($D169="",0,$K169-$P169)</f>
        <v>0</v>
      </c>
      <c r="R169" s="21" t="n">
        <f aca="false">IF($K169=0,0,$Q169/$K169)</f>
        <v>0</v>
      </c>
      <c r="S169" s="20" t="n">
        <f aca="false">IF($D169="",0,$K169-$L169-$M169-$N169)</f>
        <v>0</v>
      </c>
      <c r="T169" s="22"/>
      <c r="U169" s="20" t="n">
        <f aca="false">IF($T169="",0,MAX(0,$S169-$T169))</f>
        <v>0</v>
      </c>
      <c r="V169" s="21" t="n">
        <f aca="false">IF($S169=0,0,$U169/$S169)</f>
        <v>0</v>
      </c>
      <c r="W169" s="23" t="str">
        <f aca="false">IF($D169="","",IF($T169="","BEKLİYOR",IF(OR($U169=0,$S169=0),"DOĞRU",IF(AND($V169&gt;PazaryeriEksikHakedisEsik,$U169&gt;PazaryeriEksikHakedisTutarEsik),"EKSİK HAKEDİŞ","DOĞRU"))))</f>
        <v/>
      </c>
      <c r="X169" s="23" t="str">
        <f aca="false">IF($B169="","",CONCATENATE("Ürün: ",$B169," | Kâr: ",TEXT($Q169,"₺ #,##0")," | Durum: ",$W169))</f>
        <v/>
      </c>
      <c r="Y169" s="24"/>
    </row>
    <row r="170" customFormat="false" ht="15" hidden="false" customHeight="false" outlineLevel="0" collapsed="false">
      <c r="A170" s="24"/>
      <c r="B170" s="24"/>
      <c r="C170" s="22"/>
      <c r="D170" s="25"/>
      <c r="E170" s="22"/>
      <c r="F170" s="26"/>
      <c r="G170" s="26"/>
      <c r="H170" s="26"/>
      <c r="I170" s="26"/>
      <c r="J170" s="22"/>
      <c r="K170" s="20" t="n">
        <f aca="false">IF($D170="",0,$C170*$D170)</f>
        <v>0</v>
      </c>
      <c r="L170" s="20" t="n">
        <f aca="false">IF($D170="",0,$F170*$K170)</f>
        <v>0</v>
      </c>
      <c r="M170" s="20" t="n">
        <f aca="false">IF($D170="",0,$G170*$K170)</f>
        <v>0</v>
      </c>
      <c r="N170" s="20" t="n">
        <f aca="false">IF($D170="",0,$H170*$K170)</f>
        <v>0</v>
      </c>
      <c r="O170" s="20" t="n">
        <f aca="false">IF($D170="",0,$I170*$K170*(1-$F170))</f>
        <v>0</v>
      </c>
      <c r="P170" s="20" t="n">
        <f aca="false">IF($D170="",0,$E170*$D170+$L170+$M170+$N170+$O170+$J170*$D170)</f>
        <v>0</v>
      </c>
      <c r="Q170" s="20" t="n">
        <f aca="false">IF($D170="",0,$K170-$P170)</f>
        <v>0</v>
      </c>
      <c r="R170" s="21" t="n">
        <f aca="false">IF($K170=0,0,$Q170/$K170)</f>
        <v>0</v>
      </c>
      <c r="S170" s="20" t="n">
        <f aca="false">IF($D170="",0,$K170-$L170-$M170-$N170)</f>
        <v>0</v>
      </c>
      <c r="T170" s="22"/>
      <c r="U170" s="20" t="n">
        <f aca="false">IF($T170="",0,MAX(0,$S170-$T170))</f>
        <v>0</v>
      </c>
      <c r="V170" s="21" t="n">
        <f aca="false">IF($S170=0,0,$U170/$S170)</f>
        <v>0</v>
      </c>
      <c r="W170" s="23" t="str">
        <f aca="false">IF($D170="","",IF($T170="","BEKLİYOR",IF(OR($U170=0,$S170=0),"DOĞRU",IF(AND($V170&gt;PazaryeriEksikHakedisEsik,$U170&gt;PazaryeriEksikHakedisTutarEsik),"EKSİK HAKEDİŞ","DOĞRU"))))</f>
        <v/>
      </c>
      <c r="X170" s="23" t="str">
        <f aca="false">IF($B170="","",CONCATENATE("Ürün: ",$B170," | Kâr: ",TEXT($Q170,"₺ #,##0")," | Durum: ",$W170))</f>
        <v/>
      </c>
      <c r="Y170" s="24"/>
    </row>
    <row r="171" customFormat="false" ht="15" hidden="false" customHeight="false" outlineLevel="0" collapsed="false">
      <c r="A171" s="24"/>
      <c r="B171" s="24"/>
      <c r="C171" s="22"/>
      <c r="D171" s="25"/>
      <c r="E171" s="22"/>
      <c r="F171" s="26"/>
      <c r="G171" s="26"/>
      <c r="H171" s="26"/>
      <c r="I171" s="26"/>
      <c r="J171" s="22"/>
      <c r="K171" s="20" t="n">
        <f aca="false">IF($D171="",0,$C171*$D171)</f>
        <v>0</v>
      </c>
      <c r="L171" s="20" t="n">
        <f aca="false">IF($D171="",0,$F171*$K171)</f>
        <v>0</v>
      </c>
      <c r="M171" s="20" t="n">
        <f aca="false">IF($D171="",0,$G171*$K171)</f>
        <v>0</v>
      </c>
      <c r="N171" s="20" t="n">
        <f aca="false">IF($D171="",0,$H171*$K171)</f>
        <v>0</v>
      </c>
      <c r="O171" s="20" t="n">
        <f aca="false">IF($D171="",0,$I171*$K171*(1-$F171))</f>
        <v>0</v>
      </c>
      <c r="P171" s="20" t="n">
        <f aca="false">IF($D171="",0,$E171*$D171+$L171+$M171+$N171+$O171+$J171*$D171)</f>
        <v>0</v>
      </c>
      <c r="Q171" s="20" t="n">
        <f aca="false">IF($D171="",0,$K171-$P171)</f>
        <v>0</v>
      </c>
      <c r="R171" s="21" t="n">
        <f aca="false">IF($K171=0,0,$Q171/$K171)</f>
        <v>0</v>
      </c>
      <c r="S171" s="20" t="n">
        <f aca="false">IF($D171="",0,$K171-$L171-$M171-$N171)</f>
        <v>0</v>
      </c>
      <c r="T171" s="22"/>
      <c r="U171" s="20" t="n">
        <f aca="false">IF($T171="",0,MAX(0,$S171-$T171))</f>
        <v>0</v>
      </c>
      <c r="V171" s="21" t="n">
        <f aca="false">IF($S171=0,0,$U171/$S171)</f>
        <v>0</v>
      </c>
      <c r="W171" s="23" t="str">
        <f aca="false">IF($D171="","",IF($T171="","BEKLİYOR",IF(OR($U171=0,$S171=0),"DOĞRU",IF(AND($V171&gt;PazaryeriEksikHakedisEsik,$U171&gt;PazaryeriEksikHakedisTutarEsik),"EKSİK HAKEDİŞ","DOĞRU"))))</f>
        <v/>
      </c>
      <c r="X171" s="23" t="str">
        <f aca="false">IF($B171="","",CONCATENATE("Ürün: ",$B171," | Kâr: ",TEXT($Q171,"₺ #,##0")," | Durum: ",$W171))</f>
        <v/>
      </c>
      <c r="Y171" s="24"/>
    </row>
    <row r="172" customFormat="false" ht="15" hidden="false" customHeight="false" outlineLevel="0" collapsed="false">
      <c r="A172" s="24"/>
      <c r="B172" s="24"/>
      <c r="C172" s="22"/>
      <c r="D172" s="25"/>
      <c r="E172" s="22"/>
      <c r="F172" s="26"/>
      <c r="G172" s="26"/>
      <c r="H172" s="26"/>
      <c r="I172" s="26"/>
      <c r="J172" s="22"/>
      <c r="K172" s="20" t="n">
        <f aca="false">IF($D172="",0,$C172*$D172)</f>
        <v>0</v>
      </c>
      <c r="L172" s="20" t="n">
        <f aca="false">IF($D172="",0,$F172*$K172)</f>
        <v>0</v>
      </c>
      <c r="M172" s="20" t="n">
        <f aca="false">IF($D172="",0,$G172*$K172)</f>
        <v>0</v>
      </c>
      <c r="N172" s="20" t="n">
        <f aca="false">IF($D172="",0,$H172*$K172)</f>
        <v>0</v>
      </c>
      <c r="O172" s="20" t="n">
        <f aca="false">IF($D172="",0,$I172*$K172*(1-$F172))</f>
        <v>0</v>
      </c>
      <c r="P172" s="20" t="n">
        <f aca="false">IF($D172="",0,$E172*$D172+$L172+$M172+$N172+$O172+$J172*$D172)</f>
        <v>0</v>
      </c>
      <c r="Q172" s="20" t="n">
        <f aca="false">IF($D172="",0,$K172-$P172)</f>
        <v>0</v>
      </c>
      <c r="R172" s="21" t="n">
        <f aca="false">IF($K172=0,0,$Q172/$K172)</f>
        <v>0</v>
      </c>
      <c r="S172" s="20" t="n">
        <f aca="false">IF($D172="",0,$K172-$L172-$M172-$N172)</f>
        <v>0</v>
      </c>
      <c r="T172" s="22"/>
      <c r="U172" s="20" t="n">
        <f aca="false">IF($T172="",0,MAX(0,$S172-$T172))</f>
        <v>0</v>
      </c>
      <c r="V172" s="21" t="n">
        <f aca="false">IF($S172=0,0,$U172/$S172)</f>
        <v>0</v>
      </c>
      <c r="W172" s="23" t="str">
        <f aca="false">IF($D172="","",IF($T172="","BEKLİYOR",IF(OR($U172=0,$S172=0),"DOĞRU",IF(AND($V172&gt;PazaryeriEksikHakedisEsik,$U172&gt;PazaryeriEksikHakedisTutarEsik),"EKSİK HAKEDİŞ","DOĞRU"))))</f>
        <v/>
      </c>
      <c r="X172" s="23" t="str">
        <f aca="false">IF($B172="","",CONCATENATE("Ürün: ",$B172," | Kâr: ",TEXT($Q172,"₺ #,##0")," | Durum: ",$W172))</f>
        <v/>
      </c>
      <c r="Y172" s="24"/>
    </row>
    <row r="173" customFormat="false" ht="15" hidden="false" customHeight="false" outlineLevel="0" collapsed="false">
      <c r="A173" s="24"/>
      <c r="B173" s="24"/>
      <c r="C173" s="22"/>
      <c r="D173" s="25"/>
      <c r="E173" s="22"/>
      <c r="F173" s="26"/>
      <c r="G173" s="26"/>
      <c r="H173" s="26"/>
      <c r="I173" s="26"/>
      <c r="J173" s="22"/>
      <c r="K173" s="20" t="n">
        <f aca="false">IF($D173="",0,$C173*$D173)</f>
        <v>0</v>
      </c>
      <c r="L173" s="20" t="n">
        <f aca="false">IF($D173="",0,$F173*$K173)</f>
        <v>0</v>
      </c>
      <c r="M173" s="20" t="n">
        <f aca="false">IF($D173="",0,$G173*$K173)</f>
        <v>0</v>
      </c>
      <c r="N173" s="20" t="n">
        <f aca="false">IF($D173="",0,$H173*$K173)</f>
        <v>0</v>
      </c>
      <c r="O173" s="20" t="n">
        <f aca="false">IF($D173="",0,$I173*$K173*(1-$F173))</f>
        <v>0</v>
      </c>
      <c r="P173" s="20" t="n">
        <f aca="false">IF($D173="",0,$E173*$D173+$L173+$M173+$N173+$O173+$J173*$D173)</f>
        <v>0</v>
      </c>
      <c r="Q173" s="20" t="n">
        <f aca="false">IF($D173="",0,$K173-$P173)</f>
        <v>0</v>
      </c>
      <c r="R173" s="21" t="n">
        <f aca="false">IF($K173=0,0,$Q173/$K173)</f>
        <v>0</v>
      </c>
      <c r="S173" s="20" t="n">
        <f aca="false">IF($D173="",0,$K173-$L173-$M173-$N173)</f>
        <v>0</v>
      </c>
      <c r="T173" s="22"/>
      <c r="U173" s="20" t="n">
        <f aca="false">IF($T173="",0,MAX(0,$S173-$T173))</f>
        <v>0</v>
      </c>
      <c r="V173" s="21" t="n">
        <f aca="false">IF($S173=0,0,$U173/$S173)</f>
        <v>0</v>
      </c>
      <c r="W173" s="23" t="str">
        <f aca="false">IF($D173="","",IF($T173="","BEKLİYOR",IF(OR($U173=0,$S173=0),"DOĞRU",IF(AND($V173&gt;PazaryeriEksikHakedisEsik,$U173&gt;PazaryeriEksikHakedisTutarEsik),"EKSİK HAKEDİŞ","DOĞRU"))))</f>
        <v/>
      </c>
      <c r="X173" s="23" t="str">
        <f aca="false">IF($B173="","",CONCATENATE("Ürün: ",$B173," | Kâr: ",TEXT($Q173,"₺ #,##0")," | Durum: ",$W173))</f>
        <v/>
      </c>
      <c r="Y173" s="24"/>
    </row>
    <row r="174" customFormat="false" ht="15" hidden="false" customHeight="false" outlineLevel="0" collapsed="false">
      <c r="A174" s="24"/>
      <c r="B174" s="24"/>
      <c r="C174" s="22"/>
      <c r="D174" s="25"/>
      <c r="E174" s="22"/>
      <c r="F174" s="26"/>
      <c r="G174" s="26"/>
      <c r="H174" s="26"/>
      <c r="I174" s="26"/>
      <c r="J174" s="22"/>
      <c r="K174" s="20" t="n">
        <f aca="false">IF($D174="",0,$C174*$D174)</f>
        <v>0</v>
      </c>
      <c r="L174" s="20" t="n">
        <f aca="false">IF($D174="",0,$F174*$K174)</f>
        <v>0</v>
      </c>
      <c r="M174" s="20" t="n">
        <f aca="false">IF($D174="",0,$G174*$K174)</f>
        <v>0</v>
      </c>
      <c r="N174" s="20" t="n">
        <f aca="false">IF($D174="",0,$H174*$K174)</f>
        <v>0</v>
      </c>
      <c r="O174" s="20" t="n">
        <f aca="false">IF($D174="",0,$I174*$K174*(1-$F174))</f>
        <v>0</v>
      </c>
      <c r="P174" s="20" t="n">
        <f aca="false">IF($D174="",0,$E174*$D174+$L174+$M174+$N174+$O174+$J174*$D174)</f>
        <v>0</v>
      </c>
      <c r="Q174" s="20" t="n">
        <f aca="false">IF($D174="",0,$K174-$P174)</f>
        <v>0</v>
      </c>
      <c r="R174" s="21" t="n">
        <f aca="false">IF($K174=0,0,$Q174/$K174)</f>
        <v>0</v>
      </c>
      <c r="S174" s="20" t="n">
        <f aca="false">IF($D174="",0,$K174-$L174-$M174-$N174)</f>
        <v>0</v>
      </c>
      <c r="T174" s="22"/>
      <c r="U174" s="20" t="n">
        <f aca="false">IF($T174="",0,MAX(0,$S174-$T174))</f>
        <v>0</v>
      </c>
      <c r="V174" s="21" t="n">
        <f aca="false">IF($S174=0,0,$U174/$S174)</f>
        <v>0</v>
      </c>
      <c r="W174" s="23" t="str">
        <f aca="false">IF($D174="","",IF($T174="","BEKLİYOR",IF(OR($U174=0,$S174=0),"DOĞRU",IF(AND($V174&gt;PazaryeriEksikHakedisEsik,$U174&gt;PazaryeriEksikHakedisTutarEsik),"EKSİK HAKEDİŞ","DOĞRU"))))</f>
        <v/>
      </c>
      <c r="X174" s="23" t="str">
        <f aca="false">IF($B174="","",CONCATENATE("Ürün: ",$B174," | Kâr: ",TEXT($Q174,"₺ #,##0")," | Durum: ",$W174))</f>
        <v/>
      </c>
      <c r="Y174" s="24"/>
    </row>
    <row r="175" customFormat="false" ht="15" hidden="false" customHeight="false" outlineLevel="0" collapsed="false">
      <c r="A175" s="24"/>
      <c r="B175" s="24"/>
      <c r="C175" s="22"/>
      <c r="D175" s="25"/>
      <c r="E175" s="22"/>
      <c r="F175" s="26"/>
      <c r="G175" s="26"/>
      <c r="H175" s="26"/>
      <c r="I175" s="26"/>
      <c r="J175" s="22"/>
      <c r="K175" s="20" t="n">
        <f aca="false">IF($D175="",0,$C175*$D175)</f>
        <v>0</v>
      </c>
      <c r="L175" s="20" t="n">
        <f aca="false">IF($D175="",0,$F175*$K175)</f>
        <v>0</v>
      </c>
      <c r="M175" s="20" t="n">
        <f aca="false">IF($D175="",0,$G175*$K175)</f>
        <v>0</v>
      </c>
      <c r="N175" s="20" t="n">
        <f aca="false">IF($D175="",0,$H175*$K175)</f>
        <v>0</v>
      </c>
      <c r="O175" s="20" t="n">
        <f aca="false">IF($D175="",0,$I175*$K175*(1-$F175))</f>
        <v>0</v>
      </c>
      <c r="P175" s="20" t="n">
        <f aca="false">IF($D175="",0,$E175*$D175+$L175+$M175+$N175+$O175+$J175*$D175)</f>
        <v>0</v>
      </c>
      <c r="Q175" s="20" t="n">
        <f aca="false">IF($D175="",0,$K175-$P175)</f>
        <v>0</v>
      </c>
      <c r="R175" s="21" t="n">
        <f aca="false">IF($K175=0,0,$Q175/$K175)</f>
        <v>0</v>
      </c>
      <c r="S175" s="20" t="n">
        <f aca="false">IF($D175="",0,$K175-$L175-$M175-$N175)</f>
        <v>0</v>
      </c>
      <c r="T175" s="22"/>
      <c r="U175" s="20" t="n">
        <f aca="false">IF($T175="",0,MAX(0,$S175-$T175))</f>
        <v>0</v>
      </c>
      <c r="V175" s="21" t="n">
        <f aca="false">IF($S175=0,0,$U175/$S175)</f>
        <v>0</v>
      </c>
      <c r="W175" s="23" t="str">
        <f aca="false">IF($D175="","",IF($T175="","BEKLİYOR",IF(OR($U175=0,$S175=0),"DOĞRU",IF(AND($V175&gt;PazaryeriEksikHakedisEsik,$U175&gt;PazaryeriEksikHakedisTutarEsik),"EKSİK HAKEDİŞ","DOĞRU"))))</f>
        <v/>
      </c>
      <c r="X175" s="23" t="str">
        <f aca="false">IF($B175="","",CONCATENATE("Ürün: ",$B175," | Kâr: ",TEXT($Q175,"₺ #,##0")," | Durum: ",$W175))</f>
        <v/>
      </c>
      <c r="Y175" s="24"/>
    </row>
    <row r="176" customFormat="false" ht="15" hidden="false" customHeight="false" outlineLevel="0" collapsed="false">
      <c r="A176" s="24"/>
      <c r="B176" s="24"/>
      <c r="C176" s="22"/>
      <c r="D176" s="25"/>
      <c r="E176" s="22"/>
      <c r="F176" s="26"/>
      <c r="G176" s="26"/>
      <c r="H176" s="26"/>
      <c r="I176" s="26"/>
      <c r="J176" s="22"/>
      <c r="K176" s="20" t="n">
        <f aca="false">IF($D176="",0,$C176*$D176)</f>
        <v>0</v>
      </c>
      <c r="L176" s="20" t="n">
        <f aca="false">IF($D176="",0,$F176*$K176)</f>
        <v>0</v>
      </c>
      <c r="M176" s="20" t="n">
        <f aca="false">IF($D176="",0,$G176*$K176)</f>
        <v>0</v>
      </c>
      <c r="N176" s="20" t="n">
        <f aca="false">IF($D176="",0,$H176*$K176)</f>
        <v>0</v>
      </c>
      <c r="O176" s="20" t="n">
        <f aca="false">IF($D176="",0,$I176*$K176*(1-$F176))</f>
        <v>0</v>
      </c>
      <c r="P176" s="20" t="n">
        <f aca="false">IF($D176="",0,$E176*$D176+$L176+$M176+$N176+$O176+$J176*$D176)</f>
        <v>0</v>
      </c>
      <c r="Q176" s="20" t="n">
        <f aca="false">IF($D176="",0,$K176-$P176)</f>
        <v>0</v>
      </c>
      <c r="R176" s="21" t="n">
        <f aca="false">IF($K176=0,0,$Q176/$K176)</f>
        <v>0</v>
      </c>
      <c r="S176" s="20" t="n">
        <f aca="false">IF($D176="",0,$K176-$L176-$M176-$N176)</f>
        <v>0</v>
      </c>
      <c r="T176" s="22"/>
      <c r="U176" s="20" t="n">
        <f aca="false">IF($T176="",0,MAX(0,$S176-$T176))</f>
        <v>0</v>
      </c>
      <c r="V176" s="21" t="n">
        <f aca="false">IF($S176=0,0,$U176/$S176)</f>
        <v>0</v>
      </c>
      <c r="W176" s="23" t="str">
        <f aca="false">IF($D176="","",IF($T176="","BEKLİYOR",IF(OR($U176=0,$S176=0),"DOĞRU",IF(AND($V176&gt;PazaryeriEksikHakedisEsik,$U176&gt;PazaryeriEksikHakedisTutarEsik),"EKSİK HAKEDİŞ","DOĞRU"))))</f>
        <v/>
      </c>
      <c r="X176" s="23" t="str">
        <f aca="false">IF($B176="","",CONCATENATE("Ürün: ",$B176," | Kâr: ",TEXT($Q176,"₺ #,##0")," | Durum: ",$W176))</f>
        <v/>
      </c>
      <c r="Y176" s="24"/>
    </row>
    <row r="177" customFormat="false" ht="15" hidden="false" customHeight="false" outlineLevel="0" collapsed="false">
      <c r="A177" s="24"/>
      <c r="B177" s="24"/>
      <c r="C177" s="22"/>
      <c r="D177" s="25"/>
      <c r="E177" s="22"/>
      <c r="F177" s="26"/>
      <c r="G177" s="26"/>
      <c r="H177" s="26"/>
      <c r="I177" s="26"/>
      <c r="J177" s="22"/>
      <c r="K177" s="20" t="n">
        <f aca="false">IF($D177="",0,$C177*$D177)</f>
        <v>0</v>
      </c>
      <c r="L177" s="20" t="n">
        <f aca="false">IF($D177="",0,$F177*$K177)</f>
        <v>0</v>
      </c>
      <c r="M177" s="20" t="n">
        <f aca="false">IF($D177="",0,$G177*$K177)</f>
        <v>0</v>
      </c>
      <c r="N177" s="20" t="n">
        <f aca="false">IF($D177="",0,$H177*$K177)</f>
        <v>0</v>
      </c>
      <c r="O177" s="20" t="n">
        <f aca="false">IF($D177="",0,$I177*$K177*(1-$F177))</f>
        <v>0</v>
      </c>
      <c r="P177" s="20" t="n">
        <f aca="false">IF($D177="",0,$E177*$D177+$L177+$M177+$N177+$O177+$J177*$D177)</f>
        <v>0</v>
      </c>
      <c r="Q177" s="20" t="n">
        <f aca="false">IF($D177="",0,$K177-$P177)</f>
        <v>0</v>
      </c>
      <c r="R177" s="21" t="n">
        <f aca="false">IF($K177=0,0,$Q177/$K177)</f>
        <v>0</v>
      </c>
      <c r="S177" s="20" t="n">
        <f aca="false">IF($D177="",0,$K177-$L177-$M177-$N177)</f>
        <v>0</v>
      </c>
      <c r="T177" s="22"/>
      <c r="U177" s="20" t="n">
        <f aca="false">IF($T177="",0,MAX(0,$S177-$T177))</f>
        <v>0</v>
      </c>
      <c r="V177" s="21" t="n">
        <f aca="false">IF($S177=0,0,$U177/$S177)</f>
        <v>0</v>
      </c>
      <c r="W177" s="23" t="str">
        <f aca="false">IF($D177="","",IF($T177="","BEKLİYOR",IF(OR($U177=0,$S177=0),"DOĞRU",IF(AND($V177&gt;PazaryeriEksikHakedisEsik,$U177&gt;PazaryeriEksikHakedisTutarEsik),"EKSİK HAKEDİŞ","DOĞRU"))))</f>
        <v/>
      </c>
      <c r="X177" s="23" t="str">
        <f aca="false">IF($B177="","",CONCATENATE("Ürün: ",$B177," | Kâr: ",TEXT($Q177,"₺ #,##0")," | Durum: ",$W177))</f>
        <v/>
      </c>
      <c r="Y177" s="24"/>
    </row>
    <row r="178" customFormat="false" ht="15" hidden="false" customHeight="false" outlineLevel="0" collapsed="false">
      <c r="A178" s="24"/>
      <c r="B178" s="24"/>
      <c r="C178" s="22"/>
      <c r="D178" s="25"/>
      <c r="E178" s="22"/>
      <c r="F178" s="26"/>
      <c r="G178" s="26"/>
      <c r="H178" s="26"/>
      <c r="I178" s="26"/>
      <c r="J178" s="22"/>
      <c r="K178" s="20" t="n">
        <f aca="false">IF($D178="",0,$C178*$D178)</f>
        <v>0</v>
      </c>
      <c r="L178" s="20" t="n">
        <f aca="false">IF($D178="",0,$F178*$K178)</f>
        <v>0</v>
      </c>
      <c r="M178" s="20" t="n">
        <f aca="false">IF($D178="",0,$G178*$K178)</f>
        <v>0</v>
      </c>
      <c r="N178" s="20" t="n">
        <f aca="false">IF($D178="",0,$H178*$K178)</f>
        <v>0</v>
      </c>
      <c r="O178" s="20" t="n">
        <f aca="false">IF($D178="",0,$I178*$K178*(1-$F178))</f>
        <v>0</v>
      </c>
      <c r="P178" s="20" t="n">
        <f aca="false">IF($D178="",0,$E178*$D178+$L178+$M178+$N178+$O178+$J178*$D178)</f>
        <v>0</v>
      </c>
      <c r="Q178" s="20" t="n">
        <f aca="false">IF($D178="",0,$K178-$P178)</f>
        <v>0</v>
      </c>
      <c r="R178" s="21" t="n">
        <f aca="false">IF($K178=0,0,$Q178/$K178)</f>
        <v>0</v>
      </c>
      <c r="S178" s="20" t="n">
        <f aca="false">IF($D178="",0,$K178-$L178-$M178-$N178)</f>
        <v>0</v>
      </c>
      <c r="T178" s="22"/>
      <c r="U178" s="20" t="n">
        <f aca="false">IF($T178="",0,MAX(0,$S178-$T178))</f>
        <v>0</v>
      </c>
      <c r="V178" s="21" t="n">
        <f aca="false">IF($S178=0,0,$U178/$S178)</f>
        <v>0</v>
      </c>
      <c r="W178" s="23" t="str">
        <f aca="false">IF($D178="","",IF($T178="","BEKLİYOR",IF(OR($U178=0,$S178=0),"DOĞRU",IF(AND($V178&gt;PazaryeriEksikHakedisEsik,$U178&gt;PazaryeriEksikHakedisTutarEsik),"EKSİK HAKEDİŞ","DOĞRU"))))</f>
        <v/>
      </c>
      <c r="X178" s="23" t="str">
        <f aca="false">IF($B178="","",CONCATENATE("Ürün: ",$B178," | Kâr: ",TEXT($Q178,"₺ #,##0")," | Durum: ",$W178))</f>
        <v/>
      </c>
      <c r="Y178" s="24"/>
    </row>
    <row r="179" customFormat="false" ht="15" hidden="false" customHeight="false" outlineLevel="0" collapsed="false">
      <c r="A179" s="24"/>
      <c r="B179" s="24"/>
      <c r="C179" s="22"/>
      <c r="D179" s="25"/>
      <c r="E179" s="22"/>
      <c r="F179" s="26"/>
      <c r="G179" s="26"/>
      <c r="H179" s="26"/>
      <c r="I179" s="26"/>
      <c r="J179" s="22"/>
      <c r="K179" s="20" t="n">
        <f aca="false">IF($D179="",0,$C179*$D179)</f>
        <v>0</v>
      </c>
      <c r="L179" s="20" t="n">
        <f aca="false">IF($D179="",0,$F179*$K179)</f>
        <v>0</v>
      </c>
      <c r="M179" s="20" t="n">
        <f aca="false">IF($D179="",0,$G179*$K179)</f>
        <v>0</v>
      </c>
      <c r="N179" s="20" t="n">
        <f aca="false">IF($D179="",0,$H179*$K179)</f>
        <v>0</v>
      </c>
      <c r="O179" s="20" t="n">
        <f aca="false">IF($D179="",0,$I179*$K179*(1-$F179))</f>
        <v>0</v>
      </c>
      <c r="P179" s="20" t="n">
        <f aca="false">IF($D179="",0,$E179*$D179+$L179+$M179+$N179+$O179+$J179*$D179)</f>
        <v>0</v>
      </c>
      <c r="Q179" s="20" t="n">
        <f aca="false">IF($D179="",0,$K179-$P179)</f>
        <v>0</v>
      </c>
      <c r="R179" s="21" t="n">
        <f aca="false">IF($K179=0,0,$Q179/$K179)</f>
        <v>0</v>
      </c>
      <c r="S179" s="20" t="n">
        <f aca="false">IF($D179="",0,$K179-$L179-$M179-$N179)</f>
        <v>0</v>
      </c>
      <c r="T179" s="22"/>
      <c r="U179" s="20" t="n">
        <f aca="false">IF($T179="",0,MAX(0,$S179-$T179))</f>
        <v>0</v>
      </c>
      <c r="V179" s="21" t="n">
        <f aca="false">IF($S179=0,0,$U179/$S179)</f>
        <v>0</v>
      </c>
      <c r="W179" s="23" t="str">
        <f aca="false">IF($D179="","",IF($T179="","BEKLİYOR",IF(OR($U179=0,$S179=0),"DOĞRU",IF(AND($V179&gt;PazaryeriEksikHakedisEsik,$U179&gt;PazaryeriEksikHakedisTutarEsik),"EKSİK HAKEDİŞ","DOĞRU"))))</f>
        <v/>
      </c>
      <c r="X179" s="23" t="str">
        <f aca="false">IF($B179="","",CONCATENATE("Ürün: ",$B179," | Kâr: ",TEXT($Q179,"₺ #,##0")," | Durum: ",$W179))</f>
        <v/>
      </c>
      <c r="Y179" s="24"/>
    </row>
    <row r="180" customFormat="false" ht="15" hidden="false" customHeight="false" outlineLevel="0" collapsed="false">
      <c r="A180" s="24"/>
      <c r="B180" s="24"/>
      <c r="C180" s="22"/>
      <c r="D180" s="25"/>
      <c r="E180" s="22"/>
      <c r="F180" s="26"/>
      <c r="G180" s="26"/>
      <c r="H180" s="26"/>
      <c r="I180" s="26"/>
      <c r="J180" s="22"/>
      <c r="K180" s="20" t="n">
        <f aca="false">IF($D180="",0,$C180*$D180)</f>
        <v>0</v>
      </c>
      <c r="L180" s="20" t="n">
        <f aca="false">IF($D180="",0,$F180*$K180)</f>
        <v>0</v>
      </c>
      <c r="M180" s="20" t="n">
        <f aca="false">IF($D180="",0,$G180*$K180)</f>
        <v>0</v>
      </c>
      <c r="N180" s="20" t="n">
        <f aca="false">IF($D180="",0,$H180*$K180)</f>
        <v>0</v>
      </c>
      <c r="O180" s="20" t="n">
        <f aca="false">IF($D180="",0,$I180*$K180*(1-$F180))</f>
        <v>0</v>
      </c>
      <c r="P180" s="20" t="n">
        <f aca="false">IF($D180="",0,$E180*$D180+$L180+$M180+$N180+$O180+$J180*$D180)</f>
        <v>0</v>
      </c>
      <c r="Q180" s="20" t="n">
        <f aca="false">IF($D180="",0,$K180-$P180)</f>
        <v>0</v>
      </c>
      <c r="R180" s="21" t="n">
        <f aca="false">IF($K180=0,0,$Q180/$K180)</f>
        <v>0</v>
      </c>
      <c r="S180" s="20" t="n">
        <f aca="false">IF($D180="",0,$K180-$L180-$M180-$N180)</f>
        <v>0</v>
      </c>
      <c r="T180" s="22"/>
      <c r="U180" s="20" t="n">
        <f aca="false">IF($T180="",0,MAX(0,$S180-$T180))</f>
        <v>0</v>
      </c>
      <c r="V180" s="21" t="n">
        <f aca="false">IF($S180=0,0,$U180/$S180)</f>
        <v>0</v>
      </c>
      <c r="W180" s="23" t="str">
        <f aca="false">IF($D180="","",IF($T180="","BEKLİYOR",IF(OR($U180=0,$S180=0),"DOĞRU",IF(AND($V180&gt;PazaryeriEksikHakedisEsik,$U180&gt;PazaryeriEksikHakedisTutarEsik),"EKSİK HAKEDİŞ","DOĞRU"))))</f>
        <v/>
      </c>
      <c r="X180" s="23" t="str">
        <f aca="false">IF($B180="","",CONCATENATE("Ürün: ",$B180," | Kâr: ",TEXT($Q180,"₺ #,##0")," | Durum: ",$W180))</f>
        <v/>
      </c>
      <c r="Y180" s="24"/>
    </row>
    <row r="181" customFormat="false" ht="15" hidden="false" customHeight="false" outlineLevel="0" collapsed="false">
      <c r="A181" s="24"/>
      <c r="B181" s="24"/>
      <c r="C181" s="22"/>
      <c r="D181" s="25"/>
      <c r="E181" s="22"/>
      <c r="F181" s="26"/>
      <c r="G181" s="26"/>
      <c r="H181" s="26"/>
      <c r="I181" s="26"/>
      <c r="J181" s="22"/>
      <c r="K181" s="20" t="n">
        <f aca="false">IF($D181="",0,$C181*$D181)</f>
        <v>0</v>
      </c>
      <c r="L181" s="20" t="n">
        <f aca="false">IF($D181="",0,$F181*$K181)</f>
        <v>0</v>
      </c>
      <c r="M181" s="20" t="n">
        <f aca="false">IF($D181="",0,$G181*$K181)</f>
        <v>0</v>
      </c>
      <c r="N181" s="20" t="n">
        <f aca="false">IF($D181="",0,$H181*$K181)</f>
        <v>0</v>
      </c>
      <c r="O181" s="20" t="n">
        <f aca="false">IF($D181="",0,$I181*$K181*(1-$F181))</f>
        <v>0</v>
      </c>
      <c r="P181" s="20" t="n">
        <f aca="false">IF($D181="",0,$E181*$D181+$L181+$M181+$N181+$O181+$J181*$D181)</f>
        <v>0</v>
      </c>
      <c r="Q181" s="20" t="n">
        <f aca="false">IF($D181="",0,$K181-$P181)</f>
        <v>0</v>
      </c>
      <c r="R181" s="21" t="n">
        <f aca="false">IF($K181=0,0,$Q181/$K181)</f>
        <v>0</v>
      </c>
      <c r="S181" s="20" t="n">
        <f aca="false">IF($D181="",0,$K181-$L181-$M181-$N181)</f>
        <v>0</v>
      </c>
      <c r="T181" s="22"/>
      <c r="U181" s="20" t="n">
        <f aca="false">IF($T181="",0,MAX(0,$S181-$T181))</f>
        <v>0</v>
      </c>
      <c r="V181" s="21" t="n">
        <f aca="false">IF($S181=0,0,$U181/$S181)</f>
        <v>0</v>
      </c>
      <c r="W181" s="23" t="str">
        <f aca="false">IF($D181="","",IF($T181="","BEKLİYOR",IF(OR($U181=0,$S181=0),"DOĞRU",IF(AND($V181&gt;PazaryeriEksikHakedisEsik,$U181&gt;PazaryeriEksikHakedisTutarEsik),"EKSİK HAKEDİŞ","DOĞRU"))))</f>
        <v/>
      </c>
      <c r="X181" s="23" t="str">
        <f aca="false">IF($B181="","",CONCATENATE("Ürün: ",$B181," | Kâr: ",TEXT($Q181,"₺ #,##0")," | Durum: ",$W181))</f>
        <v/>
      </c>
      <c r="Y181" s="24"/>
    </row>
    <row r="182" customFormat="false" ht="15" hidden="false" customHeight="false" outlineLevel="0" collapsed="false">
      <c r="A182" s="24"/>
      <c r="B182" s="24"/>
      <c r="C182" s="22"/>
      <c r="D182" s="25"/>
      <c r="E182" s="22"/>
      <c r="F182" s="26"/>
      <c r="G182" s="26"/>
      <c r="H182" s="26"/>
      <c r="I182" s="26"/>
      <c r="J182" s="22"/>
      <c r="K182" s="20" t="n">
        <f aca="false">IF($D182="",0,$C182*$D182)</f>
        <v>0</v>
      </c>
      <c r="L182" s="20" t="n">
        <f aca="false">IF($D182="",0,$F182*$K182)</f>
        <v>0</v>
      </c>
      <c r="M182" s="20" t="n">
        <f aca="false">IF($D182="",0,$G182*$K182)</f>
        <v>0</v>
      </c>
      <c r="N182" s="20" t="n">
        <f aca="false">IF($D182="",0,$H182*$K182)</f>
        <v>0</v>
      </c>
      <c r="O182" s="20" t="n">
        <f aca="false">IF($D182="",0,$I182*$K182*(1-$F182))</f>
        <v>0</v>
      </c>
      <c r="P182" s="20" t="n">
        <f aca="false">IF($D182="",0,$E182*$D182+$L182+$M182+$N182+$O182+$J182*$D182)</f>
        <v>0</v>
      </c>
      <c r="Q182" s="20" t="n">
        <f aca="false">IF($D182="",0,$K182-$P182)</f>
        <v>0</v>
      </c>
      <c r="R182" s="21" t="n">
        <f aca="false">IF($K182=0,0,$Q182/$K182)</f>
        <v>0</v>
      </c>
      <c r="S182" s="20" t="n">
        <f aca="false">IF($D182="",0,$K182-$L182-$M182-$N182)</f>
        <v>0</v>
      </c>
      <c r="T182" s="22"/>
      <c r="U182" s="20" t="n">
        <f aca="false">IF($T182="",0,MAX(0,$S182-$T182))</f>
        <v>0</v>
      </c>
      <c r="V182" s="21" t="n">
        <f aca="false">IF($S182=0,0,$U182/$S182)</f>
        <v>0</v>
      </c>
      <c r="W182" s="23" t="str">
        <f aca="false">IF($D182="","",IF($T182="","BEKLİYOR",IF(OR($U182=0,$S182=0),"DOĞRU",IF(AND($V182&gt;PazaryeriEksikHakedisEsik,$U182&gt;PazaryeriEksikHakedisTutarEsik),"EKSİK HAKEDİŞ","DOĞRU"))))</f>
        <v/>
      </c>
      <c r="X182" s="23" t="str">
        <f aca="false">IF($B182="","",CONCATENATE("Ürün: ",$B182," | Kâr: ",TEXT($Q182,"₺ #,##0")," | Durum: ",$W182))</f>
        <v/>
      </c>
      <c r="Y182" s="24"/>
    </row>
    <row r="183" customFormat="false" ht="15" hidden="false" customHeight="false" outlineLevel="0" collapsed="false">
      <c r="A183" s="24"/>
      <c r="B183" s="24"/>
      <c r="C183" s="22"/>
      <c r="D183" s="25"/>
      <c r="E183" s="22"/>
      <c r="F183" s="26"/>
      <c r="G183" s="26"/>
      <c r="H183" s="26"/>
      <c r="I183" s="26"/>
      <c r="J183" s="22"/>
      <c r="K183" s="20" t="n">
        <f aca="false">IF($D183="",0,$C183*$D183)</f>
        <v>0</v>
      </c>
      <c r="L183" s="20" t="n">
        <f aca="false">IF($D183="",0,$F183*$K183)</f>
        <v>0</v>
      </c>
      <c r="M183" s="20" t="n">
        <f aca="false">IF($D183="",0,$G183*$K183)</f>
        <v>0</v>
      </c>
      <c r="N183" s="20" t="n">
        <f aca="false">IF($D183="",0,$H183*$K183)</f>
        <v>0</v>
      </c>
      <c r="O183" s="20" t="n">
        <f aca="false">IF($D183="",0,$I183*$K183*(1-$F183))</f>
        <v>0</v>
      </c>
      <c r="P183" s="20" t="n">
        <f aca="false">IF($D183="",0,$E183*$D183+$L183+$M183+$N183+$O183+$J183*$D183)</f>
        <v>0</v>
      </c>
      <c r="Q183" s="20" t="n">
        <f aca="false">IF($D183="",0,$K183-$P183)</f>
        <v>0</v>
      </c>
      <c r="R183" s="21" t="n">
        <f aca="false">IF($K183=0,0,$Q183/$K183)</f>
        <v>0</v>
      </c>
      <c r="S183" s="20" t="n">
        <f aca="false">IF($D183="",0,$K183-$L183-$M183-$N183)</f>
        <v>0</v>
      </c>
      <c r="T183" s="22"/>
      <c r="U183" s="20" t="n">
        <f aca="false">IF($T183="",0,MAX(0,$S183-$T183))</f>
        <v>0</v>
      </c>
      <c r="V183" s="21" t="n">
        <f aca="false">IF($S183=0,0,$U183/$S183)</f>
        <v>0</v>
      </c>
      <c r="W183" s="23" t="str">
        <f aca="false">IF($D183="","",IF($T183="","BEKLİYOR",IF(OR($U183=0,$S183=0),"DOĞRU",IF(AND($V183&gt;PazaryeriEksikHakedisEsik,$U183&gt;PazaryeriEksikHakedisTutarEsik),"EKSİK HAKEDİŞ","DOĞRU"))))</f>
        <v/>
      </c>
      <c r="X183" s="23" t="str">
        <f aca="false">IF($B183="","",CONCATENATE("Ürün: ",$B183," | Kâr: ",TEXT($Q183,"₺ #,##0")," | Durum: ",$W183))</f>
        <v/>
      </c>
      <c r="Y183" s="24"/>
    </row>
    <row r="184" customFormat="false" ht="15" hidden="false" customHeight="false" outlineLevel="0" collapsed="false">
      <c r="A184" s="24"/>
      <c r="B184" s="24"/>
      <c r="C184" s="22"/>
      <c r="D184" s="25"/>
      <c r="E184" s="22"/>
      <c r="F184" s="26"/>
      <c r="G184" s="26"/>
      <c r="H184" s="26"/>
      <c r="I184" s="26"/>
      <c r="J184" s="22"/>
      <c r="K184" s="20" t="n">
        <f aca="false">IF($D184="",0,$C184*$D184)</f>
        <v>0</v>
      </c>
      <c r="L184" s="20" t="n">
        <f aca="false">IF($D184="",0,$F184*$K184)</f>
        <v>0</v>
      </c>
      <c r="M184" s="20" t="n">
        <f aca="false">IF($D184="",0,$G184*$K184)</f>
        <v>0</v>
      </c>
      <c r="N184" s="20" t="n">
        <f aca="false">IF($D184="",0,$H184*$K184)</f>
        <v>0</v>
      </c>
      <c r="O184" s="20" t="n">
        <f aca="false">IF($D184="",0,$I184*$K184*(1-$F184))</f>
        <v>0</v>
      </c>
      <c r="P184" s="20" t="n">
        <f aca="false">IF($D184="",0,$E184*$D184+$L184+$M184+$N184+$O184+$J184*$D184)</f>
        <v>0</v>
      </c>
      <c r="Q184" s="20" t="n">
        <f aca="false">IF($D184="",0,$K184-$P184)</f>
        <v>0</v>
      </c>
      <c r="R184" s="21" t="n">
        <f aca="false">IF($K184=0,0,$Q184/$K184)</f>
        <v>0</v>
      </c>
      <c r="S184" s="20" t="n">
        <f aca="false">IF($D184="",0,$K184-$L184-$M184-$N184)</f>
        <v>0</v>
      </c>
      <c r="T184" s="22"/>
      <c r="U184" s="20" t="n">
        <f aca="false">IF($T184="",0,MAX(0,$S184-$T184))</f>
        <v>0</v>
      </c>
      <c r="V184" s="21" t="n">
        <f aca="false">IF($S184=0,0,$U184/$S184)</f>
        <v>0</v>
      </c>
      <c r="W184" s="23" t="str">
        <f aca="false">IF($D184="","",IF($T184="","BEKLİYOR",IF(OR($U184=0,$S184=0),"DOĞRU",IF(AND($V184&gt;PazaryeriEksikHakedisEsik,$U184&gt;PazaryeriEksikHakedisTutarEsik),"EKSİK HAKEDİŞ","DOĞRU"))))</f>
        <v/>
      </c>
      <c r="X184" s="23" t="str">
        <f aca="false">IF($B184="","",CONCATENATE("Ürün: ",$B184," | Kâr: ",TEXT($Q184,"₺ #,##0")," | Durum: ",$W184))</f>
        <v/>
      </c>
      <c r="Y184" s="24"/>
    </row>
    <row r="185" customFormat="false" ht="15" hidden="false" customHeight="false" outlineLevel="0" collapsed="false">
      <c r="A185" s="24"/>
      <c r="B185" s="24"/>
      <c r="C185" s="22"/>
      <c r="D185" s="25"/>
      <c r="E185" s="22"/>
      <c r="F185" s="26"/>
      <c r="G185" s="26"/>
      <c r="H185" s="26"/>
      <c r="I185" s="26"/>
      <c r="J185" s="22"/>
      <c r="K185" s="20" t="n">
        <f aca="false">IF($D185="",0,$C185*$D185)</f>
        <v>0</v>
      </c>
      <c r="L185" s="20" t="n">
        <f aca="false">IF($D185="",0,$F185*$K185)</f>
        <v>0</v>
      </c>
      <c r="M185" s="20" t="n">
        <f aca="false">IF($D185="",0,$G185*$K185)</f>
        <v>0</v>
      </c>
      <c r="N185" s="20" t="n">
        <f aca="false">IF($D185="",0,$H185*$K185)</f>
        <v>0</v>
      </c>
      <c r="O185" s="20" t="n">
        <f aca="false">IF($D185="",0,$I185*$K185*(1-$F185))</f>
        <v>0</v>
      </c>
      <c r="P185" s="20" t="n">
        <f aca="false">IF($D185="",0,$E185*$D185+$L185+$M185+$N185+$O185+$J185*$D185)</f>
        <v>0</v>
      </c>
      <c r="Q185" s="20" t="n">
        <f aca="false">IF($D185="",0,$K185-$P185)</f>
        <v>0</v>
      </c>
      <c r="R185" s="21" t="n">
        <f aca="false">IF($K185=0,0,$Q185/$K185)</f>
        <v>0</v>
      </c>
      <c r="S185" s="20" t="n">
        <f aca="false">IF($D185="",0,$K185-$L185-$M185-$N185)</f>
        <v>0</v>
      </c>
      <c r="T185" s="22"/>
      <c r="U185" s="20" t="n">
        <f aca="false">IF($T185="",0,MAX(0,$S185-$T185))</f>
        <v>0</v>
      </c>
      <c r="V185" s="21" t="n">
        <f aca="false">IF($S185=0,0,$U185/$S185)</f>
        <v>0</v>
      </c>
      <c r="W185" s="23" t="str">
        <f aca="false">IF($D185="","",IF($T185="","BEKLİYOR",IF(OR($U185=0,$S185=0),"DOĞRU",IF(AND($V185&gt;PazaryeriEksikHakedisEsik,$U185&gt;PazaryeriEksikHakedisTutarEsik),"EKSİK HAKEDİŞ","DOĞRU"))))</f>
        <v/>
      </c>
      <c r="X185" s="23" t="str">
        <f aca="false">IF($B185="","",CONCATENATE("Ürün: ",$B185," | Kâr: ",TEXT($Q185,"₺ #,##0")," | Durum: ",$W185))</f>
        <v/>
      </c>
      <c r="Y185" s="24"/>
    </row>
    <row r="186" customFormat="false" ht="15" hidden="false" customHeight="false" outlineLevel="0" collapsed="false">
      <c r="A186" s="24"/>
      <c r="B186" s="24"/>
      <c r="C186" s="22"/>
      <c r="D186" s="25"/>
      <c r="E186" s="22"/>
      <c r="F186" s="26"/>
      <c r="G186" s="26"/>
      <c r="H186" s="26"/>
      <c r="I186" s="26"/>
      <c r="J186" s="22"/>
      <c r="K186" s="20" t="n">
        <f aca="false">IF($D186="",0,$C186*$D186)</f>
        <v>0</v>
      </c>
      <c r="L186" s="20" t="n">
        <f aca="false">IF($D186="",0,$F186*$K186)</f>
        <v>0</v>
      </c>
      <c r="M186" s="20" t="n">
        <f aca="false">IF($D186="",0,$G186*$K186)</f>
        <v>0</v>
      </c>
      <c r="N186" s="20" t="n">
        <f aca="false">IF($D186="",0,$H186*$K186)</f>
        <v>0</v>
      </c>
      <c r="O186" s="20" t="n">
        <f aca="false">IF($D186="",0,$I186*$K186*(1-$F186))</f>
        <v>0</v>
      </c>
      <c r="P186" s="20" t="n">
        <f aca="false">IF($D186="",0,$E186*$D186+$L186+$M186+$N186+$O186+$J186*$D186)</f>
        <v>0</v>
      </c>
      <c r="Q186" s="20" t="n">
        <f aca="false">IF($D186="",0,$K186-$P186)</f>
        <v>0</v>
      </c>
      <c r="R186" s="21" t="n">
        <f aca="false">IF($K186=0,0,$Q186/$K186)</f>
        <v>0</v>
      </c>
      <c r="S186" s="20" t="n">
        <f aca="false">IF($D186="",0,$K186-$L186-$M186-$N186)</f>
        <v>0</v>
      </c>
      <c r="T186" s="22"/>
      <c r="U186" s="20" t="n">
        <f aca="false">IF($T186="",0,MAX(0,$S186-$T186))</f>
        <v>0</v>
      </c>
      <c r="V186" s="21" t="n">
        <f aca="false">IF($S186=0,0,$U186/$S186)</f>
        <v>0</v>
      </c>
      <c r="W186" s="23" t="str">
        <f aca="false">IF($D186="","",IF($T186="","BEKLİYOR",IF(OR($U186=0,$S186=0),"DOĞRU",IF(AND($V186&gt;PazaryeriEksikHakedisEsik,$U186&gt;PazaryeriEksikHakedisTutarEsik),"EKSİK HAKEDİŞ","DOĞRU"))))</f>
        <v/>
      </c>
      <c r="X186" s="23" t="str">
        <f aca="false">IF($B186="","",CONCATENATE("Ürün: ",$B186," | Kâr: ",TEXT($Q186,"₺ #,##0")," | Durum: ",$W186))</f>
        <v/>
      </c>
      <c r="Y186" s="24"/>
    </row>
    <row r="187" customFormat="false" ht="15" hidden="false" customHeight="false" outlineLevel="0" collapsed="false">
      <c r="A187" s="24"/>
      <c r="B187" s="24"/>
      <c r="C187" s="22"/>
      <c r="D187" s="25"/>
      <c r="E187" s="22"/>
      <c r="F187" s="26"/>
      <c r="G187" s="26"/>
      <c r="H187" s="26"/>
      <c r="I187" s="26"/>
      <c r="J187" s="22"/>
      <c r="K187" s="20" t="n">
        <f aca="false">IF($D187="",0,$C187*$D187)</f>
        <v>0</v>
      </c>
      <c r="L187" s="20" t="n">
        <f aca="false">IF($D187="",0,$F187*$K187)</f>
        <v>0</v>
      </c>
      <c r="M187" s="20" t="n">
        <f aca="false">IF($D187="",0,$G187*$K187)</f>
        <v>0</v>
      </c>
      <c r="N187" s="20" t="n">
        <f aca="false">IF($D187="",0,$H187*$K187)</f>
        <v>0</v>
      </c>
      <c r="O187" s="20" t="n">
        <f aca="false">IF($D187="",0,$I187*$K187*(1-$F187))</f>
        <v>0</v>
      </c>
      <c r="P187" s="20" t="n">
        <f aca="false">IF($D187="",0,$E187*$D187+$L187+$M187+$N187+$O187+$J187*$D187)</f>
        <v>0</v>
      </c>
      <c r="Q187" s="20" t="n">
        <f aca="false">IF($D187="",0,$K187-$P187)</f>
        <v>0</v>
      </c>
      <c r="R187" s="21" t="n">
        <f aca="false">IF($K187=0,0,$Q187/$K187)</f>
        <v>0</v>
      </c>
      <c r="S187" s="20" t="n">
        <f aca="false">IF($D187="",0,$K187-$L187-$M187-$N187)</f>
        <v>0</v>
      </c>
      <c r="T187" s="22"/>
      <c r="U187" s="20" t="n">
        <f aca="false">IF($T187="",0,MAX(0,$S187-$T187))</f>
        <v>0</v>
      </c>
      <c r="V187" s="21" t="n">
        <f aca="false">IF($S187=0,0,$U187/$S187)</f>
        <v>0</v>
      </c>
      <c r="W187" s="23" t="str">
        <f aca="false">IF($D187="","",IF($T187="","BEKLİYOR",IF(OR($U187=0,$S187=0),"DOĞRU",IF(AND($V187&gt;PazaryeriEksikHakedisEsik,$U187&gt;PazaryeriEksikHakedisTutarEsik),"EKSİK HAKEDİŞ","DOĞRU"))))</f>
        <v/>
      </c>
      <c r="X187" s="23" t="str">
        <f aca="false">IF($B187="","",CONCATENATE("Ürün: ",$B187," | Kâr: ",TEXT($Q187,"₺ #,##0")," | Durum: ",$W187))</f>
        <v/>
      </c>
      <c r="Y187" s="24"/>
    </row>
    <row r="188" customFormat="false" ht="15" hidden="false" customHeight="false" outlineLevel="0" collapsed="false">
      <c r="A188" s="24"/>
      <c r="B188" s="24"/>
      <c r="C188" s="22"/>
      <c r="D188" s="25"/>
      <c r="E188" s="22"/>
      <c r="F188" s="26"/>
      <c r="G188" s="26"/>
      <c r="H188" s="26"/>
      <c r="I188" s="26"/>
      <c r="J188" s="22"/>
      <c r="K188" s="20" t="n">
        <f aca="false">IF($D188="",0,$C188*$D188)</f>
        <v>0</v>
      </c>
      <c r="L188" s="20" t="n">
        <f aca="false">IF($D188="",0,$F188*$K188)</f>
        <v>0</v>
      </c>
      <c r="M188" s="20" t="n">
        <f aca="false">IF($D188="",0,$G188*$K188)</f>
        <v>0</v>
      </c>
      <c r="N188" s="20" t="n">
        <f aca="false">IF($D188="",0,$H188*$K188)</f>
        <v>0</v>
      </c>
      <c r="O188" s="20" t="n">
        <f aca="false">IF($D188="",0,$I188*$K188*(1-$F188))</f>
        <v>0</v>
      </c>
      <c r="P188" s="20" t="n">
        <f aca="false">IF($D188="",0,$E188*$D188+$L188+$M188+$N188+$O188+$J188*$D188)</f>
        <v>0</v>
      </c>
      <c r="Q188" s="20" t="n">
        <f aca="false">IF($D188="",0,$K188-$P188)</f>
        <v>0</v>
      </c>
      <c r="R188" s="21" t="n">
        <f aca="false">IF($K188=0,0,$Q188/$K188)</f>
        <v>0</v>
      </c>
      <c r="S188" s="20" t="n">
        <f aca="false">IF($D188="",0,$K188-$L188-$M188-$N188)</f>
        <v>0</v>
      </c>
      <c r="T188" s="22"/>
      <c r="U188" s="20" t="n">
        <f aca="false">IF($T188="",0,MAX(0,$S188-$T188))</f>
        <v>0</v>
      </c>
      <c r="V188" s="21" t="n">
        <f aca="false">IF($S188=0,0,$U188/$S188)</f>
        <v>0</v>
      </c>
      <c r="W188" s="23" t="str">
        <f aca="false">IF($D188="","",IF($T188="","BEKLİYOR",IF(OR($U188=0,$S188=0),"DOĞRU",IF(AND($V188&gt;PazaryeriEksikHakedisEsik,$U188&gt;PazaryeriEksikHakedisTutarEsik),"EKSİK HAKEDİŞ","DOĞRU"))))</f>
        <v/>
      </c>
      <c r="X188" s="23" t="str">
        <f aca="false">IF($B188="","",CONCATENATE("Ürün: ",$B188," | Kâr: ",TEXT($Q188,"₺ #,##0")," | Durum: ",$W188))</f>
        <v/>
      </c>
      <c r="Y188" s="24"/>
    </row>
    <row r="189" customFormat="false" ht="15" hidden="false" customHeight="false" outlineLevel="0" collapsed="false">
      <c r="A189" s="24"/>
      <c r="B189" s="24"/>
      <c r="C189" s="22"/>
      <c r="D189" s="25"/>
      <c r="E189" s="22"/>
      <c r="F189" s="26"/>
      <c r="G189" s="26"/>
      <c r="H189" s="26"/>
      <c r="I189" s="26"/>
      <c r="J189" s="22"/>
      <c r="K189" s="20" t="n">
        <f aca="false">IF($D189="",0,$C189*$D189)</f>
        <v>0</v>
      </c>
      <c r="L189" s="20" t="n">
        <f aca="false">IF($D189="",0,$F189*$K189)</f>
        <v>0</v>
      </c>
      <c r="M189" s="20" t="n">
        <f aca="false">IF($D189="",0,$G189*$K189)</f>
        <v>0</v>
      </c>
      <c r="N189" s="20" t="n">
        <f aca="false">IF($D189="",0,$H189*$K189)</f>
        <v>0</v>
      </c>
      <c r="O189" s="20" t="n">
        <f aca="false">IF($D189="",0,$I189*$K189*(1-$F189))</f>
        <v>0</v>
      </c>
      <c r="P189" s="20" t="n">
        <f aca="false">IF($D189="",0,$E189*$D189+$L189+$M189+$N189+$O189+$J189*$D189)</f>
        <v>0</v>
      </c>
      <c r="Q189" s="20" t="n">
        <f aca="false">IF($D189="",0,$K189-$P189)</f>
        <v>0</v>
      </c>
      <c r="R189" s="21" t="n">
        <f aca="false">IF($K189=0,0,$Q189/$K189)</f>
        <v>0</v>
      </c>
      <c r="S189" s="20" t="n">
        <f aca="false">IF($D189="",0,$K189-$L189-$M189-$N189)</f>
        <v>0</v>
      </c>
      <c r="T189" s="22"/>
      <c r="U189" s="20" t="n">
        <f aca="false">IF($T189="",0,MAX(0,$S189-$T189))</f>
        <v>0</v>
      </c>
      <c r="V189" s="21" t="n">
        <f aca="false">IF($S189=0,0,$U189/$S189)</f>
        <v>0</v>
      </c>
      <c r="W189" s="23" t="str">
        <f aca="false">IF($D189="","",IF($T189="","BEKLİYOR",IF(OR($U189=0,$S189=0),"DOĞRU",IF(AND($V189&gt;PazaryeriEksikHakedisEsik,$U189&gt;PazaryeriEksikHakedisTutarEsik),"EKSİK HAKEDİŞ","DOĞRU"))))</f>
        <v/>
      </c>
      <c r="X189" s="23" t="str">
        <f aca="false">IF($B189="","",CONCATENATE("Ürün: ",$B189," | Kâr: ",TEXT($Q189,"₺ #,##0")," | Durum: ",$W189))</f>
        <v/>
      </c>
      <c r="Y189" s="24"/>
    </row>
    <row r="190" customFormat="false" ht="15" hidden="false" customHeight="false" outlineLevel="0" collapsed="false">
      <c r="A190" s="24"/>
      <c r="B190" s="24"/>
      <c r="C190" s="22"/>
      <c r="D190" s="25"/>
      <c r="E190" s="22"/>
      <c r="F190" s="26"/>
      <c r="G190" s="26"/>
      <c r="H190" s="26"/>
      <c r="I190" s="26"/>
      <c r="J190" s="22"/>
      <c r="K190" s="20" t="n">
        <f aca="false">IF($D190="",0,$C190*$D190)</f>
        <v>0</v>
      </c>
      <c r="L190" s="20" t="n">
        <f aca="false">IF($D190="",0,$F190*$K190)</f>
        <v>0</v>
      </c>
      <c r="M190" s="20" t="n">
        <f aca="false">IF($D190="",0,$G190*$K190)</f>
        <v>0</v>
      </c>
      <c r="N190" s="20" t="n">
        <f aca="false">IF($D190="",0,$H190*$K190)</f>
        <v>0</v>
      </c>
      <c r="O190" s="20" t="n">
        <f aca="false">IF($D190="",0,$I190*$K190*(1-$F190))</f>
        <v>0</v>
      </c>
      <c r="P190" s="20" t="n">
        <f aca="false">IF($D190="",0,$E190*$D190+$L190+$M190+$N190+$O190+$J190*$D190)</f>
        <v>0</v>
      </c>
      <c r="Q190" s="20" t="n">
        <f aca="false">IF($D190="",0,$K190-$P190)</f>
        <v>0</v>
      </c>
      <c r="R190" s="21" t="n">
        <f aca="false">IF($K190=0,0,$Q190/$K190)</f>
        <v>0</v>
      </c>
      <c r="S190" s="20" t="n">
        <f aca="false">IF($D190="",0,$K190-$L190-$M190-$N190)</f>
        <v>0</v>
      </c>
      <c r="T190" s="22"/>
      <c r="U190" s="20" t="n">
        <f aca="false">IF($T190="",0,MAX(0,$S190-$T190))</f>
        <v>0</v>
      </c>
      <c r="V190" s="21" t="n">
        <f aca="false">IF($S190=0,0,$U190/$S190)</f>
        <v>0</v>
      </c>
      <c r="W190" s="23" t="str">
        <f aca="false">IF($D190="","",IF($T190="","BEKLİYOR",IF(OR($U190=0,$S190=0),"DOĞRU",IF(AND($V190&gt;PazaryeriEksikHakedisEsik,$U190&gt;PazaryeriEksikHakedisTutarEsik),"EKSİK HAKEDİŞ","DOĞRU"))))</f>
        <v/>
      </c>
      <c r="X190" s="23" t="str">
        <f aca="false">IF($B190="","",CONCATENATE("Ürün: ",$B190," | Kâr: ",TEXT($Q190,"₺ #,##0")," | Durum: ",$W190))</f>
        <v/>
      </c>
      <c r="Y190" s="24"/>
    </row>
    <row r="191" customFormat="false" ht="15" hidden="false" customHeight="false" outlineLevel="0" collapsed="false">
      <c r="A191" s="24"/>
      <c r="B191" s="24"/>
      <c r="C191" s="22"/>
      <c r="D191" s="25"/>
      <c r="E191" s="22"/>
      <c r="F191" s="26"/>
      <c r="G191" s="26"/>
      <c r="H191" s="26"/>
      <c r="I191" s="26"/>
      <c r="J191" s="22"/>
      <c r="K191" s="20" t="n">
        <f aca="false">IF($D191="",0,$C191*$D191)</f>
        <v>0</v>
      </c>
      <c r="L191" s="20" t="n">
        <f aca="false">IF($D191="",0,$F191*$K191)</f>
        <v>0</v>
      </c>
      <c r="M191" s="20" t="n">
        <f aca="false">IF($D191="",0,$G191*$K191)</f>
        <v>0</v>
      </c>
      <c r="N191" s="20" t="n">
        <f aca="false">IF($D191="",0,$H191*$K191)</f>
        <v>0</v>
      </c>
      <c r="O191" s="20" t="n">
        <f aca="false">IF($D191="",0,$I191*$K191*(1-$F191))</f>
        <v>0</v>
      </c>
      <c r="P191" s="20" t="n">
        <f aca="false">IF($D191="",0,$E191*$D191+$L191+$M191+$N191+$O191+$J191*$D191)</f>
        <v>0</v>
      </c>
      <c r="Q191" s="20" t="n">
        <f aca="false">IF($D191="",0,$K191-$P191)</f>
        <v>0</v>
      </c>
      <c r="R191" s="21" t="n">
        <f aca="false">IF($K191=0,0,$Q191/$K191)</f>
        <v>0</v>
      </c>
      <c r="S191" s="20" t="n">
        <f aca="false">IF($D191="",0,$K191-$L191-$M191-$N191)</f>
        <v>0</v>
      </c>
      <c r="T191" s="22"/>
      <c r="U191" s="20" t="n">
        <f aca="false">IF($T191="",0,MAX(0,$S191-$T191))</f>
        <v>0</v>
      </c>
      <c r="V191" s="21" t="n">
        <f aca="false">IF($S191=0,0,$U191/$S191)</f>
        <v>0</v>
      </c>
      <c r="W191" s="23" t="str">
        <f aca="false">IF($D191="","",IF($T191="","BEKLİYOR",IF(OR($U191=0,$S191=0),"DOĞRU",IF(AND($V191&gt;PazaryeriEksikHakedisEsik,$U191&gt;PazaryeriEksikHakedisTutarEsik),"EKSİK HAKEDİŞ","DOĞRU"))))</f>
        <v/>
      </c>
      <c r="X191" s="23" t="str">
        <f aca="false">IF($B191="","",CONCATENATE("Ürün: ",$B191," | Kâr: ",TEXT($Q191,"₺ #,##0")," | Durum: ",$W191))</f>
        <v/>
      </c>
      <c r="Y191" s="24"/>
    </row>
    <row r="192" customFormat="false" ht="15" hidden="false" customHeight="false" outlineLevel="0" collapsed="false">
      <c r="A192" s="24"/>
      <c r="B192" s="24"/>
      <c r="C192" s="22"/>
      <c r="D192" s="25"/>
      <c r="E192" s="22"/>
      <c r="F192" s="26"/>
      <c r="G192" s="26"/>
      <c r="H192" s="26"/>
      <c r="I192" s="26"/>
      <c r="J192" s="22"/>
      <c r="K192" s="20" t="n">
        <f aca="false">IF($D192="",0,$C192*$D192)</f>
        <v>0</v>
      </c>
      <c r="L192" s="20" t="n">
        <f aca="false">IF($D192="",0,$F192*$K192)</f>
        <v>0</v>
      </c>
      <c r="M192" s="20" t="n">
        <f aca="false">IF($D192="",0,$G192*$K192)</f>
        <v>0</v>
      </c>
      <c r="N192" s="20" t="n">
        <f aca="false">IF($D192="",0,$H192*$K192)</f>
        <v>0</v>
      </c>
      <c r="O192" s="20" t="n">
        <f aca="false">IF($D192="",0,$I192*$K192*(1-$F192))</f>
        <v>0</v>
      </c>
      <c r="P192" s="20" t="n">
        <f aca="false">IF($D192="",0,$E192*$D192+$L192+$M192+$N192+$O192+$J192*$D192)</f>
        <v>0</v>
      </c>
      <c r="Q192" s="20" t="n">
        <f aca="false">IF($D192="",0,$K192-$P192)</f>
        <v>0</v>
      </c>
      <c r="R192" s="21" t="n">
        <f aca="false">IF($K192=0,0,$Q192/$K192)</f>
        <v>0</v>
      </c>
      <c r="S192" s="20" t="n">
        <f aca="false">IF($D192="",0,$K192-$L192-$M192-$N192)</f>
        <v>0</v>
      </c>
      <c r="T192" s="22"/>
      <c r="U192" s="20" t="n">
        <f aca="false">IF($T192="",0,MAX(0,$S192-$T192))</f>
        <v>0</v>
      </c>
      <c r="V192" s="21" t="n">
        <f aca="false">IF($S192=0,0,$U192/$S192)</f>
        <v>0</v>
      </c>
      <c r="W192" s="23" t="str">
        <f aca="false">IF($D192="","",IF($T192="","BEKLİYOR",IF(OR($U192=0,$S192=0),"DOĞRU",IF(AND($V192&gt;PazaryeriEksikHakedisEsik,$U192&gt;PazaryeriEksikHakedisTutarEsik),"EKSİK HAKEDİŞ","DOĞRU"))))</f>
        <v/>
      </c>
      <c r="X192" s="23" t="str">
        <f aca="false">IF($B192="","",CONCATENATE("Ürün: ",$B192," | Kâr: ",TEXT($Q192,"₺ #,##0")," | Durum: ",$W192))</f>
        <v/>
      </c>
      <c r="Y192" s="24"/>
    </row>
    <row r="193" customFormat="false" ht="15" hidden="false" customHeight="false" outlineLevel="0" collapsed="false">
      <c r="A193" s="24"/>
      <c r="B193" s="24"/>
      <c r="C193" s="22"/>
      <c r="D193" s="25"/>
      <c r="E193" s="22"/>
      <c r="F193" s="26"/>
      <c r="G193" s="26"/>
      <c r="H193" s="26"/>
      <c r="I193" s="26"/>
      <c r="J193" s="22"/>
      <c r="K193" s="20" t="n">
        <f aca="false">IF($D193="",0,$C193*$D193)</f>
        <v>0</v>
      </c>
      <c r="L193" s="20" t="n">
        <f aca="false">IF($D193="",0,$F193*$K193)</f>
        <v>0</v>
      </c>
      <c r="M193" s="20" t="n">
        <f aca="false">IF($D193="",0,$G193*$K193)</f>
        <v>0</v>
      </c>
      <c r="N193" s="20" t="n">
        <f aca="false">IF($D193="",0,$H193*$K193)</f>
        <v>0</v>
      </c>
      <c r="O193" s="20" t="n">
        <f aca="false">IF($D193="",0,$I193*$K193*(1-$F193))</f>
        <v>0</v>
      </c>
      <c r="P193" s="20" t="n">
        <f aca="false">IF($D193="",0,$E193*$D193+$L193+$M193+$N193+$O193+$J193*$D193)</f>
        <v>0</v>
      </c>
      <c r="Q193" s="20" t="n">
        <f aca="false">IF($D193="",0,$K193-$P193)</f>
        <v>0</v>
      </c>
      <c r="R193" s="21" t="n">
        <f aca="false">IF($K193=0,0,$Q193/$K193)</f>
        <v>0</v>
      </c>
      <c r="S193" s="20" t="n">
        <f aca="false">IF($D193="",0,$K193-$L193-$M193-$N193)</f>
        <v>0</v>
      </c>
      <c r="T193" s="22"/>
      <c r="U193" s="20" t="n">
        <f aca="false">IF($T193="",0,MAX(0,$S193-$T193))</f>
        <v>0</v>
      </c>
      <c r="V193" s="21" t="n">
        <f aca="false">IF($S193=0,0,$U193/$S193)</f>
        <v>0</v>
      </c>
      <c r="W193" s="23" t="str">
        <f aca="false">IF($D193="","",IF($T193="","BEKLİYOR",IF(OR($U193=0,$S193=0),"DOĞRU",IF(AND($V193&gt;PazaryeriEksikHakedisEsik,$U193&gt;PazaryeriEksikHakedisTutarEsik),"EKSİK HAKEDİŞ","DOĞRU"))))</f>
        <v/>
      </c>
      <c r="X193" s="23" t="str">
        <f aca="false">IF($B193="","",CONCATENATE("Ürün: ",$B193," | Kâr: ",TEXT($Q193,"₺ #,##0")," | Durum: ",$W193))</f>
        <v/>
      </c>
      <c r="Y193" s="24"/>
    </row>
    <row r="194" customFormat="false" ht="15" hidden="false" customHeight="false" outlineLevel="0" collapsed="false">
      <c r="A194" s="24"/>
      <c r="B194" s="24"/>
      <c r="C194" s="22"/>
      <c r="D194" s="25"/>
      <c r="E194" s="22"/>
      <c r="F194" s="26"/>
      <c r="G194" s="26"/>
      <c r="H194" s="26"/>
      <c r="I194" s="26"/>
      <c r="J194" s="22"/>
      <c r="K194" s="20" t="n">
        <f aca="false">IF($D194="",0,$C194*$D194)</f>
        <v>0</v>
      </c>
      <c r="L194" s="20" t="n">
        <f aca="false">IF($D194="",0,$F194*$K194)</f>
        <v>0</v>
      </c>
      <c r="M194" s="20" t="n">
        <f aca="false">IF($D194="",0,$G194*$K194)</f>
        <v>0</v>
      </c>
      <c r="N194" s="20" t="n">
        <f aca="false">IF($D194="",0,$H194*$K194)</f>
        <v>0</v>
      </c>
      <c r="O194" s="20" t="n">
        <f aca="false">IF($D194="",0,$I194*$K194*(1-$F194))</f>
        <v>0</v>
      </c>
      <c r="P194" s="20" t="n">
        <f aca="false">IF($D194="",0,$E194*$D194+$L194+$M194+$N194+$O194+$J194*$D194)</f>
        <v>0</v>
      </c>
      <c r="Q194" s="20" t="n">
        <f aca="false">IF($D194="",0,$K194-$P194)</f>
        <v>0</v>
      </c>
      <c r="R194" s="21" t="n">
        <f aca="false">IF($K194=0,0,$Q194/$K194)</f>
        <v>0</v>
      </c>
      <c r="S194" s="20" t="n">
        <f aca="false">IF($D194="",0,$K194-$L194-$M194-$N194)</f>
        <v>0</v>
      </c>
      <c r="T194" s="22"/>
      <c r="U194" s="20" t="n">
        <f aca="false">IF($T194="",0,MAX(0,$S194-$T194))</f>
        <v>0</v>
      </c>
      <c r="V194" s="21" t="n">
        <f aca="false">IF($S194=0,0,$U194/$S194)</f>
        <v>0</v>
      </c>
      <c r="W194" s="23" t="str">
        <f aca="false">IF($D194="","",IF($T194="","BEKLİYOR",IF(OR($U194=0,$S194=0),"DOĞRU",IF(AND($V194&gt;PazaryeriEksikHakedisEsik,$U194&gt;PazaryeriEksikHakedisTutarEsik),"EKSİK HAKEDİŞ","DOĞRU"))))</f>
        <v/>
      </c>
      <c r="X194" s="23" t="str">
        <f aca="false">IF($B194="","",CONCATENATE("Ürün: ",$B194," | Kâr: ",TEXT($Q194,"₺ #,##0")," | Durum: ",$W194))</f>
        <v/>
      </c>
      <c r="Y194" s="24"/>
    </row>
    <row r="195" customFormat="false" ht="15" hidden="false" customHeight="false" outlineLevel="0" collapsed="false">
      <c r="A195" s="24"/>
      <c r="B195" s="24"/>
      <c r="C195" s="22"/>
      <c r="D195" s="25"/>
      <c r="E195" s="22"/>
      <c r="F195" s="26"/>
      <c r="G195" s="26"/>
      <c r="H195" s="26"/>
      <c r="I195" s="26"/>
      <c r="J195" s="22"/>
      <c r="K195" s="20" t="n">
        <f aca="false">IF($D195="",0,$C195*$D195)</f>
        <v>0</v>
      </c>
      <c r="L195" s="20" t="n">
        <f aca="false">IF($D195="",0,$F195*$K195)</f>
        <v>0</v>
      </c>
      <c r="M195" s="20" t="n">
        <f aca="false">IF($D195="",0,$G195*$K195)</f>
        <v>0</v>
      </c>
      <c r="N195" s="20" t="n">
        <f aca="false">IF($D195="",0,$H195*$K195)</f>
        <v>0</v>
      </c>
      <c r="O195" s="20" t="n">
        <f aca="false">IF($D195="",0,$I195*$K195*(1-$F195))</f>
        <v>0</v>
      </c>
      <c r="P195" s="20" t="n">
        <f aca="false">IF($D195="",0,$E195*$D195+$L195+$M195+$N195+$O195+$J195*$D195)</f>
        <v>0</v>
      </c>
      <c r="Q195" s="20" t="n">
        <f aca="false">IF($D195="",0,$K195-$P195)</f>
        <v>0</v>
      </c>
      <c r="R195" s="21" t="n">
        <f aca="false">IF($K195=0,0,$Q195/$K195)</f>
        <v>0</v>
      </c>
      <c r="S195" s="20" t="n">
        <f aca="false">IF($D195="",0,$K195-$L195-$M195-$N195)</f>
        <v>0</v>
      </c>
      <c r="T195" s="22"/>
      <c r="U195" s="20" t="n">
        <f aca="false">IF($T195="",0,MAX(0,$S195-$T195))</f>
        <v>0</v>
      </c>
      <c r="V195" s="21" t="n">
        <f aca="false">IF($S195=0,0,$U195/$S195)</f>
        <v>0</v>
      </c>
      <c r="W195" s="23" t="str">
        <f aca="false">IF($D195="","",IF($T195="","BEKLİYOR",IF(OR($U195=0,$S195=0),"DOĞRU",IF(AND($V195&gt;PazaryeriEksikHakedisEsik,$U195&gt;PazaryeriEksikHakedisTutarEsik),"EKSİK HAKEDİŞ","DOĞRU"))))</f>
        <v/>
      </c>
      <c r="X195" s="23" t="str">
        <f aca="false">IF($B195="","",CONCATENATE("Ürün: ",$B195," | Kâr: ",TEXT($Q195,"₺ #,##0")," | Durum: ",$W195))</f>
        <v/>
      </c>
      <c r="Y195" s="24"/>
    </row>
    <row r="196" customFormat="false" ht="15" hidden="false" customHeight="false" outlineLevel="0" collapsed="false">
      <c r="A196" s="24"/>
      <c r="B196" s="24"/>
      <c r="C196" s="22"/>
      <c r="D196" s="25"/>
      <c r="E196" s="22"/>
      <c r="F196" s="26"/>
      <c r="G196" s="26"/>
      <c r="H196" s="26"/>
      <c r="I196" s="26"/>
      <c r="J196" s="22"/>
      <c r="K196" s="20" t="n">
        <f aca="false">IF($D196="",0,$C196*$D196)</f>
        <v>0</v>
      </c>
      <c r="L196" s="20" t="n">
        <f aca="false">IF($D196="",0,$F196*$K196)</f>
        <v>0</v>
      </c>
      <c r="M196" s="20" t="n">
        <f aca="false">IF($D196="",0,$G196*$K196)</f>
        <v>0</v>
      </c>
      <c r="N196" s="20" t="n">
        <f aca="false">IF($D196="",0,$H196*$K196)</f>
        <v>0</v>
      </c>
      <c r="O196" s="20" t="n">
        <f aca="false">IF($D196="",0,$I196*$K196*(1-$F196))</f>
        <v>0</v>
      </c>
      <c r="P196" s="20" t="n">
        <f aca="false">IF($D196="",0,$E196*$D196+$L196+$M196+$N196+$O196+$J196*$D196)</f>
        <v>0</v>
      </c>
      <c r="Q196" s="20" t="n">
        <f aca="false">IF($D196="",0,$K196-$P196)</f>
        <v>0</v>
      </c>
      <c r="R196" s="21" t="n">
        <f aca="false">IF($K196=0,0,$Q196/$K196)</f>
        <v>0</v>
      </c>
      <c r="S196" s="20" t="n">
        <f aca="false">IF($D196="",0,$K196-$L196-$M196-$N196)</f>
        <v>0</v>
      </c>
      <c r="T196" s="22"/>
      <c r="U196" s="20" t="n">
        <f aca="false">IF($T196="",0,MAX(0,$S196-$T196))</f>
        <v>0</v>
      </c>
      <c r="V196" s="21" t="n">
        <f aca="false">IF($S196=0,0,$U196/$S196)</f>
        <v>0</v>
      </c>
      <c r="W196" s="23" t="str">
        <f aca="false">IF($D196="","",IF($T196="","BEKLİYOR",IF(OR($U196=0,$S196=0),"DOĞRU",IF(AND($V196&gt;PazaryeriEksikHakedisEsik,$U196&gt;PazaryeriEksikHakedisTutarEsik),"EKSİK HAKEDİŞ","DOĞRU"))))</f>
        <v/>
      </c>
      <c r="X196" s="23" t="str">
        <f aca="false">IF($B196="","",CONCATENATE("Ürün: ",$B196," | Kâr: ",TEXT($Q196,"₺ #,##0")," | Durum: ",$W196))</f>
        <v/>
      </c>
      <c r="Y196" s="24"/>
    </row>
    <row r="197" customFormat="false" ht="15" hidden="false" customHeight="false" outlineLevel="0" collapsed="false">
      <c r="A197" s="24"/>
      <c r="B197" s="24"/>
      <c r="C197" s="22"/>
      <c r="D197" s="25"/>
      <c r="E197" s="22"/>
      <c r="F197" s="26"/>
      <c r="G197" s="26"/>
      <c r="H197" s="26"/>
      <c r="I197" s="26"/>
      <c r="J197" s="22"/>
      <c r="K197" s="20" t="n">
        <f aca="false">IF($D197="",0,$C197*$D197)</f>
        <v>0</v>
      </c>
      <c r="L197" s="20" t="n">
        <f aca="false">IF($D197="",0,$F197*$K197)</f>
        <v>0</v>
      </c>
      <c r="M197" s="20" t="n">
        <f aca="false">IF($D197="",0,$G197*$K197)</f>
        <v>0</v>
      </c>
      <c r="N197" s="20" t="n">
        <f aca="false">IF($D197="",0,$H197*$K197)</f>
        <v>0</v>
      </c>
      <c r="O197" s="20" t="n">
        <f aca="false">IF($D197="",0,$I197*$K197*(1-$F197))</f>
        <v>0</v>
      </c>
      <c r="P197" s="20" t="n">
        <f aca="false">IF($D197="",0,$E197*$D197+$L197+$M197+$N197+$O197+$J197*$D197)</f>
        <v>0</v>
      </c>
      <c r="Q197" s="20" t="n">
        <f aca="false">IF($D197="",0,$K197-$P197)</f>
        <v>0</v>
      </c>
      <c r="R197" s="21" t="n">
        <f aca="false">IF($K197=0,0,$Q197/$K197)</f>
        <v>0</v>
      </c>
      <c r="S197" s="20" t="n">
        <f aca="false">IF($D197="",0,$K197-$L197-$M197-$N197)</f>
        <v>0</v>
      </c>
      <c r="T197" s="22"/>
      <c r="U197" s="20" t="n">
        <f aca="false">IF($T197="",0,MAX(0,$S197-$T197))</f>
        <v>0</v>
      </c>
      <c r="V197" s="21" t="n">
        <f aca="false">IF($S197=0,0,$U197/$S197)</f>
        <v>0</v>
      </c>
      <c r="W197" s="23" t="str">
        <f aca="false">IF($D197="","",IF($T197="","BEKLİYOR",IF(OR($U197=0,$S197=0),"DOĞRU",IF(AND($V197&gt;PazaryeriEksikHakedisEsik,$U197&gt;PazaryeriEksikHakedisTutarEsik),"EKSİK HAKEDİŞ","DOĞRU"))))</f>
        <v/>
      </c>
      <c r="X197" s="23" t="str">
        <f aca="false">IF($B197="","",CONCATENATE("Ürün: ",$B197," | Kâr: ",TEXT($Q197,"₺ #,##0")," | Durum: ",$W197))</f>
        <v/>
      </c>
      <c r="Y197" s="24"/>
    </row>
    <row r="198" customFormat="false" ht="15" hidden="false" customHeight="false" outlineLevel="0" collapsed="false">
      <c r="A198" s="24"/>
      <c r="B198" s="24"/>
      <c r="C198" s="22"/>
      <c r="D198" s="25"/>
      <c r="E198" s="22"/>
      <c r="F198" s="26"/>
      <c r="G198" s="26"/>
      <c r="H198" s="26"/>
      <c r="I198" s="26"/>
      <c r="J198" s="22"/>
      <c r="K198" s="20" t="n">
        <f aca="false">IF($D198="",0,$C198*$D198)</f>
        <v>0</v>
      </c>
      <c r="L198" s="20" t="n">
        <f aca="false">IF($D198="",0,$F198*$K198)</f>
        <v>0</v>
      </c>
      <c r="M198" s="20" t="n">
        <f aca="false">IF($D198="",0,$G198*$K198)</f>
        <v>0</v>
      </c>
      <c r="N198" s="20" t="n">
        <f aca="false">IF($D198="",0,$H198*$K198)</f>
        <v>0</v>
      </c>
      <c r="O198" s="20" t="n">
        <f aca="false">IF($D198="",0,$I198*$K198*(1-$F198))</f>
        <v>0</v>
      </c>
      <c r="P198" s="20" t="n">
        <f aca="false">IF($D198="",0,$E198*$D198+$L198+$M198+$N198+$O198+$J198*$D198)</f>
        <v>0</v>
      </c>
      <c r="Q198" s="20" t="n">
        <f aca="false">IF($D198="",0,$K198-$P198)</f>
        <v>0</v>
      </c>
      <c r="R198" s="21" t="n">
        <f aca="false">IF($K198=0,0,$Q198/$K198)</f>
        <v>0</v>
      </c>
      <c r="S198" s="20" t="n">
        <f aca="false">IF($D198="",0,$K198-$L198-$M198-$N198)</f>
        <v>0</v>
      </c>
      <c r="T198" s="22"/>
      <c r="U198" s="20" t="n">
        <f aca="false">IF($T198="",0,MAX(0,$S198-$T198))</f>
        <v>0</v>
      </c>
      <c r="V198" s="21" t="n">
        <f aca="false">IF($S198=0,0,$U198/$S198)</f>
        <v>0</v>
      </c>
      <c r="W198" s="23" t="str">
        <f aca="false">IF($D198="","",IF($T198="","BEKLİYOR",IF(OR($U198=0,$S198=0),"DOĞRU",IF(AND($V198&gt;PazaryeriEksikHakedisEsik,$U198&gt;PazaryeriEksikHakedisTutarEsik),"EKSİK HAKEDİŞ","DOĞRU"))))</f>
        <v/>
      </c>
      <c r="X198" s="23" t="str">
        <f aca="false">IF($B198="","",CONCATENATE("Ürün: ",$B198," | Kâr: ",TEXT($Q198,"₺ #,##0")," | Durum: ",$W198))</f>
        <v/>
      </c>
      <c r="Y198" s="24"/>
    </row>
    <row r="199" customFormat="false" ht="15" hidden="false" customHeight="false" outlineLevel="0" collapsed="false">
      <c r="A199" s="24"/>
      <c r="B199" s="24"/>
      <c r="C199" s="22"/>
      <c r="D199" s="25"/>
      <c r="E199" s="22"/>
      <c r="F199" s="26"/>
      <c r="G199" s="26"/>
      <c r="H199" s="26"/>
      <c r="I199" s="26"/>
      <c r="J199" s="22"/>
      <c r="K199" s="20" t="n">
        <f aca="false">IF($D199="",0,$C199*$D199)</f>
        <v>0</v>
      </c>
      <c r="L199" s="20" t="n">
        <f aca="false">IF($D199="",0,$F199*$K199)</f>
        <v>0</v>
      </c>
      <c r="M199" s="20" t="n">
        <f aca="false">IF($D199="",0,$G199*$K199)</f>
        <v>0</v>
      </c>
      <c r="N199" s="20" t="n">
        <f aca="false">IF($D199="",0,$H199*$K199)</f>
        <v>0</v>
      </c>
      <c r="O199" s="20" t="n">
        <f aca="false">IF($D199="",0,$I199*$K199*(1-$F199))</f>
        <v>0</v>
      </c>
      <c r="P199" s="20" t="n">
        <f aca="false">IF($D199="",0,$E199*$D199+$L199+$M199+$N199+$O199+$J199*$D199)</f>
        <v>0</v>
      </c>
      <c r="Q199" s="20" t="n">
        <f aca="false">IF($D199="",0,$K199-$P199)</f>
        <v>0</v>
      </c>
      <c r="R199" s="21" t="n">
        <f aca="false">IF($K199=0,0,$Q199/$K199)</f>
        <v>0</v>
      </c>
      <c r="S199" s="20" t="n">
        <f aca="false">IF($D199="",0,$K199-$L199-$M199-$N199)</f>
        <v>0</v>
      </c>
      <c r="T199" s="22"/>
      <c r="U199" s="20" t="n">
        <f aca="false">IF($T199="",0,MAX(0,$S199-$T199))</f>
        <v>0</v>
      </c>
      <c r="V199" s="21" t="n">
        <f aca="false">IF($S199=0,0,$U199/$S199)</f>
        <v>0</v>
      </c>
      <c r="W199" s="23" t="str">
        <f aca="false">IF($D199="","",IF($T199="","BEKLİYOR",IF(OR($U199=0,$S199=0),"DOĞRU",IF(AND($V199&gt;PazaryeriEksikHakedisEsik,$U199&gt;PazaryeriEksikHakedisTutarEsik),"EKSİK HAKEDİŞ","DOĞRU"))))</f>
        <v/>
      </c>
      <c r="X199" s="23" t="str">
        <f aca="false">IF($B199="","",CONCATENATE("Ürün: ",$B199," | Kâr: ",TEXT($Q199,"₺ #,##0")," | Durum: ",$W199))</f>
        <v/>
      </c>
      <c r="Y199" s="24"/>
    </row>
    <row r="200" customFormat="false" ht="15" hidden="false" customHeight="false" outlineLevel="0" collapsed="false">
      <c r="A200" s="24"/>
      <c r="B200" s="24"/>
      <c r="C200" s="22"/>
      <c r="D200" s="25"/>
      <c r="E200" s="22"/>
      <c r="F200" s="26"/>
      <c r="G200" s="26"/>
      <c r="H200" s="26"/>
      <c r="I200" s="26"/>
      <c r="J200" s="22"/>
      <c r="K200" s="20" t="n">
        <f aca="false">IF($D200="",0,$C200*$D200)</f>
        <v>0</v>
      </c>
      <c r="L200" s="20" t="n">
        <f aca="false">IF($D200="",0,$F200*$K200)</f>
        <v>0</v>
      </c>
      <c r="M200" s="20" t="n">
        <f aca="false">IF($D200="",0,$G200*$K200)</f>
        <v>0</v>
      </c>
      <c r="N200" s="20" t="n">
        <f aca="false">IF($D200="",0,$H200*$K200)</f>
        <v>0</v>
      </c>
      <c r="O200" s="20" t="n">
        <f aca="false">IF($D200="",0,$I200*$K200*(1-$F200))</f>
        <v>0</v>
      </c>
      <c r="P200" s="20" t="n">
        <f aca="false">IF($D200="",0,$E200*$D200+$L200+$M200+$N200+$O200+$J200*$D200)</f>
        <v>0</v>
      </c>
      <c r="Q200" s="20" t="n">
        <f aca="false">IF($D200="",0,$K200-$P200)</f>
        <v>0</v>
      </c>
      <c r="R200" s="21" t="n">
        <f aca="false">IF($K200=0,0,$Q200/$K200)</f>
        <v>0</v>
      </c>
      <c r="S200" s="20" t="n">
        <f aca="false">IF($D200="",0,$K200-$L200-$M200-$N200)</f>
        <v>0</v>
      </c>
      <c r="T200" s="22"/>
      <c r="U200" s="20" t="n">
        <f aca="false">IF($T200="",0,MAX(0,$S200-$T200))</f>
        <v>0</v>
      </c>
      <c r="V200" s="21" t="n">
        <f aca="false">IF($S200=0,0,$U200/$S200)</f>
        <v>0</v>
      </c>
      <c r="W200" s="23" t="str">
        <f aca="false">IF($D200="","",IF($T200="","BEKLİYOR",IF(OR($U200=0,$S200=0),"DOĞRU",IF(AND($V200&gt;PazaryeriEksikHakedisEsik,$U200&gt;PazaryeriEksikHakedisTutarEsik),"EKSİK HAKEDİŞ","DOĞRU"))))</f>
        <v/>
      </c>
      <c r="X200" s="23" t="str">
        <f aca="false">IF($B200="","",CONCATENATE("Ürün: ",$B200," | Kâr: ",TEXT($Q200,"₺ #,##0")," | Durum: ",$W200))</f>
        <v/>
      </c>
      <c r="Y200" s="24"/>
    </row>
    <row r="201" customFormat="false" ht="15" hidden="false" customHeight="false" outlineLevel="0" collapsed="false">
      <c r="A201" s="24"/>
      <c r="B201" s="24"/>
      <c r="C201" s="22"/>
      <c r="D201" s="25"/>
      <c r="E201" s="22"/>
      <c r="F201" s="26"/>
      <c r="G201" s="26"/>
      <c r="H201" s="26"/>
      <c r="I201" s="26"/>
      <c r="J201" s="22"/>
      <c r="K201" s="20" t="n">
        <f aca="false">IF($D201="",0,$C201*$D201)</f>
        <v>0</v>
      </c>
      <c r="L201" s="20" t="n">
        <f aca="false">IF($D201="",0,$F201*$K201)</f>
        <v>0</v>
      </c>
      <c r="M201" s="20" t="n">
        <f aca="false">IF($D201="",0,$G201*$K201)</f>
        <v>0</v>
      </c>
      <c r="N201" s="20" t="n">
        <f aca="false">IF($D201="",0,$H201*$K201)</f>
        <v>0</v>
      </c>
      <c r="O201" s="20" t="n">
        <f aca="false">IF($D201="",0,$I201*$K201*(1-$F201))</f>
        <v>0</v>
      </c>
      <c r="P201" s="20" t="n">
        <f aca="false">IF($D201="",0,$E201*$D201+$L201+$M201+$N201+$O201+$J201*$D201)</f>
        <v>0</v>
      </c>
      <c r="Q201" s="20" t="n">
        <f aca="false">IF($D201="",0,$K201-$P201)</f>
        <v>0</v>
      </c>
      <c r="R201" s="21" t="n">
        <f aca="false">IF($K201=0,0,$Q201/$K201)</f>
        <v>0</v>
      </c>
      <c r="S201" s="20" t="n">
        <f aca="false">IF($D201="",0,$K201-$L201-$M201-$N201)</f>
        <v>0</v>
      </c>
      <c r="T201" s="22"/>
      <c r="U201" s="20" t="n">
        <f aca="false">IF($T201="",0,MAX(0,$S201-$T201))</f>
        <v>0</v>
      </c>
      <c r="V201" s="21" t="n">
        <f aca="false">IF($S201=0,0,$U201/$S201)</f>
        <v>0</v>
      </c>
      <c r="W201" s="23" t="str">
        <f aca="false">IF($D201="","",IF($T201="","BEKLİYOR",IF(OR($U201=0,$S201=0),"DOĞRU",IF(AND($V201&gt;PazaryeriEksikHakedisEsik,$U201&gt;PazaryeriEksikHakedisTutarEsik),"EKSİK HAKEDİŞ","DOĞRU"))))</f>
        <v/>
      </c>
      <c r="X201" s="23" t="str">
        <f aca="false">IF($B201="","",CONCATENATE("Ürün: ",$B201," | Kâr: ",TEXT($Q201,"₺ #,##0")," | Durum: ",$W201))</f>
        <v/>
      </c>
      <c r="Y201" s="24"/>
    </row>
    <row r="202" customFormat="false" ht="15" hidden="false" customHeight="false" outlineLevel="0" collapsed="false">
      <c r="A202" s="24"/>
      <c r="B202" s="24"/>
      <c r="C202" s="22"/>
      <c r="D202" s="25"/>
      <c r="E202" s="22"/>
      <c r="F202" s="26"/>
      <c r="G202" s="26"/>
      <c r="H202" s="26"/>
      <c r="I202" s="26"/>
      <c r="J202" s="22"/>
      <c r="K202" s="20" t="n">
        <f aca="false">IF($D202="",0,$C202*$D202)</f>
        <v>0</v>
      </c>
      <c r="L202" s="20" t="n">
        <f aca="false">IF($D202="",0,$F202*$K202)</f>
        <v>0</v>
      </c>
      <c r="M202" s="20" t="n">
        <f aca="false">IF($D202="",0,$G202*$K202)</f>
        <v>0</v>
      </c>
      <c r="N202" s="20" t="n">
        <f aca="false">IF($D202="",0,$H202*$K202)</f>
        <v>0</v>
      </c>
      <c r="O202" s="20" t="n">
        <f aca="false">IF($D202="",0,$I202*$K202*(1-$F202))</f>
        <v>0</v>
      </c>
      <c r="P202" s="20" t="n">
        <f aca="false">IF($D202="",0,$E202*$D202+$L202+$M202+$N202+$O202+$J202*$D202)</f>
        <v>0</v>
      </c>
      <c r="Q202" s="20" t="n">
        <f aca="false">IF($D202="",0,$K202-$P202)</f>
        <v>0</v>
      </c>
      <c r="R202" s="21" t="n">
        <f aca="false">IF($K202=0,0,$Q202/$K202)</f>
        <v>0</v>
      </c>
      <c r="S202" s="20" t="n">
        <f aca="false">IF($D202="",0,$K202-$L202-$M202-$N202)</f>
        <v>0</v>
      </c>
      <c r="T202" s="22"/>
      <c r="U202" s="20" t="n">
        <f aca="false">IF($T202="",0,MAX(0,$S202-$T202))</f>
        <v>0</v>
      </c>
      <c r="V202" s="21" t="n">
        <f aca="false">IF($S202=0,0,$U202/$S202)</f>
        <v>0</v>
      </c>
      <c r="W202" s="23" t="str">
        <f aca="false">IF($D202="","",IF($T202="","BEKLİYOR",IF(OR($U202=0,$S202=0),"DOĞRU",IF(AND($V202&gt;PazaryeriEksikHakedisEsik,$U202&gt;PazaryeriEksikHakedisTutarEsik),"EKSİK HAKEDİŞ","DOĞRU"))))</f>
        <v/>
      </c>
      <c r="X202" s="23" t="str">
        <f aca="false">IF($B202="","",CONCATENATE("Ürün: ",$B202," | Kâr: ",TEXT($Q202,"₺ #,##0")," | Durum: ",$W202))</f>
        <v/>
      </c>
      <c r="Y202" s="24"/>
    </row>
    <row r="203" customFormat="false" ht="15" hidden="false" customHeight="false" outlineLevel="0" collapsed="false">
      <c r="A203" s="24"/>
      <c r="B203" s="24"/>
      <c r="C203" s="22"/>
      <c r="D203" s="25"/>
      <c r="E203" s="22"/>
      <c r="F203" s="26"/>
      <c r="G203" s="26"/>
      <c r="H203" s="26"/>
      <c r="I203" s="26"/>
      <c r="J203" s="22"/>
      <c r="K203" s="20" t="n">
        <f aca="false">IF($D203="",0,$C203*$D203)</f>
        <v>0</v>
      </c>
      <c r="L203" s="20" t="n">
        <f aca="false">IF($D203="",0,$F203*$K203)</f>
        <v>0</v>
      </c>
      <c r="M203" s="20" t="n">
        <f aca="false">IF($D203="",0,$G203*$K203)</f>
        <v>0</v>
      </c>
      <c r="N203" s="20" t="n">
        <f aca="false">IF($D203="",0,$H203*$K203)</f>
        <v>0</v>
      </c>
      <c r="O203" s="20" t="n">
        <f aca="false">IF($D203="",0,$I203*$K203*(1-$F203))</f>
        <v>0</v>
      </c>
      <c r="P203" s="20" t="n">
        <f aca="false">IF($D203="",0,$E203*$D203+$L203+$M203+$N203+$O203+$J203*$D203)</f>
        <v>0</v>
      </c>
      <c r="Q203" s="20" t="n">
        <f aca="false">IF($D203="",0,$K203-$P203)</f>
        <v>0</v>
      </c>
      <c r="R203" s="21" t="n">
        <f aca="false">IF($K203=0,0,$Q203/$K203)</f>
        <v>0</v>
      </c>
      <c r="S203" s="20" t="n">
        <f aca="false">IF($D203="",0,$K203-$L203-$M203-$N203)</f>
        <v>0</v>
      </c>
      <c r="T203" s="22"/>
      <c r="U203" s="20" t="n">
        <f aca="false">IF($T203="",0,MAX(0,$S203-$T203))</f>
        <v>0</v>
      </c>
      <c r="V203" s="21" t="n">
        <f aca="false">IF($S203=0,0,$U203/$S203)</f>
        <v>0</v>
      </c>
      <c r="W203" s="23" t="str">
        <f aca="false">IF($D203="","",IF($T203="","BEKLİYOR",IF(OR($U203=0,$S203=0),"DOĞRU",IF(AND($V203&gt;PazaryeriEksikHakedisEsik,$U203&gt;PazaryeriEksikHakedisTutarEsik),"EKSİK HAKEDİŞ","DOĞRU"))))</f>
        <v/>
      </c>
      <c r="X203" s="23" t="str">
        <f aca="false">IF($B203="","",CONCATENATE("Ürün: ",$B203," | Kâr: ",TEXT($Q203,"₺ #,##0")," | Durum: ",$W203))</f>
        <v/>
      </c>
      <c r="Y203" s="24"/>
    </row>
    <row r="204" customFormat="false" ht="15" hidden="false" customHeight="false" outlineLevel="0" collapsed="false">
      <c r="A204" s="24"/>
      <c r="B204" s="24"/>
      <c r="C204" s="22"/>
      <c r="D204" s="25"/>
      <c r="E204" s="22"/>
      <c r="F204" s="26"/>
      <c r="G204" s="26"/>
      <c r="H204" s="26"/>
      <c r="I204" s="26"/>
      <c r="J204" s="22"/>
      <c r="K204" s="20" t="n">
        <f aca="false">IF($D204="",0,$C204*$D204)</f>
        <v>0</v>
      </c>
      <c r="L204" s="20" t="n">
        <f aca="false">IF($D204="",0,$F204*$K204)</f>
        <v>0</v>
      </c>
      <c r="M204" s="20" t="n">
        <f aca="false">IF($D204="",0,$G204*$K204)</f>
        <v>0</v>
      </c>
      <c r="N204" s="20" t="n">
        <f aca="false">IF($D204="",0,$H204*$K204)</f>
        <v>0</v>
      </c>
      <c r="O204" s="20" t="n">
        <f aca="false">IF($D204="",0,$I204*$K204*(1-$F204))</f>
        <v>0</v>
      </c>
      <c r="P204" s="20" t="n">
        <f aca="false">IF($D204="",0,$E204*$D204+$L204+$M204+$N204+$O204+$J204*$D204)</f>
        <v>0</v>
      </c>
      <c r="Q204" s="20" t="n">
        <f aca="false">IF($D204="",0,$K204-$P204)</f>
        <v>0</v>
      </c>
      <c r="R204" s="21" t="n">
        <f aca="false">IF($K204=0,0,$Q204/$K204)</f>
        <v>0</v>
      </c>
      <c r="S204" s="20" t="n">
        <f aca="false">IF($D204="",0,$K204-$L204-$M204-$N204)</f>
        <v>0</v>
      </c>
      <c r="T204" s="22"/>
      <c r="U204" s="20" t="n">
        <f aca="false">IF($T204="",0,MAX(0,$S204-$T204))</f>
        <v>0</v>
      </c>
      <c r="V204" s="21" t="n">
        <f aca="false">IF($S204=0,0,$U204/$S204)</f>
        <v>0</v>
      </c>
      <c r="W204" s="23" t="str">
        <f aca="false">IF($D204="","",IF($T204="","BEKLİYOR",IF(OR($U204=0,$S204=0),"DOĞRU",IF(AND($V204&gt;PazaryeriEksikHakedisEsik,$U204&gt;PazaryeriEksikHakedisTutarEsik),"EKSİK HAKEDİŞ","DOĞRU"))))</f>
        <v/>
      </c>
      <c r="X204" s="23" t="str">
        <f aca="false">IF($B204="","",CONCATENATE("Ürün: ",$B204," | Kâr: ",TEXT($Q204,"₺ #,##0")," | Durum: ",$W204))</f>
        <v/>
      </c>
      <c r="Y204" s="24"/>
    </row>
    <row r="205" customFormat="false" ht="15" hidden="false" customHeight="false" outlineLevel="0" collapsed="false">
      <c r="A205" s="24"/>
      <c r="B205" s="24"/>
      <c r="C205" s="22"/>
      <c r="D205" s="25"/>
      <c r="E205" s="22"/>
      <c r="F205" s="26"/>
      <c r="G205" s="26"/>
      <c r="H205" s="26"/>
      <c r="I205" s="26"/>
      <c r="J205" s="22"/>
      <c r="K205" s="20" t="n">
        <f aca="false">IF($D205="",0,$C205*$D205)</f>
        <v>0</v>
      </c>
      <c r="L205" s="20" t="n">
        <f aca="false">IF($D205="",0,$F205*$K205)</f>
        <v>0</v>
      </c>
      <c r="M205" s="20" t="n">
        <f aca="false">IF($D205="",0,$G205*$K205)</f>
        <v>0</v>
      </c>
      <c r="N205" s="20" t="n">
        <f aca="false">IF($D205="",0,$H205*$K205)</f>
        <v>0</v>
      </c>
      <c r="O205" s="20" t="n">
        <f aca="false">IF($D205="",0,$I205*$K205*(1-$F205))</f>
        <v>0</v>
      </c>
      <c r="P205" s="20" t="n">
        <f aca="false">IF($D205="",0,$E205*$D205+$L205+$M205+$N205+$O205+$J205*$D205)</f>
        <v>0</v>
      </c>
      <c r="Q205" s="20" t="n">
        <f aca="false">IF($D205="",0,$K205-$P205)</f>
        <v>0</v>
      </c>
      <c r="R205" s="21" t="n">
        <f aca="false">IF($K205=0,0,$Q205/$K205)</f>
        <v>0</v>
      </c>
      <c r="S205" s="20" t="n">
        <f aca="false">IF($D205="",0,$K205-$L205-$M205-$N205)</f>
        <v>0</v>
      </c>
      <c r="T205" s="22"/>
      <c r="U205" s="20" t="n">
        <f aca="false">IF($T205="",0,MAX(0,$S205-$T205))</f>
        <v>0</v>
      </c>
      <c r="V205" s="21" t="n">
        <f aca="false">IF($S205=0,0,$U205/$S205)</f>
        <v>0</v>
      </c>
      <c r="W205" s="23" t="str">
        <f aca="false">IF($D205="","",IF($T205="","BEKLİYOR",IF(OR($U205=0,$S205=0),"DOĞRU",IF(AND($V205&gt;PazaryeriEksikHakedisEsik,$U205&gt;PazaryeriEksikHakedisTutarEsik),"EKSİK HAKEDİŞ","DOĞRU"))))</f>
        <v/>
      </c>
      <c r="X205" s="23" t="str">
        <f aca="false">IF($B205="","",CONCATENATE("Ürün: ",$B205," | Kâr: ",TEXT($Q205,"₺ #,##0")," | Durum: ",$W205))</f>
        <v/>
      </c>
      <c r="Y205" s="24"/>
    </row>
    <row r="206" customFormat="false" ht="15" hidden="false" customHeight="false" outlineLevel="0" collapsed="false">
      <c r="A206" s="24"/>
      <c r="B206" s="24"/>
      <c r="C206" s="22"/>
      <c r="D206" s="25"/>
      <c r="E206" s="22"/>
      <c r="F206" s="26"/>
      <c r="G206" s="26"/>
      <c r="H206" s="26"/>
      <c r="I206" s="26"/>
      <c r="J206" s="22"/>
      <c r="K206" s="20" t="n">
        <f aca="false">IF($D206="",0,$C206*$D206)</f>
        <v>0</v>
      </c>
      <c r="L206" s="20" t="n">
        <f aca="false">IF($D206="",0,$F206*$K206)</f>
        <v>0</v>
      </c>
      <c r="M206" s="20" t="n">
        <f aca="false">IF($D206="",0,$G206*$K206)</f>
        <v>0</v>
      </c>
      <c r="N206" s="20" t="n">
        <f aca="false">IF($D206="",0,$H206*$K206)</f>
        <v>0</v>
      </c>
      <c r="O206" s="20" t="n">
        <f aca="false">IF($D206="",0,$I206*$K206*(1-$F206))</f>
        <v>0</v>
      </c>
      <c r="P206" s="20" t="n">
        <f aca="false">IF($D206="",0,$E206*$D206+$L206+$M206+$N206+$O206+$J206*$D206)</f>
        <v>0</v>
      </c>
      <c r="Q206" s="20" t="n">
        <f aca="false">IF($D206="",0,$K206-$P206)</f>
        <v>0</v>
      </c>
      <c r="R206" s="21" t="n">
        <f aca="false">IF($K206=0,0,$Q206/$K206)</f>
        <v>0</v>
      </c>
      <c r="S206" s="20" t="n">
        <f aca="false">IF($D206="",0,$K206-$L206-$M206-$N206)</f>
        <v>0</v>
      </c>
      <c r="T206" s="22"/>
      <c r="U206" s="20" t="n">
        <f aca="false">IF($T206="",0,MAX(0,$S206-$T206))</f>
        <v>0</v>
      </c>
      <c r="V206" s="21" t="n">
        <f aca="false">IF($S206=0,0,$U206/$S206)</f>
        <v>0</v>
      </c>
      <c r="W206" s="23" t="str">
        <f aca="false">IF($D206="","",IF($T206="","BEKLİYOR",IF(OR($U206=0,$S206=0),"DOĞRU",IF(AND($V206&gt;PazaryeriEksikHakedisEsik,$U206&gt;PazaryeriEksikHakedisTutarEsik),"EKSİK HAKEDİŞ","DOĞRU"))))</f>
        <v/>
      </c>
      <c r="X206" s="23" t="str">
        <f aca="false">IF($B206="","",CONCATENATE("Ürün: ",$B206," | Kâr: ",TEXT($Q206,"₺ #,##0")," | Durum: ",$W206))</f>
        <v/>
      </c>
      <c r="Y206" s="24"/>
    </row>
    <row r="207" customFormat="false" ht="15" hidden="false" customHeight="false" outlineLevel="0" collapsed="false">
      <c r="A207" s="24"/>
      <c r="B207" s="24"/>
      <c r="C207" s="22"/>
      <c r="D207" s="25"/>
      <c r="E207" s="22"/>
      <c r="F207" s="26"/>
      <c r="G207" s="26"/>
      <c r="H207" s="26"/>
      <c r="I207" s="26"/>
      <c r="J207" s="22"/>
      <c r="K207" s="20" t="n">
        <f aca="false">IF($D207="",0,$C207*$D207)</f>
        <v>0</v>
      </c>
      <c r="L207" s="20" t="n">
        <f aca="false">IF($D207="",0,$F207*$K207)</f>
        <v>0</v>
      </c>
      <c r="M207" s="20" t="n">
        <f aca="false">IF($D207="",0,$G207*$K207)</f>
        <v>0</v>
      </c>
      <c r="N207" s="20" t="n">
        <f aca="false">IF($D207="",0,$H207*$K207)</f>
        <v>0</v>
      </c>
      <c r="O207" s="20" t="n">
        <f aca="false">IF($D207="",0,$I207*$K207*(1-$F207))</f>
        <v>0</v>
      </c>
      <c r="P207" s="20" t="n">
        <f aca="false">IF($D207="",0,$E207*$D207+$L207+$M207+$N207+$O207+$J207*$D207)</f>
        <v>0</v>
      </c>
      <c r="Q207" s="20" t="n">
        <f aca="false">IF($D207="",0,$K207-$P207)</f>
        <v>0</v>
      </c>
      <c r="R207" s="21" t="n">
        <f aca="false">IF($K207=0,0,$Q207/$K207)</f>
        <v>0</v>
      </c>
      <c r="S207" s="20" t="n">
        <f aca="false">IF($D207="",0,$K207-$L207-$M207-$N207)</f>
        <v>0</v>
      </c>
      <c r="T207" s="22"/>
      <c r="U207" s="20" t="n">
        <f aca="false">IF($T207="",0,MAX(0,$S207-$T207))</f>
        <v>0</v>
      </c>
      <c r="V207" s="21" t="n">
        <f aca="false">IF($S207=0,0,$U207/$S207)</f>
        <v>0</v>
      </c>
      <c r="W207" s="23" t="str">
        <f aca="false">IF($D207="","",IF($T207="","BEKLİYOR",IF(OR($U207=0,$S207=0),"DOĞRU",IF(AND($V207&gt;PazaryeriEksikHakedisEsik,$U207&gt;PazaryeriEksikHakedisTutarEsik),"EKSİK HAKEDİŞ","DOĞRU"))))</f>
        <v/>
      </c>
      <c r="X207" s="23" t="str">
        <f aca="false">IF($B207="","",CONCATENATE("Ürün: ",$B207," | Kâr: ",TEXT($Q207,"₺ #,##0")," | Durum: ",$W207))</f>
        <v/>
      </c>
      <c r="Y207" s="24"/>
    </row>
    <row r="208" customFormat="false" ht="15" hidden="false" customHeight="false" outlineLevel="0" collapsed="false">
      <c r="A208" s="24"/>
      <c r="B208" s="24"/>
      <c r="C208" s="22"/>
      <c r="D208" s="25"/>
      <c r="E208" s="22"/>
      <c r="F208" s="26"/>
      <c r="G208" s="26"/>
      <c r="H208" s="26"/>
      <c r="I208" s="26"/>
      <c r="J208" s="22"/>
      <c r="K208" s="20" t="n">
        <f aca="false">IF($D208="",0,$C208*$D208)</f>
        <v>0</v>
      </c>
      <c r="L208" s="20" t="n">
        <f aca="false">IF($D208="",0,$F208*$K208)</f>
        <v>0</v>
      </c>
      <c r="M208" s="20" t="n">
        <f aca="false">IF($D208="",0,$G208*$K208)</f>
        <v>0</v>
      </c>
      <c r="N208" s="20" t="n">
        <f aca="false">IF($D208="",0,$H208*$K208)</f>
        <v>0</v>
      </c>
      <c r="O208" s="20" t="n">
        <f aca="false">IF($D208="",0,$I208*$K208*(1-$F208))</f>
        <v>0</v>
      </c>
      <c r="P208" s="20" t="n">
        <f aca="false">IF($D208="",0,$E208*$D208+$L208+$M208+$N208+$O208+$J208*$D208)</f>
        <v>0</v>
      </c>
      <c r="Q208" s="20" t="n">
        <f aca="false">IF($D208="",0,$K208-$P208)</f>
        <v>0</v>
      </c>
      <c r="R208" s="21" t="n">
        <f aca="false">IF($K208=0,0,$Q208/$K208)</f>
        <v>0</v>
      </c>
      <c r="S208" s="20" t="n">
        <f aca="false">IF($D208="",0,$K208-$L208-$M208-$N208)</f>
        <v>0</v>
      </c>
      <c r="T208" s="22"/>
      <c r="U208" s="20" t="n">
        <f aca="false">IF($T208="",0,MAX(0,$S208-$T208))</f>
        <v>0</v>
      </c>
      <c r="V208" s="21" t="n">
        <f aca="false">IF($S208=0,0,$U208/$S208)</f>
        <v>0</v>
      </c>
      <c r="W208" s="23" t="str">
        <f aca="false">IF($D208="","",IF($T208="","BEKLİYOR",IF(OR($U208=0,$S208=0),"DOĞRU",IF(AND($V208&gt;PazaryeriEksikHakedisEsik,$U208&gt;PazaryeriEksikHakedisTutarEsik),"EKSİK HAKEDİŞ","DOĞRU"))))</f>
        <v/>
      </c>
      <c r="X208" s="23" t="str">
        <f aca="false">IF($B208="","",CONCATENATE("Ürün: ",$B208," | Kâr: ",TEXT($Q208,"₺ #,##0")," | Durum: ",$W208))</f>
        <v/>
      </c>
      <c r="Y208" s="24"/>
    </row>
    <row r="209" customFormat="false" ht="15" hidden="false" customHeight="false" outlineLevel="0" collapsed="false">
      <c r="A209" s="24"/>
      <c r="B209" s="24"/>
      <c r="C209" s="22"/>
      <c r="D209" s="25"/>
      <c r="E209" s="22"/>
      <c r="F209" s="26"/>
      <c r="G209" s="26"/>
      <c r="H209" s="26"/>
      <c r="I209" s="26"/>
      <c r="J209" s="22"/>
      <c r="K209" s="20" t="n">
        <f aca="false">IF($D209="",0,$C209*$D209)</f>
        <v>0</v>
      </c>
      <c r="L209" s="20" t="n">
        <f aca="false">IF($D209="",0,$F209*$K209)</f>
        <v>0</v>
      </c>
      <c r="M209" s="20" t="n">
        <f aca="false">IF($D209="",0,$G209*$K209)</f>
        <v>0</v>
      </c>
      <c r="N209" s="20" t="n">
        <f aca="false">IF($D209="",0,$H209*$K209)</f>
        <v>0</v>
      </c>
      <c r="O209" s="20" t="n">
        <f aca="false">IF($D209="",0,$I209*$K209*(1-$F209))</f>
        <v>0</v>
      </c>
      <c r="P209" s="20" t="n">
        <f aca="false">IF($D209="",0,$E209*$D209+$L209+$M209+$N209+$O209+$J209*$D209)</f>
        <v>0</v>
      </c>
      <c r="Q209" s="20" t="n">
        <f aca="false">IF($D209="",0,$K209-$P209)</f>
        <v>0</v>
      </c>
      <c r="R209" s="21" t="n">
        <f aca="false">IF($K209=0,0,$Q209/$K209)</f>
        <v>0</v>
      </c>
      <c r="S209" s="20" t="n">
        <f aca="false">IF($D209="",0,$K209-$L209-$M209-$N209)</f>
        <v>0</v>
      </c>
      <c r="T209" s="22"/>
      <c r="U209" s="20" t="n">
        <f aca="false">IF($T209="",0,MAX(0,$S209-$T209))</f>
        <v>0</v>
      </c>
      <c r="V209" s="21" t="n">
        <f aca="false">IF($S209=0,0,$U209/$S209)</f>
        <v>0</v>
      </c>
      <c r="W209" s="23" t="str">
        <f aca="false">IF($D209="","",IF($T209="","BEKLİYOR",IF(OR($U209=0,$S209=0),"DOĞRU",IF(AND($V209&gt;PazaryeriEksikHakedisEsik,$U209&gt;PazaryeriEksikHakedisTutarEsik),"EKSİK HAKEDİŞ","DOĞRU"))))</f>
        <v/>
      </c>
      <c r="X209" s="23" t="str">
        <f aca="false">IF($B209="","",CONCATENATE("Ürün: ",$B209," | Kâr: ",TEXT($Q209,"₺ #,##0")," | Durum: ",$W209))</f>
        <v/>
      </c>
      <c r="Y209" s="24"/>
    </row>
    <row r="210" customFormat="false" ht="15" hidden="false" customHeight="false" outlineLevel="0" collapsed="false">
      <c r="A210" s="24"/>
      <c r="B210" s="24"/>
      <c r="C210" s="22"/>
      <c r="D210" s="25"/>
      <c r="E210" s="22"/>
      <c r="F210" s="26"/>
      <c r="G210" s="26"/>
      <c r="H210" s="26"/>
      <c r="I210" s="26"/>
      <c r="J210" s="22"/>
      <c r="K210" s="20" t="n">
        <f aca="false">IF($D210="",0,$C210*$D210)</f>
        <v>0</v>
      </c>
      <c r="L210" s="20" t="n">
        <f aca="false">IF($D210="",0,$F210*$K210)</f>
        <v>0</v>
      </c>
      <c r="M210" s="20" t="n">
        <f aca="false">IF($D210="",0,$G210*$K210)</f>
        <v>0</v>
      </c>
      <c r="N210" s="20" t="n">
        <f aca="false">IF($D210="",0,$H210*$K210)</f>
        <v>0</v>
      </c>
      <c r="O210" s="20" t="n">
        <f aca="false">IF($D210="",0,$I210*$K210*(1-$F210))</f>
        <v>0</v>
      </c>
      <c r="P210" s="20" t="n">
        <f aca="false">IF($D210="",0,$E210*$D210+$L210+$M210+$N210+$O210+$J210*$D210)</f>
        <v>0</v>
      </c>
      <c r="Q210" s="20" t="n">
        <f aca="false">IF($D210="",0,$K210-$P210)</f>
        <v>0</v>
      </c>
      <c r="R210" s="21" t="n">
        <f aca="false">IF($K210=0,0,$Q210/$K210)</f>
        <v>0</v>
      </c>
      <c r="S210" s="20" t="n">
        <f aca="false">IF($D210="",0,$K210-$L210-$M210-$N210)</f>
        <v>0</v>
      </c>
      <c r="T210" s="22"/>
      <c r="U210" s="20" t="n">
        <f aca="false">IF($T210="",0,MAX(0,$S210-$T210))</f>
        <v>0</v>
      </c>
      <c r="V210" s="21" t="n">
        <f aca="false">IF($S210=0,0,$U210/$S210)</f>
        <v>0</v>
      </c>
      <c r="W210" s="23" t="str">
        <f aca="false">IF($D210="","",IF($T210="","BEKLİYOR",IF(OR($U210=0,$S210=0),"DOĞRU",IF(AND($V210&gt;PazaryeriEksikHakedisEsik,$U210&gt;PazaryeriEksikHakedisTutarEsik),"EKSİK HAKEDİŞ","DOĞRU"))))</f>
        <v/>
      </c>
      <c r="X210" s="23" t="str">
        <f aca="false">IF($B210="","",CONCATENATE("Ürün: ",$B210," | Kâr: ",TEXT($Q210,"₺ #,##0")," | Durum: ",$W210))</f>
        <v/>
      </c>
      <c r="Y210" s="24"/>
    </row>
    <row r="211" customFormat="false" ht="15" hidden="false" customHeight="false" outlineLevel="0" collapsed="false">
      <c r="A211" s="24"/>
      <c r="B211" s="24"/>
      <c r="C211" s="22"/>
      <c r="D211" s="25"/>
      <c r="E211" s="22"/>
      <c r="F211" s="26"/>
      <c r="G211" s="26"/>
      <c r="H211" s="26"/>
      <c r="I211" s="26"/>
      <c r="J211" s="22"/>
      <c r="K211" s="20" t="n">
        <f aca="false">IF($D211="",0,$C211*$D211)</f>
        <v>0</v>
      </c>
      <c r="L211" s="20" t="n">
        <f aca="false">IF($D211="",0,$F211*$K211)</f>
        <v>0</v>
      </c>
      <c r="M211" s="20" t="n">
        <f aca="false">IF($D211="",0,$G211*$K211)</f>
        <v>0</v>
      </c>
      <c r="N211" s="20" t="n">
        <f aca="false">IF($D211="",0,$H211*$K211)</f>
        <v>0</v>
      </c>
      <c r="O211" s="20" t="n">
        <f aca="false">IF($D211="",0,$I211*$K211*(1-$F211))</f>
        <v>0</v>
      </c>
      <c r="P211" s="20" t="n">
        <f aca="false">IF($D211="",0,$E211*$D211+$L211+$M211+$N211+$O211+$J211*$D211)</f>
        <v>0</v>
      </c>
      <c r="Q211" s="20" t="n">
        <f aca="false">IF($D211="",0,$K211-$P211)</f>
        <v>0</v>
      </c>
      <c r="R211" s="21" t="n">
        <f aca="false">IF($K211=0,0,$Q211/$K211)</f>
        <v>0</v>
      </c>
      <c r="S211" s="20" t="n">
        <f aca="false">IF($D211="",0,$K211-$L211-$M211-$N211)</f>
        <v>0</v>
      </c>
      <c r="T211" s="22"/>
      <c r="U211" s="20" t="n">
        <f aca="false">IF($T211="",0,MAX(0,$S211-$T211))</f>
        <v>0</v>
      </c>
      <c r="V211" s="21" t="n">
        <f aca="false">IF($S211=0,0,$U211/$S211)</f>
        <v>0</v>
      </c>
      <c r="W211" s="23" t="str">
        <f aca="false">IF($D211="","",IF($T211="","BEKLİYOR",IF(OR($U211=0,$S211=0),"DOĞRU",IF(AND($V211&gt;PazaryeriEksikHakedisEsik,$U211&gt;PazaryeriEksikHakedisTutarEsik),"EKSİK HAKEDİŞ","DOĞRU"))))</f>
        <v/>
      </c>
      <c r="X211" s="23" t="str">
        <f aca="false">IF($B211="","",CONCATENATE("Ürün: ",$B211," | Kâr: ",TEXT($Q211,"₺ #,##0")," | Durum: ",$W211))</f>
        <v/>
      </c>
      <c r="Y211" s="24"/>
    </row>
    <row r="212" customFormat="false" ht="15" hidden="false" customHeight="false" outlineLevel="0" collapsed="false">
      <c r="A212" s="24"/>
      <c r="B212" s="24"/>
      <c r="C212" s="22"/>
      <c r="D212" s="25"/>
      <c r="E212" s="22"/>
      <c r="F212" s="26"/>
      <c r="G212" s="26"/>
      <c r="H212" s="26"/>
      <c r="I212" s="26"/>
      <c r="J212" s="22"/>
      <c r="K212" s="20" t="n">
        <f aca="false">IF($D212="",0,$C212*$D212)</f>
        <v>0</v>
      </c>
      <c r="L212" s="20" t="n">
        <f aca="false">IF($D212="",0,$F212*$K212)</f>
        <v>0</v>
      </c>
      <c r="M212" s="20" t="n">
        <f aca="false">IF($D212="",0,$G212*$K212)</f>
        <v>0</v>
      </c>
      <c r="N212" s="20" t="n">
        <f aca="false">IF($D212="",0,$H212*$K212)</f>
        <v>0</v>
      </c>
      <c r="O212" s="20" t="n">
        <f aca="false">IF($D212="",0,$I212*$K212*(1-$F212))</f>
        <v>0</v>
      </c>
      <c r="P212" s="20" t="n">
        <f aca="false">IF($D212="",0,$E212*$D212+$L212+$M212+$N212+$O212+$J212*$D212)</f>
        <v>0</v>
      </c>
      <c r="Q212" s="20" t="n">
        <f aca="false">IF($D212="",0,$K212-$P212)</f>
        <v>0</v>
      </c>
      <c r="R212" s="21" t="n">
        <f aca="false">IF($K212=0,0,$Q212/$K212)</f>
        <v>0</v>
      </c>
      <c r="S212" s="20" t="n">
        <f aca="false">IF($D212="",0,$K212-$L212-$M212-$N212)</f>
        <v>0</v>
      </c>
      <c r="T212" s="22"/>
      <c r="U212" s="20" t="n">
        <f aca="false">IF($T212="",0,MAX(0,$S212-$T212))</f>
        <v>0</v>
      </c>
      <c r="V212" s="21" t="n">
        <f aca="false">IF($S212=0,0,$U212/$S212)</f>
        <v>0</v>
      </c>
      <c r="W212" s="23" t="str">
        <f aca="false">IF($D212="","",IF($T212="","BEKLİYOR",IF(OR($U212=0,$S212=0),"DOĞRU",IF(AND($V212&gt;PazaryeriEksikHakedisEsik,$U212&gt;PazaryeriEksikHakedisTutarEsik),"EKSİK HAKEDİŞ","DOĞRU"))))</f>
        <v/>
      </c>
      <c r="X212" s="23" t="str">
        <f aca="false">IF($B212="","",CONCATENATE("Ürün: ",$B212," | Kâr: ",TEXT($Q212,"₺ #,##0")," | Durum: ",$W212))</f>
        <v/>
      </c>
      <c r="Y212" s="24"/>
    </row>
    <row r="213" customFormat="false" ht="15" hidden="false" customHeight="false" outlineLevel="0" collapsed="false">
      <c r="A213" s="24"/>
      <c r="B213" s="24"/>
      <c r="C213" s="22"/>
      <c r="D213" s="25"/>
      <c r="E213" s="22"/>
      <c r="F213" s="26"/>
      <c r="G213" s="26"/>
      <c r="H213" s="26"/>
      <c r="I213" s="26"/>
      <c r="J213" s="22"/>
      <c r="K213" s="20" t="n">
        <f aca="false">IF($D213="",0,$C213*$D213)</f>
        <v>0</v>
      </c>
      <c r="L213" s="20" t="n">
        <f aca="false">IF($D213="",0,$F213*$K213)</f>
        <v>0</v>
      </c>
      <c r="M213" s="20" t="n">
        <f aca="false">IF($D213="",0,$G213*$K213)</f>
        <v>0</v>
      </c>
      <c r="N213" s="20" t="n">
        <f aca="false">IF($D213="",0,$H213*$K213)</f>
        <v>0</v>
      </c>
      <c r="O213" s="20" t="n">
        <f aca="false">IF($D213="",0,$I213*$K213*(1-$F213))</f>
        <v>0</v>
      </c>
      <c r="P213" s="20" t="n">
        <f aca="false">IF($D213="",0,$E213*$D213+$L213+$M213+$N213+$O213+$J213*$D213)</f>
        <v>0</v>
      </c>
      <c r="Q213" s="20" t="n">
        <f aca="false">IF($D213="",0,$K213-$P213)</f>
        <v>0</v>
      </c>
      <c r="R213" s="21" t="n">
        <f aca="false">IF($K213=0,0,$Q213/$K213)</f>
        <v>0</v>
      </c>
      <c r="S213" s="20" t="n">
        <f aca="false">IF($D213="",0,$K213-$L213-$M213-$N213)</f>
        <v>0</v>
      </c>
      <c r="T213" s="22"/>
      <c r="U213" s="20" t="n">
        <f aca="false">IF($T213="",0,MAX(0,$S213-$T213))</f>
        <v>0</v>
      </c>
      <c r="V213" s="21" t="n">
        <f aca="false">IF($S213=0,0,$U213/$S213)</f>
        <v>0</v>
      </c>
      <c r="W213" s="23" t="str">
        <f aca="false">IF($D213="","",IF($T213="","BEKLİYOR",IF(OR($U213=0,$S213=0),"DOĞRU",IF(AND($V213&gt;PazaryeriEksikHakedisEsik,$U213&gt;PazaryeriEksikHakedisTutarEsik),"EKSİK HAKEDİŞ","DOĞRU"))))</f>
        <v/>
      </c>
      <c r="X213" s="23" t="str">
        <f aca="false">IF($B213="","",CONCATENATE("Ürün: ",$B213," | Kâr: ",TEXT($Q213,"₺ #,##0")," | Durum: ",$W213))</f>
        <v/>
      </c>
      <c r="Y213" s="24"/>
    </row>
    <row r="214" customFormat="false" ht="15" hidden="false" customHeight="false" outlineLevel="0" collapsed="false">
      <c r="A214" s="24"/>
      <c r="B214" s="24"/>
      <c r="C214" s="22"/>
      <c r="D214" s="25"/>
      <c r="E214" s="22"/>
      <c r="F214" s="26"/>
      <c r="G214" s="26"/>
      <c r="H214" s="26"/>
      <c r="I214" s="26"/>
      <c r="J214" s="22"/>
      <c r="K214" s="20" t="n">
        <f aca="false">IF($D214="",0,$C214*$D214)</f>
        <v>0</v>
      </c>
      <c r="L214" s="20" t="n">
        <f aca="false">IF($D214="",0,$F214*$K214)</f>
        <v>0</v>
      </c>
      <c r="M214" s="20" t="n">
        <f aca="false">IF($D214="",0,$G214*$K214)</f>
        <v>0</v>
      </c>
      <c r="N214" s="20" t="n">
        <f aca="false">IF($D214="",0,$H214*$K214)</f>
        <v>0</v>
      </c>
      <c r="O214" s="20" t="n">
        <f aca="false">IF($D214="",0,$I214*$K214*(1-$F214))</f>
        <v>0</v>
      </c>
      <c r="P214" s="20" t="n">
        <f aca="false">IF($D214="",0,$E214*$D214+$L214+$M214+$N214+$O214+$J214*$D214)</f>
        <v>0</v>
      </c>
      <c r="Q214" s="20" t="n">
        <f aca="false">IF($D214="",0,$K214-$P214)</f>
        <v>0</v>
      </c>
      <c r="R214" s="21" t="n">
        <f aca="false">IF($K214=0,0,$Q214/$K214)</f>
        <v>0</v>
      </c>
      <c r="S214" s="20" t="n">
        <f aca="false">IF($D214="",0,$K214-$L214-$M214-$N214)</f>
        <v>0</v>
      </c>
      <c r="T214" s="22"/>
      <c r="U214" s="20" t="n">
        <f aca="false">IF($T214="",0,MAX(0,$S214-$T214))</f>
        <v>0</v>
      </c>
      <c r="V214" s="21" t="n">
        <f aca="false">IF($S214=0,0,$U214/$S214)</f>
        <v>0</v>
      </c>
      <c r="W214" s="23" t="str">
        <f aca="false">IF($D214="","",IF($T214="","BEKLİYOR",IF(OR($U214=0,$S214=0),"DOĞRU",IF(AND($V214&gt;PazaryeriEksikHakedisEsik,$U214&gt;PazaryeriEksikHakedisTutarEsik),"EKSİK HAKEDİŞ","DOĞRU"))))</f>
        <v/>
      </c>
      <c r="X214" s="23" t="str">
        <f aca="false">IF($B214="","",CONCATENATE("Ürün: ",$B214," | Kâr: ",TEXT($Q214,"₺ #,##0")," | Durum: ",$W214))</f>
        <v/>
      </c>
      <c r="Y214" s="24"/>
    </row>
    <row r="215" customFormat="false" ht="15" hidden="false" customHeight="false" outlineLevel="0" collapsed="false">
      <c r="A215" s="24"/>
      <c r="B215" s="24"/>
      <c r="C215" s="22"/>
      <c r="D215" s="25"/>
      <c r="E215" s="22"/>
      <c r="F215" s="26"/>
      <c r="G215" s="26"/>
      <c r="H215" s="26"/>
      <c r="I215" s="26"/>
      <c r="J215" s="22"/>
      <c r="K215" s="20" t="n">
        <f aca="false">IF($D215="",0,$C215*$D215)</f>
        <v>0</v>
      </c>
      <c r="L215" s="20" t="n">
        <f aca="false">IF($D215="",0,$F215*$K215)</f>
        <v>0</v>
      </c>
      <c r="M215" s="20" t="n">
        <f aca="false">IF($D215="",0,$G215*$K215)</f>
        <v>0</v>
      </c>
      <c r="N215" s="20" t="n">
        <f aca="false">IF($D215="",0,$H215*$K215)</f>
        <v>0</v>
      </c>
      <c r="O215" s="20" t="n">
        <f aca="false">IF($D215="",0,$I215*$K215*(1-$F215))</f>
        <v>0</v>
      </c>
      <c r="P215" s="20" t="n">
        <f aca="false">IF($D215="",0,$E215*$D215+$L215+$M215+$N215+$O215+$J215*$D215)</f>
        <v>0</v>
      </c>
      <c r="Q215" s="20" t="n">
        <f aca="false">IF($D215="",0,$K215-$P215)</f>
        <v>0</v>
      </c>
      <c r="R215" s="21" t="n">
        <f aca="false">IF($K215=0,0,$Q215/$K215)</f>
        <v>0</v>
      </c>
      <c r="S215" s="20" t="n">
        <f aca="false">IF($D215="",0,$K215-$L215-$M215-$N215)</f>
        <v>0</v>
      </c>
      <c r="T215" s="22"/>
      <c r="U215" s="20" t="n">
        <f aca="false">IF($T215="",0,MAX(0,$S215-$T215))</f>
        <v>0</v>
      </c>
      <c r="V215" s="21" t="n">
        <f aca="false">IF($S215=0,0,$U215/$S215)</f>
        <v>0</v>
      </c>
      <c r="W215" s="23" t="str">
        <f aca="false">IF($D215="","",IF($T215="","BEKLİYOR",IF(OR($U215=0,$S215=0),"DOĞRU",IF(AND($V215&gt;PazaryeriEksikHakedisEsik,$U215&gt;PazaryeriEksikHakedisTutarEsik),"EKSİK HAKEDİŞ","DOĞRU"))))</f>
        <v/>
      </c>
      <c r="X215" s="23" t="str">
        <f aca="false">IF($B215="","",CONCATENATE("Ürün: ",$B215," | Kâr: ",TEXT($Q215,"₺ #,##0")," | Durum: ",$W215))</f>
        <v/>
      </c>
      <c r="Y215" s="24"/>
    </row>
    <row r="216" customFormat="false" ht="15" hidden="false" customHeight="false" outlineLevel="0" collapsed="false">
      <c r="A216" s="24"/>
      <c r="B216" s="24"/>
      <c r="C216" s="22"/>
      <c r="D216" s="25"/>
      <c r="E216" s="22"/>
      <c r="F216" s="26"/>
      <c r="G216" s="26"/>
      <c r="H216" s="26"/>
      <c r="I216" s="26"/>
      <c r="J216" s="22"/>
      <c r="K216" s="20" t="n">
        <f aca="false">IF($D216="",0,$C216*$D216)</f>
        <v>0</v>
      </c>
      <c r="L216" s="20" t="n">
        <f aca="false">IF($D216="",0,$F216*$K216)</f>
        <v>0</v>
      </c>
      <c r="M216" s="20" t="n">
        <f aca="false">IF($D216="",0,$G216*$K216)</f>
        <v>0</v>
      </c>
      <c r="N216" s="20" t="n">
        <f aca="false">IF($D216="",0,$H216*$K216)</f>
        <v>0</v>
      </c>
      <c r="O216" s="20" t="n">
        <f aca="false">IF($D216="",0,$I216*$K216*(1-$F216))</f>
        <v>0</v>
      </c>
      <c r="P216" s="20" t="n">
        <f aca="false">IF($D216="",0,$E216*$D216+$L216+$M216+$N216+$O216+$J216*$D216)</f>
        <v>0</v>
      </c>
      <c r="Q216" s="20" t="n">
        <f aca="false">IF($D216="",0,$K216-$P216)</f>
        <v>0</v>
      </c>
      <c r="R216" s="21" t="n">
        <f aca="false">IF($K216=0,0,$Q216/$K216)</f>
        <v>0</v>
      </c>
      <c r="S216" s="20" t="n">
        <f aca="false">IF($D216="",0,$K216-$L216-$M216-$N216)</f>
        <v>0</v>
      </c>
      <c r="T216" s="22"/>
      <c r="U216" s="20" t="n">
        <f aca="false">IF($T216="",0,MAX(0,$S216-$T216))</f>
        <v>0</v>
      </c>
      <c r="V216" s="21" t="n">
        <f aca="false">IF($S216=0,0,$U216/$S216)</f>
        <v>0</v>
      </c>
      <c r="W216" s="23" t="str">
        <f aca="false">IF($D216="","",IF($T216="","BEKLİYOR",IF(OR($U216=0,$S216=0),"DOĞRU",IF(AND($V216&gt;PazaryeriEksikHakedisEsik,$U216&gt;PazaryeriEksikHakedisTutarEsik),"EKSİK HAKEDİŞ","DOĞRU"))))</f>
        <v/>
      </c>
      <c r="X216" s="23" t="str">
        <f aca="false">IF($B216="","",CONCATENATE("Ürün: ",$B216," | Kâr: ",TEXT($Q216,"₺ #,##0")," | Durum: ",$W216))</f>
        <v/>
      </c>
      <c r="Y216" s="24"/>
    </row>
    <row r="217" customFormat="false" ht="15" hidden="false" customHeight="false" outlineLevel="0" collapsed="false">
      <c r="A217" s="24"/>
      <c r="B217" s="24"/>
      <c r="C217" s="22"/>
      <c r="D217" s="25"/>
      <c r="E217" s="22"/>
      <c r="F217" s="26"/>
      <c r="G217" s="26"/>
      <c r="H217" s="26"/>
      <c r="I217" s="26"/>
      <c r="J217" s="22"/>
      <c r="K217" s="20" t="n">
        <f aca="false">IF($D217="",0,$C217*$D217)</f>
        <v>0</v>
      </c>
      <c r="L217" s="20" t="n">
        <f aca="false">IF($D217="",0,$F217*$K217)</f>
        <v>0</v>
      </c>
      <c r="M217" s="20" t="n">
        <f aca="false">IF($D217="",0,$G217*$K217)</f>
        <v>0</v>
      </c>
      <c r="N217" s="20" t="n">
        <f aca="false">IF($D217="",0,$H217*$K217)</f>
        <v>0</v>
      </c>
      <c r="O217" s="20" t="n">
        <f aca="false">IF($D217="",0,$I217*$K217*(1-$F217))</f>
        <v>0</v>
      </c>
      <c r="P217" s="20" t="n">
        <f aca="false">IF($D217="",0,$E217*$D217+$L217+$M217+$N217+$O217+$J217*$D217)</f>
        <v>0</v>
      </c>
      <c r="Q217" s="20" t="n">
        <f aca="false">IF($D217="",0,$K217-$P217)</f>
        <v>0</v>
      </c>
      <c r="R217" s="21" t="n">
        <f aca="false">IF($K217=0,0,$Q217/$K217)</f>
        <v>0</v>
      </c>
      <c r="S217" s="20" t="n">
        <f aca="false">IF($D217="",0,$K217-$L217-$M217-$N217)</f>
        <v>0</v>
      </c>
      <c r="T217" s="22"/>
      <c r="U217" s="20" t="n">
        <f aca="false">IF($T217="",0,MAX(0,$S217-$T217))</f>
        <v>0</v>
      </c>
      <c r="V217" s="21" t="n">
        <f aca="false">IF($S217=0,0,$U217/$S217)</f>
        <v>0</v>
      </c>
      <c r="W217" s="23" t="str">
        <f aca="false">IF($D217="","",IF($T217="","BEKLİYOR",IF(OR($U217=0,$S217=0),"DOĞRU",IF(AND($V217&gt;PazaryeriEksikHakedisEsik,$U217&gt;PazaryeriEksikHakedisTutarEsik),"EKSİK HAKEDİŞ","DOĞRU"))))</f>
        <v/>
      </c>
      <c r="X217" s="23" t="str">
        <f aca="false">IF($B217="","",CONCATENATE("Ürün: ",$B217," | Kâr: ",TEXT($Q217,"₺ #,##0")," | Durum: ",$W217))</f>
        <v/>
      </c>
      <c r="Y217" s="24"/>
    </row>
    <row r="218" customFormat="false" ht="15" hidden="false" customHeight="false" outlineLevel="0" collapsed="false">
      <c r="A218" s="24"/>
      <c r="B218" s="24"/>
      <c r="C218" s="22"/>
      <c r="D218" s="25"/>
      <c r="E218" s="22"/>
      <c r="F218" s="26"/>
      <c r="G218" s="26"/>
      <c r="H218" s="26"/>
      <c r="I218" s="26"/>
      <c r="J218" s="22"/>
      <c r="K218" s="20" t="n">
        <f aca="false">IF($D218="",0,$C218*$D218)</f>
        <v>0</v>
      </c>
      <c r="L218" s="20" t="n">
        <f aca="false">IF($D218="",0,$F218*$K218)</f>
        <v>0</v>
      </c>
      <c r="M218" s="20" t="n">
        <f aca="false">IF($D218="",0,$G218*$K218)</f>
        <v>0</v>
      </c>
      <c r="N218" s="20" t="n">
        <f aca="false">IF($D218="",0,$H218*$K218)</f>
        <v>0</v>
      </c>
      <c r="O218" s="20" t="n">
        <f aca="false">IF($D218="",0,$I218*$K218*(1-$F218))</f>
        <v>0</v>
      </c>
      <c r="P218" s="20" t="n">
        <f aca="false">IF($D218="",0,$E218*$D218+$L218+$M218+$N218+$O218+$J218*$D218)</f>
        <v>0</v>
      </c>
      <c r="Q218" s="20" t="n">
        <f aca="false">IF($D218="",0,$K218-$P218)</f>
        <v>0</v>
      </c>
      <c r="R218" s="21" t="n">
        <f aca="false">IF($K218=0,0,$Q218/$K218)</f>
        <v>0</v>
      </c>
      <c r="S218" s="20" t="n">
        <f aca="false">IF($D218="",0,$K218-$L218-$M218-$N218)</f>
        <v>0</v>
      </c>
      <c r="T218" s="22"/>
      <c r="U218" s="20" t="n">
        <f aca="false">IF($T218="",0,MAX(0,$S218-$T218))</f>
        <v>0</v>
      </c>
      <c r="V218" s="21" t="n">
        <f aca="false">IF($S218=0,0,$U218/$S218)</f>
        <v>0</v>
      </c>
      <c r="W218" s="23" t="str">
        <f aca="false">IF($D218="","",IF($T218="","BEKLİYOR",IF(OR($U218=0,$S218=0),"DOĞRU",IF(AND($V218&gt;PazaryeriEksikHakedisEsik,$U218&gt;PazaryeriEksikHakedisTutarEsik),"EKSİK HAKEDİŞ","DOĞRU"))))</f>
        <v/>
      </c>
      <c r="X218" s="23" t="str">
        <f aca="false">IF($B218="","",CONCATENATE("Ürün: ",$B218," | Kâr: ",TEXT($Q218,"₺ #,##0")," | Durum: ",$W218))</f>
        <v/>
      </c>
      <c r="Y218" s="24"/>
    </row>
    <row r="219" customFormat="false" ht="15" hidden="false" customHeight="false" outlineLevel="0" collapsed="false">
      <c r="A219" s="24"/>
      <c r="B219" s="24"/>
      <c r="C219" s="22"/>
      <c r="D219" s="25"/>
      <c r="E219" s="22"/>
      <c r="F219" s="26"/>
      <c r="G219" s="26"/>
      <c r="H219" s="26"/>
      <c r="I219" s="26"/>
      <c r="J219" s="22"/>
      <c r="K219" s="20" t="n">
        <f aca="false">IF($D219="",0,$C219*$D219)</f>
        <v>0</v>
      </c>
      <c r="L219" s="20" t="n">
        <f aca="false">IF($D219="",0,$F219*$K219)</f>
        <v>0</v>
      </c>
      <c r="M219" s="20" t="n">
        <f aca="false">IF($D219="",0,$G219*$K219)</f>
        <v>0</v>
      </c>
      <c r="N219" s="20" t="n">
        <f aca="false">IF($D219="",0,$H219*$K219)</f>
        <v>0</v>
      </c>
      <c r="O219" s="20" t="n">
        <f aca="false">IF($D219="",0,$I219*$K219*(1-$F219))</f>
        <v>0</v>
      </c>
      <c r="P219" s="20" t="n">
        <f aca="false">IF($D219="",0,$E219*$D219+$L219+$M219+$N219+$O219+$J219*$D219)</f>
        <v>0</v>
      </c>
      <c r="Q219" s="20" t="n">
        <f aca="false">IF($D219="",0,$K219-$P219)</f>
        <v>0</v>
      </c>
      <c r="R219" s="21" t="n">
        <f aca="false">IF($K219=0,0,$Q219/$K219)</f>
        <v>0</v>
      </c>
      <c r="S219" s="20" t="n">
        <f aca="false">IF($D219="",0,$K219-$L219-$M219-$N219)</f>
        <v>0</v>
      </c>
      <c r="T219" s="22"/>
      <c r="U219" s="20" t="n">
        <f aca="false">IF($T219="",0,MAX(0,$S219-$T219))</f>
        <v>0</v>
      </c>
      <c r="V219" s="21" t="n">
        <f aca="false">IF($S219=0,0,$U219/$S219)</f>
        <v>0</v>
      </c>
      <c r="W219" s="23" t="str">
        <f aca="false">IF($D219="","",IF($T219="","BEKLİYOR",IF(OR($U219=0,$S219=0),"DOĞRU",IF(AND($V219&gt;PazaryeriEksikHakedisEsik,$U219&gt;PazaryeriEksikHakedisTutarEsik),"EKSİK HAKEDİŞ","DOĞRU"))))</f>
        <v/>
      </c>
      <c r="X219" s="23" t="str">
        <f aca="false">IF($B219="","",CONCATENATE("Ürün: ",$B219," | Kâr: ",TEXT($Q219,"₺ #,##0")," | Durum: ",$W219))</f>
        <v/>
      </c>
      <c r="Y219" s="24"/>
    </row>
    <row r="220" customFormat="false" ht="15" hidden="false" customHeight="false" outlineLevel="0" collapsed="false">
      <c r="A220" s="24"/>
      <c r="B220" s="24"/>
      <c r="C220" s="22"/>
      <c r="D220" s="25"/>
      <c r="E220" s="22"/>
      <c r="F220" s="26"/>
      <c r="G220" s="26"/>
      <c r="H220" s="26"/>
      <c r="I220" s="26"/>
      <c r="J220" s="22"/>
      <c r="K220" s="20" t="n">
        <f aca="false">IF($D220="",0,$C220*$D220)</f>
        <v>0</v>
      </c>
      <c r="L220" s="20" t="n">
        <f aca="false">IF($D220="",0,$F220*$K220)</f>
        <v>0</v>
      </c>
      <c r="M220" s="20" t="n">
        <f aca="false">IF($D220="",0,$G220*$K220)</f>
        <v>0</v>
      </c>
      <c r="N220" s="20" t="n">
        <f aca="false">IF($D220="",0,$H220*$K220)</f>
        <v>0</v>
      </c>
      <c r="O220" s="20" t="n">
        <f aca="false">IF($D220="",0,$I220*$K220*(1-$F220))</f>
        <v>0</v>
      </c>
      <c r="P220" s="20" t="n">
        <f aca="false">IF($D220="",0,$E220*$D220+$L220+$M220+$N220+$O220+$J220*$D220)</f>
        <v>0</v>
      </c>
      <c r="Q220" s="20" t="n">
        <f aca="false">IF($D220="",0,$K220-$P220)</f>
        <v>0</v>
      </c>
      <c r="R220" s="21" t="n">
        <f aca="false">IF($K220=0,0,$Q220/$K220)</f>
        <v>0</v>
      </c>
      <c r="S220" s="20" t="n">
        <f aca="false">IF($D220="",0,$K220-$L220-$M220-$N220)</f>
        <v>0</v>
      </c>
      <c r="T220" s="22"/>
      <c r="U220" s="20" t="n">
        <f aca="false">IF($T220="",0,MAX(0,$S220-$T220))</f>
        <v>0</v>
      </c>
      <c r="V220" s="21" t="n">
        <f aca="false">IF($S220=0,0,$U220/$S220)</f>
        <v>0</v>
      </c>
      <c r="W220" s="23" t="str">
        <f aca="false">IF($D220="","",IF($T220="","BEKLİYOR",IF(OR($U220=0,$S220=0),"DOĞRU",IF(AND($V220&gt;PazaryeriEksikHakedisEsik,$U220&gt;PazaryeriEksikHakedisTutarEsik),"EKSİK HAKEDİŞ","DOĞRU"))))</f>
        <v/>
      </c>
      <c r="X220" s="23" t="str">
        <f aca="false">IF($B220="","",CONCATENATE("Ürün: ",$B220," | Kâr: ",TEXT($Q220,"₺ #,##0")," | Durum: ",$W220))</f>
        <v/>
      </c>
      <c r="Y220" s="24"/>
    </row>
    <row r="221" customFormat="false" ht="15" hidden="false" customHeight="false" outlineLevel="0" collapsed="false">
      <c r="A221" s="24"/>
      <c r="B221" s="24"/>
      <c r="C221" s="22"/>
      <c r="D221" s="25"/>
      <c r="E221" s="22"/>
      <c r="F221" s="26"/>
      <c r="G221" s="26"/>
      <c r="H221" s="26"/>
      <c r="I221" s="26"/>
      <c r="J221" s="22"/>
      <c r="K221" s="20" t="n">
        <f aca="false">IF($D221="",0,$C221*$D221)</f>
        <v>0</v>
      </c>
      <c r="L221" s="20" t="n">
        <f aca="false">IF($D221="",0,$F221*$K221)</f>
        <v>0</v>
      </c>
      <c r="M221" s="20" t="n">
        <f aca="false">IF($D221="",0,$G221*$K221)</f>
        <v>0</v>
      </c>
      <c r="N221" s="20" t="n">
        <f aca="false">IF($D221="",0,$H221*$K221)</f>
        <v>0</v>
      </c>
      <c r="O221" s="20" t="n">
        <f aca="false">IF($D221="",0,$I221*$K221*(1-$F221))</f>
        <v>0</v>
      </c>
      <c r="P221" s="20" t="n">
        <f aca="false">IF($D221="",0,$E221*$D221+$L221+$M221+$N221+$O221+$J221*$D221)</f>
        <v>0</v>
      </c>
      <c r="Q221" s="20" t="n">
        <f aca="false">IF($D221="",0,$K221-$P221)</f>
        <v>0</v>
      </c>
      <c r="R221" s="21" t="n">
        <f aca="false">IF($K221=0,0,$Q221/$K221)</f>
        <v>0</v>
      </c>
      <c r="S221" s="20" t="n">
        <f aca="false">IF($D221="",0,$K221-$L221-$M221-$N221)</f>
        <v>0</v>
      </c>
      <c r="T221" s="22"/>
      <c r="U221" s="20" t="n">
        <f aca="false">IF($T221="",0,MAX(0,$S221-$T221))</f>
        <v>0</v>
      </c>
      <c r="V221" s="21" t="n">
        <f aca="false">IF($S221=0,0,$U221/$S221)</f>
        <v>0</v>
      </c>
      <c r="W221" s="23" t="str">
        <f aca="false">IF($D221="","",IF($T221="","BEKLİYOR",IF(OR($U221=0,$S221=0),"DOĞRU",IF(AND($V221&gt;PazaryeriEksikHakedisEsik,$U221&gt;PazaryeriEksikHakedisTutarEsik),"EKSİK HAKEDİŞ","DOĞRU"))))</f>
        <v/>
      </c>
      <c r="X221" s="23" t="str">
        <f aca="false">IF($B221="","",CONCATENATE("Ürün: ",$B221," | Kâr: ",TEXT($Q221,"₺ #,##0")," | Durum: ",$W221))</f>
        <v/>
      </c>
      <c r="Y221" s="24"/>
    </row>
    <row r="222" customFormat="false" ht="15" hidden="false" customHeight="false" outlineLevel="0" collapsed="false">
      <c r="A222" s="24"/>
      <c r="B222" s="24"/>
      <c r="C222" s="22"/>
      <c r="D222" s="25"/>
      <c r="E222" s="22"/>
      <c r="F222" s="26"/>
      <c r="G222" s="26"/>
      <c r="H222" s="26"/>
      <c r="I222" s="26"/>
      <c r="J222" s="22"/>
      <c r="K222" s="20" t="n">
        <f aca="false">IF($D222="",0,$C222*$D222)</f>
        <v>0</v>
      </c>
      <c r="L222" s="20" t="n">
        <f aca="false">IF($D222="",0,$F222*$K222)</f>
        <v>0</v>
      </c>
      <c r="M222" s="20" t="n">
        <f aca="false">IF($D222="",0,$G222*$K222)</f>
        <v>0</v>
      </c>
      <c r="N222" s="20" t="n">
        <f aca="false">IF($D222="",0,$H222*$K222)</f>
        <v>0</v>
      </c>
      <c r="O222" s="20" t="n">
        <f aca="false">IF($D222="",0,$I222*$K222*(1-$F222))</f>
        <v>0</v>
      </c>
      <c r="P222" s="20" t="n">
        <f aca="false">IF($D222="",0,$E222*$D222+$L222+$M222+$N222+$O222+$J222*$D222)</f>
        <v>0</v>
      </c>
      <c r="Q222" s="20" t="n">
        <f aca="false">IF($D222="",0,$K222-$P222)</f>
        <v>0</v>
      </c>
      <c r="R222" s="21" t="n">
        <f aca="false">IF($K222=0,0,$Q222/$K222)</f>
        <v>0</v>
      </c>
      <c r="S222" s="20" t="n">
        <f aca="false">IF($D222="",0,$K222-$L222-$M222-$N222)</f>
        <v>0</v>
      </c>
      <c r="T222" s="22"/>
      <c r="U222" s="20" t="n">
        <f aca="false">IF($T222="",0,MAX(0,$S222-$T222))</f>
        <v>0</v>
      </c>
      <c r="V222" s="21" t="n">
        <f aca="false">IF($S222=0,0,$U222/$S222)</f>
        <v>0</v>
      </c>
      <c r="W222" s="23" t="str">
        <f aca="false">IF($D222="","",IF($T222="","BEKLİYOR",IF(OR($U222=0,$S222=0),"DOĞRU",IF(AND($V222&gt;PazaryeriEksikHakedisEsik,$U222&gt;PazaryeriEksikHakedisTutarEsik),"EKSİK HAKEDİŞ","DOĞRU"))))</f>
        <v/>
      </c>
      <c r="X222" s="23" t="str">
        <f aca="false">IF($B222="","",CONCATENATE("Ürün: ",$B222," | Kâr: ",TEXT($Q222,"₺ #,##0")," | Durum: ",$W222))</f>
        <v/>
      </c>
      <c r="Y222" s="24"/>
    </row>
    <row r="223" customFormat="false" ht="15" hidden="false" customHeight="false" outlineLevel="0" collapsed="false">
      <c r="A223" s="24"/>
      <c r="B223" s="24"/>
      <c r="C223" s="22"/>
      <c r="D223" s="25"/>
      <c r="E223" s="22"/>
      <c r="F223" s="26"/>
      <c r="G223" s="26"/>
      <c r="H223" s="26"/>
      <c r="I223" s="26"/>
      <c r="J223" s="22"/>
      <c r="K223" s="20" t="n">
        <f aca="false">IF($D223="",0,$C223*$D223)</f>
        <v>0</v>
      </c>
      <c r="L223" s="20" t="n">
        <f aca="false">IF($D223="",0,$F223*$K223)</f>
        <v>0</v>
      </c>
      <c r="M223" s="20" t="n">
        <f aca="false">IF($D223="",0,$G223*$K223)</f>
        <v>0</v>
      </c>
      <c r="N223" s="20" t="n">
        <f aca="false">IF($D223="",0,$H223*$K223)</f>
        <v>0</v>
      </c>
      <c r="O223" s="20" t="n">
        <f aca="false">IF($D223="",0,$I223*$K223*(1-$F223))</f>
        <v>0</v>
      </c>
      <c r="P223" s="20" t="n">
        <f aca="false">IF($D223="",0,$E223*$D223+$L223+$M223+$N223+$O223+$J223*$D223)</f>
        <v>0</v>
      </c>
      <c r="Q223" s="20" t="n">
        <f aca="false">IF($D223="",0,$K223-$P223)</f>
        <v>0</v>
      </c>
      <c r="R223" s="21" t="n">
        <f aca="false">IF($K223=0,0,$Q223/$K223)</f>
        <v>0</v>
      </c>
      <c r="S223" s="20" t="n">
        <f aca="false">IF($D223="",0,$K223-$L223-$M223-$N223)</f>
        <v>0</v>
      </c>
      <c r="T223" s="22"/>
      <c r="U223" s="20" t="n">
        <f aca="false">IF($T223="",0,MAX(0,$S223-$T223))</f>
        <v>0</v>
      </c>
      <c r="V223" s="21" t="n">
        <f aca="false">IF($S223=0,0,$U223/$S223)</f>
        <v>0</v>
      </c>
      <c r="W223" s="23" t="str">
        <f aca="false">IF($D223="","",IF($T223="","BEKLİYOR",IF(OR($U223=0,$S223=0),"DOĞRU",IF(AND($V223&gt;PazaryeriEksikHakedisEsik,$U223&gt;PazaryeriEksikHakedisTutarEsik),"EKSİK HAKEDİŞ","DOĞRU"))))</f>
        <v/>
      </c>
      <c r="X223" s="23" t="str">
        <f aca="false">IF($B223="","",CONCATENATE("Ürün: ",$B223," | Kâr: ",TEXT($Q223,"₺ #,##0")," | Durum: ",$W223))</f>
        <v/>
      </c>
      <c r="Y223" s="24"/>
    </row>
    <row r="224" customFormat="false" ht="15" hidden="false" customHeight="false" outlineLevel="0" collapsed="false">
      <c r="A224" s="24"/>
      <c r="B224" s="24"/>
      <c r="C224" s="22"/>
      <c r="D224" s="25"/>
      <c r="E224" s="22"/>
      <c r="F224" s="26"/>
      <c r="G224" s="26"/>
      <c r="H224" s="26"/>
      <c r="I224" s="26"/>
      <c r="J224" s="22"/>
      <c r="K224" s="20" t="n">
        <f aca="false">IF($D224="",0,$C224*$D224)</f>
        <v>0</v>
      </c>
      <c r="L224" s="20" t="n">
        <f aca="false">IF($D224="",0,$F224*$K224)</f>
        <v>0</v>
      </c>
      <c r="M224" s="20" t="n">
        <f aca="false">IF($D224="",0,$G224*$K224)</f>
        <v>0</v>
      </c>
      <c r="N224" s="20" t="n">
        <f aca="false">IF($D224="",0,$H224*$K224)</f>
        <v>0</v>
      </c>
      <c r="O224" s="20" t="n">
        <f aca="false">IF($D224="",0,$I224*$K224*(1-$F224))</f>
        <v>0</v>
      </c>
      <c r="P224" s="20" t="n">
        <f aca="false">IF($D224="",0,$E224*$D224+$L224+$M224+$N224+$O224+$J224*$D224)</f>
        <v>0</v>
      </c>
      <c r="Q224" s="20" t="n">
        <f aca="false">IF($D224="",0,$K224-$P224)</f>
        <v>0</v>
      </c>
      <c r="R224" s="21" t="n">
        <f aca="false">IF($K224=0,0,$Q224/$K224)</f>
        <v>0</v>
      </c>
      <c r="S224" s="20" t="n">
        <f aca="false">IF($D224="",0,$K224-$L224-$M224-$N224)</f>
        <v>0</v>
      </c>
      <c r="T224" s="22"/>
      <c r="U224" s="20" t="n">
        <f aca="false">IF($T224="",0,MAX(0,$S224-$T224))</f>
        <v>0</v>
      </c>
      <c r="V224" s="21" t="n">
        <f aca="false">IF($S224=0,0,$U224/$S224)</f>
        <v>0</v>
      </c>
      <c r="W224" s="23" t="str">
        <f aca="false">IF($D224="","",IF($T224="","BEKLİYOR",IF(OR($U224=0,$S224=0),"DOĞRU",IF(AND($V224&gt;PazaryeriEksikHakedisEsik,$U224&gt;PazaryeriEksikHakedisTutarEsik),"EKSİK HAKEDİŞ","DOĞRU"))))</f>
        <v/>
      </c>
      <c r="X224" s="23" t="str">
        <f aca="false">IF($B224="","",CONCATENATE("Ürün: ",$B224," | Kâr: ",TEXT($Q224,"₺ #,##0")," | Durum: ",$W224))</f>
        <v/>
      </c>
      <c r="Y224" s="24"/>
    </row>
    <row r="225" customFormat="false" ht="15" hidden="false" customHeight="false" outlineLevel="0" collapsed="false">
      <c r="A225" s="24"/>
      <c r="B225" s="24"/>
      <c r="C225" s="22"/>
      <c r="D225" s="25"/>
      <c r="E225" s="22"/>
      <c r="F225" s="26"/>
      <c r="G225" s="26"/>
      <c r="H225" s="26"/>
      <c r="I225" s="26"/>
      <c r="J225" s="22"/>
      <c r="K225" s="20" t="n">
        <f aca="false">IF($D225="",0,$C225*$D225)</f>
        <v>0</v>
      </c>
      <c r="L225" s="20" t="n">
        <f aca="false">IF($D225="",0,$F225*$K225)</f>
        <v>0</v>
      </c>
      <c r="M225" s="20" t="n">
        <f aca="false">IF($D225="",0,$G225*$K225)</f>
        <v>0</v>
      </c>
      <c r="N225" s="20" t="n">
        <f aca="false">IF($D225="",0,$H225*$K225)</f>
        <v>0</v>
      </c>
      <c r="O225" s="20" t="n">
        <f aca="false">IF($D225="",0,$I225*$K225*(1-$F225))</f>
        <v>0</v>
      </c>
      <c r="P225" s="20" t="n">
        <f aca="false">IF($D225="",0,$E225*$D225+$L225+$M225+$N225+$O225+$J225*$D225)</f>
        <v>0</v>
      </c>
      <c r="Q225" s="20" t="n">
        <f aca="false">IF($D225="",0,$K225-$P225)</f>
        <v>0</v>
      </c>
      <c r="R225" s="21" t="n">
        <f aca="false">IF($K225=0,0,$Q225/$K225)</f>
        <v>0</v>
      </c>
      <c r="S225" s="20" t="n">
        <f aca="false">IF($D225="",0,$K225-$L225-$M225-$N225)</f>
        <v>0</v>
      </c>
      <c r="T225" s="22"/>
      <c r="U225" s="20" t="n">
        <f aca="false">IF($T225="",0,MAX(0,$S225-$T225))</f>
        <v>0</v>
      </c>
      <c r="V225" s="21" t="n">
        <f aca="false">IF($S225=0,0,$U225/$S225)</f>
        <v>0</v>
      </c>
      <c r="W225" s="23" t="str">
        <f aca="false">IF($D225="","",IF($T225="","BEKLİYOR",IF(OR($U225=0,$S225=0),"DOĞRU",IF(AND($V225&gt;PazaryeriEksikHakedisEsik,$U225&gt;PazaryeriEksikHakedisTutarEsik),"EKSİK HAKEDİŞ","DOĞRU"))))</f>
        <v/>
      </c>
      <c r="X225" s="23" t="str">
        <f aca="false">IF($B225="","",CONCATENATE("Ürün: ",$B225," | Kâr: ",TEXT($Q225,"₺ #,##0")," | Durum: ",$W225))</f>
        <v/>
      </c>
      <c r="Y225" s="24"/>
    </row>
    <row r="226" customFormat="false" ht="15" hidden="false" customHeight="false" outlineLevel="0" collapsed="false">
      <c r="A226" s="24"/>
      <c r="B226" s="24"/>
      <c r="C226" s="22"/>
      <c r="D226" s="25"/>
      <c r="E226" s="22"/>
      <c r="F226" s="26"/>
      <c r="G226" s="26"/>
      <c r="H226" s="26"/>
      <c r="I226" s="26"/>
      <c r="J226" s="22"/>
      <c r="K226" s="20" t="n">
        <f aca="false">IF($D226="",0,$C226*$D226)</f>
        <v>0</v>
      </c>
      <c r="L226" s="20" t="n">
        <f aca="false">IF($D226="",0,$F226*$K226)</f>
        <v>0</v>
      </c>
      <c r="M226" s="20" t="n">
        <f aca="false">IF($D226="",0,$G226*$K226)</f>
        <v>0</v>
      </c>
      <c r="N226" s="20" t="n">
        <f aca="false">IF($D226="",0,$H226*$K226)</f>
        <v>0</v>
      </c>
      <c r="O226" s="20" t="n">
        <f aca="false">IF($D226="",0,$I226*$K226*(1-$F226))</f>
        <v>0</v>
      </c>
      <c r="P226" s="20" t="n">
        <f aca="false">IF($D226="",0,$E226*$D226+$L226+$M226+$N226+$O226+$J226*$D226)</f>
        <v>0</v>
      </c>
      <c r="Q226" s="20" t="n">
        <f aca="false">IF($D226="",0,$K226-$P226)</f>
        <v>0</v>
      </c>
      <c r="R226" s="21" t="n">
        <f aca="false">IF($K226=0,0,$Q226/$K226)</f>
        <v>0</v>
      </c>
      <c r="S226" s="20" t="n">
        <f aca="false">IF($D226="",0,$K226-$L226-$M226-$N226)</f>
        <v>0</v>
      </c>
      <c r="T226" s="22"/>
      <c r="U226" s="20" t="n">
        <f aca="false">IF($T226="",0,MAX(0,$S226-$T226))</f>
        <v>0</v>
      </c>
      <c r="V226" s="21" t="n">
        <f aca="false">IF($S226=0,0,$U226/$S226)</f>
        <v>0</v>
      </c>
      <c r="W226" s="23" t="str">
        <f aca="false">IF($D226="","",IF($T226="","BEKLİYOR",IF(OR($U226=0,$S226=0),"DOĞRU",IF(AND($V226&gt;PazaryeriEksikHakedisEsik,$U226&gt;PazaryeriEksikHakedisTutarEsik),"EKSİK HAKEDİŞ","DOĞRU"))))</f>
        <v/>
      </c>
      <c r="X226" s="23" t="str">
        <f aca="false">IF($B226="","",CONCATENATE("Ürün: ",$B226," | Kâr: ",TEXT($Q226,"₺ #,##0")," | Durum: ",$W226))</f>
        <v/>
      </c>
      <c r="Y226" s="24"/>
    </row>
    <row r="227" customFormat="false" ht="15" hidden="false" customHeight="false" outlineLevel="0" collapsed="false">
      <c r="A227" s="24"/>
      <c r="B227" s="24"/>
      <c r="C227" s="22"/>
      <c r="D227" s="25"/>
      <c r="E227" s="22"/>
      <c r="F227" s="26"/>
      <c r="G227" s="26"/>
      <c r="H227" s="26"/>
      <c r="I227" s="26"/>
      <c r="J227" s="22"/>
      <c r="K227" s="20" t="n">
        <f aca="false">IF($D227="",0,$C227*$D227)</f>
        <v>0</v>
      </c>
      <c r="L227" s="20" t="n">
        <f aca="false">IF($D227="",0,$F227*$K227)</f>
        <v>0</v>
      </c>
      <c r="M227" s="20" t="n">
        <f aca="false">IF($D227="",0,$G227*$K227)</f>
        <v>0</v>
      </c>
      <c r="N227" s="20" t="n">
        <f aca="false">IF($D227="",0,$H227*$K227)</f>
        <v>0</v>
      </c>
      <c r="O227" s="20" t="n">
        <f aca="false">IF($D227="",0,$I227*$K227*(1-$F227))</f>
        <v>0</v>
      </c>
      <c r="P227" s="20" t="n">
        <f aca="false">IF($D227="",0,$E227*$D227+$L227+$M227+$N227+$O227+$J227*$D227)</f>
        <v>0</v>
      </c>
      <c r="Q227" s="20" t="n">
        <f aca="false">IF($D227="",0,$K227-$P227)</f>
        <v>0</v>
      </c>
      <c r="R227" s="21" t="n">
        <f aca="false">IF($K227=0,0,$Q227/$K227)</f>
        <v>0</v>
      </c>
      <c r="S227" s="20" t="n">
        <f aca="false">IF($D227="",0,$K227-$L227-$M227-$N227)</f>
        <v>0</v>
      </c>
      <c r="T227" s="22"/>
      <c r="U227" s="20" t="n">
        <f aca="false">IF($T227="",0,MAX(0,$S227-$T227))</f>
        <v>0</v>
      </c>
      <c r="V227" s="21" t="n">
        <f aca="false">IF($S227=0,0,$U227/$S227)</f>
        <v>0</v>
      </c>
      <c r="W227" s="23" t="str">
        <f aca="false">IF($D227="","",IF($T227="","BEKLİYOR",IF(OR($U227=0,$S227=0),"DOĞRU",IF(AND($V227&gt;PazaryeriEksikHakedisEsik,$U227&gt;PazaryeriEksikHakedisTutarEsik),"EKSİK HAKEDİŞ","DOĞRU"))))</f>
        <v/>
      </c>
      <c r="X227" s="23" t="str">
        <f aca="false">IF($B227="","",CONCATENATE("Ürün: ",$B227," | Kâr: ",TEXT($Q227,"₺ #,##0")," | Durum: ",$W227))</f>
        <v/>
      </c>
      <c r="Y227" s="24"/>
    </row>
    <row r="228" customFormat="false" ht="15" hidden="false" customHeight="false" outlineLevel="0" collapsed="false">
      <c r="A228" s="24"/>
      <c r="B228" s="24"/>
      <c r="C228" s="22"/>
      <c r="D228" s="25"/>
      <c r="E228" s="22"/>
      <c r="F228" s="26"/>
      <c r="G228" s="26"/>
      <c r="H228" s="26"/>
      <c r="I228" s="26"/>
      <c r="J228" s="22"/>
      <c r="K228" s="20" t="n">
        <f aca="false">IF($D228="",0,$C228*$D228)</f>
        <v>0</v>
      </c>
      <c r="L228" s="20" t="n">
        <f aca="false">IF($D228="",0,$F228*$K228)</f>
        <v>0</v>
      </c>
      <c r="M228" s="20" t="n">
        <f aca="false">IF($D228="",0,$G228*$K228)</f>
        <v>0</v>
      </c>
      <c r="N228" s="20" t="n">
        <f aca="false">IF($D228="",0,$H228*$K228)</f>
        <v>0</v>
      </c>
      <c r="O228" s="20" t="n">
        <f aca="false">IF($D228="",0,$I228*$K228*(1-$F228))</f>
        <v>0</v>
      </c>
      <c r="P228" s="20" t="n">
        <f aca="false">IF($D228="",0,$E228*$D228+$L228+$M228+$N228+$O228+$J228*$D228)</f>
        <v>0</v>
      </c>
      <c r="Q228" s="20" t="n">
        <f aca="false">IF($D228="",0,$K228-$P228)</f>
        <v>0</v>
      </c>
      <c r="R228" s="21" t="n">
        <f aca="false">IF($K228=0,0,$Q228/$K228)</f>
        <v>0</v>
      </c>
      <c r="S228" s="20" t="n">
        <f aca="false">IF($D228="",0,$K228-$L228-$M228-$N228)</f>
        <v>0</v>
      </c>
      <c r="T228" s="22"/>
      <c r="U228" s="20" t="n">
        <f aca="false">IF($T228="",0,MAX(0,$S228-$T228))</f>
        <v>0</v>
      </c>
      <c r="V228" s="21" t="n">
        <f aca="false">IF($S228=0,0,$U228/$S228)</f>
        <v>0</v>
      </c>
      <c r="W228" s="23" t="str">
        <f aca="false">IF($D228="","",IF($T228="","BEKLİYOR",IF(OR($U228=0,$S228=0),"DOĞRU",IF(AND($V228&gt;PazaryeriEksikHakedisEsik,$U228&gt;PazaryeriEksikHakedisTutarEsik),"EKSİK HAKEDİŞ","DOĞRU"))))</f>
        <v/>
      </c>
      <c r="X228" s="23" t="str">
        <f aca="false">IF($B228="","",CONCATENATE("Ürün: ",$B228," | Kâr: ",TEXT($Q228,"₺ #,##0")," | Durum: ",$W228))</f>
        <v/>
      </c>
      <c r="Y228" s="24"/>
    </row>
    <row r="229" customFormat="false" ht="15" hidden="false" customHeight="false" outlineLevel="0" collapsed="false">
      <c r="A229" s="24"/>
      <c r="B229" s="24"/>
      <c r="C229" s="22"/>
      <c r="D229" s="25"/>
      <c r="E229" s="22"/>
      <c r="F229" s="26"/>
      <c r="G229" s="26"/>
      <c r="H229" s="26"/>
      <c r="I229" s="26"/>
      <c r="J229" s="22"/>
      <c r="K229" s="20" t="n">
        <f aca="false">IF($D229="",0,$C229*$D229)</f>
        <v>0</v>
      </c>
      <c r="L229" s="20" t="n">
        <f aca="false">IF($D229="",0,$F229*$K229)</f>
        <v>0</v>
      </c>
      <c r="M229" s="20" t="n">
        <f aca="false">IF($D229="",0,$G229*$K229)</f>
        <v>0</v>
      </c>
      <c r="N229" s="20" t="n">
        <f aca="false">IF($D229="",0,$H229*$K229)</f>
        <v>0</v>
      </c>
      <c r="O229" s="20" t="n">
        <f aca="false">IF($D229="",0,$I229*$K229*(1-$F229))</f>
        <v>0</v>
      </c>
      <c r="P229" s="20" t="n">
        <f aca="false">IF($D229="",0,$E229*$D229+$L229+$M229+$N229+$O229+$J229*$D229)</f>
        <v>0</v>
      </c>
      <c r="Q229" s="20" t="n">
        <f aca="false">IF($D229="",0,$K229-$P229)</f>
        <v>0</v>
      </c>
      <c r="R229" s="21" t="n">
        <f aca="false">IF($K229=0,0,$Q229/$K229)</f>
        <v>0</v>
      </c>
      <c r="S229" s="20" t="n">
        <f aca="false">IF($D229="",0,$K229-$L229-$M229-$N229)</f>
        <v>0</v>
      </c>
      <c r="T229" s="22"/>
      <c r="U229" s="20" t="n">
        <f aca="false">IF($T229="",0,MAX(0,$S229-$T229))</f>
        <v>0</v>
      </c>
      <c r="V229" s="21" t="n">
        <f aca="false">IF($S229=0,0,$U229/$S229)</f>
        <v>0</v>
      </c>
      <c r="W229" s="23" t="str">
        <f aca="false">IF($D229="","",IF($T229="","BEKLİYOR",IF(OR($U229=0,$S229=0),"DOĞRU",IF(AND($V229&gt;PazaryeriEksikHakedisEsik,$U229&gt;PazaryeriEksikHakedisTutarEsik),"EKSİK HAKEDİŞ","DOĞRU"))))</f>
        <v/>
      </c>
      <c r="X229" s="23" t="str">
        <f aca="false">IF($B229="","",CONCATENATE("Ürün: ",$B229," | Kâr: ",TEXT($Q229,"₺ #,##0")," | Durum: ",$W229))</f>
        <v/>
      </c>
      <c r="Y229" s="24"/>
    </row>
    <row r="230" customFormat="false" ht="15" hidden="false" customHeight="false" outlineLevel="0" collapsed="false">
      <c r="A230" s="24"/>
      <c r="B230" s="24"/>
      <c r="C230" s="22"/>
      <c r="D230" s="25"/>
      <c r="E230" s="22"/>
      <c r="F230" s="26"/>
      <c r="G230" s="26"/>
      <c r="H230" s="26"/>
      <c r="I230" s="26"/>
      <c r="J230" s="22"/>
      <c r="K230" s="20" t="n">
        <f aca="false">IF($D230="",0,$C230*$D230)</f>
        <v>0</v>
      </c>
      <c r="L230" s="20" t="n">
        <f aca="false">IF($D230="",0,$F230*$K230)</f>
        <v>0</v>
      </c>
      <c r="M230" s="20" t="n">
        <f aca="false">IF($D230="",0,$G230*$K230)</f>
        <v>0</v>
      </c>
      <c r="N230" s="20" t="n">
        <f aca="false">IF($D230="",0,$H230*$K230)</f>
        <v>0</v>
      </c>
      <c r="O230" s="20" t="n">
        <f aca="false">IF($D230="",0,$I230*$K230*(1-$F230))</f>
        <v>0</v>
      </c>
      <c r="P230" s="20" t="n">
        <f aca="false">IF($D230="",0,$E230*$D230+$L230+$M230+$N230+$O230+$J230*$D230)</f>
        <v>0</v>
      </c>
      <c r="Q230" s="20" t="n">
        <f aca="false">IF($D230="",0,$K230-$P230)</f>
        <v>0</v>
      </c>
      <c r="R230" s="21" t="n">
        <f aca="false">IF($K230=0,0,$Q230/$K230)</f>
        <v>0</v>
      </c>
      <c r="S230" s="20" t="n">
        <f aca="false">IF($D230="",0,$K230-$L230-$M230-$N230)</f>
        <v>0</v>
      </c>
      <c r="T230" s="22"/>
      <c r="U230" s="20" t="n">
        <f aca="false">IF($T230="",0,MAX(0,$S230-$T230))</f>
        <v>0</v>
      </c>
      <c r="V230" s="21" t="n">
        <f aca="false">IF($S230=0,0,$U230/$S230)</f>
        <v>0</v>
      </c>
      <c r="W230" s="23" t="str">
        <f aca="false">IF($D230="","",IF($T230="","BEKLİYOR",IF(OR($U230=0,$S230=0),"DOĞRU",IF(AND($V230&gt;PazaryeriEksikHakedisEsik,$U230&gt;PazaryeriEksikHakedisTutarEsik),"EKSİK HAKEDİŞ","DOĞRU"))))</f>
        <v/>
      </c>
      <c r="X230" s="23" t="str">
        <f aca="false">IF($B230="","",CONCATENATE("Ürün: ",$B230," | Kâr: ",TEXT($Q230,"₺ #,##0")," | Durum: ",$W230))</f>
        <v/>
      </c>
      <c r="Y230" s="24"/>
    </row>
    <row r="231" customFormat="false" ht="15" hidden="false" customHeight="false" outlineLevel="0" collapsed="false">
      <c r="A231" s="24"/>
      <c r="B231" s="24"/>
      <c r="C231" s="22"/>
      <c r="D231" s="25"/>
      <c r="E231" s="22"/>
      <c r="F231" s="26"/>
      <c r="G231" s="26"/>
      <c r="H231" s="26"/>
      <c r="I231" s="26"/>
      <c r="J231" s="22"/>
      <c r="K231" s="20" t="n">
        <f aca="false">IF($D231="",0,$C231*$D231)</f>
        <v>0</v>
      </c>
      <c r="L231" s="20" t="n">
        <f aca="false">IF($D231="",0,$F231*$K231)</f>
        <v>0</v>
      </c>
      <c r="M231" s="20" t="n">
        <f aca="false">IF($D231="",0,$G231*$K231)</f>
        <v>0</v>
      </c>
      <c r="N231" s="20" t="n">
        <f aca="false">IF($D231="",0,$H231*$K231)</f>
        <v>0</v>
      </c>
      <c r="O231" s="20" t="n">
        <f aca="false">IF($D231="",0,$I231*$K231*(1-$F231))</f>
        <v>0</v>
      </c>
      <c r="P231" s="20" t="n">
        <f aca="false">IF($D231="",0,$E231*$D231+$L231+$M231+$N231+$O231+$J231*$D231)</f>
        <v>0</v>
      </c>
      <c r="Q231" s="20" t="n">
        <f aca="false">IF($D231="",0,$K231-$P231)</f>
        <v>0</v>
      </c>
      <c r="R231" s="21" t="n">
        <f aca="false">IF($K231=0,0,$Q231/$K231)</f>
        <v>0</v>
      </c>
      <c r="S231" s="20" t="n">
        <f aca="false">IF($D231="",0,$K231-$L231-$M231-$N231)</f>
        <v>0</v>
      </c>
      <c r="T231" s="22"/>
      <c r="U231" s="20" t="n">
        <f aca="false">IF($T231="",0,MAX(0,$S231-$T231))</f>
        <v>0</v>
      </c>
      <c r="V231" s="21" t="n">
        <f aca="false">IF($S231=0,0,$U231/$S231)</f>
        <v>0</v>
      </c>
      <c r="W231" s="23" t="str">
        <f aca="false">IF($D231="","",IF($T231="","BEKLİYOR",IF(OR($U231=0,$S231=0),"DOĞRU",IF(AND($V231&gt;PazaryeriEksikHakedisEsik,$U231&gt;PazaryeriEksikHakedisTutarEsik),"EKSİK HAKEDİŞ","DOĞRU"))))</f>
        <v/>
      </c>
      <c r="X231" s="23" t="str">
        <f aca="false">IF($B231="","",CONCATENATE("Ürün: ",$B231," | Kâr: ",TEXT($Q231,"₺ #,##0")," | Durum: ",$W231))</f>
        <v/>
      </c>
      <c r="Y231" s="24"/>
    </row>
    <row r="232" customFormat="false" ht="15" hidden="false" customHeight="false" outlineLevel="0" collapsed="false">
      <c r="A232" s="24"/>
      <c r="B232" s="24"/>
      <c r="C232" s="22"/>
      <c r="D232" s="25"/>
      <c r="E232" s="22"/>
      <c r="F232" s="26"/>
      <c r="G232" s="26"/>
      <c r="H232" s="26"/>
      <c r="I232" s="26"/>
      <c r="J232" s="22"/>
      <c r="K232" s="20" t="n">
        <f aca="false">IF($D232="",0,$C232*$D232)</f>
        <v>0</v>
      </c>
      <c r="L232" s="20" t="n">
        <f aca="false">IF($D232="",0,$F232*$K232)</f>
        <v>0</v>
      </c>
      <c r="M232" s="20" t="n">
        <f aca="false">IF($D232="",0,$G232*$K232)</f>
        <v>0</v>
      </c>
      <c r="N232" s="20" t="n">
        <f aca="false">IF($D232="",0,$H232*$K232)</f>
        <v>0</v>
      </c>
      <c r="O232" s="20" t="n">
        <f aca="false">IF($D232="",0,$I232*$K232*(1-$F232))</f>
        <v>0</v>
      </c>
      <c r="P232" s="20" t="n">
        <f aca="false">IF($D232="",0,$E232*$D232+$L232+$M232+$N232+$O232+$J232*$D232)</f>
        <v>0</v>
      </c>
      <c r="Q232" s="20" t="n">
        <f aca="false">IF($D232="",0,$K232-$P232)</f>
        <v>0</v>
      </c>
      <c r="R232" s="21" t="n">
        <f aca="false">IF($K232=0,0,$Q232/$K232)</f>
        <v>0</v>
      </c>
      <c r="S232" s="20" t="n">
        <f aca="false">IF($D232="",0,$K232-$L232-$M232-$N232)</f>
        <v>0</v>
      </c>
      <c r="T232" s="22"/>
      <c r="U232" s="20" t="n">
        <f aca="false">IF($T232="",0,MAX(0,$S232-$T232))</f>
        <v>0</v>
      </c>
      <c r="V232" s="21" t="n">
        <f aca="false">IF($S232=0,0,$U232/$S232)</f>
        <v>0</v>
      </c>
      <c r="W232" s="23" t="str">
        <f aca="false">IF($D232="","",IF($T232="","BEKLİYOR",IF(OR($U232=0,$S232=0),"DOĞRU",IF(AND($V232&gt;PazaryeriEksikHakedisEsik,$U232&gt;PazaryeriEksikHakedisTutarEsik),"EKSİK HAKEDİŞ","DOĞRU"))))</f>
        <v/>
      </c>
      <c r="X232" s="23" t="str">
        <f aca="false">IF($B232="","",CONCATENATE("Ürün: ",$B232," | Kâr: ",TEXT($Q232,"₺ #,##0")," | Durum: ",$W232))</f>
        <v/>
      </c>
      <c r="Y232" s="24"/>
    </row>
    <row r="233" customFormat="false" ht="15" hidden="false" customHeight="false" outlineLevel="0" collapsed="false">
      <c r="A233" s="24"/>
      <c r="B233" s="24"/>
      <c r="C233" s="22"/>
      <c r="D233" s="25"/>
      <c r="E233" s="22"/>
      <c r="F233" s="26"/>
      <c r="G233" s="26"/>
      <c r="H233" s="26"/>
      <c r="I233" s="26"/>
      <c r="J233" s="22"/>
      <c r="K233" s="20" t="n">
        <f aca="false">IF($D233="",0,$C233*$D233)</f>
        <v>0</v>
      </c>
      <c r="L233" s="20" t="n">
        <f aca="false">IF($D233="",0,$F233*$K233)</f>
        <v>0</v>
      </c>
      <c r="M233" s="20" t="n">
        <f aca="false">IF($D233="",0,$G233*$K233)</f>
        <v>0</v>
      </c>
      <c r="N233" s="20" t="n">
        <f aca="false">IF($D233="",0,$H233*$K233)</f>
        <v>0</v>
      </c>
      <c r="O233" s="20" t="n">
        <f aca="false">IF($D233="",0,$I233*$K233*(1-$F233))</f>
        <v>0</v>
      </c>
      <c r="P233" s="20" t="n">
        <f aca="false">IF($D233="",0,$E233*$D233+$L233+$M233+$N233+$O233+$J233*$D233)</f>
        <v>0</v>
      </c>
      <c r="Q233" s="20" t="n">
        <f aca="false">IF($D233="",0,$K233-$P233)</f>
        <v>0</v>
      </c>
      <c r="R233" s="21" t="n">
        <f aca="false">IF($K233=0,0,$Q233/$K233)</f>
        <v>0</v>
      </c>
      <c r="S233" s="20" t="n">
        <f aca="false">IF($D233="",0,$K233-$L233-$M233-$N233)</f>
        <v>0</v>
      </c>
      <c r="T233" s="22"/>
      <c r="U233" s="20" t="n">
        <f aca="false">IF($T233="",0,MAX(0,$S233-$T233))</f>
        <v>0</v>
      </c>
      <c r="V233" s="21" t="n">
        <f aca="false">IF($S233=0,0,$U233/$S233)</f>
        <v>0</v>
      </c>
      <c r="W233" s="23" t="str">
        <f aca="false">IF($D233="","",IF($T233="","BEKLİYOR",IF(OR($U233=0,$S233=0),"DOĞRU",IF(AND($V233&gt;PazaryeriEksikHakedisEsik,$U233&gt;PazaryeriEksikHakedisTutarEsik),"EKSİK HAKEDİŞ","DOĞRU"))))</f>
        <v/>
      </c>
      <c r="X233" s="23" t="str">
        <f aca="false">IF($B233="","",CONCATENATE("Ürün: ",$B233," | Kâr: ",TEXT($Q233,"₺ #,##0")," | Durum: ",$W233))</f>
        <v/>
      </c>
      <c r="Y233" s="24"/>
    </row>
    <row r="234" customFormat="false" ht="15" hidden="false" customHeight="false" outlineLevel="0" collapsed="false">
      <c r="A234" s="24"/>
      <c r="B234" s="24"/>
      <c r="C234" s="22"/>
      <c r="D234" s="25"/>
      <c r="E234" s="22"/>
      <c r="F234" s="26"/>
      <c r="G234" s="26"/>
      <c r="H234" s="26"/>
      <c r="I234" s="26"/>
      <c r="J234" s="22"/>
      <c r="K234" s="20" t="n">
        <f aca="false">IF($D234="",0,$C234*$D234)</f>
        <v>0</v>
      </c>
      <c r="L234" s="20" t="n">
        <f aca="false">IF($D234="",0,$F234*$K234)</f>
        <v>0</v>
      </c>
      <c r="M234" s="20" t="n">
        <f aca="false">IF($D234="",0,$G234*$K234)</f>
        <v>0</v>
      </c>
      <c r="N234" s="20" t="n">
        <f aca="false">IF($D234="",0,$H234*$K234)</f>
        <v>0</v>
      </c>
      <c r="O234" s="20" t="n">
        <f aca="false">IF($D234="",0,$I234*$K234*(1-$F234))</f>
        <v>0</v>
      </c>
      <c r="P234" s="20" t="n">
        <f aca="false">IF($D234="",0,$E234*$D234+$L234+$M234+$N234+$O234+$J234*$D234)</f>
        <v>0</v>
      </c>
      <c r="Q234" s="20" t="n">
        <f aca="false">IF($D234="",0,$K234-$P234)</f>
        <v>0</v>
      </c>
      <c r="R234" s="21" t="n">
        <f aca="false">IF($K234=0,0,$Q234/$K234)</f>
        <v>0</v>
      </c>
      <c r="S234" s="20" t="n">
        <f aca="false">IF($D234="",0,$K234-$L234-$M234-$N234)</f>
        <v>0</v>
      </c>
      <c r="T234" s="22"/>
      <c r="U234" s="20" t="n">
        <f aca="false">IF($T234="",0,MAX(0,$S234-$T234))</f>
        <v>0</v>
      </c>
      <c r="V234" s="21" t="n">
        <f aca="false">IF($S234=0,0,$U234/$S234)</f>
        <v>0</v>
      </c>
      <c r="W234" s="23" t="str">
        <f aca="false">IF($D234="","",IF($T234="","BEKLİYOR",IF(OR($U234=0,$S234=0),"DOĞRU",IF(AND($V234&gt;PazaryeriEksikHakedisEsik,$U234&gt;PazaryeriEksikHakedisTutarEsik),"EKSİK HAKEDİŞ","DOĞRU"))))</f>
        <v/>
      </c>
      <c r="X234" s="23" t="str">
        <f aca="false">IF($B234="","",CONCATENATE("Ürün: ",$B234," | Kâr: ",TEXT($Q234,"₺ #,##0")," | Durum: ",$W234))</f>
        <v/>
      </c>
      <c r="Y234" s="24"/>
    </row>
    <row r="235" customFormat="false" ht="15" hidden="false" customHeight="false" outlineLevel="0" collapsed="false">
      <c r="A235" s="24"/>
      <c r="B235" s="24"/>
      <c r="C235" s="22"/>
      <c r="D235" s="25"/>
      <c r="E235" s="22"/>
      <c r="F235" s="26"/>
      <c r="G235" s="26"/>
      <c r="H235" s="26"/>
      <c r="I235" s="26"/>
      <c r="J235" s="22"/>
      <c r="K235" s="20" t="n">
        <f aca="false">IF($D235="",0,$C235*$D235)</f>
        <v>0</v>
      </c>
      <c r="L235" s="20" t="n">
        <f aca="false">IF($D235="",0,$F235*$K235)</f>
        <v>0</v>
      </c>
      <c r="M235" s="20" t="n">
        <f aca="false">IF($D235="",0,$G235*$K235)</f>
        <v>0</v>
      </c>
      <c r="N235" s="20" t="n">
        <f aca="false">IF($D235="",0,$H235*$K235)</f>
        <v>0</v>
      </c>
      <c r="O235" s="20" t="n">
        <f aca="false">IF($D235="",0,$I235*$K235*(1-$F235))</f>
        <v>0</v>
      </c>
      <c r="P235" s="20" t="n">
        <f aca="false">IF($D235="",0,$E235*$D235+$L235+$M235+$N235+$O235+$J235*$D235)</f>
        <v>0</v>
      </c>
      <c r="Q235" s="20" t="n">
        <f aca="false">IF($D235="",0,$K235-$P235)</f>
        <v>0</v>
      </c>
      <c r="R235" s="21" t="n">
        <f aca="false">IF($K235=0,0,$Q235/$K235)</f>
        <v>0</v>
      </c>
      <c r="S235" s="20" t="n">
        <f aca="false">IF($D235="",0,$K235-$L235-$M235-$N235)</f>
        <v>0</v>
      </c>
      <c r="T235" s="22"/>
      <c r="U235" s="20" t="n">
        <f aca="false">IF($T235="",0,MAX(0,$S235-$T235))</f>
        <v>0</v>
      </c>
      <c r="V235" s="21" t="n">
        <f aca="false">IF($S235=0,0,$U235/$S235)</f>
        <v>0</v>
      </c>
      <c r="W235" s="23" t="str">
        <f aca="false">IF($D235="","",IF($T235="","BEKLİYOR",IF(OR($U235=0,$S235=0),"DOĞRU",IF(AND($V235&gt;PazaryeriEksikHakedisEsik,$U235&gt;PazaryeriEksikHakedisTutarEsik),"EKSİK HAKEDİŞ","DOĞRU"))))</f>
        <v/>
      </c>
      <c r="X235" s="23" t="str">
        <f aca="false">IF($B235="","",CONCATENATE("Ürün: ",$B235," | Kâr: ",TEXT($Q235,"₺ #,##0")," | Durum: ",$W235))</f>
        <v/>
      </c>
      <c r="Y235" s="24"/>
    </row>
    <row r="236" customFormat="false" ht="15" hidden="false" customHeight="false" outlineLevel="0" collapsed="false">
      <c r="A236" s="24"/>
      <c r="B236" s="24"/>
      <c r="C236" s="22"/>
      <c r="D236" s="25"/>
      <c r="E236" s="22"/>
      <c r="F236" s="26"/>
      <c r="G236" s="26"/>
      <c r="H236" s="26"/>
      <c r="I236" s="26"/>
      <c r="J236" s="22"/>
      <c r="K236" s="20" t="n">
        <f aca="false">IF($D236="",0,$C236*$D236)</f>
        <v>0</v>
      </c>
      <c r="L236" s="20" t="n">
        <f aca="false">IF($D236="",0,$F236*$K236)</f>
        <v>0</v>
      </c>
      <c r="M236" s="20" t="n">
        <f aca="false">IF($D236="",0,$G236*$K236)</f>
        <v>0</v>
      </c>
      <c r="N236" s="20" t="n">
        <f aca="false">IF($D236="",0,$H236*$K236)</f>
        <v>0</v>
      </c>
      <c r="O236" s="20" t="n">
        <f aca="false">IF($D236="",0,$I236*$K236*(1-$F236))</f>
        <v>0</v>
      </c>
      <c r="P236" s="20" t="n">
        <f aca="false">IF($D236="",0,$E236*$D236+$L236+$M236+$N236+$O236+$J236*$D236)</f>
        <v>0</v>
      </c>
      <c r="Q236" s="20" t="n">
        <f aca="false">IF($D236="",0,$K236-$P236)</f>
        <v>0</v>
      </c>
      <c r="R236" s="21" t="n">
        <f aca="false">IF($K236=0,0,$Q236/$K236)</f>
        <v>0</v>
      </c>
      <c r="S236" s="20" t="n">
        <f aca="false">IF($D236="",0,$K236-$L236-$M236-$N236)</f>
        <v>0</v>
      </c>
      <c r="T236" s="22"/>
      <c r="U236" s="20" t="n">
        <f aca="false">IF($T236="",0,MAX(0,$S236-$T236))</f>
        <v>0</v>
      </c>
      <c r="V236" s="21" t="n">
        <f aca="false">IF($S236=0,0,$U236/$S236)</f>
        <v>0</v>
      </c>
      <c r="W236" s="23" t="str">
        <f aca="false">IF($D236="","",IF($T236="","BEKLİYOR",IF(OR($U236=0,$S236=0),"DOĞRU",IF(AND($V236&gt;PazaryeriEksikHakedisEsik,$U236&gt;PazaryeriEksikHakedisTutarEsik),"EKSİK HAKEDİŞ","DOĞRU"))))</f>
        <v/>
      </c>
      <c r="X236" s="23" t="str">
        <f aca="false">IF($B236="","",CONCATENATE("Ürün: ",$B236," | Kâr: ",TEXT($Q236,"₺ #,##0")," | Durum: ",$W236))</f>
        <v/>
      </c>
      <c r="Y236" s="24"/>
    </row>
    <row r="237" customFormat="false" ht="15" hidden="false" customHeight="false" outlineLevel="0" collapsed="false">
      <c r="A237" s="24"/>
      <c r="B237" s="24"/>
      <c r="C237" s="22"/>
      <c r="D237" s="25"/>
      <c r="E237" s="22"/>
      <c r="F237" s="26"/>
      <c r="G237" s="26"/>
      <c r="H237" s="26"/>
      <c r="I237" s="26"/>
      <c r="J237" s="22"/>
      <c r="K237" s="20" t="n">
        <f aca="false">IF($D237="",0,$C237*$D237)</f>
        <v>0</v>
      </c>
      <c r="L237" s="20" t="n">
        <f aca="false">IF($D237="",0,$F237*$K237)</f>
        <v>0</v>
      </c>
      <c r="M237" s="20" t="n">
        <f aca="false">IF($D237="",0,$G237*$K237)</f>
        <v>0</v>
      </c>
      <c r="N237" s="20" t="n">
        <f aca="false">IF($D237="",0,$H237*$K237)</f>
        <v>0</v>
      </c>
      <c r="O237" s="20" t="n">
        <f aca="false">IF($D237="",0,$I237*$K237*(1-$F237))</f>
        <v>0</v>
      </c>
      <c r="P237" s="20" t="n">
        <f aca="false">IF($D237="",0,$E237*$D237+$L237+$M237+$N237+$O237+$J237*$D237)</f>
        <v>0</v>
      </c>
      <c r="Q237" s="20" t="n">
        <f aca="false">IF($D237="",0,$K237-$P237)</f>
        <v>0</v>
      </c>
      <c r="R237" s="21" t="n">
        <f aca="false">IF($K237=0,0,$Q237/$K237)</f>
        <v>0</v>
      </c>
      <c r="S237" s="20" t="n">
        <f aca="false">IF($D237="",0,$K237-$L237-$M237-$N237)</f>
        <v>0</v>
      </c>
      <c r="T237" s="22"/>
      <c r="U237" s="20" t="n">
        <f aca="false">IF($T237="",0,MAX(0,$S237-$T237))</f>
        <v>0</v>
      </c>
      <c r="V237" s="21" t="n">
        <f aca="false">IF($S237=0,0,$U237/$S237)</f>
        <v>0</v>
      </c>
      <c r="W237" s="23" t="str">
        <f aca="false">IF($D237="","",IF($T237="","BEKLİYOR",IF(OR($U237=0,$S237=0),"DOĞRU",IF(AND($V237&gt;PazaryeriEksikHakedisEsik,$U237&gt;PazaryeriEksikHakedisTutarEsik),"EKSİK HAKEDİŞ","DOĞRU"))))</f>
        <v/>
      </c>
      <c r="X237" s="23" t="str">
        <f aca="false">IF($B237="","",CONCATENATE("Ürün: ",$B237," | Kâr: ",TEXT($Q237,"₺ #,##0")," | Durum: ",$W237))</f>
        <v/>
      </c>
      <c r="Y237" s="24"/>
    </row>
    <row r="238" customFormat="false" ht="15" hidden="false" customHeight="false" outlineLevel="0" collapsed="false">
      <c r="A238" s="24"/>
      <c r="B238" s="24"/>
      <c r="C238" s="22"/>
      <c r="D238" s="25"/>
      <c r="E238" s="22"/>
      <c r="F238" s="26"/>
      <c r="G238" s="26"/>
      <c r="H238" s="26"/>
      <c r="I238" s="26"/>
      <c r="J238" s="22"/>
      <c r="K238" s="20" t="n">
        <f aca="false">IF($D238="",0,$C238*$D238)</f>
        <v>0</v>
      </c>
      <c r="L238" s="20" t="n">
        <f aca="false">IF($D238="",0,$F238*$K238)</f>
        <v>0</v>
      </c>
      <c r="M238" s="20" t="n">
        <f aca="false">IF($D238="",0,$G238*$K238)</f>
        <v>0</v>
      </c>
      <c r="N238" s="20" t="n">
        <f aca="false">IF($D238="",0,$H238*$K238)</f>
        <v>0</v>
      </c>
      <c r="O238" s="20" t="n">
        <f aca="false">IF($D238="",0,$I238*$K238*(1-$F238))</f>
        <v>0</v>
      </c>
      <c r="P238" s="20" t="n">
        <f aca="false">IF($D238="",0,$E238*$D238+$L238+$M238+$N238+$O238+$J238*$D238)</f>
        <v>0</v>
      </c>
      <c r="Q238" s="20" t="n">
        <f aca="false">IF($D238="",0,$K238-$P238)</f>
        <v>0</v>
      </c>
      <c r="R238" s="21" t="n">
        <f aca="false">IF($K238=0,0,$Q238/$K238)</f>
        <v>0</v>
      </c>
      <c r="S238" s="20" t="n">
        <f aca="false">IF($D238="",0,$K238-$L238-$M238-$N238)</f>
        <v>0</v>
      </c>
      <c r="T238" s="22"/>
      <c r="U238" s="20" t="n">
        <f aca="false">IF($T238="",0,MAX(0,$S238-$T238))</f>
        <v>0</v>
      </c>
      <c r="V238" s="21" t="n">
        <f aca="false">IF($S238=0,0,$U238/$S238)</f>
        <v>0</v>
      </c>
      <c r="W238" s="23" t="str">
        <f aca="false">IF($D238="","",IF($T238="","BEKLİYOR",IF(OR($U238=0,$S238=0),"DOĞRU",IF(AND($V238&gt;PazaryeriEksikHakedisEsik,$U238&gt;PazaryeriEksikHakedisTutarEsik),"EKSİK HAKEDİŞ","DOĞRU"))))</f>
        <v/>
      </c>
      <c r="X238" s="23" t="str">
        <f aca="false">IF($B238="","",CONCATENATE("Ürün: ",$B238," | Kâr: ",TEXT($Q238,"₺ #,##0")," | Durum: ",$W238))</f>
        <v/>
      </c>
      <c r="Y238" s="24"/>
    </row>
    <row r="239" customFormat="false" ht="15" hidden="false" customHeight="false" outlineLevel="0" collapsed="false">
      <c r="A239" s="24"/>
      <c r="B239" s="24"/>
      <c r="C239" s="22"/>
      <c r="D239" s="25"/>
      <c r="E239" s="22"/>
      <c r="F239" s="26"/>
      <c r="G239" s="26"/>
      <c r="H239" s="26"/>
      <c r="I239" s="26"/>
      <c r="J239" s="22"/>
      <c r="K239" s="20" t="n">
        <f aca="false">IF($D239="",0,$C239*$D239)</f>
        <v>0</v>
      </c>
      <c r="L239" s="20" t="n">
        <f aca="false">IF($D239="",0,$F239*$K239)</f>
        <v>0</v>
      </c>
      <c r="M239" s="20" t="n">
        <f aca="false">IF($D239="",0,$G239*$K239)</f>
        <v>0</v>
      </c>
      <c r="N239" s="20" t="n">
        <f aca="false">IF($D239="",0,$H239*$K239)</f>
        <v>0</v>
      </c>
      <c r="O239" s="20" t="n">
        <f aca="false">IF($D239="",0,$I239*$K239*(1-$F239))</f>
        <v>0</v>
      </c>
      <c r="P239" s="20" t="n">
        <f aca="false">IF($D239="",0,$E239*$D239+$L239+$M239+$N239+$O239+$J239*$D239)</f>
        <v>0</v>
      </c>
      <c r="Q239" s="20" t="n">
        <f aca="false">IF($D239="",0,$K239-$P239)</f>
        <v>0</v>
      </c>
      <c r="R239" s="21" t="n">
        <f aca="false">IF($K239=0,0,$Q239/$K239)</f>
        <v>0</v>
      </c>
      <c r="S239" s="20" t="n">
        <f aca="false">IF($D239="",0,$K239-$L239-$M239-$N239)</f>
        <v>0</v>
      </c>
      <c r="T239" s="22"/>
      <c r="U239" s="20" t="n">
        <f aca="false">IF($T239="",0,MAX(0,$S239-$T239))</f>
        <v>0</v>
      </c>
      <c r="V239" s="21" t="n">
        <f aca="false">IF($S239=0,0,$U239/$S239)</f>
        <v>0</v>
      </c>
      <c r="W239" s="23" t="str">
        <f aca="false">IF($D239="","",IF($T239="","BEKLİYOR",IF(OR($U239=0,$S239=0),"DOĞRU",IF(AND($V239&gt;PazaryeriEksikHakedisEsik,$U239&gt;PazaryeriEksikHakedisTutarEsik),"EKSİK HAKEDİŞ","DOĞRU"))))</f>
        <v/>
      </c>
      <c r="X239" s="23" t="str">
        <f aca="false">IF($B239="","",CONCATENATE("Ürün: ",$B239," | Kâr: ",TEXT($Q239,"₺ #,##0")," | Durum: ",$W239))</f>
        <v/>
      </c>
      <c r="Y239" s="24"/>
    </row>
    <row r="240" customFormat="false" ht="15" hidden="false" customHeight="false" outlineLevel="0" collapsed="false">
      <c r="A240" s="24"/>
      <c r="B240" s="24"/>
      <c r="C240" s="22"/>
      <c r="D240" s="25"/>
      <c r="E240" s="22"/>
      <c r="F240" s="26"/>
      <c r="G240" s="26"/>
      <c r="H240" s="26"/>
      <c r="I240" s="26"/>
      <c r="J240" s="22"/>
      <c r="K240" s="20" t="n">
        <f aca="false">IF($D240="",0,$C240*$D240)</f>
        <v>0</v>
      </c>
      <c r="L240" s="20" t="n">
        <f aca="false">IF($D240="",0,$F240*$K240)</f>
        <v>0</v>
      </c>
      <c r="M240" s="20" t="n">
        <f aca="false">IF($D240="",0,$G240*$K240)</f>
        <v>0</v>
      </c>
      <c r="N240" s="20" t="n">
        <f aca="false">IF($D240="",0,$H240*$K240)</f>
        <v>0</v>
      </c>
      <c r="O240" s="20" t="n">
        <f aca="false">IF($D240="",0,$I240*$K240*(1-$F240))</f>
        <v>0</v>
      </c>
      <c r="P240" s="20" t="n">
        <f aca="false">IF($D240="",0,$E240*$D240+$L240+$M240+$N240+$O240+$J240*$D240)</f>
        <v>0</v>
      </c>
      <c r="Q240" s="20" t="n">
        <f aca="false">IF($D240="",0,$K240-$P240)</f>
        <v>0</v>
      </c>
      <c r="R240" s="21" t="n">
        <f aca="false">IF($K240=0,0,$Q240/$K240)</f>
        <v>0</v>
      </c>
      <c r="S240" s="20" t="n">
        <f aca="false">IF($D240="",0,$K240-$L240-$M240-$N240)</f>
        <v>0</v>
      </c>
      <c r="T240" s="22"/>
      <c r="U240" s="20" t="n">
        <f aca="false">IF($T240="",0,MAX(0,$S240-$T240))</f>
        <v>0</v>
      </c>
      <c r="V240" s="21" t="n">
        <f aca="false">IF($S240=0,0,$U240/$S240)</f>
        <v>0</v>
      </c>
      <c r="W240" s="23" t="str">
        <f aca="false">IF($D240="","",IF($T240="","BEKLİYOR",IF(OR($U240=0,$S240=0),"DOĞRU",IF(AND($V240&gt;PazaryeriEksikHakedisEsik,$U240&gt;PazaryeriEksikHakedisTutarEsik),"EKSİK HAKEDİŞ","DOĞRU"))))</f>
        <v/>
      </c>
      <c r="X240" s="23" t="str">
        <f aca="false">IF($B240="","",CONCATENATE("Ürün: ",$B240," | Kâr: ",TEXT($Q240,"₺ #,##0")," | Durum: ",$W240))</f>
        <v/>
      </c>
      <c r="Y240" s="24"/>
    </row>
    <row r="241" customFormat="false" ht="15" hidden="false" customHeight="false" outlineLevel="0" collapsed="false">
      <c r="A241" s="24"/>
      <c r="B241" s="24"/>
      <c r="C241" s="22"/>
      <c r="D241" s="25"/>
      <c r="E241" s="22"/>
      <c r="F241" s="26"/>
      <c r="G241" s="26"/>
      <c r="H241" s="26"/>
      <c r="I241" s="26"/>
      <c r="J241" s="22"/>
      <c r="K241" s="20" t="n">
        <f aca="false">IF($D241="",0,$C241*$D241)</f>
        <v>0</v>
      </c>
      <c r="L241" s="20" t="n">
        <f aca="false">IF($D241="",0,$F241*$K241)</f>
        <v>0</v>
      </c>
      <c r="M241" s="20" t="n">
        <f aca="false">IF($D241="",0,$G241*$K241)</f>
        <v>0</v>
      </c>
      <c r="N241" s="20" t="n">
        <f aca="false">IF($D241="",0,$H241*$K241)</f>
        <v>0</v>
      </c>
      <c r="O241" s="20" t="n">
        <f aca="false">IF($D241="",0,$I241*$K241*(1-$F241))</f>
        <v>0</v>
      </c>
      <c r="P241" s="20" t="n">
        <f aca="false">IF($D241="",0,$E241*$D241+$L241+$M241+$N241+$O241+$J241*$D241)</f>
        <v>0</v>
      </c>
      <c r="Q241" s="20" t="n">
        <f aca="false">IF($D241="",0,$K241-$P241)</f>
        <v>0</v>
      </c>
      <c r="R241" s="21" t="n">
        <f aca="false">IF($K241=0,0,$Q241/$K241)</f>
        <v>0</v>
      </c>
      <c r="S241" s="20" t="n">
        <f aca="false">IF($D241="",0,$K241-$L241-$M241-$N241)</f>
        <v>0</v>
      </c>
      <c r="T241" s="22"/>
      <c r="U241" s="20" t="n">
        <f aca="false">IF($T241="",0,MAX(0,$S241-$T241))</f>
        <v>0</v>
      </c>
      <c r="V241" s="21" t="n">
        <f aca="false">IF($S241=0,0,$U241/$S241)</f>
        <v>0</v>
      </c>
      <c r="W241" s="23" t="str">
        <f aca="false">IF($D241="","",IF($T241="","BEKLİYOR",IF(OR($U241=0,$S241=0),"DOĞRU",IF(AND($V241&gt;PazaryeriEksikHakedisEsik,$U241&gt;PazaryeriEksikHakedisTutarEsik),"EKSİK HAKEDİŞ","DOĞRU"))))</f>
        <v/>
      </c>
      <c r="X241" s="23" t="str">
        <f aca="false">IF($B241="","",CONCATENATE("Ürün: ",$B241," | Kâr: ",TEXT($Q241,"₺ #,##0")," | Durum: ",$W241))</f>
        <v/>
      </c>
      <c r="Y241" s="24"/>
    </row>
    <row r="242" customFormat="false" ht="15" hidden="false" customHeight="false" outlineLevel="0" collapsed="false">
      <c r="A242" s="24"/>
      <c r="B242" s="24"/>
      <c r="C242" s="22"/>
      <c r="D242" s="25"/>
      <c r="E242" s="22"/>
      <c r="F242" s="26"/>
      <c r="G242" s="26"/>
      <c r="H242" s="26"/>
      <c r="I242" s="26"/>
      <c r="J242" s="22"/>
      <c r="K242" s="20" t="n">
        <f aca="false">IF($D242="",0,$C242*$D242)</f>
        <v>0</v>
      </c>
      <c r="L242" s="20" t="n">
        <f aca="false">IF($D242="",0,$F242*$K242)</f>
        <v>0</v>
      </c>
      <c r="M242" s="20" t="n">
        <f aca="false">IF($D242="",0,$G242*$K242)</f>
        <v>0</v>
      </c>
      <c r="N242" s="20" t="n">
        <f aca="false">IF($D242="",0,$H242*$K242)</f>
        <v>0</v>
      </c>
      <c r="O242" s="20" t="n">
        <f aca="false">IF($D242="",0,$I242*$K242*(1-$F242))</f>
        <v>0</v>
      </c>
      <c r="P242" s="20" t="n">
        <f aca="false">IF($D242="",0,$E242*$D242+$L242+$M242+$N242+$O242+$J242*$D242)</f>
        <v>0</v>
      </c>
      <c r="Q242" s="20" t="n">
        <f aca="false">IF($D242="",0,$K242-$P242)</f>
        <v>0</v>
      </c>
      <c r="R242" s="21" t="n">
        <f aca="false">IF($K242=0,0,$Q242/$K242)</f>
        <v>0</v>
      </c>
      <c r="S242" s="20" t="n">
        <f aca="false">IF($D242="",0,$K242-$L242-$M242-$N242)</f>
        <v>0</v>
      </c>
      <c r="T242" s="22"/>
      <c r="U242" s="20" t="n">
        <f aca="false">IF($T242="",0,MAX(0,$S242-$T242))</f>
        <v>0</v>
      </c>
      <c r="V242" s="21" t="n">
        <f aca="false">IF($S242=0,0,$U242/$S242)</f>
        <v>0</v>
      </c>
      <c r="W242" s="23" t="str">
        <f aca="false">IF($D242="","",IF($T242="","BEKLİYOR",IF(OR($U242=0,$S242=0),"DOĞRU",IF(AND($V242&gt;PazaryeriEksikHakedisEsik,$U242&gt;PazaryeriEksikHakedisTutarEsik),"EKSİK HAKEDİŞ","DOĞRU"))))</f>
        <v/>
      </c>
      <c r="X242" s="23" t="str">
        <f aca="false">IF($B242="","",CONCATENATE("Ürün: ",$B242," | Kâr: ",TEXT($Q242,"₺ #,##0")," | Durum: ",$W242))</f>
        <v/>
      </c>
      <c r="Y242" s="24"/>
    </row>
    <row r="243" customFormat="false" ht="15" hidden="false" customHeight="false" outlineLevel="0" collapsed="false">
      <c r="A243" s="24"/>
      <c r="B243" s="24"/>
      <c r="C243" s="22"/>
      <c r="D243" s="25"/>
      <c r="E243" s="22"/>
      <c r="F243" s="26"/>
      <c r="G243" s="26"/>
      <c r="H243" s="26"/>
      <c r="I243" s="26"/>
      <c r="J243" s="22"/>
      <c r="K243" s="20" t="n">
        <f aca="false">IF($D243="",0,$C243*$D243)</f>
        <v>0</v>
      </c>
      <c r="L243" s="20" t="n">
        <f aca="false">IF($D243="",0,$F243*$K243)</f>
        <v>0</v>
      </c>
      <c r="M243" s="20" t="n">
        <f aca="false">IF($D243="",0,$G243*$K243)</f>
        <v>0</v>
      </c>
      <c r="N243" s="20" t="n">
        <f aca="false">IF($D243="",0,$H243*$K243)</f>
        <v>0</v>
      </c>
      <c r="O243" s="20" t="n">
        <f aca="false">IF($D243="",0,$I243*$K243*(1-$F243))</f>
        <v>0</v>
      </c>
      <c r="P243" s="20" t="n">
        <f aca="false">IF($D243="",0,$E243*$D243+$L243+$M243+$N243+$O243+$J243*$D243)</f>
        <v>0</v>
      </c>
      <c r="Q243" s="20" t="n">
        <f aca="false">IF($D243="",0,$K243-$P243)</f>
        <v>0</v>
      </c>
      <c r="R243" s="21" t="n">
        <f aca="false">IF($K243=0,0,$Q243/$K243)</f>
        <v>0</v>
      </c>
      <c r="S243" s="20" t="n">
        <f aca="false">IF($D243="",0,$K243-$L243-$M243-$N243)</f>
        <v>0</v>
      </c>
      <c r="T243" s="22"/>
      <c r="U243" s="20" t="n">
        <f aca="false">IF($T243="",0,MAX(0,$S243-$T243))</f>
        <v>0</v>
      </c>
      <c r="V243" s="21" t="n">
        <f aca="false">IF($S243=0,0,$U243/$S243)</f>
        <v>0</v>
      </c>
      <c r="W243" s="23" t="str">
        <f aca="false">IF($D243="","",IF($T243="","BEKLİYOR",IF(OR($U243=0,$S243=0),"DOĞRU",IF(AND($V243&gt;PazaryeriEksikHakedisEsik,$U243&gt;PazaryeriEksikHakedisTutarEsik),"EKSİK HAKEDİŞ","DOĞRU"))))</f>
        <v/>
      </c>
      <c r="X243" s="23" t="str">
        <f aca="false">IF($B243="","",CONCATENATE("Ürün: ",$B243," | Kâr: ",TEXT($Q243,"₺ #,##0")," | Durum: ",$W243))</f>
        <v/>
      </c>
      <c r="Y243" s="24"/>
    </row>
    <row r="244" customFormat="false" ht="15" hidden="false" customHeight="false" outlineLevel="0" collapsed="false">
      <c r="A244" s="24"/>
      <c r="B244" s="24"/>
      <c r="C244" s="22"/>
      <c r="D244" s="25"/>
      <c r="E244" s="22"/>
      <c r="F244" s="26"/>
      <c r="G244" s="26"/>
      <c r="H244" s="26"/>
      <c r="I244" s="26"/>
      <c r="J244" s="22"/>
      <c r="K244" s="20" t="n">
        <f aca="false">IF($D244="",0,$C244*$D244)</f>
        <v>0</v>
      </c>
      <c r="L244" s="20" t="n">
        <f aca="false">IF($D244="",0,$F244*$K244)</f>
        <v>0</v>
      </c>
      <c r="M244" s="20" t="n">
        <f aca="false">IF($D244="",0,$G244*$K244)</f>
        <v>0</v>
      </c>
      <c r="N244" s="20" t="n">
        <f aca="false">IF($D244="",0,$H244*$K244)</f>
        <v>0</v>
      </c>
      <c r="O244" s="20" t="n">
        <f aca="false">IF($D244="",0,$I244*$K244*(1-$F244))</f>
        <v>0</v>
      </c>
      <c r="P244" s="20" t="n">
        <f aca="false">IF($D244="",0,$E244*$D244+$L244+$M244+$N244+$O244+$J244*$D244)</f>
        <v>0</v>
      </c>
      <c r="Q244" s="20" t="n">
        <f aca="false">IF($D244="",0,$K244-$P244)</f>
        <v>0</v>
      </c>
      <c r="R244" s="21" t="n">
        <f aca="false">IF($K244=0,0,$Q244/$K244)</f>
        <v>0</v>
      </c>
      <c r="S244" s="20" t="n">
        <f aca="false">IF($D244="",0,$K244-$L244-$M244-$N244)</f>
        <v>0</v>
      </c>
      <c r="T244" s="22"/>
      <c r="U244" s="20" t="n">
        <f aca="false">IF($T244="",0,MAX(0,$S244-$T244))</f>
        <v>0</v>
      </c>
      <c r="V244" s="21" t="n">
        <f aca="false">IF($S244=0,0,$U244/$S244)</f>
        <v>0</v>
      </c>
      <c r="W244" s="23" t="str">
        <f aca="false">IF($D244="","",IF($T244="","BEKLİYOR",IF(OR($U244=0,$S244=0),"DOĞRU",IF(AND($V244&gt;PazaryeriEksikHakedisEsik,$U244&gt;PazaryeriEksikHakedisTutarEsik),"EKSİK HAKEDİŞ","DOĞRU"))))</f>
        <v/>
      </c>
      <c r="X244" s="23" t="str">
        <f aca="false">IF($B244="","",CONCATENATE("Ürün: ",$B244," | Kâr: ",TEXT($Q244,"₺ #,##0")," | Durum: ",$W244))</f>
        <v/>
      </c>
      <c r="Y244" s="24"/>
    </row>
    <row r="245" customFormat="false" ht="15" hidden="false" customHeight="false" outlineLevel="0" collapsed="false">
      <c r="A245" s="24"/>
      <c r="B245" s="24"/>
      <c r="C245" s="22"/>
      <c r="D245" s="25"/>
      <c r="E245" s="22"/>
      <c r="F245" s="26"/>
      <c r="G245" s="26"/>
      <c r="H245" s="26"/>
      <c r="I245" s="26"/>
      <c r="J245" s="22"/>
      <c r="K245" s="20" t="n">
        <f aca="false">IF($D245="",0,$C245*$D245)</f>
        <v>0</v>
      </c>
      <c r="L245" s="20" t="n">
        <f aca="false">IF($D245="",0,$F245*$K245)</f>
        <v>0</v>
      </c>
      <c r="M245" s="20" t="n">
        <f aca="false">IF($D245="",0,$G245*$K245)</f>
        <v>0</v>
      </c>
      <c r="N245" s="20" t="n">
        <f aca="false">IF($D245="",0,$H245*$K245)</f>
        <v>0</v>
      </c>
      <c r="O245" s="20" t="n">
        <f aca="false">IF($D245="",0,$I245*$K245*(1-$F245))</f>
        <v>0</v>
      </c>
      <c r="P245" s="20" t="n">
        <f aca="false">IF($D245="",0,$E245*$D245+$L245+$M245+$N245+$O245+$J245*$D245)</f>
        <v>0</v>
      </c>
      <c r="Q245" s="20" t="n">
        <f aca="false">IF($D245="",0,$K245-$P245)</f>
        <v>0</v>
      </c>
      <c r="R245" s="21" t="n">
        <f aca="false">IF($K245=0,0,$Q245/$K245)</f>
        <v>0</v>
      </c>
      <c r="S245" s="20" t="n">
        <f aca="false">IF($D245="",0,$K245-$L245-$M245-$N245)</f>
        <v>0</v>
      </c>
      <c r="T245" s="22"/>
      <c r="U245" s="20" t="n">
        <f aca="false">IF($T245="",0,MAX(0,$S245-$T245))</f>
        <v>0</v>
      </c>
      <c r="V245" s="21" t="n">
        <f aca="false">IF($S245=0,0,$U245/$S245)</f>
        <v>0</v>
      </c>
      <c r="W245" s="23" t="str">
        <f aca="false">IF($D245="","",IF($T245="","BEKLİYOR",IF(OR($U245=0,$S245=0),"DOĞRU",IF(AND($V245&gt;PazaryeriEksikHakedisEsik,$U245&gt;PazaryeriEksikHakedisTutarEsik),"EKSİK HAKEDİŞ","DOĞRU"))))</f>
        <v/>
      </c>
      <c r="X245" s="23" t="str">
        <f aca="false">IF($B245="","",CONCATENATE("Ürün: ",$B245," | Kâr: ",TEXT($Q245,"₺ #,##0")," | Durum: ",$W245))</f>
        <v/>
      </c>
      <c r="Y245" s="24"/>
    </row>
    <row r="246" customFormat="false" ht="15" hidden="false" customHeight="false" outlineLevel="0" collapsed="false">
      <c r="A246" s="24"/>
      <c r="B246" s="24"/>
      <c r="C246" s="22"/>
      <c r="D246" s="25"/>
      <c r="E246" s="22"/>
      <c r="F246" s="26"/>
      <c r="G246" s="26"/>
      <c r="H246" s="26"/>
      <c r="I246" s="26"/>
      <c r="J246" s="22"/>
      <c r="K246" s="20" t="n">
        <f aca="false">IF($D246="",0,$C246*$D246)</f>
        <v>0</v>
      </c>
      <c r="L246" s="20" t="n">
        <f aca="false">IF($D246="",0,$F246*$K246)</f>
        <v>0</v>
      </c>
      <c r="M246" s="20" t="n">
        <f aca="false">IF($D246="",0,$G246*$K246)</f>
        <v>0</v>
      </c>
      <c r="N246" s="20" t="n">
        <f aca="false">IF($D246="",0,$H246*$K246)</f>
        <v>0</v>
      </c>
      <c r="O246" s="20" t="n">
        <f aca="false">IF($D246="",0,$I246*$K246*(1-$F246))</f>
        <v>0</v>
      </c>
      <c r="P246" s="20" t="n">
        <f aca="false">IF($D246="",0,$E246*$D246+$L246+$M246+$N246+$O246+$J246*$D246)</f>
        <v>0</v>
      </c>
      <c r="Q246" s="20" t="n">
        <f aca="false">IF($D246="",0,$K246-$P246)</f>
        <v>0</v>
      </c>
      <c r="R246" s="21" t="n">
        <f aca="false">IF($K246=0,0,$Q246/$K246)</f>
        <v>0</v>
      </c>
      <c r="S246" s="20" t="n">
        <f aca="false">IF($D246="",0,$K246-$L246-$M246-$N246)</f>
        <v>0</v>
      </c>
      <c r="T246" s="22"/>
      <c r="U246" s="20" t="n">
        <f aca="false">IF($T246="",0,MAX(0,$S246-$T246))</f>
        <v>0</v>
      </c>
      <c r="V246" s="21" t="n">
        <f aca="false">IF($S246=0,0,$U246/$S246)</f>
        <v>0</v>
      </c>
      <c r="W246" s="23" t="str">
        <f aca="false">IF($D246="","",IF($T246="","BEKLİYOR",IF(OR($U246=0,$S246=0),"DOĞRU",IF(AND($V246&gt;PazaryeriEksikHakedisEsik,$U246&gt;PazaryeriEksikHakedisTutarEsik),"EKSİK HAKEDİŞ","DOĞRU"))))</f>
        <v/>
      </c>
      <c r="X246" s="23" t="str">
        <f aca="false">IF($B246="","",CONCATENATE("Ürün: ",$B246," | Kâr: ",TEXT($Q246,"₺ #,##0")," | Durum: ",$W246))</f>
        <v/>
      </c>
      <c r="Y246" s="24"/>
    </row>
    <row r="247" customFormat="false" ht="15" hidden="false" customHeight="false" outlineLevel="0" collapsed="false">
      <c r="A247" s="24"/>
      <c r="B247" s="24"/>
      <c r="C247" s="22"/>
      <c r="D247" s="25"/>
      <c r="E247" s="22"/>
      <c r="F247" s="26"/>
      <c r="G247" s="26"/>
      <c r="H247" s="26"/>
      <c r="I247" s="26"/>
      <c r="J247" s="22"/>
      <c r="K247" s="20" t="n">
        <f aca="false">IF($D247="",0,$C247*$D247)</f>
        <v>0</v>
      </c>
      <c r="L247" s="20" t="n">
        <f aca="false">IF($D247="",0,$F247*$K247)</f>
        <v>0</v>
      </c>
      <c r="M247" s="20" t="n">
        <f aca="false">IF($D247="",0,$G247*$K247)</f>
        <v>0</v>
      </c>
      <c r="N247" s="20" t="n">
        <f aca="false">IF($D247="",0,$H247*$K247)</f>
        <v>0</v>
      </c>
      <c r="O247" s="20" t="n">
        <f aca="false">IF($D247="",0,$I247*$K247*(1-$F247))</f>
        <v>0</v>
      </c>
      <c r="P247" s="20" t="n">
        <f aca="false">IF($D247="",0,$E247*$D247+$L247+$M247+$N247+$O247+$J247*$D247)</f>
        <v>0</v>
      </c>
      <c r="Q247" s="20" t="n">
        <f aca="false">IF($D247="",0,$K247-$P247)</f>
        <v>0</v>
      </c>
      <c r="R247" s="21" t="n">
        <f aca="false">IF($K247=0,0,$Q247/$K247)</f>
        <v>0</v>
      </c>
      <c r="S247" s="20" t="n">
        <f aca="false">IF($D247="",0,$K247-$L247-$M247-$N247)</f>
        <v>0</v>
      </c>
      <c r="T247" s="22"/>
      <c r="U247" s="20" t="n">
        <f aca="false">IF($T247="",0,MAX(0,$S247-$T247))</f>
        <v>0</v>
      </c>
      <c r="V247" s="21" t="n">
        <f aca="false">IF($S247=0,0,$U247/$S247)</f>
        <v>0</v>
      </c>
      <c r="W247" s="23" t="str">
        <f aca="false">IF($D247="","",IF($T247="","BEKLİYOR",IF(OR($U247=0,$S247=0),"DOĞRU",IF(AND($V247&gt;PazaryeriEksikHakedisEsik,$U247&gt;PazaryeriEksikHakedisTutarEsik),"EKSİK HAKEDİŞ","DOĞRU"))))</f>
        <v/>
      </c>
      <c r="X247" s="23" t="str">
        <f aca="false">IF($B247="","",CONCATENATE("Ürün: ",$B247," | Kâr: ",TEXT($Q247,"₺ #,##0")," | Durum: ",$W247))</f>
        <v/>
      </c>
      <c r="Y247" s="24"/>
    </row>
    <row r="248" customFormat="false" ht="15" hidden="false" customHeight="false" outlineLevel="0" collapsed="false">
      <c r="A248" s="24"/>
      <c r="B248" s="24"/>
      <c r="C248" s="22"/>
      <c r="D248" s="25"/>
      <c r="E248" s="22"/>
      <c r="F248" s="26"/>
      <c r="G248" s="26"/>
      <c r="H248" s="26"/>
      <c r="I248" s="26"/>
      <c r="J248" s="22"/>
      <c r="K248" s="20" t="n">
        <f aca="false">IF($D248="",0,$C248*$D248)</f>
        <v>0</v>
      </c>
      <c r="L248" s="20" t="n">
        <f aca="false">IF($D248="",0,$F248*$K248)</f>
        <v>0</v>
      </c>
      <c r="M248" s="20" t="n">
        <f aca="false">IF($D248="",0,$G248*$K248)</f>
        <v>0</v>
      </c>
      <c r="N248" s="20" t="n">
        <f aca="false">IF($D248="",0,$H248*$K248)</f>
        <v>0</v>
      </c>
      <c r="O248" s="20" t="n">
        <f aca="false">IF($D248="",0,$I248*$K248*(1-$F248))</f>
        <v>0</v>
      </c>
      <c r="P248" s="20" t="n">
        <f aca="false">IF($D248="",0,$E248*$D248+$L248+$M248+$N248+$O248+$J248*$D248)</f>
        <v>0</v>
      </c>
      <c r="Q248" s="20" t="n">
        <f aca="false">IF($D248="",0,$K248-$P248)</f>
        <v>0</v>
      </c>
      <c r="R248" s="21" t="n">
        <f aca="false">IF($K248=0,0,$Q248/$K248)</f>
        <v>0</v>
      </c>
      <c r="S248" s="20" t="n">
        <f aca="false">IF($D248="",0,$K248-$L248-$M248-$N248)</f>
        <v>0</v>
      </c>
      <c r="T248" s="22"/>
      <c r="U248" s="20" t="n">
        <f aca="false">IF($T248="",0,MAX(0,$S248-$T248))</f>
        <v>0</v>
      </c>
      <c r="V248" s="21" t="n">
        <f aca="false">IF($S248=0,0,$U248/$S248)</f>
        <v>0</v>
      </c>
      <c r="W248" s="23" t="str">
        <f aca="false">IF($D248="","",IF($T248="","BEKLİYOR",IF(OR($U248=0,$S248=0),"DOĞRU",IF(AND($V248&gt;PazaryeriEksikHakedisEsik,$U248&gt;PazaryeriEksikHakedisTutarEsik),"EKSİK HAKEDİŞ","DOĞRU"))))</f>
        <v/>
      </c>
      <c r="X248" s="23" t="str">
        <f aca="false">IF($B248="","",CONCATENATE("Ürün: ",$B248," | Kâr: ",TEXT($Q248,"₺ #,##0")," | Durum: ",$W248))</f>
        <v/>
      </c>
      <c r="Y248" s="24"/>
    </row>
    <row r="249" customFormat="false" ht="15" hidden="false" customHeight="false" outlineLevel="0" collapsed="false">
      <c r="A249" s="24"/>
      <c r="B249" s="24"/>
      <c r="C249" s="22"/>
      <c r="D249" s="25"/>
      <c r="E249" s="22"/>
      <c r="F249" s="26"/>
      <c r="G249" s="26"/>
      <c r="H249" s="26"/>
      <c r="I249" s="26"/>
      <c r="J249" s="22"/>
      <c r="K249" s="20" t="n">
        <f aca="false">IF($D249="",0,$C249*$D249)</f>
        <v>0</v>
      </c>
      <c r="L249" s="20" t="n">
        <f aca="false">IF($D249="",0,$F249*$K249)</f>
        <v>0</v>
      </c>
      <c r="M249" s="20" t="n">
        <f aca="false">IF($D249="",0,$G249*$K249)</f>
        <v>0</v>
      </c>
      <c r="N249" s="20" t="n">
        <f aca="false">IF($D249="",0,$H249*$K249)</f>
        <v>0</v>
      </c>
      <c r="O249" s="20" t="n">
        <f aca="false">IF($D249="",0,$I249*$K249*(1-$F249))</f>
        <v>0</v>
      </c>
      <c r="P249" s="20" t="n">
        <f aca="false">IF($D249="",0,$E249*$D249+$L249+$M249+$N249+$O249+$J249*$D249)</f>
        <v>0</v>
      </c>
      <c r="Q249" s="20" t="n">
        <f aca="false">IF($D249="",0,$K249-$P249)</f>
        <v>0</v>
      </c>
      <c r="R249" s="21" t="n">
        <f aca="false">IF($K249=0,0,$Q249/$K249)</f>
        <v>0</v>
      </c>
      <c r="S249" s="20" t="n">
        <f aca="false">IF($D249="",0,$K249-$L249-$M249-$N249)</f>
        <v>0</v>
      </c>
      <c r="T249" s="22"/>
      <c r="U249" s="20" t="n">
        <f aca="false">IF($T249="",0,MAX(0,$S249-$T249))</f>
        <v>0</v>
      </c>
      <c r="V249" s="21" t="n">
        <f aca="false">IF($S249=0,0,$U249/$S249)</f>
        <v>0</v>
      </c>
      <c r="W249" s="23" t="str">
        <f aca="false">IF($D249="","",IF($T249="","BEKLİYOR",IF(OR($U249=0,$S249=0),"DOĞRU",IF(AND($V249&gt;PazaryeriEksikHakedisEsik,$U249&gt;PazaryeriEksikHakedisTutarEsik),"EKSİK HAKEDİŞ","DOĞRU"))))</f>
        <v/>
      </c>
      <c r="X249" s="23" t="str">
        <f aca="false">IF($B249="","",CONCATENATE("Ürün: ",$B249," | Kâr: ",TEXT($Q249,"₺ #,##0")," | Durum: ",$W249))</f>
        <v/>
      </c>
      <c r="Y249" s="24"/>
    </row>
    <row r="250" customFormat="false" ht="15" hidden="false" customHeight="false" outlineLevel="0" collapsed="false">
      <c r="A250" s="24"/>
      <c r="B250" s="24"/>
      <c r="C250" s="22"/>
      <c r="D250" s="25"/>
      <c r="E250" s="22"/>
      <c r="F250" s="26"/>
      <c r="G250" s="26"/>
      <c r="H250" s="26"/>
      <c r="I250" s="26"/>
      <c r="J250" s="22"/>
      <c r="K250" s="20" t="n">
        <f aca="false">IF($D250="",0,$C250*$D250)</f>
        <v>0</v>
      </c>
      <c r="L250" s="20" t="n">
        <f aca="false">IF($D250="",0,$F250*$K250)</f>
        <v>0</v>
      </c>
      <c r="M250" s="20" t="n">
        <f aca="false">IF($D250="",0,$G250*$K250)</f>
        <v>0</v>
      </c>
      <c r="N250" s="20" t="n">
        <f aca="false">IF($D250="",0,$H250*$K250)</f>
        <v>0</v>
      </c>
      <c r="O250" s="20" t="n">
        <f aca="false">IF($D250="",0,$I250*$K250*(1-$F250))</f>
        <v>0</v>
      </c>
      <c r="P250" s="20" t="n">
        <f aca="false">IF($D250="",0,$E250*$D250+$L250+$M250+$N250+$O250+$J250*$D250)</f>
        <v>0</v>
      </c>
      <c r="Q250" s="20" t="n">
        <f aca="false">IF($D250="",0,$K250-$P250)</f>
        <v>0</v>
      </c>
      <c r="R250" s="21" t="n">
        <f aca="false">IF($K250=0,0,$Q250/$K250)</f>
        <v>0</v>
      </c>
      <c r="S250" s="20" t="n">
        <f aca="false">IF($D250="",0,$K250-$L250-$M250-$N250)</f>
        <v>0</v>
      </c>
      <c r="T250" s="22"/>
      <c r="U250" s="20" t="n">
        <f aca="false">IF($T250="",0,MAX(0,$S250-$T250))</f>
        <v>0</v>
      </c>
      <c r="V250" s="21" t="n">
        <f aca="false">IF($S250=0,0,$U250/$S250)</f>
        <v>0</v>
      </c>
      <c r="W250" s="23" t="str">
        <f aca="false">IF($D250="","",IF($T250="","BEKLİYOR",IF(OR($U250=0,$S250=0),"DOĞRU",IF(AND($V250&gt;PazaryeriEksikHakedisEsik,$U250&gt;PazaryeriEksikHakedisTutarEsik),"EKSİK HAKEDİŞ","DOĞRU"))))</f>
        <v/>
      </c>
      <c r="X250" s="23" t="str">
        <f aca="false">IF($B250="","",CONCATENATE("Ürün: ",$B250," | Kâr: ",TEXT($Q250,"₺ #,##0")," | Durum: ",$W250))</f>
        <v/>
      </c>
      <c r="Y250" s="24"/>
    </row>
    <row r="251" customFormat="false" ht="15" hidden="false" customHeight="false" outlineLevel="0" collapsed="false">
      <c r="A251" s="24"/>
      <c r="B251" s="24"/>
      <c r="C251" s="22"/>
      <c r="D251" s="25"/>
      <c r="E251" s="22"/>
      <c r="F251" s="26"/>
      <c r="G251" s="26"/>
      <c r="H251" s="26"/>
      <c r="I251" s="26"/>
      <c r="J251" s="22"/>
      <c r="K251" s="20" t="n">
        <f aca="false">IF($D251="",0,$C251*$D251)</f>
        <v>0</v>
      </c>
      <c r="L251" s="20" t="n">
        <f aca="false">IF($D251="",0,$F251*$K251)</f>
        <v>0</v>
      </c>
      <c r="M251" s="20" t="n">
        <f aca="false">IF($D251="",0,$G251*$K251)</f>
        <v>0</v>
      </c>
      <c r="N251" s="20" t="n">
        <f aca="false">IF($D251="",0,$H251*$K251)</f>
        <v>0</v>
      </c>
      <c r="O251" s="20" t="n">
        <f aca="false">IF($D251="",0,$I251*$K251*(1-$F251))</f>
        <v>0</v>
      </c>
      <c r="P251" s="20" t="n">
        <f aca="false">IF($D251="",0,$E251*$D251+$L251+$M251+$N251+$O251+$J251*$D251)</f>
        <v>0</v>
      </c>
      <c r="Q251" s="20" t="n">
        <f aca="false">IF($D251="",0,$K251-$P251)</f>
        <v>0</v>
      </c>
      <c r="R251" s="21" t="n">
        <f aca="false">IF($K251=0,0,$Q251/$K251)</f>
        <v>0</v>
      </c>
      <c r="S251" s="20" t="n">
        <f aca="false">IF($D251="",0,$K251-$L251-$M251-$N251)</f>
        <v>0</v>
      </c>
      <c r="T251" s="22"/>
      <c r="U251" s="20" t="n">
        <f aca="false">IF($T251="",0,MAX(0,$S251-$T251))</f>
        <v>0</v>
      </c>
      <c r="V251" s="21" t="n">
        <f aca="false">IF($S251=0,0,$U251/$S251)</f>
        <v>0</v>
      </c>
      <c r="W251" s="23" t="str">
        <f aca="false">IF($D251="","",IF($T251="","BEKLİYOR",IF(OR($U251=0,$S251=0),"DOĞRU",IF(AND($V251&gt;PazaryeriEksikHakedisEsik,$U251&gt;PazaryeriEksikHakedisTutarEsik),"EKSİK HAKEDİŞ","DOĞRU"))))</f>
        <v/>
      </c>
      <c r="X251" s="23" t="str">
        <f aca="false">IF($B251="","",CONCATENATE("Ürün: ",$B251," | Kâr: ",TEXT($Q251,"₺ #,##0")," | Durum: ",$W251))</f>
        <v/>
      </c>
      <c r="Y251" s="24"/>
    </row>
    <row r="252" customFormat="false" ht="15" hidden="false" customHeight="false" outlineLevel="0" collapsed="false">
      <c r="A252" s="24"/>
      <c r="B252" s="24"/>
      <c r="C252" s="22"/>
      <c r="D252" s="25"/>
      <c r="E252" s="22"/>
      <c r="F252" s="26"/>
      <c r="G252" s="26"/>
      <c r="H252" s="26"/>
      <c r="I252" s="26"/>
      <c r="J252" s="22"/>
      <c r="K252" s="20" t="n">
        <f aca="false">IF($D252="",0,$C252*$D252)</f>
        <v>0</v>
      </c>
      <c r="L252" s="20" t="n">
        <f aca="false">IF($D252="",0,$F252*$K252)</f>
        <v>0</v>
      </c>
      <c r="M252" s="20" t="n">
        <f aca="false">IF($D252="",0,$G252*$K252)</f>
        <v>0</v>
      </c>
      <c r="N252" s="20" t="n">
        <f aca="false">IF($D252="",0,$H252*$K252)</f>
        <v>0</v>
      </c>
      <c r="O252" s="20" t="n">
        <f aca="false">IF($D252="",0,$I252*$K252*(1-$F252))</f>
        <v>0</v>
      </c>
      <c r="P252" s="20" t="n">
        <f aca="false">IF($D252="",0,$E252*$D252+$L252+$M252+$N252+$O252+$J252*$D252)</f>
        <v>0</v>
      </c>
      <c r="Q252" s="20" t="n">
        <f aca="false">IF($D252="",0,$K252-$P252)</f>
        <v>0</v>
      </c>
      <c r="R252" s="21" t="n">
        <f aca="false">IF($K252=0,0,$Q252/$K252)</f>
        <v>0</v>
      </c>
      <c r="S252" s="20" t="n">
        <f aca="false">IF($D252="",0,$K252-$L252-$M252-$N252)</f>
        <v>0</v>
      </c>
      <c r="T252" s="22"/>
      <c r="U252" s="20" t="n">
        <f aca="false">IF($T252="",0,MAX(0,$S252-$T252))</f>
        <v>0</v>
      </c>
      <c r="V252" s="21" t="n">
        <f aca="false">IF($S252=0,0,$U252/$S252)</f>
        <v>0</v>
      </c>
      <c r="W252" s="23" t="str">
        <f aca="false">IF($D252="","",IF($T252="","BEKLİYOR",IF(OR($U252=0,$S252=0),"DOĞRU",IF(AND($V252&gt;PazaryeriEksikHakedisEsik,$U252&gt;PazaryeriEksikHakedisTutarEsik),"EKSİK HAKEDİŞ","DOĞRU"))))</f>
        <v/>
      </c>
      <c r="X252" s="23" t="str">
        <f aca="false">IF($B252="","",CONCATENATE("Ürün: ",$B252," | Kâr: ",TEXT($Q252,"₺ #,##0")," | Durum: ",$W252))</f>
        <v/>
      </c>
      <c r="Y252" s="24"/>
    </row>
    <row r="253" customFormat="false" ht="15" hidden="false" customHeight="false" outlineLevel="0" collapsed="false">
      <c r="A253" s="24"/>
      <c r="B253" s="24"/>
      <c r="C253" s="22"/>
      <c r="D253" s="25"/>
      <c r="E253" s="22"/>
      <c r="F253" s="26"/>
      <c r="G253" s="26"/>
      <c r="H253" s="26"/>
      <c r="I253" s="26"/>
      <c r="J253" s="22"/>
      <c r="K253" s="20" t="n">
        <f aca="false">IF($D253="",0,$C253*$D253)</f>
        <v>0</v>
      </c>
      <c r="L253" s="20" t="n">
        <f aca="false">IF($D253="",0,$F253*$K253)</f>
        <v>0</v>
      </c>
      <c r="M253" s="20" t="n">
        <f aca="false">IF($D253="",0,$G253*$K253)</f>
        <v>0</v>
      </c>
      <c r="N253" s="20" t="n">
        <f aca="false">IF($D253="",0,$H253*$K253)</f>
        <v>0</v>
      </c>
      <c r="O253" s="20" t="n">
        <f aca="false">IF($D253="",0,$I253*$K253*(1-$F253))</f>
        <v>0</v>
      </c>
      <c r="P253" s="20" t="n">
        <f aca="false">IF($D253="",0,$E253*$D253+$L253+$M253+$N253+$O253+$J253*$D253)</f>
        <v>0</v>
      </c>
      <c r="Q253" s="20" t="n">
        <f aca="false">IF($D253="",0,$K253-$P253)</f>
        <v>0</v>
      </c>
      <c r="R253" s="21" t="n">
        <f aca="false">IF($K253=0,0,$Q253/$K253)</f>
        <v>0</v>
      </c>
      <c r="S253" s="20" t="n">
        <f aca="false">IF($D253="",0,$K253-$L253-$M253-$N253)</f>
        <v>0</v>
      </c>
      <c r="T253" s="22"/>
      <c r="U253" s="20" t="n">
        <f aca="false">IF($T253="",0,MAX(0,$S253-$T253))</f>
        <v>0</v>
      </c>
      <c r="V253" s="21" t="n">
        <f aca="false">IF($S253=0,0,$U253/$S253)</f>
        <v>0</v>
      </c>
      <c r="W253" s="23" t="str">
        <f aca="false">IF($D253="","",IF($T253="","BEKLİYOR",IF(OR($U253=0,$S253=0),"DOĞRU",IF(AND($V253&gt;PazaryeriEksikHakedisEsik,$U253&gt;PazaryeriEksikHakedisTutarEsik),"EKSİK HAKEDİŞ","DOĞRU"))))</f>
        <v/>
      </c>
      <c r="X253" s="23" t="str">
        <f aca="false">IF($B253="","",CONCATENATE("Ürün: ",$B253," | Kâr: ",TEXT($Q253,"₺ #,##0")," | Durum: ",$W253))</f>
        <v/>
      </c>
      <c r="Y253" s="24"/>
    </row>
    <row r="254" customFormat="false" ht="15" hidden="false" customHeight="false" outlineLevel="0" collapsed="false">
      <c r="A254" s="24"/>
      <c r="B254" s="24"/>
      <c r="C254" s="22"/>
      <c r="D254" s="25"/>
      <c r="E254" s="22"/>
      <c r="F254" s="26"/>
      <c r="G254" s="26"/>
      <c r="H254" s="26"/>
      <c r="I254" s="26"/>
      <c r="J254" s="22"/>
      <c r="K254" s="20" t="n">
        <f aca="false">IF($D254="",0,$C254*$D254)</f>
        <v>0</v>
      </c>
      <c r="L254" s="20" t="n">
        <f aca="false">IF($D254="",0,$F254*$K254)</f>
        <v>0</v>
      </c>
      <c r="M254" s="20" t="n">
        <f aca="false">IF($D254="",0,$G254*$K254)</f>
        <v>0</v>
      </c>
      <c r="N254" s="20" t="n">
        <f aca="false">IF($D254="",0,$H254*$K254)</f>
        <v>0</v>
      </c>
      <c r="O254" s="20" t="n">
        <f aca="false">IF($D254="",0,$I254*$K254*(1-$F254))</f>
        <v>0</v>
      </c>
      <c r="P254" s="20" t="n">
        <f aca="false">IF($D254="",0,$E254*$D254+$L254+$M254+$N254+$O254+$J254*$D254)</f>
        <v>0</v>
      </c>
      <c r="Q254" s="20" t="n">
        <f aca="false">IF($D254="",0,$K254-$P254)</f>
        <v>0</v>
      </c>
      <c r="R254" s="21" t="n">
        <f aca="false">IF($K254=0,0,$Q254/$K254)</f>
        <v>0</v>
      </c>
      <c r="S254" s="20" t="n">
        <f aca="false">IF($D254="",0,$K254-$L254-$M254-$N254)</f>
        <v>0</v>
      </c>
      <c r="T254" s="22"/>
      <c r="U254" s="20" t="n">
        <f aca="false">IF($T254="",0,MAX(0,$S254-$T254))</f>
        <v>0</v>
      </c>
      <c r="V254" s="21" t="n">
        <f aca="false">IF($S254=0,0,$U254/$S254)</f>
        <v>0</v>
      </c>
      <c r="W254" s="23" t="str">
        <f aca="false">IF($D254="","",IF($T254="","BEKLİYOR",IF(OR($U254=0,$S254=0),"DOĞRU",IF(AND($V254&gt;PazaryeriEksikHakedisEsik,$U254&gt;PazaryeriEksikHakedisTutarEsik),"EKSİK HAKEDİŞ","DOĞRU"))))</f>
        <v/>
      </c>
      <c r="X254" s="23" t="str">
        <f aca="false">IF($B254="","",CONCATENATE("Ürün: ",$B254," | Kâr: ",TEXT($Q254,"₺ #,##0")," | Durum: ",$W254))</f>
        <v/>
      </c>
      <c r="Y254" s="24"/>
    </row>
    <row r="255" customFormat="false" ht="15" hidden="false" customHeight="false" outlineLevel="0" collapsed="false">
      <c r="A255" s="24"/>
      <c r="B255" s="24"/>
      <c r="C255" s="22"/>
      <c r="D255" s="25"/>
      <c r="E255" s="22"/>
      <c r="F255" s="26"/>
      <c r="G255" s="26"/>
      <c r="H255" s="26"/>
      <c r="I255" s="26"/>
      <c r="J255" s="22"/>
      <c r="K255" s="20" t="n">
        <f aca="false">IF($D255="",0,$C255*$D255)</f>
        <v>0</v>
      </c>
      <c r="L255" s="20" t="n">
        <f aca="false">IF($D255="",0,$F255*$K255)</f>
        <v>0</v>
      </c>
      <c r="M255" s="20" t="n">
        <f aca="false">IF($D255="",0,$G255*$K255)</f>
        <v>0</v>
      </c>
      <c r="N255" s="20" t="n">
        <f aca="false">IF($D255="",0,$H255*$K255)</f>
        <v>0</v>
      </c>
      <c r="O255" s="20" t="n">
        <f aca="false">IF($D255="",0,$I255*$K255*(1-$F255))</f>
        <v>0</v>
      </c>
      <c r="P255" s="20" t="n">
        <f aca="false">IF($D255="",0,$E255*$D255+$L255+$M255+$N255+$O255+$J255*$D255)</f>
        <v>0</v>
      </c>
      <c r="Q255" s="20" t="n">
        <f aca="false">IF($D255="",0,$K255-$P255)</f>
        <v>0</v>
      </c>
      <c r="R255" s="21" t="n">
        <f aca="false">IF($K255=0,0,$Q255/$K255)</f>
        <v>0</v>
      </c>
      <c r="S255" s="20" t="n">
        <f aca="false">IF($D255="",0,$K255-$L255-$M255-$N255)</f>
        <v>0</v>
      </c>
      <c r="T255" s="22"/>
      <c r="U255" s="20" t="n">
        <f aca="false">IF($T255="",0,MAX(0,$S255-$T255))</f>
        <v>0</v>
      </c>
      <c r="V255" s="21" t="n">
        <f aca="false">IF($S255=0,0,$U255/$S255)</f>
        <v>0</v>
      </c>
      <c r="W255" s="23" t="str">
        <f aca="false">IF($D255="","",IF($T255="","BEKLİYOR",IF(OR($U255=0,$S255=0),"DOĞRU",IF(AND($V255&gt;PazaryeriEksikHakedisEsik,$U255&gt;PazaryeriEksikHakedisTutarEsik),"EKSİK HAKEDİŞ","DOĞRU"))))</f>
        <v/>
      </c>
      <c r="X255" s="23" t="str">
        <f aca="false">IF($B255="","",CONCATENATE("Ürün: ",$B255," | Kâr: ",TEXT($Q255,"₺ #,##0")," | Durum: ",$W255))</f>
        <v/>
      </c>
      <c r="Y255" s="24"/>
    </row>
    <row r="256" customFormat="false" ht="15" hidden="false" customHeight="false" outlineLevel="0" collapsed="false">
      <c r="A256" s="24"/>
      <c r="B256" s="24"/>
      <c r="C256" s="22"/>
      <c r="D256" s="25"/>
      <c r="E256" s="22"/>
      <c r="F256" s="26"/>
      <c r="G256" s="26"/>
      <c r="H256" s="26"/>
      <c r="I256" s="26"/>
      <c r="J256" s="22"/>
      <c r="K256" s="20" t="n">
        <f aca="false">IF($D256="",0,$C256*$D256)</f>
        <v>0</v>
      </c>
      <c r="L256" s="20" t="n">
        <f aca="false">IF($D256="",0,$F256*$K256)</f>
        <v>0</v>
      </c>
      <c r="M256" s="20" t="n">
        <f aca="false">IF($D256="",0,$G256*$K256)</f>
        <v>0</v>
      </c>
      <c r="N256" s="20" t="n">
        <f aca="false">IF($D256="",0,$H256*$K256)</f>
        <v>0</v>
      </c>
      <c r="O256" s="20" t="n">
        <f aca="false">IF($D256="",0,$I256*$K256*(1-$F256))</f>
        <v>0</v>
      </c>
      <c r="P256" s="20" t="n">
        <f aca="false">IF($D256="",0,$E256*$D256+$L256+$M256+$N256+$O256+$J256*$D256)</f>
        <v>0</v>
      </c>
      <c r="Q256" s="20" t="n">
        <f aca="false">IF($D256="",0,$K256-$P256)</f>
        <v>0</v>
      </c>
      <c r="R256" s="21" t="n">
        <f aca="false">IF($K256=0,0,$Q256/$K256)</f>
        <v>0</v>
      </c>
      <c r="S256" s="20" t="n">
        <f aca="false">IF($D256="",0,$K256-$L256-$M256-$N256)</f>
        <v>0</v>
      </c>
      <c r="T256" s="22"/>
      <c r="U256" s="20" t="n">
        <f aca="false">IF($T256="",0,MAX(0,$S256-$T256))</f>
        <v>0</v>
      </c>
      <c r="V256" s="21" t="n">
        <f aca="false">IF($S256=0,0,$U256/$S256)</f>
        <v>0</v>
      </c>
      <c r="W256" s="23" t="str">
        <f aca="false">IF($D256="","",IF($T256="","BEKLİYOR",IF(OR($U256=0,$S256=0),"DOĞRU",IF(AND($V256&gt;PazaryeriEksikHakedisEsik,$U256&gt;PazaryeriEksikHakedisTutarEsik),"EKSİK HAKEDİŞ","DOĞRU"))))</f>
        <v/>
      </c>
      <c r="X256" s="23" t="str">
        <f aca="false">IF($B256="","",CONCATENATE("Ürün: ",$B256," | Kâr: ",TEXT($Q256,"₺ #,##0")," | Durum: ",$W256))</f>
        <v/>
      </c>
      <c r="Y256" s="24"/>
    </row>
    <row r="257" customFormat="false" ht="15" hidden="false" customHeight="false" outlineLevel="0" collapsed="false">
      <c r="A257" s="24"/>
      <c r="B257" s="24"/>
      <c r="C257" s="22"/>
      <c r="D257" s="25"/>
      <c r="E257" s="22"/>
      <c r="F257" s="26"/>
      <c r="G257" s="26"/>
      <c r="H257" s="26"/>
      <c r="I257" s="26"/>
      <c r="J257" s="22"/>
      <c r="K257" s="20" t="n">
        <f aca="false">IF($D257="",0,$C257*$D257)</f>
        <v>0</v>
      </c>
      <c r="L257" s="20" t="n">
        <f aca="false">IF($D257="",0,$F257*$K257)</f>
        <v>0</v>
      </c>
      <c r="M257" s="20" t="n">
        <f aca="false">IF($D257="",0,$G257*$K257)</f>
        <v>0</v>
      </c>
      <c r="N257" s="20" t="n">
        <f aca="false">IF($D257="",0,$H257*$K257)</f>
        <v>0</v>
      </c>
      <c r="O257" s="20" t="n">
        <f aca="false">IF($D257="",0,$I257*$K257*(1-$F257))</f>
        <v>0</v>
      </c>
      <c r="P257" s="20" t="n">
        <f aca="false">IF($D257="",0,$E257*$D257+$L257+$M257+$N257+$O257+$J257*$D257)</f>
        <v>0</v>
      </c>
      <c r="Q257" s="20" t="n">
        <f aca="false">IF($D257="",0,$K257-$P257)</f>
        <v>0</v>
      </c>
      <c r="R257" s="21" t="n">
        <f aca="false">IF($K257=0,0,$Q257/$K257)</f>
        <v>0</v>
      </c>
      <c r="S257" s="20" t="n">
        <f aca="false">IF($D257="",0,$K257-$L257-$M257-$N257)</f>
        <v>0</v>
      </c>
      <c r="T257" s="22"/>
      <c r="U257" s="20" t="n">
        <f aca="false">IF($T257="",0,MAX(0,$S257-$T257))</f>
        <v>0</v>
      </c>
      <c r="V257" s="21" t="n">
        <f aca="false">IF($S257=0,0,$U257/$S257)</f>
        <v>0</v>
      </c>
      <c r="W257" s="23" t="str">
        <f aca="false">IF($D257="","",IF($T257="","BEKLİYOR",IF(OR($U257=0,$S257=0),"DOĞRU",IF(AND($V257&gt;PazaryeriEksikHakedisEsik,$U257&gt;PazaryeriEksikHakedisTutarEsik),"EKSİK HAKEDİŞ","DOĞRU"))))</f>
        <v/>
      </c>
      <c r="X257" s="23" t="str">
        <f aca="false">IF($B257="","",CONCATENATE("Ürün: ",$B257," | Kâr: ",TEXT($Q257,"₺ #,##0")," | Durum: ",$W257))</f>
        <v/>
      </c>
      <c r="Y257" s="24"/>
    </row>
    <row r="258" customFormat="false" ht="15" hidden="false" customHeight="false" outlineLevel="0" collapsed="false">
      <c r="A258" s="24"/>
      <c r="B258" s="24"/>
      <c r="C258" s="22"/>
      <c r="D258" s="25"/>
      <c r="E258" s="22"/>
      <c r="F258" s="26"/>
      <c r="G258" s="26"/>
      <c r="H258" s="26"/>
      <c r="I258" s="26"/>
      <c r="J258" s="22"/>
      <c r="K258" s="20" t="n">
        <f aca="false">IF($D258="",0,$C258*$D258)</f>
        <v>0</v>
      </c>
      <c r="L258" s="20" t="n">
        <f aca="false">IF($D258="",0,$F258*$K258)</f>
        <v>0</v>
      </c>
      <c r="M258" s="20" t="n">
        <f aca="false">IF($D258="",0,$G258*$K258)</f>
        <v>0</v>
      </c>
      <c r="N258" s="20" t="n">
        <f aca="false">IF($D258="",0,$H258*$K258)</f>
        <v>0</v>
      </c>
      <c r="O258" s="20" t="n">
        <f aca="false">IF($D258="",0,$I258*$K258*(1-$F258))</f>
        <v>0</v>
      </c>
      <c r="P258" s="20" t="n">
        <f aca="false">IF($D258="",0,$E258*$D258+$L258+$M258+$N258+$O258+$J258*$D258)</f>
        <v>0</v>
      </c>
      <c r="Q258" s="20" t="n">
        <f aca="false">IF($D258="",0,$K258-$P258)</f>
        <v>0</v>
      </c>
      <c r="R258" s="21" t="n">
        <f aca="false">IF($K258=0,0,$Q258/$K258)</f>
        <v>0</v>
      </c>
      <c r="S258" s="20" t="n">
        <f aca="false">IF($D258="",0,$K258-$L258-$M258-$N258)</f>
        <v>0</v>
      </c>
      <c r="T258" s="22"/>
      <c r="U258" s="20" t="n">
        <f aca="false">IF($T258="",0,MAX(0,$S258-$T258))</f>
        <v>0</v>
      </c>
      <c r="V258" s="21" t="n">
        <f aca="false">IF($S258=0,0,$U258/$S258)</f>
        <v>0</v>
      </c>
      <c r="W258" s="23" t="str">
        <f aca="false">IF($D258="","",IF($T258="","BEKLİYOR",IF(OR($U258=0,$S258=0),"DOĞRU",IF(AND($V258&gt;PazaryeriEksikHakedisEsik,$U258&gt;PazaryeriEksikHakedisTutarEsik),"EKSİK HAKEDİŞ","DOĞRU"))))</f>
        <v/>
      </c>
      <c r="X258" s="23" t="str">
        <f aca="false">IF($B258="","",CONCATENATE("Ürün: ",$B258," | Kâr: ",TEXT($Q258,"₺ #,##0")," | Durum: ",$W258))</f>
        <v/>
      </c>
      <c r="Y258" s="24"/>
    </row>
    <row r="259" customFormat="false" ht="15" hidden="false" customHeight="false" outlineLevel="0" collapsed="false">
      <c r="A259" s="24"/>
      <c r="B259" s="24"/>
      <c r="C259" s="22"/>
      <c r="D259" s="25"/>
      <c r="E259" s="22"/>
      <c r="F259" s="26"/>
      <c r="G259" s="26"/>
      <c r="H259" s="26"/>
      <c r="I259" s="26"/>
      <c r="J259" s="22"/>
      <c r="K259" s="20" t="n">
        <f aca="false">IF($D259="",0,$C259*$D259)</f>
        <v>0</v>
      </c>
      <c r="L259" s="20" t="n">
        <f aca="false">IF($D259="",0,$F259*$K259)</f>
        <v>0</v>
      </c>
      <c r="M259" s="20" t="n">
        <f aca="false">IF($D259="",0,$G259*$K259)</f>
        <v>0</v>
      </c>
      <c r="N259" s="20" t="n">
        <f aca="false">IF($D259="",0,$H259*$K259)</f>
        <v>0</v>
      </c>
      <c r="O259" s="20" t="n">
        <f aca="false">IF($D259="",0,$I259*$K259*(1-$F259))</f>
        <v>0</v>
      </c>
      <c r="P259" s="20" t="n">
        <f aca="false">IF($D259="",0,$E259*$D259+$L259+$M259+$N259+$O259+$J259*$D259)</f>
        <v>0</v>
      </c>
      <c r="Q259" s="20" t="n">
        <f aca="false">IF($D259="",0,$K259-$P259)</f>
        <v>0</v>
      </c>
      <c r="R259" s="21" t="n">
        <f aca="false">IF($K259=0,0,$Q259/$K259)</f>
        <v>0</v>
      </c>
      <c r="S259" s="20" t="n">
        <f aca="false">IF($D259="",0,$K259-$L259-$M259-$N259)</f>
        <v>0</v>
      </c>
      <c r="T259" s="22"/>
      <c r="U259" s="20" t="n">
        <f aca="false">IF($T259="",0,MAX(0,$S259-$T259))</f>
        <v>0</v>
      </c>
      <c r="V259" s="21" t="n">
        <f aca="false">IF($S259=0,0,$U259/$S259)</f>
        <v>0</v>
      </c>
      <c r="W259" s="23" t="str">
        <f aca="false">IF($D259="","",IF($T259="","BEKLİYOR",IF(OR($U259=0,$S259=0),"DOĞRU",IF(AND($V259&gt;PazaryeriEksikHakedisEsik,$U259&gt;PazaryeriEksikHakedisTutarEsik),"EKSİK HAKEDİŞ","DOĞRU"))))</f>
        <v/>
      </c>
      <c r="X259" s="23" t="str">
        <f aca="false">IF($B259="","",CONCATENATE("Ürün: ",$B259," | Kâr: ",TEXT($Q259,"₺ #,##0")," | Durum: ",$W259))</f>
        <v/>
      </c>
      <c r="Y259" s="24"/>
    </row>
    <row r="260" customFormat="false" ht="15" hidden="false" customHeight="false" outlineLevel="0" collapsed="false">
      <c r="A260" s="24"/>
      <c r="B260" s="24"/>
      <c r="C260" s="22"/>
      <c r="D260" s="25"/>
      <c r="E260" s="22"/>
      <c r="F260" s="26"/>
      <c r="G260" s="26"/>
      <c r="H260" s="26"/>
      <c r="I260" s="26"/>
      <c r="J260" s="22"/>
      <c r="K260" s="20" t="n">
        <f aca="false">IF($D260="",0,$C260*$D260)</f>
        <v>0</v>
      </c>
      <c r="L260" s="20" t="n">
        <f aca="false">IF($D260="",0,$F260*$K260)</f>
        <v>0</v>
      </c>
      <c r="M260" s="20" t="n">
        <f aca="false">IF($D260="",0,$G260*$K260)</f>
        <v>0</v>
      </c>
      <c r="N260" s="20" t="n">
        <f aca="false">IF($D260="",0,$H260*$K260)</f>
        <v>0</v>
      </c>
      <c r="O260" s="20" t="n">
        <f aca="false">IF($D260="",0,$I260*$K260*(1-$F260))</f>
        <v>0</v>
      </c>
      <c r="P260" s="20" t="n">
        <f aca="false">IF($D260="",0,$E260*$D260+$L260+$M260+$N260+$O260+$J260*$D260)</f>
        <v>0</v>
      </c>
      <c r="Q260" s="20" t="n">
        <f aca="false">IF($D260="",0,$K260-$P260)</f>
        <v>0</v>
      </c>
      <c r="R260" s="21" t="n">
        <f aca="false">IF($K260=0,0,$Q260/$K260)</f>
        <v>0</v>
      </c>
      <c r="S260" s="20" t="n">
        <f aca="false">IF($D260="",0,$K260-$L260-$M260-$N260)</f>
        <v>0</v>
      </c>
      <c r="T260" s="22"/>
      <c r="U260" s="20" t="n">
        <f aca="false">IF($T260="",0,MAX(0,$S260-$T260))</f>
        <v>0</v>
      </c>
      <c r="V260" s="21" t="n">
        <f aca="false">IF($S260=0,0,$U260/$S260)</f>
        <v>0</v>
      </c>
      <c r="W260" s="23" t="str">
        <f aca="false">IF($D260="","",IF($T260="","BEKLİYOR",IF(OR($U260=0,$S260=0),"DOĞRU",IF(AND($V260&gt;PazaryeriEksikHakedisEsik,$U260&gt;PazaryeriEksikHakedisTutarEsik),"EKSİK HAKEDİŞ","DOĞRU"))))</f>
        <v/>
      </c>
      <c r="X260" s="23" t="str">
        <f aca="false">IF($B260="","",CONCATENATE("Ürün: ",$B260," | Kâr: ",TEXT($Q260,"₺ #,##0")," | Durum: ",$W260))</f>
        <v/>
      </c>
      <c r="Y260" s="24"/>
    </row>
    <row r="261" customFormat="false" ht="15" hidden="false" customHeight="false" outlineLevel="0" collapsed="false">
      <c r="A261" s="24"/>
      <c r="B261" s="24"/>
      <c r="C261" s="22"/>
      <c r="D261" s="25"/>
      <c r="E261" s="22"/>
      <c r="F261" s="26"/>
      <c r="G261" s="26"/>
      <c r="H261" s="26"/>
      <c r="I261" s="26"/>
      <c r="J261" s="22"/>
      <c r="K261" s="20" t="n">
        <f aca="false">IF($D261="",0,$C261*$D261)</f>
        <v>0</v>
      </c>
      <c r="L261" s="20" t="n">
        <f aca="false">IF($D261="",0,$F261*$K261)</f>
        <v>0</v>
      </c>
      <c r="M261" s="20" t="n">
        <f aca="false">IF($D261="",0,$G261*$K261)</f>
        <v>0</v>
      </c>
      <c r="N261" s="20" t="n">
        <f aca="false">IF($D261="",0,$H261*$K261)</f>
        <v>0</v>
      </c>
      <c r="O261" s="20" t="n">
        <f aca="false">IF($D261="",0,$I261*$K261*(1-$F261))</f>
        <v>0</v>
      </c>
      <c r="P261" s="20" t="n">
        <f aca="false">IF($D261="",0,$E261*$D261+$L261+$M261+$N261+$O261+$J261*$D261)</f>
        <v>0</v>
      </c>
      <c r="Q261" s="20" t="n">
        <f aca="false">IF($D261="",0,$K261-$P261)</f>
        <v>0</v>
      </c>
      <c r="R261" s="21" t="n">
        <f aca="false">IF($K261=0,0,$Q261/$K261)</f>
        <v>0</v>
      </c>
      <c r="S261" s="20" t="n">
        <f aca="false">IF($D261="",0,$K261-$L261-$M261-$N261)</f>
        <v>0</v>
      </c>
      <c r="T261" s="22"/>
      <c r="U261" s="20" t="n">
        <f aca="false">IF($T261="",0,MAX(0,$S261-$T261))</f>
        <v>0</v>
      </c>
      <c r="V261" s="21" t="n">
        <f aca="false">IF($S261=0,0,$U261/$S261)</f>
        <v>0</v>
      </c>
      <c r="W261" s="23" t="str">
        <f aca="false">IF($D261="","",IF($T261="","BEKLİYOR",IF(OR($U261=0,$S261=0),"DOĞRU",IF(AND($V261&gt;PazaryeriEksikHakedisEsik,$U261&gt;PazaryeriEksikHakedisTutarEsik),"EKSİK HAKEDİŞ","DOĞRU"))))</f>
        <v/>
      </c>
      <c r="X261" s="23" t="str">
        <f aca="false">IF($B261="","",CONCATENATE("Ürün: ",$B261," | Kâr: ",TEXT($Q261,"₺ #,##0")," | Durum: ",$W261))</f>
        <v/>
      </c>
      <c r="Y261" s="24"/>
    </row>
    <row r="262" customFormat="false" ht="15" hidden="false" customHeight="false" outlineLevel="0" collapsed="false">
      <c r="A262" s="24"/>
      <c r="B262" s="24"/>
      <c r="C262" s="22"/>
      <c r="D262" s="25"/>
      <c r="E262" s="22"/>
      <c r="F262" s="26"/>
      <c r="G262" s="26"/>
      <c r="H262" s="26"/>
      <c r="I262" s="26"/>
      <c r="J262" s="22"/>
      <c r="K262" s="20" t="n">
        <f aca="false">IF($D262="",0,$C262*$D262)</f>
        <v>0</v>
      </c>
      <c r="L262" s="20" t="n">
        <f aca="false">IF($D262="",0,$F262*$K262)</f>
        <v>0</v>
      </c>
      <c r="M262" s="20" t="n">
        <f aca="false">IF($D262="",0,$G262*$K262)</f>
        <v>0</v>
      </c>
      <c r="N262" s="20" t="n">
        <f aca="false">IF($D262="",0,$H262*$K262)</f>
        <v>0</v>
      </c>
      <c r="O262" s="20" t="n">
        <f aca="false">IF($D262="",0,$I262*$K262*(1-$F262))</f>
        <v>0</v>
      </c>
      <c r="P262" s="20" t="n">
        <f aca="false">IF($D262="",0,$E262*$D262+$L262+$M262+$N262+$O262+$J262*$D262)</f>
        <v>0</v>
      </c>
      <c r="Q262" s="20" t="n">
        <f aca="false">IF($D262="",0,$K262-$P262)</f>
        <v>0</v>
      </c>
      <c r="R262" s="21" t="n">
        <f aca="false">IF($K262=0,0,$Q262/$K262)</f>
        <v>0</v>
      </c>
      <c r="S262" s="20" t="n">
        <f aca="false">IF($D262="",0,$K262-$L262-$M262-$N262)</f>
        <v>0</v>
      </c>
      <c r="T262" s="22"/>
      <c r="U262" s="20" t="n">
        <f aca="false">IF($T262="",0,MAX(0,$S262-$T262))</f>
        <v>0</v>
      </c>
      <c r="V262" s="21" t="n">
        <f aca="false">IF($S262=0,0,$U262/$S262)</f>
        <v>0</v>
      </c>
      <c r="W262" s="23" t="str">
        <f aca="false">IF($D262="","",IF($T262="","BEKLİYOR",IF(OR($U262=0,$S262=0),"DOĞRU",IF(AND($V262&gt;PazaryeriEksikHakedisEsik,$U262&gt;PazaryeriEksikHakedisTutarEsik),"EKSİK HAKEDİŞ","DOĞRU"))))</f>
        <v/>
      </c>
      <c r="X262" s="23" t="str">
        <f aca="false">IF($B262="","",CONCATENATE("Ürün: ",$B262," | Kâr: ",TEXT($Q262,"₺ #,##0")," | Durum: ",$W262))</f>
        <v/>
      </c>
      <c r="Y262" s="24"/>
    </row>
    <row r="263" customFormat="false" ht="15" hidden="false" customHeight="false" outlineLevel="0" collapsed="false">
      <c r="A263" s="24"/>
      <c r="B263" s="24"/>
      <c r="C263" s="22"/>
      <c r="D263" s="25"/>
      <c r="E263" s="22"/>
      <c r="F263" s="26"/>
      <c r="G263" s="26"/>
      <c r="H263" s="26"/>
      <c r="I263" s="26"/>
      <c r="J263" s="22"/>
      <c r="K263" s="20" t="n">
        <f aca="false">IF($D263="",0,$C263*$D263)</f>
        <v>0</v>
      </c>
      <c r="L263" s="20" t="n">
        <f aca="false">IF($D263="",0,$F263*$K263)</f>
        <v>0</v>
      </c>
      <c r="M263" s="20" t="n">
        <f aca="false">IF($D263="",0,$G263*$K263)</f>
        <v>0</v>
      </c>
      <c r="N263" s="20" t="n">
        <f aca="false">IF($D263="",0,$H263*$K263)</f>
        <v>0</v>
      </c>
      <c r="O263" s="20" t="n">
        <f aca="false">IF($D263="",0,$I263*$K263*(1-$F263))</f>
        <v>0</v>
      </c>
      <c r="P263" s="20" t="n">
        <f aca="false">IF($D263="",0,$E263*$D263+$L263+$M263+$N263+$O263+$J263*$D263)</f>
        <v>0</v>
      </c>
      <c r="Q263" s="20" t="n">
        <f aca="false">IF($D263="",0,$K263-$P263)</f>
        <v>0</v>
      </c>
      <c r="R263" s="21" t="n">
        <f aca="false">IF($K263=0,0,$Q263/$K263)</f>
        <v>0</v>
      </c>
      <c r="S263" s="20" t="n">
        <f aca="false">IF($D263="",0,$K263-$L263-$M263-$N263)</f>
        <v>0</v>
      </c>
      <c r="T263" s="22"/>
      <c r="U263" s="20" t="n">
        <f aca="false">IF($T263="",0,MAX(0,$S263-$T263))</f>
        <v>0</v>
      </c>
      <c r="V263" s="21" t="n">
        <f aca="false">IF($S263=0,0,$U263/$S263)</f>
        <v>0</v>
      </c>
      <c r="W263" s="23" t="str">
        <f aca="false">IF($D263="","",IF($T263="","BEKLİYOR",IF(OR($U263=0,$S263=0),"DOĞRU",IF(AND($V263&gt;PazaryeriEksikHakedisEsik,$U263&gt;PazaryeriEksikHakedisTutarEsik),"EKSİK HAKEDİŞ","DOĞRU"))))</f>
        <v/>
      </c>
      <c r="X263" s="23" t="str">
        <f aca="false">IF($B263="","",CONCATENATE("Ürün: ",$B263," | Kâr: ",TEXT($Q263,"₺ #,##0")," | Durum: ",$W263))</f>
        <v/>
      </c>
      <c r="Y263" s="24"/>
    </row>
    <row r="264" customFormat="false" ht="15" hidden="false" customHeight="false" outlineLevel="0" collapsed="false">
      <c r="A264" s="24"/>
      <c r="B264" s="24"/>
      <c r="C264" s="22"/>
      <c r="D264" s="25"/>
      <c r="E264" s="22"/>
      <c r="F264" s="26"/>
      <c r="G264" s="26"/>
      <c r="H264" s="26"/>
      <c r="I264" s="26"/>
      <c r="J264" s="22"/>
      <c r="K264" s="20" t="n">
        <f aca="false">IF($D264="",0,$C264*$D264)</f>
        <v>0</v>
      </c>
      <c r="L264" s="20" t="n">
        <f aca="false">IF($D264="",0,$F264*$K264)</f>
        <v>0</v>
      </c>
      <c r="M264" s="20" t="n">
        <f aca="false">IF($D264="",0,$G264*$K264)</f>
        <v>0</v>
      </c>
      <c r="N264" s="20" t="n">
        <f aca="false">IF($D264="",0,$H264*$K264)</f>
        <v>0</v>
      </c>
      <c r="O264" s="20" t="n">
        <f aca="false">IF($D264="",0,$I264*$K264*(1-$F264))</f>
        <v>0</v>
      </c>
      <c r="P264" s="20" t="n">
        <f aca="false">IF($D264="",0,$E264*$D264+$L264+$M264+$N264+$O264+$J264*$D264)</f>
        <v>0</v>
      </c>
      <c r="Q264" s="20" t="n">
        <f aca="false">IF($D264="",0,$K264-$P264)</f>
        <v>0</v>
      </c>
      <c r="R264" s="21" t="n">
        <f aca="false">IF($K264=0,0,$Q264/$K264)</f>
        <v>0</v>
      </c>
      <c r="S264" s="20" t="n">
        <f aca="false">IF($D264="",0,$K264-$L264-$M264-$N264)</f>
        <v>0</v>
      </c>
      <c r="T264" s="22"/>
      <c r="U264" s="20" t="n">
        <f aca="false">IF($T264="",0,MAX(0,$S264-$T264))</f>
        <v>0</v>
      </c>
      <c r="V264" s="21" t="n">
        <f aca="false">IF($S264=0,0,$U264/$S264)</f>
        <v>0</v>
      </c>
      <c r="W264" s="23" t="str">
        <f aca="false">IF($D264="","",IF($T264="","BEKLİYOR",IF(OR($U264=0,$S264=0),"DOĞRU",IF(AND($V264&gt;PazaryeriEksikHakedisEsik,$U264&gt;PazaryeriEksikHakedisTutarEsik),"EKSİK HAKEDİŞ","DOĞRU"))))</f>
        <v/>
      </c>
      <c r="X264" s="23" t="str">
        <f aca="false">IF($B264="","",CONCATENATE("Ürün: ",$B264," | Kâr: ",TEXT($Q264,"₺ #,##0")," | Durum: ",$W264))</f>
        <v/>
      </c>
      <c r="Y264" s="24"/>
    </row>
    <row r="265" customFormat="false" ht="15" hidden="false" customHeight="false" outlineLevel="0" collapsed="false">
      <c r="A265" s="24"/>
      <c r="B265" s="24"/>
      <c r="C265" s="22"/>
      <c r="D265" s="25"/>
      <c r="E265" s="22"/>
      <c r="F265" s="26"/>
      <c r="G265" s="26"/>
      <c r="H265" s="26"/>
      <c r="I265" s="26"/>
      <c r="J265" s="22"/>
      <c r="K265" s="20" t="n">
        <f aca="false">IF($D265="",0,$C265*$D265)</f>
        <v>0</v>
      </c>
      <c r="L265" s="20" t="n">
        <f aca="false">IF($D265="",0,$F265*$K265)</f>
        <v>0</v>
      </c>
      <c r="M265" s="20" t="n">
        <f aca="false">IF($D265="",0,$G265*$K265)</f>
        <v>0</v>
      </c>
      <c r="N265" s="20" t="n">
        <f aca="false">IF($D265="",0,$H265*$K265)</f>
        <v>0</v>
      </c>
      <c r="O265" s="20" t="n">
        <f aca="false">IF($D265="",0,$I265*$K265*(1-$F265))</f>
        <v>0</v>
      </c>
      <c r="P265" s="20" t="n">
        <f aca="false">IF($D265="",0,$E265*$D265+$L265+$M265+$N265+$O265+$J265*$D265)</f>
        <v>0</v>
      </c>
      <c r="Q265" s="20" t="n">
        <f aca="false">IF($D265="",0,$K265-$P265)</f>
        <v>0</v>
      </c>
      <c r="R265" s="21" t="n">
        <f aca="false">IF($K265=0,0,$Q265/$K265)</f>
        <v>0</v>
      </c>
      <c r="S265" s="20" t="n">
        <f aca="false">IF($D265="",0,$K265-$L265-$M265-$N265)</f>
        <v>0</v>
      </c>
      <c r="T265" s="22"/>
      <c r="U265" s="20" t="n">
        <f aca="false">IF($T265="",0,MAX(0,$S265-$T265))</f>
        <v>0</v>
      </c>
      <c r="V265" s="21" t="n">
        <f aca="false">IF($S265=0,0,$U265/$S265)</f>
        <v>0</v>
      </c>
      <c r="W265" s="23" t="str">
        <f aca="false">IF($D265="","",IF($T265="","BEKLİYOR",IF(OR($U265=0,$S265=0),"DOĞRU",IF(AND($V265&gt;PazaryeriEksikHakedisEsik,$U265&gt;PazaryeriEksikHakedisTutarEsik),"EKSİK HAKEDİŞ","DOĞRU"))))</f>
        <v/>
      </c>
      <c r="X265" s="23" t="str">
        <f aca="false">IF($B265="","",CONCATENATE("Ürün: ",$B265," | Kâr: ",TEXT($Q265,"₺ #,##0")," | Durum: ",$W265))</f>
        <v/>
      </c>
      <c r="Y265" s="24"/>
    </row>
    <row r="266" customFormat="false" ht="15" hidden="false" customHeight="false" outlineLevel="0" collapsed="false">
      <c r="A266" s="24"/>
      <c r="B266" s="24"/>
      <c r="C266" s="22"/>
      <c r="D266" s="25"/>
      <c r="E266" s="22"/>
      <c r="F266" s="26"/>
      <c r="G266" s="26"/>
      <c r="H266" s="26"/>
      <c r="I266" s="26"/>
      <c r="J266" s="22"/>
      <c r="K266" s="20" t="n">
        <f aca="false">IF($D266="",0,$C266*$D266)</f>
        <v>0</v>
      </c>
      <c r="L266" s="20" t="n">
        <f aca="false">IF($D266="",0,$F266*$K266)</f>
        <v>0</v>
      </c>
      <c r="M266" s="20" t="n">
        <f aca="false">IF($D266="",0,$G266*$K266)</f>
        <v>0</v>
      </c>
      <c r="N266" s="20" t="n">
        <f aca="false">IF($D266="",0,$H266*$K266)</f>
        <v>0</v>
      </c>
      <c r="O266" s="20" t="n">
        <f aca="false">IF($D266="",0,$I266*$K266*(1-$F266))</f>
        <v>0</v>
      </c>
      <c r="P266" s="20" t="n">
        <f aca="false">IF($D266="",0,$E266*$D266+$L266+$M266+$N266+$O266+$J266*$D266)</f>
        <v>0</v>
      </c>
      <c r="Q266" s="20" t="n">
        <f aca="false">IF($D266="",0,$K266-$P266)</f>
        <v>0</v>
      </c>
      <c r="R266" s="21" t="n">
        <f aca="false">IF($K266=0,0,$Q266/$K266)</f>
        <v>0</v>
      </c>
      <c r="S266" s="20" t="n">
        <f aca="false">IF($D266="",0,$K266-$L266-$M266-$N266)</f>
        <v>0</v>
      </c>
      <c r="T266" s="22"/>
      <c r="U266" s="20" t="n">
        <f aca="false">IF($T266="",0,MAX(0,$S266-$T266))</f>
        <v>0</v>
      </c>
      <c r="V266" s="21" t="n">
        <f aca="false">IF($S266=0,0,$U266/$S266)</f>
        <v>0</v>
      </c>
      <c r="W266" s="23" t="str">
        <f aca="false">IF($D266="","",IF($T266="","BEKLİYOR",IF(OR($U266=0,$S266=0),"DOĞRU",IF(AND($V266&gt;PazaryeriEksikHakedisEsik,$U266&gt;PazaryeriEksikHakedisTutarEsik),"EKSİK HAKEDİŞ","DOĞRU"))))</f>
        <v/>
      </c>
      <c r="X266" s="23" t="str">
        <f aca="false">IF($B266="","",CONCATENATE("Ürün: ",$B266," | Kâr: ",TEXT($Q266,"₺ #,##0")," | Durum: ",$W266))</f>
        <v/>
      </c>
      <c r="Y266" s="24"/>
    </row>
    <row r="267" customFormat="false" ht="15" hidden="false" customHeight="false" outlineLevel="0" collapsed="false">
      <c r="A267" s="24"/>
      <c r="B267" s="24"/>
      <c r="C267" s="22"/>
      <c r="D267" s="25"/>
      <c r="E267" s="22"/>
      <c r="F267" s="26"/>
      <c r="G267" s="26"/>
      <c r="H267" s="26"/>
      <c r="I267" s="26"/>
      <c r="J267" s="22"/>
      <c r="K267" s="20" t="n">
        <f aca="false">IF($D267="",0,$C267*$D267)</f>
        <v>0</v>
      </c>
      <c r="L267" s="20" t="n">
        <f aca="false">IF($D267="",0,$F267*$K267)</f>
        <v>0</v>
      </c>
      <c r="M267" s="20" t="n">
        <f aca="false">IF($D267="",0,$G267*$K267)</f>
        <v>0</v>
      </c>
      <c r="N267" s="20" t="n">
        <f aca="false">IF($D267="",0,$H267*$K267)</f>
        <v>0</v>
      </c>
      <c r="O267" s="20" t="n">
        <f aca="false">IF($D267="",0,$I267*$K267*(1-$F267))</f>
        <v>0</v>
      </c>
      <c r="P267" s="20" t="n">
        <f aca="false">IF($D267="",0,$E267*$D267+$L267+$M267+$N267+$O267+$J267*$D267)</f>
        <v>0</v>
      </c>
      <c r="Q267" s="20" t="n">
        <f aca="false">IF($D267="",0,$K267-$P267)</f>
        <v>0</v>
      </c>
      <c r="R267" s="21" t="n">
        <f aca="false">IF($K267=0,0,$Q267/$K267)</f>
        <v>0</v>
      </c>
      <c r="S267" s="20" t="n">
        <f aca="false">IF($D267="",0,$K267-$L267-$M267-$N267)</f>
        <v>0</v>
      </c>
      <c r="T267" s="22"/>
      <c r="U267" s="20" t="n">
        <f aca="false">IF($T267="",0,MAX(0,$S267-$T267))</f>
        <v>0</v>
      </c>
      <c r="V267" s="21" t="n">
        <f aca="false">IF($S267=0,0,$U267/$S267)</f>
        <v>0</v>
      </c>
      <c r="W267" s="23" t="str">
        <f aca="false">IF($D267="","",IF($T267="","BEKLİYOR",IF(OR($U267=0,$S267=0),"DOĞRU",IF(AND($V267&gt;PazaryeriEksikHakedisEsik,$U267&gt;PazaryeriEksikHakedisTutarEsik),"EKSİK HAKEDİŞ","DOĞRU"))))</f>
        <v/>
      </c>
      <c r="X267" s="23" t="str">
        <f aca="false">IF($B267="","",CONCATENATE("Ürün: ",$B267," | Kâr: ",TEXT($Q267,"₺ #,##0")," | Durum: ",$W267))</f>
        <v/>
      </c>
      <c r="Y267" s="24"/>
    </row>
    <row r="268" customFormat="false" ht="15" hidden="false" customHeight="false" outlineLevel="0" collapsed="false">
      <c r="A268" s="24"/>
      <c r="B268" s="24"/>
      <c r="C268" s="22"/>
      <c r="D268" s="25"/>
      <c r="E268" s="22"/>
      <c r="F268" s="26"/>
      <c r="G268" s="26"/>
      <c r="H268" s="26"/>
      <c r="I268" s="26"/>
      <c r="J268" s="22"/>
      <c r="K268" s="20" t="n">
        <f aca="false">IF($D268="",0,$C268*$D268)</f>
        <v>0</v>
      </c>
      <c r="L268" s="20" t="n">
        <f aca="false">IF($D268="",0,$F268*$K268)</f>
        <v>0</v>
      </c>
      <c r="M268" s="20" t="n">
        <f aca="false">IF($D268="",0,$G268*$K268)</f>
        <v>0</v>
      </c>
      <c r="N268" s="20" t="n">
        <f aca="false">IF($D268="",0,$H268*$K268)</f>
        <v>0</v>
      </c>
      <c r="O268" s="20" t="n">
        <f aca="false">IF($D268="",0,$I268*$K268*(1-$F268))</f>
        <v>0</v>
      </c>
      <c r="P268" s="20" t="n">
        <f aca="false">IF($D268="",0,$E268*$D268+$L268+$M268+$N268+$O268+$J268*$D268)</f>
        <v>0</v>
      </c>
      <c r="Q268" s="20" t="n">
        <f aca="false">IF($D268="",0,$K268-$P268)</f>
        <v>0</v>
      </c>
      <c r="R268" s="21" t="n">
        <f aca="false">IF($K268=0,0,$Q268/$K268)</f>
        <v>0</v>
      </c>
      <c r="S268" s="20" t="n">
        <f aca="false">IF($D268="",0,$K268-$L268-$M268-$N268)</f>
        <v>0</v>
      </c>
      <c r="T268" s="22"/>
      <c r="U268" s="20" t="n">
        <f aca="false">IF($T268="",0,MAX(0,$S268-$T268))</f>
        <v>0</v>
      </c>
      <c r="V268" s="21" t="n">
        <f aca="false">IF($S268=0,0,$U268/$S268)</f>
        <v>0</v>
      </c>
      <c r="W268" s="23" t="str">
        <f aca="false">IF($D268="","",IF($T268="","BEKLİYOR",IF(OR($U268=0,$S268=0),"DOĞRU",IF(AND($V268&gt;PazaryeriEksikHakedisEsik,$U268&gt;PazaryeriEksikHakedisTutarEsik),"EKSİK HAKEDİŞ","DOĞRU"))))</f>
        <v/>
      </c>
      <c r="X268" s="23" t="str">
        <f aca="false">IF($B268="","",CONCATENATE("Ürün: ",$B268," | Kâr: ",TEXT($Q268,"₺ #,##0")," | Durum: ",$W268))</f>
        <v/>
      </c>
      <c r="Y268" s="24"/>
    </row>
    <row r="269" customFormat="false" ht="15" hidden="false" customHeight="false" outlineLevel="0" collapsed="false">
      <c r="A269" s="24"/>
      <c r="B269" s="24"/>
      <c r="C269" s="22"/>
      <c r="D269" s="25"/>
      <c r="E269" s="22"/>
      <c r="F269" s="26"/>
      <c r="G269" s="26"/>
      <c r="H269" s="26"/>
      <c r="I269" s="26"/>
      <c r="J269" s="22"/>
      <c r="K269" s="20" t="n">
        <f aca="false">IF($D269="",0,$C269*$D269)</f>
        <v>0</v>
      </c>
      <c r="L269" s="20" t="n">
        <f aca="false">IF($D269="",0,$F269*$K269)</f>
        <v>0</v>
      </c>
      <c r="M269" s="20" t="n">
        <f aca="false">IF($D269="",0,$G269*$K269)</f>
        <v>0</v>
      </c>
      <c r="N269" s="20" t="n">
        <f aca="false">IF($D269="",0,$H269*$K269)</f>
        <v>0</v>
      </c>
      <c r="O269" s="20" t="n">
        <f aca="false">IF($D269="",0,$I269*$K269*(1-$F269))</f>
        <v>0</v>
      </c>
      <c r="P269" s="20" t="n">
        <f aca="false">IF($D269="",0,$E269*$D269+$L269+$M269+$N269+$O269+$J269*$D269)</f>
        <v>0</v>
      </c>
      <c r="Q269" s="20" t="n">
        <f aca="false">IF($D269="",0,$K269-$P269)</f>
        <v>0</v>
      </c>
      <c r="R269" s="21" t="n">
        <f aca="false">IF($K269=0,0,$Q269/$K269)</f>
        <v>0</v>
      </c>
      <c r="S269" s="20" t="n">
        <f aca="false">IF($D269="",0,$K269-$L269-$M269-$N269)</f>
        <v>0</v>
      </c>
      <c r="T269" s="22"/>
      <c r="U269" s="20" t="n">
        <f aca="false">IF($T269="",0,MAX(0,$S269-$T269))</f>
        <v>0</v>
      </c>
      <c r="V269" s="21" t="n">
        <f aca="false">IF($S269=0,0,$U269/$S269)</f>
        <v>0</v>
      </c>
      <c r="W269" s="23" t="str">
        <f aca="false">IF($D269="","",IF($T269="","BEKLİYOR",IF(OR($U269=0,$S269=0),"DOĞRU",IF(AND($V269&gt;PazaryeriEksikHakedisEsik,$U269&gt;PazaryeriEksikHakedisTutarEsik),"EKSİK HAKEDİŞ","DOĞRU"))))</f>
        <v/>
      </c>
      <c r="X269" s="23" t="str">
        <f aca="false">IF($B269="","",CONCATENATE("Ürün: ",$B269," | Kâr: ",TEXT($Q269,"₺ #,##0")," | Durum: ",$W269))</f>
        <v/>
      </c>
      <c r="Y269" s="24"/>
    </row>
    <row r="270" customFormat="false" ht="15" hidden="false" customHeight="false" outlineLevel="0" collapsed="false">
      <c r="A270" s="24"/>
      <c r="B270" s="24"/>
      <c r="C270" s="22"/>
      <c r="D270" s="25"/>
      <c r="E270" s="22"/>
      <c r="F270" s="26"/>
      <c r="G270" s="26"/>
      <c r="H270" s="26"/>
      <c r="I270" s="26"/>
      <c r="J270" s="22"/>
      <c r="K270" s="20" t="n">
        <f aca="false">IF($D270="",0,$C270*$D270)</f>
        <v>0</v>
      </c>
      <c r="L270" s="20" t="n">
        <f aca="false">IF($D270="",0,$F270*$K270)</f>
        <v>0</v>
      </c>
      <c r="M270" s="20" t="n">
        <f aca="false">IF($D270="",0,$G270*$K270)</f>
        <v>0</v>
      </c>
      <c r="N270" s="20" t="n">
        <f aca="false">IF($D270="",0,$H270*$K270)</f>
        <v>0</v>
      </c>
      <c r="O270" s="20" t="n">
        <f aca="false">IF($D270="",0,$I270*$K270*(1-$F270))</f>
        <v>0</v>
      </c>
      <c r="P270" s="20" t="n">
        <f aca="false">IF($D270="",0,$E270*$D270+$L270+$M270+$N270+$O270+$J270*$D270)</f>
        <v>0</v>
      </c>
      <c r="Q270" s="20" t="n">
        <f aca="false">IF($D270="",0,$K270-$P270)</f>
        <v>0</v>
      </c>
      <c r="R270" s="21" t="n">
        <f aca="false">IF($K270=0,0,$Q270/$K270)</f>
        <v>0</v>
      </c>
      <c r="S270" s="20" t="n">
        <f aca="false">IF($D270="",0,$K270-$L270-$M270-$N270)</f>
        <v>0</v>
      </c>
      <c r="T270" s="22"/>
      <c r="U270" s="20" t="n">
        <f aca="false">IF($T270="",0,MAX(0,$S270-$T270))</f>
        <v>0</v>
      </c>
      <c r="V270" s="21" t="n">
        <f aca="false">IF($S270=0,0,$U270/$S270)</f>
        <v>0</v>
      </c>
      <c r="W270" s="23" t="str">
        <f aca="false">IF($D270="","",IF($T270="","BEKLİYOR",IF(OR($U270=0,$S270=0),"DOĞRU",IF(AND($V270&gt;PazaryeriEksikHakedisEsik,$U270&gt;PazaryeriEksikHakedisTutarEsik),"EKSİK HAKEDİŞ","DOĞRU"))))</f>
        <v/>
      </c>
      <c r="X270" s="23" t="str">
        <f aca="false">IF($B270="","",CONCATENATE("Ürün: ",$B270," | Kâr: ",TEXT($Q270,"₺ #,##0")," | Durum: ",$W270))</f>
        <v/>
      </c>
      <c r="Y270" s="24"/>
    </row>
    <row r="271" customFormat="false" ht="15" hidden="false" customHeight="false" outlineLevel="0" collapsed="false">
      <c r="A271" s="24"/>
      <c r="B271" s="24"/>
      <c r="C271" s="22"/>
      <c r="D271" s="25"/>
      <c r="E271" s="22"/>
      <c r="F271" s="26"/>
      <c r="G271" s="26"/>
      <c r="H271" s="26"/>
      <c r="I271" s="26"/>
      <c r="J271" s="22"/>
      <c r="K271" s="20" t="n">
        <f aca="false">IF($D271="",0,$C271*$D271)</f>
        <v>0</v>
      </c>
      <c r="L271" s="20" t="n">
        <f aca="false">IF($D271="",0,$F271*$K271)</f>
        <v>0</v>
      </c>
      <c r="M271" s="20" t="n">
        <f aca="false">IF($D271="",0,$G271*$K271)</f>
        <v>0</v>
      </c>
      <c r="N271" s="20" t="n">
        <f aca="false">IF($D271="",0,$H271*$K271)</f>
        <v>0</v>
      </c>
      <c r="O271" s="20" t="n">
        <f aca="false">IF($D271="",0,$I271*$K271*(1-$F271))</f>
        <v>0</v>
      </c>
      <c r="P271" s="20" t="n">
        <f aca="false">IF($D271="",0,$E271*$D271+$L271+$M271+$N271+$O271+$J271*$D271)</f>
        <v>0</v>
      </c>
      <c r="Q271" s="20" t="n">
        <f aca="false">IF($D271="",0,$K271-$P271)</f>
        <v>0</v>
      </c>
      <c r="R271" s="21" t="n">
        <f aca="false">IF($K271=0,0,$Q271/$K271)</f>
        <v>0</v>
      </c>
      <c r="S271" s="20" t="n">
        <f aca="false">IF($D271="",0,$K271-$L271-$M271-$N271)</f>
        <v>0</v>
      </c>
      <c r="T271" s="22"/>
      <c r="U271" s="20" t="n">
        <f aca="false">IF($T271="",0,MAX(0,$S271-$T271))</f>
        <v>0</v>
      </c>
      <c r="V271" s="21" t="n">
        <f aca="false">IF($S271=0,0,$U271/$S271)</f>
        <v>0</v>
      </c>
      <c r="W271" s="23" t="str">
        <f aca="false">IF($D271="","",IF($T271="","BEKLİYOR",IF(OR($U271=0,$S271=0),"DOĞRU",IF(AND($V271&gt;PazaryeriEksikHakedisEsik,$U271&gt;PazaryeriEksikHakedisTutarEsik),"EKSİK HAKEDİŞ","DOĞRU"))))</f>
        <v/>
      </c>
      <c r="X271" s="23" t="str">
        <f aca="false">IF($B271="","",CONCATENATE("Ürün: ",$B271," | Kâr: ",TEXT($Q271,"₺ #,##0")," | Durum: ",$W271))</f>
        <v/>
      </c>
      <c r="Y271" s="24"/>
    </row>
    <row r="272" customFormat="false" ht="15" hidden="false" customHeight="false" outlineLevel="0" collapsed="false">
      <c r="A272" s="24"/>
      <c r="B272" s="24"/>
      <c r="C272" s="22"/>
      <c r="D272" s="25"/>
      <c r="E272" s="22"/>
      <c r="F272" s="26"/>
      <c r="G272" s="26"/>
      <c r="H272" s="26"/>
      <c r="I272" s="26"/>
      <c r="J272" s="22"/>
      <c r="K272" s="20" t="n">
        <f aca="false">IF($D272="",0,$C272*$D272)</f>
        <v>0</v>
      </c>
      <c r="L272" s="20" t="n">
        <f aca="false">IF($D272="",0,$F272*$K272)</f>
        <v>0</v>
      </c>
      <c r="M272" s="20" t="n">
        <f aca="false">IF($D272="",0,$G272*$K272)</f>
        <v>0</v>
      </c>
      <c r="N272" s="20" t="n">
        <f aca="false">IF($D272="",0,$H272*$K272)</f>
        <v>0</v>
      </c>
      <c r="O272" s="20" t="n">
        <f aca="false">IF($D272="",0,$I272*$K272*(1-$F272))</f>
        <v>0</v>
      </c>
      <c r="P272" s="20" t="n">
        <f aca="false">IF($D272="",0,$E272*$D272+$L272+$M272+$N272+$O272+$J272*$D272)</f>
        <v>0</v>
      </c>
      <c r="Q272" s="20" t="n">
        <f aca="false">IF($D272="",0,$K272-$P272)</f>
        <v>0</v>
      </c>
      <c r="R272" s="21" t="n">
        <f aca="false">IF($K272=0,0,$Q272/$K272)</f>
        <v>0</v>
      </c>
      <c r="S272" s="20" t="n">
        <f aca="false">IF($D272="",0,$K272-$L272-$M272-$N272)</f>
        <v>0</v>
      </c>
      <c r="T272" s="22"/>
      <c r="U272" s="20" t="n">
        <f aca="false">IF($T272="",0,MAX(0,$S272-$T272))</f>
        <v>0</v>
      </c>
      <c r="V272" s="21" t="n">
        <f aca="false">IF($S272=0,0,$U272/$S272)</f>
        <v>0</v>
      </c>
      <c r="W272" s="23" t="str">
        <f aca="false">IF($D272="","",IF($T272="","BEKLİYOR",IF(OR($U272=0,$S272=0),"DOĞRU",IF(AND($V272&gt;PazaryeriEksikHakedisEsik,$U272&gt;PazaryeriEksikHakedisTutarEsik),"EKSİK HAKEDİŞ","DOĞRU"))))</f>
        <v/>
      </c>
      <c r="X272" s="23" t="str">
        <f aca="false">IF($B272="","",CONCATENATE("Ürün: ",$B272," | Kâr: ",TEXT($Q272,"₺ #,##0")," | Durum: ",$W272))</f>
        <v/>
      </c>
      <c r="Y272" s="24"/>
    </row>
    <row r="273" customFormat="false" ht="15" hidden="false" customHeight="false" outlineLevel="0" collapsed="false">
      <c r="A273" s="24"/>
      <c r="B273" s="24"/>
      <c r="C273" s="22"/>
      <c r="D273" s="25"/>
      <c r="E273" s="22"/>
      <c r="F273" s="26"/>
      <c r="G273" s="26"/>
      <c r="H273" s="26"/>
      <c r="I273" s="26"/>
      <c r="J273" s="22"/>
      <c r="K273" s="20" t="n">
        <f aca="false">IF($D273="",0,$C273*$D273)</f>
        <v>0</v>
      </c>
      <c r="L273" s="20" t="n">
        <f aca="false">IF($D273="",0,$F273*$K273)</f>
        <v>0</v>
      </c>
      <c r="M273" s="20" t="n">
        <f aca="false">IF($D273="",0,$G273*$K273)</f>
        <v>0</v>
      </c>
      <c r="N273" s="20" t="n">
        <f aca="false">IF($D273="",0,$H273*$K273)</f>
        <v>0</v>
      </c>
      <c r="O273" s="20" t="n">
        <f aca="false">IF($D273="",0,$I273*$K273*(1-$F273))</f>
        <v>0</v>
      </c>
      <c r="P273" s="20" t="n">
        <f aca="false">IF($D273="",0,$E273*$D273+$L273+$M273+$N273+$O273+$J273*$D273)</f>
        <v>0</v>
      </c>
      <c r="Q273" s="20" t="n">
        <f aca="false">IF($D273="",0,$K273-$P273)</f>
        <v>0</v>
      </c>
      <c r="R273" s="21" t="n">
        <f aca="false">IF($K273=0,0,$Q273/$K273)</f>
        <v>0</v>
      </c>
      <c r="S273" s="20" t="n">
        <f aca="false">IF($D273="",0,$K273-$L273-$M273-$N273)</f>
        <v>0</v>
      </c>
      <c r="T273" s="22"/>
      <c r="U273" s="20" t="n">
        <f aca="false">IF($T273="",0,MAX(0,$S273-$T273))</f>
        <v>0</v>
      </c>
      <c r="V273" s="21" t="n">
        <f aca="false">IF($S273=0,0,$U273/$S273)</f>
        <v>0</v>
      </c>
      <c r="W273" s="23" t="str">
        <f aca="false">IF($D273="","",IF($T273="","BEKLİYOR",IF(OR($U273=0,$S273=0),"DOĞRU",IF(AND($V273&gt;PazaryeriEksikHakedisEsik,$U273&gt;PazaryeriEksikHakedisTutarEsik),"EKSİK HAKEDİŞ","DOĞRU"))))</f>
        <v/>
      </c>
      <c r="X273" s="23" t="str">
        <f aca="false">IF($B273="","",CONCATENATE("Ürün: ",$B273," | Kâr: ",TEXT($Q273,"₺ #,##0")," | Durum: ",$W273))</f>
        <v/>
      </c>
      <c r="Y273" s="24"/>
    </row>
    <row r="274" customFormat="false" ht="15" hidden="false" customHeight="false" outlineLevel="0" collapsed="false">
      <c r="A274" s="24"/>
      <c r="B274" s="24"/>
      <c r="C274" s="22"/>
      <c r="D274" s="25"/>
      <c r="E274" s="22"/>
      <c r="F274" s="26"/>
      <c r="G274" s="26"/>
      <c r="H274" s="26"/>
      <c r="I274" s="26"/>
      <c r="J274" s="22"/>
      <c r="K274" s="20" t="n">
        <f aca="false">IF($D274="",0,$C274*$D274)</f>
        <v>0</v>
      </c>
      <c r="L274" s="20" t="n">
        <f aca="false">IF($D274="",0,$F274*$K274)</f>
        <v>0</v>
      </c>
      <c r="M274" s="20" t="n">
        <f aca="false">IF($D274="",0,$G274*$K274)</f>
        <v>0</v>
      </c>
      <c r="N274" s="20" t="n">
        <f aca="false">IF($D274="",0,$H274*$K274)</f>
        <v>0</v>
      </c>
      <c r="O274" s="20" t="n">
        <f aca="false">IF($D274="",0,$I274*$K274*(1-$F274))</f>
        <v>0</v>
      </c>
      <c r="P274" s="20" t="n">
        <f aca="false">IF($D274="",0,$E274*$D274+$L274+$M274+$N274+$O274+$J274*$D274)</f>
        <v>0</v>
      </c>
      <c r="Q274" s="20" t="n">
        <f aca="false">IF($D274="",0,$K274-$P274)</f>
        <v>0</v>
      </c>
      <c r="R274" s="21" t="n">
        <f aca="false">IF($K274=0,0,$Q274/$K274)</f>
        <v>0</v>
      </c>
      <c r="S274" s="20" t="n">
        <f aca="false">IF($D274="",0,$K274-$L274-$M274-$N274)</f>
        <v>0</v>
      </c>
      <c r="T274" s="22"/>
      <c r="U274" s="20" t="n">
        <f aca="false">IF($T274="",0,MAX(0,$S274-$T274))</f>
        <v>0</v>
      </c>
      <c r="V274" s="21" t="n">
        <f aca="false">IF($S274=0,0,$U274/$S274)</f>
        <v>0</v>
      </c>
      <c r="W274" s="23" t="str">
        <f aca="false">IF($D274="","",IF($T274="","BEKLİYOR",IF(OR($U274=0,$S274=0),"DOĞRU",IF(AND($V274&gt;PazaryeriEksikHakedisEsik,$U274&gt;PazaryeriEksikHakedisTutarEsik),"EKSİK HAKEDİŞ","DOĞRU"))))</f>
        <v/>
      </c>
      <c r="X274" s="23" t="str">
        <f aca="false">IF($B274="","",CONCATENATE("Ürün: ",$B274," | Kâr: ",TEXT($Q274,"₺ #,##0")," | Durum: ",$W274))</f>
        <v/>
      </c>
      <c r="Y274" s="24"/>
    </row>
    <row r="275" customFormat="false" ht="15" hidden="false" customHeight="false" outlineLevel="0" collapsed="false">
      <c r="A275" s="24"/>
      <c r="B275" s="24"/>
      <c r="C275" s="22"/>
      <c r="D275" s="25"/>
      <c r="E275" s="22"/>
      <c r="F275" s="26"/>
      <c r="G275" s="26"/>
      <c r="H275" s="26"/>
      <c r="I275" s="26"/>
      <c r="J275" s="22"/>
      <c r="K275" s="20" t="n">
        <f aca="false">IF($D275="",0,$C275*$D275)</f>
        <v>0</v>
      </c>
      <c r="L275" s="20" t="n">
        <f aca="false">IF($D275="",0,$F275*$K275)</f>
        <v>0</v>
      </c>
      <c r="M275" s="20" t="n">
        <f aca="false">IF($D275="",0,$G275*$K275)</f>
        <v>0</v>
      </c>
      <c r="N275" s="20" t="n">
        <f aca="false">IF($D275="",0,$H275*$K275)</f>
        <v>0</v>
      </c>
      <c r="O275" s="20" t="n">
        <f aca="false">IF($D275="",0,$I275*$K275*(1-$F275))</f>
        <v>0</v>
      </c>
      <c r="P275" s="20" t="n">
        <f aca="false">IF($D275="",0,$E275*$D275+$L275+$M275+$N275+$O275+$J275*$D275)</f>
        <v>0</v>
      </c>
      <c r="Q275" s="20" t="n">
        <f aca="false">IF($D275="",0,$K275-$P275)</f>
        <v>0</v>
      </c>
      <c r="R275" s="21" t="n">
        <f aca="false">IF($K275=0,0,$Q275/$K275)</f>
        <v>0</v>
      </c>
      <c r="S275" s="20" t="n">
        <f aca="false">IF($D275="",0,$K275-$L275-$M275-$N275)</f>
        <v>0</v>
      </c>
      <c r="T275" s="22"/>
      <c r="U275" s="20" t="n">
        <f aca="false">IF($T275="",0,MAX(0,$S275-$T275))</f>
        <v>0</v>
      </c>
      <c r="V275" s="21" t="n">
        <f aca="false">IF($S275=0,0,$U275/$S275)</f>
        <v>0</v>
      </c>
      <c r="W275" s="23" t="str">
        <f aca="false">IF($D275="","",IF($T275="","BEKLİYOR",IF(OR($U275=0,$S275=0),"DOĞRU",IF(AND($V275&gt;PazaryeriEksikHakedisEsik,$U275&gt;PazaryeriEksikHakedisTutarEsik),"EKSİK HAKEDİŞ","DOĞRU"))))</f>
        <v/>
      </c>
      <c r="X275" s="23" t="str">
        <f aca="false">IF($B275="","",CONCATENATE("Ürün: ",$B275," | Kâr: ",TEXT($Q275,"₺ #,##0")," | Durum: ",$W275))</f>
        <v/>
      </c>
      <c r="Y275" s="24"/>
    </row>
    <row r="276" customFormat="false" ht="15" hidden="false" customHeight="false" outlineLevel="0" collapsed="false">
      <c r="A276" s="24"/>
      <c r="B276" s="24"/>
      <c r="C276" s="22"/>
      <c r="D276" s="25"/>
      <c r="E276" s="22"/>
      <c r="F276" s="26"/>
      <c r="G276" s="26"/>
      <c r="H276" s="26"/>
      <c r="I276" s="26"/>
      <c r="J276" s="22"/>
      <c r="K276" s="20" t="n">
        <f aca="false">IF($D276="",0,$C276*$D276)</f>
        <v>0</v>
      </c>
      <c r="L276" s="20" t="n">
        <f aca="false">IF($D276="",0,$F276*$K276)</f>
        <v>0</v>
      </c>
      <c r="M276" s="20" t="n">
        <f aca="false">IF($D276="",0,$G276*$K276)</f>
        <v>0</v>
      </c>
      <c r="N276" s="20" t="n">
        <f aca="false">IF($D276="",0,$H276*$K276)</f>
        <v>0</v>
      </c>
      <c r="O276" s="20" t="n">
        <f aca="false">IF($D276="",0,$I276*$K276*(1-$F276))</f>
        <v>0</v>
      </c>
      <c r="P276" s="20" t="n">
        <f aca="false">IF($D276="",0,$E276*$D276+$L276+$M276+$N276+$O276+$J276*$D276)</f>
        <v>0</v>
      </c>
      <c r="Q276" s="20" t="n">
        <f aca="false">IF($D276="",0,$K276-$P276)</f>
        <v>0</v>
      </c>
      <c r="R276" s="21" t="n">
        <f aca="false">IF($K276=0,0,$Q276/$K276)</f>
        <v>0</v>
      </c>
      <c r="S276" s="20" t="n">
        <f aca="false">IF($D276="",0,$K276-$L276-$M276-$N276)</f>
        <v>0</v>
      </c>
      <c r="T276" s="22"/>
      <c r="U276" s="20" t="n">
        <f aca="false">IF($T276="",0,MAX(0,$S276-$T276))</f>
        <v>0</v>
      </c>
      <c r="V276" s="21" t="n">
        <f aca="false">IF($S276=0,0,$U276/$S276)</f>
        <v>0</v>
      </c>
      <c r="W276" s="23" t="str">
        <f aca="false">IF($D276="","",IF($T276="","BEKLİYOR",IF(OR($U276=0,$S276=0),"DOĞRU",IF(AND($V276&gt;PazaryeriEksikHakedisEsik,$U276&gt;PazaryeriEksikHakedisTutarEsik),"EKSİK HAKEDİŞ","DOĞRU"))))</f>
        <v/>
      </c>
      <c r="X276" s="23" t="str">
        <f aca="false">IF($B276="","",CONCATENATE("Ürün: ",$B276," | Kâr: ",TEXT($Q276,"₺ #,##0")," | Durum: ",$W276))</f>
        <v/>
      </c>
      <c r="Y276" s="24"/>
    </row>
    <row r="277" customFormat="false" ht="15" hidden="false" customHeight="false" outlineLevel="0" collapsed="false">
      <c r="A277" s="24"/>
      <c r="B277" s="24"/>
      <c r="C277" s="22"/>
      <c r="D277" s="25"/>
      <c r="E277" s="22"/>
      <c r="F277" s="26"/>
      <c r="G277" s="26"/>
      <c r="H277" s="26"/>
      <c r="I277" s="26"/>
      <c r="J277" s="22"/>
      <c r="K277" s="20" t="n">
        <f aca="false">IF($D277="",0,$C277*$D277)</f>
        <v>0</v>
      </c>
      <c r="L277" s="20" t="n">
        <f aca="false">IF($D277="",0,$F277*$K277)</f>
        <v>0</v>
      </c>
      <c r="M277" s="20" t="n">
        <f aca="false">IF($D277="",0,$G277*$K277)</f>
        <v>0</v>
      </c>
      <c r="N277" s="20" t="n">
        <f aca="false">IF($D277="",0,$H277*$K277)</f>
        <v>0</v>
      </c>
      <c r="O277" s="20" t="n">
        <f aca="false">IF($D277="",0,$I277*$K277*(1-$F277))</f>
        <v>0</v>
      </c>
      <c r="P277" s="20" t="n">
        <f aca="false">IF($D277="",0,$E277*$D277+$L277+$M277+$N277+$O277+$J277*$D277)</f>
        <v>0</v>
      </c>
      <c r="Q277" s="20" t="n">
        <f aca="false">IF($D277="",0,$K277-$P277)</f>
        <v>0</v>
      </c>
      <c r="R277" s="21" t="n">
        <f aca="false">IF($K277=0,0,$Q277/$K277)</f>
        <v>0</v>
      </c>
      <c r="S277" s="20" t="n">
        <f aca="false">IF($D277="",0,$K277-$L277-$M277-$N277)</f>
        <v>0</v>
      </c>
      <c r="T277" s="22"/>
      <c r="U277" s="20" t="n">
        <f aca="false">IF($T277="",0,MAX(0,$S277-$T277))</f>
        <v>0</v>
      </c>
      <c r="V277" s="21" t="n">
        <f aca="false">IF($S277=0,0,$U277/$S277)</f>
        <v>0</v>
      </c>
      <c r="W277" s="23" t="str">
        <f aca="false">IF($D277="","",IF($T277="","BEKLİYOR",IF(OR($U277=0,$S277=0),"DOĞRU",IF(AND($V277&gt;PazaryeriEksikHakedisEsik,$U277&gt;PazaryeriEksikHakedisTutarEsik),"EKSİK HAKEDİŞ","DOĞRU"))))</f>
        <v/>
      </c>
      <c r="X277" s="23" t="str">
        <f aca="false">IF($B277="","",CONCATENATE("Ürün: ",$B277," | Kâr: ",TEXT($Q277,"₺ #,##0")," | Durum: ",$W277))</f>
        <v/>
      </c>
      <c r="Y277" s="24"/>
    </row>
    <row r="278" customFormat="false" ht="15" hidden="false" customHeight="false" outlineLevel="0" collapsed="false">
      <c r="A278" s="24"/>
      <c r="B278" s="24"/>
      <c r="C278" s="22"/>
      <c r="D278" s="25"/>
      <c r="E278" s="22"/>
      <c r="F278" s="26"/>
      <c r="G278" s="26"/>
      <c r="H278" s="26"/>
      <c r="I278" s="26"/>
      <c r="J278" s="22"/>
      <c r="K278" s="20" t="n">
        <f aca="false">IF($D278="",0,$C278*$D278)</f>
        <v>0</v>
      </c>
      <c r="L278" s="20" t="n">
        <f aca="false">IF($D278="",0,$F278*$K278)</f>
        <v>0</v>
      </c>
      <c r="M278" s="20" t="n">
        <f aca="false">IF($D278="",0,$G278*$K278)</f>
        <v>0</v>
      </c>
      <c r="N278" s="20" t="n">
        <f aca="false">IF($D278="",0,$H278*$K278)</f>
        <v>0</v>
      </c>
      <c r="O278" s="20" t="n">
        <f aca="false">IF($D278="",0,$I278*$K278*(1-$F278))</f>
        <v>0</v>
      </c>
      <c r="P278" s="20" t="n">
        <f aca="false">IF($D278="",0,$E278*$D278+$L278+$M278+$N278+$O278+$J278*$D278)</f>
        <v>0</v>
      </c>
      <c r="Q278" s="20" t="n">
        <f aca="false">IF($D278="",0,$K278-$P278)</f>
        <v>0</v>
      </c>
      <c r="R278" s="21" t="n">
        <f aca="false">IF($K278=0,0,$Q278/$K278)</f>
        <v>0</v>
      </c>
      <c r="S278" s="20" t="n">
        <f aca="false">IF($D278="",0,$K278-$L278-$M278-$N278)</f>
        <v>0</v>
      </c>
      <c r="T278" s="22"/>
      <c r="U278" s="20" t="n">
        <f aca="false">IF($T278="",0,MAX(0,$S278-$T278))</f>
        <v>0</v>
      </c>
      <c r="V278" s="21" t="n">
        <f aca="false">IF($S278=0,0,$U278/$S278)</f>
        <v>0</v>
      </c>
      <c r="W278" s="23" t="str">
        <f aca="false">IF($D278="","",IF($T278="","BEKLİYOR",IF(OR($U278=0,$S278=0),"DOĞRU",IF(AND($V278&gt;PazaryeriEksikHakedisEsik,$U278&gt;PazaryeriEksikHakedisTutarEsik),"EKSİK HAKEDİŞ","DOĞRU"))))</f>
        <v/>
      </c>
      <c r="X278" s="23" t="str">
        <f aca="false">IF($B278="","",CONCATENATE("Ürün: ",$B278," | Kâr: ",TEXT($Q278,"₺ #,##0")," | Durum: ",$W278))</f>
        <v/>
      </c>
      <c r="Y278" s="24"/>
    </row>
    <row r="279" customFormat="false" ht="15" hidden="false" customHeight="false" outlineLevel="0" collapsed="false">
      <c r="A279" s="24"/>
      <c r="B279" s="24"/>
      <c r="C279" s="22"/>
      <c r="D279" s="25"/>
      <c r="E279" s="22"/>
      <c r="F279" s="26"/>
      <c r="G279" s="26"/>
      <c r="H279" s="26"/>
      <c r="I279" s="26"/>
      <c r="J279" s="22"/>
      <c r="K279" s="20" t="n">
        <f aca="false">IF($D279="",0,$C279*$D279)</f>
        <v>0</v>
      </c>
      <c r="L279" s="20" t="n">
        <f aca="false">IF($D279="",0,$F279*$K279)</f>
        <v>0</v>
      </c>
      <c r="M279" s="20" t="n">
        <f aca="false">IF($D279="",0,$G279*$K279)</f>
        <v>0</v>
      </c>
      <c r="N279" s="20" t="n">
        <f aca="false">IF($D279="",0,$H279*$K279)</f>
        <v>0</v>
      </c>
      <c r="O279" s="20" t="n">
        <f aca="false">IF($D279="",0,$I279*$K279*(1-$F279))</f>
        <v>0</v>
      </c>
      <c r="P279" s="20" t="n">
        <f aca="false">IF($D279="",0,$E279*$D279+$L279+$M279+$N279+$O279+$J279*$D279)</f>
        <v>0</v>
      </c>
      <c r="Q279" s="20" t="n">
        <f aca="false">IF($D279="",0,$K279-$P279)</f>
        <v>0</v>
      </c>
      <c r="R279" s="21" t="n">
        <f aca="false">IF($K279=0,0,$Q279/$K279)</f>
        <v>0</v>
      </c>
      <c r="S279" s="20" t="n">
        <f aca="false">IF($D279="",0,$K279-$L279-$M279-$N279)</f>
        <v>0</v>
      </c>
      <c r="T279" s="22"/>
      <c r="U279" s="20" t="n">
        <f aca="false">IF($T279="",0,MAX(0,$S279-$T279))</f>
        <v>0</v>
      </c>
      <c r="V279" s="21" t="n">
        <f aca="false">IF($S279=0,0,$U279/$S279)</f>
        <v>0</v>
      </c>
      <c r="W279" s="23" t="str">
        <f aca="false">IF($D279="","",IF($T279="","BEKLİYOR",IF(OR($U279=0,$S279=0),"DOĞRU",IF(AND($V279&gt;PazaryeriEksikHakedisEsik,$U279&gt;PazaryeriEksikHakedisTutarEsik),"EKSİK HAKEDİŞ","DOĞRU"))))</f>
        <v/>
      </c>
      <c r="X279" s="23" t="str">
        <f aca="false">IF($B279="","",CONCATENATE("Ürün: ",$B279," | Kâr: ",TEXT($Q279,"₺ #,##0")," | Durum: ",$W279))</f>
        <v/>
      </c>
      <c r="Y279" s="24"/>
    </row>
    <row r="280" customFormat="false" ht="15" hidden="false" customHeight="false" outlineLevel="0" collapsed="false">
      <c r="A280" s="24"/>
      <c r="B280" s="24"/>
      <c r="C280" s="22"/>
      <c r="D280" s="25"/>
      <c r="E280" s="22"/>
      <c r="F280" s="26"/>
      <c r="G280" s="26"/>
      <c r="H280" s="26"/>
      <c r="I280" s="26"/>
      <c r="J280" s="22"/>
      <c r="K280" s="20" t="n">
        <f aca="false">IF($D280="",0,$C280*$D280)</f>
        <v>0</v>
      </c>
      <c r="L280" s="20" t="n">
        <f aca="false">IF($D280="",0,$F280*$K280)</f>
        <v>0</v>
      </c>
      <c r="M280" s="20" t="n">
        <f aca="false">IF($D280="",0,$G280*$K280)</f>
        <v>0</v>
      </c>
      <c r="N280" s="20" t="n">
        <f aca="false">IF($D280="",0,$H280*$K280)</f>
        <v>0</v>
      </c>
      <c r="O280" s="20" t="n">
        <f aca="false">IF($D280="",0,$I280*$K280*(1-$F280))</f>
        <v>0</v>
      </c>
      <c r="P280" s="20" t="n">
        <f aca="false">IF($D280="",0,$E280*$D280+$L280+$M280+$N280+$O280+$J280*$D280)</f>
        <v>0</v>
      </c>
      <c r="Q280" s="20" t="n">
        <f aca="false">IF($D280="",0,$K280-$P280)</f>
        <v>0</v>
      </c>
      <c r="R280" s="21" t="n">
        <f aca="false">IF($K280=0,0,$Q280/$K280)</f>
        <v>0</v>
      </c>
      <c r="S280" s="20" t="n">
        <f aca="false">IF($D280="",0,$K280-$L280-$M280-$N280)</f>
        <v>0</v>
      </c>
      <c r="T280" s="22"/>
      <c r="U280" s="20" t="n">
        <f aca="false">IF($T280="",0,MAX(0,$S280-$T280))</f>
        <v>0</v>
      </c>
      <c r="V280" s="21" t="n">
        <f aca="false">IF($S280=0,0,$U280/$S280)</f>
        <v>0</v>
      </c>
      <c r="W280" s="23" t="str">
        <f aca="false">IF($D280="","",IF($T280="","BEKLİYOR",IF(OR($U280=0,$S280=0),"DOĞRU",IF(AND($V280&gt;PazaryeriEksikHakedisEsik,$U280&gt;PazaryeriEksikHakedisTutarEsik),"EKSİK HAKEDİŞ","DOĞRU"))))</f>
        <v/>
      </c>
      <c r="X280" s="23" t="str">
        <f aca="false">IF($B280="","",CONCATENATE("Ürün: ",$B280," | Kâr: ",TEXT($Q280,"₺ #,##0")," | Durum: ",$W280))</f>
        <v/>
      </c>
      <c r="Y280" s="24"/>
    </row>
    <row r="281" customFormat="false" ht="15" hidden="false" customHeight="false" outlineLevel="0" collapsed="false">
      <c r="A281" s="24"/>
      <c r="B281" s="24"/>
      <c r="C281" s="22"/>
      <c r="D281" s="25"/>
      <c r="E281" s="22"/>
      <c r="F281" s="26"/>
      <c r="G281" s="26"/>
      <c r="H281" s="26"/>
      <c r="I281" s="26"/>
      <c r="J281" s="22"/>
      <c r="K281" s="20" t="n">
        <f aca="false">IF($D281="",0,$C281*$D281)</f>
        <v>0</v>
      </c>
      <c r="L281" s="20" t="n">
        <f aca="false">IF($D281="",0,$F281*$K281)</f>
        <v>0</v>
      </c>
      <c r="M281" s="20" t="n">
        <f aca="false">IF($D281="",0,$G281*$K281)</f>
        <v>0</v>
      </c>
      <c r="N281" s="20" t="n">
        <f aca="false">IF($D281="",0,$H281*$K281)</f>
        <v>0</v>
      </c>
      <c r="O281" s="20" t="n">
        <f aca="false">IF($D281="",0,$I281*$K281*(1-$F281))</f>
        <v>0</v>
      </c>
      <c r="P281" s="20" t="n">
        <f aca="false">IF($D281="",0,$E281*$D281+$L281+$M281+$N281+$O281+$J281*$D281)</f>
        <v>0</v>
      </c>
      <c r="Q281" s="20" t="n">
        <f aca="false">IF($D281="",0,$K281-$P281)</f>
        <v>0</v>
      </c>
      <c r="R281" s="21" t="n">
        <f aca="false">IF($K281=0,0,$Q281/$K281)</f>
        <v>0</v>
      </c>
      <c r="S281" s="20" t="n">
        <f aca="false">IF($D281="",0,$K281-$L281-$M281-$N281)</f>
        <v>0</v>
      </c>
      <c r="T281" s="22"/>
      <c r="U281" s="20" t="n">
        <f aca="false">IF($T281="",0,MAX(0,$S281-$T281))</f>
        <v>0</v>
      </c>
      <c r="V281" s="21" t="n">
        <f aca="false">IF($S281=0,0,$U281/$S281)</f>
        <v>0</v>
      </c>
      <c r="W281" s="23" t="str">
        <f aca="false">IF($D281="","",IF($T281="","BEKLİYOR",IF(OR($U281=0,$S281=0),"DOĞRU",IF(AND($V281&gt;PazaryeriEksikHakedisEsik,$U281&gt;PazaryeriEksikHakedisTutarEsik),"EKSİK HAKEDİŞ","DOĞRU"))))</f>
        <v/>
      </c>
      <c r="X281" s="23" t="str">
        <f aca="false">IF($B281="","",CONCATENATE("Ürün: ",$B281," | Kâr: ",TEXT($Q281,"₺ #,##0")," | Durum: ",$W281))</f>
        <v/>
      </c>
      <c r="Y281" s="24"/>
    </row>
    <row r="282" customFormat="false" ht="15" hidden="false" customHeight="false" outlineLevel="0" collapsed="false">
      <c r="A282" s="24"/>
      <c r="B282" s="24"/>
      <c r="C282" s="22"/>
      <c r="D282" s="25"/>
      <c r="E282" s="22"/>
      <c r="F282" s="26"/>
      <c r="G282" s="26"/>
      <c r="H282" s="26"/>
      <c r="I282" s="26"/>
      <c r="J282" s="22"/>
      <c r="K282" s="20" t="n">
        <f aca="false">IF($D282="",0,$C282*$D282)</f>
        <v>0</v>
      </c>
      <c r="L282" s="20" t="n">
        <f aca="false">IF($D282="",0,$F282*$K282)</f>
        <v>0</v>
      </c>
      <c r="M282" s="20" t="n">
        <f aca="false">IF($D282="",0,$G282*$K282)</f>
        <v>0</v>
      </c>
      <c r="N282" s="20" t="n">
        <f aca="false">IF($D282="",0,$H282*$K282)</f>
        <v>0</v>
      </c>
      <c r="O282" s="20" t="n">
        <f aca="false">IF($D282="",0,$I282*$K282*(1-$F282))</f>
        <v>0</v>
      </c>
      <c r="P282" s="20" t="n">
        <f aca="false">IF($D282="",0,$E282*$D282+$L282+$M282+$N282+$O282+$J282*$D282)</f>
        <v>0</v>
      </c>
      <c r="Q282" s="20" t="n">
        <f aca="false">IF($D282="",0,$K282-$P282)</f>
        <v>0</v>
      </c>
      <c r="R282" s="21" t="n">
        <f aca="false">IF($K282=0,0,$Q282/$K282)</f>
        <v>0</v>
      </c>
      <c r="S282" s="20" t="n">
        <f aca="false">IF($D282="",0,$K282-$L282-$M282-$N282)</f>
        <v>0</v>
      </c>
      <c r="T282" s="22"/>
      <c r="U282" s="20" t="n">
        <f aca="false">IF($T282="",0,MAX(0,$S282-$T282))</f>
        <v>0</v>
      </c>
      <c r="V282" s="21" t="n">
        <f aca="false">IF($S282=0,0,$U282/$S282)</f>
        <v>0</v>
      </c>
      <c r="W282" s="23" t="str">
        <f aca="false">IF($D282="","",IF($T282="","BEKLİYOR",IF(OR($U282=0,$S282=0),"DOĞRU",IF(AND($V282&gt;PazaryeriEksikHakedisEsik,$U282&gt;PazaryeriEksikHakedisTutarEsik),"EKSİK HAKEDİŞ","DOĞRU"))))</f>
        <v/>
      </c>
      <c r="X282" s="23" t="str">
        <f aca="false">IF($B282="","",CONCATENATE("Ürün: ",$B282," | Kâr: ",TEXT($Q282,"₺ #,##0")," | Durum: ",$W282))</f>
        <v/>
      </c>
      <c r="Y282" s="24"/>
    </row>
    <row r="283" customFormat="false" ht="15" hidden="false" customHeight="false" outlineLevel="0" collapsed="false">
      <c r="A283" s="24"/>
      <c r="B283" s="24"/>
      <c r="C283" s="22"/>
      <c r="D283" s="25"/>
      <c r="E283" s="22"/>
      <c r="F283" s="26"/>
      <c r="G283" s="26"/>
      <c r="H283" s="26"/>
      <c r="I283" s="26"/>
      <c r="J283" s="22"/>
      <c r="K283" s="20" t="n">
        <f aca="false">IF($D283="",0,$C283*$D283)</f>
        <v>0</v>
      </c>
      <c r="L283" s="20" t="n">
        <f aca="false">IF($D283="",0,$F283*$K283)</f>
        <v>0</v>
      </c>
      <c r="M283" s="20" t="n">
        <f aca="false">IF($D283="",0,$G283*$K283)</f>
        <v>0</v>
      </c>
      <c r="N283" s="20" t="n">
        <f aca="false">IF($D283="",0,$H283*$K283)</f>
        <v>0</v>
      </c>
      <c r="O283" s="20" t="n">
        <f aca="false">IF($D283="",0,$I283*$K283*(1-$F283))</f>
        <v>0</v>
      </c>
      <c r="P283" s="20" t="n">
        <f aca="false">IF($D283="",0,$E283*$D283+$L283+$M283+$N283+$O283+$J283*$D283)</f>
        <v>0</v>
      </c>
      <c r="Q283" s="20" t="n">
        <f aca="false">IF($D283="",0,$K283-$P283)</f>
        <v>0</v>
      </c>
      <c r="R283" s="21" t="n">
        <f aca="false">IF($K283=0,0,$Q283/$K283)</f>
        <v>0</v>
      </c>
      <c r="S283" s="20" t="n">
        <f aca="false">IF($D283="",0,$K283-$L283-$M283-$N283)</f>
        <v>0</v>
      </c>
      <c r="T283" s="22"/>
      <c r="U283" s="20" t="n">
        <f aca="false">IF($T283="",0,MAX(0,$S283-$T283))</f>
        <v>0</v>
      </c>
      <c r="V283" s="21" t="n">
        <f aca="false">IF($S283=0,0,$U283/$S283)</f>
        <v>0</v>
      </c>
      <c r="W283" s="23" t="str">
        <f aca="false">IF($D283="","",IF($T283="","BEKLİYOR",IF(OR($U283=0,$S283=0),"DOĞRU",IF(AND($V283&gt;PazaryeriEksikHakedisEsik,$U283&gt;PazaryeriEksikHakedisTutarEsik),"EKSİK HAKEDİŞ","DOĞRU"))))</f>
        <v/>
      </c>
      <c r="X283" s="23" t="str">
        <f aca="false">IF($B283="","",CONCATENATE("Ürün: ",$B283," | Kâr: ",TEXT($Q283,"₺ #,##0")," | Durum: ",$W283))</f>
        <v/>
      </c>
      <c r="Y283" s="24"/>
    </row>
    <row r="284" customFormat="false" ht="15" hidden="false" customHeight="false" outlineLevel="0" collapsed="false">
      <c r="A284" s="24"/>
      <c r="B284" s="24"/>
      <c r="C284" s="22"/>
      <c r="D284" s="25"/>
      <c r="E284" s="22"/>
      <c r="F284" s="26"/>
      <c r="G284" s="26"/>
      <c r="H284" s="26"/>
      <c r="I284" s="26"/>
      <c r="J284" s="22"/>
      <c r="K284" s="20" t="n">
        <f aca="false">IF($D284="",0,$C284*$D284)</f>
        <v>0</v>
      </c>
      <c r="L284" s="20" t="n">
        <f aca="false">IF($D284="",0,$F284*$K284)</f>
        <v>0</v>
      </c>
      <c r="M284" s="20" t="n">
        <f aca="false">IF($D284="",0,$G284*$K284)</f>
        <v>0</v>
      </c>
      <c r="N284" s="20" t="n">
        <f aca="false">IF($D284="",0,$H284*$K284)</f>
        <v>0</v>
      </c>
      <c r="O284" s="20" t="n">
        <f aca="false">IF($D284="",0,$I284*$K284*(1-$F284))</f>
        <v>0</v>
      </c>
      <c r="P284" s="20" t="n">
        <f aca="false">IF($D284="",0,$E284*$D284+$L284+$M284+$N284+$O284+$J284*$D284)</f>
        <v>0</v>
      </c>
      <c r="Q284" s="20" t="n">
        <f aca="false">IF($D284="",0,$K284-$P284)</f>
        <v>0</v>
      </c>
      <c r="R284" s="21" t="n">
        <f aca="false">IF($K284=0,0,$Q284/$K284)</f>
        <v>0</v>
      </c>
      <c r="S284" s="20" t="n">
        <f aca="false">IF($D284="",0,$K284-$L284-$M284-$N284)</f>
        <v>0</v>
      </c>
      <c r="T284" s="22"/>
      <c r="U284" s="20" t="n">
        <f aca="false">IF($T284="",0,MAX(0,$S284-$T284))</f>
        <v>0</v>
      </c>
      <c r="V284" s="21" t="n">
        <f aca="false">IF($S284=0,0,$U284/$S284)</f>
        <v>0</v>
      </c>
      <c r="W284" s="23" t="str">
        <f aca="false">IF($D284="","",IF($T284="","BEKLİYOR",IF(OR($U284=0,$S284=0),"DOĞRU",IF(AND($V284&gt;PazaryeriEksikHakedisEsik,$U284&gt;PazaryeriEksikHakedisTutarEsik),"EKSİK HAKEDİŞ","DOĞRU"))))</f>
        <v/>
      </c>
      <c r="X284" s="23" t="str">
        <f aca="false">IF($B284="","",CONCATENATE("Ürün: ",$B284," | Kâr: ",TEXT($Q284,"₺ #,##0")," | Durum: ",$W284))</f>
        <v/>
      </c>
      <c r="Y284" s="24"/>
    </row>
    <row r="285" customFormat="false" ht="15" hidden="false" customHeight="false" outlineLevel="0" collapsed="false">
      <c r="A285" s="24"/>
      <c r="B285" s="24"/>
      <c r="C285" s="22"/>
      <c r="D285" s="25"/>
      <c r="E285" s="22"/>
      <c r="F285" s="26"/>
      <c r="G285" s="26"/>
      <c r="H285" s="26"/>
      <c r="I285" s="26"/>
      <c r="J285" s="22"/>
      <c r="K285" s="20" t="n">
        <f aca="false">IF($D285="",0,$C285*$D285)</f>
        <v>0</v>
      </c>
      <c r="L285" s="20" t="n">
        <f aca="false">IF($D285="",0,$F285*$K285)</f>
        <v>0</v>
      </c>
      <c r="M285" s="20" t="n">
        <f aca="false">IF($D285="",0,$G285*$K285)</f>
        <v>0</v>
      </c>
      <c r="N285" s="20" t="n">
        <f aca="false">IF($D285="",0,$H285*$K285)</f>
        <v>0</v>
      </c>
      <c r="O285" s="20" t="n">
        <f aca="false">IF($D285="",0,$I285*$K285*(1-$F285))</f>
        <v>0</v>
      </c>
      <c r="P285" s="20" t="n">
        <f aca="false">IF($D285="",0,$E285*$D285+$L285+$M285+$N285+$O285+$J285*$D285)</f>
        <v>0</v>
      </c>
      <c r="Q285" s="20" t="n">
        <f aca="false">IF($D285="",0,$K285-$P285)</f>
        <v>0</v>
      </c>
      <c r="R285" s="21" t="n">
        <f aca="false">IF($K285=0,0,$Q285/$K285)</f>
        <v>0</v>
      </c>
      <c r="S285" s="20" t="n">
        <f aca="false">IF($D285="",0,$K285-$L285-$M285-$N285)</f>
        <v>0</v>
      </c>
      <c r="T285" s="22"/>
      <c r="U285" s="20" t="n">
        <f aca="false">IF($T285="",0,MAX(0,$S285-$T285))</f>
        <v>0</v>
      </c>
      <c r="V285" s="21" t="n">
        <f aca="false">IF($S285=0,0,$U285/$S285)</f>
        <v>0</v>
      </c>
      <c r="W285" s="23" t="str">
        <f aca="false">IF($D285="","",IF($T285="","BEKLİYOR",IF(OR($U285=0,$S285=0),"DOĞRU",IF(AND($V285&gt;PazaryeriEksikHakedisEsik,$U285&gt;PazaryeriEksikHakedisTutarEsik),"EKSİK HAKEDİŞ","DOĞRU"))))</f>
        <v/>
      </c>
      <c r="X285" s="23" t="str">
        <f aca="false">IF($B285="","",CONCATENATE("Ürün: ",$B285," | Kâr: ",TEXT($Q285,"₺ #,##0")," | Durum: ",$W285))</f>
        <v/>
      </c>
      <c r="Y285" s="24"/>
    </row>
    <row r="286" customFormat="false" ht="15" hidden="false" customHeight="false" outlineLevel="0" collapsed="false">
      <c r="A286" s="24"/>
      <c r="B286" s="24"/>
      <c r="C286" s="22"/>
      <c r="D286" s="25"/>
      <c r="E286" s="22"/>
      <c r="F286" s="26"/>
      <c r="G286" s="26"/>
      <c r="H286" s="26"/>
      <c r="I286" s="26"/>
      <c r="J286" s="22"/>
      <c r="K286" s="20" t="n">
        <f aca="false">IF($D286="",0,$C286*$D286)</f>
        <v>0</v>
      </c>
      <c r="L286" s="20" t="n">
        <f aca="false">IF($D286="",0,$F286*$K286)</f>
        <v>0</v>
      </c>
      <c r="M286" s="20" t="n">
        <f aca="false">IF($D286="",0,$G286*$K286)</f>
        <v>0</v>
      </c>
      <c r="N286" s="20" t="n">
        <f aca="false">IF($D286="",0,$H286*$K286)</f>
        <v>0</v>
      </c>
      <c r="O286" s="20" t="n">
        <f aca="false">IF($D286="",0,$I286*$K286*(1-$F286))</f>
        <v>0</v>
      </c>
      <c r="P286" s="20" t="n">
        <f aca="false">IF($D286="",0,$E286*$D286+$L286+$M286+$N286+$O286+$J286*$D286)</f>
        <v>0</v>
      </c>
      <c r="Q286" s="20" t="n">
        <f aca="false">IF($D286="",0,$K286-$P286)</f>
        <v>0</v>
      </c>
      <c r="R286" s="21" t="n">
        <f aca="false">IF($K286=0,0,$Q286/$K286)</f>
        <v>0</v>
      </c>
      <c r="S286" s="20" t="n">
        <f aca="false">IF($D286="",0,$K286-$L286-$M286-$N286)</f>
        <v>0</v>
      </c>
      <c r="T286" s="22"/>
      <c r="U286" s="20" t="n">
        <f aca="false">IF($T286="",0,MAX(0,$S286-$T286))</f>
        <v>0</v>
      </c>
      <c r="V286" s="21" t="n">
        <f aca="false">IF($S286=0,0,$U286/$S286)</f>
        <v>0</v>
      </c>
      <c r="W286" s="23" t="str">
        <f aca="false">IF($D286="","",IF($T286="","BEKLİYOR",IF(OR($U286=0,$S286=0),"DOĞRU",IF(AND($V286&gt;PazaryeriEksikHakedisEsik,$U286&gt;PazaryeriEksikHakedisTutarEsik),"EKSİK HAKEDİŞ","DOĞRU"))))</f>
        <v/>
      </c>
      <c r="X286" s="23" t="str">
        <f aca="false">IF($B286="","",CONCATENATE("Ürün: ",$B286," | Kâr: ",TEXT($Q286,"₺ #,##0")," | Durum: ",$W286))</f>
        <v/>
      </c>
      <c r="Y286" s="24"/>
    </row>
    <row r="287" customFormat="false" ht="15" hidden="false" customHeight="false" outlineLevel="0" collapsed="false">
      <c r="A287" s="24"/>
      <c r="B287" s="24"/>
      <c r="C287" s="22"/>
      <c r="D287" s="25"/>
      <c r="E287" s="22"/>
      <c r="F287" s="26"/>
      <c r="G287" s="26"/>
      <c r="H287" s="26"/>
      <c r="I287" s="26"/>
      <c r="J287" s="22"/>
      <c r="K287" s="20" t="n">
        <f aca="false">IF($D287="",0,$C287*$D287)</f>
        <v>0</v>
      </c>
      <c r="L287" s="20" t="n">
        <f aca="false">IF($D287="",0,$F287*$K287)</f>
        <v>0</v>
      </c>
      <c r="M287" s="20" t="n">
        <f aca="false">IF($D287="",0,$G287*$K287)</f>
        <v>0</v>
      </c>
      <c r="N287" s="20" t="n">
        <f aca="false">IF($D287="",0,$H287*$K287)</f>
        <v>0</v>
      </c>
      <c r="O287" s="20" t="n">
        <f aca="false">IF($D287="",0,$I287*$K287*(1-$F287))</f>
        <v>0</v>
      </c>
      <c r="P287" s="20" t="n">
        <f aca="false">IF($D287="",0,$E287*$D287+$L287+$M287+$N287+$O287+$J287*$D287)</f>
        <v>0</v>
      </c>
      <c r="Q287" s="20" t="n">
        <f aca="false">IF($D287="",0,$K287-$P287)</f>
        <v>0</v>
      </c>
      <c r="R287" s="21" t="n">
        <f aca="false">IF($K287=0,0,$Q287/$K287)</f>
        <v>0</v>
      </c>
      <c r="S287" s="20" t="n">
        <f aca="false">IF($D287="",0,$K287-$L287-$M287-$N287)</f>
        <v>0</v>
      </c>
      <c r="T287" s="22"/>
      <c r="U287" s="20" t="n">
        <f aca="false">IF($T287="",0,MAX(0,$S287-$T287))</f>
        <v>0</v>
      </c>
      <c r="V287" s="21" t="n">
        <f aca="false">IF($S287=0,0,$U287/$S287)</f>
        <v>0</v>
      </c>
      <c r="W287" s="23" t="str">
        <f aca="false">IF($D287="","",IF($T287="","BEKLİYOR",IF(OR($U287=0,$S287=0),"DOĞRU",IF(AND($V287&gt;PazaryeriEksikHakedisEsik,$U287&gt;PazaryeriEksikHakedisTutarEsik),"EKSİK HAKEDİŞ","DOĞRU"))))</f>
        <v/>
      </c>
      <c r="X287" s="23" t="str">
        <f aca="false">IF($B287="","",CONCATENATE("Ürün: ",$B287," | Kâr: ",TEXT($Q287,"₺ #,##0")," | Durum: ",$W287))</f>
        <v/>
      </c>
      <c r="Y287" s="24"/>
    </row>
    <row r="288" customFormat="false" ht="15" hidden="false" customHeight="false" outlineLevel="0" collapsed="false">
      <c r="A288" s="24"/>
      <c r="B288" s="24"/>
      <c r="C288" s="22"/>
      <c r="D288" s="25"/>
      <c r="E288" s="22"/>
      <c r="F288" s="26"/>
      <c r="G288" s="26"/>
      <c r="H288" s="26"/>
      <c r="I288" s="26"/>
      <c r="J288" s="22"/>
      <c r="K288" s="20" t="n">
        <f aca="false">IF($D288="",0,$C288*$D288)</f>
        <v>0</v>
      </c>
      <c r="L288" s="20" t="n">
        <f aca="false">IF($D288="",0,$F288*$K288)</f>
        <v>0</v>
      </c>
      <c r="M288" s="20" t="n">
        <f aca="false">IF($D288="",0,$G288*$K288)</f>
        <v>0</v>
      </c>
      <c r="N288" s="20" t="n">
        <f aca="false">IF($D288="",0,$H288*$K288)</f>
        <v>0</v>
      </c>
      <c r="O288" s="20" t="n">
        <f aca="false">IF($D288="",0,$I288*$K288*(1-$F288))</f>
        <v>0</v>
      </c>
      <c r="P288" s="20" t="n">
        <f aca="false">IF($D288="",0,$E288*$D288+$L288+$M288+$N288+$O288+$J288*$D288)</f>
        <v>0</v>
      </c>
      <c r="Q288" s="20" t="n">
        <f aca="false">IF($D288="",0,$K288-$P288)</f>
        <v>0</v>
      </c>
      <c r="R288" s="21" t="n">
        <f aca="false">IF($K288=0,0,$Q288/$K288)</f>
        <v>0</v>
      </c>
      <c r="S288" s="20" t="n">
        <f aca="false">IF($D288="",0,$K288-$L288-$M288-$N288)</f>
        <v>0</v>
      </c>
      <c r="T288" s="22"/>
      <c r="U288" s="20" t="n">
        <f aca="false">IF($T288="",0,MAX(0,$S288-$T288))</f>
        <v>0</v>
      </c>
      <c r="V288" s="21" t="n">
        <f aca="false">IF($S288=0,0,$U288/$S288)</f>
        <v>0</v>
      </c>
      <c r="W288" s="23" t="str">
        <f aca="false">IF($D288="","",IF($T288="","BEKLİYOR",IF(OR($U288=0,$S288=0),"DOĞRU",IF(AND($V288&gt;PazaryeriEksikHakedisEsik,$U288&gt;PazaryeriEksikHakedisTutarEsik),"EKSİK HAKEDİŞ","DOĞRU"))))</f>
        <v/>
      </c>
      <c r="X288" s="23" t="str">
        <f aca="false">IF($B288="","",CONCATENATE("Ürün: ",$B288," | Kâr: ",TEXT($Q288,"₺ #,##0")," | Durum: ",$W288))</f>
        <v/>
      </c>
      <c r="Y288" s="24"/>
    </row>
    <row r="289" customFormat="false" ht="15" hidden="false" customHeight="false" outlineLevel="0" collapsed="false">
      <c r="A289" s="24"/>
      <c r="B289" s="24"/>
      <c r="C289" s="22"/>
      <c r="D289" s="25"/>
      <c r="E289" s="22"/>
      <c r="F289" s="26"/>
      <c r="G289" s="26"/>
      <c r="H289" s="26"/>
      <c r="I289" s="26"/>
      <c r="J289" s="22"/>
      <c r="K289" s="20" t="n">
        <f aca="false">IF($D289="",0,$C289*$D289)</f>
        <v>0</v>
      </c>
      <c r="L289" s="20" t="n">
        <f aca="false">IF($D289="",0,$F289*$K289)</f>
        <v>0</v>
      </c>
      <c r="M289" s="20" t="n">
        <f aca="false">IF($D289="",0,$G289*$K289)</f>
        <v>0</v>
      </c>
      <c r="N289" s="20" t="n">
        <f aca="false">IF($D289="",0,$H289*$K289)</f>
        <v>0</v>
      </c>
      <c r="O289" s="20" t="n">
        <f aca="false">IF($D289="",0,$I289*$K289*(1-$F289))</f>
        <v>0</v>
      </c>
      <c r="P289" s="20" t="n">
        <f aca="false">IF($D289="",0,$E289*$D289+$L289+$M289+$N289+$O289+$J289*$D289)</f>
        <v>0</v>
      </c>
      <c r="Q289" s="20" t="n">
        <f aca="false">IF($D289="",0,$K289-$P289)</f>
        <v>0</v>
      </c>
      <c r="R289" s="21" t="n">
        <f aca="false">IF($K289=0,0,$Q289/$K289)</f>
        <v>0</v>
      </c>
      <c r="S289" s="20" t="n">
        <f aca="false">IF($D289="",0,$K289-$L289-$M289-$N289)</f>
        <v>0</v>
      </c>
      <c r="T289" s="22"/>
      <c r="U289" s="20" t="n">
        <f aca="false">IF($T289="",0,MAX(0,$S289-$T289))</f>
        <v>0</v>
      </c>
      <c r="V289" s="21" t="n">
        <f aca="false">IF($S289=0,0,$U289/$S289)</f>
        <v>0</v>
      </c>
      <c r="W289" s="23" t="str">
        <f aca="false">IF($D289="","",IF($T289="","BEKLİYOR",IF(OR($U289=0,$S289=0),"DOĞRU",IF(AND($V289&gt;PazaryeriEksikHakedisEsik,$U289&gt;PazaryeriEksikHakedisTutarEsik),"EKSİK HAKEDİŞ","DOĞRU"))))</f>
        <v/>
      </c>
      <c r="X289" s="23" t="str">
        <f aca="false">IF($B289="","",CONCATENATE("Ürün: ",$B289," | Kâr: ",TEXT($Q289,"₺ #,##0")," | Durum: ",$W289))</f>
        <v/>
      </c>
      <c r="Y289" s="24"/>
    </row>
    <row r="290" customFormat="false" ht="15" hidden="false" customHeight="false" outlineLevel="0" collapsed="false">
      <c r="A290" s="24"/>
      <c r="B290" s="24"/>
      <c r="C290" s="22"/>
      <c r="D290" s="25"/>
      <c r="E290" s="22"/>
      <c r="F290" s="26"/>
      <c r="G290" s="26"/>
      <c r="H290" s="26"/>
      <c r="I290" s="26"/>
      <c r="J290" s="22"/>
      <c r="K290" s="20" t="n">
        <f aca="false">IF($D290="",0,$C290*$D290)</f>
        <v>0</v>
      </c>
      <c r="L290" s="20" t="n">
        <f aca="false">IF($D290="",0,$F290*$K290)</f>
        <v>0</v>
      </c>
      <c r="M290" s="20" t="n">
        <f aca="false">IF($D290="",0,$G290*$K290)</f>
        <v>0</v>
      </c>
      <c r="N290" s="20" t="n">
        <f aca="false">IF($D290="",0,$H290*$K290)</f>
        <v>0</v>
      </c>
      <c r="O290" s="20" t="n">
        <f aca="false">IF($D290="",0,$I290*$K290*(1-$F290))</f>
        <v>0</v>
      </c>
      <c r="P290" s="20" t="n">
        <f aca="false">IF($D290="",0,$E290*$D290+$L290+$M290+$N290+$O290+$J290*$D290)</f>
        <v>0</v>
      </c>
      <c r="Q290" s="20" t="n">
        <f aca="false">IF($D290="",0,$K290-$P290)</f>
        <v>0</v>
      </c>
      <c r="R290" s="21" t="n">
        <f aca="false">IF($K290=0,0,$Q290/$K290)</f>
        <v>0</v>
      </c>
      <c r="S290" s="20" t="n">
        <f aca="false">IF($D290="",0,$K290-$L290-$M290-$N290)</f>
        <v>0</v>
      </c>
      <c r="T290" s="22"/>
      <c r="U290" s="20" t="n">
        <f aca="false">IF($T290="",0,MAX(0,$S290-$T290))</f>
        <v>0</v>
      </c>
      <c r="V290" s="21" t="n">
        <f aca="false">IF($S290=0,0,$U290/$S290)</f>
        <v>0</v>
      </c>
      <c r="W290" s="23" t="str">
        <f aca="false">IF($D290="","",IF($T290="","BEKLİYOR",IF(OR($U290=0,$S290=0),"DOĞRU",IF(AND($V290&gt;PazaryeriEksikHakedisEsik,$U290&gt;PazaryeriEksikHakedisTutarEsik),"EKSİK HAKEDİŞ","DOĞRU"))))</f>
        <v/>
      </c>
      <c r="X290" s="23" t="str">
        <f aca="false">IF($B290="","",CONCATENATE("Ürün: ",$B290," | Kâr: ",TEXT($Q290,"₺ #,##0")," | Durum: ",$W290))</f>
        <v/>
      </c>
      <c r="Y290" s="24"/>
    </row>
    <row r="291" customFormat="false" ht="15" hidden="false" customHeight="false" outlineLevel="0" collapsed="false">
      <c r="A291" s="24"/>
      <c r="B291" s="24"/>
      <c r="C291" s="22"/>
      <c r="D291" s="25"/>
      <c r="E291" s="22"/>
      <c r="F291" s="26"/>
      <c r="G291" s="26"/>
      <c r="H291" s="26"/>
      <c r="I291" s="26"/>
      <c r="J291" s="22"/>
      <c r="K291" s="20" t="n">
        <f aca="false">IF($D291="",0,$C291*$D291)</f>
        <v>0</v>
      </c>
      <c r="L291" s="20" t="n">
        <f aca="false">IF($D291="",0,$F291*$K291)</f>
        <v>0</v>
      </c>
      <c r="M291" s="20" t="n">
        <f aca="false">IF($D291="",0,$G291*$K291)</f>
        <v>0</v>
      </c>
      <c r="N291" s="20" t="n">
        <f aca="false">IF($D291="",0,$H291*$K291)</f>
        <v>0</v>
      </c>
      <c r="O291" s="20" t="n">
        <f aca="false">IF($D291="",0,$I291*$K291*(1-$F291))</f>
        <v>0</v>
      </c>
      <c r="P291" s="20" t="n">
        <f aca="false">IF($D291="",0,$E291*$D291+$L291+$M291+$N291+$O291+$J291*$D291)</f>
        <v>0</v>
      </c>
      <c r="Q291" s="20" t="n">
        <f aca="false">IF($D291="",0,$K291-$P291)</f>
        <v>0</v>
      </c>
      <c r="R291" s="21" t="n">
        <f aca="false">IF($K291=0,0,$Q291/$K291)</f>
        <v>0</v>
      </c>
      <c r="S291" s="20" t="n">
        <f aca="false">IF($D291="",0,$K291-$L291-$M291-$N291)</f>
        <v>0</v>
      </c>
      <c r="T291" s="22"/>
      <c r="U291" s="20" t="n">
        <f aca="false">IF($T291="",0,MAX(0,$S291-$T291))</f>
        <v>0</v>
      </c>
      <c r="V291" s="21" t="n">
        <f aca="false">IF($S291=0,0,$U291/$S291)</f>
        <v>0</v>
      </c>
      <c r="W291" s="23" t="str">
        <f aca="false">IF($D291="","",IF($T291="","BEKLİYOR",IF(OR($U291=0,$S291=0),"DOĞRU",IF(AND($V291&gt;PazaryeriEksikHakedisEsik,$U291&gt;PazaryeriEksikHakedisTutarEsik),"EKSİK HAKEDİŞ","DOĞRU"))))</f>
        <v/>
      </c>
      <c r="X291" s="23" t="str">
        <f aca="false">IF($B291="","",CONCATENATE("Ürün: ",$B291," | Kâr: ",TEXT($Q291,"₺ #,##0")," | Durum: ",$W291))</f>
        <v/>
      </c>
      <c r="Y291" s="24"/>
    </row>
    <row r="292" customFormat="false" ht="15" hidden="false" customHeight="false" outlineLevel="0" collapsed="false">
      <c r="A292" s="24"/>
      <c r="B292" s="24"/>
      <c r="C292" s="22"/>
      <c r="D292" s="25"/>
      <c r="E292" s="22"/>
      <c r="F292" s="26"/>
      <c r="G292" s="26"/>
      <c r="H292" s="26"/>
      <c r="I292" s="26"/>
      <c r="J292" s="22"/>
      <c r="K292" s="20" t="n">
        <f aca="false">IF($D292="",0,$C292*$D292)</f>
        <v>0</v>
      </c>
      <c r="L292" s="20" t="n">
        <f aca="false">IF($D292="",0,$F292*$K292)</f>
        <v>0</v>
      </c>
      <c r="M292" s="20" t="n">
        <f aca="false">IF($D292="",0,$G292*$K292)</f>
        <v>0</v>
      </c>
      <c r="N292" s="20" t="n">
        <f aca="false">IF($D292="",0,$H292*$K292)</f>
        <v>0</v>
      </c>
      <c r="O292" s="20" t="n">
        <f aca="false">IF($D292="",0,$I292*$K292*(1-$F292))</f>
        <v>0</v>
      </c>
      <c r="P292" s="20" t="n">
        <f aca="false">IF($D292="",0,$E292*$D292+$L292+$M292+$N292+$O292+$J292*$D292)</f>
        <v>0</v>
      </c>
      <c r="Q292" s="20" t="n">
        <f aca="false">IF($D292="",0,$K292-$P292)</f>
        <v>0</v>
      </c>
      <c r="R292" s="21" t="n">
        <f aca="false">IF($K292=0,0,$Q292/$K292)</f>
        <v>0</v>
      </c>
      <c r="S292" s="20" t="n">
        <f aca="false">IF($D292="",0,$K292-$L292-$M292-$N292)</f>
        <v>0</v>
      </c>
      <c r="T292" s="22"/>
      <c r="U292" s="20" t="n">
        <f aca="false">IF($T292="",0,MAX(0,$S292-$T292))</f>
        <v>0</v>
      </c>
      <c r="V292" s="21" t="n">
        <f aca="false">IF($S292=0,0,$U292/$S292)</f>
        <v>0</v>
      </c>
      <c r="W292" s="23" t="str">
        <f aca="false">IF($D292="","",IF($T292="","BEKLİYOR",IF(OR($U292=0,$S292=0),"DOĞRU",IF(AND($V292&gt;PazaryeriEksikHakedisEsik,$U292&gt;PazaryeriEksikHakedisTutarEsik),"EKSİK HAKEDİŞ","DOĞRU"))))</f>
        <v/>
      </c>
      <c r="X292" s="23" t="str">
        <f aca="false">IF($B292="","",CONCATENATE("Ürün: ",$B292," | Kâr: ",TEXT($Q292,"₺ #,##0")," | Durum: ",$W292))</f>
        <v/>
      </c>
      <c r="Y292" s="24"/>
    </row>
    <row r="293" customFormat="false" ht="15" hidden="false" customHeight="false" outlineLevel="0" collapsed="false">
      <c r="A293" s="24"/>
      <c r="B293" s="24"/>
      <c r="C293" s="22"/>
      <c r="D293" s="25"/>
      <c r="E293" s="22"/>
      <c r="F293" s="26"/>
      <c r="G293" s="26"/>
      <c r="H293" s="26"/>
      <c r="I293" s="26"/>
      <c r="J293" s="22"/>
      <c r="K293" s="20" t="n">
        <f aca="false">IF($D293="",0,$C293*$D293)</f>
        <v>0</v>
      </c>
      <c r="L293" s="20" t="n">
        <f aca="false">IF($D293="",0,$F293*$K293)</f>
        <v>0</v>
      </c>
      <c r="M293" s="20" t="n">
        <f aca="false">IF($D293="",0,$G293*$K293)</f>
        <v>0</v>
      </c>
      <c r="N293" s="20" t="n">
        <f aca="false">IF($D293="",0,$H293*$K293)</f>
        <v>0</v>
      </c>
      <c r="O293" s="20" t="n">
        <f aca="false">IF($D293="",0,$I293*$K293*(1-$F293))</f>
        <v>0</v>
      </c>
      <c r="P293" s="20" t="n">
        <f aca="false">IF($D293="",0,$E293*$D293+$L293+$M293+$N293+$O293+$J293*$D293)</f>
        <v>0</v>
      </c>
      <c r="Q293" s="20" t="n">
        <f aca="false">IF($D293="",0,$K293-$P293)</f>
        <v>0</v>
      </c>
      <c r="R293" s="21" t="n">
        <f aca="false">IF($K293=0,0,$Q293/$K293)</f>
        <v>0</v>
      </c>
      <c r="S293" s="20" t="n">
        <f aca="false">IF($D293="",0,$K293-$L293-$M293-$N293)</f>
        <v>0</v>
      </c>
      <c r="T293" s="22"/>
      <c r="U293" s="20" t="n">
        <f aca="false">IF($T293="",0,MAX(0,$S293-$T293))</f>
        <v>0</v>
      </c>
      <c r="V293" s="21" t="n">
        <f aca="false">IF($S293=0,0,$U293/$S293)</f>
        <v>0</v>
      </c>
      <c r="W293" s="23" t="str">
        <f aca="false">IF($D293="","",IF($T293="","BEKLİYOR",IF(OR($U293=0,$S293=0),"DOĞRU",IF(AND($V293&gt;PazaryeriEksikHakedisEsik,$U293&gt;PazaryeriEksikHakedisTutarEsik),"EKSİK HAKEDİŞ","DOĞRU"))))</f>
        <v/>
      </c>
      <c r="X293" s="23" t="str">
        <f aca="false">IF($B293="","",CONCATENATE("Ürün: ",$B293," | Kâr: ",TEXT($Q293,"₺ #,##0")," | Durum: ",$W293))</f>
        <v/>
      </c>
      <c r="Y293" s="24"/>
    </row>
    <row r="294" customFormat="false" ht="15" hidden="false" customHeight="false" outlineLevel="0" collapsed="false">
      <c r="A294" s="24"/>
      <c r="B294" s="24"/>
      <c r="C294" s="22"/>
      <c r="D294" s="25"/>
      <c r="E294" s="22"/>
      <c r="F294" s="26"/>
      <c r="G294" s="26"/>
      <c r="H294" s="26"/>
      <c r="I294" s="26"/>
      <c r="J294" s="22"/>
      <c r="K294" s="20" t="n">
        <f aca="false">IF($D294="",0,$C294*$D294)</f>
        <v>0</v>
      </c>
      <c r="L294" s="20" t="n">
        <f aca="false">IF($D294="",0,$F294*$K294)</f>
        <v>0</v>
      </c>
      <c r="M294" s="20" t="n">
        <f aca="false">IF($D294="",0,$G294*$K294)</f>
        <v>0</v>
      </c>
      <c r="N294" s="20" t="n">
        <f aca="false">IF($D294="",0,$H294*$K294)</f>
        <v>0</v>
      </c>
      <c r="O294" s="20" t="n">
        <f aca="false">IF($D294="",0,$I294*$K294*(1-$F294))</f>
        <v>0</v>
      </c>
      <c r="P294" s="20" t="n">
        <f aca="false">IF($D294="",0,$E294*$D294+$L294+$M294+$N294+$O294+$J294*$D294)</f>
        <v>0</v>
      </c>
      <c r="Q294" s="20" t="n">
        <f aca="false">IF($D294="",0,$K294-$P294)</f>
        <v>0</v>
      </c>
      <c r="R294" s="21" t="n">
        <f aca="false">IF($K294=0,0,$Q294/$K294)</f>
        <v>0</v>
      </c>
      <c r="S294" s="20" t="n">
        <f aca="false">IF($D294="",0,$K294-$L294-$M294-$N294)</f>
        <v>0</v>
      </c>
      <c r="T294" s="22"/>
      <c r="U294" s="20" t="n">
        <f aca="false">IF($T294="",0,MAX(0,$S294-$T294))</f>
        <v>0</v>
      </c>
      <c r="V294" s="21" t="n">
        <f aca="false">IF($S294=0,0,$U294/$S294)</f>
        <v>0</v>
      </c>
      <c r="W294" s="23" t="str">
        <f aca="false">IF($D294="","",IF($T294="","BEKLİYOR",IF(OR($U294=0,$S294=0),"DOĞRU",IF(AND($V294&gt;PazaryeriEksikHakedisEsik,$U294&gt;PazaryeriEksikHakedisTutarEsik),"EKSİK HAKEDİŞ","DOĞRU"))))</f>
        <v/>
      </c>
      <c r="X294" s="23" t="str">
        <f aca="false">IF($B294="","",CONCATENATE("Ürün: ",$B294," | Kâr: ",TEXT($Q294,"₺ #,##0")," | Durum: ",$W294))</f>
        <v/>
      </c>
      <c r="Y294" s="24"/>
    </row>
    <row r="295" customFormat="false" ht="15" hidden="false" customHeight="false" outlineLevel="0" collapsed="false">
      <c r="A295" s="24"/>
      <c r="B295" s="24"/>
      <c r="C295" s="22"/>
      <c r="D295" s="25"/>
      <c r="E295" s="22"/>
      <c r="F295" s="26"/>
      <c r="G295" s="26"/>
      <c r="H295" s="26"/>
      <c r="I295" s="26"/>
      <c r="J295" s="22"/>
      <c r="K295" s="20" t="n">
        <f aca="false">IF($D295="",0,$C295*$D295)</f>
        <v>0</v>
      </c>
      <c r="L295" s="20" t="n">
        <f aca="false">IF($D295="",0,$F295*$K295)</f>
        <v>0</v>
      </c>
      <c r="M295" s="20" t="n">
        <f aca="false">IF($D295="",0,$G295*$K295)</f>
        <v>0</v>
      </c>
      <c r="N295" s="20" t="n">
        <f aca="false">IF($D295="",0,$H295*$K295)</f>
        <v>0</v>
      </c>
      <c r="O295" s="20" t="n">
        <f aca="false">IF($D295="",0,$I295*$K295*(1-$F295))</f>
        <v>0</v>
      </c>
      <c r="P295" s="20" t="n">
        <f aca="false">IF($D295="",0,$E295*$D295+$L295+$M295+$N295+$O295+$J295*$D295)</f>
        <v>0</v>
      </c>
      <c r="Q295" s="20" t="n">
        <f aca="false">IF($D295="",0,$K295-$P295)</f>
        <v>0</v>
      </c>
      <c r="R295" s="21" t="n">
        <f aca="false">IF($K295=0,0,$Q295/$K295)</f>
        <v>0</v>
      </c>
      <c r="S295" s="20" t="n">
        <f aca="false">IF($D295="",0,$K295-$L295-$M295-$N295)</f>
        <v>0</v>
      </c>
      <c r="T295" s="22"/>
      <c r="U295" s="20" t="n">
        <f aca="false">IF($T295="",0,MAX(0,$S295-$T295))</f>
        <v>0</v>
      </c>
      <c r="V295" s="21" t="n">
        <f aca="false">IF($S295=0,0,$U295/$S295)</f>
        <v>0</v>
      </c>
      <c r="W295" s="23" t="str">
        <f aca="false">IF($D295="","",IF($T295="","BEKLİYOR",IF(OR($U295=0,$S295=0),"DOĞRU",IF(AND($V295&gt;PazaryeriEksikHakedisEsik,$U295&gt;PazaryeriEksikHakedisTutarEsik),"EKSİK HAKEDİŞ","DOĞRU"))))</f>
        <v/>
      </c>
      <c r="X295" s="23" t="str">
        <f aca="false">IF($B295="","",CONCATENATE("Ürün: ",$B295," | Kâr: ",TEXT($Q295,"₺ #,##0")," | Durum: ",$W295))</f>
        <v/>
      </c>
      <c r="Y295" s="24"/>
    </row>
    <row r="296" customFormat="false" ht="15" hidden="false" customHeight="false" outlineLevel="0" collapsed="false">
      <c r="A296" s="24"/>
      <c r="B296" s="24"/>
      <c r="C296" s="22"/>
      <c r="D296" s="25"/>
      <c r="E296" s="22"/>
      <c r="F296" s="26"/>
      <c r="G296" s="26"/>
      <c r="H296" s="26"/>
      <c r="I296" s="26"/>
      <c r="J296" s="22"/>
      <c r="K296" s="20" t="n">
        <f aca="false">IF($D296="",0,$C296*$D296)</f>
        <v>0</v>
      </c>
      <c r="L296" s="20" t="n">
        <f aca="false">IF($D296="",0,$F296*$K296)</f>
        <v>0</v>
      </c>
      <c r="M296" s="20" t="n">
        <f aca="false">IF($D296="",0,$G296*$K296)</f>
        <v>0</v>
      </c>
      <c r="N296" s="20" t="n">
        <f aca="false">IF($D296="",0,$H296*$K296)</f>
        <v>0</v>
      </c>
      <c r="O296" s="20" t="n">
        <f aca="false">IF($D296="",0,$I296*$K296*(1-$F296))</f>
        <v>0</v>
      </c>
      <c r="P296" s="20" t="n">
        <f aca="false">IF($D296="",0,$E296*$D296+$L296+$M296+$N296+$O296+$J296*$D296)</f>
        <v>0</v>
      </c>
      <c r="Q296" s="20" t="n">
        <f aca="false">IF($D296="",0,$K296-$P296)</f>
        <v>0</v>
      </c>
      <c r="R296" s="21" t="n">
        <f aca="false">IF($K296=0,0,$Q296/$K296)</f>
        <v>0</v>
      </c>
      <c r="S296" s="20" t="n">
        <f aca="false">IF($D296="",0,$K296-$L296-$M296-$N296)</f>
        <v>0</v>
      </c>
      <c r="T296" s="22"/>
      <c r="U296" s="20" t="n">
        <f aca="false">IF($T296="",0,MAX(0,$S296-$T296))</f>
        <v>0</v>
      </c>
      <c r="V296" s="21" t="n">
        <f aca="false">IF($S296=0,0,$U296/$S296)</f>
        <v>0</v>
      </c>
      <c r="W296" s="23" t="str">
        <f aca="false">IF($D296="","",IF($T296="","BEKLİYOR",IF(OR($U296=0,$S296=0),"DOĞRU",IF(AND($V296&gt;PazaryeriEksikHakedisEsik,$U296&gt;PazaryeriEksikHakedisTutarEsik),"EKSİK HAKEDİŞ","DOĞRU"))))</f>
        <v/>
      </c>
      <c r="X296" s="23" t="str">
        <f aca="false">IF($B296="","",CONCATENATE("Ürün: ",$B296," | Kâr: ",TEXT($Q296,"₺ #,##0")," | Durum: ",$W296))</f>
        <v/>
      </c>
      <c r="Y296" s="24"/>
    </row>
    <row r="297" customFormat="false" ht="15" hidden="false" customHeight="false" outlineLevel="0" collapsed="false">
      <c r="A297" s="24"/>
      <c r="B297" s="24"/>
      <c r="C297" s="22"/>
      <c r="D297" s="25"/>
      <c r="E297" s="22"/>
      <c r="F297" s="26"/>
      <c r="G297" s="26"/>
      <c r="H297" s="26"/>
      <c r="I297" s="26"/>
      <c r="J297" s="22"/>
      <c r="K297" s="20" t="n">
        <f aca="false">IF($D297="",0,$C297*$D297)</f>
        <v>0</v>
      </c>
      <c r="L297" s="20" t="n">
        <f aca="false">IF($D297="",0,$F297*$K297)</f>
        <v>0</v>
      </c>
      <c r="M297" s="20" t="n">
        <f aca="false">IF($D297="",0,$G297*$K297)</f>
        <v>0</v>
      </c>
      <c r="N297" s="20" t="n">
        <f aca="false">IF($D297="",0,$H297*$K297)</f>
        <v>0</v>
      </c>
      <c r="O297" s="20" t="n">
        <f aca="false">IF($D297="",0,$I297*$K297*(1-$F297))</f>
        <v>0</v>
      </c>
      <c r="P297" s="20" t="n">
        <f aca="false">IF($D297="",0,$E297*$D297+$L297+$M297+$N297+$O297+$J297*$D297)</f>
        <v>0</v>
      </c>
      <c r="Q297" s="20" t="n">
        <f aca="false">IF($D297="",0,$K297-$P297)</f>
        <v>0</v>
      </c>
      <c r="R297" s="21" t="n">
        <f aca="false">IF($K297=0,0,$Q297/$K297)</f>
        <v>0</v>
      </c>
      <c r="S297" s="20" t="n">
        <f aca="false">IF($D297="",0,$K297-$L297-$M297-$N297)</f>
        <v>0</v>
      </c>
      <c r="T297" s="22"/>
      <c r="U297" s="20" t="n">
        <f aca="false">IF($T297="",0,MAX(0,$S297-$T297))</f>
        <v>0</v>
      </c>
      <c r="V297" s="21" t="n">
        <f aca="false">IF($S297=0,0,$U297/$S297)</f>
        <v>0</v>
      </c>
      <c r="W297" s="23" t="str">
        <f aca="false">IF($D297="","",IF($T297="","BEKLİYOR",IF(OR($U297=0,$S297=0),"DOĞRU",IF(AND($V297&gt;PazaryeriEksikHakedisEsik,$U297&gt;PazaryeriEksikHakedisTutarEsik),"EKSİK HAKEDİŞ","DOĞRU"))))</f>
        <v/>
      </c>
      <c r="X297" s="23" t="str">
        <f aca="false">IF($B297="","",CONCATENATE("Ürün: ",$B297," | Kâr: ",TEXT($Q297,"₺ #,##0")," | Durum: ",$W297))</f>
        <v/>
      </c>
      <c r="Y297" s="24"/>
    </row>
    <row r="298" customFormat="false" ht="15" hidden="false" customHeight="false" outlineLevel="0" collapsed="false">
      <c r="A298" s="24"/>
      <c r="B298" s="24"/>
      <c r="C298" s="22"/>
      <c r="D298" s="25"/>
      <c r="E298" s="22"/>
      <c r="F298" s="26"/>
      <c r="G298" s="26"/>
      <c r="H298" s="26"/>
      <c r="I298" s="26"/>
      <c r="J298" s="22"/>
      <c r="K298" s="20" t="n">
        <f aca="false">IF($D298="",0,$C298*$D298)</f>
        <v>0</v>
      </c>
      <c r="L298" s="20" t="n">
        <f aca="false">IF($D298="",0,$F298*$K298)</f>
        <v>0</v>
      </c>
      <c r="M298" s="20" t="n">
        <f aca="false">IF($D298="",0,$G298*$K298)</f>
        <v>0</v>
      </c>
      <c r="N298" s="20" t="n">
        <f aca="false">IF($D298="",0,$H298*$K298)</f>
        <v>0</v>
      </c>
      <c r="O298" s="20" t="n">
        <f aca="false">IF($D298="",0,$I298*$K298*(1-$F298))</f>
        <v>0</v>
      </c>
      <c r="P298" s="20" t="n">
        <f aca="false">IF($D298="",0,$E298*$D298+$L298+$M298+$N298+$O298+$J298*$D298)</f>
        <v>0</v>
      </c>
      <c r="Q298" s="20" t="n">
        <f aca="false">IF($D298="",0,$K298-$P298)</f>
        <v>0</v>
      </c>
      <c r="R298" s="21" t="n">
        <f aca="false">IF($K298=0,0,$Q298/$K298)</f>
        <v>0</v>
      </c>
      <c r="S298" s="20" t="n">
        <f aca="false">IF($D298="",0,$K298-$L298-$M298-$N298)</f>
        <v>0</v>
      </c>
      <c r="T298" s="22"/>
      <c r="U298" s="20" t="n">
        <f aca="false">IF($T298="",0,MAX(0,$S298-$T298))</f>
        <v>0</v>
      </c>
      <c r="V298" s="21" t="n">
        <f aca="false">IF($S298=0,0,$U298/$S298)</f>
        <v>0</v>
      </c>
      <c r="W298" s="23" t="str">
        <f aca="false">IF($D298="","",IF($T298="","BEKLİYOR",IF(OR($U298=0,$S298=0),"DOĞRU",IF(AND($V298&gt;PazaryeriEksikHakedisEsik,$U298&gt;PazaryeriEksikHakedisTutarEsik),"EKSİK HAKEDİŞ","DOĞRU"))))</f>
        <v/>
      </c>
      <c r="X298" s="23" t="str">
        <f aca="false">IF($B298="","",CONCATENATE("Ürün: ",$B298," | Kâr: ",TEXT($Q298,"₺ #,##0")," | Durum: ",$W298))</f>
        <v/>
      </c>
      <c r="Y298" s="24"/>
    </row>
    <row r="299" customFormat="false" ht="15" hidden="false" customHeight="false" outlineLevel="0" collapsed="false">
      <c r="A299" s="24"/>
      <c r="B299" s="24"/>
      <c r="C299" s="22"/>
      <c r="D299" s="25"/>
      <c r="E299" s="22"/>
      <c r="F299" s="26"/>
      <c r="G299" s="26"/>
      <c r="H299" s="26"/>
      <c r="I299" s="26"/>
      <c r="J299" s="22"/>
      <c r="K299" s="20" t="n">
        <f aca="false">IF($D299="",0,$C299*$D299)</f>
        <v>0</v>
      </c>
      <c r="L299" s="20" t="n">
        <f aca="false">IF($D299="",0,$F299*$K299)</f>
        <v>0</v>
      </c>
      <c r="M299" s="20" t="n">
        <f aca="false">IF($D299="",0,$G299*$K299)</f>
        <v>0</v>
      </c>
      <c r="N299" s="20" t="n">
        <f aca="false">IF($D299="",0,$H299*$K299)</f>
        <v>0</v>
      </c>
      <c r="O299" s="20" t="n">
        <f aca="false">IF($D299="",0,$I299*$K299*(1-$F299))</f>
        <v>0</v>
      </c>
      <c r="P299" s="20" t="n">
        <f aca="false">IF($D299="",0,$E299*$D299+$L299+$M299+$N299+$O299+$J299*$D299)</f>
        <v>0</v>
      </c>
      <c r="Q299" s="20" t="n">
        <f aca="false">IF($D299="",0,$K299-$P299)</f>
        <v>0</v>
      </c>
      <c r="R299" s="21" t="n">
        <f aca="false">IF($K299=0,0,$Q299/$K299)</f>
        <v>0</v>
      </c>
      <c r="S299" s="20" t="n">
        <f aca="false">IF($D299="",0,$K299-$L299-$M299-$N299)</f>
        <v>0</v>
      </c>
      <c r="T299" s="22"/>
      <c r="U299" s="20" t="n">
        <f aca="false">IF($T299="",0,MAX(0,$S299-$T299))</f>
        <v>0</v>
      </c>
      <c r="V299" s="21" t="n">
        <f aca="false">IF($S299=0,0,$U299/$S299)</f>
        <v>0</v>
      </c>
      <c r="W299" s="23" t="str">
        <f aca="false">IF($D299="","",IF($T299="","BEKLİYOR",IF(OR($U299=0,$S299=0),"DOĞRU",IF(AND($V299&gt;PazaryeriEksikHakedisEsik,$U299&gt;PazaryeriEksikHakedisTutarEsik),"EKSİK HAKEDİŞ","DOĞRU"))))</f>
        <v/>
      </c>
      <c r="X299" s="23" t="str">
        <f aca="false">IF($B299="","",CONCATENATE("Ürün: ",$B299," | Kâr: ",TEXT($Q299,"₺ #,##0")," | Durum: ",$W299))</f>
        <v/>
      </c>
      <c r="Y299" s="24"/>
    </row>
    <row r="300" customFormat="false" ht="15" hidden="false" customHeight="false" outlineLevel="0" collapsed="false">
      <c r="A300" s="24"/>
      <c r="B300" s="24"/>
      <c r="C300" s="22"/>
      <c r="D300" s="25"/>
      <c r="E300" s="22"/>
      <c r="F300" s="26"/>
      <c r="G300" s="26"/>
      <c r="H300" s="26"/>
      <c r="I300" s="26"/>
      <c r="J300" s="22"/>
      <c r="K300" s="20" t="n">
        <f aca="false">IF($D300="",0,$C300*$D300)</f>
        <v>0</v>
      </c>
      <c r="L300" s="20" t="n">
        <f aca="false">IF($D300="",0,$F300*$K300)</f>
        <v>0</v>
      </c>
      <c r="M300" s="20" t="n">
        <f aca="false">IF($D300="",0,$G300*$K300)</f>
        <v>0</v>
      </c>
      <c r="N300" s="20" t="n">
        <f aca="false">IF($D300="",0,$H300*$K300)</f>
        <v>0</v>
      </c>
      <c r="O300" s="20" t="n">
        <f aca="false">IF($D300="",0,$I300*$K300*(1-$F300))</f>
        <v>0</v>
      </c>
      <c r="P300" s="20" t="n">
        <f aca="false">IF($D300="",0,$E300*$D300+$L300+$M300+$N300+$O300+$J300*$D300)</f>
        <v>0</v>
      </c>
      <c r="Q300" s="20" t="n">
        <f aca="false">IF($D300="",0,$K300-$P300)</f>
        <v>0</v>
      </c>
      <c r="R300" s="21" t="n">
        <f aca="false">IF($K300=0,0,$Q300/$K300)</f>
        <v>0</v>
      </c>
      <c r="S300" s="20" t="n">
        <f aca="false">IF($D300="",0,$K300-$L300-$M300-$N300)</f>
        <v>0</v>
      </c>
      <c r="T300" s="22"/>
      <c r="U300" s="20" t="n">
        <f aca="false">IF($T300="",0,MAX(0,$S300-$T300))</f>
        <v>0</v>
      </c>
      <c r="V300" s="21" t="n">
        <f aca="false">IF($S300=0,0,$U300/$S300)</f>
        <v>0</v>
      </c>
      <c r="W300" s="23" t="str">
        <f aca="false">IF($D300="","",IF($T300="","BEKLİYOR",IF(OR($U300=0,$S300=0),"DOĞRU",IF(AND($V300&gt;PazaryeriEksikHakedisEsik,$U300&gt;PazaryeriEksikHakedisTutarEsik),"EKSİK HAKEDİŞ","DOĞRU"))))</f>
        <v/>
      </c>
      <c r="X300" s="23" t="str">
        <f aca="false">IF($B300="","",CONCATENATE("Ürün: ",$B300," | Kâr: ",TEXT($Q300,"₺ #,##0")," | Durum: ",$W300))</f>
        <v/>
      </c>
      <c r="Y300" s="24"/>
    </row>
    <row r="301" customFormat="false" ht="15" hidden="false" customHeight="false" outlineLevel="0" collapsed="false">
      <c r="A301" s="24"/>
      <c r="B301" s="24"/>
      <c r="C301" s="22"/>
      <c r="D301" s="25"/>
      <c r="E301" s="22"/>
      <c r="F301" s="26"/>
      <c r="G301" s="26"/>
      <c r="H301" s="26"/>
      <c r="I301" s="26"/>
      <c r="J301" s="22"/>
      <c r="K301" s="20" t="n">
        <f aca="false">IF($D301="",0,$C301*$D301)</f>
        <v>0</v>
      </c>
      <c r="L301" s="20" t="n">
        <f aca="false">IF($D301="",0,$F301*$K301)</f>
        <v>0</v>
      </c>
      <c r="M301" s="20" t="n">
        <f aca="false">IF($D301="",0,$G301*$K301)</f>
        <v>0</v>
      </c>
      <c r="N301" s="20" t="n">
        <f aca="false">IF($D301="",0,$H301*$K301)</f>
        <v>0</v>
      </c>
      <c r="O301" s="20" t="n">
        <f aca="false">IF($D301="",0,$I301*$K301*(1-$F301))</f>
        <v>0</v>
      </c>
      <c r="P301" s="20" t="n">
        <f aca="false">IF($D301="",0,$E301*$D301+$L301+$M301+$N301+$O301+$J301*$D301)</f>
        <v>0</v>
      </c>
      <c r="Q301" s="20" t="n">
        <f aca="false">IF($D301="",0,$K301-$P301)</f>
        <v>0</v>
      </c>
      <c r="R301" s="21" t="n">
        <f aca="false">IF($K301=0,0,$Q301/$K301)</f>
        <v>0</v>
      </c>
      <c r="S301" s="20" t="n">
        <f aca="false">IF($D301="",0,$K301-$L301-$M301-$N301)</f>
        <v>0</v>
      </c>
      <c r="T301" s="22"/>
      <c r="U301" s="20" t="n">
        <f aca="false">IF($T301="",0,MAX(0,$S301-$T301))</f>
        <v>0</v>
      </c>
      <c r="V301" s="21" t="n">
        <f aca="false">IF($S301=0,0,$U301/$S301)</f>
        <v>0</v>
      </c>
      <c r="W301" s="23" t="str">
        <f aca="false">IF($D301="","",IF($T301="","BEKLİYOR",IF(OR($U301=0,$S301=0),"DOĞRU",IF(AND($V301&gt;PazaryeriEksikHakedisEsik,$U301&gt;PazaryeriEksikHakedisTutarEsik),"EKSİK HAKEDİŞ","DOĞRU"))))</f>
        <v/>
      </c>
      <c r="X301" s="23" t="str">
        <f aca="false">IF($B301="","",CONCATENATE("Ürün: ",$B301," | Kâr: ",TEXT($Q301,"₺ #,##0")," | Durum: ",$W301))</f>
        <v/>
      </c>
      <c r="Y301" s="24"/>
    </row>
    <row r="302" customFormat="false" ht="15" hidden="false" customHeight="false" outlineLevel="0" collapsed="false">
      <c r="A302" s="24"/>
      <c r="B302" s="24"/>
      <c r="C302" s="22"/>
      <c r="D302" s="25"/>
      <c r="E302" s="22"/>
      <c r="F302" s="26"/>
      <c r="G302" s="26"/>
      <c r="H302" s="26"/>
      <c r="I302" s="26"/>
      <c r="J302" s="22"/>
      <c r="K302" s="20" t="n">
        <f aca="false">IF($D302="",0,$C302*$D302)</f>
        <v>0</v>
      </c>
      <c r="L302" s="20" t="n">
        <f aca="false">IF($D302="",0,$F302*$K302)</f>
        <v>0</v>
      </c>
      <c r="M302" s="20" t="n">
        <f aca="false">IF($D302="",0,$G302*$K302)</f>
        <v>0</v>
      </c>
      <c r="N302" s="20" t="n">
        <f aca="false">IF($D302="",0,$H302*$K302)</f>
        <v>0</v>
      </c>
      <c r="O302" s="20" t="n">
        <f aca="false">IF($D302="",0,$I302*$K302*(1-$F302))</f>
        <v>0</v>
      </c>
      <c r="P302" s="20" t="n">
        <f aca="false">IF($D302="",0,$E302*$D302+$L302+$M302+$N302+$O302+$J302*$D302)</f>
        <v>0</v>
      </c>
      <c r="Q302" s="20" t="n">
        <f aca="false">IF($D302="",0,$K302-$P302)</f>
        <v>0</v>
      </c>
      <c r="R302" s="21" t="n">
        <f aca="false">IF($K302=0,0,$Q302/$K302)</f>
        <v>0</v>
      </c>
      <c r="S302" s="20" t="n">
        <f aca="false">IF($D302="",0,$K302-$L302-$M302-$N302)</f>
        <v>0</v>
      </c>
      <c r="T302" s="22"/>
      <c r="U302" s="20" t="n">
        <f aca="false">IF($T302="",0,MAX(0,$S302-$T302))</f>
        <v>0</v>
      </c>
      <c r="V302" s="21" t="n">
        <f aca="false">IF($S302=0,0,$U302/$S302)</f>
        <v>0</v>
      </c>
      <c r="W302" s="23" t="str">
        <f aca="false">IF($D302="","",IF($T302="","BEKLİYOR",IF(OR($U302=0,$S302=0),"DOĞRU",IF(AND($V302&gt;PazaryeriEksikHakedisEsik,$U302&gt;PazaryeriEksikHakedisTutarEsik),"EKSİK HAKEDİŞ","DOĞRU"))))</f>
        <v/>
      </c>
      <c r="X302" s="23" t="str">
        <f aca="false">IF($B302="","",CONCATENATE("Ürün: ",$B302," | Kâr: ",TEXT($Q302,"₺ #,##0")," | Durum: ",$W302))</f>
        <v/>
      </c>
      <c r="Y302" s="24"/>
    </row>
    <row r="303" customFormat="false" ht="15" hidden="false" customHeight="false" outlineLevel="0" collapsed="false">
      <c r="A303" s="24"/>
      <c r="B303" s="24"/>
      <c r="C303" s="22"/>
      <c r="D303" s="25"/>
      <c r="E303" s="22"/>
      <c r="F303" s="26"/>
      <c r="G303" s="26"/>
      <c r="H303" s="26"/>
      <c r="I303" s="26"/>
      <c r="J303" s="22"/>
      <c r="K303" s="20" t="n">
        <f aca="false">IF($D303="",0,$C303*$D303)</f>
        <v>0</v>
      </c>
      <c r="L303" s="20" t="n">
        <f aca="false">IF($D303="",0,$F303*$K303)</f>
        <v>0</v>
      </c>
      <c r="M303" s="20" t="n">
        <f aca="false">IF($D303="",0,$G303*$K303)</f>
        <v>0</v>
      </c>
      <c r="N303" s="20" t="n">
        <f aca="false">IF($D303="",0,$H303*$K303)</f>
        <v>0</v>
      </c>
      <c r="O303" s="20" t="n">
        <f aca="false">IF($D303="",0,$I303*$K303*(1-$F303))</f>
        <v>0</v>
      </c>
      <c r="P303" s="20" t="n">
        <f aca="false">IF($D303="",0,$E303*$D303+$L303+$M303+$N303+$O303+$J303*$D303)</f>
        <v>0</v>
      </c>
      <c r="Q303" s="20" t="n">
        <f aca="false">IF($D303="",0,$K303-$P303)</f>
        <v>0</v>
      </c>
      <c r="R303" s="21" t="n">
        <f aca="false">IF($K303=0,0,$Q303/$K303)</f>
        <v>0</v>
      </c>
      <c r="S303" s="20" t="n">
        <f aca="false">IF($D303="",0,$K303-$L303-$M303-$N303)</f>
        <v>0</v>
      </c>
      <c r="T303" s="22"/>
      <c r="U303" s="20" t="n">
        <f aca="false">IF($T303="",0,MAX(0,$S303-$T303))</f>
        <v>0</v>
      </c>
      <c r="V303" s="21" t="n">
        <f aca="false">IF($S303=0,0,$U303/$S303)</f>
        <v>0</v>
      </c>
      <c r="W303" s="23" t="str">
        <f aca="false">IF($D303="","",IF($T303="","BEKLİYOR",IF(OR($U303=0,$S303=0),"DOĞRU",IF(AND($V303&gt;PazaryeriEksikHakedisEsik,$U303&gt;PazaryeriEksikHakedisTutarEsik),"EKSİK HAKEDİŞ","DOĞRU"))))</f>
        <v/>
      </c>
      <c r="X303" s="23" t="str">
        <f aca="false">IF($B303="","",CONCATENATE("Ürün: ",$B303," | Kâr: ",TEXT($Q303,"₺ #,##0")," | Durum: ",$W303))</f>
        <v/>
      </c>
      <c r="Y303" s="24"/>
    </row>
    <row r="304" customFormat="false" ht="15" hidden="false" customHeight="false" outlineLevel="0" collapsed="false">
      <c r="A304" s="24"/>
      <c r="B304" s="24"/>
      <c r="C304" s="22"/>
      <c r="D304" s="25"/>
      <c r="E304" s="22"/>
      <c r="F304" s="26"/>
      <c r="G304" s="26"/>
      <c r="H304" s="26"/>
      <c r="I304" s="26"/>
      <c r="J304" s="22"/>
      <c r="K304" s="20" t="n">
        <f aca="false">IF($D304="",0,$C304*$D304)</f>
        <v>0</v>
      </c>
      <c r="L304" s="20" t="n">
        <f aca="false">IF($D304="",0,$F304*$K304)</f>
        <v>0</v>
      </c>
      <c r="M304" s="20" t="n">
        <f aca="false">IF($D304="",0,$G304*$K304)</f>
        <v>0</v>
      </c>
      <c r="N304" s="20" t="n">
        <f aca="false">IF($D304="",0,$H304*$K304)</f>
        <v>0</v>
      </c>
      <c r="O304" s="20" t="n">
        <f aca="false">IF($D304="",0,$I304*$K304*(1-$F304))</f>
        <v>0</v>
      </c>
      <c r="P304" s="20" t="n">
        <f aca="false">IF($D304="",0,$E304*$D304+$L304+$M304+$N304+$O304+$J304*$D304)</f>
        <v>0</v>
      </c>
      <c r="Q304" s="20" t="n">
        <f aca="false">IF($D304="",0,$K304-$P304)</f>
        <v>0</v>
      </c>
      <c r="R304" s="21" t="n">
        <f aca="false">IF($K304=0,0,$Q304/$K304)</f>
        <v>0</v>
      </c>
      <c r="S304" s="20" t="n">
        <f aca="false">IF($D304="",0,$K304-$L304-$M304-$N304)</f>
        <v>0</v>
      </c>
      <c r="T304" s="22"/>
      <c r="U304" s="20" t="n">
        <f aca="false">IF($T304="",0,MAX(0,$S304-$T304))</f>
        <v>0</v>
      </c>
      <c r="V304" s="21" t="n">
        <f aca="false">IF($S304=0,0,$U304/$S304)</f>
        <v>0</v>
      </c>
      <c r="W304" s="23" t="str">
        <f aca="false">IF($D304="","",IF($T304="","BEKLİYOR",IF(OR($U304=0,$S304=0),"DOĞRU",IF(AND($V304&gt;PazaryeriEksikHakedisEsik,$U304&gt;PazaryeriEksikHakedisTutarEsik),"EKSİK HAKEDİŞ","DOĞRU"))))</f>
        <v/>
      </c>
      <c r="X304" s="23" t="str">
        <f aca="false">IF($B304="","",CONCATENATE("Ürün: ",$B304," | Kâr: ",TEXT($Q304,"₺ #,##0")," | Durum: ",$W304))</f>
        <v/>
      </c>
      <c r="Y304" s="24"/>
    </row>
    <row r="305" customFormat="false" ht="15" hidden="false" customHeight="false" outlineLevel="0" collapsed="false">
      <c r="A305" s="24"/>
      <c r="B305" s="24"/>
      <c r="C305" s="22"/>
      <c r="D305" s="25"/>
      <c r="E305" s="22"/>
      <c r="F305" s="26"/>
      <c r="G305" s="26"/>
      <c r="H305" s="26"/>
      <c r="I305" s="26"/>
      <c r="J305" s="22"/>
      <c r="K305" s="20" t="n">
        <f aca="false">IF($D305="",0,$C305*$D305)</f>
        <v>0</v>
      </c>
      <c r="L305" s="20" t="n">
        <f aca="false">IF($D305="",0,$F305*$K305)</f>
        <v>0</v>
      </c>
      <c r="M305" s="20" t="n">
        <f aca="false">IF($D305="",0,$G305*$K305)</f>
        <v>0</v>
      </c>
      <c r="N305" s="20" t="n">
        <f aca="false">IF($D305="",0,$H305*$K305)</f>
        <v>0</v>
      </c>
      <c r="O305" s="20" t="n">
        <f aca="false">IF($D305="",0,$I305*$K305*(1-$F305))</f>
        <v>0</v>
      </c>
      <c r="P305" s="20" t="n">
        <f aca="false">IF($D305="",0,$E305*$D305+$L305+$M305+$N305+$O305+$J305*$D305)</f>
        <v>0</v>
      </c>
      <c r="Q305" s="20" t="n">
        <f aca="false">IF($D305="",0,$K305-$P305)</f>
        <v>0</v>
      </c>
      <c r="R305" s="21" t="n">
        <f aca="false">IF($K305=0,0,$Q305/$K305)</f>
        <v>0</v>
      </c>
      <c r="S305" s="20" t="n">
        <f aca="false">IF($D305="",0,$K305-$L305-$M305-$N305)</f>
        <v>0</v>
      </c>
      <c r="T305" s="22"/>
      <c r="U305" s="20" t="n">
        <f aca="false">IF($T305="",0,MAX(0,$S305-$T305))</f>
        <v>0</v>
      </c>
      <c r="V305" s="21" t="n">
        <f aca="false">IF($S305=0,0,$U305/$S305)</f>
        <v>0</v>
      </c>
      <c r="W305" s="23" t="str">
        <f aca="false">IF($D305="","",IF($T305="","BEKLİYOR",IF(OR($U305=0,$S305=0),"DOĞRU",IF(AND($V305&gt;PazaryeriEksikHakedisEsik,$U305&gt;PazaryeriEksikHakedisTutarEsik),"EKSİK HAKEDİŞ","DOĞRU"))))</f>
        <v/>
      </c>
      <c r="X305" s="23" t="str">
        <f aca="false">IF($B305="","",CONCATENATE("Ürün: ",$B305," | Kâr: ",TEXT($Q305,"₺ #,##0")," | Durum: ",$W305))</f>
        <v/>
      </c>
      <c r="Y305" s="24"/>
    </row>
    <row r="306" customFormat="false" ht="15" hidden="false" customHeight="false" outlineLevel="0" collapsed="false">
      <c r="A306" s="24"/>
      <c r="B306" s="24"/>
      <c r="C306" s="22"/>
      <c r="D306" s="25"/>
      <c r="E306" s="22"/>
      <c r="F306" s="26"/>
      <c r="G306" s="26"/>
      <c r="H306" s="26"/>
      <c r="I306" s="26"/>
      <c r="J306" s="22"/>
      <c r="K306" s="20" t="n">
        <f aca="false">IF($D306="",0,$C306*$D306)</f>
        <v>0</v>
      </c>
      <c r="L306" s="20" t="n">
        <f aca="false">IF($D306="",0,$F306*$K306)</f>
        <v>0</v>
      </c>
      <c r="M306" s="20" t="n">
        <f aca="false">IF($D306="",0,$G306*$K306)</f>
        <v>0</v>
      </c>
      <c r="N306" s="20" t="n">
        <f aca="false">IF($D306="",0,$H306*$K306)</f>
        <v>0</v>
      </c>
      <c r="O306" s="20" t="n">
        <f aca="false">IF($D306="",0,$I306*$K306*(1-$F306))</f>
        <v>0</v>
      </c>
      <c r="P306" s="20" t="n">
        <f aca="false">IF($D306="",0,$E306*$D306+$L306+$M306+$N306+$O306+$J306*$D306)</f>
        <v>0</v>
      </c>
      <c r="Q306" s="20" t="n">
        <f aca="false">IF($D306="",0,$K306-$P306)</f>
        <v>0</v>
      </c>
      <c r="R306" s="21" t="n">
        <f aca="false">IF($K306=0,0,$Q306/$K306)</f>
        <v>0</v>
      </c>
      <c r="S306" s="20" t="n">
        <f aca="false">IF($D306="",0,$K306-$L306-$M306-$N306)</f>
        <v>0</v>
      </c>
      <c r="T306" s="22"/>
      <c r="U306" s="20" t="n">
        <f aca="false">IF($T306="",0,MAX(0,$S306-$T306))</f>
        <v>0</v>
      </c>
      <c r="V306" s="21" t="n">
        <f aca="false">IF($S306=0,0,$U306/$S306)</f>
        <v>0</v>
      </c>
      <c r="W306" s="23" t="str">
        <f aca="false">IF($D306="","",IF($T306="","BEKLİYOR",IF(OR($U306=0,$S306=0),"DOĞRU",IF(AND($V306&gt;PazaryeriEksikHakedisEsik,$U306&gt;PazaryeriEksikHakedisTutarEsik),"EKSİK HAKEDİŞ","DOĞRU"))))</f>
        <v/>
      </c>
      <c r="X306" s="23" t="str">
        <f aca="false">IF($B306="","",CONCATENATE("Ürün: ",$B306," | Kâr: ",TEXT($Q306,"₺ #,##0")," | Durum: ",$W306))</f>
        <v/>
      </c>
      <c r="Y306" s="24"/>
    </row>
    <row r="307" customFormat="false" ht="15" hidden="false" customHeight="false" outlineLevel="0" collapsed="false">
      <c r="A307" s="24"/>
      <c r="B307" s="24"/>
      <c r="C307" s="22"/>
      <c r="D307" s="25"/>
      <c r="E307" s="22"/>
      <c r="F307" s="26"/>
      <c r="G307" s="26"/>
      <c r="H307" s="26"/>
      <c r="I307" s="26"/>
      <c r="J307" s="22"/>
      <c r="K307" s="20" t="n">
        <f aca="false">IF($D307="",0,$C307*$D307)</f>
        <v>0</v>
      </c>
      <c r="L307" s="20" t="n">
        <f aca="false">IF($D307="",0,$F307*$K307)</f>
        <v>0</v>
      </c>
      <c r="M307" s="20" t="n">
        <f aca="false">IF($D307="",0,$G307*$K307)</f>
        <v>0</v>
      </c>
      <c r="N307" s="20" t="n">
        <f aca="false">IF($D307="",0,$H307*$K307)</f>
        <v>0</v>
      </c>
      <c r="O307" s="20" t="n">
        <f aca="false">IF($D307="",0,$I307*$K307*(1-$F307))</f>
        <v>0</v>
      </c>
      <c r="P307" s="20" t="n">
        <f aca="false">IF($D307="",0,$E307*$D307+$L307+$M307+$N307+$O307+$J307*$D307)</f>
        <v>0</v>
      </c>
      <c r="Q307" s="20" t="n">
        <f aca="false">IF($D307="",0,$K307-$P307)</f>
        <v>0</v>
      </c>
      <c r="R307" s="21" t="n">
        <f aca="false">IF($K307=0,0,$Q307/$K307)</f>
        <v>0</v>
      </c>
      <c r="S307" s="20" t="n">
        <f aca="false">IF($D307="",0,$K307-$L307-$M307-$N307)</f>
        <v>0</v>
      </c>
      <c r="T307" s="22"/>
      <c r="U307" s="20" t="n">
        <f aca="false">IF($T307="",0,MAX(0,$S307-$T307))</f>
        <v>0</v>
      </c>
      <c r="V307" s="21" t="n">
        <f aca="false">IF($S307=0,0,$U307/$S307)</f>
        <v>0</v>
      </c>
      <c r="W307" s="23" t="str">
        <f aca="false">IF($D307="","",IF($T307="","BEKLİYOR",IF(OR($U307=0,$S307=0),"DOĞRU",IF(AND($V307&gt;PazaryeriEksikHakedisEsik,$U307&gt;PazaryeriEksikHakedisTutarEsik),"EKSİK HAKEDİŞ","DOĞRU"))))</f>
        <v/>
      </c>
      <c r="X307" s="23" t="str">
        <f aca="false">IF($B307="","",CONCATENATE("Ürün: ",$B307," | Kâr: ",TEXT($Q307,"₺ #,##0")," | Durum: ",$W307))</f>
        <v/>
      </c>
      <c r="Y307" s="24"/>
    </row>
    <row r="308" customFormat="false" ht="15" hidden="false" customHeight="false" outlineLevel="0" collapsed="false">
      <c r="A308" s="24"/>
      <c r="B308" s="24"/>
      <c r="C308" s="22"/>
      <c r="D308" s="25"/>
      <c r="E308" s="22"/>
      <c r="F308" s="26"/>
      <c r="G308" s="26"/>
      <c r="H308" s="26"/>
      <c r="I308" s="26"/>
      <c r="J308" s="22"/>
      <c r="K308" s="20" t="n">
        <f aca="false">IF($D308="",0,$C308*$D308)</f>
        <v>0</v>
      </c>
      <c r="L308" s="20" t="n">
        <f aca="false">IF($D308="",0,$F308*$K308)</f>
        <v>0</v>
      </c>
      <c r="M308" s="20" t="n">
        <f aca="false">IF($D308="",0,$G308*$K308)</f>
        <v>0</v>
      </c>
      <c r="N308" s="20" t="n">
        <f aca="false">IF($D308="",0,$H308*$K308)</f>
        <v>0</v>
      </c>
      <c r="O308" s="20" t="n">
        <f aca="false">IF($D308="",0,$I308*$K308*(1-$F308))</f>
        <v>0</v>
      </c>
      <c r="P308" s="20" t="n">
        <f aca="false">IF($D308="",0,$E308*$D308+$L308+$M308+$N308+$O308+$J308*$D308)</f>
        <v>0</v>
      </c>
      <c r="Q308" s="20" t="n">
        <f aca="false">IF($D308="",0,$K308-$P308)</f>
        <v>0</v>
      </c>
      <c r="R308" s="21" t="n">
        <f aca="false">IF($K308=0,0,$Q308/$K308)</f>
        <v>0</v>
      </c>
      <c r="S308" s="20" t="n">
        <f aca="false">IF($D308="",0,$K308-$L308-$M308-$N308)</f>
        <v>0</v>
      </c>
      <c r="T308" s="22"/>
      <c r="U308" s="20" t="n">
        <f aca="false">IF($T308="",0,MAX(0,$S308-$T308))</f>
        <v>0</v>
      </c>
      <c r="V308" s="21" t="n">
        <f aca="false">IF($S308=0,0,$U308/$S308)</f>
        <v>0</v>
      </c>
      <c r="W308" s="23" t="str">
        <f aca="false">IF($D308="","",IF($T308="","BEKLİYOR",IF(OR($U308=0,$S308=0),"DOĞRU",IF(AND($V308&gt;PazaryeriEksikHakedisEsik,$U308&gt;PazaryeriEksikHakedisTutarEsik),"EKSİK HAKEDİŞ","DOĞRU"))))</f>
        <v/>
      </c>
      <c r="X308" s="23" t="str">
        <f aca="false">IF($B308="","",CONCATENATE("Ürün: ",$B308," | Kâr: ",TEXT($Q308,"₺ #,##0")," | Durum: ",$W308))</f>
        <v/>
      </c>
      <c r="Y308" s="24"/>
    </row>
    <row r="309" customFormat="false" ht="15" hidden="false" customHeight="false" outlineLevel="0" collapsed="false">
      <c r="A309" s="24"/>
      <c r="B309" s="24"/>
      <c r="C309" s="22"/>
      <c r="D309" s="25"/>
      <c r="E309" s="22"/>
      <c r="F309" s="26"/>
      <c r="G309" s="26"/>
      <c r="H309" s="26"/>
      <c r="I309" s="26"/>
      <c r="J309" s="22"/>
      <c r="K309" s="20" t="n">
        <f aca="false">IF($D309="",0,$C309*$D309)</f>
        <v>0</v>
      </c>
      <c r="L309" s="20" t="n">
        <f aca="false">IF($D309="",0,$F309*$K309)</f>
        <v>0</v>
      </c>
      <c r="M309" s="20" t="n">
        <f aca="false">IF($D309="",0,$G309*$K309)</f>
        <v>0</v>
      </c>
      <c r="N309" s="20" t="n">
        <f aca="false">IF($D309="",0,$H309*$K309)</f>
        <v>0</v>
      </c>
      <c r="O309" s="20" t="n">
        <f aca="false">IF($D309="",0,$I309*$K309*(1-$F309))</f>
        <v>0</v>
      </c>
      <c r="P309" s="20" t="n">
        <f aca="false">IF($D309="",0,$E309*$D309+$L309+$M309+$N309+$O309+$J309*$D309)</f>
        <v>0</v>
      </c>
      <c r="Q309" s="20" t="n">
        <f aca="false">IF($D309="",0,$K309-$P309)</f>
        <v>0</v>
      </c>
      <c r="R309" s="21" t="n">
        <f aca="false">IF($K309=0,0,$Q309/$K309)</f>
        <v>0</v>
      </c>
      <c r="S309" s="20" t="n">
        <f aca="false">IF($D309="",0,$K309-$L309-$M309-$N309)</f>
        <v>0</v>
      </c>
      <c r="T309" s="22"/>
      <c r="U309" s="20" t="n">
        <f aca="false">IF($T309="",0,MAX(0,$S309-$T309))</f>
        <v>0</v>
      </c>
      <c r="V309" s="21" t="n">
        <f aca="false">IF($S309=0,0,$U309/$S309)</f>
        <v>0</v>
      </c>
      <c r="W309" s="23" t="str">
        <f aca="false">IF($D309="","",IF($T309="","BEKLİYOR",IF(OR($U309=0,$S309=0),"DOĞRU",IF(AND($V309&gt;PazaryeriEksikHakedisEsik,$U309&gt;PazaryeriEksikHakedisTutarEsik),"EKSİK HAKEDİŞ","DOĞRU"))))</f>
        <v/>
      </c>
      <c r="X309" s="23" t="str">
        <f aca="false">IF($B309="","",CONCATENATE("Ürün: ",$B309," | Kâr: ",TEXT($Q309,"₺ #,##0")," | Durum: ",$W309))</f>
        <v/>
      </c>
      <c r="Y309" s="24"/>
    </row>
    <row r="310" customFormat="false" ht="15" hidden="false" customHeight="false" outlineLevel="0" collapsed="false">
      <c r="A310" s="24"/>
      <c r="B310" s="24"/>
      <c r="C310" s="22"/>
      <c r="D310" s="25"/>
      <c r="E310" s="22"/>
      <c r="F310" s="26"/>
      <c r="G310" s="26"/>
      <c r="H310" s="26"/>
      <c r="I310" s="26"/>
      <c r="J310" s="22"/>
      <c r="K310" s="20" t="n">
        <f aca="false">IF($D310="",0,$C310*$D310)</f>
        <v>0</v>
      </c>
      <c r="L310" s="20" t="n">
        <f aca="false">IF($D310="",0,$F310*$K310)</f>
        <v>0</v>
      </c>
      <c r="M310" s="20" t="n">
        <f aca="false">IF($D310="",0,$G310*$K310)</f>
        <v>0</v>
      </c>
      <c r="N310" s="20" t="n">
        <f aca="false">IF($D310="",0,$H310*$K310)</f>
        <v>0</v>
      </c>
      <c r="O310" s="20" t="n">
        <f aca="false">IF($D310="",0,$I310*$K310*(1-$F310))</f>
        <v>0</v>
      </c>
      <c r="P310" s="20" t="n">
        <f aca="false">IF($D310="",0,$E310*$D310+$L310+$M310+$N310+$O310+$J310*$D310)</f>
        <v>0</v>
      </c>
      <c r="Q310" s="20" t="n">
        <f aca="false">IF($D310="",0,$K310-$P310)</f>
        <v>0</v>
      </c>
      <c r="R310" s="21" t="n">
        <f aca="false">IF($K310=0,0,$Q310/$K310)</f>
        <v>0</v>
      </c>
      <c r="S310" s="20" t="n">
        <f aca="false">IF($D310="",0,$K310-$L310-$M310-$N310)</f>
        <v>0</v>
      </c>
      <c r="T310" s="22"/>
      <c r="U310" s="20" t="n">
        <f aca="false">IF($T310="",0,MAX(0,$S310-$T310))</f>
        <v>0</v>
      </c>
      <c r="V310" s="21" t="n">
        <f aca="false">IF($S310=0,0,$U310/$S310)</f>
        <v>0</v>
      </c>
      <c r="W310" s="23" t="str">
        <f aca="false">IF($D310="","",IF($T310="","BEKLİYOR",IF(OR($U310=0,$S310=0),"DOĞRU",IF(AND($V310&gt;PazaryeriEksikHakedisEsik,$U310&gt;PazaryeriEksikHakedisTutarEsik),"EKSİK HAKEDİŞ","DOĞRU"))))</f>
        <v/>
      </c>
      <c r="X310" s="23" t="str">
        <f aca="false">IF($B310="","",CONCATENATE("Ürün: ",$B310," | Kâr: ",TEXT($Q310,"₺ #,##0")," | Durum: ",$W310))</f>
        <v/>
      </c>
      <c r="Y310" s="24"/>
    </row>
    <row r="311" customFormat="false" ht="15" hidden="false" customHeight="false" outlineLevel="0" collapsed="false">
      <c r="A311" s="24"/>
      <c r="B311" s="24"/>
      <c r="C311" s="22"/>
      <c r="D311" s="25"/>
      <c r="E311" s="22"/>
      <c r="F311" s="26"/>
      <c r="G311" s="26"/>
      <c r="H311" s="26"/>
      <c r="I311" s="26"/>
      <c r="J311" s="22"/>
      <c r="K311" s="20" t="n">
        <f aca="false">IF($D311="",0,$C311*$D311)</f>
        <v>0</v>
      </c>
      <c r="L311" s="20" t="n">
        <f aca="false">IF($D311="",0,$F311*$K311)</f>
        <v>0</v>
      </c>
      <c r="M311" s="20" t="n">
        <f aca="false">IF($D311="",0,$G311*$K311)</f>
        <v>0</v>
      </c>
      <c r="N311" s="20" t="n">
        <f aca="false">IF($D311="",0,$H311*$K311)</f>
        <v>0</v>
      </c>
      <c r="O311" s="20" t="n">
        <f aca="false">IF($D311="",0,$I311*$K311*(1-$F311))</f>
        <v>0</v>
      </c>
      <c r="P311" s="20" t="n">
        <f aca="false">IF($D311="",0,$E311*$D311+$L311+$M311+$N311+$O311+$J311*$D311)</f>
        <v>0</v>
      </c>
      <c r="Q311" s="20" t="n">
        <f aca="false">IF($D311="",0,$K311-$P311)</f>
        <v>0</v>
      </c>
      <c r="R311" s="21" t="n">
        <f aca="false">IF($K311=0,0,$Q311/$K311)</f>
        <v>0</v>
      </c>
      <c r="S311" s="20" t="n">
        <f aca="false">IF($D311="",0,$K311-$L311-$M311-$N311)</f>
        <v>0</v>
      </c>
      <c r="T311" s="22"/>
      <c r="U311" s="20" t="n">
        <f aca="false">IF($T311="",0,MAX(0,$S311-$T311))</f>
        <v>0</v>
      </c>
      <c r="V311" s="21" t="n">
        <f aca="false">IF($S311=0,0,$U311/$S311)</f>
        <v>0</v>
      </c>
      <c r="W311" s="23" t="str">
        <f aca="false">IF($D311="","",IF($T311="","BEKLİYOR",IF(OR($U311=0,$S311=0),"DOĞRU",IF(AND($V311&gt;PazaryeriEksikHakedisEsik,$U311&gt;PazaryeriEksikHakedisTutarEsik),"EKSİK HAKEDİŞ","DOĞRU"))))</f>
        <v/>
      </c>
      <c r="X311" s="23" t="str">
        <f aca="false">IF($B311="","",CONCATENATE("Ürün: ",$B311," | Kâr: ",TEXT($Q311,"₺ #,##0")," | Durum: ",$W311))</f>
        <v/>
      </c>
      <c r="Y311" s="24"/>
    </row>
    <row r="312" customFormat="false" ht="15" hidden="false" customHeight="false" outlineLevel="0" collapsed="false">
      <c r="A312" s="24"/>
      <c r="B312" s="24"/>
      <c r="C312" s="22"/>
      <c r="D312" s="25"/>
      <c r="E312" s="22"/>
      <c r="F312" s="26"/>
      <c r="G312" s="26"/>
      <c r="H312" s="26"/>
      <c r="I312" s="26"/>
      <c r="J312" s="22"/>
      <c r="K312" s="20" t="n">
        <f aca="false">IF($D312="",0,$C312*$D312)</f>
        <v>0</v>
      </c>
      <c r="L312" s="20" t="n">
        <f aca="false">IF($D312="",0,$F312*$K312)</f>
        <v>0</v>
      </c>
      <c r="M312" s="20" t="n">
        <f aca="false">IF($D312="",0,$G312*$K312)</f>
        <v>0</v>
      </c>
      <c r="N312" s="20" t="n">
        <f aca="false">IF($D312="",0,$H312*$K312)</f>
        <v>0</v>
      </c>
      <c r="O312" s="20" t="n">
        <f aca="false">IF($D312="",0,$I312*$K312*(1-$F312))</f>
        <v>0</v>
      </c>
      <c r="P312" s="20" t="n">
        <f aca="false">IF($D312="",0,$E312*$D312+$L312+$M312+$N312+$O312+$J312*$D312)</f>
        <v>0</v>
      </c>
      <c r="Q312" s="20" t="n">
        <f aca="false">IF($D312="",0,$K312-$P312)</f>
        <v>0</v>
      </c>
      <c r="R312" s="21" t="n">
        <f aca="false">IF($K312=0,0,$Q312/$K312)</f>
        <v>0</v>
      </c>
      <c r="S312" s="20" t="n">
        <f aca="false">IF($D312="",0,$K312-$L312-$M312-$N312)</f>
        <v>0</v>
      </c>
      <c r="T312" s="22"/>
      <c r="U312" s="20" t="n">
        <f aca="false">IF($T312="",0,MAX(0,$S312-$T312))</f>
        <v>0</v>
      </c>
      <c r="V312" s="21" t="n">
        <f aca="false">IF($S312=0,0,$U312/$S312)</f>
        <v>0</v>
      </c>
      <c r="W312" s="23" t="str">
        <f aca="false">IF($D312="","",IF($T312="","BEKLİYOR",IF(OR($U312=0,$S312=0),"DOĞRU",IF(AND($V312&gt;PazaryeriEksikHakedisEsik,$U312&gt;PazaryeriEksikHakedisTutarEsik),"EKSİK HAKEDİŞ","DOĞRU"))))</f>
        <v/>
      </c>
      <c r="X312" s="23" t="str">
        <f aca="false">IF($B312="","",CONCATENATE("Ürün: ",$B312," | Kâr: ",TEXT($Q312,"₺ #,##0")," | Durum: ",$W312))</f>
        <v/>
      </c>
      <c r="Y312" s="24"/>
    </row>
    <row r="313" customFormat="false" ht="15" hidden="false" customHeight="false" outlineLevel="0" collapsed="false">
      <c r="A313" s="24"/>
      <c r="B313" s="24"/>
      <c r="C313" s="22"/>
      <c r="D313" s="25"/>
      <c r="E313" s="22"/>
      <c r="F313" s="26"/>
      <c r="G313" s="26"/>
      <c r="H313" s="26"/>
      <c r="I313" s="26"/>
      <c r="J313" s="22"/>
      <c r="K313" s="20" t="n">
        <f aca="false">IF($D313="",0,$C313*$D313)</f>
        <v>0</v>
      </c>
      <c r="L313" s="20" t="n">
        <f aca="false">IF($D313="",0,$F313*$K313)</f>
        <v>0</v>
      </c>
      <c r="M313" s="20" t="n">
        <f aca="false">IF($D313="",0,$G313*$K313)</f>
        <v>0</v>
      </c>
      <c r="N313" s="20" t="n">
        <f aca="false">IF($D313="",0,$H313*$K313)</f>
        <v>0</v>
      </c>
      <c r="O313" s="20" t="n">
        <f aca="false">IF($D313="",0,$I313*$K313*(1-$F313))</f>
        <v>0</v>
      </c>
      <c r="P313" s="20" t="n">
        <f aca="false">IF($D313="",0,$E313*$D313+$L313+$M313+$N313+$O313+$J313*$D313)</f>
        <v>0</v>
      </c>
      <c r="Q313" s="20" t="n">
        <f aca="false">IF($D313="",0,$K313-$P313)</f>
        <v>0</v>
      </c>
      <c r="R313" s="21" t="n">
        <f aca="false">IF($K313=0,0,$Q313/$K313)</f>
        <v>0</v>
      </c>
      <c r="S313" s="20" t="n">
        <f aca="false">IF($D313="",0,$K313-$L313-$M313-$N313)</f>
        <v>0</v>
      </c>
      <c r="T313" s="22"/>
      <c r="U313" s="20" t="n">
        <f aca="false">IF($T313="",0,MAX(0,$S313-$T313))</f>
        <v>0</v>
      </c>
      <c r="V313" s="21" t="n">
        <f aca="false">IF($S313=0,0,$U313/$S313)</f>
        <v>0</v>
      </c>
      <c r="W313" s="23" t="str">
        <f aca="false">IF($D313="","",IF($T313="","BEKLİYOR",IF(OR($U313=0,$S313=0),"DOĞRU",IF(AND($V313&gt;PazaryeriEksikHakedisEsik,$U313&gt;PazaryeriEksikHakedisTutarEsik),"EKSİK HAKEDİŞ","DOĞRU"))))</f>
        <v/>
      </c>
      <c r="X313" s="23" t="str">
        <f aca="false">IF($B313="","",CONCATENATE("Ürün: ",$B313," | Kâr: ",TEXT($Q313,"₺ #,##0")," | Durum: ",$W313))</f>
        <v/>
      </c>
      <c r="Y313" s="24"/>
    </row>
    <row r="314" customFormat="false" ht="15" hidden="false" customHeight="false" outlineLevel="0" collapsed="false">
      <c r="A314" s="24"/>
      <c r="B314" s="24"/>
      <c r="C314" s="22"/>
      <c r="D314" s="25"/>
      <c r="E314" s="22"/>
      <c r="F314" s="26"/>
      <c r="G314" s="26"/>
      <c r="H314" s="26"/>
      <c r="I314" s="26"/>
      <c r="J314" s="22"/>
      <c r="K314" s="20" t="n">
        <f aca="false">IF($D314="",0,$C314*$D314)</f>
        <v>0</v>
      </c>
      <c r="L314" s="20" t="n">
        <f aca="false">IF($D314="",0,$F314*$K314)</f>
        <v>0</v>
      </c>
      <c r="M314" s="20" t="n">
        <f aca="false">IF($D314="",0,$G314*$K314)</f>
        <v>0</v>
      </c>
      <c r="N314" s="20" t="n">
        <f aca="false">IF($D314="",0,$H314*$K314)</f>
        <v>0</v>
      </c>
      <c r="O314" s="20" t="n">
        <f aca="false">IF($D314="",0,$I314*$K314*(1-$F314))</f>
        <v>0</v>
      </c>
      <c r="P314" s="20" t="n">
        <f aca="false">IF($D314="",0,$E314*$D314+$L314+$M314+$N314+$O314+$J314*$D314)</f>
        <v>0</v>
      </c>
      <c r="Q314" s="20" t="n">
        <f aca="false">IF($D314="",0,$K314-$P314)</f>
        <v>0</v>
      </c>
      <c r="R314" s="21" t="n">
        <f aca="false">IF($K314=0,0,$Q314/$K314)</f>
        <v>0</v>
      </c>
      <c r="S314" s="20" t="n">
        <f aca="false">IF($D314="",0,$K314-$L314-$M314-$N314)</f>
        <v>0</v>
      </c>
      <c r="T314" s="22"/>
      <c r="U314" s="20" t="n">
        <f aca="false">IF($T314="",0,MAX(0,$S314-$T314))</f>
        <v>0</v>
      </c>
      <c r="V314" s="21" t="n">
        <f aca="false">IF($S314=0,0,$U314/$S314)</f>
        <v>0</v>
      </c>
      <c r="W314" s="23" t="str">
        <f aca="false">IF($D314="","",IF($T314="","BEKLİYOR",IF(OR($U314=0,$S314=0),"DOĞRU",IF(AND($V314&gt;PazaryeriEksikHakedisEsik,$U314&gt;PazaryeriEksikHakedisTutarEsik),"EKSİK HAKEDİŞ","DOĞRU"))))</f>
        <v/>
      </c>
      <c r="X314" s="23" t="str">
        <f aca="false">IF($B314="","",CONCATENATE("Ürün: ",$B314," | Kâr: ",TEXT($Q314,"₺ #,##0")," | Durum: ",$W314))</f>
        <v/>
      </c>
      <c r="Y314" s="24"/>
    </row>
    <row r="315" customFormat="false" ht="15" hidden="false" customHeight="false" outlineLevel="0" collapsed="false">
      <c r="A315" s="24"/>
      <c r="B315" s="24"/>
      <c r="C315" s="22"/>
      <c r="D315" s="25"/>
      <c r="E315" s="22"/>
      <c r="F315" s="26"/>
      <c r="G315" s="26"/>
      <c r="H315" s="26"/>
      <c r="I315" s="26"/>
      <c r="J315" s="22"/>
      <c r="K315" s="20" t="n">
        <f aca="false">IF($D315="",0,$C315*$D315)</f>
        <v>0</v>
      </c>
      <c r="L315" s="20" t="n">
        <f aca="false">IF($D315="",0,$F315*$K315)</f>
        <v>0</v>
      </c>
      <c r="M315" s="20" t="n">
        <f aca="false">IF($D315="",0,$G315*$K315)</f>
        <v>0</v>
      </c>
      <c r="N315" s="20" t="n">
        <f aca="false">IF($D315="",0,$H315*$K315)</f>
        <v>0</v>
      </c>
      <c r="O315" s="20" t="n">
        <f aca="false">IF($D315="",0,$I315*$K315*(1-$F315))</f>
        <v>0</v>
      </c>
      <c r="P315" s="20" t="n">
        <f aca="false">IF($D315="",0,$E315*$D315+$L315+$M315+$N315+$O315+$J315*$D315)</f>
        <v>0</v>
      </c>
      <c r="Q315" s="20" t="n">
        <f aca="false">IF($D315="",0,$K315-$P315)</f>
        <v>0</v>
      </c>
      <c r="R315" s="21" t="n">
        <f aca="false">IF($K315=0,0,$Q315/$K315)</f>
        <v>0</v>
      </c>
      <c r="S315" s="20" t="n">
        <f aca="false">IF($D315="",0,$K315-$L315-$M315-$N315)</f>
        <v>0</v>
      </c>
      <c r="T315" s="22"/>
      <c r="U315" s="20" t="n">
        <f aca="false">IF($T315="",0,MAX(0,$S315-$T315))</f>
        <v>0</v>
      </c>
      <c r="V315" s="21" t="n">
        <f aca="false">IF($S315=0,0,$U315/$S315)</f>
        <v>0</v>
      </c>
      <c r="W315" s="23" t="str">
        <f aca="false">IF($D315="","",IF($T315="","BEKLİYOR",IF(OR($U315=0,$S315=0),"DOĞRU",IF(AND($V315&gt;PazaryeriEksikHakedisEsik,$U315&gt;PazaryeriEksikHakedisTutarEsik),"EKSİK HAKEDİŞ","DOĞRU"))))</f>
        <v/>
      </c>
      <c r="X315" s="23" t="str">
        <f aca="false">IF($B315="","",CONCATENATE("Ürün: ",$B315," | Kâr: ",TEXT($Q315,"₺ #,##0")," | Durum: ",$W315))</f>
        <v/>
      </c>
      <c r="Y315" s="24"/>
    </row>
    <row r="316" customFormat="false" ht="15" hidden="false" customHeight="false" outlineLevel="0" collapsed="false">
      <c r="A316" s="24"/>
      <c r="B316" s="24"/>
      <c r="C316" s="22"/>
      <c r="D316" s="25"/>
      <c r="E316" s="22"/>
      <c r="F316" s="26"/>
      <c r="G316" s="26"/>
      <c r="H316" s="26"/>
      <c r="I316" s="26"/>
      <c r="J316" s="22"/>
      <c r="K316" s="20" t="n">
        <f aca="false">IF($D316="",0,$C316*$D316)</f>
        <v>0</v>
      </c>
      <c r="L316" s="20" t="n">
        <f aca="false">IF($D316="",0,$F316*$K316)</f>
        <v>0</v>
      </c>
      <c r="M316" s="20" t="n">
        <f aca="false">IF($D316="",0,$G316*$K316)</f>
        <v>0</v>
      </c>
      <c r="N316" s="20" t="n">
        <f aca="false">IF($D316="",0,$H316*$K316)</f>
        <v>0</v>
      </c>
      <c r="O316" s="20" t="n">
        <f aca="false">IF($D316="",0,$I316*$K316*(1-$F316))</f>
        <v>0</v>
      </c>
      <c r="P316" s="20" t="n">
        <f aca="false">IF($D316="",0,$E316*$D316+$L316+$M316+$N316+$O316+$J316*$D316)</f>
        <v>0</v>
      </c>
      <c r="Q316" s="20" t="n">
        <f aca="false">IF($D316="",0,$K316-$P316)</f>
        <v>0</v>
      </c>
      <c r="R316" s="21" t="n">
        <f aca="false">IF($K316=0,0,$Q316/$K316)</f>
        <v>0</v>
      </c>
      <c r="S316" s="20" t="n">
        <f aca="false">IF($D316="",0,$K316-$L316-$M316-$N316)</f>
        <v>0</v>
      </c>
      <c r="T316" s="22"/>
      <c r="U316" s="20" t="n">
        <f aca="false">IF($T316="",0,MAX(0,$S316-$T316))</f>
        <v>0</v>
      </c>
      <c r="V316" s="21" t="n">
        <f aca="false">IF($S316=0,0,$U316/$S316)</f>
        <v>0</v>
      </c>
      <c r="W316" s="23" t="str">
        <f aca="false">IF($D316="","",IF($T316="","BEKLİYOR",IF(OR($U316=0,$S316=0),"DOĞRU",IF(AND($V316&gt;PazaryeriEksikHakedisEsik,$U316&gt;PazaryeriEksikHakedisTutarEsik),"EKSİK HAKEDİŞ","DOĞRU"))))</f>
        <v/>
      </c>
      <c r="X316" s="23" t="str">
        <f aca="false">IF($B316="","",CONCATENATE("Ürün: ",$B316," | Kâr: ",TEXT($Q316,"₺ #,##0")," | Durum: ",$W316))</f>
        <v/>
      </c>
      <c r="Y316" s="24"/>
    </row>
    <row r="317" customFormat="false" ht="15" hidden="false" customHeight="false" outlineLevel="0" collapsed="false">
      <c r="A317" s="24"/>
      <c r="B317" s="24"/>
      <c r="C317" s="22"/>
      <c r="D317" s="25"/>
      <c r="E317" s="22"/>
      <c r="F317" s="26"/>
      <c r="G317" s="26"/>
      <c r="H317" s="26"/>
      <c r="I317" s="26"/>
      <c r="J317" s="22"/>
      <c r="K317" s="20" t="n">
        <f aca="false">IF($D317="",0,$C317*$D317)</f>
        <v>0</v>
      </c>
      <c r="L317" s="20" t="n">
        <f aca="false">IF($D317="",0,$F317*$K317)</f>
        <v>0</v>
      </c>
      <c r="M317" s="20" t="n">
        <f aca="false">IF($D317="",0,$G317*$K317)</f>
        <v>0</v>
      </c>
      <c r="N317" s="20" t="n">
        <f aca="false">IF($D317="",0,$H317*$K317)</f>
        <v>0</v>
      </c>
      <c r="O317" s="20" t="n">
        <f aca="false">IF($D317="",0,$I317*$K317*(1-$F317))</f>
        <v>0</v>
      </c>
      <c r="P317" s="20" t="n">
        <f aca="false">IF($D317="",0,$E317*$D317+$L317+$M317+$N317+$O317+$J317*$D317)</f>
        <v>0</v>
      </c>
      <c r="Q317" s="20" t="n">
        <f aca="false">IF($D317="",0,$K317-$P317)</f>
        <v>0</v>
      </c>
      <c r="R317" s="21" t="n">
        <f aca="false">IF($K317=0,0,$Q317/$K317)</f>
        <v>0</v>
      </c>
      <c r="S317" s="20" t="n">
        <f aca="false">IF($D317="",0,$K317-$L317-$M317-$N317)</f>
        <v>0</v>
      </c>
      <c r="T317" s="22"/>
      <c r="U317" s="20" t="n">
        <f aca="false">IF($T317="",0,MAX(0,$S317-$T317))</f>
        <v>0</v>
      </c>
      <c r="V317" s="21" t="n">
        <f aca="false">IF($S317=0,0,$U317/$S317)</f>
        <v>0</v>
      </c>
      <c r="W317" s="23" t="str">
        <f aca="false">IF($D317="","",IF($T317="","BEKLİYOR",IF(OR($U317=0,$S317=0),"DOĞRU",IF(AND($V317&gt;PazaryeriEksikHakedisEsik,$U317&gt;PazaryeriEksikHakedisTutarEsik),"EKSİK HAKEDİŞ","DOĞRU"))))</f>
        <v/>
      </c>
      <c r="X317" s="23" t="str">
        <f aca="false">IF($B317="","",CONCATENATE("Ürün: ",$B317," | Kâr: ",TEXT($Q317,"₺ #,##0")," | Durum: ",$W317))</f>
        <v/>
      </c>
      <c r="Y317" s="24"/>
    </row>
    <row r="318" customFormat="false" ht="15" hidden="false" customHeight="false" outlineLevel="0" collapsed="false">
      <c r="A318" s="24"/>
      <c r="B318" s="24"/>
      <c r="C318" s="22"/>
      <c r="D318" s="25"/>
      <c r="E318" s="22"/>
      <c r="F318" s="26"/>
      <c r="G318" s="26"/>
      <c r="H318" s="26"/>
      <c r="I318" s="26"/>
      <c r="J318" s="22"/>
      <c r="K318" s="20" t="n">
        <f aca="false">IF($D318="",0,$C318*$D318)</f>
        <v>0</v>
      </c>
      <c r="L318" s="20" t="n">
        <f aca="false">IF($D318="",0,$F318*$K318)</f>
        <v>0</v>
      </c>
      <c r="M318" s="20" t="n">
        <f aca="false">IF($D318="",0,$G318*$K318)</f>
        <v>0</v>
      </c>
      <c r="N318" s="20" t="n">
        <f aca="false">IF($D318="",0,$H318*$K318)</f>
        <v>0</v>
      </c>
      <c r="O318" s="20" t="n">
        <f aca="false">IF($D318="",0,$I318*$K318*(1-$F318))</f>
        <v>0</v>
      </c>
      <c r="P318" s="20" t="n">
        <f aca="false">IF($D318="",0,$E318*$D318+$L318+$M318+$N318+$O318+$J318*$D318)</f>
        <v>0</v>
      </c>
      <c r="Q318" s="20" t="n">
        <f aca="false">IF($D318="",0,$K318-$P318)</f>
        <v>0</v>
      </c>
      <c r="R318" s="21" t="n">
        <f aca="false">IF($K318=0,0,$Q318/$K318)</f>
        <v>0</v>
      </c>
      <c r="S318" s="20" t="n">
        <f aca="false">IF($D318="",0,$K318-$L318-$M318-$N318)</f>
        <v>0</v>
      </c>
      <c r="T318" s="22"/>
      <c r="U318" s="20" t="n">
        <f aca="false">IF($T318="",0,MAX(0,$S318-$T318))</f>
        <v>0</v>
      </c>
      <c r="V318" s="21" t="n">
        <f aca="false">IF($S318=0,0,$U318/$S318)</f>
        <v>0</v>
      </c>
      <c r="W318" s="23" t="str">
        <f aca="false">IF($D318="","",IF($T318="","BEKLİYOR",IF(OR($U318=0,$S318=0),"DOĞRU",IF(AND($V318&gt;PazaryeriEksikHakedisEsik,$U318&gt;PazaryeriEksikHakedisTutarEsik),"EKSİK HAKEDİŞ","DOĞRU"))))</f>
        <v/>
      </c>
      <c r="X318" s="23" t="str">
        <f aca="false">IF($B318="","",CONCATENATE("Ürün: ",$B318," | Kâr: ",TEXT($Q318,"₺ #,##0")," | Durum: ",$W318))</f>
        <v/>
      </c>
      <c r="Y318" s="24"/>
    </row>
    <row r="319" customFormat="false" ht="15" hidden="false" customHeight="false" outlineLevel="0" collapsed="false">
      <c r="A319" s="24"/>
      <c r="B319" s="24"/>
      <c r="C319" s="22"/>
      <c r="D319" s="25"/>
      <c r="E319" s="22"/>
      <c r="F319" s="26"/>
      <c r="G319" s="26"/>
      <c r="H319" s="26"/>
      <c r="I319" s="26"/>
      <c r="J319" s="22"/>
      <c r="K319" s="20" t="n">
        <f aca="false">IF($D319="",0,$C319*$D319)</f>
        <v>0</v>
      </c>
      <c r="L319" s="20" t="n">
        <f aca="false">IF($D319="",0,$F319*$K319)</f>
        <v>0</v>
      </c>
      <c r="M319" s="20" t="n">
        <f aca="false">IF($D319="",0,$G319*$K319)</f>
        <v>0</v>
      </c>
      <c r="N319" s="20" t="n">
        <f aca="false">IF($D319="",0,$H319*$K319)</f>
        <v>0</v>
      </c>
      <c r="O319" s="20" t="n">
        <f aca="false">IF($D319="",0,$I319*$K319*(1-$F319))</f>
        <v>0</v>
      </c>
      <c r="P319" s="20" t="n">
        <f aca="false">IF($D319="",0,$E319*$D319+$L319+$M319+$N319+$O319+$J319*$D319)</f>
        <v>0</v>
      </c>
      <c r="Q319" s="20" t="n">
        <f aca="false">IF($D319="",0,$K319-$P319)</f>
        <v>0</v>
      </c>
      <c r="R319" s="21" t="n">
        <f aca="false">IF($K319=0,0,$Q319/$K319)</f>
        <v>0</v>
      </c>
      <c r="S319" s="20" t="n">
        <f aca="false">IF($D319="",0,$K319-$L319-$M319-$N319)</f>
        <v>0</v>
      </c>
      <c r="T319" s="22"/>
      <c r="U319" s="20" t="n">
        <f aca="false">IF($T319="",0,MAX(0,$S319-$T319))</f>
        <v>0</v>
      </c>
      <c r="V319" s="21" t="n">
        <f aca="false">IF($S319=0,0,$U319/$S319)</f>
        <v>0</v>
      </c>
      <c r="W319" s="23" t="str">
        <f aca="false">IF($D319="","",IF($T319="","BEKLİYOR",IF(OR($U319=0,$S319=0),"DOĞRU",IF(AND($V319&gt;PazaryeriEksikHakedisEsik,$U319&gt;PazaryeriEksikHakedisTutarEsik),"EKSİK HAKEDİŞ","DOĞRU"))))</f>
        <v/>
      </c>
      <c r="X319" s="23" t="str">
        <f aca="false">IF($B319="","",CONCATENATE("Ürün: ",$B319," | Kâr: ",TEXT($Q319,"₺ #,##0")," | Durum: ",$W319))</f>
        <v/>
      </c>
      <c r="Y319" s="24"/>
    </row>
    <row r="320" customFormat="false" ht="15" hidden="false" customHeight="false" outlineLevel="0" collapsed="false">
      <c r="A320" s="24"/>
      <c r="B320" s="24"/>
      <c r="C320" s="22"/>
      <c r="D320" s="25"/>
      <c r="E320" s="22"/>
      <c r="F320" s="26"/>
      <c r="G320" s="26"/>
      <c r="H320" s="26"/>
      <c r="I320" s="26"/>
      <c r="J320" s="22"/>
      <c r="K320" s="20" t="n">
        <f aca="false">IF($D320="",0,$C320*$D320)</f>
        <v>0</v>
      </c>
      <c r="L320" s="20" t="n">
        <f aca="false">IF($D320="",0,$F320*$K320)</f>
        <v>0</v>
      </c>
      <c r="M320" s="20" t="n">
        <f aca="false">IF($D320="",0,$G320*$K320)</f>
        <v>0</v>
      </c>
      <c r="N320" s="20" t="n">
        <f aca="false">IF($D320="",0,$H320*$K320)</f>
        <v>0</v>
      </c>
      <c r="O320" s="20" t="n">
        <f aca="false">IF($D320="",0,$I320*$K320*(1-$F320))</f>
        <v>0</v>
      </c>
      <c r="P320" s="20" t="n">
        <f aca="false">IF($D320="",0,$E320*$D320+$L320+$M320+$N320+$O320+$J320*$D320)</f>
        <v>0</v>
      </c>
      <c r="Q320" s="20" t="n">
        <f aca="false">IF($D320="",0,$K320-$P320)</f>
        <v>0</v>
      </c>
      <c r="R320" s="21" t="n">
        <f aca="false">IF($K320=0,0,$Q320/$K320)</f>
        <v>0</v>
      </c>
      <c r="S320" s="20" t="n">
        <f aca="false">IF($D320="",0,$K320-$L320-$M320-$N320)</f>
        <v>0</v>
      </c>
      <c r="T320" s="22"/>
      <c r="U320" s="20" t="n">
        <f aca="false">IF($T320="",0,MAX(0,$S320-$T320))</f>
        <v>0</v>
      </c>
      <c r="V320" s="21" t="n">
        <f aca="false">IF($S320=0,0,$U320/$S320)</f>
        <v>0</v>
      </c>
      <c r="W320" s="23" t="str">
        <f aca="false">IF($D320="","",IF($T320="","BEKLİYOR",IF(OR($U320=0,$S320=0),"DOĞRU",IF(AND($V320&gt;PazaryeriEksikHakedisEsik,$U320&gt;PazaryeriEksikHakedisTutarEsik),"EKSİK HAKEDİŞ","DOĞRU"))))</f>
        <v/>
      </c>
      <c r="X320" s="23" t="str">
        <f aca="false">IF($B320="","",CONCATENATE("Ürün: ",$B320," | Kâr: ",TEXT($Q320,"₺ #,##0")," | Durum: ",$W320))</f>
        <v/>
      </c>
      <c r="Y320" s="24"/>
    </row>
    <row r="321" customFormat="false" ht="15" hidden="false" customHeight="false" outlineLevel="0" collapsed="false">
      <c r="A321" s="24"/>
      <c r="B321" s="24"/>
      <c r="C321" s="22"/>
      <c r="D321" s="25"/>
      <c r="E321" s="22"/>
      <c r="F321" s="26"/>
      <c r="G321" s="26"/>
      <c r="H321" s="26"/>
      <c r="I321" s="26"/>
      <c r="J321" s="22"/>
      <c r="K321" s="20" t="n">
        <f aca="false">IF($D321="",0,$C321*$D321)</f>
        <v>0</v>
      </c>
      <c r="L321" s="20" t="n">
        <f aca="false">IF($D321="",0,$F321*$K321)</f>
        <v>0</v>
      </c>
      <c r="M321" s="20" t="n">
        <f aca="false">IF($D321="",0,$G321*$K321)</f>
        <v>0</v>
      </c>
      <c r="N321" s="20" t="n">
        <f aca="false">IF($D321="",0,$H321*$K321)</f>
        <v>0</v>
      </c>
      <c r="O321" s="20" t="n">
        <f aca="false">IF($D321="",0,$I321*$K321*(1-$F321))</f>
        <v>0</v>
      </c>
      <c r="P321" s="20" t="n">
        <f aca="false">IF($D321="",0,$E321*$D321+$L321+$M321+$N321+$O321+$J321*$D321)</f>
        <v>0</v>
      </c>
      <c r="Q321" s="20" t="n">
        <f aca="false">IF($D321="",0,$K321-$P321)</f>
        <v>0</v>
      </c>
      <c r="R321" s="21" t="n">
        <f aca="false">IF($K321=0,0,$Q321/$K321)</f>
        <v>0</v>
      </c>
      <c r="S321" s="20" t="n">
        <f aca="false">IF($D321="",0,$K321-$L321-$M321-$N321)</f>
        <v>0</v>
      </c>
      <c r="T321" s="22"/>
      <c r="U321" s="20" t="n">
        <f aca="false">IF($T321="",0,MAX(0,$S321-$T321))</f>
        <v>0</v>
      </c>
      <c r="V321" s="21" t="n">
        <f aca="false">IF($S321=0,0,$U321/$S321)</f>
        <v>0</v>
      </c>
      <c r="W321" s="23" t="str">
        <f aca="false">IF($D321="","",IF($T321="","BEKLİYOR",IF(OR($U321=0,$S321=0),"DOĞRU",IF(AND($V321&gt;PazaryeriEksikHakedisEsik,$U321&gt;PazaryeriEksikHakedisTutarEsik),"EKSİK HAKEDİŞ","DOĞRU"))))</f>
        <v/>
      </c>
      <c r="X321" s="23" t="str">
        <f aca="false">IF($B321="","",CONCATENATE("Ürün: ",$B321," | Kâr: ",TEXT($Q321,"₺ #,##0")," | Durum: ",$W321))</f>
        <v/>
      </c>
      <c r="Y321" s="24"/>
    </row>
    <row r="322" customFormat="false" ht="15" hidden="false" customHeight="false" outlineLevel="0" collapsed="false">
      <c r="A322" s="24"/>
      <c r="B322" s="24"/>
      <c r="C322" s="22"/>
      <c r="D322" s="25"/>
      <c r="E322" s="22"/>
      <c r="F322" s="26"/>
      <c r="G322" s="26"/>
      <c r="H322" s="26"/>
      <c r="I322" s="26"/>
      <c r="J322" s="22"/>
      <c r="K322" s="20" t="n">
        <f aca="false">IF($D322="",0,$C322*$D322)</f>
        <v>0</v>
      </c>
      <c r="L322" s="20" t="n">
        <f aca="false">IF($D322="",0,$F322*$K322)</f>
        <v>0</v>
      </c>
      <c r="M322" s="20" t="n">
        <f aca="false">IF($D322="",0,$G322*$K322)</f>
        <v>0</v>
      </c>
      <c r="N322" s="20" t="n">
        <f aca="false">IF($D322="",0,$H322*$K322)</f>
        <v>0</v>
      </c>
      <c r="O322" s="20" t="n">
        <f aca="false">IF($D322="",0,$I322*$K322*(1-$F322))</f>
        <v>0</v>
      </c>
      <c r="P322" s="20" t="n">
        <f aca="false">IF($D322="",0,$E322*$D322+$L322+$M322+$N322+$O322+$J322*$D322)</f>
        <v>0</v>
      </c>
      <c r="Q322" s="20" t="n">
        <f aca="false">IF($D322="",0,$K322-$P322)</f>
        <v>0</v>
      </c>
      <c r="R322" s="21" t="n">
        <f aca="false">IF($K322=0,0,$Q322/$K322)</f>
        <v>0</v>
      </c>
      <c r="S322" s="20" t="n">
        <f aca="false">IF($D322="",0,$K322-$L322-$M322-$N322)</f>
        <v>0</v>
      </c>
      <c r="T322" s="22"/>
      <c r="U322" s="20" t="n">
        <f aca="false">IF($T322="",0,MAX(0,$S322-$T322))</f>
        <v>0</v>
      </c>
      <c r="V322" s="21" t="n">
        <f aca="false">IF($S322=0,0,$U322/$S322)</f>
        <v>0</v>
      </c>
      <c r="W322" s="23" t="str">
        <f aca="false">IF($D322="","",IF($T322="","BEKLİYOR",IF(OR($U322=0,$S322=0),"DOĞRU",IF(AND($V322&gt;PazaryeriEksikHakedisEsik,$U322&gt;PazaryeriEksikHakedisTutarEsik),"EKSİK HAKEDİŞ","DOĞRU"))))</f>
        <v/>
      </c>
      <c r="X322" s="23" t="str">
        <f aca="false">IF($B322="","",CONCATENATE("Ürün: ",$B322," | Kâr: ",TEXT($Q322,"₺ #,##0")," | Durum: ",$W322))</f>
        <v/>
      </c>
      <c r="Y322" s="24"/>
    </row>
    <row r="323" customFormat="false" ht="15" hidden="false" customHeight="false" outlineLevel="0" collapsed="false">
      <c r="A323" s="24"/>
      <c r="B323" s="24"/>
      <c r="C323" s="22"/>
      <c r="D323" s="25"/>
      <c r="E323" s="22"/>
      <c r="F323" s="26"/>
      <c r="G323" s="26"/>
      <c r="H323" s="26"/>
      <c r="I323" s="26"/>
      <c r="J323" s="22"/>
      <c r="K323" s="20" t="n">
        <f aca="false">IF($D323="",0,$C323*$D323)</f>
        <v>0</v>
      </c>
      <c r="L323" s="20" t="n">
        <f aca="false">IF($D323="",0,$F323*$K323)</f>
        <v>0</v>
      </c>
      <c r="M323" s="20" t="n">
        <f aca="false">IF($D323="",0,$G323*$K323)</f>
        <v>0</v>
      </c>
      <c r="N323" s="20" t="n">
        <f aca="false">IF($D323="",0,$H323*$K323)</f>
        <v>0</v>
      </c>
      <c r="O323" s="20" t="n">
        <f aca="false">IF($D323="",0,$I323*$K323*(1-$F323))</f>
        <v>0</v>
      </c>
      <c r="P323" s="20" t="n">
        <f aca="false">IF($D323="",0,$E323*$D323+$L323+$M323+$N323+$O323+$J323*$D323)</f>
        <v>0</v>
      </c>
      <c r="Q323" s="20" t="n">
        <f aca="false">IF($D323="",0,$K323-$P323)</f>
        <v>0</v>
      </c>
      <c r="R323" s="21" t="n">
        <f aca="false">IF($K323=0,0,$Q323/$K323)</f>
        <v>0</v>
      </c>
      <c r="S323" s="20" t="n">
        <f aca="false">IF($D323="",0,$K323-$L323-$M323-$N323)</f>
        <v>0</v>
      </c>
      <c r="T323" s="22"/>
      <c r="U323" s="20" t="n">
        <f aca="false">IF($T323="",0,MAX(0,$S323-$T323))</f>
        <v>0</v>
      </c>
      <c r="V323" s="21" t="n">
        <f aca="false">IF($S323=0,0,$U323/$S323)</f>
        <v>0</v>
      </c>
      <c r="W323" s="23" t="str">
        <f aca="false">IF($D323="","",IF($T323="","BEKLİYOR",IF(OR($U323=0,$S323=0),"DOĞRU",IF(AND($V323&gt;PazaryeriEksikHakedisEsik,$U323&gt;PazaryeriEksikHakedisTutarEsik),"EKSİK HAKEDİŞ","DOĞRU"))))</f>
        <v/>
      </c>
      <c r="X323" s="23" t="str">
        <f aca="false">IF($B323="","",CONCATENATE("Ürün: ",$B323," | Kâr: ",TEXT($Q323,"₺ #,##0")," | Durum: ",$W323))</f>
        <v/>
      </c>
      <c r="Y323" s="24"/>
    </row>
    <row r="324" customFormat="false" ht="15" hidden="false" customHeight="false" outlineLevel="0" collapsed="false">
      <c r="A324" s="24"/>
      <c r="B324" s="24"/>
      <c r="C324" s="22"/>
      <c r="D324" s="25"/>
      <c r="E324" s="22"/>
      <c r="F324" s="26"/>
      <c r="G324" s="26"/>
      <c r="H324" s="26"/>
      <c r="I324" s="26"/>
      <c r="J324" s="22"/>
      <c r="K324" s="20" t="n">
        <f aca="false">IF($D324="",0,$C324*$D324)</f>
        <v>0</v>
      </c>
      <c r="L324" s="20" t="n">
        <f aca="false">IF($D324="",0,$F324*$K324)</f>
        <v>0</v>
      </c>
      <c r="M324" s="20" t="n">
        <f aca="false">IF($D324="",0,$G324*$K324)</f>
        <v>0</v>
      </c>
      <c r="N324" s="20" t="n">
        <f aca="false">IF($D324="",0,$H324*$K324)</f>
        <v>0</v>
      </c>
      <c r="O324" s="20" t="n">
        <f aca="false">IF($D324="",0,$I324*$K324*(1-$F324))</f>
        <v>0</v>
      </c>
      <c r="P324" s="20" t="n">
        <f aca="false">IF($D324="",0,$E324*$D324+$L324+$M324+$N324+$O324+$J324*$D324)</f>
        <v>0</v>
      </c>
      <c r="Q324" s="20" t="n">
        <f aca="false">IF($D324="",0,$K324-$P324)</f>
        <v>0</v>
      </c>
      <c r="R324" s="21" t="n">
        <f aca="false">IF($K324=0,0,$Q324/$K324)</f>
        <v>0</v>
      </c>
      <c r="S324" s="20" t="n">
        <f aca="false">IF($D324="",0,$K324-$L324-$M324-$N324)</f>
        <v>0</v>
      </c>
      <c r="T324" s="22"/>
      <c r="U324" s="20" t="n">
        <f aca="false">IF($T324="",0,MAX(0,$S324-$T324))</f>
        <v>0</v>
      </c>
      <c r="V324" s="21" t="n">
        <f aca="false">IF($S324=0,0,$U324/$S324)</f>
        <v>0</v>
      </c>
      <c r="W324" s="23" t="str">
        <f aca="false">IF($D324="","",IF($T324="","BEKLİYOR",IF(OR($U324=0,$S324=0),"DOĞRU",IF(AND($V324&gt;PazaryeriEksikHakedisEsik,$U324&gt;PazaryeriEksikHakedisTutarEsik),"EKSİK HAKEDİŞ","DOĞRU"))))</f>
        <v/>
      </c>
      <c r="X324" s="23" t="str">
        <f aca="false">IF($B324="","",CONCATENATE("Ürün: ",$B324," | Kâr: ",TEXT($Q324,"₺ #,##0")," | Durum: ",$W324))</f>
        <v/>
      </c>
      <c r="Y324" s="24"/>
    </row>
    <row r="325" customFormat="false" ht="15" hidden="false" customHeight="false" outlineLevel="0" collapsed="false">
      <c r="A325" s="24"/>
      <c r="B325" s="24"/>
      <c r="C325" s="22"/>
      <c r="D325" s="25"/>
      <c r="E325" s="22"/>
      <c r="F325" s="26"/>
      <c r="G325" s="26"/>
      <c r="H325" s="26"/>
      <c r="I325" s="26"/>
      <c r="J325" s="22"/>
      <c r="K325" s="20" t="n">
        <f aca="false">IF($D325="",0,$C325*$D325)</f>
        <v>0</v>
      </c>
      <c r="L325" s="20" t="n">
        <f aca="false">IF($D325="",0,$F325*$K325)</f>
        <v>0</v>
      </c>
      <c r="M325" s="20" t="n">
        <f aca="false">IF($D325="",0,$G325*$K325)</f>
        <v>0</v>
      </c>
      <c r="N325" s="20" t="n">
        <f aca="false">IF($D325="",0,$H325*$K325)</f>
        <v>0</v>
      </c>
      <c r="O325" s="20" t="n">
        <f aca="false">IF($D325="",0,$I325*$K325*(1-$F325))</f>
        <v>0</v>
      </c>
      <c r="P325" s="20" t="n">
        <f aca="false">IF($D325="",0,$E325*$D325+$L325+$M325+$N325+$O325+$J325*$D325)</f>
        <v>0</v>
      </c>
      <c r="Q325" s="20" t="n">
        <f aca="false">IF($D325="",0,$K325-$P325)</f>
        <v>0</v>
      </c>
      <c r="R325" s="21" t="n">
        <f aca="false">IF($K325=0,0,$Q325/$K325)</f>
        <v>0</v>
      </c>
      <c r="S325" s="20" t="n">
        <f aca="false">IF($D325="",0,$K325-$L325-$M325-$N325)</f>
        <v>0</v>
      </c>
      <c r="T325" s="22"/>
      <c r="U325" s="20" t="n">
        <f aca="false">IF($T325="",0,MAX(0,$S325-$T325))</f>
        <v>0</v>
      </c>
      <c r="V325" s="21" t="n">
        <f aca="false">IF($S325=0,0,$U325/$S325)</f>
        <v>0</v>
      </c>
      <c r="W325" s="23" t="str">
        <f aca="false">IF($D325="","",IF($T325="","BEKLİYOR",IF(OR($U325=0,$S325=0),"DOĞRU",IF(AND($V325&gt;PazaryeriEksikHakedisEsik,$U325&gt;PazaryeriEksikHakedisTutarEsik),"EKSİK HAKEDİŞ","DOĞRU"))))</f>
        <v/>
      </c>
      <c r="X325" s="23" t="str">
        <f aca="false">IF($B325="","",CONCATENATE("Ürün: ",$B325," | Kâr: ",TEXT($Q325,"₺ #,##0")," | Durum: ",$W325))</f>
        <v/>
      </c>
      <c r="Y325" s="24"/>
    </row>
    <row r="326" customFormat="false" ht="15" hidden="false" customHeight="false" outlineLevel="0" collapsed="false">
      <c r="A326" s="24"/>
      <c r="B326" s="24"/>
      <c r="C326" s="22"/>
      <c r="D326" s="25"/>
      <c r="E326" s="22"/>
      <c r="F326" s="26"/>
      <c r="G326" s="26"/>
      <c r="H326" s="26"/>
      <c r="I326" s="26"/>
      <c r="J326" s="22"/>
      <c r="K326" s="20" t="n">
        <f aca="false">IF($D326="",0,$C326*$D326)</f>
        <v>0</v>
      </c>
      <c r="L326" s="20" t="n">
        <f aca="false">IF($D326="",0,$F326*$K326)</f>
        <v>0</v>
      </c>
      <c r="M326" s="20" t="n">
        <f aca="false">IF($D326="",0,$G326*$K326)</f>
        <v>0</v>
      </c>
      <c r="N326" s="20" t="n">
        <f aca="false">IF($D326="",0,$H326*$K326)</f>
        <v>0</v>
      </c>
      <c r="O326" s="20" t="n">
        <f aca="false">IF($D326="",0,$I326*$K326*(1-$F326))</f>
        <v>0</v>
      </c>
      <c r="P326" s="20" t="n">
        <f aca="false">IF($D326="",0,$E326*$D326+$L326+$M326+$N326+$O326+$J326*$D326)</f>
        <v>0</v>
      </c>
      <c r="Q326" s="20" t="n">
        <f aca="false">IF($D326="",0,$K326-$P326)</f>
        <v>0</v>
      </c>
      <c r="R326" s="21" t="n">
        <f aca="false">IF($K326=0,0,$Q326/$K326)</f>
        <v>0</v>
      </c>
      <c r="S326" s="20" t="n">
        <f aca="false">IF($D326="",0,$K326-$L326-$M326-$N326)</f>
        <v>0</v>
      </c>
      <c r="T326" s="22"/>
      <c r="U326" s="20" t="n">
        <f aca="false">IF($T326="",0,MAX(0,$S326-$T326))</f>
        <v>0</v>
      </c>
      <c r="V326" s="21" t="n">
        <f aca="false">IF($S326=0,0,$U326/$S326)</f>
        <v>0</v>
      </c>
      <c r="W326" s="23" t="str">
        <f aca="false">IF($D326="","",IF($T326="","BEKLİYOR",IF(OR($U326=0,$S326=0),"DOĞRU",IF(AND($V326&gt;PazaryeriEksikHakedisEsik,$U326&gt;PazaryeriEksikHakedisTutarEsik),"EKSİK HAKEDİŞ","DOĞRU"))))</f>
        <v/>
      </c>
      <c r="X326" s="23" t="str">
        <f aca="false">IF($B326="","",CONCATENATE("Ürün: ",$B326," | Kâr: ",TEXT($Q326,"₺ #,##0")," | Durum: ",$W326))</f>
        <v/>
      </c>
      <c r="Y326" s="24"/>
    </row>
    <row r="327" customFormat="false" ht="15" hidden="false" customHeight="false" outlineLevel="0" collapsed="false">
      <c r="A327" s="24"/>
      <c r="B327" s="24"/>
      <c r="C327" s="22"/>
      <c r="D327" s="25"/>
      <c r="E327" s="22"/>
      <c r="F327" s="26"/>
      <c r="G327" s="26"/>
      <c r="H327" s="26"/>
      <c r="I327" s="26"/>
      <c r="J327" s="22"/>
      <c r="K327" s="20" t="n">
        <f aca="false">IF($D327="",0,$C327*$D327)</f>
        <v>0</v>
      </c>
      <c r="L327" s="20" t="n">
        <f aca="false">IF($D327="",0,$F327*$K327)</f>
        <v>0</v>
      </c>
      <c r="M327" s="20" t="n">
        <f aca="false">IF($D327="",0,$G327*$K327)</f>
        <v>0</v>
      </c>
      <c r="N327" s="20" t="n">
        <f aca="false">IF($D327="",0,$H327*$K327)</f>
        <v>0</v>
      </c>
      <c r="O327" s="20" t="n">
        <f aca="false">IF($D327="",0,$I327*$K327*(1-$F327))</f>
        <v>0</v>
      </c>
      <c r="P327" s="20" t="n">
        <f aca="false">IF($D327="",0,$E327*$D327+$L327+$M327+$N327+$O327+$J327*$D327)</f>
        <v>0</v>
      </c>
      <c r="Q327" s="20" t="n">
        <f aca="false">IF($D327="",0,$K327-$P327)</f>
        <v>0</v>
      </c>
      <c r="R327" s="21" t="n">
        <f aca="false">IF($K327=0,0,$Q327/$K327)</f>
        <v>0</v>
      </c>
      <c r="S327" s="20" t="n">
        <f aca="false">IF($D327="",0,$K327-$L327-$M327-$N327)</f>
        <v>0</v>
      </c>
      <c r="T327" s="22"/>
      <c r="U327" s="20" t="n">
        <f aca="false">IF($T327="",0,MAX(0,$S327-$T327))</f>
        <v>0</v>
      </c>
      <c r="V327" s="21" t="n">
        <f aca="false">IF($S327=0,0,$U327/$S327)</f>
        <v>0</v>
      </c>
      <c r="W327" s="23" t="str">
        <f aca="false">IF($D327="","",IF($T327="","BEKLİYOR",IF(OR($U327=0,$S327=0),"DOĞRU",IF(AND($V327&gt;PazaryeriEksikHakedisEsik,$U327&gt;PazaryeriEksikHakedisTutarEsik),"EKSİK HAKEDİŞ","DOĞRU"))))</f>
        <v/>
      </c>
      <c r="X327" s="23" t="str">
        <f aca="false">IF($B327="","",CONCATENATE("Ürün: ",$B327," | Kâr: ",TEXT($Q327,"₺ #,##0")," | Durum: ",$W327))</f>
        <v/>
      </c>
      <c r="Y327" s="24"/>
    </row>
    <row r="328" customFormat="false" ht="15" hidden="false" customHeight="false" outlineLevel="0" collapsed="false">
      <c r="A328" s="24"/>
      <c r="B328" s="24"/>
      <c r="C328" s="22"/>
      <c r="D328" s="25"/>
      <c r="E328" s="22"/>
      <c r="F328" s="26"/>
      <c r="G328" s="26"/>
      <c r="H328" s="26"/>
      <c r="I328" s="26"/>
      <c r="J328" s="22"/>
      <c r="K328" s="20" t="n">
        <f aca="false">IF($D328="",0,$C328*$D328)</f>
        <v>0</v>
      </c>
      <c r="L328" s="20" t="n">
        <f aca="false">IF($D328="",0,$F328*$K328)</f>
        <v>0</v>
      </c>
      <c r="M328" s="20" t="n">
        <f aca="false">IF($D328="",0,$G328*$K328)</f>
        <v>0</v>
      </c>
      <c r="N328" s="20" t="n">
        <f aca="false">IF($D328="",0,$H328*$K328)</f>
        <v>0</v>
      </c>
      <c r="O328" s="20" t="n">
        <f aca="false">IF($D328="",0,$I328*$K328*(1-$F328))</f>
        <v>0</v>
      </c>
      <c r="P328" s="20" t="n">
        <f aca="false">IF($D328="",0,$E328*$D328+$L328+$M328+$N328+$O328+$J328*$D328)</f>
        <v>0</v>
      </c>
      <c r="Q328" s="20" t="n">
        <f aca="false">IF($D328="",0,$K328-$P328)</f>
        <v>0</v>
      </c>
      <c r="R328" s="21" t="n">
        <f aca="false">IF($K328=0,0,$Q328/$K328)</f>
        <v>0</v>
      </c>
      <c r="S328" s="20" t="n">
        <f aca="false">IF($D328="",0,$K328-$L328-$M328-$N328)</f>
        <v>0</v>
      </c>
      <c r="T328" s="22"/>
      <c r="U328" s="20" t="n">
        <f aca="false">IF($T328="",0,MAX(0,$S328-$T328))</f>
        <v>0</v>
      </c>
      <c r="V328" s="21" t="n">
        <f aca="false">IF($S328=0,0,$U328/$S328)</f>
        <v>0</v>
      </c>
      <c r="W328" s="23" t="str">
        <f aca="false">IF($D328="","",IF($T328="","BEKLİYOR",IF(OR($U328=0,$S328=0),"DOĞRU",IF(AND($V328&gt;PazaryeriEksikHakedisEsik,$U328&gt;PazaryeriEksikHakedisTutarEsik),"EKSİK HAKEDİŞ","DOĞRU"))))</f>
        <v/>
      </c>
      <c r="X328" s="23" t="str">
        <f aca="false">IF($B328="","",CONCATENATE("Ürün: ",$B328," | Kâr: ",TEXT($Q328,"₺ #,##0")," | Durum: ",$W328))</f>
        <v/>
      </c>
      <c r="Y328" s="24"/>
    </row>
    <row r="329" customFormat="false" ht="15" hidden="false" customHeight="false" outlineLevel="0" collapsed="false">
      <c r="A329" s="24"/>
      <c r="B329" s="24"/>
      <c r="C329" s="22"/>
      <c r="D329" s="25"/>
      <c r="E329" s="22"/>
      <c r="F329" s="26"/>
      <c r="G329" s="26"/>
      <c r="H329" s="26"/>
      <c r="I329" s="26"/>
      <c r="J329" s="22"/>
      <c r="K329" s="20" t="n">
        <f aca="false">IF($D329="",0,$C329*$D329)</f>
        <v>0</v>
      </c>
      <c r="L329" s="20" t="n">
        <f aca="false">IF($D329="",0,$F329*$K329)</f>
        <v>0</v>
      </c>
      <c r="M329" s="20" t="n">
        <f aca="false">IF($D329="",0,$G329*$K329)</f>
        <v>0</v>
      </c>
      <c r="N329" s="20" t="n">
        <f aca="false">IF($D329="",0,$H329*$K329)</f>
        <v>0</v>
      </c>
      <c r="O329" s="20" t="n">
        <f aca="false">IF($D329="",0,$I329*$K329*(1-$F329))</f>
        <v>0</v>
      </c>
      <c r="P329" s="20" t="n">
        <f aca="false">IF($D329="",0,$E329*$D329+$L329+$M329+$N329+$O329+$J329*$D329)</f>
        <v>0</v>
      </c>
      <c r="Q329" s="20" t="n">
        <f aca="false">IF($D329="",0,$K329-$P329)</f>
        <v>0</v>
      </c>
      <c r="R329" s="21" t="n">
        <f aca="false">IF($K329=0,0,$Q329/$K329)</f>
        <v>0</v>
      </c>
      <c r="S329" s="20" t="n">
        <f aca="false">IF($D329="",0,$K329-$L329-$M329-$N329)</f>
        <v>0</v>
      </c>
      <c r="T329" s="22"/>
      <c r="U329" s="20" t="n">
        <f aca="false">IF($T329="",0,MAX(0,$S329-$T329))</f>
        <v>0</v>
      </c>
      <c r="V329" s="21" t="n">
        <f aca="false">IF($S329=0,0,$U329/$S329)</f>
        <v>0</v>
      </c>
      <c r="W329" s="23" t="str">
        <f aca="false">IF($D329="","",IF($T329="","BEKLİYOR",IF(OR($U329=0,$S329=0),"DOĞRU",IF(AND($V329&gt;PazaryeriEksikHakedisEsik,$U329&gt;PazaryeriEksikHakedisTutarEsik),"EKSİK HAKEDİŞ","DOĞRU"))))</f>
        <v/>
      </c>
      <c r="X329" s="23" t="str">
        <f aca="false">IF($B329="","",CONCATENATE("Ürün: ",$B329," | Kâr: ",TEXT($Q329,"₺ #,##0")," | Durum: ",$W329))</f>
        <v/>
      </c>
      <c r="Y329" s="24"/>
    </row>
    <row r="330" customFormat="false" ht="15" hidden="false" customHeight="false" outlineLevel="0" collapsed="false">
      <c r="A330" s="24"/>
      <c r="B330" s="24"/>
      <c r="C330" s="22"/>
      <c r="D330" s="25"/>
      <c r="E330" s="22"/>
      <c r="F330" s="26"/>
      <c r="G330" s="26"/>
      <c r="H330" s="26"/>
      <c r="I330" s="26"/>
      <c r="J330" s="22"/>
      <c r="K330" s="20" t="n">
        <f aca="false">IF($D330="",0,$C330*$D330)</f>
        <v>0</v>
      </c>
      <c r="L330" s="20" t="n">
        <f aca="false">IF($D330="",0,$F330*$K330)</f>
        <v>0</v>
      </c>
      <c r="M330" s="20" t="n">
        <f aca="false">IF($D330="",0,$G330*$K330)</f>
        <v>0</v>
      </c>
      <c r="N330" s="20" t="n">
        <f aca="false">IF($D330="",0,$H330*$K330)</f>
        <v>0</v>
      </c>
      <c r="O330" s="20" t="n">
        <f aca="false">IF($D330="",0,$I330*$K330*(1-$F330))</f>
        <v>0</v>
      </c>
      <c r="P330" s="20" t="n">
        <f aca="false">IF($D330="",0,$E330*$D330+$L330+$M330+$N330+$O330+$J330*$D330)</f>
        <v>0</v>
      </c>
      <c r="Q330" s="20" t="n">
        <f aca="false">IF($D330="",0,$K330-$P330)</f>
        <v>0</v>
      </c>
      <c r="R330" s="21" t="n">
        <f aca="false">IF($K330=0,0,$Q330/$K330)</f>
        <v>0</v>
      </c>
      <c r="S330" s="20" t="n">
        <f aca="false">IF($D330="",0,$K330-$L330-$M330-$N330)</f>
        <v>0</v>
      </c>
      <c r="T330" s="22"/>
      <c r="U330" s="20" t="n">
        <f aca="false">IF($T330="",0,MAX(0,$S330-$T330))</f>
        <v>0</v>
      </c>
      <c r="V330" s="21" t="n">
        <f aca="false">IF($S330=0,0,$U330/$S330)</f>
        <v>0</v>
      </c>
      <c r="W330" s="23" t="str">
        <f aca="false">IF($D330="","",IF($T330="","BEKLİYOR",IF(OR($U330=0,$S330=0),"DOĞRU",IF(AND($V330&gt;PazaryeriEksikHakedisEsik,$U330&gt;PazaryeriEksikHakedisTutarEsik),"EKSİK HAKEDİŞ","DOĞRU"))))</f>
        <v/>
      </c>
      <c r="X330" s="23" t="str">
        <f aca="false">IF($B330="","",CONCATENATE("Ürün: ",$B330," | Kâr: ",TEXT($Q330,"₺ #,##0")," | Durum: ",$W330))</f>
        <v/>
      </c>
      <c r="Y330" s="24"/>
    </row>
    <row r="331" customFormat="false" ht="15" hidden="false" customHeight="false" outlineLevel="0" collapsed="false">
      <c r="A331" s="24"/>
      <c r="B331" s="24"/>
      <c r="C331" s="22"/>
      <c r="D331" s="25"/>
      <c r="E331" s="22"/>
      <c r="F331" s="26"/>
      <c r="G331" s="26"/>
      <c r="H331" s="26"/>
      <c r="I331" s="26"/>
      <c r="J331" s="22"/>
      <c r="K331" s="20" t="n">
        <f aca="false">IF($D331="",0,$C331*$D331)</f>
        <v>0</v>
      </c>
      <c r="L331" s="20" t="n">
        <f aca="false">IF($D331="",0,$F331*$K331)</f>
        <v>0</v>
      </c>
      <c r="M331" s="20" t="n">
        <f aca="false">IF($D331="",0,$G331*$K331)</f>
        <v>0</v>
      </c>
      <c r="N331" s="20" t="n">
        <f aca="false">IF($D331="",0,$H331*$K331)</f>
        <v>0</v>
      </c>
      <c r="O331" s="20" t="n">
        <f aca="false">IF($D331="",0,$I331*$K331*(1-$F331))</f>
        <v>0</v>
      </c>
      <c r="P331" s="20" t="n">
        <f aca="false">IF($D331="",0,$E331*$D331+$L331+$M331+$N331+$O331+$J331*$D331)</f>
        <v>0</v>
      </c>
      <c r="Q331" s="20" t="n">
        <f aca="false">IF($D331="",0,$K331-$P331)</f>
        <v>0</v>
      </c>
      <c r="R331" s="21" t="n">
        <f aca="false">IF($K331=0,0,$Q331/$K331)</f>
        <v>0</v>
      </c>
      <c r="S331" s="20" t="n">
        <f aca="false">IF($D331="",0,$K331-$L331-$M331-$N331)</f>
        <v>0</v>
      </c>
      <c r="T331" s="22"/>
      <c r="U331" s="20" t="n">
        <f aca="false">IF($T331="",0,MAX(0,$S331-$T331))</f>
        <v>0</v>
      </c>
      <c r="V331" s="21" t="n">
        <f aca="false">IF($S331=0,0,$U331/$S331)</f>
        <v>0</v>
      </c>
      <c r="W331" s="23" t="str">
        <f aca="false">IF($D331="","",IF($T331="","BEKLİYOR",IF(OR($U331=0,$S331=0),"DOĞRU",IF(AND($V331&gt;PazaryeriEksikHakedisEsik,$U331&gt;PazaryeriEksikHakedisTutarEsik),"EKSİK HAKEDİŞ","DOĞRU"))))</f>
        <v/>
      </c>
      <c r="X331" s="23" t="str">
        <f aca="false">IF($B331="","",CONCATENATE("Ürün: ",$B331," | Kâr: ",TEXT($Q331,"₺ #,##0")," | Durum: ",$W331))</f>
        <v/>
      </c>
      <c r="Y331" s="24"/>
    </row>
    <row r="332" customFormat="false" ht="15" hidden="false" customHeight="false" outlineLevel="0" collapsed="false">
      <c r="A332" s="24"/>
      <c r="B332" s="24"/>
      <c r="C332" s="22"/>
      <c r="D332" s="25"/>
      <c r="E332" s="22"/>
      <c r="F332" s="26"/>
      <c r="G332" s="26"/>
      <c r="H332" s="26"/>
      <c r="I332" s="26"/>
      <c r="J332" s="22"/>
      <c r="K332" s="20" t="n">
        <f aca="false">IF($D332="",0,$C332*$D332)</f>
        <v>0</v>
      </c>
      <c r="L332" s="20" t="n">
        <f aca="false">IF($D332="",0,$F332*$K332)</f>
        <v>0</v>
      </c>
      <c r="M332" s="20" t="n">
        <f aca="false">IF($D332="",0,$G332*$K332)</f>
        <v>0</v>
      </c>
      <c r="N332" s="20" t="n">
        <f aca="false">IF($D332="",0,$H332*$K332)</f>
        <v>0</v>
      </c>
      <c r="O332" s="20" t="n">
        <f aca="false">IF($D332="",0,$I332*$K332*(1-$F332))</f>
        <v>0</v>
      </c>
      <c r="P332" s="20" t="n">
        <f aca="false">IF($D332="",0,$E332*$D332+$L332+$M332+$N332+$O332+$J332*$D332)</f>
        <v>0</v>
      </c>
      <c r="Q332" s="20" t="n">
        <f aca="false">IF($D332="",0,$K332-$P332)</f>
        <v>0</v>
      </c>
      <c r="R332" s="21" t="n">
        <f aca="false">IF($K332=0,0,$Q332/$K332)</f>
        <v>0</v>
      </c>
      <c r="S332" s="20" t="n">
        <f aca="false">IF($D332="",0,$K332-$L332-$M332-$N332)</f>
        <v>0</v>
      </c>
      <c r="T332" s="22"/>
      <c r="U332" s="20" t="n">
        <f aca="false">IF($T332="",0,MAX(0,$S332-$T332))</f>
        <v>0</v>
      </c>
      <c r="V332" s="21" t="n">
        <f aca="false">IF($S332=0,0,$U332/$S332)</f>
        <v>0</v>
      </c>
      <c r="W332" s="23" t="str">
        <f aca="false">IF($D332="","",IF($T332="","BEKLİYOR",IF(OR($U332=0,$S332=0),"DOĞRU",IF(AND($V332&gt;PazaryeriEksikHakedisEsik,$U332&gt;PazaryeriEksikHakedisTutarEsik),"EKSİK HAKEDİŞ","DOĞRU"))))</f>
        <v/>
      </c>
      <c r="X332" s="23" t="str">
        <f aca="false">IF($B332="","",CONCATENATE("Ürün: ",$B332," | Kâr: ",TEXT($Q332,"₺ #,##0")," | Durum: ",$W332))</f>
        <v/>
      </c>
      <c r="Y332" s="24"/>
    </row>
    <row r="333" customFormat="false" ht="15" hidden="false" customHeight="false" outlineLevel="0" collapsed="false">
      <c r="A333" s="24"/>
      <c r="B333" s="24"/>
      <c r="C333" s="22"/>
      <c r="D333" s="25"/>
      <c r="E333" s="22"/>
      <c r="F333" s="26"/>
      <c r="G333" s="26"/>
      <c r="H333" s="26"/>
      <c r="I333" s="26"/>
      <c r="J333" s="22"/>
      <c r="K333" s="20" t="n">
        <f aca="false">IF($D333="",0,$C333*$D333)</f>
        <v>0</v>
      </c>
      <c r="L333" s="20" t="n">
        <f aca="false">IF($D333="",0,$F333*$K333)</f>
        <v>0</v>
      </c>
      <c r="M333" s="20" t="n">
        <f aca="false">IF($D333="",0,$G333*$K333)</f>
        <v>0</v>
      </c>
      <c r="N333" s="20" t="n">
        <f aca="false">IF($D333="",0,$H333*$K333)</f>
        <v>0</v>
      </c>
      <c r="O333" s="20" t="n">
        <f aca="false">IF($D333="",0,$I333*$K333*(1-$F333))</f>
        <v>0</v>
      </c>
      <c r="P333" s="20" t="n">
        <f aca="false">IF($D333="",0,$E333*$D333+$L333+$M333+$N333+$O333+$J333*$D333)</f>
        <v>0</v>
      </c>
      <c r="Q333" s="20" t="n">
        <f aca="false">IF($D333="",0,$K333-$P333)</f>
        <v>0</v>
      </c>
      <c r="R333" s="21" t="n">
        <f aca="false">IF($K333=0,0,$Q333/$K333)</f>
        <v>0</v>
      </c>
      <c r="S333" s="20" t="n">
        <f aca="false">IF($D333="",0,$K333-$L333-$M333-$N333)</f>
        <v>0</v>
      </c>
      <c r="T333" s="22"/>
      <c r="U333" s="20" t="n">
        <f aca="false">IF($T333="",0,MAX(0,$S333-$T333))</f>
        <v>0</v>
      </c>
      <c r="V333" s="21" t="n">
        <f aca="false">IF($S333=0,0,$U333/$S333)</f>
        <v>0</v>
      </c>
      <c r="W333" s="23" t="str">
        <f aca="false">IF($D333="","",IF($T333="","BEKLİYOR",IF(OR($U333=0,$S333=0),"DOĞRU",IF(AND($V333&gt;PazaryeriEksikHakedisEsik,$U333&gt;PazaryeriEksikHakedisTutarEsik),"EKSİK HAKEDİŞ","DOĞRU"))))</f>
        <v/>
      </c>
      <c r="X333" s="23" t="str">
        <f aca="false">IF($B333="","",CONCATENATE("Ürün: ",$B333," | Kâr: ",TEXT($Q333,"₺ #,##0")," | Durum: ",$W333))</f>
        <v/>
      </c>
      <c r="Y333" s="24"/>
    </row>
    <row r="334" customFormat="false" ht="15" hidden="false" customHeight="false" outlineLevel="0" collapsed="false">
      <c r="A334" s="24"/>
      <c r="B334" s="24"/>
      <c r="C334" s="22"/>
      <c r="D334" s="25"/>
      <c r="E334" s="22"/>
      <c r="F334" s="26"/>
      <c r="G334" s="26"/>
      <c r="H334" s="26"/>
      <c r="I334" s="26"/>
      <c r="J334" s="22"/>
      <c r="K334" s="20" t="n">
        <f aca="false">IF($D334="",0,$C334*$D334)</f>
        <v>0</v>
      </c>
      <c r="L334" s="20" t="n">
        <f aca="false">IF($D334="",0,$F334*$K334)</f>
        <v>0</v>
      </c>
      <c r="M334" s="20" t="n">
        <f aca="false">IF($D334="",0,$G334*$K334)</f>
        <v>0</v>
      </c>
      <c r="N334" s="20" t="n">
        <f aca="false">IF($D334="",0,$H334*$K334)</f>
        <v>0</v>
      </c>
      <c r="O334" s="20" t="n">
        <f aca="false">IF($D334="",0,$I334*$K334*(1-$F334))</f>
        <v>0</v>
      </c>
      <c r="P334" s="20" t="n">
        <f aca="false">IF($D334="",0,$E334*$D334+$L334+$M334+$N334+$O334+$J334*$D334)</f>
        <v>0</v>
      </c>
      <c r="Q334" s="20" t="n">
        <f aca="false">IF($D334="",0,$K334-$P334)</f>
        <v>0</v>
      </c>
      <c r="R334" s="21" t="n">
        <f aca="false">IF($K334=0,0,$Q334/$K334)</f>
        <v>0</v>
      </c>
      <c r="S334" s="20" t="n">
        <f aca="false">IF($D334="",0,$K334-$L334-$M334-$N334)</f>
        <v>0</v>
      </c>
      <c r="T334" s="22"/>
      <c r="U334" s="20" t="n">
        <f aca="false">IF($T334="",0,MAX(0,$S334-$T334))</f>
        <v>0</v>
      </c>
      <c r="V334" s="21" t="n">
        <f aca="false">IF($S334=0,0,$U334/$S334)</f>
        <v>0</v>
      </c>
      <c r="W334" s="23" t="str">
        <f aca="false">IF($D334="","",IF($T334="","BEKLİYOR",IF(OR($U334=0,$S334=0),"DOĞRU",IF(AND($V334&gt;PazaryeriEksikHakedisEsik,$U334&gt;PazaryeriEksikHakedisTutarEsik),"EKSİK HAKEDİŞ","DOĞRU"))))</f>
        <v/>
      </c>
      <c r="X334" s="23" t="str">
        <f aca="false">IF($B334="","",CONCATENATE("Ürün: ",$B334," | Kâr: ",TEXT($Q334,"₺ #,##0")," | Durum: ",$W334))</f>
        <v/>
      </c>
      <c r="Y334" s="24"/>
    </row>
    <row r="335" customFormat="false" ht="15" hidden="false" customHeight="false" outlineLevel="0" collapsed="false">
      <c r="A335" s="24"/>
      <c r="B335" s="24"/>
      <c r="C335" s="22"/>
      <c r="D335" s="25"/>
      <c r="E335" s="22"/>
      <c r="F335" s="26"/>
      <c r="G335" s="26"/>
      <c r="H335" s="26"/>
      <c r="I335" s="26"/>
      <c r="J335" s="22"/>
      <c r="K335" s="20" t="n">
        <f aca="false">IF($D335="",0,$C335*$D335)</f>
        <v>0</v>
      </c>
      <c r="L335" s="20" t="n">
        <f aca="false">IF($D335="",0,$F335*$K335)</f>
        <v>0</v>
      </c>
      <c r="M335" s="20" t="n">
        <f aca="false">IF($D335="",0,$G335*$K335)</f>
        <v>0</v>
      </c>
      <c r="N335" s="20" t="n">
        <f aca="false">IF($D335="",0,$H335*$K335)</f>
        <v>0</v>
      </c>
      <c r="O335" s="20" t="n">
        <f aca="false">IF($D335="",0,$I335*$K335*(1-$F335))</f>
        <v>0</v>
      </c>
      <c r="P335" s="20" t="n">
        <f aca="false">IF($D335="",0,$E335*$D335+$L335+$M335+$N335+$O335+$J335*$D335)</f>
        <v>0</v>
      </c>
      <c r="Q335" s="20" t="n">
        <f aca="false">IF($D335="",0,$K335-$P335)</f>
        <v>0</v>
      </c>
      <c r="R335" s="21" t="n">
        <f aca="false">IF($K335=0,0,$Q335/$K335)</f>
        <v>0</v>
      </c>
      <c r="S335" s="20" t="n">
        <f aca="false">IF($D335="",0,$K335-$L335-$M335-$N335)</f>
        <v>0</v>
      </c>
      <c r="T335" s="22"/>
      <c r="U335" s="20" t="n">
        <f aca="false">IF($T335="",0,MAX(0,$S335-$T335))</f>
        <v>0</v>
      </c>
      <c r="V335" s="21" t="n">
        <f aca="false">IF($S335=0,0,$U335/$S335)</f>
        <v>0</v>
      </c>
      <c r="W335" s="23" t="str">
        <f aca="false">IF($D335="","",IF($T335="","BEKLİYOR",IF(OR($U335=0,$S335=0),"DOĞRU",IF(AND($V335&gt;PazaryeriEksikHakedisEsik,$U335&gt;PazaryeriEksikHakedisTutarEsik),"EKSİK HAKEDİŞ","DOĞRU"))))</f>
        <v/>
      </c>
      <c r="X335" s="23" t="str">
        <f aca="false">IF($B335="","",CONCATENATE("Ürün: ",$B335," | Kâr: ",TEXT($Q335,"₺ #,##0")," | Durum: ",$W335))</f>
        <v/>
      </c>
      <c r="Y335" s="24"/>
    </row>
    <row r="336" customFormat="false" ht="15" hidden="false" customHeight="false" outlineLevel="0" collapsed="false">
      <c r="A336" s="24"/>
      <c r="B336" s="24"/>
      <c r="C336" s="22"/>
      <c r="D336" s="25"/>
      <c r="E336" s="22"/>
      <c r="F336" s="26"/>
      <c r="G336" s="26"/>
      <c r="H336" s="26"/>
      <c r="I336" s="26"/>
      <c r="J336" s="22"/>
      <c r="K336" s="20" t="n">
        <f aca="false">IF($D336="",0,$C336*$D336)</f>
        <v>0</v>
      </c>
      <c r="L336" s="20" t="n">
        <f aca="false">IF($D336="",0,$F336*$K336)</f>
        <v>0</v>
      </c>
      <c r="M336" s="20" t="n">
        <f aca="false">IF($D336="",0,$G336*$K336)</f>
        <v>0</v>
      </c>
      <c r="N336" s="20" t="n">
        <f aca="false">IF($D336="",0,$H336*$K336)</f>
        <v>0</v>
      </c>
      <c r="O336" s="20" t="n">
        <f aca="false">IF($D336="",0,$I336*$K336*(1-$F336))</f>
        <v>0</v>
      </c>
      <c r="P336" s="20" t="n">
        <f aca="false">IF($D336="",0,$E336*$D336+$L336+$M336+$N336+$O336+$J336*$D336)</f>
        <v>0</v>
      </c>
      <c r="Q336" s="20" t="n">
        <f aca="false">IF($D336="",0,$K336-$P336)</f>
        <v>0</v>
      </c>
      <c r="R336" s="21" t="n">
        <f aca="false">IF($K336=0,0,$Q336/$K336)</f>
        <v>0</v>
      </c>
      <c r="S336" s="20" t="n">
        <f aca="false">IF($D336="",0,$K336-$L336-$M336-$N336)</f>
        <v>0</v>
      </c>
      <c r="T336" s="22"/>
      <c r="U336" s="20" t="n">
        <f aca="false">IF($T336="",0,MAX(0,$S336-$T336))</f>
        <v>0</v>
      </c>
      <c r="V336" s="21" t="n">
        <f aca="false">IF($S336=0,0,$U336/$S336)</f>
        <v>0</v>
      </c>
      <c r="W336" s="23" t="str">
        <f aca="false">IF($D336="","",IF($T336="","BEKLİYOR",IF(OR($U336=0,$S336=0),"DOĞRU",IF(AND($V336&gt;PazaryeriEksikHakedisEsik,$U336&gt;PazaryeriEksikHakedisTutarEsik),"EKSİK HAKEDİŞ","DOĞRU"))))</f>
        <v/>
      </c>
      <c r="X336" s="23" t="str">
        <f aca="false">IF($B336="","",CONCATENATE("Ürün: ",$B336," | Kâr: ",TEXT($Q336,"₺ #,##0")," | Durum: ",$W336))</f>
        <v/>
      </c>
      <c r="Y336" s="24"/>
    </row>
    <row r="337" customFormat="false" ht="15" hidden="false" customHeight="false" outlineLevel="0" collapsed="false">
      <c r="A337" s="24"/>
      <c r="B337" s="24"/>
      <c r="C337" s="22"/>
      <c r="D337" s="25"/>
      <c r="E337" s="22"/>
      <c r="F337" s="26"/>
      <c r="G337" s="26"/>
      <c r="H337" s="26"/>
      <c r="I337" s="26"/>
      <c r="J337" s="22"/>
      <c r="K337" s="20" t="n">
        <f aca="false">IF($D337="",0,$C337*$D337)</f>
        <v>0</v>
      </c>
      <c r="L337" s="20" t="n">
        <f aca="false">IF($D337="",0,$F337*$K337)</f>
        <v>0</v>
      </c>
      <c r="M337" s="20" t="n">
        <f aca="false">IF($D337="",0,$G337*$K337)</f>
        <v>0</v>
      </c>
      <c r="N337" s="20" t="n">
        <f aca="false">IF($D337="",0,$H337*$K337)</f>
        <v>0</v>
      </c>
      <c r="O337" s="20" t="n">
        <f aca="false">IF($D337="",0,$I337*$K337*(1-$F337))</f>
        <v>0</v>
      </c>
      <c r="P337" s="20" t="n">
        <f aca="false">IF($D337="",0,$E337*$D337+$L337+$M337+$N337+$O337+$J337*$D337)</f>
        <v>0</v>
      </c>
      <c r="Q337" s="20" t="n">
        <f aca="false">IF($D337="",0,$K337-$P337)</f>
        <v>0</v>
      </c>
      <c r="R337" s="21" t="n">
        <f aca="false">IF($K337=0,0,$Q337/$K337)</f>
        <v>0</v>
      </c>
      <c r="S337" s="20" t="n">
        <f aca="false">IF($D337="",0,$K337-$L337-$M337-$N337)</f>
        <v>0</v>
      </c>
      <c r="T337" s="22"/>
      <c r="U337" s="20" t="n">
        <f aca="false">IF($T337="",0,MAX(0,$S337-$T337))</f>
        <v>0</v>
      </c>
      <c r="V337" s="21" t="n">
        <f aca="false">IF($S337=0,0,$U337/$S337)</f>
        <v>0</v>
      </c>
      <c r="W337" s="23" t="str">
        <f aca="false">IF($D337="","",IF($T337="","BEKLİYOR",IF(OR($U337=0,$S337=0),"DOĞRU",IF(AND($V337&gt;PazaryeriEksikHakedisEsik,$U337&gt;PazaryeriEksikHakedisTutarEsik),"EKSİK HAKEDİŞ","DOĞRU"))))</f>
        <v/>
      </c>
      <c r="X337" s="23" t="str">
        <f aca="false">IF($B337="","",CONCATENATE("Ürün: ",$B337," | Kâr: ",TEXT($Q337,"₺ #,##0")," | Durum: ",$W337))</f>
        <v/>
      </c>
      <c r="Y337" s="24"/>
    </row>
    <row r="338" customFormat="false" ht="15" hidden="false" customHeight="false" outlineLevel="0" collapsed="false">
      <c r="A338" s="24"/>
      <c r="B338" s="24"/>
      <c r="C338" s="22"/>
      <c r="D338" s="25"/>
      <c r="E338" s="22"/>
      <c r="F338" s="26"/>
      <c r="G338" s="26"/>
      <c r="H338" s="26"/>
      <c r="I338" s="26"/>
      <c r="J338" s="22"/>
      <c r="K338" s="20" t="n">
        <f aca="false">IF($D338="",0,$C338*$D338)</f>
        <v>0</v>
      </c>
      <c r="L338" s="20" t="n">
        <f aca="false">IF($D338="",0,$F338*$K338)</f>
        <v>0</v>
      </c>
      <c r="M338" s="20" t="n">
        <f aca="false">IF($D338="",0,$G338*$K338)</f>
        <v>0</v>
      </c>
      <c r="N338" s="20" t="n">
        <f aca="false">IF($D338="",0,$H338*$K338)</f>
        <v>0</v>
      </c>
      <c r="O338" s="20" t="n">
        <f aca="false">IF($D338="",0,$I338*$K338*(1-$F338))</f>
        <v>0</v>
      </c>
      <c r="P338" s="20" t="n">
        <f aca="false">IF($D338="",0,$E338*$D338+$L338+$M338+$N338+$O338+$J338*$D338)</f>
        <v>0</v>
      </c>
      <c r="Q338" s="20" t="n">
        <f aca="false">IF($D338="",0,$K338-$P338)</f>
        <v>0</v>
      </c>
      <c r="R338" s="21" t="n">
        <f aca="false">IF($K338=0,0,$Q338/$K338)</f>
        <v>0</v>
      </c>
      <c r="S338" s="20" t="n">
        <f aca="false">IF($D338="",0,$K338-$L338-$M338-$N338)</f>
        <v>0</v>
      </c>
      <c r="T338" s="22"/>
      <c r="U338" s="20" t="n">
        <f aca="false">IF($T338="",0,MAX(0,$S338-$T338))</f>
        <v>0</v>
      </c>
      <c r="V338" s="21" t="n">
        <f aca="false">IF($S338=0,0,$U338/$S338)</f>
        <v>0</v>
      </c>
      <c r="W338" s="23" t="str">
        <f aca="false">IF($D338="","",IF($T338="","BEKLİYOR",IF(OR($U338=0,$S338=0),"DOĞRU",IF(AND($V338&gt;PazaryeriEksikHakedisEsik,$U338&gt;PazaryeriEksikHakedisTutarEsik),"EKSİK HAKEDİŞ","DOĞRU"))))</f>
        <v/>
      </c>
      <c r="X338" s="23" t="str">
        <f aca="false">IF($B338="","",CONCATENATE("Ürün: ",$B338," | Kâr: ",TEXT($Q338,"₺ #,##0")," | Durum: ",$W338))</f>
        <v/>
      </c>
      <c r="Y338" s="24"/>
    </row>
    <row r="339" customFormat="false" ht="15" hidden="false" customHeight="false" outlineLevel="0" collapsed="false">
      <c r="A339" s="24"/>
      <c r="B339" s="24"/>
      <c r="C339" s="22"/>
      <c r="D339" s="25"/>
      <c r="E339" s="22"/>
      <c r="F339" s="26"/>
      <c r="G339" s="26"/>
      <c r="H339" s="26"/>
      <c r="I339" s="26"/>
      <c r="J339" s="22"/>
      <c r="K339" s="20" t="n">
        <f aca="false">IF($D339="",0,$C339*$D339)</f>
        <v>0</v>
      </c>
      <c r="L339" s="20" t="n">
        <f aca="false">IF($D339="",0,$F339*$K339)</f>
        <v>0</v>
      </c>
      <c r="M339" s="20" t="n">
        <f aca="false">IF($D339="",0,$G339*$K339)</f>
        <v>0</v>
      </c>
      <c r="N339" s="20" t="n">
        <f aca="false">IF($D339="",0,$H339*$K339)</f>
        <v>0</v>
      </c>
      <c r="O339" s="20" t="n">
        <f aca="false">IF($D339="",0,$I339*$K339*(1-$F339))</f>
        <v>0</v>
      </c>
      <c r="P339" s="20" t="n">
        <f aca="false">IF($D339="",0,$E339*$D339+$L339+$M339+$N339+$O339+$J339*$D339)</f>
        <v>0</v>
      </c>
      <c r="Q339" s="20" t="n">
        <f aca="false">IF($D339="",0,$K339-$P339)</f>
        <v>0</v>
      </c>
      <c r="R339" s="21" t="n">
        <f aca="false">IF($K339=0,0,$Q339/$K339)</f>
        <v>0</v>
      </c>
      <c r="S339" s="20" t="n">
        <f aca="false">IF($D339="",0,$K339-$L339-$M339-$N339)</f>
        <v>0</v>
      </c>
      <c r="T339" s="22"/>
      <c r="U339" s="20" t="n">
        <f aca="false">IF($T339="",0,MAX(0,$S339-$T339))</f>
        <v>0</v>
      </c>
      <c r="V339" s="21" t="n">
        <f aca="false">IF($S339=0,0,$U339/$S339)</f>
        <v>0</v>
      </c>
      <c r="W339" s="23" t="str">
        <f aca="false">IF($D339="","",IF($T339="","BEKLİYOR",IF(OR($U339=0,$S339=0),"DOĞRU",IF(AND($V339&gt;PazaryeriEksikHakedisEsik,$U339&gt;PazaryeriEksikHakedisTutarEsik),"EKSİK HAKEDİŞ","DOĞRU"))))</f>
        <v/>
      </c>
      <c r="X339" s="23" t="str">
        <f aca="false">IF($B339="","",CONCATENATE("Ürün: ",$B339," | Kâr: ",TEXT($Q339,"₺ #,##0")," | Durum: ",$W339))</f>
        <v/>
      </c>
      <c r="Y339" s="24"/>
    </row>
    <row r="340" customFormat="false" ht="15" hidden="false" customHeight="false" outlineLevel="0" collapsed="false">
      <c r="A340" s="24"/>
      <c r="B340" s="24"/>
      <c r="C340" s="22"/>
      <c r="D340" s="25"/>
      <c r="E340" s="22"/>
      <c r="F340" s="26"/>
      <c r="G340" s="26"/>
      <c r="H340" s="26"/>
      <c r="I340" s="26"/>
      <c r="J340" s="22"/>
      <c r="K340" s="20" t="n">
        <f aca="false">IF($D340="",0,$C340*$D340)</f>
        <v>0</v>
      </c>
      <c r="L340" s="20" t="n">
        <f aca="false">IF($D340="",0,$F340*$K340)</f>
        <v>0</v>
      </c>
      <c r="M340" s="20" t="n">
        <f aca="false">IF($D340="",0,$G340*$K340)</f>
        <v>0</v>
      </c>
      <c r="N340" s="20" t="n">
        <f aca="false">IF($D340="",0,$H340*$K340)</f>
        <v>0</v>
      </c>
      <c r="O340" s="20" t="n">
        <f aca="false">IF($D340="",0,$I340*$K340*(1-$F340))</f>
        <v>0</v>
      </c>
      <c r="P340" s="20" t="n">
        <f aca="false">IF($D340="",0,$E340*$D340+$L340+$M340+$N340+$O340+$J340*$D340)</f>
        <v>0</v>
      </c>
      <c r="Q340" s="20" t="n">
        <f aca="false">IF($D340="",0,$K340-$P340)</f>
        <v>0</v>
      </c>
      <c r="R340" s="21" t="n">
        <f aca="false">IF($K340=0,0,$Q340/$K340)</f>
        <v>0</v>
      </c>
      <c r="S340" s="20" t="n">
        <f aca="false">IF($D340="",0,$K340-$L340-$M340-$N340)</f>
        <v>0</v>
      </c>
      <c r="T340" s="22"/>
      <c r="U340" s="20" t="n">
        <f aca="false">IF($T340="",0,MAX(0,$S340-$T340))</f>
        <v>0</v>
      </c>
      <c r="V340" s="21" t="n">
        <f aca="false">IF($S340=0,0,$U340/$S340)</f>
        <v>0</v>
      </c>
      <c r="W340" s="23" t="str">
        <f aca="false">IF($D340="","",IF($T340="","BEKLİYOR",IF(OR($U340=0,$S340=0),"DOĞRU",IF(AND($V340&gt;PazaryeriEksikHakedisEsik,$U340&gt;PazaryeriEksikHakedisTutarEsik),"EKSİK HAKEDİŞ","DOĞRU"))))</f>
        <v/>
      </c>
      <c r="X340" s="23" t="str">
        <f aca="false">IF($B340="","",CONCATENATE("Ürün: ",$B340," | Kâr: ",TEXT($Q340,"₺ #,##0")," | Durum: ",$W340))</f>
        <v/>
      </c>
      <c r="Y340" s="24"/>
    </row>
    <row r="341" customFormat="false" ht="15" hidden="false" customHeight="false" outlineLevel="0" collapsed="false">
      <c r="A341" s="24"/>
      <c r="B341" s="24"/>
      <c r="C341" s="22"/>
      <c r="D341" s="25"/>
      <c r="E341" s="22"/>
      <c r="F341" s="26"/>
      <c r="G341" s="26"/>
      <c r="H341" s="26"/>
      <c r="I341" s="26"/>
      <c r="J341" s="22"/>
      <c r="K341" s="20" t="n">
        <f aca="false">IF($D341="",0,$C341*$D341)</f>
        <v>0</v>
      </c>
      <c r="L341" s="20" t="n">
        <f aca="false">IF($D341="",0,$F341*$K341)</f>
        <v>0</v>
      </c>
      <c r="M341" s="20" t="n">
        <f aca="false">IF($D341="",0,$G341*$K341)</f>
        <v>0</v>
      </c>
      <c r="N341" s="20" t="n">
        <f aca="false">IF($D341="",0,$H341*$K341)</f>
        <v>0</v>
      </c>
      <c r="O341" s="20" t="n">
        <f aca="false">IF($D341="",0,$I341*$K341*(1-$F341))</f>
        <v>0</v>
      </c>
      <c r="P341" s="20" t="n">
        <f aca="false">IF($D341="",0,$E341*$D341+$L341+$M341+$N341+$O341+$J341*$D341)</f>
        <v>0</v>
      </c>
      <c r="Q341" s="20" t="n">
        <f aca="false">IF($D341="",0,$K341-$P341)</f>
        <v>0</v>
      </c>
      <c r="R341" s="21" t="n">
        <f aca="false">IF($K341=0,0,$Q341/$K341)</f>
        <v>0</v>
      </c>
      <c r="S341" s="20" t="n">
        <f aca="false">IF($D341="",0,$K341-$L341-$M341-$N341)</f>
        <v>0</v>
      </c>
      <c r="T341" s="22"/>
      <c r="U341" s="20" t="n">
        <f aca="false">IF($T341="",0,MAX(0,$S341-$T341))</f>
        <v>0</v>
      </c>
      <c r="V341" s="21" t="n">
        <f aca="false">IF($S341=0,0,$U341/$S341)</f>
        <v>0</v>
      </c>
      <c r="W341" s="23" t="str">
        <f aca="false">IF($D341="","",IF($T341="","BEKLİYOR",IF(OR($U341=0,$S341=0),"DOĞRU",IF(AND($V341&gt;PazaryeriEksikHakedisEsik,$U341&gt;PazaryeriEksikHakedisTutarEsik),"EKSİK HAKEDİŞ","DOĞRU"))))</f>
        <v/>
      </c>
      <c r="X341" s="23" t="str">
        <f aca="false">IF($B341="","",CONCATENATE("Ürün: ",$B341," | Kâr: ",TEXT($Q341,"₺ #,##0")," | Durum: ",$W341))</f>
        <v/>
      </c>
      <c r="Y341" s="24"/>
    </row>
    <row r="342" customFormat="false" ht="15" hidden="false" customHeight="false" outlineLevel="0" collapsed="false">
      <c r="A342" s="24"/>
      <c r="B342" s="24"/>
      <c r="C342" s="22"/>
      <c r="D342" s="25"/>
      <c r="E342" s="22"/>
      <c r="F342" s="26"/>
      <c r="G342" s="26"/>
      <c r="H342" s="26"/>
      <c r="I342" s="26"/>
      <c r="J342" s="22"/>
      <c r="K342" s="20" t="n">
        <f aca="false">IF($D342="",0,$C342*$D342)</f>
        <v>0</v>
      </c>
      <c r="L342" s="20" t="n">
        <f aca="false">IF($D342="",0,$F342*$K342)</f>
        <v>0</v>
      </c>
      <c r="M342" s="20" t="n">
        <f aca="false">IF($D342="",0,$G342*$K342)</f>
        <v>0</v>
      </c>
      <c r="N342" s="20" t="n">
        <f aca="false">IF($D342="",0,$H342*$K342)</f>
        <v>0</v>
      </c>
      <c r="O342" s="20" t="n">
        <f aca="false">IF($D342="",0,$I342*$K342*(1-$F342))</f>
        <v>0</v>
      </c>
      <c r="P342" s="20" t="n">
        <f aca="false">IF($D342="",0,$E342*$D342+$L342+$M342+$N342+$O342+$J342*$D342)</f>
        <v>0</v>
      </c>
      <c r="Q342" s="20" t="n">
        <f aca="false">IF($D342="",0,$K342-$P342)</f>
        <v>0</v>
      </c>
      <c r="R342" s="21" t="n">
        <f aca="false">IF($K342=0,0,$Q342/$K342)</f>
        <v>0</v>
      </c>
      <c r="S342" s="20" t="n">
        <f aca="false">IF($D342="",0,$K342-$L342-$M342-$N342)</f>
        <v>0</v>
      </c>
      <c r="T342" s="22"/>
      <c r="U342" s="20" t="n">
        <f aca="false">IF($T342="",0,MAX(0,$S342-$T342))</f>
        <v>0</v>
      </c>
      <c r="V342" s="21" t="n">
        <f aca="false">IF($S342=0,0,$U342/$S342)</f>
        <v>0</v>
      </c>
      <c r="W342" s="23" t="str">
        <f aca="false">IF($D342="","",IF($T342="","BEKLİYOR",IF(OR($U342=0,$S342=0),"DOĞRU",IF(AND($V342&gt;PazaryeriEksikHakedisEsik,$U342&gt;PazaryeriEksikHakedisTutarEsik),"EKSİK HAKEDİŞ","DOĞRU"))))</f>
        <v/>
      </c>
      <c r="X342" s="23" t="str">
        <f aca="false">IF($B342="","",CONCATENATE("Ürün: ",$B342," | Kâr: ",TEXT($Q342,"₺ #,##0")," | Durum: ",$W342))</f>
        <v/>
      </c>
      <c r="Y342" s="24"/>
    </row>
    <row r="343" customFormat="false" ht="15" hidden="false" customHeight="false" outlineLevel="0" collapsed="false">
      <c r="A343" s="24"/>
      <c r="B343" s="24"/>
      <c r="C343" s="22"/>
      <c r="D343" s="25"/>
      <c r="E343" s="22"/>
      <c r="F343" s="26"/>
      <c r="G343" s="26"/>
      <c r="H343" s="26"/>
      <c r="I343" s="26"/>
      <c r="J343" s="22"/>
      <c r="K343" s="20" t="n">
        <f aca="false">IF($D343="",0,$C343*$D343)</f>
        <v>0</v>
      </c>
      <c r="L343" s="20" t="n">
        <f aca="false">IF($D343="",0,$F343*$K343)</f>
        <v>0</v>
      </c>
      <c r="M343" s="20" t="n">
        <f aca="false">IF($D343="",0,$G343*$K343)</f>
        <v>0</v>
      </c>
      <c r="N343" s="20" t="n">
        <f aca="false">IF($D343="",0,$H343*$K343)</f>
        <v>0</v>
      </c>
      <c r="O343" s="20" t="n">
        <f aca="false">IF($D343="",0,$I343*$K343*(1-$F343))</f>
        <v>0</v>
      </c>
      <c r="P343" s="20" t="n">
        <f aca="false">IF($D343="",0,$E343*$D343+$L343+$M343+$N343+$O343+$J343*$D343)</f>
        <v>0</v>
      </c>
      <c r="Q343" s="20" t="n">
        <f aca="false">IF($D343="",0,$K343-$P343)</f>
        <v>0</v>
      </c>
      <c r="R343" s="21" t="n">
        <f aca="false">IF($K343=0,0,$Q343/$K343)</f>
        <v>0</v>
      </c>
      <c r="S343" s="20" t="n">
        <f aca="false">IF($D343="",0,$K343-$L343-$M343-$N343)</f>
        <v>0</v>
      </c>
      <c r="T343" s="22"/>
      <c r="U343" s="20" t="n">
        <f aca="false">IF($T343="",0,MAX(0,$S343-$T343))</f>
        <v>0</v>
      </c>
      <c r="V343" s="21" t="n">
        <f aca="false">IF($S343=0,0,$U343/$S343)</f>
        <v>0</v>
      </c>
      <c r="W343" s="23" t="str">
        <f aca="false">IF($D343="","",IF($T343="","BEKLİYOR",IF(OR($U343=0,$S343=0),"DOĞRU",IF(AND($V343&gt;PazaryeriEksikHakedisEsik,$U343&gt;PazaryeriEksikHakedisTutarEsik),"EKSİK HAKEDİŞ","DOĞRU"))))</f>
        <v/>
      </c>
      <c r="X343" s="23" t="str">
        <f aca="false">IF($B343="","",CONCATENATE("Ürün: ",$B343," | Kâr: ",TEXT($Q343,"₺ #,##0")," | Durum: ",$W343))</f>
        <v/>
      </c>
      <c r="Y343" s="24"/>
    </row>
    <row r="344" customFormat="false" ht="15" hidden="false" customHeight="false" outlineLevel="0" collapsed="false">
      <c r="A344" s="24"/>
      <c r="B344" s="24"/>
      <c r="C344" s="22"/>
      <c r="D344" s="25"/>
      <c r="E344" s="22"/>
      <c r="F344" s="26"/>
      <c r="G344" s="26"/>
      <c r="H344" s="26"/>
      <c r="I344" s="26"/>
      <c r="J344" s="22"/>
      <c r="K344" s="20" t="n">
        <f aca="false">IF($D344="",0,$C344*$D344)</f>
        <v>0</v>
      </c>
      <c r="L344" s="20" t="n">
        <f aca="false">IF($D344="",0,$F344*$K344)</f>
        <v>0</v>
      </c>
      <c r="M344" s="20" t="n">
        <f aca="false">IF($D344="",0,$G344*$K344)</f>
        <v>0</v>
      </c>
      <c r="N344" s="20" t="n">
        <f aca="false">IF($D344="",0,$H344*$K344)</f>
        <v>0</v>
      </c>
      <c r="O344" s="20" t="n">
        <f aca="false">IF($D344="",0,$I344*$K344*(1-$F344))</f>
        <v>0</v>
      </c>
      <c r="P344" s="20" t="n">
        <f aca="false">IF($D344="",0,$E344*$D344+$L344+$M344+$N344+$O344+$J344*$D344)</f>
        <v>0</v>
      </c>
      <c r="Q344" s="20" t="n">
        <f aca="false">IF($D344="",0,$K344-$P344)</f>
        <v>0</v>
      </c>
      <c r="R344" s="21" t="n">
        <f aca="false">IF($K344=0,0,$Q344/$K344)</f>
        <v>0</v>
      </c>
      <c r="S344" s="20" t="n">
        <f aca="false">IF($D344="",0,$K344-$L344-$M344-$N344)</f>
        <v>0</v>
      </c>
      <c r="T344" s="22"/>
      <c r="U344" s="20" t="n">
        <f aca="false">IF($T344="",0,MAX(0,$S344-$T344))</f>
        <v>0</v>
      </c>
      <c r="V344" s="21" t="n">
        <f aca="false">IF($S344=0,0,$U344/$S344)</f>
        <v>0</v>
      </c>
      <c r="W344" s="23" t="str">
        <f aca="false">IF($D344="","",IF($T344="","BEKLİYOR",IF(OR($U344=0,$S344=0),"DOĞRU",IF(AND($V344&gt;PazaryeriEksikHakedisEsik,$U344&gt;PazaryeriEksikHakedisTutarEsik),"EKSİK HAKEDİŞ","DOĞRU"))))</f>
        <v/>
      </c>
      <c r="X344" s="23" t="str">
        <f aca="false">IF($B344="","",CONCATENATE("Ürün: ",$B344," | Kâr: ",TEXT($Q344,"₺ #,##0")," | Durum: ",$W344))</f>
        <v/>
      </c>
      <c r="Y344" s="24"/>
    </row>
    <row r="345" customFormat="false" ht="15" hidden="false" customHeight="false" outlineLevel="0" collapsed="false">
      <c r="A345" s="24"/>
      <c r="B345" s="24"/>
      <c r="C345" s="22"/>
      <c r="D345" s="25"/>
      <c r="E345" s="22"/>
      <c r="F345" s="26"/>
      <c r="G345" s="26"/>
      <c r="H345" s="26"/>
      <c r="I345" s="26"/>
      <c r="J345" s="22"/>
      <c r="K345" s="20" t="n">
        <f aca="false">IF($D345="",0,$C345*$D345)</f>
        <v>0</v>
      </c>
      <c r="L345" s="20" t="n">
        <f aca="false">IF($D345="",0,$F345*$K345)</f>
        <v>0</v>
      </c>
      <c r="M345" s="20" t="n">
        <f aca="false">IF($D345="",0,$G345*$K345)</f>
        <v>0</v>
      </c>
      <c r="N345" s="20" t="n">
        <f aca="false">IF($D345="",0,$H345*$K345)</f>
        <v>0</v>
      </c>
      <c r="O345" s="20" t="n">
        <f aca="false">IF($D345="",0,$I345*$K345*(1-$F345))</f>
        <v>0</v>
      </c>
      <c r="P345" s="20" t="n">
        <f aca="false">IF($D345="",0,$E345*$D345+$L345+$M345+$N345+$O345+$J345*$D345)</f>
        <v>0</v>
      </c>
      <c r="Q345" s="20" t="n">
        <f aca="false">IF($D345="",0,$K345-$P345)</f>
        <v>0</v>
      </c>
      <c r="R345" s="21" t="n">
        <f aca="false">IF($K345=0,0,$Q345/$K345)</f>
        <v>0</v>
      </c>
      <c r="S345" s="20" t="n">
        <f aca="false">IF($D345="",0,$K345-$L345-$M345-$N345)</f>
        <v>0</v>
      </c>
      <c r="T345" s="22"/>
      <c r="U345" s="20" t="n">
        <f aca="false">IF($T345="",0,MAX(0,$S345-$T345))</f>
        <v>0</v>
      </c>
      <c r="V345" s="21" t="n">
        <f aca="false">IF($S345=0,0,$U345/$S345)</f>
        <v>0</v>
      </c>
      <c r="W345" s="23" t="str">
        <f aca="false">IF($D345="","",IF($T345="","BEKLİYOR",IF(OR($U345=0,$S345=0),"DOĞRU",IF(AND($V345&gt;PazaryeriEksikHakedisEsik,$U345&gt;PazaryeriEksikHakedisTutarEsik),"EKSİK HAKEDİŞ","DOĞRU"))))</f>
        <v/>
      </c>
      <c r="X345" s="23" t="str">
        <f aca="false">IF($B345="","",CONCATENATE("Ürün: ",$B345," | Kâr: ",TEXT($Q345,"₺ #,##0")," | Durum: ",$W345))</f>
        <v/>
      </c>
      <c r="Y345" s="24"/>
    </row>
    <row r="346" customFormat="false" ht="15" hidden="false" customHeight="false" outlineLevel="0" collapsed="false">
      <c r="A346" s="24"/>
      <c r="B346" s="24"/>
      <c r="C346" s="22"/>
      <c r="D346" s="25"/>
      <c r="E346" s="22"/>
      <c r="F346" s="26"/>
      <c r="G346" s="26"/>
      <c r="H346" s="26"/>
      <c r="I346" s="26"/>
      <c r="J346" s="22"/>
      <c r="K346" s="20" t="n">
        <f aca="false">IF($D346="",0,$C346*$D346)</f>
        <v>0</v>
      </c>
      <c r="L346" s="20" t="n">
        <f aca="false">IF($D346="",0,$F346*$K346)</f>
        <v>0</v>
      </c>
      <c r="M346" s="20" t="n">
        <f aca="false">IF($D346="",0,$G346*$K346)</f>
        <v>0</v>
      </c>
      <c r="N346" s="20" t="n">
        <f aca="false">IF($D346="",0,$H346*$K346)</f>
        <v>0</v>
      </c>
      <c r="O346" s="20" t="n">
        <f aca="false">IF($D346="",0,$I346*$K346*(1-$F346))</f>
        <v>0</v>
      </c>
      <c r="P346" s="20" t="n">
        <f aca="false">IF($D346="",0,$E346*$D346+$L346+$M346+$N346+$O346+$J346*$D346)</f>
        <v>0</v>
      </c>
      <c r="Q346" s="20" t="n">
        <f aca="false">IF($D346="",0,$K346-$P346)</f>
        <v>0</v>
      </c>
      <c r="R346" s="21" t="n">
        <f aca="false">IF($K346=0,0,$Q346/$K346)</f>
        <v>0</v>
      </c>
      <c r="S346" s="20" t="n">
        <f aca="false">IF($D346="",0,$K346-$L346-$M346-$N346)</f>
        <v>0</v>
      </c>
      <c r="T346" s="22"/>
      <c r="U346" s="20" t="n">
        <f aca="false">IF($T346="",0,MAX(0,$S346-$T346))</f>
        <v>0</v>
      </c>
      <c r="V346" s="21" t="n">
        <f aca="false">IF($S346=0,0,$U346/$S346)</f>
        <v>0</v>
      </c>
      <c r="W346" s="23" t="str">
        <f aca="false">IF($D346="","",IF($T346="","BEKLİYOR",IF(OR($U346=0,$S346=0),"DOĞRU",IF(AND($V346&gt;PazaryeriEksikHakedisEsik,$U346&gt;PazaryeriEksikHakedisTutarEsik),"EKSİK HAKEDİŞ","DOĞRU"))))</f>
        <v/>
      </c>
      <c r="X346" s="23" t="str">
        <f aca="false">IF($B346="","",CONCATENATE("Ürün: ",$B346," | Kâr: ",TEXT($Q346,"₺ #,##0")," | Durum: ",$W346))</f>
        <v/>
      </c>
      <c r="Y346" s="24"/>
    </row>
    <row r="347" customFormat="false" ht="15" hidden="false" customHeight="false" outlineLevel="0" collapsed="false">
      <c r="A347" s="24"/>
      <c r="B347" s="24"/>
      <c r="C347" s="22"/>
      <c r="D347" s="25"/>
      <c r="E347" s="22"/>
      <c r="F347" s="26"/>
      <c r="G347" s="26"/>
      <c r="H347" s="26"/>
      <c r="I347" s="26"/>
      <c r="J347" s="22"/>
      <c r="K347" s="20" t="n">
        <f aca="false">IF($D347="",0,$C347*$D347)</f>
        <v>0</v>
      </c>
      <c r="L347" s="20" t="n">
        <f aca="false">IF($D347="",0,$F347*$K347)</f>
        <v>0</v>
      </c>
      <c r="M347" s="20" t="n">
        <f aca="false">IF($D347="",0,$G347*$K347)</f>
        <v>0</v>
      </c>
      <c r="N347" s="20" t="n">
        <f aca="false">IF($D347="",0,$H347*$K347)</f>
        <v>0</v>
      </c>
      <c r="O347" s="20" t="n">
        <f aca="false">IF($D347="",0,$I347*$K347*(1-$F347))</f>
        <v>0</v>
      </c>
      <c r="P347" s="20" t="n">
        <f aca="false">IF($D347="",0,$E347*$D347+$L347+$M347+$N347+$O347+$J347*$D347)</f>
        <v>0</v>
      </c>
      <c r="Q347" s="20" t="n">
        <f aca="false">IF($D347="",0,$K347-$P347)</f>
        <v>0</v>
      </c>
      <c r="R347" s="21" t="n">
        <f aca="false">IF($K347=0,0,$Q347/$K347)</f>
        <v>0</v>
      </c>
      <c r="S347" s="20" t="n">
        <f aca="false">IF($D347="",0,$K347-$L347-$M347-$N347)</f>
        <v>0</v>
      </c>
      <c r="T347" s="22"/>
      <c r="U347" s="20" t="n">
        <f aca="false">IF($T347="",0,MAX(0,$S347-$T347))</f>
        <v>0</v>
      </c>
      <c r="V347" s="21" t="n">
        <f aca="false">IF($S347=0,0,$U347/$S347)</f>
        <v>0</v>
      </c>
      <c r="W347" s="23" t="str">
        <f aca="false">IF($D347="","",IF($T347="","BEKLİYOR",IF(OR($U347=0,$S347=0),"DOĞRU",IF(AND($V347&gt;PazaryeriEksikHakedisEsik,$U347&gt;PazaryeriEksikHakedisTutarEsik),"EKSİK HAKEDİŞ","DOĞRU"))))</f>
        <v/>
      </c>
      <c r="X347" s="23" t="str">
        <f aca="false">IF($B347="","",CONCATENATE("Ürün: ",$B347," | Kâr: ",TEXT($Q347,"₺ #,##0")," | Durum: ",$W347))</f>
        <v/>
      </c>
      <c r="Y347" s="24"/>
    </row>
    <row r="348" customFormat="false" ht="15" hidden="false" customHeight="false" outlineLevel="0" collapsed="false">
      <c r="A348" s="24"/>
      <c r="B348" s="24"/>
      <c r="C348" s="22"/>
      <c r="D348" s="25"/>
      <c r="E348" s="22"/>
      <c r="F348" s="26"/>
      <c r="G348" s="26"/>
      <c r="H348" s="26"/>
      <c r="I348" s="26"/>
      <c r="J348" s="22"/>
      <c r="K348" s="20" t="n">
        <f aca="false">IF($D348="",0,$C348*$D348)</f>
        <v>0</v>
      </c>
      <c r="L348" s="20" t="n">
        <f aca="false">IF($D348="",0,$F348*$K348)</f>
        <v>0</v>
      </c>
      <c r="M348" s="20" t="n">
        <f aca="false">IF($D348="",0,$G348*$K348)</f>
        <v>0</v>
      </c>
      <c r="N348" s="20" t="n">
        <f aca="false">IF($D348="",0,$H348*$K348)</f>
        <v>0</v>
      </c>
      <c r="O348" s="20" t="n">
        <f aca="false">IF($D348="",0,$I348*$K348*(1-$F348))</f>
        <v>0</v>
      </c>
      <c r="P348" s="20" t="n">
        <f aca="false">IF($D348="",0,$E348*$D348+$L348+$M348+$N348+$O348+$J348*$D348)</f>
        <v>0</v>
      </c>
      <c r="Q348" s="20" t="n">
        <f aca="false">IF($D348="",0,$K348-$P348)</f>
        <v>0</v>
      </c>
      <c r="R348" s="21" t="n">
        <f aca="false">IF($K348=0,0,$Q348/$K348)</f>
        <v>0</v>
      </c>
      <c r="S348" s="20" t="n">
        <f aca="false">IF($D348="",0,$K348-$L348-$M348-$N348)</f>
        <v>0</v>
      </c>
      <c r="T348" s="22"/>
      <c r="U348" s="20" t="n">
        <f aca="false">IF($T348="",0,MAX(0,$S348-$T348))</f>
        <v>0</v>
      </c>
      <c r="V348" s="21" t="n">
        <f aca="false">IF($S348=0,0,$U348/$S348)</f>
        <v>0</v>
      </c>
      <c r="W348" s="23" t="str">
        <f aca="false">IF($D348="","",IF($T348="","BEKLİYOR",IF(OR($U348=0,$S348=0),"DOĞRU",IF(AND($V348&gt;PazaryeriEksikHakedisEsik,$U348&gt;PazaryeriEksikHakedisTutarEsik),"EKSİK HAKEDİŞ","DOĞRU"))))</f>
        <v/>
      </c>
      <c r="X348" s="23" t="str">
        <f aca="false">IF($B348="","",CONCATENATE("Ürün: ",$B348," | Kâr: ",TEXT($Q348,"₺ #,##0")," | Durum: ",$W348))</f>
        <v/>
      </c>
      <c r="Y348" s="24"/>
    </row>
    <row r="349" customFormat="false" ht="15" hidden="false" customHeight="false" outlineLevel="0" collapsed="false">
      <c r="A349" s="24"/>
      <c r="B349" s="24"/>
      <c r="C349" s="22"/>
      <c r="D349" s="25"/>
      <c r="E349" s="22"/>
      <c r="F349" s="26"/>
      <c r="G349" s="26"/>
      <c r="H349" s="26"/>
      <c r="I349" s="26"/>
      <c r="J349" s="22"/>
      <c r="K349" s="20" t="n">
        <f aca="false">IF($D349="",0,$C349*$D349)</f>
        <v>0</v>
      </c>
      <c r="L349" s="20" t="n">
        <f aca="false">IF($D349="",0,$F349*$K349)</f>
        <v>0</v>
      </c>
      <c r="M349" s="20" t="n">
        <f aca="false">IF($D349="",0,$G349*$K349)</f>
        <v>0</v>
      </c>
      <c r="N349" s="20" t="n">
        <f aca="false">IF($D349="",0,$H349*$K349)</f>
        <v>0</v>
      </c>
      <c r="O349" s="20" t="n">
        <f aca="false">IF($D349="",0,$I349*$K349*(1-$F349))</f>
        <v>0</v>
      </c>
      <c r="P349" s="20" t="n">
        <f aca="false">IF($D349="",0,$E349*$D349+$L349+$M349+$N349+$O349+$J349*$D349)</f>
        <v>0</v>
      </c>
      <c r="Q349" s="20" t="n">
        <f aca="false">IF($D349="",0,$K349-$P349)</f>
        <v>0</v>
      </c>
      <c r="R349" s="21" t="n">
        <f aca="false">IF($K349=0,0,$Q349/$K349)</f>
        <v>0</v>
      </c>
      <c r="S349" s="20" t="n">
        <f aca="false">IF($D349="",0,$K349-$L349-$M349-$N349)</f>
        <v>0</v>
      </c>
      <c r="T349" s="22"/>
      <c r="U349" s="20" t="n">
        <f aca="false">IF($T349="",0,MAX(0,$S349-$T349))</f>
        <v>0</v>
      </c>
      <c r="V349" s="21" t="n">
        <f aca="false">IF($S349=0,0,$U349/$S349)</f>
        <v>0</v>
      </c>
      <c r="W349" s="23" t="str">
        <f aca="false">IF($D349="","",IF($T349="","BEKLİYOR",IF(OR($U349=0,$S349=0),"DOĞRU",IF(AND($V349&gt;PazaryeriEksikHakedisEsik,$U349&gt;PazaryeriEksikHakedisTutarEsik),"EKSİK HAKEDİŞ","DOĞRU"))))</f>
        <v/>
      </c>
      <c r="X349" s="23" t="str">
        <f aca="false">IF($B349="","",CONCATENATE("Ürün: ",$B349," | Kâr: ",TEXT($Q349,"₺ #,##0")," | Durum: ",$W349))</f>
        <v/>
      </c>
      <c r="Y349" s="24"/>
    </row>
    <row r="350" customFormat="false" ht="15" hidden="false" customHeight="false" outlineLevel="0" collapsed="false">
      <c r="A350" s="24"/>
      <c r="B350" s="24"/>
      <c r="C350" s="22"/>
      <c r="D350" s="25"/>
      <c r="E350" s="22"/>
      <c r="F350" s="26"/>
      <c r="G350" s="26"/>
      <c r="H350" s="26"/>
      <c r="I350" s="26"/>
      <c r="J350" s="22"/>
      <c r="K350" s="20" t="n">
        <f aca="false">IF($D350="",0,$C350*$D350)</f>
        <v>0</v>
      </c>
      <c r="L350" s="20" t="n">
        <f aca="false">IF($D350="",0,$F350*$K350)</f>
        <v>0</v>
      </c>
      <c r="M350" s="20" t="n">
        <f aca="false">IF($D350="",0,$G350*$K350)</f>
        <v>0</v>
      </c>
      <c r="N350" s="20" t="n">
        <f aca="false">IF($D350="",0,$H350*$K350)</f>
        <v>0</v>
      </c>
      <c r="O350" s="20" t="n">
        <f aca="false">IF($D350="",0,$I350*$K350*(1-$F350))</f>
        <v>0</v>
      </c>
      <c r="P350" s="20" t="n">
        <f aca="false">IF($D350="",0,$E350*$D350+$L350+$M350+$N350+$O350+$J350*$D350)</f>
        <v>0</v>
      </c>
      <c r="Q350" s="20" t="n">
        <f aca="false">IF($D350="",0,$K350-$P350)</f>
        <v>0</v>
      </c>
      <c r="R350" s="21" t="n">
        <f aca="false">IF($K350=0,0,$Q350/$K350)</f>
        <v>0</v>
      </c>
      <c r="S350" s="20" t="n">
        <f aca="false">IF($D350="",0,$K350-$L350-$M350-$N350)</f>
        <v>0</v>
      </c>
      <c r="T350" s="22"/>
      <c r="U350" s="20" t="n">
        <f aca="false">IF($T350="",0,MAX(0,$S350-$T350))</f>
        <v>0</v>
      </c>
      <c r="V350" s="21" t="n">
        <f aca="false">IF($S350=0,0,$U350/$S350)</f>
        <v>0</v>
      </c>
      <c r="W350" s="23" t="str">
        <f aca="false">IF($D350="","",IF($T350="","BEKLİYOR",IF(OR($U350=0,$S350=0),"DOĞRU",IF(AND($V350&gt;PazaryeriEksikHakedisEsik,$U350&gt;PazaryeriEksikHakedisTutarEsik),"EKSİK HAKEDİŞ","DOĞRU"))))</f>
        <v/>
      </c>
      <c r="X350" s="23" t="str">
        <f aca="false">IF($B350="","",CONCATENATE("Ürün: ",$B350," | Kâr: ",TEXT($Q350,"₺ #,##0")," | Durum: ",$W350))</f>
        <v/>
      </c>
      <c r="Y350" s="24"/>
    </row>
    <row r="351" customFormat="false" ht="15" hidden="false" customHeight="false" outlineLevel="0" collapsed="false">
      <c r="A351" s="24"/>
      <c r="B351" s="24"/>
      <c r="C351" s="22"/>
      <c r="D351" s="25"/>
      <c r="E351" s="22"/>
      <c r="F351" s="26"/>
      <c r="G351" s="26"/>
      <c r="H351" s="26"/>
      <c r="I351" s="26"/>
      <c r="J351" s="22"/>
      <c r="K351" s="20" t="n">
        <f aca="false">IF($D351="",0,$C351*$D351)</f>
        <v>0</v>
      </c>
      <c r="L351" s="20" t="n">
        <f aca="false">IF($D351="",0,$F351*$K351)</f>
        <v>0</v>
      </c>
      <c r="M351" s="20" t="n">
        <f aca="false">IF($D351="",0,$G351*$K351)</f>
        <v>0</v>
      </c>
      <c r="N351" s="20" t="n">
        <f aca="false">IF($D351="",0,$H351*$K351)</f>
        <v>0</v>
      </c>
      <c r="O351" s="20" t="n">
        <f aca="false">IF($D351="",0,$I351*$K351*(1-$F351))</f>
        <v>0</v>
      </c>
      <c r="P351" s="20" t="n">
        <f aca="false">IF($D351="",0,$E351*$D351+$L351+$M351+$N351+$O351+$J351*$D351)</f>
        <v>0</v>
      </c>
      <c r="Q351" s="20" t="n">
        <f aca="false">IF($D351="",0,$K351-$P351)</f>
        <v>0</v>
      </c>
      <c r="R351" s="21" t="n">
        <f aca="false">IF($K351=0,0,$Q351/$K351)</f>
        <v>0</v>
      </c>
      <c r="S351" s="20" t="n">
        <f aca="false">IF($D351="",0,$K351-$L351-$M351-$N351)</f>
        <v>0</v>
      </c>
      <c r="T351" s="22"/>
      <c r="U351" s="20" t="n">
        <f aca="false">IF($T351="",0,MAX(0,$S351-$T351))</f>
        <v>0</v>
      </c>
      <c r="V351" s="21" t="n">
        <f aca="false">IF($S351=0,0,$U351/$S351)</f>
        <v>0</v>
      </c>
      <c r="W351" s="23" t="str">
        <f aca="false">IF($D351="","",IF($T351="","BEKLİYOR",IF(OR($U351=0,$S351=0),"DOĞRU",IF(AND($V351&gt;PazaryeriEksikHakedisEsik,$U351&gt;PazaryeriEksikHakedisTutarEsik),"EKSİK HAKEDİŞ","DOĞRU"))))</f>
        <v/>
      </c>
      <c r="X351" s="23" t="str">
        <f aca="false">IF($B351="","",CONCATENATE("Ürün: ",$B351," | Kâr: ",TEXT($Q351,"₺ #,##0")," | Durum: ",$W351))</f>
        <v/>
      </c>
      <c r="Y351" s="24"/>
    </row>
    <row r="352" customFormat="false" ht="15" hidden="false" customHeight="false" outlineLevel="0" collapsed="false">
      <c r="A352" s="24"/>
      <c r="B352" s="24"/>
      <c r="C352" s="22"/>
      <c r="D352" s="25"/>
      <c r="E352" s="22"/>
      <c r="F352" s="26"/>
      <c r="G352" s="26"/>
      <c r="H352" s="26"/>
      <c r="I352" s="26"/>
      <c r="J352" s="22"/>
      <c r="K352" s="20" t="n">
        <f aca="false">IF($D352="",0,$C352*$D352)</f>
        <v>0</v>
      </c>
      <c r="L352" s="20" t="n">
        <f aca="false">IF($D352="",0,$F352*$K352)</f>
        <v>0</v>
      </c>
      <c r="M352" s="20" t="n">
        <f aca="false">IF($D352="",0,$G352*$K352)</f>
        <v>0</v>
      </c>
      <c r="N352" s="20" t="n">
        <f aca="false">IF($D352="",0,$H352*$K352)</f>
        <v>0</v>
      </c>
      <c r="O352" s="20" t="n">
        <f aca="false">IF($D352="",0,$I352*$K352*(1-$F352))</f>
        <v>0</v>
      </c>
      <c r="P352" s="20" t="n">
        <f aca="false">IF($D352="",0,$E352*$D352+$L352+$M352+$N352+$O352+$J352*$D352)</f>
        <v>0</v>
      </c>
      <c r="Q352" s="20" t="n">
        <f aca="false">IF($D352="",0,$K352-$P352)</f>
        <v>0</v>
      </c>
      <c r="R352" s="21" t="n">
        <f aca="false">IF($K352=0,0,$Q352/$K352)</f>
        <v>0</v>
      </c>
      <c r="S352" s="20" t="n">
        <f aca="false">IF($D352="",0,$K352-$L352-$M352-$N352)</f>
        <v>0</v>
      </c>
      <c r="T352" s="22"/>
      <c r="U352" s="20" t="n">
        <f aca="false">IF($T352="",0,MAX(0,$S352-$T352))</f>
        <v>0</v>
      </c>
      <c r="V352" s="21" t="n">
        <f aca="false">IF($S352=0,0,$U352/$S352)</f>
        <v>0</v>
      </c>
      <c r="W352" s="23" t="str">
        <f aca="false">IF($D352="","",IF($T352="","BEKLİYOR",IF(OR($U352=0,$S352=0),"DOĞRU",IF(AND($V352&gt;PazaryeriEksikHakedisEsik,$U352&gt;PazaryeriEksikHakedisTutarEsik),"EKSİK HAKEDİŞ","DOĞRU"))))</f>
        <v/>
      </c>
      <c r="X352" s="23" t="str">
        <f aca="false">IF($B352="","",CONCATENATE("Ürün: ",$B352," | Kâr: ",TEXT($Q352,"₺ #,##0")," | Durum: ",$W352))</f>
        <v/>
      </c>
      <c r="Y352" s="24"/>
    </row>
    <row r="353" customFormat="false" ht="15" hidden="false" customHeight="false" outlineLevel="0" collapsed="false">
      <c r="A353" s="24"/>
      <c r="B353" s="24"/>
      <c r="C353" s="22"/>
      <c r="D353" s="25"/>
      <c r="E353" s="22"/>
      <c r="F353" s="26"/>
      <c r="G353" s="26"/>
      <c r="H353" s="26"/>
      <c r="I353" s="26"/>
      <c r="J353" s="22"/>
      <c r="K353" s="20" t="n">
        <f aca="false">IF($D353="",0,$C353*$D353)</f>
        <v>0</v>
      </c>
      <c r="L353" s="20" t="n">
        <f aca="false">IF($D353="",0,$F353*$K353)</f>
        <v>0</v>
      </c>
      <c r="M353" s="20" t="n">
        <f aca="false">IF($D353="",0,$G353*$K353)</f>
        <v>0</v>
      </c>
      <c r="N353" s="20" t="n">
        <f aca="false">IF($D353="",0,$H353*$K353)</f>
        <v>0</v>
      </c>
      <c r="O353" s="20" t="n">
        <f aca="false">IF($D353="",0,$I353*$K353*(1-$F353))</f>
        <v>0</v>
      </c>
      <c r="P353" s="20" t="n">
        <f aca="false">IF($D353="",0,$E353*$D353+$L353+$M353+$N353+$O353+$J353*$D353)</f>
        <v>0</v>
      </c>
      <c r="Q353" s="20" t="n">
        <f aca="false">IF($D353="",0,$K353-$P353)</f>
        <v>0</v>
      </c>
      <c r="R353" s="21" t="n">
        <f aca="false">IF($K353=0,0,$Q353/$K353)</f>
        <v>0</v>
      </c>
      <c r="S353" s="20" t="n">
        <f aca="false">IF($D353="",0,$K353-$L353-$M353-$N353)</f>
        <v>0</v>
      </c>
      <c r="T353" s="22"/>
      <c r="U353" s="20" t="n">
        <f aca="false">IF($T353="",0,MAX(0,$S353-$T353))</f>
        <v>0</v>
      </c>
      <c r="V353" s="21" t="n">
        <f aca="false">IF($S353=0,0,$U353/$S353)</f>
        <v>0</v>
      </c>
      <c r="W353" s="23" t="str">
        <f aca="false">IF($D353="","",IF($T353="","BEKLİYOR",IF(OR($U353=0,$S353=0),"DOĞRU",IF(AND($V353&gt;PazaryeriEksikHakedisEsik,$U353&gt;PazaryeriEksikHakedisTutarEsik),"EKSİK HAKEDİŞ","DOĞRU"))))</f>
        <v/>
      </c>
      <c r="X353" s="23" t="str">
        <f aca="false">IF($B353="","",CONCATENATE("Ürün: ",$B353," | Kâr: ",TEXT($Q353,"₺ #,##0")," | Durum: ",$W353))</f>
        <v/>
      </c>
      <c r="Y353" s="24"/>
    </row>
    <row r="354" customFormat="false" ht="15" hidden="false" customHeight="false" outlineLevel="0" collapsed="false">
      <c r="A354" s="24"/>
      <c r="B354" s="24"/>
      <c r="C354" s="22"/>
      <c r="D354" s="25"/>
      <c r="E354" s="22"/>
      <c r="F354" s="26"/>
      <c r="G354" s="26"/>
      <c r="H354" s="26"/>
      <c r="I354" s="26"/>
      <c r="J354" s="22"/>
      <c r="K354" s="20" t="n">
        <f aca="false">IF($D354="",0,$C354*$D354)</f>
        <v>0</v>
      </c>
      <c r="L354" s="20" t="n">
        <f aca="false">IF($D354="",0,$F354*$K354)</f>
        <v>0</v>
      </c>
      <c r="M354" s="20" t="n">
        <f aca="false">IF($D354="",0,$G354*$K354)</f>
        <v>0</v>
      </c>
      <c r="N354" s="20" t="n">
        <f aca="false">IF($D354="",0,$H354*$K354)</f>
        <v>0</v>
      </c>
      <c r="O354" s="20" t="n">
        <f aca="false">IF($D354="",0,$I354*$K354*(1-$F354))</f>
        <v>0</v>
      </c>
      <c r="P354" s="20" t="n">
        <f aca="false">IF($D354="",0,$E354*$D354+$L354+$M354+$N354+$O354+$J354*$D354)</f>
        <v>0</v>
      </c>
      <c r="Q354" s="20" t="n">
        <f aca="false">IF($D354="",0,$K354-$P354)</f>
        <v>0</v>
      </c>
      <c r="R354" s="21" t="n">
        <f aca="false">IF($K354=0,0,$Q354/$K354)</f>
        <v>0</v>
      </c>
      <c r="S354" s="20" t="n">
        <f aca="false">IF($D354="",0,$K354-$L354-$M354-$N354)</f>
        <v>0</v>
      </c>
      <c r="T354" s="22"/>
      <c r="U354" s="20" t="n">
        <f aca="false">IF($T354="",0,MAX(0,$S354-$T354))</f>
        <v>0</v>
      </c>
      <c r="V354" s="21" t="n">
        <f aca="false">IF($S354=0,0,$U354/$S354)</f>
        <v>0</v>
      </c>
      <c r="W354" s="23" t="str">
        <f aca="false">IF($D354="","",IF($T354="","BEKLİYOR",IF(OR($U354=0,$S354=0),"DOĞRU",IF(AND($V354&gt;PazaryeriEksikHakedisEsik,$U354&gt;PazaryeriEksikHakedisTutarEsik),"EKSİK HAKEDİŞ","DOĞRU"))))</f>
        <v/>
      </c>
      <c r="X354" s="23" t="str">
        <f aca="false">IF($B354="","",CONCATENATE("Ürün: ",$B354," | Kâr: ",TEXT($Q354,"₺ #,##0")," | Durum: ",$W354))</f>
        <v/>
      </c>
      <c r="Y354" s="24"/>
    </row>
    <row r="355" customFormat="false" ht="15" hidden="false" customHeight="false" outlineLevel="0" collapsed="false">
      <c r="A355" s="24"/>
      <c r="B355" s="24"/>
      <c r="C355" s="22"/>
      <c r="D355" s="25"/>
      <c r="E355" s="22"/>
      <c r="F355" s="26"/>
      <c r="G355" s="26"/>
      <c r="H355" s="26"/>
      <c r="I355" s="26"/>
      <c r="J355" s="22"/>
      <c r="K355" s="20" t="n">
        <f aca="false">IF($D355="",0,$C355*$D355)</f>
        <v>0</v>
      </c>
      <c r="L355" s="20" t="n">
        <f aca="false">IF($D355="",0,$F355*$K355)</f>
        <v>0</v>
      </c>
      <c r="M355" s="20" t="n">
        <f aca="false">IF($D355="",0,$G355*$K355)</f>
        <v>0</v>
      </c>
      <c r="N355" s="20" t="n">
        <f aca="false">IF($D355="",0,$H355*$K355)</f>
        <v>0</v>
      </c>
      <c r="O355" s="20" t="n">
        <f aca="false">IF($D355="",0,$I355*$K355*(1-$F355))</f>
        <v>0</v>
      </c>
      <c r="P355" s="20" t="n">
        <f aca="false">IF($D355="",0,$E355*$D355+$L355+$M355+$N355+$O355+$J355*$D355)</f>
        <v>0</v>
      </c>
      <c r="Q355" s="20" t="n">
        <f aca="false">IF($D355="",0,$K355-$P355)</f>
        <v>0</v>
      </c>
      <c r="R355" s="21" t="n">
        <f aca="false">IF($K355=0,0,$Q355/$K355)</f>
        <v>0</v>
      </c>
      <c r="S355" s="20" t="n">
        <f aca="false">IF($D355="",0,$K355-$L355-$M355-$N355)</f>
        <v>0</v>
      </c>
      <c r="T355" s="22"/>
      <c r="U355" s="20" t="n">
        <f aca="false">IF($T355="",0,MAX(0,$S355-$T355))</f>
        <v>0</v>
      </c>
      <c r="V355" s="21" t="n">
        <f aca="false">IF($S355=0,0,$U355/$S355)</f>
        <v>0</v>
      </c>
      <c r="W355" s="23" t="str">
        <f aca="false">IF($D355="","",IF($T355="","BEKLİYOR",IF(OR($U355=0,$S355=0),"DOĞRU",IF(AND($V355&gt;PazaryeriEksikHakedisEsik,$U355&gt;PazaryeriEksikHakedisTutarEsik),"EKSİK HAKEDİŞ","DOĞRU"))))</f>
        <v/>
      </c>
      <c r="X355" s="23" t="str">
        <f aca="false">IF($B355="","",CONCATENATE("Ürün: ",$B355," | Kâr: ",TEXT($Q355,"₺ #,##0")," | Durum: ",$W355))</f>
        <v/>
      </c>
      <c r="Y355" s="24"/>
    </row>
    <row r="356" customFormat="false" ht="15" hidden="false" customHeight="false" outlineLevel="0" collapsed="false">
      <c r="A356" s="24"/>
      <c r="B356" s="24"/>
      <c r="C356" s="22"/>
      <c r="D356" s="25"/>
      <c r="E356" s="22"/>
      <c r="F356" s="26"/>
      <c r="G356" s="26"/>
      <c r="H356" s="26"/>
      <c r="I356" s="26"/>
      <c r="J356" s="22"/>
      <c r="K356" s="20" t="n">
        <f aca="false">IF($D356="",0,$C356*$D356)</f>
        <v>0</v>
      </c>
      <c r="L356" s="20" t="n">
        <f aca="false">IF($D356="",0,$F356*$K356)</f>
        <v>0</v>
      </c>
      <c r="M356" s="20" t="n">
        <f aca="false">IF($D356="",0,$G356*$K356)</f>
        <v>0</v>
      </c>
      <c r="N356" s="20" t="n">
        <f aca="false">IF($D356="",0,$H356*$K356)</f>
        <v>0</v>
      </c>
      <c r="O356" s="20" t="n">
        <f aca="false">IF($D356="",0,$I356*$K356*(1-$F356))</f>
        <v>0</v>
      </c>
      <c r="P356" s="20" t="n">
        <f aca="false">IF($D356="",0,$E356*$D356+$L356+$M356+$N356+$O356+$J356*$D356)</f>
        <v>0</v>
      </c>
      <c r="Q356" s="20" t="n">
        <f aca="false">IF($D356="",0,$K356-$P356)</f>
        <v>0</v>
      </c>
      <c r="R356" s="21" t="n">
        <f aca="false">IF($K356=0,0,$Q356/$K356)</f>
        <v>0</v>
      </c>
      <c r="S356" s="20" t="n">
        <f aca="false">IF($D356="",0,$K356-$L356-$M356-$N356)</f>
        <v>0</v>
      </c>
      <c r="T356" s="22"/>
      <c r="U356" s="20" t="n">
        <f aca="false">IF($T356="",0,MAX(0,$S356-$T356))</f>
        <v>0</v>
      </c>
      <c r="V356" s="21" t="n">
        <f aca="false">IF($S356=0,0,$U356/$S356)</f>
        <v>0</v>
      </c>
      <c r="W356" s="23" t="str">
        <f aca="false">IF($D356="","",IF($T356="","BEKLİYOR",IF(OR($U356=0,$S356=0),"DOĞRU",IF(AND($V356&gt;PazaryeriEksikHakedisEsik,$U356&gt;PazaryeriEksikHakedisTutarEsik),"EKSİK HAKEDİŞ","DOĞRU"))))</f>
        <v/>
      </c>
      <c r="X356" s="23" t="str">
        <f aca="false">IF($B356="","",CONCATENATE("Ürün: ",$B356," | Kâr: ",TEXT($Q356,"₺ #,##0")," | Durum: ",$W356))</f>
        <v/>
      </c>
      <c r="Y356" s="24"/>
    </row>
    <row r="357" customFormat="false" ht="15" hidden="false" customHeight="false" outlineLevel="0" collapsed="false">
      <c r="A357" s="24"/>
      <c r="B357" s="24"/>
      <c r="C357" s="22"/>
      <c r="D357" s="25"/>
      <c r="E357" s="22"/>
      <c r="F357" s="26"/>
      <c r="G357" s="26"/>
      <c r="H357" s="26"/>
      <c r="I357" s="26"/>
      <c r="J357" s="22"/>
      <c r="K357" s="20" t="n">
        <f aca="false">IF($D357="",0,$C357*$D357)</f>
        <v>0</v>
      </c>
      <c r="L357" s="20" t="n">
        <f aca="false">IF($D357="",0,$F357*$K357)</f>
        <v>0</v>
      </c>
      <c r="M357" s="20" t="n">
        <f aca="false">IF($D357="",0,$G357*$K357)</f>
        <v>0</v>
      </c>
      <c r="N357" s="20" t="n">
        <f aca="false">IF($D357="",0,$H357*$K357)</f>
        <v>0</v>
      </c>
      <c r="O357" s="20" t="n">
        <f aca="false">IF($D357="",0,$I357*$K357*(1-$F357))</f>
        <v>0</v>
      </c>
      <c r="P357" s="20" t="n">
        <f aca="false">IF($D357="",0,$E357*$D357+$L357+$M357+$N357+$O357+$J357*$D357)</f>
        <v>0</v>
      </c>
      <c r="Q357" s="20" t="n">
        <f aca="false">IF($D357="",0,$K357-$P357)</f>
        <v>0</v>
      </c>
      <c r="R357" s="21" t="n">
        <f aca="false">IF($K357=0,0,$Q357/$K357)</f>
        <v>0</v>
      </c>
      <c r="S357" s="20" t="n">
        <f aca="false">IF($D357="",0,$K357-$L357-$M357-$N357)</f>
        <v>0</v>
      </c>
      <c r="T357" s="22"/>
      <c r="U357" s="20" t="n">
        <f aca="false">IF($T357="",0,MAX(0,$S357-$T357))</f>
        <v>0</v>
      </c>
      <c r="V357" s="21" t="n">
        <f aca="false">IF($S357=0,0,$U357/$S357)</f>
        <v>0</v>
      </c>
      <c r="W357" s="23" t="str">
        <f aca="false">IF($D357="","",IF($T357="","BEKLİYOR",IF(OR($U357=0,$S357=0),"DOĞRU",IF(AND($V357&gt;PazaryeriEksikHakedisEsik,$U357&gt;PazaryeriEksikHakedisTutarEsik),"EKSİK HAKEDİŞ","DOĞRU"))))</f>
        <v/>
      </c>
      <c r="X357" s="23" t="str">
        <f aca="false">IF($B357="","",CONCATENATE("Ürün: ",$B357," | Kâr: ",TEXT($Q357,"₺ #,##0")," | Durum: ",$W357))</f>
        <v/>
      </c>
      <c r="Y357" s="24"/>
    </row>
    <row r="358" customFormat="false" ht="15" hidden="false" customHeight="false" outlineLevel="0" collapsed="false">
      <c r="A358" s="24"/>
      <c r="B358" s="24"/>
      <c r="C358" s="22"/>
      <c r="D358" s="25"/>
      <c r="E358" s="22"/>
      <c r="F358" s="26"/>
      <c r="G358" s="26"/>
      <c r="H358" s="26"/>
      <c r="I358" s="26"/>
      <c r="J358" s="22"/>
      <c r="K358" s="20" t="n">
        <f aca="false">IF($D358="",0,$C358*$D358)</f>
        <v>0</v>
      </c>
      <c r="L358" s="20" t="n">
        <f aca="false">IF($D358="",0,$F358*$K358)</f>
        <v>0</v>
      </c>
      <c r="M358" s="20" t="n">
        <f aca="false">IF($D358="",0,$G358*$K358)</f>
        <v>0</v>
      </c>
      <c r="N358" s="20" t="n">
        <f aca="false">IF($D358="",0,$H358*$K358)</f>
        <v>0</v>
      </c>
      <c r="O358" s="20" t="n">
        <f aca="false">IF($D358="",0,$I358*$K358*(1-$F358))</f>
        <v>0</v>
      </c>
      <c r="P358" s="20" t="n">
        <f aca="false">IF($D358="",0,$E358*$D358+$L358+$M358+$N358+$O358+$J358*$D358)</f>
        <v>0</v>
      </c>
      <c r="Q358" s="20" t="n">
        <f aca="false">IF($D358="",0,$K358-$P358)</f>
        <v>0</v>
      </c>
      <c r="R358" s="21" t="n">
        <f aca="false">IF($K358=0,0,$Q358/$K358)</f>
        <v>0</v>
      </c>
      <c r="S358" s="20" t="n">
        <f aca="false">IF($D358="",0,$K358-$L358-$M358-$N358)</f>
        <v>0</v>
      </c>
      <c r="T358" s="22"/>
      <c r="U358" s="20" t="n">
        <f aca="false">IF($T358="",0,MAX(0,$S358-$T358))</f>
        <v>0</v>
      </c>
      <c r="V358" s="21" t="n">
        <f aca="false">IF($S358=0,0,$U358/$S358)</f>
        <v>0</v>
      </c>
      <c r="W358" s="23" t="str">
        <f aca="false">IF($D358="","",IF($T358="","BEKLİYOR",IF(OR($U358=0,$S358=0),"DOĞRU",IF(AND($V358&gt;PazaryeriEksikHakedisEsik,$U358&gt;PazaryeriEksikHakedisTutarEsik),"EKSİK HAKEDİŞ","DOĞRU"))))</f>
        <v/>
      </c>
      <c r="X358" s="23" t="str">
        <f aca="false">IF($B358="","",CONCATENATE("Ürün: ",$B358," | Kâr: ",TEXT($Q358,"₺ #,##0")," | Durum: ",$W358))</f>
        <v/>
      </c>
      <c r="Y358" s="24"/>
    </row>
    <row r="359" customFormat="false" ht="15" hidden="false" customHeight="false" outlineLevel="0" collapsed="false">
      <c r="A359" s="24"/>
      <c r="B359" s="24"/>
      <c r="C359" s="22"/>
      <c r="D359" s="25"/>
      <c r="E359" s="22"/>
      <c r="F359" s="26"/>
      <c r="G359" s="26"/>
      <c r="H359" s="26"/>
      <c r="I359" s="26"/>
      <c r="J359" s="22"/>
      <c r="K359" s="20" t="n">
        <f aca="false">IF($D359="",0,$C359*$D359)</f>
        <v>0</v>
      </c>
      <c r="L359" s="20" t="n">
        <f aca="false">IF($D359="",0,$F359*$K359)</f>
        <v>0</v>
      </c>
      <c r="M359" s="20" t="n">
        <f aca="false">IF($D359="",0,$G359*$K359)</f>
        <v>0</v>
      </c>
      <c r="N359" s="20" t="n">
        <f aca="false">IF($D359="",0,$H359*$K359)</f>
        <v>0</v>
      </c>
      <c r="O359" s="20" t="n">
        <f aca="false">IF($D359="",0,$I359*$K359*(1-$F359))</f>
        <v>0</v>
      </c>
      <c r="P359" s="20" t="n">
        <f aca="false">IF($D359="",0,$E359*$D359+$L359+$M359+$N359+$O359+$J359*$D359)</f>
        <v>0</v>
      </c>
      <c r="Q359" s="20" t="n">
        <f aca="false">IF($D359="",0,$K359-$P359)</f>
        <v>0</v>
      </c>
      <c r="R359" s="21" t="n">
        <f aca="false">IF($K359=0,0,$Q359/$K359)</f>
        <v>0</v>
      </c>
      <c r="S359" s="20" t="n">
        <f aca="false">IF($D359="",0,$K359-$L359-$M359-$N359)</f>
        <v>0</v>
      </c>
      <c r="T359" s="22"/>
      <c r="U359" s="20" t="n">
        <f aca="false">IF($T359="",0,MAX(0,$S359-$T359))</f>
        <v>0</v>
      </c>
      <c r="V359" s="21" t="n">
        <f aca="false">IF($S359=0,0,$U359/$S359)</f>
        <v>0</v>
      </c>
      <c r="W359" s="23" t="str">
        <f aca="false">IF($D359="","",IF($T359="","BEKLİYOR",IF(OR($U359=0,$S359=0),"DOĞRU",IF(AND($V359&gt;PazaryeriEksikHakedisEsik,$U359&gt;PazaryeriEksikHakedisTutarEsik),"EKSİK HAKEDİŞ","DOĞRU"))))</f>
        <v/>
      </c>
      <c r="X359" s="23" t="str">
        <f aca="false">IF($B359="","",CONCATENATE("Ürün: ",$B359," | Kâr: ",TEXT($Q359,"₺ #,##0")," | Durum: ",$W359))</f>
        <v/>
      </c>
      <c r="Y359" s="24"/>
    </row>
    <row r="360" customFormat="false" ht="15" hidden="false" customHeight="false" outlineLevel="0" collapsed="false">
      <c r="A360" s="24"/>
      <c r="B360" s="24"/>
      <c r="C360" s="22"/>
      <c r="D360" s="25"/>
      <c r="E360" s="22"/>
      <c r="F360" s="26"/>
      <c r="G360" s="26"/>
      <c r="H360" s="26"/>
      <c r="I360" s="26"/>
      <c r="J360" s="22"/>
      <c r="K360" s="20" t="n">
        <f aca="false">IF($D360="",0,$C360*$D360)</f>
        <v>0</v>
      </c>
      <c r="L360" s="20" t="n">
        <f aca="false">IF($D360="",0,$F360*$K360)</f>
        <v>0</v>
      </c>
      <c r="M360" s="20" t="n">
        <f aca="false">IF($D360="",0,$G360*$K360)</f>
        <v>0</v>
      </c>
      <c r="N360" s="20" t="n">
        <f aca="false">IF($D360="",0,$H360*$K360)</f>
        <v>0</v>
      </c>
      <c r="O360" s="20" t="n">
        <f aca="false">IF($D360="",0,$I360*$K360*(1-$F360))</f>
        <v>0</v>
      </c>
      <c r="P360" s="20" t="n">
        <f aca="false">IF($D360="",0,$E360*$D360+$L360+$M360+$N360+$O360+$J360*$D360)</f>
        <v>0</v>
      </c>
      <c r="Q360" s="20" t="n">
        <f aca="false">IF($D360="",0,$K360-$P360)</f>
        <v>0</v>
      </c>
      <c r="R360" s="21" t="n">
        <f aca="false">IF($K360=0,0,$Q360/$K360)</f>
        <v>0</v>
      </c>
      <c r="S360" s="20" t="n">
        <f aca="false">IF($D360="",0,$K360-$L360-$M360-$N360)</f>
        <v>0</v>
      </c>
      <c r="T360" s="22"/>
      <c r="U360" s="20" t="n">
        <f aca="false">IF($T360="",0,MAX(0,$S360-$T360))</f>
        <v>0</v>
      </c>
      <c r="V360" s="21" t="n">
        <f aca="false">IF($S360=0,0,$U360/$S360)</f>
        <v>0</v>
      </c>
      <c r="W360" s="23" t="str">
        <f aca="false">IF($D360="","",IF($T360="","BEKLİYOR",IF(OR($U360=0,$S360=0),"DOĞRU",IF(AND($V360&gt;PazaryeriEksikHakedisEsik,$U360&gt;PazaryeriEksikHakedisTutarEsik),"EKSİK HAKEDİŞ","DOĞRU"))))</f>
        <v/>
      </c>
      <c r="X360" s="23" t="str">
        <f aca="false">IF($B360="","",CONCATENATE("Ürün: ",$B360," | Kâr: ",TEXT($Q360,"₺ #,##0")," | Durum: ",$W360))</f>
        <v/>
      </c>
      <c r="Y360" s="24"/>
    </row>
    <row r="361" customFormat="false" ht="15" hidden="false" customHeight="false" outlineLevel="0" collapsed="false">
      <c r="A361" s="24"/>
      <c r="B361" s="24"/>
      <c r="C361" s="22"/>
      <c r="D361" s="25"/>
      <c r="E361" s="22"/>
      <c r="F361" s="26"/>
      <c r="G361" s="26"/>
      <c r="H361" s="26"/>
      <c r="I361" s="26"/>
      <c r="J361" s="22"/>
      <c r="K361" s="20" t="n">
        <f aca="false">IF($D361="",0,$C361*$D361)</f>
        <v>0</v>
      </c>
      <c r="L361" s="20" t="n">
        <f aca="false">IF($D361="",0,$F361*$K361)</f>
        <v>0</v>
      </c>
      <c r="M361" s="20" t="n">
        <f aca="false">IF($D361="",0,$G361*$K361)</f>
        <v>0</v>
      </c>
      <c r="N361" s="20" t="n">
        <f aca="false">IF($D361="",0,$H361*$K361)</f>
        <v>0</v>
      </c>
      <c r="O361" s="20" t="n">
        <f aca="false">IF($D361="",0,$I361*$K361*(1-$F361))</f>
        <v>0</v>
      </c>
      <c r="P361" s="20" t="n">
        <f aca="false">IF($D361="",0,$E361*$D361+$L361+$M361+$N361+$O361+$J361*$D361)</f>
        <v>0</v>
      </c>
      <c r="Q361" s="20" t="n">
        <f aca="false">IF($D361="",0,$K361-$P361)</f>
        <v>0</v>
      </c>
      <c r="R361" s="21" t="n">
        <f aca="false">IF($K361=0,0,$Q361/$K361)</f>
        <v>0</v>
      </c>
      <c r="S361" s="20" t="n">
        <f aca="false">IF($D361="",0,$K361-$L361-$M361-$N361)</f>
        <v>0</v>
      </c>
      <c r="T361" s="22"/>
      <c r="U361" s="20" t="n">
        <f aca="false">IF($T361="",0,MAX(0,$S361-$T361))</f>
        <v>0</v>
      </c>
      <c r="V361" s="21" t="n">
        <f aca="false">IF($S361=0,0,$U361/$S361)</f>
        <v>0</v>
      </c>
      <c r="W361" s="23" t="str">
        <f aca="false">IF($D361="","",IF($T361="","BEKLİYOR",IF(OR($U361=0,$S361=0),"DOĞRU",IF(AND($V361&gt;PazaryeriEksikHakedisEsik,$U361&gt;PazaryeriEksikHakedisTutarEsik),"EKSİK HAKEDİŞ","DOĞRU"))))</f>
        <v/>
      </c>
      <c r="X361" s="23" t="str">
        <f aca="false">IF($B361="","",CONCATENATE("Ürün: ",$B361," | Kâr: ",TEXT($Q361,"₺ #,##0")," | Durum: ",$W361))</f>
        <v/>
      </c>
      <c r="Y361" s="24"/>
    </row>
    <row r="362" customFormat="false" ht="15" hidden="false" customHeight="false" outlineLevel="0" collapsed="false">
      <c r="A362" s="24"/>
      <c r="B362" s="24"/>
      <c r="C362" s="22"/>
      <c r="D362" s="25"/>
      <c r="E362" s="22"/>
      <c r="F362" s="26"/>
      <c r="G362" s="26"/>
      <c r="H362" s="26"/>
      <c r="I362" s="26"/>
      <c r="J362" s="22"/>
      <c r="K362" s="20" t="n">
        <f aca="false">IF($D362="",0,$C362*$D362)</f>
        <v>0</v>
      </c>
      <c r="L362" s="20" t="n">
        <f aca="false">IF($D362="",0,$F362*$K362)</f>
        <v>0</v>
      </c>
      <c r="M362" s="20" t="n">
        <f aca="false">IF($D362="",0,$G362*$K362)</f>
        <v>0</v>
      </c>
      <c r="N362" s="20" t="n">
        <f aca="false">IF($D362="",0,$H362*$K362)</f>
        <v>0</v>
      </c>
      <c r="O362" s="20" t="n">
        <f aca="false">IF($D362="",0,$I362*$K362*(1-$F362))</f>
        <v>0</v>
      </c>
      <c r="P362" s="20" t="n">
        <f aca="false">IF($D362="",0,$E362*$D362+$L362+$M362+$N362+$O362+$J362*$D362)</f>
        <v>0</v>
      </c>
      <c r="Q362" s="20" t="n">
        <f aca="false">IF($D362="",0,$K362-$P362)</f>
        <v>0</v>
      </c>
      <c r="R362" s="21" t="n">
        <f aca="false">IF($K362=0,0,$Q362/$K362)</f>
        <v>0</v>
      </c>
      <c r="S362" s="20" t="n">
        <f aca="false">IF($D362="",0,$K362-$L362-$M362-$N362)</f>
        <v>0</v>
      </c>
      <c r="T362" s="22"/>
      <c r="U362" s="20" t="n">
        <f aca="false">IF($T362="",0,MAX(0,$S362-$T362))</f>
        <v>0</v>
      </c>
      <c r="V362" s="21" t="n">
        <f aca="false">IF($S362=0,0,$U362/$S362)</f>
        <v>0</v>
      </c>
      <c r="W362" s="23" t="str">
        <f aca="false">IF($D362="","",IF($T362="","BEKLİYOR",IF(OR($U362=0,$S362=0),"DOĞRU",IF(AND($V362&gt;PazaryeriEksikHakedisEsik,$U362&gt;PazaryeriEksikHakedisTutarEsik),"EKSİK HAKEDİŞ","DOĞRU"))))</f>
        <v/>
      </c>
      <c r="X362" s="23" t="str">
        <f aca="false">IF($B362="","",CONCATENATE("Ürün: ",$B362," | Kâr: ",TEXT($Q362,"₺ #,##0")," | Durum: ",$W362))</f>
        <v/>
      </c>
      <c r="Y362" s="24"/>
    </row>
    <row r="363" customFormat="false" ht="15" hidden="false" customHeight="false" outlineLevel="0" collapsed="false">
      <c r="A363" s="24"/>
      <c r="B363" s="24"/>
      <c r="C363" s="22"/>
      <c r="D363" s="25"/>
      <c r="E363" s="22"/>
      <c r="F363" s="26"/>
      <c r="G363" s="26"/>
      <c r="H363" s="26"/>
      <c r="I363" s="26"/>
      <c r="J363" s="22"/>
      <c r="K363" s="20" t="n">
        <f aca="false">IF($D363="",0,$C363*$D363)</f>
        <v>0</v>
      </c>
      <c r="L363" s="20" t="n">
        <f aca="false">IF($D363="",0,$F363*$K363)</f>
        <v>0</v>
      </c>
      <c r="M363" s="20" t="n">
        <f aca="false">IF($D363="",0,$G363*$K363)</f>
        <v>0</v>
      </c>
      <c r="N363" s="20" t="n">
        <f aca="false">IF($D363="",0,$H363*$K363)</f>
        <v>0</v>
      </c>
      <c r="O363" s="20" t="n">
        <f aca="false">IF($D363="",0,$I363*$K363*(1-$F363))</f>
        <v>0</v>
      </c>
      <c r="P363" s="20" t="n">
        <f aca="false">IF($D363="",0,$E363*$D363+$L363+$M363+$N363+$O363+$J363*$D363)</f>
        <v>0</v>
      </c>
      <c r="Q363" s="20" t="n">
        <f aca="false">IF($D363="",0,$K363-$P363)</f>
        <v>0</v>
      </c>
      <c r="R363" s="21" t="n">
        <f aca="false">IF($K363=0,0,$Q363/$K363)</f>
        <v>0</v>
      </c>
      <c r="S363" s="20" t="n">
        <f aca="false">IF($D363="",0,$K363-$L363-$M363-$N363)</f>
        <v>0</v>
      </c>
      <c r="T363" s="22"/>
      <c r="U363" s="20" t="n">
        <f aca="false">IF($T363="",0,MAX(0,$S363-$T363))</f>
        <v>0</v>
      </c>
      <c r="V363" s="21" t="n">
        <f aca="false">IF($S363=0,0,$U363/$S363)</f>
        <v>0</v>
      </c>
      <c r="W363" s="23" t="str">
        <f aca="false">IF($D363="","",IF($T363="","BEKLİYOR",IF(OR($U363=0,$S363=0),"DOĞRU",IF(AND($V363&gt;PazaryeriEksikHakedisEsik,$U363&gt;PazaryeriEksikHakedisTutarEsik),"EKSİK HAKEDİŞ","DOĞRU"))))</f>
        <v/>
      </c>
      <c r="X363" s="23" t="str">
        <f aca="false">IF($B363="","",CONCATENATE("Ürün: ",$B363," | Kâr: ",TEXT($Q363,"₺ #,##0")," | Durum: ",$W363))</f>
        <v/>
      </c>
      <c r="Y363" s="24"/>
    </row>
    <row r="364" customFormat="false" ht="15" hidden="false" customHeight="false" outlineLevel="0" collapsed="false">
      <c r="A364" s="24"/>
      <c r="B364" s="24"/>
      <c r="C364" s="22"/>
      <c r="D364" s="25"/>
      <c r="E364" s="22"/>
      <c r="F364" s="26"/>
      <c r="G364" s="26"/>
      <c r="H364" s="26"/>
      <c r="I364" s="26"/>
      <c r="J364" s="22"/>
      <c r="K364" s="20" t="n">
        <f aca="false">IF($D364="",0,$C364*$D364)</f>
        <v>0</v>
      </c>
      <c r="L364" s="20" t="n">
        <f aca="false">IF($D364="",0,$F364*$K364)</f>
        <v>0</v>
      </c>
      <c r="M364" s="20" t="n">
        <f aca="false">IF($D364="",0,$G364*$K364)</f>
        <v>0</v>
      </c>
      <c r="N364" s="20" t="n">
        <f aca="false">IF($D364="",0,$H364*$K364)</f>
        <v>0</v>
      </c>
      <c r="O364" s="20" t="n">
        <f aca="false">IF($D364="",0,$I364*$K364*(1-$F364))</f>
        <v>0</v>
      </c>
      <c r="P364" s="20" t="n">
        <f aca="false">IF($D364="",0,$E364*$D364+$L364+$M364+$N364+$O364+$J364*$D364)</f>
        <v>0</v>
      </c>
      <c r="Q364" s="20" t="n">
        <f aca="false">IF($D364="",0,$K364-$P364)</f>
        <v>0</v>
      </c>
      <c r="R364" s="21" t="n">
        <f aca="false">IF($K364=0,0,$Q364/$K364)</f>
        <v>0</v>
      </c>
      <c r="S364" s="20" t="n">
        <f aca="false">IF($D364="",0,$K364-$L364-$M364-$N364)</f>
        <v>0</v>
      </c>
      <c r="T364" s="22"/>
      <c r="U364" s="20" t="n">
        <f aca="false">IF($T364="",0,MAX(0,$S364-$T364))</f>
        <v>0</v>
      </c>
      <c r="V364" s="21" t="n">
        <f aca="false">IF($S364=0,0,$U364/$S364)</f>
        <v>0</v>
      </c>
      <c r="W364" s="23" t="str">
        <f aca="false">IF($D364="","",IF($T364="","BEKLİYOR",IF(OR($U364=0,$S364=0),"DOĞRU",IF(AND($V364&gt;PazaryeriEksikHakedisEsik,$U364&gt;PazaryeriEksikHakedisTutarEsik),"EKSİK HAKEDİŞ","DOĞRU"))))</f>
        <v/>
      </c>
      <c r="X364" s="23" t="str">
        <f aca="false">IF($B364="","",CONCATENATE("Ürün: ",$B364," | Kâr: ",TEXT($Q364,"₺ #,##0")," | Durum: ",$W364))</f>
        <v/>
      </c>
      <c r="Y364" s="24"/>
    </row>
    <row r="365" customFormat="false" ht="15" hidden="false" customHeight="false" outlineLevel="0" collapsed="false">
      <c r="A365" s="24"/>
      <c r="B365" s="24"/>
      <c r="C365" s="22"/>
      <c r="D365" s="25"/>
      <c r="E365" s="22"/>
      <c r="F365" s="26"/>
      <c r="G365" s="26"/>
      <c r="H365" s="26"/>
      <c r="I365" s="26"/>
      <c r="J365" s="22"/>
      <c r="K365" s="20" t="n">
        <f aca="false">IF($D365="",0,$C365*$D365)</f>
        <v>0</v>
      </c>
      <c r="L365" s="20" t="n">
        <f aca="false">IF($D365="",0,$F365*$K365)</f>
        <v>0</v>
      </c>
      <c r="M365" s="20" t="n">
        <f aca="false">IF($D365="",0,$G365*$K365)</f>
        <v>0</v>
      </c>
      <c r="N365" s="20" t="n">
        <f aca="false">IF($D365="",0,$H365*$K365)</f>
        <v>0</v>
      </c>
      <c r="O365" s="20" t="n">
        <f aca="false">IF($D365="",0,$I365*$K365*(1-$F365))</f>
        <v>0</v>
      </c>
      <c r="P365" s="20" t="n">
        <f aca="false">IF($D365="",0,$E365*$D365+$L365+$M365+$N365+$O365+$J365*$D365)</f>
        <v>0</v>
      </c>
      <c r="Q365" s="20" t="n">
        <f aca="false">IF($D365="",0,$K365-$P365)</f>
        <v>0</v>
      </c>
      <c r="R365" s="21" t="n">
        <f aca="false">IF($K365=0,0,$Q365/$K365)</f>
        <v>0</v>
      </c>
      <c r="S365" s="20" t="n">
        <f aca="false">IF($D365="",0,$K365-$L365-$M365-$N365)</f>
        <v>0</v>
      </c>
      <c r="T365" s="22"/>
      <c r="U365" s="20" t="n">
        <f aca="false">IF($T365="",0,MAX(0,$S365-$T365))</f>
        <v>0</v>
      </c>
      <c r="V365" s="21" t="n">
        <f aca="false">IF($S365=0,0,$U365/$S365)</f>
        <v>0</v>
      </c>
      <c r="W365" s="23" t="str">
        <f aca="false">IF($D365="","",IF($T365="","BEKLİYOR",IF(OR($U365=0,$S365=0),"DOĞRU",IF(AND($V365&gt;PazaryeriEksikHakedisEsik,$U365&gt;PazaryeriEksikHakedisTutarEsik),"EKSİK HAKEDİŞ","DOĞRU"))))</f>
        <v/>
      </c>
      <c r="X365" s="23" t="str">
        <f aca="false">IF($B365="","",CONCATENATE("Ürün: ",$B365," | Kâr: ",TEXT($Q365,"₺ #,##0")," | Durum: ",$W365))</f>
        <v/>
      </c>
      <c r="Y365" s="24"/>
    </row>
    <row r="366" customFormat="false" ht="15" hidden="false" customHeight="false" outlineLevel="0" collapsed="false">
      <c r="A366" s="24"/>
      <c r="B366" s="24"/>
      <c r="C366" s="22"/>
      <c r="D366" s="25"/>
      <c r="E366" s="22"/>
      <c r="F366" s="26"/>
      <c r="G366" s="26"/>
      <c r="H366" s="26"/>
      <c r="I366" s="26"/>
      <c r="J366" s="22"/>
      <c r="K366" s="20" t="n">
        <f aca="false">IF($D366="",0,$C366*$D366)</f>
        <v>0</v>
      </c>
      <c r="L366" s="20" t="n">
        <f aca="false">IF($D366="",0,$F366*$K366)</f>
        <v>0</v>
      </c>
      <c r="M366" s="20" t="n">
        <f aca="false">IF($D366="",0,$G366*$K366)</f>
        <v>0</v>
      </c>
      <c r="N366" s="20" t="n">
        <f aca="false">IF($D366="",0,$H366*$K366)</f>
        <v>0</v>
      </c>
      <c r="O366" s="20" t="n">
        <f aca="false">IF($D366="",0,$I366*$K366*(1-$F366))</f>
        <v>0</v>
      </c>
      <c r="P366" s="20" t="n">
        <f aca="false">IF($D366="",0,$E366*$D366+$L366+$M366+$N366+$O366+$J366*$D366)</f>
        <v>0</v>
      </c>
      <c r="Q366" s="20" t="n">
        <f aca="false">IF($D366="",0,$K366-$P366)</f>
        <v>0</v>
      </c>
      <c r="R366" s="21" t="n">
        <f aca="false">IF($K366=0,0,$Q366/$K366)</f>
        <v>0</v>
      </c>
      <c r="S366" s="20" t="n">
        <f aca="false">IF($D366="",0,$K366-$L366-$M366-$N366)</f>
        <v>0</v>
      </c>
      <c r="T366" s="22"/>
      <c r="U366" s="20" t="n">
        <f aca="false">IF($T366="",0,MAX(0,$S366-$T366))</f>
        <v>0</v>
      </c>
      <c r="V366" s="21" t="n">
        <f aca="false">IF($S366=0,0,$U366/$S366)</f>
        <v>0</v>
      </c>
      <c r="W366" s="23" t="str">
        <f aca="false">IF($D366="","",IF($T366="","BEKLİYOR",IF(OR($U366=0,$S366=0),"DOĞRU",IF(AND($V366&gt;PazaryeriEksikHakedisEsik,$U366&gt;PazaryeriEksikHakedisTutarEsik),"EKSİK HAKEDİŞ","DOĞRU"))))</f>
        <v/>
      </c>
      <c r="X366" s="23" t="str">
        <f aca="false">IF($B366="","",CONCATENATE("Ürün: ",$B366," | Kâr: ",TEXT($Q366,"₺ #,##0")," | Durum: ",$W366))</f>
        <v/>
      </c>
      <c r="Y366" s="24"/>
    </row>
    <row r="367" customFormat="false" ht="15" hidden="false" customHeight="false" outlineLevel="0" collapsed="false">
      <c r="A367" s="24"/>
      <c r="B367" s="24"/>
      <c r="C367" s="22"/>
      <c r="D367" s="25"/>
      <c r="E367" s="22"/>
      <c r="F367" s="26"/>
      <c r="G367" s="26"/>
      <c r="H367" s="26"/>
      <c r="I367" s="26"/>
      <c r="J367" s="22"/>
      <c r="K367" s="20" t="n">
        <f aca="false">IF($D367="",0,$C367*$D367)</f>
        <v>0</v>
      </c>
      <c r="L367" s="20" t="n">
        <f aca="false">IF($D367="",0,$F367*$K367)</f>
        <v>0</v>
      </c>
      <c r="M367" s="20" t="n">
        <f aca="false">IF($D367="",0,$G367*$K367)</f>
        <v>0</v>
      </c>
      <c r="N367" s="20" t="n">
        <f aca="false">IF($D367="",0,$H367*$K367)</f>
        <v>0</v>
      </c>
      <c r="O367" s="20" t="n">
        <f aca="false">IF($D367="",0,$I367*$K367*(1-$F367))</f>
        <v>0</v>
      </c>
      <c r="P367" s="20" t="n">
        <f aca="false">IF($D367="",0,$E367*$D367+$L367+$M367+$N367+$O367+$J367*$D367)</f>
        <v>0</v>
      </c>
      <c r="Q367" s="20" t="n">
        <f aca="false">IF($D367="",0,$K367-$P367)</f>
        <v>0</v>
      </c>
      <c r="R367" s="21" t="n">
        <f aca="false">IF($K367=0,0,$Q367/$K367)</f>
        <v>0</v>
      </c>
      <c r="S367" s="20" t="n">
        <f aca="false">IF($D367="",0,$K367-$L367-$M367-$N367)</f>
        <v>0</v>
      </c>
      <c r="T367" s="22"/>
      <c r="U367" s="20" t="n">
        <f aca="false">IF($T367="",0,MAX(0,$S367-$T367))</f>
        <v>0</v>
      </c>
      <c r="V367" s="21" t="n">
        <f aca="false">IF($S367=0,0,$U367/$S367)</f>
        <v>0</v>
      </c>
      <c r="W367" s="23" t="str">
        <f aca="false">IF($D367="","",IF($T367="","BEKLİYOR",IF(OR($U367=0,$S367=0),"DOĞRU",IF(AND($V367&gt;PazaryeriEksikHakedisEsik,$U367&gt;PazaryeriEksikHakedisTutarEsik),"EKSİK HAKEDİŞ","DOĞRU"))))</f>
        <v/>
      </c>
      <c r="X367" s="23" t="str">
        <f aca="false">IF($B367="","",CONCATENATE("Ürün: ",$B367," | Kâr: ",TEXT($Q367,"₺ #,##0")," | Durum: ",$W367))</f>
        <v/>
      </c>
      <c r="Y367" s="24"/>
    </row>
    <row r="368" customFormat="false" ht="15" hidden="false" customHeight="false" outlineLevel="0" collapsed="false">
      <c r="A368" s="24"/>
      <c r="B368" s="24"/>
      <c r="C368" s="22"/>
      <c r="D368" s="25"/>
      <c r="E368" s="22"/>
      <c r="F368" s="26"/>
      <c r="G368" s="26"/>
      <c r="H368" s="26"/>
      <c r="I368" s="26"/>
      <c r="J368" s="22"/>
      <c r="K368" s="20" t="n">
        <f aca="false">IF($D368="",0,$C368*$D368)</f>
        <v>0</v>
      </c>
      <c r="L368" s="20" t="n">
        <f aca="false">IF($D368="",0,$F368*$K368)</f>
        <v>0</v>
      </c>
      <c r="M368" s="20" t="n">
        <f aca="false">IF($D368="",0,$G368*$K368)</f>
        <v>0</v>
      </c>
      <c r="N368" s="20" t="n">
        <f aca="false">IF($D368="",0,$H368*$K368)</f>
        <v>0</v>
      </c>
      <c r="O368" s="20" t="n">
        <f aca="false">IF($D368="",0,$I368*$K368*(1-$F368))</f>
        <v>0</v>
      </c>
      <c r="P368" s="20" t="n">
        <f aca="false">IF($D368="",0,$E368*$D368+$L368+$M368+$N368+$O368+$J368*$D368)</f>
        <v>0</v>
      </c>
      <c r="Q368" s="20" t="n">
        <f aca="false">IF($D368="",0,$K368-$P368)</f>
        <v>0</v>
      </c>
      <c r="R368" s="21" t="n">
        <f aca="false">IF($K368=0,0,$Q368/$K368)</f>
        <v>0</v>
      </c>
      <c r="S368" s="20" t="n">
        <f aca="false">IF($D368="",0,$K368-$L368-$M368-$N368)</f>
        <v>0</v>
      </c>
      <c r="T368" s="22"/>
      <c r="U368" s="20" t="n">
        <f aca="false">IF($T368="",0,MAX(0,$S368-$T368))</f>
        <v>0</v>
      </c>
      <c r="V368" s="21" t="n">
        <f aca="false">IF($S368=0,0,$U368/$S368)</f>
        <v>0</v>
      </c>
      <c r="W368" s="23" t="str">
        <f aca="false">IF($D368="","",IF($T368="","BEKLİYOR",IF(OR($U368=0,$S368=0),"DOĞRU",IF(AND($V368&gt;PazaryeriEksikHakedisEsik,$U368&gt;PazaryeriEksikHakedisTutarEsik),"EKSİK HAKEDİŞ","DOĞRU"))))</f>
        <v/>
      </c>
      <c r="X368" s="23" t="str">
        <f aca="false">IF($B368="","",CONCATENATE("Ürün: ",$B368," | Kâr: ",TEXT($Q368,"₺ #,##0")," | Durum: ",$W368))</f>
        <v/>
      </c>
      <c r="Y368" s="24"/>
    </row>
    <row r="369" customFormat="false" ht="15" hidden="false" customHeight="false" outlineLevel="0" collapsed="false">
      <c r="A369" s="24"/>
      <c r="B369" s="24"/>
      <c r="C369" s="22"/>
      <c r="D369" s="25"/>
      <c r="E369" s="22"/>
      <c r="F369" s="26"/>
      <c r="G369" s="26"/>
      <c r="H369" s="26"/>
      <c r="I369" s="26"/>
      <c r="J369" s="22"/>
      <c r="K369" s="20" t="n">
        <f aca="false">IF($D369="",0,$C369*$D369)</f>
        <v>0</v>
      </c>
      <c r="L369" s="20" t="n">
        <f aca="false">IF($D369="",0,$F369*$K369)</f>
        <v>0</v>
      </c>
      <c r="M369" s="20" t="n">
        <f aca="false">IF($D369="",0,$G369*$K369)</f>
        <v>0</v>
      </c>
      <c r="N369" s="20" t="n">
        <f aca="false">IF($D369="",0,$H369*$K369)</f>
        <v>0</v>
      </c>
      <c r="O369" s="20" t="n">
        <f aca="false">IF($D369="",0,$I369*$K369*(1-$F369))</f>
        <v>0</v>
      </c>
      <c r="P369" s="20" t="n">
        <f aca="false">IF($D369="",0,$E369*$D369+$L369+$M369+$N369+$O369+$J369*$D369)</f>
        <v>0</v>
      </c>
      <c r="Q369" s="20" t="n">
        <f aca="false">IF($D369="",0,$K369-$P369)</f>
        <v>0</v>
      </c>
      <c r="R369" s="21" t="n">
        <f aca="false">IF($K369=0,0,$Q369/$K369)</f>
        <v>0</v>
      </c>
      <c r="S369" s="20" t="n">
        <f aca="false">IF($D369="",0,$K369-$L369-$M369-$N369)</f>
        <v>0</v>
      </c>
      <c r="T369" s="22"/>
      <c r="U369" s="20" t="n">
        <f aca="false">IF($T369="",0,MAX(0,$S369-$T369))</f>
        <v>0</v>
      </c>
      <c r="V369" s="21" t="n">
        <f aca="false">IF($S369=0,0,$U369/$S369)</f>
        <v>0</v>
      </c>
      <c r="W369" s="23" t="str">
        <f aca="false">IF($D369="","",IF($T369="","BEKLİYOR",IF(OR($U369=0,$S369=0),"DOĞRU",IF(AND($V369&gt;PazaryeriEksikHakedisEsik,$U369&gt;PazaryeriEksikHakedisTutarEsik),"EKSİK HAKEDİŞ","DOĞRU"))))</f>
        <v/>
      </c>
      <c r="X369" s="23" t="str">
        <f aca="false">IF($B369="","",CONCATENATE("Ürün: ",$B369," | Kâr: ",TEXT($Q369,"₺ #,##0")," | Durum: ",$W369))</f>
        <v/>
      </c>
      <c r="Y369" s="24"/>
    </row>
    <row r="370" customFormat="false" ht="15" hidden="false" customHeight="false" outlineLevel="0" collapsed="false">
      <c r="A370" s="24"/>
      <c r="B370" s="24"/>
      <c r="C370" s="22"/>
      <c r="D370" s="25"/>
      <c r="E370" s="22"/>
      <c r="F370" s="26"/>
      <c r="G370" s="26"/>
      <c r="H370" s="26"/>
      <c r="I370" s="26"/>
      <c r="J370" s="22"/>
      <c r="K370" s="20" t="n">
        <f aca="false">IF($D370="",0,$C370*$D370)</f>
        <v>0</v>
      </c>
      <c r="L370" s="20" t="n">
        <f aca="false">IF($D370="",0,$F370*$K370)</f>
        <v>0</v>
      </c>
      <c r="M370" s="20" t="n">
        <f aca="false">IF($D370="",0,$G370*$K370)</f>
        <v>0</v>
      </c>
      <c r="N370" s="20" t="n">
        <f aca="false">IF($D370="",0,$H370*$K370)</f>
        <v>0</v>
      </c>
      <c r="O370" s="20" t="n">
        <f aca="false">IF($D370="",0,$I370*$K370*(1-$F370))</f>
        <v>0</v>
      </c>
      <c r="P370" s="20" t="n">
        <f aca="false">IF($D370="",0,$E370*$D370+$L370+$M370+$N370+$O370+$J370*$D370)</f>
        <v>0</v>
      </c>
      <c r="Q370" s="20" t="n">
        <f aca="false">IF($D370="",0,$K370-$P370)</f>
        <v>0</v>
      </c>
      <c r="R370" s="21" t="n">
        <f aca="false">IF($K370=0,0,$Q370/$K370)</f>
        <v>0</v>
      </c>
      <c r="S370" s="20" t="n">
        <f aca="false">IF($D370="",0,$K370-$L370-$M370-$N370)</f>
        <v>0</v>
      </c>
      <c r="T370" s="22"/>
      <c r="U370" s="20" t="n">
        <f aca="false">IF($T370="",0,MAX(0,$S370-$T370))</f>
        <v>0</v>
      </c>
      <c r="V370" s="21" t="n">
        <f aca="false">IF($S370=0,0,$U370/$S370)</f>
        <v>0</v>
      </c>
      <c r="W370" s="23" t="str">
        <f aca="false">IF($D370="","",IF($T370="","BEKLİYOR",IF(OR($U370=0,$S370=0),"DOĞRU",IF(AND($V370&gt;PazaryeriEksikHakedisEsik,$U370&gt;PazaryeriEksikHakedisTutarEsik),"EKSİK HAKEDİŞ","DOĞRU"))))</f>
        <v/>
      </c>
      <c r="X370" s="23" t="str">
        <f aca="false">IF($B370="","",CONCATENATE("Ürün: ",$B370," | Kâr: ",TEXT($Q370,"₺ #,##0")," | Durum: ",$W370))</f>
        <v/>
      </c>
      <c r="Y370" s="24"/>
    </row>
    <row r="371" customFormat="false" ht="15" hidden="false" customHeight="false" outlineLevel="0" collapsed="false">
      <c r="A371" s="24"/>
      <c r="B371" s="24"/>
      <c r="C371" s="22"/>
      <c r="D371" s="25"/>
      <c r="E371" s="22"/>
      <c r="F371" s="26"/>
      <c r="G371" s="26"/>
      <c r="H371" s="26"/>
      <c r="I371" s="26"/>
      <c r="J371" s="22"/>
      <c r="K371" s="20" t="n">
        <f aca="false">IF($D371="",0,$C371*$D371)</f>
        <v>0</v>
      </c>
      <c r="L371" s="20" t="n">
        <f aca="false">IF($D371="",0,$F371*$K371)</f>
        <v>0</v>
      </c>
      <c r="M371" s="20" t="n">
        <f aca="false">IF($D371="",0,$G371*$K371)</f>
        <v>0</v>
      </c>
      <c r="N371" s="20" t="n">
        <f aca="false">IF($D371="",0,$H371*$K371)</f>
        <v>0</v>
      </c>
      <c r="O371" s="20" t="n">
        <f aca="false">IF($D371="",0,$I371*$K371*(1-$F371))</f>
        <v>0</v>
      </c>
      <c r="P371" s="20" t="n">
        <f aca="false">IF($D371="",0,$E371*$D371+$L371+$M371+$N371+$O371+$J371*$D371)</f>
        <v>0</v>
      </c>
      <c r="Q371" s="20" t="n">
        <f aca="false">IF($D371="",0,$K371-$P371)</f>
        <v>0</v>
      </c>
      <c r="R371" s="21" t="n">
        <f aca="false">IF($K371=0,0,$Q371/$K371)</f>
        <v>0</v>
      </c>
      <c r="S371" s="20" t="n">
        <f aca="false">IF($D371="",0,$K371-$L371-$M371-$N371)</f>
        <v>0</v>
      </c>
      <c r="T371" s="22"/>
      <c r="U371" s="20" t="n">
        <f aca="false">IF($T371="",0,MAX(0,$S371-$T371))</f>
        <v>0</v>
      </c>
      <c r="V371" s="21" t="n">
        <f aca="false">IF($S371=0,0,$U371/$S371)</f>
        <v>0</v>
      </c>
      <c r="W371" s="23" t="str">
        <f aca="false">IF($D371="","",IF($T371="","BEKLİYOR",IF(OR($U371=0,$S371=0),"DOĞRU",IF(AND($V371&gt;PazaryeriEksikHakedisEsik,$U371&gt;PazaryeriEksikHakedisTutarEsik),"EKSİK HAKEDİŞ","DOĞRU"))))</f>
        <v/>
      </c>
      <c r="X371" s="23" t="str">
        <f aca="false">IF($B371="","",CONCATENATE("Ürün: ",$B371," | Kâr: ",TEXT($Q371,"₺ #,##0")," | Durum: ",$W371))</f>
        <v/>
      </c>
      <c r="Y371" s="24"/>
    </row>
    <row r="372" customFormat="false" ht="15" hidden="false" customHeight="false" outlineLevel="0" collapsed="false">
      <c r="A372" s="24"/>
      <c r="B372" s="24"/>
      <c r="C372" s="22"/>
      <c r="D372" s="25"/>
      <c r="E372" s="22"/>
      <c r="F372" s="26"/>
      <c r="G372" s="26"/>
      <c r="H372" s="26"/>
      <c r="I372" s="26"/>
      <c r="J372" s="22"/>
      <c r="K372" s="20" t="n">
        <f aca="false">IF($D372="",0,$C372*$D372)</f>
        <v>0</v>
      </c>
      <c r="L372" s="20" t="n">
        <f aca="false">IF($D372="",0,$F372*$K372)</f>
        <v>0</v>
      </c>
      <c r="M372" s="20" t="n">
        <f aca="false">IF($D372="",0,$G372*$K372)</f>
        <v>0</v>
      </c>
      <c r="N372" s="20" t="n">
        <f aca="false">IF($D372="",0,$H372*$K372)</f>
        <v>0</v>
      </c>
      <c r="O372" s="20" t="n">
        <f aca="false">IF($D372="",0,$I372*$K372*(1-$F372))</f>
        <v>0</v>
      </c>
      <c r="P372" s="20" t="n">
        <f aca="false">IF($D372="",0,$E372*$D372+$L372+$M372+$N372+$O372+$J372*$D372)</f>
        <v>0</v>
      </c>
      <c r="Q372" s="20" t="n">
        <f aca="false">IF($D372="",0,$K372-$P372)</f>
        <v>0</v>
      </c>
      <c r="R372" s="21" t="n">
        <f aca="false">IF($K372=0,0,$Q372/$K372)</f>
        <v>0</v>
      </c>
      <c r="S372" s="20" t="n">
        <f aca="false">IF($D372="",0,$K372-$L372-$M372-$N372)</f>
        <v>0</v>
      </c>
      <c r="T372" s="22"/>
      <c r="U372" s="20" t="n">
        <f aca="false">IF($T372="",0,MAX(0,$S372-$T372))</f>
        <v>0</v>
      </c>
      <c r="V372" s="21" t="n">
        <f aca="false">IF($S372=0,0,$U372/$S372)</f>
        <v>0</v>
      </c>
      <c r="W372" s="23" t="str">
        <f aca="false">IF($D372="","",IF($T372="","BEKLİYOR",IF(OR($U372=0,$S372=0),"DOĞRU",IF(AND($V372&gt;PazaryeriEksikHakedisEsik,$U372&gt;PazaryeriEksikHakedisTutarEsik),"EKSİK HAKEDİŞ","DOĞRU"))))</f>
        <v/>
      </c>
      <c r="X372" s="23" t="str">
        <f aca="false">IF($B372="","",CONCATENATE("Ürün: ",$B372," | Kâr: ",TEXT($Q372,"₺ #,##0")," | Durum: ",$W372))</f>
        <v/>
      </c>
      <c r="Y372" s="24"/>
    </row>
    <row r="373" customFormat="false" ht="15" hidden="false" customHeight="false" outlineLevel="0" collapsed="false">
      <c r="A373" s="24"/>
      <c r="B373" s="24"/>
      <c r="C373" s="22"/>
      <c r="D373" s="25"/>
      <c r="E373" s="22"/>
      <c r="F373" s="26"/>
      <c r="G373" s="26"/>
      <c r="H373" s="26"/>
      <c r="I373" s="26"/>
      <c r="J373" s="22"/>
      <c r="K373" s="20" t="n">
        <f aca="false">IF($D373="",0,$C373*$D373)</f>
        <v>0</v>
      </c>
      <c r="L373" s="20" t="n">
        <f aca="false">IF($D373="",0,$F373*$K373)</f>
        <v>0</v>
      </c>
      <c r="M373" s="20" t="n">
        <f aca="false">IF($D373="",0,$G373*$K373)</f>
        <v>0</v>
      </c>
      <c r="N373" s="20" t="n">
        <f aca="false">IF($D373="",0,$H373*$K373)</f>
        <v>0</v>
      </c>
      <c r="O373" s="20" t="n">
        <f aca="false">IF($D373="",0,$I373*$K373*(1-$F373))</f>
        <v>0</v>
      </c>
      <c r="P373" s="20" t="n">
        <f aca="false">IF($D373="",0,$E373*$D373+$L373+$M373+$N373+$O373+$J373*$D373)</f>
        <v>0</v>
      </c>
      <c r="Q373" s="20" t="n">
        <f aca="false">IF($D373="",0,$K373-$P373)</f>
        <v>0</v>
      </c>
      <c r="R373" s="21" t="n">
        <f aca="false">IF($K373=0,0,$Q373/$K373)</f>
        <v>0</v>
      </c>
      <c r="S373" s="20" t="n">
        <f aca="false">IF($D373="",0,$K373-$L373-$M373-$N373)</f>
        <v>0</v>
      </c>
      <c r="T373" s="22"/>
      <c r="U373" s="20" t="n">
        <f aca="false">IF($T373="",0,MAX(0,$S373-$T373))</f>
        <v>0</v>
      </c>
      <c r="V373" s="21" t="n">
        <f aca="false">IF($S373=0,0,$U373/$S373)</f>
        <v>0</v>
      </c>
      <c r="W373" s="23" t="str">
        <f aca="false">IF($D373="","",IF($T373="","BEKLİYOR",IF(OR($U373=0,$S373=0),"DOĞRU",IF(AND($V373&gt;PazaryeriEksikHakedisEsik,$U373&gt;PazaryeriEksikHakedisTutarEsik),"EKSİK HAKEDİŞ","DOĞRU"))))</f>
        <v/>
      </c>
      <c r="X373" s="23" t="str">
        <f aca="false">IF($B373="","",CONCATENATE("Ürün: ",$B373," | Kâr: ",TEXT($Q373,"₺ #,##0")," | Durum: ",$W373))</f>
        <v/>
      </c>
      <c r="Y373" s="24"/>
    </row>
    <row r="374" customFormat="false" ht="15" hidden="false" customHeight="false" outlineLevel="0" collapsed="false">
      <c r="A374" s="24"/>
      <c r="B374" s="24"/>
      <c r="C374" s="22"/>
      <c r="D374" s="25"/>
      <c r="E374" s="22"/>
      <c r="F374" s="26"/>
      <c r="G374" s="26"/>
      <c r="H374" s="26"/>
      <c r="I374" s="26"/>
      <c r="J374" s="22"/>
      <c r="K374" s="20" t="n">
        <f aca="false">IF($D374="",0,$C374*$D374)</f>
        <v>0</v>
      </c>
      <c r="L374" s="20" t="n">
        <f aca="false">IF($D374="",0,$F374*$K374)</f>
        <v>0</v>
      </c>
      <c r="M374" s="20" t="n">
        <f aca="false">IF($D374="",0,$G374*$K374)</f>
        <v>0</v>
      </c>
      <c r="N374" s="20" t="n">
        <f aca="false">IF($D374="",0,$H374*$K374)</f>
        <v>0</v>
      </c>
      <c r="O374" s="20" t="n">
        <f aca="false">IF($D374="",0,$I374*$K374*(1-$F374))</f>
        <v>0</v>
      </c>
      <c r="P374" s="20" t="n">
        <f aca="false">IF($D374="",0,$E374*$D374+$L374+$M374+$N374+$O374+$J374*$D374)</f>
        <v>0</v>
      </c>
      <c r="Q374" s="20" t="n">
        <f aca="false">IF($D374="",0,$K374-$P374)</f>
        <v>0</v>
      </c>
      <c r="R374" s="21" t="n">
        <f aca="false">IF($K374=0,0,$Q374/$K374)</f>
        <v>0</v>
      </c>
      <c r="S374" s="20" t="n">
        <f aca="false">IF($D374="",0,$K374-$L374-$M374-$N374)</f>
        <v>0</v>
      </c>
      <c r="T374" s="22"/>
      <c r="U374" s="20" t="n">
        <f aca="false">IF($T374="",0,MAX(0,$S374-$T374))</f>
        <v>0</v>
      </c>
      <c r="V374" s="21" t="n">
        <f aca="false">IF($S374=0,0,$U374/$S374)</f>
        <v>0</v>
      </c>
      <c r="W374" s="23" t="str">
        <f aca="false">IF($D374="","",IF($T374="","BEKLİYOR",IF(OR($U374=0,$S374=0),"DOĞRU",IF(AND($V374&gt;PazaryeriEksikHakedisEsik,$U374&gt;PazaryeriEksikHakedisTutarEsik),"EKSİK HAKEDİŞ","DOĞRU"))))</f>
        <v/>
      </c>
      <c r="X374" s="23" t="str">
        <f aca="false">IF($B374="","",CONCATENATE("Ürün: ",$B374," | Kâr: ",TEXT($Q374,"₺ #,##0")," | Durum: ",$W374))</f>
        <v/>
      </c>
      <c r="Y374" s="24"/>
    </row>
    <row r="375" customFormat="false" ht="15" hidden="false" customHeight="false" outlineLevel="0" collapsed="false">
      <c r="A375" s="24"/>
      <c r="B375" s="24"/>
      <c r="C375" s="22"/>
      <c r="D375" s="25"/>
      <c r="E375" s="22"/>
      <c r="F375" s="26"/>
      <c r="G375" s="26"/>
      <c r="H375" s="26"/>
      <c r="I375" s="26"/>
      <c r="J375" s="22"/>
      <c r="K375" s="20" t="n">
        <f aca="false">IF($D375="",0,$C375*$D375)</f>
        <v>0</v>
      </c>
      <c r="L375" s="20" t="n">
        <f aca="false">IF($D375="",0,$F375*$K375)</f>
        <v>0</v>
      </c>
      <c r="M375" s="20" t="n">
        <f aca="false">IF($D375="",0,$G375*$K375)</f>
        <v>0</v>
      </c>
      <c r="N375" s="20" t="n">
        <f aca="false">IF($D375="",0,$H375*$K375)</f>
        <v>0</v>
      </c>
      <c r="O375" s="20" t="n">
        <f aca="false">IF($D375="",0,$I375*$K375*(1-$F375))</f>
        <v>0</v>
      </c>
      <c r="P375" s="20" t="n">
        <f aca="false">IF($D375="",0,$E375*$D375+$L375+$M375+$N375+$O375+$J375*$D375)</f>
        <v>0</v>
      </c>
      <c r="Q375" s="20" t="n">
        <f aca="false">IF($D375="",0,$K375-$P375)</f>
        <v>0</v>
      </c>
      <c r="R375" s="21" t="n">
        <f aca="false">IF($K375=0,0,$Q375/$K375)</f>
        <v>0</v>
      </c>
      <c r="S375" s="20" t="n">
        <f aca="false">IF($D375="",0,$K375-$L375-$M375-$N375)</f>
        <v>0</v>
      </c>
      <c r="T375" s="22"/>
      <c r="U375" s="20" t="n">
        <f aca="false">IF($T375="",0,MAX(0,$S375-$T375))</f>
        <v>0</v>
      </c>
      <c r="V375" s="21" t="n">
        <f aca="false">IF($S375=0,0,$U375/$S375)</f>
        <v>0</v>
      </c>
      <c r="W375" s="23" t="str">
        <f aca="false">IF($D375="","",IF($T375="","BEKLİYOR",IF(OR($U375=0,$S375=0),"DOĞRU",IF(AND($V375&gt;PazaryeriEksikHakedisEsik,$U375&gt;PazaryeriEksikHakedisTutarEsik),"EKSİK HAKEDİŞ","DOĞRU"))))</f>
        <v/>
      </c>
      <c r="X375" s="23" t="str">
        <f aca="false">IF($B375="","",CONCATENATE("Ürün: ",$B375," | Kâr: ",TEXT($Q375,"₺ #,##0")," | Durum: ",$W375))</f>
        <v/>
      </c>
      <c r="Y375" s="24"/>
    </row>
    <row r="376" customFormat="false" ht="15" hidden="false" customHeight="false" outlineLevel="0" collapsed="false">
      <c r="A376" s="24"/>
      <c r="B376" s="24"/>
      <c r="C376" s="22"/>
      <c r="D376" s="25"/>
      <c r="E376" s="22"/>
      <c r="F376" s="26"/>
      <c r="G376" s="26"/>
      <c r="H376" s="26"/>
      <c r="I376" s="26"/>
      <c r="J376" s="22"/>
      <c r="K376" s="20" t="n">
        <f aca="false">IF($D376="",0,$C376*$D376)</f>
        <v>0</v>
      </c>
      <c r="L376" s="20" t="n">
        <f aca="false">IF($D376="",0,$F376*$K376)</f>
        <v>0</v>
      </c>
      <c r="M376" s="20" t="n">
        <f aca="false">IF($D376="",0,$G376*$K376)</f>
        <v>0</v>
      </c>
      <c r="N376" s="20" t="n">
        <f aca="false">IF($D376="",0,$H376*$K376)</f>
        <v>0</v>
      </c>
      <c r="O376" s="20" t="n">
        <f aca="false">IF($D376="",0,$I376*$K376*(1-$F376))</f>
        <v>0</v>
      </c>
      <c r="P376" s="20" t="n">
        <f aca="false">IF($D376="",0,$E376*$D376+$L376+$M376+$N376+$O376+$J376*$D376)</f>
        <v>0</v>
      </c>
      <c r="Q376" s="20" t="n">
        <f aca="false">IF($D376="",0,$K376-$P376)</f>
        <v>0</v>
      </c>
      <c r="R376" s="21" t="n">
        <f aca="false">IF($K376=0,0,$Q376/$K376)</f>
        <v>0</v>
      </c>
      <c r="S376" s="20" t="n">
        <f aca="false">IF($D376="",0,$K376-$L376-$M376-$N376)</f>
        <v>0</v>
      </c>
      <c r="T376" s="22"/>
      <c r="U376" s="20" t="n">
        <f aca="false">IF($T376="",0,MAX(0,$S376-$T376))</f>
        <v>0</v>
      </c>
      <c r="V376" s="21" t="n">
        <f aca="false">IF($S376=0,0,$U376/$S376)</f>
        <v>0</v>
      </c>
      <c r="W376" s="23" t="str">
        <f aca="false">IF($D376="","",IF($T376="","BEKLİYOR",IF(OR($U376=0,$S376=0),"DOĞRU",IF(AND($V376&gt;PazaryeriEksikHakedisEsik,$U376&gt;PazaryeriEksikHakedisTutarEsik),"EKSİK HAKEDİŞ","DOĞRU"))))</f>
        <v/>
      </c>
      <c r="X376" s="23" t="str">
        <f aca="false">IF($B376="","",CONCATENATE("Ürün: ",$B376," | Kâr: ",TEXT($Q376,"₺ #,##0")," | Durum: ",$W376))</f>
        <v/>
      </c>
      <c r="Y376" s="24"/>
    </row>
    <row r="377" customFormat="false" ht="15" hidden="false" customHeight="false" outlineLevel="0" collapsed="false">
      <c r="A377" s="24"/>
      <c r="B377" s="24"/>
      <c r="C377" s="22"/>
      <c r="D377" s="25"/>
      <c r="E377" s="22"/>
      <c r="F377" s="26"/>
      <c r="G377" s="26"/>
      <c r="H377" s="26"/>
      <c r="I377" s="26"/>
      <c r="J377" s="22"/>
      <c r="K377" s="20" t="n">
        <f aca="false">IF($D377="",0,$C377*$D377)</f>
        <v>0</v>
      </c>
      <c r="L377" s="20" t="n">
        <f aca="false">IF($D377="",0,$F377*$K377)</f>
        <v>0</v>
      </c>
      <c r="M377" s="20" t="n">
        <f aca="false">IF($D377="",0,$G377*$K377)</f>
        <v>0</v>
      </c>
      <c r="N377" s="20" t="n">
        <f aca="false">IF($D377="",0,$H377*$K377)</f>
        <v>0</v>
      </c>
      <c r="O377" s="20" t="n">
        <f aca="false">IF($D377="",0,$I377*$K377*(1-$F377))</f>
        <v>0</v>
      </c>
      <c r="P377" s="20" t="n">
        <f aca="false">IF($D377="",0,$E377*$D377+$L377+$M377+$N377+$O377+$J377*$D377)</f>
        <v>0</v>
      </c>
      <c r="Q377" s="20" t="n">
        <f aca="false">IF($D377="",0,$K377-$P377)</f>
        <v>0</v>
      </c>
      <c r="R377" s="21" t="n">
        <f aca="false">IF($K377=0,0,$Q377/$K377)</f>
        <v>0</v>
      </c>
      <c r="S377" s="20" t="n">
        <f aca="false">IF($D377="",0,$K377-$L377-$M377-$N377)</f>
        <v>0</v>
      </c>
      <c r="T377" s="22"/>
      <c r="U377" s="20" t="n">
        <f aca="false">IF($T377="",0,MAX(0,$S377-$T377))</f>
        <v>0</v>
      </c>
      <c r="V377" s="21" t="n">
        <f aca="false">IF($S377=0,0,$U377/$S377)</f>
        <v>0</v>
      </c>
      <c r="W377" s="23" t="str">
        <f aca="false">IF($D377="","",IF($T377="","BEKLİYOR",IF(OR($U377=0,$S377=0),"DOĞRU",IF(AND($V377&gt;PazaryeriEksikHakedisEsik,$U377&gt;PazaryeriEksikHakedisTutarEsik),"EKSİK HAKEDİŞ","DOĞRU"))))</f>
        <v/>
      </c>
      <c r="X377" s="23" t="str">
        <f aca="false">IF($B377="","",CONCATENATE("Ürün: ",$B377," | Kâr: ",TEXT($Q377,"₺ #,##0")," | Durum: ",$W377))</f>
        <v/>
      </c>
      <c r="Y377" s="24"/>
    </row>
    <row r="378" customFormat="false" ht="15" hidden="false" customHeight="false" outlineLevel="0" collapsed="false">
      <c r="A378" s="24"/>
      <c r="B378" s="24"/>
      <c r="C378" s="22"/>
      <c r="D378" s="25"/>
      <c r="E378" s="22"/>
      <c r="F378" s="26"/>
      <c r="G378" s="26"/>
      <c r="H378" s="26"/>
      <c r="I378" s="26"/>
      <c r="J378" s="22"/>
      <c r="K378" s="20" t="n">
        <f aca="false">IF($D378="",0,$C378*$D378)</f>
        <v>0</v>
      </c>
      <c r="L378" s="20" t="n">
        <f aca="false">IF($D378="",0,$F378*$K378)</f>
        <v>0</v>
      </c>
      <c r="M378" s="20" t="n">
        <f aca="false">IF($D378="",0,$G378*$K378)</f>
        <v>0</v>
      </c>
      <c r="N378" s="20" t="n">
        <f aca="false">IF($D378="",0,$H378*$K378)</f>
        <v>0</v>
      </c>
      <c r="O378" s="20" t="n">
        <f aca="false">IF($D378="",0,$I378*$K378*(1-$F378))</f>
        <v>0</v>
      </c>
      <c r="P378" s="20" t="n">
        <f aca="false">IF($D378="",0,$E378*$D378+$L378+$M378+$N378+$O378+$J378*$D378)</f>
        <v>0</v>
      </c>
      <c r="Q378" s="20" t="n">
        <f aca="false">IF($D378="",0,$K378-$P378)</f>
        <v>0</v>
      </c>
      <c r="R378" s="21" t="n">
        <f aca="false">IF($K378=0,0,$Q378/$K378)</f>
        <v>0</v>
      </c>
      <c r="S378" s="20" t="n">
        <f aca="false">IF($D378="",0,$K378-$L378-$M378-$N378)</f>
        <v>0</v>
      </c>
      <c r="T378" s="22"/>
      <c r="U378" s="20" t="n">
        <f aca="false">IF($T378="",0,MAX(0,$S378-$T378))</f>
        <v>0</v>
      </c>
      <c r="V378" s="21" t="n">
        <f aca="false">IF($S378=0,0,$U378/$S378)</f>
        <v>0</v>
      </c>
      <c r="W378" s="23" t="str">
        <f aca="false">IF($D378="","",IF($T378="","BEKLİYOR",IF(OR($U378=0,$S378=0),"DOĞRU",IF(AND($V378&gt;PazaryeriEksikHakedisEsik,$U378&gt;PazaryeriEksikHakedisTutarEsik),"EKSİK HAKEDİŞ","DOĞRU"))))</f>
        <v/>
      </c>
      <c r="X378" s="23" t="str">
        <f aca="false">IF($B378="","",CONCATENATE("Ürün: ",$B378," | Kâr: ",TEXT($Q378,"₺ #,##0")," | Durum: ",$W378))</f>
        <v/>
      </c>
      <c r="Y378" s="24"/>
    </row>
    <row r="379" customFormat="false" ht="15" hidden="false" customHeight="false" outlineLevel="0" collapsed="false">
      <c r="A379" s="24"/>
      <c r="B379" s="24"/>
      <c r="C379" s="22"/>
      <c r="D379" s="25"/>
      <c r="E379" s="22"/>
      <c r="F379" s="26"/>
      <c r="G379" s="26"/>
      <c r="H379" s="26"/>
      <c r="I379" s="26"/>
      <c r="J379" s="22"/>
      <c r="K379" s="20" t="n">
        <f aca="false">IF($D379="",0,$C379*$D379)</f>
        <v>0</v>
      </c>
      <c r="L379" s="20" t="n">
        <f aca="false">IF($D379="",0,$F379*$K379)</f>
        <v>0</v>
      </c>
      <c r="M379" s="20" t="n">
        <f aca="false">IF($D379="",0,$G379*$K379)</f>
        <v>0</v>
      </c>
      <c r="N379" s="20" t="n">
        <f aca="false">IF($D379="",0,$H379*$K379)</f>
        <v>0</v>
      </c>
      <c r="O379" s="20" t="n">
        <f aca="false">IF($D379="",0,$I379*$K379*(1-$F379))</f>
        <v>0</v>
      </c>
      <c r="P379" s="20" t="n">
        <f aca="false">IF($D379="",0,$E379*$D379+$L379+$M379+$N379+$O379+$J379*$D379)</f>
        <v>0</v>
      </c>
      <c r="Q379" s="20" t="n">
        <f aca="false">IF($D379="",0,$K379-$P379)</f>
        <v>0</v>
      </c>
      <c r="R379" s="21" t="n">
        <f aca="false">IF($K379=0,0,$Q379/$K379)</f>
        <v>0</v>
      </c>
      <c r="S379" s="20" t="n">
        <f aca="false">IF($D379="",0,$K379-$L379-$M379-$N379)</f>
        <v>0</v>
      </c>
      <c r="T379" s="22"/>
      <c r="U379" s="20" t="n">
        <f aca="false">IF($T379="",0,MAX(0,$S379-$T379))</f>
        <v>0</v>
      </c>
      <c r="V379" s="21" t="n">
        <f aca="false">IF($S379=0,0,$U379/$S379)</f>
        <v>0</v>
      </c>
      <c r="W379" s="23" t="str">
        <f aca="false">IF($D379="","",IF($T379="","BEKLİYOR",IF(OR($U379=0,$S379=0),"DOĞRU",IF(AND($V379&gt;PazaryeriEksikHakedisEsik,$U379&gt;PazaryeriEksikHakedisTutarEsik),"EKSİK HAKEDİŞ","DOĞRU"))))</f>
        <v/>
      </c>
      <c r="X379" s="23" t="str">
        <f aca="false">IF($B379="","",CONCATENATE("Ürün: ",$B379," | Kâr: ",TEXT($Q379,"₺ #,##0")," | Durum: ",$W379))</f>
        <v/>
      </c>
      <c r="Y379" s="24"/>
    </row>
    <row r="380" customFormat="false" ht="15" hidden="false" customHeight="false" outlineLevel="0" collapsed="false">
      <c r="A380" s="24"/>
      <c r="B380" s="24"/>
      <c r="C380" s="22"/>
      <c r="D380" s="25"/>
      <c r="E380" s="22"/>
      <c r="F380" s="26"/>
      <c r="G380" s="26"/>
      <c r="H380" s="26"/>
      <c r="I380" s="26"/>
      <c r="J380" s="22"/>
      <c r="K380" s="20" t="n">
        <f aca="false">IF($D380="",0,$C380*$D380)</f>
        <v>0</v>
      </c>
      <c r="L380" s="20" t="n">
        <f aca="false">IF($D380="",0,$F380*$K380)</f>
        <v>0</v>
      </c>
      <c r="M380" s="20" t="n">
        <f aca="false">IF($D380="",0,$G380*$K380)</f>
        <v>0</v>
      </c>
      <c r="N380" s="20" t="n">
        <f aca="false">IF($D380="",0,$H380*$K380)</f>
        <v>0</v>
      </c>
      <c r="O380" s="20" t="n">
        <f aca="false">IF($D380="",0,$I380*$K380*(1-$F380))</f>
        <v>0</v>
      </c>
      <c r="P380" s="20" t="n">
        <f aca="false">IF($D380="",0,$E380*$D380+$L380+$M380+$N380+$O380+$J380*$D380)</f>
        <v>0</v>
      </c>
      <c r="Q380" s="20" t="n">
        <f aca="false">IF($D380="",0,$K380-$P380)</f>
        <v>0</v>
      </c>
      <c r="R380" s="21" t="n">
        <f aca="false">IF($K380=0,0,$Q380/$K380)</f>
        <v>0</v>
      </c>
      <c r="S380" s="20" t="n">
        <f aca="false">IF($D380="",0,$K380-$L380-$M380-$N380)</f>
        <v>0</v>
      </c>
      <c r="T380" s="22"/>
      <c r="U380" s="20" t="n">
        <f aca="false">IF($T380="",0,MAX(0,$S380-$T380))</f>
        <v>0</v>
      </c>
      <c r="V380" s="21" t="n">
        <f aca="false">IF($S380=0,0,$U380/$S380)</f>
        <v>0</v>
      </c>
      <c r="W380" s="23" t="str">
        <f aca="false">IF($D380="","",IF($T380="","BEKLİYOR",IF(OR($U380=0,$S380=0),"DOĞRU",IF(AND($V380&gt;PazaryeriEksikHakedisEsik,$U380&gt;PazaryeriEksikHakedisTutarEsik),"EKSİK HAKEDİŞ","DOĞRU"))))</f>
        <v/>
      </c>
      <c r="X380" s="23" t="str">
        <f aca="false">IF($B380="","",CONCATENATE("Ürün: ",$B380," | Kâr: ",TEXT($Q380,"₺ #,##0")," | Durum: ",$W380))</f>
        <v/>
      </c>
      <c r="Y380" s="24"/>
    </row>
    <row r="381" customFormat="false" ht="15" hidden="false" customHeight="false" outlineLevel="0" collapsed="false">
      <c r="A381" s="24"/>
      <c r="B381" s="24"/>
      <c r="C381" s="22"/>
      <c r="D381" s="25"/>
      <c r="E381" s="22"/>
      <c r="F381" s="26"/>
      <c r="G381" s="26"/>
      <c r="H381" s="26"/>
      <c r="I381" s="26"/>
      <c r="J381" s="22"/>
      <c r="K381" s="20" t="n">
        <f aca="false">IF($D381="",0,$C381*$D381)</f>
        <v>0</v>
      </c>
      <c r="L381" s="20" t="n">
        <f aca="false">IF($D381="",0,$F381*$K381)</f>
        <v>0</v>
      </c>
      <c r="M381" s="20" t="n">
        <f aca="false">IF($D381="",0,$G381*$K381)</f>
        <v>0</v>
      </c>
      <c r="N381" s="20" t="n">
        <f aca="false">IF($D381="",0,$H381*$K381)</f>
        <v>0</v>
      </c>
      <c r="O381" s="20" t="n">
        <f aca="false">IF($D381="",0,$I381*$K381*(1-$F381))</f>
        <v>0</v>
      </c>
      <c r="P381" s="20" t="n">
        <f aca="false">IF($D381="",0,$E381*$D381+$L381+$M381+$N381+$O381+$J381*$D381)</f>
        <v>0</v>
      </c>
      <c r="Q381" s="20" t="n">
        <f aca="false">IF($D381="",0,$K381-$P381)</f>
        <v>0</v>
      </c>
      <c r="R381" s="21" t="n">
        <f aca="false">IF($K381=0,0,$Q381/$K381)</f>
        <v>0</v>
      </c>
      <c r="S381" s="20" t="n">
        <f aca="false">IF($D381="",0,$K381-$L381-$M381-$N381)</f>
        <v>0</v>
      </c>
      <c r="T381" s="22"/>
      <c r="U381" s="20" t="n">
        <f aca="false">IF($T381="",0,MAX(0,$S381-$T381))</f>
        <v>0</v>
      </c>
      <c r="V381" s="21" t="n">
        <f aca="false">IF($S381=0,0,$U381/$S381)</f>
        <v>0</v>
      </c>
      <c r="W381" s="23" t="str">
        <f aca="false">IF($D381="","",IF($T381="","BEKLİYOR",IF(OR($U381=0,$S381=0),"DOĞRU",IF(AND($V381&gt;PazaryeriEksikHakedisEsik,$U381&gt;PazaryeriEksikHakedisTutarEsik),"EKSİK HAKEDİŞ","DOĞRU"))))</f>
        <v/>
      </c>
      <c r="X381" s="23" t="str">
        <f aca="false">IF($B381="","",CONCATENATE("Ürün: ",$B381," | Kâr: ",TEXT($Q381,"₺ #,##0")," | Durum: ",$W381))</f>
        <v/>
      </c>
      <c r="Y381" s="24"/>
    </row>
    <row r="382" customFormat="false" ht="15" hidden="false" customHeight="false" outlineLevel="0" collapsed="false">
      <c r="A382" s="24"/>
      <c r="B382" s="24"/>
      <c r="C382" s="22"/>
      <c r="D382" s="25"/>
      <c r="E382" s="22"/>
      <c r="F382" s="26"/>
      <c r="G382" s="26"/>
      <c r="H382" s="26"/>
      <c r="I382" s="26"/>
      <c r="J382" s="22"/>
      <c r="K382" s="20" t="n">
        <f aca="false">IF($D382="",0,$C382*$D382)</f>
        <v>0</v>
      </c>
      <c r="L382" s="20" t="n">
        <f aca="false">IF($D382="",0,$F382*$K382)</f>
        <v>0</v>
      </c>
      <c r="M382" s="20" t="n">
        <f aca="false">IF($D382="",0,$G382*$K382)</f>
        <v>0</v>
      </c>
      <c r="N382" s="20" t="n">
        <f aca="false">IF($D382="",0,$H382*$K382)</f>
        <v>0</v>
      </c>
      <c r="O382" s="20" t="n">
        <f aca="false">IF($D382="",0,$I382*$K382*(1-$F382))</f>
        <v>0</v>
      </c>
      <c r="P382" s="20" t="n">
        <f aca="false">IF($D382="",0,$E382*$D382+$L382+$M382+$N382+$O382+$J382*$D382)</f>
        <v>0</v>
      </c>
      <c r="Q382" s="20" t="n">
        <f aca="false">IF($D382="",0,$K382-$P382)</f>
        <v>0</v>
      </c>
      <c r="R382" s="21" t="n">
        <f aca="false">IF($K382=0,0,$Q382/$K382)</f>
        <v>0</v>
      </c>
      <c r="S382" s="20" t="n">
        <f aca="false">IF($D382="",0,$K382-$L382-$M382-$N382)</f>
        <v>0</v>
      </c>
      <c r="T382" s="22"/>
      <c r="U382" s="20" t="n">
        <f aca="false">IF($T382="",0,MAX(0,$S382-$T382))</f>
        <v>0</v>
      </c>
      <c r="V382" s="21" t="n">
        <f aca="false">IF($S382=0,0,$U382/$S382)</f>
        <v>0</v>
      </c>
      <c r="W382" s="23" t="str">
        <f aca="false">IF($D382="","",IF($T382="","BEKLİYOR",IF(OR($U382=0,$S382=0),"DOĞRU",IF(AND($V382&gt;PazaryeriEksikHakedisEsik,$U382&gt;PazaryeriEksikHakedisTutarEsik),"EKSİK HAKEDİŞ","DOĞRU"))))</f>
        <v/>
      </c>
      <c r="X382" s="23" t="str">
        <f aca="false">IF($B382="","",CONCATENATE("Ürün: ",$B382," | Kâr: ",TEXT($Q382,"₺ #,##0")," | Durum: ",$W382))</f>
        <v/>
      </c>
      <c r="Y382" s="24"/>
    </row>
    <row r="383" customFormat="false" ht="15" hidden="false" customHeight="false" outlineLevel="0" collapsed="false">
      <c r="A383" s="24"/>
      <c r="B383" s="24"/>
      <c r="C383" s="22"/>
      <c r="D383" s="25"/>
      <c r="E383" s="22"/>
      <c r="F383" s="26"/>
      <c r="G383" s="26"/>
      <c r="H383" s="26"/>
      <c r="I383" s="26"/>
      <c r="J383" s="22"/>
      <c r="K383" s="20" t="n">
        <f aca="false">IF($D383="",0,$C383*$D383)</f>
        <v>0</v>
      </c>
      <c r="L383" s="20" t="n">
        <f aca="false">IF($D383="",0,$F383*$K383)</f>
        <v>0</v>
      </c>
      <c r="M383" s="20" t="n">
        <f aca="false">IF($D383="",0,$G383*$K383)</f>
        <v>0</v>
      </c>
      <c r="N383" s="20" t="n">
        <f aca="false">IF($D383="",0,$H383*$K383)</f>
        <v>0</v>
      </c>
      <c r="O383" s="20" t="n">
        <f aca="false">IF($D383="",0,$I383*$K383*(1-$F383))</f>
        <v>0</v>
      </c>
      <c r="P383" s="20" t="n">
        <f aca="false">IF($D383="",0,$E383*$D383+$L383+$M383+$N383+$O383+$J383*$D383)</f>
        <v>0</v>
      </c>
      <c r="Q383" s="20" t="n">
        <f aca="false">IF($D383="",0,$K383-$P383)</f>
        <v>0</v>
      </c>
      <c r="R383" s="21" t="n">
        <f aca="false">IF($K383=0,0,$Q383/$K383)</f>
        <v>0</v>
      </c>
      <c r="S383" s="20" t="n">
        <f aca="false">IF($D383="",0,$K383-$L383-$M383-$N383)</f>
        <v>0</v>
      </c>
      <c r="T383" s="22"/>
      <c r="U383" s="20" t="n">
        <f aca="false">IF($T383="",0,MAX(0,$S383-$T383))</f>
        <v>0</v>
      </c>
      <c r="V383" s="21" t="n">
        <f aca="false">IF($S383=0,0,$U383/$S383)</f>
        <v>0</v>
      </c>
      <c r="W383" s="23" t="str">
        <f aca="false">IF($D383="","",IF($T383="","BEKLİYOR",IF(OR($U383=0,$S383=0),"DOĞRU",IF(AND($V383&gt;PazaryeriEksikHakedisEsik,$U383&gt;PazaryeriEksikHakedisTutarEsik),"EKSİK HAKEDİŞ","DOĞRU"))))</f>
        <v/>
      </c>
      <c r="X383" s="23" t="str">
        <f aca="false">IF($B383="","",CONCATENATE("Ürün: ",$B383," | Kâr: ",TEXT($Q383,"₺ #,##0")," | Durum: ",$W383))</f>
        <v/>
      </c>
      <c r="Y383" s="24"/>
    </row>
    <row r="384" customFormat="false" ht="15" hidden="false" customHeight="false" outlineLevel="0" collapsed="false">
      <c r="A384" s="24"/>
      <c r="B384" s="24"/>
      <c r="C384" s="22"/>
      <c r="D384" s="25"/>
      <c r="E384" s="22"/>
      <c r="F384" s="26"/>
      <c r="G384" s="26"/>
      <c r="H384" s="26"/>
      <c r="I384" s="26"/>
      <c r="J384" s="22"/>
      <c r="K384" s="20" t="n">
        <f aca="false">IF($D384="",0,$C384*$D384)</f>
        <v>0</v>
      </c>
      <c r="L384" s="20" t="n">
        <f aca="false">IF($D384="",0,$F384*$K384)</f>
        <v>0</v>
      </c>
      <c r="M384" s="20" t="n">
        <f aca="false">IF($D384="",0,$G384*$K384)</f>
        <v>0</v>
      </c>
      <c r="N384" s="20" t="n">
        <f aca="false">IF($D384="",0,$H384*$K384)</f>
        <v>0</v>
      </c>
      <c r="O384" s="20" t="n">
        <f aca="false">IF($D384="",0,$I384*$K384*(1-$F384))</f>
        <v>0</v>
      </c>
      <c r="P384" s="20" t="n">
        <f aca="false">IF($D384="",0,$E384*$D384+$L384+$M384+$N384+$O384+$J384*$D384)</f>
        <v>0</v>
      </c>
      <c r="Q384" s="20" t="n">
        <f aca="false">IF($D384="",0,$K384-$P384)</f>
        <v>0</v>
      </c>
      <c r="R384" s="21" t="n">
        <f aca="false">IF($K384=0,0,$Q384/$K384)</f>
        <v>0</v>
      </c>
      <c r="S384" s="20" t="n">
        <f aca="false">IF($D384="",0,$K384-$L384-$M384-$N384)</f>
        <v>0</v>
      </c>
      <c r="T384" s="22"/>
      <c r="U384" s="20" t="n">
        <f aca="false">IF($T384="",0,MAX(0,$S384-$T384))</f>
        <v>0</v>
      </c>
      <c r="V384" s="21" t="n">
        <f aca="false">IF($S384=0,0,$U384/$S384)</f>
        <v>0</v>
      </c>
      <c r="W384" s="23" t="str">
        <f aca="false">IF($D384="","",IF($T384="","BEKLİYOR",IF(OR($U384=0,$S384=0),"DOĞRU",IF(AND($V384&gt;PazaryeriEksikHakedisEsik,$U384&gt;PazaryeriEksikHakedisTutarEsik),"EKSİK HAKEDİŞ","DOĞRU"))))</f>
        <v/>
      </c>
      <c r="X384" s="23" t="str">
        <f aca="false">IF($B384="","",CONCATENATE("Ürün: ",$B384," | Kâr: ",TEXT($Q384,"₺ #,##0")," | Durum: ",$W384))</f>
        <v/>
      </c>
      <c r="Y384" s="24"/>
    </row>
    <row r="385" customFormat="false" ht="15" hidden="false" customHeight="false" outlineLevel="0" collapsed="false">
      <c r="A385" s="24"/>
      <c r="B385" s="24"/>
      <c r="C385" s="22"/>
      <c r="D385" s="25"/>
      <c r="E385" s="22"/>
      <c r="F385" s="26"/>
      <c r="G385" s="26"/>
      <c r="H385" s="26"/>
      <c r="I385" s="26"/>
      <c r="J385" s="22"/>
      <c r="K385" s="20" t="n">
        <f aca="false">IF($D385="",0,$C385*$D385)</f>
        <v>0</v>
      </c>
      <c r="L385" s="20" t="n">
        <f aca="false">IF($D385="",0,$F385*$K385)</f>
        <v>0</v>
      </c>
      <c r="M385" s="20" t="n">
        <f aca="false">IF($D385="",0,$G385*$K385)</f>
        <v>0</v>
      </c>
      <c r="N385" s="20" t="n">
        <f aca="false">IF($D385="",0,$H385*$K385)</f>
        <v>0</v>
      </c>
      <c r="O385" s="20" t="n">
        <f aca="false">IF($D385="",0,$I385*$K385*(1-$F385))</f>
        <v>0</v>
      </c>
      <c r="P385" s="20" t="n">
        <f aca="false">IF($D385="",0,$E385*$D385+$L385+$M385+$N385+$O385+$J385*$D385)</f>
        <v>0</v>
      </c>
      <c r="Q385" s="20" t="n">
        <f aca="false">IF($D385="",0,$K385-$P385)</f>
        <v>0</v>
      </c>
      <c r="R385" s="21" t="n">
        <f aca="false">IF($K385=0,0,$Q385/$K385)</f>
        <v>0</v>
      </c>
      <c r="S385" s="20" t="n">
        <f aca="false">IF($D385="",0,$K385-$L385-$M385-$N385)</f>
        <v>0</v>
      </c>
      <c r="T385" s="22"/>
      <c r="U385" s="20" t="n">
        <f aca="false">IF($T385="",0,MAX(0,$S385-$T385))</f>
        <v>0</v>
      </c>
      <c r="V385" s="21" t="n">
        <f aca="false">IF($S385=0,0,$U385/$S385)</f>
        <v>0</v>
      </c>
      <c r="W385" s="23" t="str">
        <f aca="false">IF($D385="","",IF($T385="","BEKLİYOR",IF(OR($U385=0,$S385=0),"DOĞRU",IF(AND($V385&gt;PazaryeriEksikHakedisEsik,$U385&gt;PazaryeriEksikHakedisTutarEsik),"EKSİK HAKEDİŞ","DOĞRU"))))</f>
        <v/>
      </c>
      <c r="X385" s="23" t="str">
        <f aca="false">IF($B385="","",CONCATENATE("Ürün: ",$B385," | Kâr: ",TEXT($Q385,"₺ #,##0")," | Durum: ",$W385))</f>
        <v/>
      </c>
      <c r="Y385" s="24"/>
    </row>
    <row r="386" customFormat="false" ht="15" hidden="false" customHeight="false" outlineLevel="0" collapsed="false">
      <c r="A386" s="24"/>
      <c r="B386" s="24"/>
      <c r="C386" s="22"/>
      <c r="D386" s="25"/>
      <c r="E386" s="22"/>
      <c r="F386" s="26"/>
      <c r="G386" s="26"/>
      <c r="H386" s="26"/>
      <c r="I386" s="26"/>
      <c r="J386" s="22"/>
      <c r="K386" s="20" t="n">
        <f aca="false">IF($D386="",0,$C386*$D386)</f>
        <v>0</v>
      </c>
      <c r="L386" s="20" t="n">
        <f aca="false">IF($D386="",0,$F386*$K386)</f>
        <v>0</v>
      </c>
      <c r="M386" s="20" t="n">
        <f aca="false">IF($D386="",0,$G386*$K386)</f>
        <v>0</v>
      </c>
      <c r="N386" s="20" t="n">
        <f aca="false">IF($D386="",0,$H386*$K386)</f>
        <v>0</v>
      </c>
      <c r="O386" s="20" t="n">
        <f aca="false">IF($D386="",0,$I386*$K386*(1-$F386))</f>
        <v>0</v>
      </c>
      <c r="P386" s="20" t="n">
        <f aca="false">IF($D386="",0,$E386*$D386+$L386+$M386+$N386+$O386+$J386*$D386)</f>
        <v>0</v>
      </c>
      <c r="Q386" s="20" t="n">
        <f aca="false">IF($D386="",0,$K386-$P386)</f>
        <v>0</v>
      </c>
      <c r="R386" s="21" t="n">
        <f aca="false">IF($K386=0,0,$Q386/$K386)</f>
        <v>0</v>
      </c>
      <c r="S386" s="20" t="n">
        <f aca="false">IF($D386="",0,$K386-$L386-$M386-$N386)</f>
        <v>0</v>
      </c>
      <c r="T386" s="22"/>
      <c r="U386" s="20" t="n">
        <f aca="false">IF($T386="",0,MAX(0,$S386-$T386))</f>
        <v>0</v>
      </c>
      <c r="V386" s="21" t="n">
        <f aca="false">IF($S386=0,0,$U386/$S386)</f>
        <v>0</v>
      </c>
      <c r="W386" s="23" t="str">
        <f aca="false">IF($D386="","",IF($T386="","BEKLİYOR",IF(OR($U386=0,$S386=0),"DOĞRU",IF(AND($V386&gt;PazaryeriEksikHakedisEsik,$U386&gt;PazaryeriEksikHakedisTutarEsik),"EKSİK HAKEDİŞ","DOĞRU"))))</f>
        <v/>
      </c>
      <c r="X386" s="23" t="str">
        <f aca="false">IF($B386="","",CONCATENATE("Ürün: ",$B386," | Kâr: ",TEXT($Q386,"₺ #,##0")," | Durum: ",$W386))</f>
        <v/>
      </c>
      <c r="Y386" s="24"/>
    </row>
    <row r="387" customFormat="false" ht="15" hidden="false" customHeight="false" outlineLevel="0" collapsed="false">
      <c r="A387" s="24"/>
      <c r="B387" s="24"/>
      <c r="C387" s="22"/>
      <c r="D387" s="25"/>
      <c r="E387" s="22"/>
      <c r="F387" s="26"/>
      <c r="G387" s="26"/>
      <c r="H387" s="26"/>
      <c r="I387" s="26"/>
      <c r="J387" s="22"/>
      <c r="K387" s="20" t="n">
        <f aca="false">IF($D387="",0,$C387*$D387)</f>
        <v>0</v>
      </c>
      <c r="L387" s="20" t="n">
        <f aca="false">IF($D387="",0,$F387*$K387)</f>
        <v>0</v>
      </c>
      <c r="M387" s="20" t="n">
        <f aca="false">IF($D387="",0,$G387*$K387)</f>
        <v>0</v>
      </c>
      <c r="N387" s="20" t="n">
        <f aca="false">IF($D387="",0,$H387*$K387)</f>
        <v>0</v>
      </c>
      <c r="O387" s="20" t="n">
        <f aca="false">IF($D387="",0,$I387*$K387*(1-$F387))</f>
        <v>0</v>
      </c>
      <c r="P387" s="20" t="n">
        <f aca="false">IF($D387="",0,$E387*$D387+$L387+$M387+$N387+$O387+$J387*$D387)</f>
        <v>0</v>
      </c>
      <c r="Q387" s="20" t="n">
        <f aca="false">IF($D387="",0,$K387-$P387)</f>
        <v>0</v>
      </c>
      <c r="R387" s="21" t="n">
        <f aca="false">IF($K387=0,0,$Q387/$K387)</f>
        <v>0</v>
      </c>
      <c r="S387" s="20" t="n">
        <f aca="false">IF($D387="",0,$K387-$L387-$M387-$N387)</f>
        <v>0</v>
      </c>
      <c r="T387" s="22"/>
      <c r="U387" s="20" t="n">
        <f aca="false">IF($T387="",0,MAX(0,$S387-$T387))</f>
        <v>0</v>
      </c>
      <c r="V387" s="21" t="n">
        <f aca="false">IF($S387=0,0,$U387/$S387)</f>
        <v>0</v>
      </c>
      <c r="W387" s="23" t="str">
        <f aca="false">IF($D387="","",IF($T387="","BEKLİYOR",IF(OR($U387=0,$S387=0),"DOĞRU",IF(AND($V387&gt;PazaryeriEksikHakedisEsik,$U387&gt;PazaryeriEksikHakedisTutarEsik),"EKSİK HAKEDİŞ","DOĞRU"))))</f>
        <v/>
      </c>
      <c r="X387" s="23" t="str">
        <f aca="false">IF($B387="","",CONCATENATE("Ürün: ",$B387," | Kâr: ",TEXT($Q387,"₺ #,##0")," | Durum: ",$W387))</f>
        <v/>
      </c>
      <c r="Y387" s="24"/>
    </row>
    <row r="388" customFormat="false" ht="15" hidden="false" customHeight="false" outlineLevel="0" collapsed="false">
      <c r="A388" s="24"/>
      <c r="B388" s="24"/>
      <c r="C388" s="22"/>
      <c r="D388" s="25"/>
      <c r="E388" s="22"/>
      <c r="F388" s="26"/>
      <c r="G388" s="26"/>
      <c r="H388" s="26"/>
      <c r="I388" s="26"/>
      <c r="J388" s="22"/>
      <c r="K388" s="20" t="n">
        <f aca="false">IF($D388="",0,$C388*$D388)</f>
        <v>0</v>
      </c>
      <c r="L388" s="20" t="n">
        <f aca="false">IF($D388="",0,$F388*$K388)</f>
        <v>0</v>
      </c>
      <c r="M388" s="20" t="n">
        <f aca="false">IF($D388="",0,$G388*$K388)</f>
        <v>0</v>
      </c>
      <c r="N388" s="20" t="n">
        <f aca="false">IF($D388="",0,$H388*$K388)</f>
        <v>0</v>
      </c>
      <c r="O388" s="20" t="n">
        <f aca="false">IF($D388="",0,$I388*$K388*(1-$F388))</f>
        <v>0</v>
      </c>
      <c r="P388" s="20" t="n">
        <f aca="false">IF($D388="",0,$E388*$D388+$L388+$M388+$N388+$O388+$J388*$D388)</f>
        <v>0</v>
      </c>
      <c r="Q388" s="20" t="n">
        <f aca="false">IF($D388="",0,$K388-$P388)</f>
        <v>0</v>
      </c>
      <c r="R388" s="21" t="n">
        <f aca="false">IF($K388=0,0,$Q388/$K388)</f>
        <v>0</v>
      </c>
      <c r="S388" s="20" t="n">
        <f aca="false">IF($D388="",0,$K388-$L388-$M388-$N388)</f>
        <v>0</v>
      </c>
      <c r="T388" s="22"/>
      <c r="U388" s="20" t="n">
        <f aca="false">IF($T388="",0,MAX(0,$S388-$T388))</f>
        <v>0</v>
      </c>
      <c r="V388" s="21" t="n">
        <f aca="false">IF($S388=0,0,$U388/$S388)</f>
        <v>0</v>
      </c>
      <c r="W388" s="23" t="str">
        <f aca="false">IF($D388="","",IF($T388="","BEKLİYOR",IF(OR($U388=0,$S388=0),"DOĞRU",IF(AND($V388&gt;PazaryeriEksikHakedisEsik,$U388&gt;PazaryeriEksikHakedisTutarEsik),"EKSİK HAKEDİŞ","DOĞRU"))))</f>
        <v/>
      </c>
      <c r="X388" s="23" t="str">
        <f aca="false">IF($B388="","",CONCATENATE("Ürün: ",$B388," | Kâr: ",TEXT($Q388,"₺ #,##0")," | Durum: ",$W388))</f>
        <v/>
      </c>
      <c r="Y388" s="24"/>
    </row>
    <row r="389" customFormat="false" ht="15" hidden="false" customHeight="false" outlineLevel="0" collapsed="false">
      <c r="A389" s="24"/>
      <c r="B389" s="24"/>
      <c r="C389" s="22"/>
      <c r="D389" s="25"/>
      <c r="E389" s="22"/>
      <c r="F389" s="26"/>
      <c r="G389" s="26"/>
      <c r="H389" s="26"/>
      <c r="I389" s="26"/>
      <c r="J389" s="22"/>
      <c r="K389" s="20" t="n">
        <f aca="false">IF($D389="",0,$C389*$D389)</f>
        <v>0</v>
      </c>
      <c r="L389" s="20" t="n">
        <f aca="false">IF($D389="",0,$F389*$K389)</f>
        <v>0</v>
      </c>
      <c r="M389" s="20" t="n">
        <f aca="false">IF($D389="",0,$G389*$K389)</f>
        <v>0</v>
      </c>
      <c r="N389" s="20" t="n">
        <f aca="false">IF($D389="",0,$H389*$K389)</f>
        <v>0</v>
      </c>
      <c r="O389" s="20" t="n">
        <f aca="false">IF($D389="",0,$I389*$K389*(1-$F389))</f>
        <v>0</v>
      </c>
      <c r="P389" s="20" t="n">
        <f aca="false">IF($D389="",0,$E389*$D389+$L389+$M389+$N389+$O389+$J389*$D389)</f>
        <v>0</v>
      </c>
      <c r="Q389" s="20" t="n">
        <f aca="false">IF($D389="",0,$K389-$P389)</f>
        <v>0</v>
      </c>
      <c r="R389" s="21" t="n">
        <f aca="false">IF($K389=0,0,$Q389/$K389)</f>
        <v>0</v>
      </c>
      <c r="S389" s="20" t="n">
        <f aca="false">IF($D389="",0,$K389-$L389-$M389-$N389)</f>
        <v>0</v>
      </c>
      <c r="T389" s="22"/>
      <c r="U389" s="20" t="n">
        <f aca="false">IF($T389="",0,MAX(0,$S389-$T389))</f>
        <v>0</v>
      </c>
      <c r="V389" s="21" t="n">
        <f aca="false">IF($S389=0,0,$U389/$S389)</f>
        <v>0</v>
      </c>
      <c r="W389" s="23" t="str">
        <f aca="false">IF($D389="","",IF($T389="","BEKLİYOR",IF(OR($U389=0,$S389=0),"DOĞRU",IF(AND($V389&gt;PazaryeriEksikHakedisEsik,$U389&gt;PazaryeriEksikHakedisTutarEsik),"EKSİK HAKEDİŞ","DOĞRU"))))</f>
        <v/>
      </c>
      <c r="X389" s="23" t="str">
        <f aca="false">IF($B389="","",CONCATENATE("Ürün: ",$B389," | Kâr: ",TEXT($Q389,"₺ #,##0")," | Durum: ",$W389))</f>
        <v/>
      </c>
      <c r="Y389" s="24"/>
    </row>
    <row r="390" customFormat="false" ht="15" hidden="false" customHeight="false" outlineLevel="0" collapsed="false">
      <c r="A390" s="24"/>
      <c r="B390" s="24"/>
      <c r="C390" s="22"/>
      <c r="D390" s="25"/>
      <c r="E390" s="22"/>
      <c r="F390" s="26"/>
      <c r="G390" s="26"/>
      <c r="H390" s="26"/>
      <c r="I390" s="26"/>
      <c r="J390" s="22"/>
      <c r="K390" s="20" t="n">
        <f aca="false">IF($D390="",0,$C390*$D390)</f>
        <v>0</v>
      </c>
      <c r="L390" s="20" t="n">
        <f aca="false">IF($D390="",0,$F390*$K390)</f>
        <v>0</v>
      </c>
      <c r="M390" s="20" t="n">
        <f aca="false">IF($D390="",0,$G390*$K390)</f>
        <v>0</v>
      </c>
      <c r="N390" s="20" t="n">
        <f aca="false">IF($D390="",0,$H390*$K390)</f>
        <v>0</v>
      </c>
      <c r="O390" s="20" t="n">
        <f aca="false">IF($D390="",0,$I390*$K390*(1-$F390))</f>
        <v>0</v>
      </c>
      <c r="P390" s="20" t="n">
        <f aca="false">IF($D390="",0,$E390*$D390+$L390+$M390+$N390+$O390+$J390*$D390)</f>
        <v>0</v>
      </c>
      <c r="Q390" s="20" t="n">
        <f aca="false">IF($D390="",0,$K390-$P390)</f>
        <v>0</v>
      </c>
      <c r="R390" s="21" t="n">
        <f aca="false">IF($K390=0,0,$Q390/$K390)</f>
        <v>0</v>
      </c>
      <c r="S390" s="20" t="n">
        <f aca="false">IF($D390="",0,$K390-$L390-$M390-$N390)</f>
        <v>0</v>
      </c>
      <c r="T390" s="22"/>
      <c r="U390" s="20" t="n">
        <f aca="false">IF($T390="",0,MAX(0,$S390-$T390))</f>
        <v>0</v>
      </c>
      <c r="V390" s="21" t="n">
        <f aca="false">IF($S390=0,0,$U390/$S390)</f>
        <v>0</v>
      </c>
      <c r="W390" s="23" t="str">
        <f aca="false">IF($D390="","",IF($T390="","BEKLİYOR",IF(OR($U390=0,$S390=0),"DOĞRU",IF(AND($V390&gt;PazaryeriEksikHakedisEsik,$U390&gt;PazaryeriEksikHakedisTutarEsik),"EKSİK HAKEDİŞ","DOĞRU"))))</f>
        <v/>
      </c>
      <c r="X390" s="23" t="str">
        <f aca="false">IF($B390="","",CONCATENATE("Ürün: ",$B390," | Kâr: ",TEXT($Q390,"₺ #,##0")," | Durum: ",$W390))</f>
        <v/>
      </c>
      <c r="Y390" s="24"/>
    </row>
    <row r="391" customFormat="false" ht="15" hidden="false" customHeight="false" outlineLevel="0" collapsed="false">
      <c r="A391" s="24"/>
      <c r="B391" s="24"/>
      <c r="C391" s="22"/>
      <c r="D391" s="25"/>
      <c r="E391" s="22"/>
      <c r="F391" s="26"/>
      <c r="G391" s="26"/>
      <c r="H391" s="26"/>
      <c r="I391" s="26"/>
      <c r="J391" s="22"/>
      <c r="K391" s="20" t="n">
        <f aca="false">IF($D391="",0,$C391*$D391)</f>
        <v>0</v>
      </c>
      <c r="L391" s="20" t="n">
        <f aca="false">IF($D391="",0,$F391*$K391)</f>
        <v>0</v>
      </c>
      <c r="M391" s="20" t="n">
        <f aca="false">IF($D391="",0,$G391*$K391)</f>
        <v>0</v>
      </c>
      <c r="N391" s="20" t="n">
        <f aca="false">IF($D391="",0,$H391*$K391)</f>
        <v>0</v>
      </c>
      <c r="O391" s="20" t="n">
        <f aca="false">IF($D391="",0,$I391*$K391*(1-$F391))</f>
        <v>0</v>
      </c>
      <c r="P391" s="20" t="n">
        <f aca="false">IF($D391="",0,$E391*$D391+$L391+$M391+$N391+$O391+$J391*$D391)</f>
        <v>0</v>
      </c>
      <c r="Q391" s="20" t="n">
        <f aca="false">IF($D391="",0,$K391-$P391)</f>
        <v>0</v>
      </c>
      <c r="R391" s="21" t="n">
        <f aca="false">IF($K391=0,0,$Q391/$K391)</f>
        <v>0</v>
      </c>
      <c r="S391" s="20" t="n">
        <f aca="false">IF($D391="",0,$K391-$L391-$M391-$N391)</f>
        <v>0</v>
      </c>
      <c r="T391" s="22"/>
      <c r="U391" s="20" t="n">
        <f aca="false">IF($T391="",0,MAX(0,$S391-$T391))</f>
        <v>0</v>
      </c>
      <c r="V391" s="21" t="n">
        <f aca="false">IF($S391=0,0,$U391/$S391)</f>
        <v>0</v>
      </c>
      <c r="W391" s="23" t="str">
        <f aca="false">IF($D391="","",IF($T391="","BEKLİYOR",IF(OR($U391=0,$S391=0),"DOĞRU",IF(AND($V391&gt;PazaryeriEksikHakedisEsik,$U391&gt;PazaryeriEksikHakedisTutarEsik),"EKSİK HAKEDİŞ","DOĞRU"))))</f>
        <v/>
      </c>
      <c r="X391" s="23" t="str">
        <f aca="false">IF($B391="","",CONCATENATE("Ürün: ",$B391," | Kâr: ",TEXT($Q391,"₺ #,##0")," | Durum: ",$W391))</f>
        <v/>
      </c>
      <c r="Y391" s="24"/>
    </row>
    <row r="392" customFormat="false" ht="15" hidden="false" customHeight="false" outlineLevel="0" collapsed="false">
      <c r="A392" s="24"/>
      <c r="B392" s="24"/>
      <c r="C392" s="22"/>
      <c r="D392" s="25"/>
      <c r="E392" s="22"/>
      <c r="F392" s="26"/>
      <c r="G392" s="26"/>
      <c r="H392" s="26"/>
      <c r="I392" s="26"/>
      <c r="J392" s="22"/>
      <c r="K392" s="20" t="n">
        <f aca="false">IF($D392="",0,$C392*$D392)</f>
        <v>0</v>
      </c>
      <c r="L392" s="20" t="n">
        <f aca="false">IF($D392="",0,$F392*$K392)</f>
        <v>0</v>
      </c>
      <c r="M392" s="20" t="n">
        <f aca="false">IF($D392="",0,$G392*$K392)</f>
        <v>0</v>
      </c>
      <c r="N392" s="20" t="n">
        <f aca="false">IF($D392="",0,$H392*$K392)</f>
        <v>0</v>
      </c>
      <c r="O392" s="20" t="n">
        <f aca="false">IF($D392="",0,$I392*$K392*(1-$F392))</f>
        <v>0</v>
      </c>
      <c r="P392" s="20" t="n">
        <f aca="false">IF($D392="",0,$E392*$D392+$L392+$M392+$N392+$O392+$J392*$D392)</f>
        <v>0</v>
      </c>
      <c r="Q392" s="20" t="n">
        <f aca="false">IF($D392="",0,$K392-$P392)</f>
        <v>0</v>
      </c>
      <c r="R392" s="21" t="n">
        <f aca="false">IF($K392=0,0,$Q392/$K392)</f>
        <v>0</v>
      </c>
      <c r="S392" s="20" t="n">
        <f aca="false">IF($D392="",0,$K392-$L392-$M392-$N392)</f>
        <v>0</v>
      </c>
      <c r="T392" s="22"/>
      <c r="U392" s="20" t="n">
        <f aca="false">IF($T392="",0,MAX(0,$S392-$T392))</f>
        <v>0</v>
      </c>
      <c r="V392" s="21" t="n">
        <f aca="false">IF($S392=0,0,$U392/$S392)</f>
        <v>0</v>
      </c>
      <c r="W392" s="23" t="str">
        <f aca="false">IF($D392="","",IF($T392="","BEKLİYOR",IF(OR($U392=0,$S392=0),"DOĞRU",IF(AND($V392&gt;PazaryeriEksikHakedisEsik,$U392&gt;PazaryeriEksikHakedisTutarEsik),"EKSİK HAKEDİŞ","DOĞRU"))))</f>
        <v/>
      </c>
      <c r="X392" s="23" t="str">
        <f aca="false">IF($B392="","",CONCATENATE("Ürün: ",$B392," | Kâr: ",TEXT($Q392,"₺ #,##0")," | Durum: ",$W392))</f>
        <v/>
      </c>
      <c r="Y392" s="24"/>
    </row>
    <row r="393" customFormat="false" ht="15" hidden="false" customHeight="false" outlineLevel="0" collapsed="false">
      <c r="A393" s="24"/>
      <c r="B393" s="24"/>
      <c r="C393" s="22"/>
      <c r="D393" s="25"/>
      <c r="E393" s="22"/>
      <c r="F393" s="26"/>
      <c r="G393" s="26"/>
      <c r="H393" s="26"/>
      <c r="I393" s="26"/>
      <c r="J393" s="22"/>
      <c r="K393" s="20" t="n">
        <f aca="false">IF($D393="",0,$C393*$D393)</f>
        <v>0</v>
      </c>
      <c r="L393" s="20" t="n">
        <f aca="false">IF($D393="",0,$F393*$K393)</f>
        <v>0</v>
      </c>
      <c r="M393" s="20" t="n">
        <f aca="false">IF($D393="",0,$G393*$K393)</f>
        <v>0</v>
      </c>
      <c r="N393" s="20" t="n">
        <f aca="false">IF($D393="",0,$H393*$K393)</f>
        <v>0</v>
      </c>
      <c r="O393" s="20" t="n">
        <f aca="false">IF($D393="",0,$I393*$K393*(1-$F393))</f>
        <v>0</v>
      </c>
      <c r="P393" s="20" t="n">
        <f aca="false">IF($D393="",0,$E393*$D393+$L393+$M393+$N393+$O393+$J393*$D393)</f>
        <v>0</v>
      </c>
      <c r="Q393" s="20" t="n">
        <f aca="false">IF($D393="",0,$K393-$P393)</f>
        <v>0</v>
      </c>
      <c r="R393" s="21" t="n">
        <f aca="false">IF($K393=0,0,$Q393/$K393)</f>
        <v>0</v>
      </c>
      <c r="S393" s="20" t="n">
        <f aca="false">IF($D393="",0,$K393-$L393-$M393-$N393)</f>
        <v>0</v>
      </c>
      <c r="T393" s="22"/>
      <c r="U393" s="20" t="n">
        <f aca="false">IF($T393="",0,MAX(0,$S393-$T393))</f>
        <v>0</v>
      </c>
      <c r="V393" s="21" t="n">
        <f aca="false">IF($S393=0,0,$U393/$S393)</f>
        <v>0</v>
      </c>
      <c r="W393" s="23" t="str">
        <f aca="false">IF($D393="","",IF($T393="","BEKLİYOR",IF(OR($U393=0,$S393=0),"DOĞRU",IF(AND($V393&gt;PazaryeriEksikHakedisEsik,$U393&gt;PazaryeriEksikHakedisTutarEsik),"EKSİK HAKEDİŞ","DOĞRU"))))</f>
        <v/>
      </c>
      <c r="X393" s="23" t="str">
        <f aca="false">IF($B393="","",CONCATENATE("Ürün: ",$B393," | Kâr: ",TEXT($Q393,"₺ #,##0")," | Durum: ",$W393))</f>
        <v/>
      </c>
      <c r="Y393" s="24"/>
    </row>
    <row r="394" customFormat="false" ht="15" hidden="false" customHeight="false" outlineLevel="0" collapsed="false">
      <c r="A394" s="24"/>
      <c r="B394" s="24"/>
      <c r="C394" s="22"/>
      <c r="D394" s="25"/>
      <c r="E394" s="22"/>
      <c r="F394" s="26"/>
      <c r="G394" s="26"/>
      <c r="H394" s="26"/>
      <c r="I394" s="26"/>
      <c r="J394" s="22"/>
      <c r="K394" s="20" t="n">
        <f aca="false">IF($D394="",0,$C394*$D394)</f>
        <v>0</v>
      </c>
      <c r="L394" s="20" t="n">
        <f aca="false">IF($D394="",0,$F394*$K394)</f>
        <v>0</v>
      </c>
      <c r="M394" s="20" t="n">
        <f aca="false">IF($D394="",0,$G394*$K394)</f>
        <v>0</v>
      </c>
      <c r="N394" s="20" t="n">
        <f aca="false">IF($D394="",0,$H394*$K394)</f>
        <v>0</v>
      </c>
      <c r="O394" s="20" t="n">
        <f aca="false">IF($D394="",0,$I394*$K394*(1-$F394))</f>
        <v>0</v>
      </c>
      <c r="P394" s="20" t="n">
        <f aca="false">IF($D394="",0,$E394*$D394+$L394+$M394+$N394+$O394+$J394*$D394)</f>
        <v>0</v>
      </c>
      <c r="Q394" s="20" t="n">
        <f aca="false">IF($D394="",0,$K394-$P394)</f>
        <v>0</v>
      </c>
      <c r="R394" s="21" t="n">
        <f aca="false">IF($K394=0,0,$Q394/$K394)</f>
        <v>0</v>
      </c>
      <c r="S394" s="20" t="n">
        <f aca="false">IF($D394="",0,$K394-$L394-$M394-$N394)</f>
        <v>0</v>
      </c>
      <c r="T394" s="22"/>
      <c r="U394" s="20" t="n">
        <f aca="false">IF($T394="",0,MAX(0,$S394-$T394))</f>
        <v>0</v>
      </c>
      <c r="V394" s="21" t="n">
        <f aca="false">IF($S394=0,0,$U394/$S394)</f>
        <v>0</v>
      </c>
      <c r="W394" s="23" t="str">
        <f aca="false">IF($D394="","",IF($T394="","BEKLİYOR",IF(OR($U394=0,$S394=0),"DOĞRU",IF(AND($V394&gt;PazaryeriEksikHakedisEsik,$U394&gt;PazaryeriEksikHakedisTutarEsik),"EKSİK HAKEDİŞ","DOĞRU"))))</f>
        <v/>
      </c>
      <c r="X394" s="23" t="str">
        <f aca="false">IF($B394="","",CONCATENATE("Ürün: ",$B394," | Kâr: ",TEXT($Q394,"₺ #,##0")," | Durum: ",$W394))</f>
        <v/>
      </c>
      <c r="Y394" s="24"/>
    </row>
    <row r="395" customFormat="false" ht="15" hidden="false" customHeight="false" outlineLevel="0" collapsed="false">
      <c r="A395" s="24"/>
      <c r="B395" s="24"/>
      <c r="C395" s="22"/>
      <c r="D395" s="25"/>
      <c r="E395" s="22"/>
      <c r="F395" s="26"/>
      <c r="G395" s="26"/>
      <c r="H395" s="26"/>
      <c r="I395" s="26"/>
      <c r="J395" s="22"/>
      <c r="K395" s="20" t="n">
        <f aca="false">IF($D395="",0,$C395*$D395)</f>
        <v>0</v>
      </c>
      <c r="L395" s="20" t="n">
        <f aca="false">IF($D395="",0,$F395*$K395)</f>
        <v>0</v>
      </c>
      <c r="M395" s="20" t="n">
        <f aca="false">IF($D395="",0,$G395*$K395)</f>
        <v>0</v>
      </c>
      <c r="N395" s="20" t="n">
        <f aca="false">IF($D395="",0,$H395*$K395)</f>
        <v>0</v>
      </c>
      <c r="O395" s="20" t="n">
        <f aca="false">IF($D395="",0,$I395*$K395*(1-$F395))</f>
        <v>0</v>
      </c>
      <c r="P395" s="20" t="n">
        <f aca="false">IF($D395="",0,$E395*$D395+$L395+$M395+$N395+$O395+$J395*$D395)</f>
        <v>0</v>
      </c>
      <c r="Q395" s="20" t="n">
        <f aca="false">IF($D395="",0,$K395-$P395)</f>
        <v>0</v>
      </c>
      <c r="R395" s="21" t="n">
        <f aca="false">IF($K395=0,0,$Q395/$K395)</f>
        <v>0</v>
      </c>
      <c r="S395" s="20" t="n">
        <f aca="false">IF($D395="",0,$K395-$L395-$M395-$N395)</f>
        <v>0</v>
      </c>
      <c r="T395" s="22"/>
      <c r="U395" s="20" t="n">
        <f aca="false">IF($T395="",0,MAX(0,$S395-$T395))</f>
        <v>0</v>
      </c>
      <c r="V395" s="21" t="n">
        <f aca="false">IF($S395=0,0,$U395/$S395)</f>
        <v>0</v>
      </c>
      <c r="W395" s="23" t="str">
        <f aca="false">IF($D395="","",IF($T395="","BEKLİYOR",IF(OR($U395=0,$S395=0),"DOĞRU",IF(AND($V395&gt;PazaryeriEksikHakedisEsik,$U395&gt;PazaryeriEksikHakedisTutarEsik),"EKSİK HAKEDİŞ","DOĞRU"))))</f>
        <v/>
      </c>
      <c r="X395" s="23" t="str">
        <f aca="false">IF($B395="","",CONCATENATE("Ürün: ",$B395," | Kâr: ",TEXT($Q395,"₺ #,##0")," | Durum: ",$W395))</f>
        <v/>
      </c>
      <c r="Y395" s="24"/>
    </row>
    <row r="396" customFormat="false" ht="15" hidden="false" customHeight="false" outlineLevel="0" collapsed="false">
      <c r="A396" s="24"/>
      <c r="B396" s="24"/>
      <c r="C396" s="22"/>
      <c r="D396" s="25"/>
      <c r="E396" s="22"/>
      <c r="F396" s="26"/>
      <c r="G396" s="26"/>
      <c r="H396" s="26"/>
      <c r="I396" s="26"/>
      <c r="J396" s="22"/>
      <c r="K396" s="20" t="n">
        <f aca="false">IF($D396="",0,$C396*$D396)</f>
        <v>0</v>
      </c>
      <c r="L396" s="20" t="n">
        <f aca="false">IF($D396="",0,$F396*$K396)</f>
        <v>0</v>
      </c>
      <c r="M396" s="20" t="n">
        <f aca="false">IF($D396="",0,$G396*$K396)</f>
        <v>0</v>
      </c>
      <c r="N396" s="20" t="n">
        <f aca="false">IF($D396="",0,$H396*$K396)</f>
        <v>0</v>
      </c>
      <c r="O396" s="20" t="n">
        <f aca="false">IF($D396="",0,$I396*$K396*(1-$F396))</f>
        <v>0</v>
      </c>
      <c r="P396" s="20" t="n">
        <f aca="false">IF($D396="",0,$E396*$D396+$L396+$M396+$N396+$O396+$J396*$D396)</f>
        <v>0</v>
      </c>
      <c r="Q396" s="20" t="n">
        <f aca="false">IF($D396="",0,$K396-$P396)</f>
        <v>0</v>
      </c>
      <c r="R396" s="21" t="n">
        <f aca="false">IF($K396=0,0,$Q396/$K396)</f>
        <v>0</v>
      </c>
      <c r="S396" s="20" t="n">
        <f aca="false">IF($D396="",0,$K396-$L396-$M396-$N396)</f>
        <v>0</v>
      </c>
      <c r="T396" s="22"/>
      <c r="U396" s="20" t="n">
        <f aca="false">IF($T396="",0,MAX(0,$S396-$T396))</f>
        <v>0</v>
      </c>
      <c r="V396" s="21" t="n">
        <f aca="false">IF($S396=0,0,$U396/$S396)</f>
        <v>0</v>
      </c>
      <c r="W396" s="23" t="str">
        <f aca="false">IF($D396="","",IF($T396="","BEKLİYOR",IF(OR($U396=0,$S396=0),"DOĞRU",IF(AND($V396&gt;PazaryeriEksikHakedisEsik,$U396&gt;PazaryeriEksikHakedisTutarEsik),"EKSİK HAKEDİŞ","DOĞRU"))))</f>
        <v/>
      </c>
      <c r="X396" s="23" t="str">
        <f aca="false">IF($B396="","",CONCATENATE("Ürün: ",$B396," | Kâr: ",TEXT($Q396,"₺ #,##0")," | Durum: ",$W396))</f>
        <v/>
      </c>
      <c r="Y396" s="24"/>
    </row>
    <row r="397" customFormat="false" ht="15" hidden="false" customHeight="false" outlineLevel="0" collapsed="false">
      <c r="A397" s="24"/>
      <c r="B397" s="24"/>
      <c r="C397" s="22"/>
      <c r="D397" s="25"/>
      <c r="E397" s="22"/>
      <c r="F397" s="26"/>
      <c r="G397" s="26"/>
      <c r="H397" s="26"/>
      <c r="I397" s="26"/>
      <c r="J397" s="22"/>
      <c r="K397" s="20" t="n">
        <f aca="false">IF($D397="",0,$C397*$D397)</f>
        <v>0</v>
      </c>
      <c r="L397" s="20" t="n">
        <f aca="false">IF($D397="",0,$F397*$K397)</f>
        <v>0</v>
      </c>
      <c r="M397" s="20" t="n">
        <f aca="false">IF($D397="",0,$G397*$K397)</f>
        <v>0</v>
      </c>
      <c r="N397" s="20" t="n">
        <f aca="false">IF($D397="",0,$H397*$K397)</f>
        <v>0</v>
      </c>
      <c r="O397" s="20" t="n">
        <f aca="false">IF($D397="",0,$I397*$K397*(1-$F397))</f>
        <v>0</v>
      </c>
      <c r="P397" s="20" t="n">
        <f aca="false">IF($D397="",0,$E397*$D397+$L397+$M397+$N397+$O397+$J397*$D397)</f>
        <v>0</v>
      </c>
      <c r="Q397" s="20" t="n">
        <f aca="false">IF($D397="",0,$K397-$P397)</f>
        <v>0</v>
      </c>
      <c r="R397" s="21" t="n">
        <f aca="false">IF($K397=0,0,$Q397/$K397)</f>
        <v>0</v>
      </c>
      <c r="S397" s="20" t="n">
        <f aca="false">IF($D397="",0,$K397-$L397-$M397-$N397)</f>
        <v>0</v>
      </c>
      <c r="T397" s="22"/>
      <c r="U397" s="20" t="n">
        <f aca="false">IF($T397="",0,MAX(0,$S397-$T397))</f>
        <v>0</v>
      </c>
      <c r="V397" s="21" t="n">
        <f aca="false">IF($S397=0,0,$U397/$S397)</f>
        <v>0</v>
      </c>
      <c r="W397" s="23" t="str">
        <f aca="false">IF($D397="","",IF($T397="","BEKLİYOR",IF(OR($U397=0,$S397=0),"DOĞRU",IF(AND($V397&gt;PazaryeriEksikHakedisEsik,$U397&gt;PazaryeriEksikHakedisTutarEsik),"EKSİK HAKEDİŞ","DOĞRU"))))</f>
        <v/>
      </c>
      <c r="X397" s="23" t="str">
        <f aca="false">IF($B397="","",CONCATENATE("Ürün: ",$B397," | Kâr: ",TEXT($Q397,"₺ #,##0")," | Durum: ",$W397))</f>
        <v/>
      </c>
      <c r="Y397" s="24"/>
    </row>
    <row r="398" customFormat="false" ht="15" hidden="false" customHeight="false" outlineLevel="0" collapsed="false">
      <c r="A398" s="24"/>
      <c r="B398" s="24"/>
      <c r="C398" s="22"/>
      <c r="D398" s="25"/>
      <c r="E398" s="22"/>
      <c r="F398" s="26"/>
      <c r="G398" s="26"/>
      <c r="H398" s="26"/>
      <c r="I398" s="26"/>
      <c r="J398" s="22"/>
      <c r="K398" s="20" t="n">
        <f aca="false">IF($D398="",0,$C398*$D398)</f>
        <v>0</v>
      </c>
      <c r="L398" s="20" t="n">
        <f aca="false">IF($D398="",0,$F398*$K398)</f>
        <v>0</v>
      </c>
      <c r="M398" s="20" t="n">
        <f aca="false">IF($D398="",0,$G398*$K398)</f>
        <v>0</v>
      </c>
      <c r="N398" s="20" t="n">
        <f aca="false">IF($D398="",0,$H398*$K398)</f>
        <v>0</v>
      </c>
      <c r="O398" s="20" t="n">
        <f aca="false">IF($D398="",0,$I398*$K398*(1-$F398))</f>
        <v>0</v>
      </c>
      <c r="P398" s="20" t="n">
        <f aca="false">IF($D398="",0,$E398*$D398+$L398+$M398+$N398+$O398+$J398*$D398)</f>
        <v>0</v>
      </c>
      <c r="Q398" s="20" t="n">
        <f aca="false">IF($D398="",0,$K398-$P398)</f>
        <v>0</v>
      </c>
      <c r="R398" s="21" t="n">
        <f aca="false">IF($K398=0,0,$Q398/$K398)</f>
        <v>0</v>
      </c>
      <c r="S398" s="20" t="n">
        <f aca="false">IF($D398="",0,$K398-$L398-$M398-$N398)</f>
        <v>0</v>
      </c>
      <c r="T398" s="22"/>
      <c r="U398" s="20" t="n">
        <f aca="false">IF($T398="",0,MAX(0,$S398-$T398))</f>
        <v>0</v>
      </c>
      <c r="V398" s="21" t="n">
        <f aca="false">IF($S398=0,0,$U398/$S398)</f>
        <v>0</v>
      </c>
      <c r="W398" s="23" t="str">
        <f aca="false">IF($D398="","",IF($T398="","BEKLİYOR",IF(OR($U398=0,$S398=0),"DOĞRU",IF(AND($V398&gt;PazaryeriEksikHakedisEsik,$U398&gt;PazaryeriEksikHakedisTutarEsik),"EKSİK HAKEDİŞ","DOĞRU"))))</f>
        <v/>
      </c>
      <c r="X398" s="23" t="str">
        <f aca="false">IF($B398="","",CONCATENATE("Ürün: ",$B398," | Kâr: ",TEXT($Q398,"₺ #,##0")," | Durum: ",$W398))</f>
        <v/>
      </c>
      <c r="Y398" s="24"/>
    </row>
    <row r="399" customFormat="false" ht="15" hidden="false" customHeight="false" outlineLevel="0" collapsed="false">
      <c r="A399" s="24"/>
      <c r="B399" s="24"/>
      <c r="C399" s="22"/>
      <c r="D399" s="25"/>
      <c r="E399" s="22"/>
      <c r="F399" s="26"/>
      <c r="G399" s="26"/>
      <c r="H399" s="26"/>
      <c r="I399" s="26"/>
      <c r="J399" s="22"/>
      <c r="K399" s="20" t="n">
        <f aca="false">IF($D399="",0,$C399*$D399)</f>
        <v>0</v>
      </c>
      <c r="L399" s="20" t="n">
        <f aca="false">IF($D399="",0,$F399*$K399)</f>
        <v>0</v>
      </c>
      <c r="M399" s="20" t="n">
        <f aca="false">IF($D399="",0,$G399*$K399)</f>
        <v>0</v>
      </c>
      <c r="N399" s="20" t="n">
        <f aca="false">IF($D399="",0,$H399*$K399)</f>
        <v>0</v>
      </c>
      <c r="O399" s="20" t="n">
        <f aca="false">IF($D399="",0,$I399*$K399*(1-$F399))</f>
        <v>0</v>
      </c>
      <c r="P399" s="20" t="n">
        <f aca="false">IF($D399="",0,$E399*$D399+$L399+$M399+$N399+$O399+$J399*$D399)</f>
        <v>0</v>
      </c>
      <c r="Q399" s="20" t="n">
        <f aca="false">IF($D399="",0,$K399-$P399)</f>
        <v>0</v>
      </c>
      <c r="R399" s="21" t="n">
        <f aca="false">IF($K399=0,0,$Q399/$K399)</f>
        <v>0</v>
      </c>
      <c r="S399" s="20" t="n">
        <f aca="false">IF($D399="",0,$K399-$L399-$M399-$N399)</f>
        <v>0</v>
      </c>
      <c r="T399" s="22"/>
      <c r="U399" s="20" t="n">
        <f aca="false">IF($T399="",0,MAX(0,$S399-$T399))</f>
        <v>0</v>
      </c>
      <c r="V399" s="21" t="n">
        <f aca="false">IF($S399=0,0,$U399/$S399)</f>
        <v>0</v>
      </c>
      <c r="W399" s="23" t="str">
        <f aca="false">IF($D399="","",IF($T399="","BEKLİYOR",IF(OR($U399=0,$S399=0),"DOĞRU",IF(AND($V399&gt;PazaryeriEksikHakedisEsik,$U399&gt;PazaryeriEksikHakedisTutarEsik),"EKSİK HAKEDİŞ","DOĞRU"))))</f>
        <v/>
      </c>
      <c r="X399" s="23" t="str">
        <f aca="false">IF($B399="","",CONCATENATE("Ürün: ",$B399," | Kâr: ",TEXT($Q399,"₺ #,##0")," | Durum: ",$W399))</f>
        <v/>
      </c>
      <c r="Y399" s="24"/>
    </row>
    <row r="400" customFormat="false" ht="15" hidden="false" customHeight="false" outlineLevel="0" collapsed="false">
      <c r="A400" s="24"/>
      <c r="B400" s="24"/>
      <c r="C400" s="22"/>
      <c r="D400" s="25"/>
      <c r="E400" s="22"/>
      <c r="F400" s="26"/>
      <c r="G400" s="26"/>
      <c r="H400" s="26"/>
      <c r="I400" s="26"/>
      <c r="J400" s="22"/>
      <c r="K400" s="20" t="n">
        <f aca="false">IF($D400="",0,$C400*$D400)</f>
        <v>0</v>
      </c>
      <c r="L400" s="20" t="n">
        <f aca="false">IF($D400="",0,$F400*$K400)</f>
        <v>0</v>
      </c>
      <c r="M400" s="20" t="n">
        <f aca="false">IF($D400="",0,$G400*$K400)</f>
        <v>0</v>
      </c>
      <c r="N400" s="20" t="n">
        <f aca="false">IF($D400="",0,$H400*$K400)</f>
        <v>0</v>
      </c>
      <c r="O400" s="20" t="n">
        <f aca="false">IF($D400="",0,$I400*$K400*(1-$F400))</f>
        <v>0</v>
      </c>
      <c r="P400" s="20" t="n">
        <f aca="false">IF($D400="",0,$E400*$D400+$L400+$M400+$N400+$O400+$J400*$D400)</f>
        <v>0</v>
      </c>
      <c r="Q400" s="20" t="n">
        <f aca="false">IF($D400="",0,$K400-$P400)</f>
        <v>0</v>
      </c>
      <c r="R400" s="21" t="n">
        <f aca="false">IF($K400=0,0,$Q400/$K400)</f>
        <v>0</v>
      </c>
      <c r="S400" s="20" t="n">
        <f aca="false">IF($D400="",0,$K400-$L400-$M400-$N400)</f>
        <v>0</v>
      </c>
      <c r="T400" s="22"/>
      <c r="U400" s="20" t="n">
        <f aca="false">IF($T400="",0,MAX(0,$S400-$T400))</f>
        <v>0</v>
      </c>
      <c r="V400" s="21" t="n">
        <f aca="false">IF($S400=0,0,$U400/$S400)</f>
        <v>0</v>
      </c>
      <c r="W400" s="23" t="str">
        <f aca="false">IF($D400="","",IF($T400="","BEKLİYOR",IF(OR($U400=0,$S400=0),"DOĞRU",IF(AND($V400&gt;PazaryeriEksikHakedisEsik,$U400&gt;PazaryeriEksikHakedisTutarEsik),"EKSİK HAKEDİŞ","DOĞRU"))))</f>
        <v/>
      </c>
      <c r="X400" s="23" t="str">
        <f aca="false">IF($B400="","",CONCATENATE("Ürün: ",$B400," | Kâr: ",TEXT($Q400,"₺ #,##0")," | Durum: ",$W400))</f>
        <v/>
      </c>
      <c r="Y400" s="24"/>
    </row>
    <row r="401" customFormat="false" ht="15" hidden="false" customHeight="false" outlineLevel="0" collapsed="false">
      <c r="A401" s="24"/>
      <c r="B401" s="24"/>
      <c r="C401" s="22"/>
      <c r="D401" s="25"/>
      <c r="E401" s="22"/>
      <c r="F401" s="26"/>
      <c r="G401" s="26"/>
      <c r="H401" s="26"/>
      <c r="I401" s="26"/>
      <c r="J401" s="22"/>
      <c r="K401" s="20" t="n">
        <f aca="false">IF($D401="",0,$C401*$D401)</f>
        <v>0</v>
      </c>
      <c r="L401" s="20" t="n">
        <f aca="false">IF($D401="",0,$F401*$K401)</f>
        <v>0</v>
      </c>
      <c r="M401" s="20" t="n">
        <f aca="false">IF($D401="",0,$G401*$K401)</f>
        <v>0</v>
      </c>
      <c r="N401" s="20" t="n">
        <f aca="false">IF($D401="",0,$H401*$K401)</f>
        <v>0</v>
      </c>
      <c r="O401" s="20" t="n">
        <f aca="false">IF($D401="",0,$I401*$K401*(1-$F401))</f>
        <v>0</v>
      </c>
      <c r="P401" s="20" t="n">
        <f aca="false">IF($D401="",0,$E401*$D401+$L401+$M401+$N401+$O401+$J401*$D401)</f>
        <v>0</v>
      </c>
      <c r="Q401" s="20" t="n">
        <f aca="false">IF($D401="",0,$K401-$P401)</f>
        <v>0</v>
      </c>
      <c r="R401" s="21" t="n">
        <f aca="false">IF($K401=0,0,$Q401/$K401)</f>
        <v>0</v>
      </c>
      <c r="S401" s="20" t="n">
        <f aca="false">IF($D401="",0,$K401-$L401-$M401-$N401)</f>
        <v>0</v>
      </c>
      <c r="T401" s="22"/>
      <c r="U401" s="20" t="n">
        <f aca="false">IF($T401="",0,MAX(0,$S401-$T401))</f>
        <v>0</v>
      </c>
      <c r="V401" s="21" t="n">
        <f aca="false">IF($S401=0,0,$U401/$S401)</f>
        <v>0</v>
      </c>
      <c r="W401" s="23" t="str">
        <f aca="false">IF($D401="","",IF($T401="","BEKLİYOR",IF(OR($U401=0,$S401=0),"DOĞRU",IF(AND($V401&gt;PazaryeriEksikHakedisEsik,$U401&gt;PazaryeriEksikHakedisTutarEsik),"EKSİK HAKEDİŞ","DOĞRU"))))</f>
        <v/>
      </c>
      <c r="X401" s="23" t="str">
        <f aca="false">IF($B401="","",CONCATENATE("Ürün: ",$B401," | Kâr: ",TEXT($Q401,"₺ #,##0")," | Durum: ",$W401))</f>
        <v/>
      </c>
      <c r="Y401" s="24"/>
    </row>
    <row r="402" customFormat="false" ht="15" hidden="false" customHeight="false" outlineLevel="0" collapsed="false">
      <c r="A402" s="24"/>
      <c r="B402" s="24"/>
      <c r="C402" s="22"/>
      <c r="D402" s="25"/>
      <c r="E402" s="22"/>
      <c r="F402" s="26"/>
      <c r="G402" s="26"/>
      <c r="H402" s="26"/>
      <c r="I402" s="26"/>
      <c r="J402" s="22"/>
      <c r="K402" s="20" t="n">
        <f aca="false">IF($D402="",0,$C402*$D402)</f>
        <v>0</v>
      </c>
      <c r="L402" s="20" t="n">
        <f aca="false">IF($D402="",0,$F402*$K402)</f>
        <v>0</v>
      </c>
      <c r="M402" s="20" t="n">
        <f aca="false">IF($D402="",0,$G402*$K402)</f>
        <v>0</v>
      </c>
      <c r="N402" s="20" t="n">
        <f aca="false">IF($D402="",0,$H402*$K402)</f>
        <v>0</v>
      </c>
      <c r="O402" s="20" t="n">
        <f aca="false">IF($D402="",0,$I402*$K402*(1-$F402))</f>
        <v>0</v>
      </c>
      <c r="P402" s="20" t="n">
        <f aca="false">IF($D402="",0,$E402*$D402+$L402+$M402+$N402+$O402+$J402*$D402)</f>
        <v>0</v>
      </c>
      <c r="Q402" s="20" t="n">
        <f aca="false">IF($D402="",0,$K402-$P402)</f>
        <v>0</v>
      </c>
      <c r="R402" s="21" t="n">
        <f aca="false">IF($K402=0,0,$Q402/$K402)</f>
        <v>0</v>
      </c>
      <c r="S402" s="20" t="n">
        <f aca="false">IF($D402="",0,$K402-$L402-$M402-$N402)</f>
        <v>0</v>
      </c>
      <c r="T402" s="22"/>
      <c r="U402" s="20" t="n">
        <f aca="false">IF($T402="",0,MAX(0,$S402-$T402))</f>
        <v>0</v>
      </c>
      <c r="V402" s="21" t="n">
        <f aca="false">IF($S402=0,0,$U402/$S402)</f>
        <v>0</v>
      </c>
      <c r="W402" s="23" t="str">
        <f aca="false">IF($D402="","",IF($T402="","BEKLİYOR",IF(OR($U402=0,$S402=0),"DOĞRU",IF(AND($V402&gt;PazaryeriEksikHakedisEsik,$U402&gt;PazaryeriEksikHakedisTutarEsik),"EKSİK HAKEDİŞ","DOĞRU"))))</f>
        <v/>
      </c>
      <c r="X402" s="23" t="str">
        <f aca="false">IF($B402="","",CONCATENATE("Ürün: ",$B402," | Kâr: ",TEXT($Q402,"₺ #,##0")," | Durum: ",$W402))</f>
        <v/>
      </c>
      <c r="Y402" s="24"/>
    </row>
    <row r="403" customFormat="false" ht="15" hidden="false" customHeight="false" outlineLevel="0" collapsed="false">
      <c r="A403" s="24"/>
      <c r="B403" s="24"/>
      <c r="C403" s="22"/>
      <c r="D403" s="25"/>
      <c r="E403" s="22"/>
      <c r="F403" s="26"/>
      <c r="G403" s="26"/>
      <c r="H403" s="26"/>
      <c r="I403" s="26"/>
      <c r="J403" s="22"/>
      <c r="K403" s="20" t="n">
        <f aca="false">IF($D403="",0,$C403*$D403)</f>
        <v>0</v>
      </c>
      <c r="L403" s="20" t="n">
        <f aca="false">IF($D403="",0,$F403*$K403)</f>
        <v>0</v>
      </c>
      <c r="M403" s="20" t="n">
        <f aca="false">IF($D403="",0,$G403*$K403)</f>
        <v>0</v>
      </c>
      <c r="N403" s="20" t="n">
        <f aca="false">IF($D403="",0,$H403*$K403)</f>
        <v>0</v>
      </c>
      <c r="O403" s="20" t="n">
        <f aca="false">IF($D403="",0,$I403*$K403*(1-$F403))</f>
        <v>0</v>
      </c>
      <c r="P403" s="20" t="n">
        <f aca="false">IF($D403="",0,$E403*$D403+$L403+$M403+$N403+$O403+$J403*$D403)</f>
        <v>0</v>
      </c>
      <c r="Q403" s="20" t="n">
        <f aca="false">IF($D403="",0,$K403-$P403)</f>
        <v>0</v>
      </c>
      <c r="R403" s="21" t="n">
        <f aca="false">IF($K403=0,0,$Q403/$K403)</f>
        <v>0</v>
      </c>
      <c r="S403" s="20" t="n">
        <f aca="false">IF($D403="",0,$K403-$L403-$M403-$N403)</f>
        <v>0</v>
      </c>
      <c r="T403" s="22"/>
      <c r="U403" s="20" t="n">
        <f aca="false">IF($T403="",0,MAX(0,$S403-$T403))</f>
        <v>0</v>
      </c>
      <c r="V403" s="21" t="n">
        <f aca="false">IF($S403=0,0,$U403/$S403)</f>
        <v>0</v>
      </c>
      <c r="W403" s="23" t="str">
        <f aca="false">IF($D403="","",IF($T403="","BEKLİYOR",IF(OR($U403=0,$S403=0),"DOĞRU",IF(AND($V403&gt;PazaryeriEksikHakedisEsik,$U403&gt;PazaryeriEksikHakedisTutarEsik),"EKSİK HAKEDİŞ","DOĞRU"))))</f>
        <v/>
      </c>
      <c r="X403" s="23" t="str">
        <f aca="false">IF($B403="","",CONCATENATE("Ürün: ",$B403," | Kâr: ",TEXT($Q403,"₺ #,##0")," | Durum: ",$W403))</f>
        <v/>
      </c>
      <c r="Y403" s="24"/>
    </row>
    <row r="404" customFormat="false" ht="15" hidden="false" customHeight="false" outlineLevel="0" collapsed="false">
      <c r="A404" s="24"/>
      <c r="B404" s="24"/>
      <c r="C404" s="22"/>
      <c r="D404" s="25"/>
      <c r="E404" s="22"/>
      <c r="F404" s="26"/>
      <c r="G404" s="26"/>
      <c r="H404" s="26"/>
      <c r="I404" s="26"/>
      <c r="J404" s="22"/>
      <c r="K404" s="20" t="n">
        <f aca="false">IF($D404="",0,$C404*$D404)</f>
        <v>0</v>
      </c>
      <c r="L404" s="20" t="n">
        <f aca="false">IF($D404="",0,$F404*$K404)</f>
        <v>0</v>
      </c>
      <c r="M404" s="20" t="n">
        <f aca="false">IF($D404="",0,$G404*$K404)</f>
        <v>0</v>
      </c>
      <c r="N404" s="20" t="n">
        <f aca="false">IF($D404="",0,$H404*$K404)</f>
        <v>0</v>
      </c>
      <c r="O404" s="20" t="n">
        <f aca="false">IF($D404="",0,$I404*$K404*(1-$F404))</f>
        <v>0</v>
      </c>
      <c r="P404" s="20" t="n">
        <f aca="false">IF($D404="",0,$E404*$D404+$L404+$M404+$N404+$O404+$J404*$D404)</f>
        <v>0</v>
      </c>
      <c r="Q404" s="20" t="n">
        <f aca="false">IF($D404="",0,$K404-$P404)</f>
        <v>0</v>
      </c>
      <c r="R404" s="21" t="n">
        <f aca="false">IF($K404=0,0,$Q404/$K404)</f>
        <v>0</v>
      </c>
      <c r="S404" s="20" t="n">
        <f aca="false">IF($D404="",0,$K404-$L404-$M404-$N404)</f>
        <v>0</v>
      </c>
      <c r="T404" s="22"/>
      <c r="U404" s="20" t="n">
        <f aca="false">IF($T404="",0,MAX(0,$S404-$T404))</f>
        <v>0</v>
      </c>
      <c r="V404" s="21" t="n">
        <f aca="false">IF($S404=0,0,$U404/$S404)</f>
        <v>0</v>
      </c>
      <c r="W404" s="23" t="str">
        <f aca="false">IF($D404="","",IF($T404="","BEKLİYOR",IF(OR($U404=0,$S404=0),"DOĞRU",IF(AND($V404&gt;PazaryeriEksikHakedisEsik,$U404&gt;PazaryeriEksikHakedisTutarEsik),"EKSİK HAKEDİŞ","DOĞRU"))))</f>
        <v/>
      </c>
      <c r="X404" s="23" t="str">
        <f aca="false">IF($B404="","",CONCATENATE("Ürün: ",$B404," | Kâr: ",TEXT($Q404,"₺ #,##0")," | Durum: ",$W404))</f>
        <v/>
      </c>
      <c r="Y404" s="24"/>
    </row>
    <row r="405" customFormat="false" ht="15" hidden="false" customHeight="false" outlineLevel="0" collapsed="false">
      <c r="A405" s="24"/>
      <c r="B405" s="24"/>
      <c r="C405" s="22"/>
      <c r="D405" s="25"/>
      <c r="E405" s="22"/>
      <c r="F405" s="26"/>
      <c r="G405" s="26"/>
      <c r="H405" s="26"/>
      <c r="I405" s="26"/>
      <c r="J405" s="22"/>
      <c r="K405" s="20" t="n">
        <f aca="false">IF($D405="",0,$C405*$D405)</f>
        <v>0</v>
      </c>
      <c r="L405" s="20" t="n">
        <f aca="false">IF($D405="",0,$F405*$K405)</f>
        <v>0</v>
      </c>
      <c r="M405" s="20" t="n">
        <f aca="false">IF($D405="",0,$G405*$K405)</f>
        <v>0</v>
      </c>
      <c r="N405" s="20" t="n">
        <f aca="false">IF($D405="",0,$H405*$K405)</f>
        <v>0</v>
      </c>
      <c r="O405" s="20" t="n">
        <f aca="false">IF($D405="",0,$I405*$K405*(1-$F405))</f>
        <v>0</v>
      </c>
      <c r="P405" s="20" t="n">
        <f aca="false">IF($D405="",0,$E405*$D405+$L405+$M405+$N405+$O405+$J405*$D405)</f>
        <v>0</v>
      </c>
      <c r="Q405" s="20" t="n">
        <f aca="false">IF($D405="",0,$K405-$P405)</f>
        <v>0</v>
      </c>
      <c r="R405" s="21" t="n">
        <f aca="false">IF($K405=0,0,$Q405/$K405)</f>
        <v>0</v>
      </c>
      <c r="S405" s="20" t="n">
        <f aca="false">IF($D405="",0,$K405-$L405-$M405-$N405)</f>
        <v>0</v>
      </c>
      <c r="T405" s="22"/>
      <c r="U405" s="20" t="n">
        <f aca="false">IF($T405="",0,MAX(0,$S405-$T405))</f>
        <v>0</v>
      </c>
      <c r="V405" s="21" t="n">
        <f aca="false">IF($S405=0,0,$U405/$S405)</f>
        <v>0</v>
      </c>
      <c r="W405" s="23" t="str">
        <f aca="false">IF($D405="","",IF($T405="","BEKLİYOR",IF(OR($U405=0,$S405=0),"DOĞRU",IF(AND($V405&gt;PazaryeriEksikHakedisEsik,$U405&gt;PazaryeriEksikHakedisTutarEsik),"EKSİK HAKEDİŞ","DOĞRU"))))</f>
        <v/>
      </c>
      <c r="X405" s="23" t="str">
        <f aca="false">IF($B405="","",CONCATENATE("Ürün: ",$B405," | Kâr: ",TEXT($Q405,"₺ #,##0")," | Durum: ",$W405))</f>
        <v/>
      </c>
      <c r="Y405" s="24"/>
    </row>
    <row r="406" customFormat="false" ht="15" hidden="false" customHeight="false" outlineLevel="0" collapsed="false">
      <c r="A406" s="24"/>
      <c r="B406" s="24"/>
      <c r="C406" s="22"/>
      <c r="D406" s="25"/>
      <c r="E406" s="22"/>
      <c r="F406" s="26"/>
      <c r="G406" s="26"/>
      <c r="H406" s="26"/>
      <c r="I406" s="26"/>
      <c r="J406" s="22"/>
      <c r="K406" s="20" t="n">
        <f aca="false">IF($D406="",0,$C406*$D406)</f>
        <v>0</v>
      </c>
      <c r="L406" s="20" t="n">
        <f aca="false">IF($D406="",0,$F406*$K406)</f>
        <v>0</v>
      </c>
      <c r="M406" s="20" t="n">
        <f aca="false">IF($D406="",0,$G406*$K406)</f>
        <v>0</v>
      </c>
      <c r="N406" s="20" t="n">
        <f aca="false">IF($D406="",0,$H406*$K406)</f>
        <v>0</v>
      </c>
      <c r="O406" s="20" t="n">
        <f aca="false">IF($D406="",0,$I406*$K406*(1-$F406))</f>
        <v>0</v>
      </c>
      <c r="P406" s="20" t="n">
        <f aca="false">IF($D406="",0,$E406*$D406+$L406+$M406+$N406+$O406+$J406*$D406)</f>
        <v>0</v>
      </c>
      <c r="Q406" s="20" t="n">
        <f aca="false">IF($D406="",0,$K406-$P406)</f>
        <v>0</v>
      </c>
      <c r="R406" s="21" t="n">
        <f aca="false">IF($K406=0,0,$Q406/$K406)</f>
        <v>0</v>
      </c>
      <c r="S406" s="20" t="n">
        <f aca="false">IF($D406="",0,$K406-$L406-$M406-$N406)</f>
        <v>0</v>
      </c>
      <c r="T406" s="22"/>
      <c r="U406" s="20" t="n">
        <f aca="false">IF($T406="",0,MAX(0,$S406-$T406))</f>
        <v>0</v>
      </c>
      <c r="V406" s="21" t="n">
        <f aca="false">IF($S406=0,0,$U406/$S406)</f>
        <v>0</v>
      </c>
      <c r="W406" s="23" t="str">
        <f aca="false">IF($D406="","",IF($T406="","BEKLİYOR",IF(OR($U406=0,$S406=0),"DOĞRU",IF(AND($V406&gt;PazaryeriEksikHakedisEsik,$U406&gt;PazaryeriEksikHakedisTutarEsik),"EKSİK HAKEDİŞ","DOĞRU"))))</f>
        <v/>
      </c>
      <c r="X406" s="23" t="str">
        <f aca="false">IF($B406="","",CONCATENATE("Ürün: ",$B406," | Kâr: ",TEXT($Q406,"₺ #,##0")," | Durum: ",$W406))</f>
        <v/>
      </c>
      <c r="Y406" s="24"/>
    </row>
    <row r="407" customFormat="false" ht="15" hidden="false" customHeight="false" outlineLevel="0" collapsed="false">
      <c r="A407" s="24"/>
      <c r="B407" s="24"/>
      <c r="C407" s="22"/>
      <c r="D407" s="25"/>
      <c r="E407" s="22"/>
      <c r="F407" s="26"/>
      <c r="G407" s="26"/>
      <c r="H407" s="26"/>
      <c r="I407" s="26"/>
      <c r="J407" s="22"/>
      <c r="K407" s="20" t="n">
        <f aca="false">IF($D407="",0,$C407*$D407)</f>
        <v>0</v>
      </c>
      <c r="L407" s="20" t="n">
        <f aca="false">IF($D407="",0,$F407*$K407)</f>
        <v>0</v>
      </c>
      <c r="M407" s="20" t="n">
        <f aca="false">IF($D407="",0,$G407*$K407)</f>
        <v>0</v>
      </c>
      <c r="N407" s="20" t="n">
        <f aca="false">IF($D407="",0,$H407*$K407)</f>
        <v>0</v>
      </c>
      <c r="O407" s="20" t="n">
        <f aca="false">IF($D407="",0,$I407*$K407*(1-$F407))</f>
        <v>0</v>
      </c>
      <c r="P407" s="20" t="n">
        <f aca="false">IF($D407="",0,$E407*$D407+$L407+$M407+$N407+$O407+$J407*$D407)</f>
        <v>0</v>
      </c>
      <c r="Q407" s="20" t="n">
        <f aca="false">IF($D407="",0,$K407-$P407)</f>
        <v>0</v>
      </c>
      <c r="R407" s="21" t="n">
        <f aca="false">IF($K407=0,0,$Q407/$K407)</f>
        <v>0</v>
      </c>
      <c r="S407" s="20" t="n">
        <f aca="false">IF($D407="",0,$K407-$L407-$M407-$N407)</f>
        <v>0</v>
      </c>
      <c r="T407" s="22"/>
      <c r="U407" s="20" t="n">
        <f aca="false">IF($T407="",0,MAX(0,$S407-$T407))</f>
        <v>0</v>
      </c>
      <c r="V407" s="21" t="n">
        <f aca="false">IF($S407=0,0,$U407/$S407)</f>
        <v>0</v>
      </c>
      <c r="W407" s="23" t="str">
        <f aca="false">IF($D407="","",IF($T407="","BEKLİYOR",IF(OR($U407=0,$S407=0),"DOĞRU",IF(AND($V407&gt;PazaryeriEksikHakedisEsik,$U407&gt;PazaryeriEksikHakedisTutarEsik),"EKSİK HAKEDİŞ","DOĞRU"))))</f>
        <v/>
      </c>
      <c r="X407" s="23" t="str">
        <f aca="false">IF($B407="","",CONCATENATE("Ürün: ",$B407," | Kâr: ",TEXT($Q407,"₺ #,##0")," | Durum: ",$W407))</f>
        <v/>
      </c>
      <c r="Y407" s="24"/>
    </row>
    <row r="408" customFormat="false" ht="15" hidden="false" customHeight="false" outlineLevel="0" collapsed="false">
      <c r="A408" s="24"/>
      <c r="B408" s="24"/>
      <c r="C408" s="22"/>
      <c r="D408" s="25"/>
      <c r="E408" s="22"/>
      <c r="F408" s="26"/>
      <c r="G408" s="26"/>
      <c r="H408" s="26"/>
      <c r="I408" s="26"/>
      <c r="J408" s="22"/>
      <c r="K408" s="20" t="n">
        <f aca="false">IF($D408="",0,$C408*$D408)</f>
        <v>0</v>
      </c>
      <c r="L408" s="20" t="n">
        <f aca="false">IF($D408="",0,$F408*$K408)</f>
        <v>0</v>
      </c>
      <c r="M408" s="20" t="n">
        <f aca="false">IF($D408="",0,$G408*$K408)</f>
        <v>0</v>
      </c>
      <c r="N408" s="20" t="n">
        <f aca="false">IF($D408="",0,$H408*$K408)</f>
        <v>0</v>
      </c>
      <c r="O408" s="20" t="n">
        <f aca="false">IF($D408="",0,$I408*$K408*(1-$F408))</f>
        <v>0</v>
      </c>
      <c r="P408" s="20" t="n">
        <f aca="false">IF($D408="",0,$E408*$D408+$L408+$M408+$N408+$O408+$J408*$D408)</f>
        <v>0</v>
      </c>
      <c r="Q408" s="20" t="n">
        <f aca="false">IF($D408="",0,$K408-$P408)</f>
        <v>0</v>
      </c>
      <c r="R408" s="21" t="n">
        <f aca="false">IF($K408=0,0,$Q408/$K408)</f>
        <v>0</v>
      </c>
      <c r="S408" s="20" t="n">
        <f aca="false">IF($D408="",0,$K408-$L408-$M408-$N408)</f>
        <v>0</v>
      </c>
      <c r="T408" s="22"/>
      <c r="U408" s="20" t="n">
        <f aca="false">IF($T408="",0,MAX(0,$S408-$T408))</f>
        <v>0</v>
      </c>
      <c r="V408" s="21" t="n">
        <f aca="false">IF($S408=0,0,$U408/$S408)</f>
        <v>0</v>
      </c>
      <c r="W408" s="23" t="str">
        <f aca="false">IF($D408="","",IF($T408="","BEKLİYOR",IF(OR($U408=0,$S408=0),"DOĞRU",IF(AND($V408&gt;PazaryeriEksikHakedisEsik,$U408&gt;PazaryeriEksikHakedisTutarEsik),"EKSİK HAKEDİŞ","DOĞRU"))))</f>
        <v/>
      </c>
      <c r="X408" s="23" t="str">
        <f aca="false">IF($B408="","",CONCATENATE("Ürün: ",$B408," | Kâr: ",TEXT($Q408,"₺ #,##0")," | Durum: ",$W408))</f>
        <v/>
      </c>
      <c r="Y408" s="24"/>
    </row>
    <row r="409" customFormat="false" ht="15" hidden="false" customHeight="false" outlineLevel="0" collapsed="false">
      <c r="A409" s="24"/>
      <c r="B409" s="24"/>
      <c r="C409" s="22"/>
      <c r="D409" s="25"/>
      <c r="E409" s="22"/>
      <c r="F409" s="26"/>
      <c r="G409" s="26"/>
      <c r="H409" s="26"/>
      <c r="I409" s="26"/>
      <c r="J409" s="22"/>
      <c r="K409" s="20" t="n">
        <f aca="false">IF($D409="",0,$C409*$D409)</f>
        <v>0</v>
      </c>
      <c r="L409" s="20" t="n">
        <f aca="false">IF($D409="",0,$F409*$K409)</f>
        <v>0</v>
      </c>
      <c r="M409" s="20" t="n">
        <f aca="false">IF($D409="",0,$G409*$K409)</f>
        <v>0</v>
      </c>
      <c r="N409" s="20" t="n">
        <f aca="false">IF($D409="",0,$H409*$K409)</f>
        <v>0</v>
      </c>
      <c r="O409" s="20" t="n">
        <f aca="false">IF($D409="",0,$I409*$K409*(1-$F409))</f>
        <v>0</v>
      </c>
      <c r="P409" s="20" t="n">
        <f aca="false">IF($D409="",0,$E409*$D409+$L409+$M409+$N409+$O409+$J409*$D409)</f>
        <v>0</v>
      </c>
      <c r="Q409" s="20" t="n">
        <f aca="false">IF($D409="",0,$K409-$P409)</f>
        <v>0</v>
      </c>
      <c r="R409" s="21" t="n">
        <f aca="false">IF($K409=0,0,$Q409/$K409)</f>
        <v>0</v>
      </c>
      <c r="S409" s="20" t="n">
        <f aca="false">IF($D409="",0,$K409-$L409-$M409-$N409)</f>
        <v>0</v>
      </c>
      <c r="T409" s="22"/>
      <c r="U409" s="20" t="n">
        <f aca="false">IF($T409="",0,MAX(0,$S409-$T409))</f>
        <v>0</v>
      </c>
      <c r="V409" s="21" t="n">
        <f aca="false">IF($S409=0,0,$U409/$S409)</f>
        <v>0</v>
      </c>
      <c r="W409" s="23" t="str">
        <f aca="false">IF($D409="","",IF($T409="","BEKLİYOR",IF(OR($U409=0,$S409=0),"DOĞRU",IF(AND($V409&gt;PazaryeriEksikHakedisEsik,$U409&gt;PazaryeriEksikHakedisTutarEsik),"EKSİK HAKEDİŞ","DOĞRU"))))</f>
        <v/>
      </c>
      <c r="X409" s="23" t="str">
        <f aca="false">IF($B409="","",CONCATENATE("Ürün: ",$B409," | Kâr: ",TEXT($Q409,"₺ #,##0")," | Durum: ",$W409))</f>
        <v/>
      </c>
      <c r="Y409" s="24"/>
    </row>
    <row r="410" customFormat="false" ht="15" hidden="false" customHeight="false" outlineLevel="0" collapsed="false">
      <c r="A410" s="24"/>
      <c r="B410" s="24"/>
      <c r="C410" s="22"/>
      <c r="D410" s="25"/>
      <c r="E410" s="22"/>
      <c r="F410" s="26"/>
      <c r="G410" s="26"/>
      <c r="H410" s="26"/>
      <c r="I410" s="26"/>
      <c r="J410" s="22"/>
      <c r="K410" s="20" t="n">
        <f aca="false">IF($D410="",0,$C410*$D410)</f>
        <v>0</v>
      </c>
      <c r="L410" s="20" t="n">
        <f aca="false">IF($D410="",0,$F410*$K410)</f>
        <v>0</v>
      </c>
      <c r="M410" s="20" t="n">
        <f aca="false">IF($D410="",0,$G410*$K410)</f>
        <v>0</v>
      </c>
      <c r="N410" s="20" t="n">
        <f aca="false">IF($D410="",0,$H410*$K410)</f>
        <v>0</v>
      </c>
      <c r="O410" s="20" t="n">
        <f aca="false">IF($D410="",0,$I410*$K410*(1-$F410))</f>
        <v>0</v>
      </c>
      <c r="P410" s="20" t="n">
        <f aca="false">IF($D410="",0,$E410*$D410+$L410+$M410+$N410+$O410+$J410*$D410)</f>
        <v>0</v>
      </c>
      <c r="Q410" s="20" t="n">
        <f aca="false">IF($D410="",0,$K410-$P410)</f>
        <v>0</v>
      </c>
      <c r="R410" s="21" t="n">
        <f aca="false">IF($K410=0,0,$Q410/$K410)</f>
        <v>0</v>
      </c>
      <c r="S410" s="20" t="n">
        <f aca="false">IF($D410="",0,$K410-$L410-$M410-$N410)</f>
        <v>0</v>
      </c>
      <c r="T410" s="22"/>
      <c r="U410" s="20" t="n">
        <f aca="false">IF($T410="",0,MAX(0,$S410-$T410))</f>
        <v>0</v>
      </c>
      <c r="V410" s="21" t="n">
        <f aca="false">IF($S410=0,0,$U410/$S410)</f>
        <v>0</v>
      </c>
      <c r="W410" s="23" t="str">
        <f aca="false">IF($D410="","",IF($T410="","BEKLİYOR",IF(OR($U410=0,$S410=0),"DOĞRU",IF(AND($V410&gt;PazaryeriEksikHakedisEsik,$U410&gt;PazaryeriEksikHakedisTutarEsik),"EKSİK HAKEDİŞ","DOĞRU"))))</f>
        <v/>
      </c>
      <c r="X410" s="23" t="str">
        <f aca="false">IF($B410="","",CONCATENATE("Ürün: ",$B410," | Kâr: ",TEXT($Q410,"₺ #,##0")," | Durum: ",$W410))</f>
        <v/>
      </c>
      <c r="Y410" s="24"/>
    </row>
    <row r="411" customFormat="false" ht="15" hidden="false" customHeight="false" outlineLevel="0" collapsed="false">
      <c r="A411" s="24"/>
      <c r="B411" s="24"/>
      <c r="C411" s="22"/>
      <c r="D411" s="25"/>
      <c r="E411" s="22"/>
      <c r="F411" s="26"/>
      <c r="G411" s="26"/>
      <c r="H411" s="26"/>
      <c r="I411" s="26"/>
      <c r="J411" s="22"/>
      <c r="K411" s="20" t="n">
        <f aca="false">IF($D411="",0,$C411*$D411)</f>
        <v>0</v>
      </c>
      <c r="L411" s="20" t="n">
        <f aca="false">IF($D411="",0,$F411*$K411)</f>
        <v>0</v>
      </c>
      <c r="M411" s="20" t="n">
        <f aca="false">IF($D411="",0,$G411*$K411)</f>
        <v>0</v>
      </c>
      <c r="N411" s="20" t="n">
        <f aca="false">IF($D411="",0,$H411*$K411)</f>
        <v>0</v>
      </c>
      <c r="O411" s="20" t="n">
        <f aca="false">IF($D411="",0,$I411*$K411*(1-$F411))</f>
        <v>0</v>
      </c>
      <c r="P411" s="20" t="n">
        <f aca="false">IF($D411="",0,$E411*$D411+$L411+$M411+$N411+$O411+$J411*$D411)</f>
        <v>0</v>
      </c>
      <c r="Q411" s="20" t="n">
        <f aca="false">IF($D411="",0,$K411-$P411)</f>
        <v>0</v>
      </c>
      <c r="R411" s="21" t="n">
        <f aca="false">IF($K411=0,0,$Q411/$K411)</f>
        <v>0</v>
      </c>
      <c r="S411" s="20" t="n">
        <f aca="false">IF($D411="",0,$K411-$L411-$M411-$N411)</f>
        <v>0</v>
      </c>
      <c r="T411" s="22"/>
      <c r="U411" s="20" t="n">
        <f aca="false">IF($T411="",0,MAX(0,$S411-$T411))</f>
        <v>0</v>
      </c>
      <c r="V411" s="21" t="n">
        <f aca="false">IF($S411=0,0,$U411/$S411)</f>
        <v>0</v>
      </c>
      <c r="W411" s="23" t="str">
        <f aca="false">IF($D411="","",IF($T411="","BEKLİYOR",IF(OR($U411=0,$S411=0),"DOĞRU",IF(AND($V411&gt;PazaryeriEksikHakedisEsik,$U411&gt;PazaryeriEksikHakedisTutarEsik),"EKSİK HAKEDİŞ","DOĞRU"))))</f>
        <v/>
      </c>
      <c r="X411" s="23" t="str">
        <f aca="false">IF($B411="","",CONCATENATE("Ürün: ",$B411," | Kâr: ",TEXT($Q411,"₺ #,##0")," | Durum: ",$W411))</f>
        <v/>
      </c>
      <c r="Y411" s="24"/>
    </row>
    <row r="412" customFormat="false" ht="15" hidden="false" customHeight="false" outlineLevel="0" collapsed="false">
      <c r="A412" s="24"/>
      <c r="B412" s="24"/>
      <c r="C412" s="22"/>
      <c r="D412" s="25"/>
      <c r="E412" s="22"/>
      <c r="F412" s="26"/>
      <c r="G412" s="26"/>
      <c r="H412" s="26"/>
      <c r="I412" s="26"/>
      <c r="J412" s="22"/>
      <c r="K412" s="20" t="n">
        <f aca="false">IF($D412="",0,$C412*$D412)</f>
        <v>0</v>
      </c>
      <c r="L412" s="20" t="n">
        <f aca="false">IF($D412="",0,$F412*$K412)</f>
        <v>0</v>
      </c>
      <c r="M412" s="20" t="n">
        <f aca="false">IF($D412="",0,$G412*$K412)</f>
        <v>0</v>
      </c>
      <c r="N412" s="20" t="n">
        <f aca="false">IF($D412="",0,$H412*$K412)</f>
        <v>0</v>
      </c>
      <c r="O412" s="20" t="n">
        <f aca="false">IF($D412="",0,$I412*$K412*(1-$F412))</f>
        <v>0</v>
      </c>
      <c r="P412" s="20" t="n">
        <f aca="false">IF($D412="",0,$E412*$D412+$L412+$M412+$N412+$O412+$J412*$D412)</f>
        <v>0</v>
      </c>
      <c r="Q412" s="20" t="n">
        <f aca="false">IF($D412="",0,$K412-$P412)</f>
        <v>0</v>
      </c>
      <c r="R412" s="21" t="n">
        <f aca="false">IF($K412=0,0,$Q412/$K412)</f>
        <v>0</v>
      </c>
      <c r="S412" s="20" t="n">
        <f aca="false">IF($D412="",0,$K412-$L412-$M412-$N412)</f>
        <v>0</v>
      </c>
      <c r="T412" s="22"/>
      <c r="U412" s="20" t="n">
        <f aca="false">IF($T412="",0,MAX(0,$S412-$T412))</f>
        <v>0</v>
      </c>
      <c r="V412" s="21" t="n">
        <f aca="false">IF($S412=0,0,$U412/$S412)</f>
        <v>0</v>
      </c>
      <c r="W412" s="23" t="str">
        <f aca="false">IF($D412="","",IF($T412="","BEKLİYOR",IF(OR($U412=0,$S412=0),"DOĞRU",IF(AND($V412&gt;PazaryeriEksikHakedisEsik,$U412&gt;PazaryeriEksikHakedisTutarEsik),"EKSİK HAKEDİŞ","DOĞRU"))))</f>
        <v/>
      </c>
      <c r="X412" s="23" t="str">
        <f aca="false">IF($B412="","",CONCATENATE("Ürün: ",$B412," | Kâr: ",TEXT($Q412,"₺ #,##0")," | Durum: ",$W412))</f>
        <v/>
      </c>
      <c r="Y412" s="24"/>
    </row>
    <row r="413" customFormat="false" ht="15" hidden="false" customHeight="false" outlineLevel="0" collapsed="false">
      <c r="A413" s="24"/>
      <c r="B413" s="24"/>
      <c r="C413" s="22"/>
      <c r="D413" s="25"/>
      <c r="E413" s="22"/>
      <c r="F413" s="26"/>
      <c r="G413" s="26"/>
      <c r="H413" s="26"/>
      <c r="I413" s="26"/>
      <c r="J413" s="22"/>
      <c r="K413" s="20" t="n">
        <f aca="false">IF($D413="",0,$C413*$D413)</f>
        <v>0</v>
      </c>
      <c r="L413" s="20" t="n">
        <f aca="false">IF($D413="",0,$F413*$K413)</f>
        <v>0</v>
      </c>
      <c r="M413" s="20" t="n">
        <f aca="false">IF($D413="",0,$G413*$K413)</f>
        <v>0</v>
      </c>
      <c r="N413" s="20" t="n">
        <f aca="false">IF($D413="",0,$H413*$K413)</f>
        <v>0</v>
      </c>
      <c r="O413" s="20" t="n">
        <f aca="false">IF($D413="",0,$I413*$K413*(1-$F413))</f>
        <v>0</v>
      </c>
      <c r="P413" s="20" t="n">
        <f aca="false">IF($D413="",0,$E413*$D413+$L413+$M413+$N413+$O413+$J413*$D413)</f>
        <v>0</v>
      </c>
      <c r="Q413" s="20" t="n">
        <f aca="false">IF($D413="",0,$K413-$P413)</f>
        <v>0</v>
      </c>
      <c r="R413" s="21" t="n">
        <f aca="false">IF($K413=0,0,$Q413/$K413)</f>
        <v>0</v>
      </c>
      <c r="S413" s="20" t="n">
        <f aca="false">IF($D413="",0,$K413-$L413-$M413-$N413)</f>
        <v>0</v>
      </c>
      <c r="T413" s="22"/>
      <c r="U413" s="20" t="n">
        <f aca="false">IF($T413="",0,MAX(0,$S413-$T413))</f>
        <v>0</v>
      </c>
      <c r="V413" s="21" t="n">
        <f aca="false">IF($S413=0,0,$U413/$S413)</f>
        <v>0</v>
      </c>
      <c r="W413" s="23" t="str">
        <f aca="false">IF($D413="","",IF($T413="","BEKLİYOR",IF(OR($U413=0,$S413=0),"DOĞRU",IF(AND($V413&gt;PazaryeriEksikHakedisEsik,$U413&gt;PazaryeriEksikHakedisTutarEsik),"EKSİK HAKEDİŞ","DOĞRU"))))</f>
        <v/>
      </c>
      <c r="X413" s="23" t="str">
        <f aca="false">IF($B413="","",CONCATENATE("Ürün: ",$B413," | Kâr: ",TEXT($Q413,"₺ #,##0")," | Durum: ",$W413))</f>
        <v/>
      </c>
      <c r="Y413" s="24"/>
    </row>
    <row r="414" customFormat="false" ht="15" hidden="false" customHeight="false" outlineLevel="0" collapsed="false">
      <c r="A414" s="24"/>
      <c r="B414" s="24"/>
      <c r="C414" s="22"/>
      <c r="D414" s="25"/>
      <c r="E414" s="22"/>
      <c r="F414" s="26"/>
      <c r="G414" s="26"/>
      <c r="H414" s="26"/>
      <c r="I414" s="26"/>
      <c r="J414" s="22"/>
      <c r="K414" s="20" t="n">
        <f aca="false">IF($D414="",0,$C414*$D414)</f>
        <v>0</v>
      </c>
      <c r="L414" s="20" t="n">
        <f aca="false">IF($D414="",0,$F414*$K414)</f>
        <v>0</v>
      </c>
      <c r="M414" s="20" t="n">
        <f aca="false">IF($D414="",0,$G414*$K414)</f>
        <v>0</v>
      </c>
      <c r="N414" s="20" t="n">
        <f aca="false">IF($D414="",0,$H414*$K414)</f>
        <v>0</v>
      </c>
      <c r="O414" s="20" t="n">
        <f aca="false">IF($D414="",0,$I414*$K414*(1-$F414))</f>
        <v>0</v>
      </c>
      <c r="P414" s="20" t="n">
        <f aca="false">IF($D414="",0,$E414*$D414+$L414+$M414+$N414+$O414+$J414*$D414)</f>
        <v>0</v>
      </c>
      <c r="Q414" s="20" t="n">
        <f aca="false">IF($D414="",0,$K414-$P414)</f>
        <v>0</v>
      </c>
      <c r="R414" s="21" t="n">
        <f aca="false">IF($K414=0,0,$Q414/$K414)</f>
        <v>0</v>
      </c>
      <c r="S414" s="20" t="n">
        <f aca="false">IF($D414="",0,$K414-$L414-$M414-$N414)</f>
        <v>0</v>
      </c>
      <c r="T414" s="22"/>
      <c r="U414" s="20" t="n">
        <f aca="false">IF($T414="",0,MAX(0,$S414-$T414))</f>
        <v>0</v>
      </c>
      <c r="V414" s="21" t="n">
        <f aca="false">IF($S414=0,0,$U414/$S414)</f>
        <v>0</v>
      </c>
      <c r="W414" s="23" t="str">
        <f aca="false">IF($D414="","",IF($T414="","BEKLİYOR",IF(OR($U414=0,$S414=0),"DOĞRU",IF(AND($V414&gt;PazaryeriEksikHakedisEsik,$U414&gt;PazaryeriEksikHakedisTutarEsik),"EKSİK HAKEDİŞ","DOĞRU"))))</f>
        <v/>
      </c>
      <c r="X414" s="23" t="str">
        <f aca="false">IF($B414="","",CONCATENATE("Ürün: ",$B414," | Kâr: ",TEXT($Q414,"₺ #,##0")," | Durum: ",$W414))</f>
        <v/>
      </c>
      <c r="Y414" s="24"/>
    </row>
    <row r="415" customFormat="false" ht="15" hidden="false" customHeight="false" outlineLevel="0" collapsed="false">
      <c r="A415" s="24"/>
      <c r="B415" s="24"/>
      <c r="C415" s="22"/>
      <c r="D415" s="25"/>
      <c r="E415" s="22"/>
      <c r="F415" s="26"/>
      <c r="G415" s="26"/>
      <c r="H415" s="26"/>
      <c r="I415" s="26"/>
      <c r="J415" s="22"/>
      <c r="K415" s="20" t="n">
        <f aca="false">IF($D415="",0,$C415*$D415)</f>
        <v>0</v>
      </c>
      <c r="L415" s="20" t="n">
        <f aca="false">IF($D415="",0,$F415*$K415)</f>
        <v>0</v>
      </c>
      <c r="M415" s="20" t="n">
        <f aca="false">IF($D415="",0,$G415*$K415)</f>
        <v>0</v>
      </c>
      <c r="N415" s="20" t="n">
        <f aca="false">IF($D415="",0,$H415*$K415)</f>
        <v>0</v>
      </c>
      <c r="O415" s="20" t="n">
        <f aca="false">IF($D415="",0,$I415*$K415*(1-$F415))</f>
        <v>0</v>
      </c>
      <c r="P415" s="20" t="n">
        <f aca="false">IF($D415="",0,$E415*$D415+$L415+$M415+$N415+$O415+$J415*$D415)</f>
        <v>0</v>
      </c>
      <c r="Q415" s="20" t="n">
        <f aca="false">IF($D415="",0,$K415-$P415)</f>
        <v>0</v>
      </c>
      <c r="R415" s="21" t="n">
        <f aca="false">IF($K415=0,0,$Q415/$K415)</f>
        <v>0</v>
      </c>
      <c r="S415" s="20" t="n">
        <f aca="false">IF($D415="",0,$K415-$L415-$M415-$N415)</f>
        <v>0</v>
      </c>
      <c r="T415" s="22"/>
      <c r="U415" s="20" t="n">
        <f aca="false">IF($T415="",0,MAX(0,$S415-$T415))</f>
        <v>0</v>
      </c>
      <c r="V415" s="21" t="n">
        <f aca="false">IF($S415=0,0,$U415/$S415)</f>
        <v>0</v>
      </c>
      <c r="W415" s="23" t="str">
        <f aca="false">IF($D415="","",IF($T415="","BEKLİYOR",IF(OR($U415=0,$S415=0),"DOĞRU",IF(AND($V415&gt;PazaryeriEksikHakedisEsik,$U415&gt;PazaryeriEksikHakedisTutarEsik),"EKSİK HAKEDİŞ","DOĞRU"))))</f>
        <v/>
      </c>
      <c r="X415" s="23" t="str">
        <f aca="false">IF($B415="","",CONCATENATE("Ürün: ",$B415," | Kâr: ",TEXT($Q415,"₺ #,##0")," | Durum: ",$W415))</f>
        <v/>
      </c>
      <c r="Y415" s="24"/>
    </row>
    <row r="416" customFormat="false" ht="15" hidden="false" customHeight="false" outlineLevel="0" collapsed="false">
      <c r="A416" s="24"/>
      <c r="B416" s="24"/>
      <c r="C416" s="22"/>
      <c r="D416" s="25"/>
      <c r="E416" s="22"/>
      <c r="F416" s="26"/>
      <c r="G416" s="26"/>
      <c r="H416" s="26"/>
      <c r="I416" s="26"/>
      <c r="J416" s="22"/>
      <c r="K416" s="20" t="n">
        <f aca="false">IF($D416="",0,$C416*$D416)</f>
        <v>0</v>
      </c>
      <c r="L416" s="20" t="n">
        <f aca="false">IF($D416="",0,$F416*$K416)</f>
        <v>0</v>
      </c>
      <c r="M416" s="20" t="n">
        <f aca="false">IF($D416="",0,$G416*$K416)</f>
        <v>0</v>
      </c>
      <c r="N416" s="20" t="n">
        <f aca="false">IF($D416="",0,$H416*$K416)</f>
        <v>0</v>
      </c>
      <c r="O416" s="20" t="n">
        <f aca="false">IF($D416="",0,$I416*$K416*(1-$F416))</f>
        <v>0</v>
      </c>
      <c r="P416" s="20" t="n">
        <f aca="false">IF($D416="",0,$E416*$D416+$L416+$M416+$N416+$O416+$J416*$D416)</f>
        <v>0</v>
      </c>
      <c r="Q416" s="20" t="n">
        <f aca="false">IF($D416="",0,$K416-$P416)</f>
        <v>0</v>
      </c>
      <c r="R416" s="21" t="n">
        <f aca="false">IF($K416=0,0,$Q416/$K416)</f>
        <v>0</v>
      </c>
      <c r="S416" s="20" t="n">
        <f aca="false">IF($D416="",0,$K416-$L416-$M416-$N416)</f>
        <v>0</v>
      </c>
      <c r="T416" s="22"/>
      <c r="U416" s="20" t="n">
        <f aca="false">IF($T416="",0,MAX(0,$S416-$T416))</f>
        <v>0</v>
      </c>
      <c r="V416" s="21" t="n">
        <f aca="false">IF($S416=0,0,$U416/$S416)</f>
        <v>0</v>
      </c>
      <c r="W416" s="23" t="str">
        <f aca="false">IF($D416="","",IF($T416="","BEKLİYOR",IF(OR($U416=0,$S416=0),"DOĞRU",IF(AND($V416&gt;PazaryeriEksikHakedisEsik,$U416&gt;PazaryeriEksikHakedisTutarEsik),"EKSİK HAKEDİŞ","DOĞRU"))))</f>
        <v/>
      </c>
      <c r="X416" s="23" t="str">
        <f aca="false">IF($B416="","",CONCATENATE("Ürün: ",$B416," | Kâr: ",TEXT($Q416,"₺ #,##0")," | Durum: ",$W416))</f>
        <v/>
      </c>
      <c r="Y416" s="24"/>
    </row>
    <row r="417" customFormat="false" ht="15" hidden="false" customHeight="false" outlineLevel="0" collapsed="false">
      <c r="A417" s="24"/>
      <c r="B417" s="24"/>
      <c r="C417" s="22"/>
      <c r="D417" s="25"/>
      <c r="E417" s="22"/>
      <c r="F417" s="26"/>
      <c r="G417" s="26"/>
      <c r="H417" s="26"/>
      <c r="I417" s="26"/>
      <c r="J417" s="22"/>
      <c r="K417" s="20" t="n">
        <f aca="false">IF($D417="",0,$C417*$D417)</f>
        <v>0</v>
      </c>
      <c r="L417" s="20" t="n">
        <f aca="false">IF($D417="",0,$F417*$K417)</f>
        <v>0</v>
      </c>
      <c r="M417" s="20" t="n">
        <f aca="false">IF($D417="",0,$G417*$K417)</f>
        <v>0</v>
      </c>
      <c r="N417" s="20" t="n">
        <f aca="false">IF($D417="",0,$H417*$K417)</f>
        <v>0</v>
      </c>
      <c r="O417" s="20" t="n">
        <f aca="false">IF($D417="",0,$I417*$K417*(1-$F417))</f>
        <v>0</v>
      </c>
      <c r="P417" s="20" t="n">
        <f aca="false">IF($D417="",0,$E417*$D417+$L417+$M417+$N417+$O417+$J417*$D417)</f>
        <v>0</v>
      </c>
      <c r="Q417" s="20" t="n">
        <f aca="false">IF($D417="",0,$K417-$P417)</f>
        <v>0</v>
      </c>
      <c r="R417" s="21" t="n">
        <f aca="false">IF($K417=0,0,$Q417/$K417)</f>
        <v>0</v>
      </c>
      <c r="S417" s="20" t="n">
        <f aca="false">IF($D417="",0,$K417-$L417-$M417-$N417)</f>
        <v>0</v>
      </c>
      <c r="T417" s="22"/>
      <c r="U417" s="20" t="n">
        <f aca="false">IF($T417="",0,MAX(0,$S417-$T417))</f>
        <v>0</v>
      </c>
      <c r="V417" s="21" t="n">
        <f aca="false">IF($S417=0,0,$U417/$S417)</f>
        <v>0</v>
      </c>
      <c r="W417" s="23" t="str">
        <f aca="false">IF($D417="","",IF($T417="","BEKLİYOR",IF(OR($U417=0,$S417=0),"DOĞRU",IF(AND($V417&gt;PazaryeriEksikHakedisEsik,$U417&gt;PazaryeriEksikHakedisTutarEsik),"EKSİK HAKEDİŞ","DOĞRU"))))</f>
        <v/>
      </c>
      <c r="X417" s="23" t="str">
        <f aca="false">IF($B417="","",CONCATENATE("Ürün: ",$B417," | Kâr: ",TEXT($Q417,"₺ #,##0")," | Durum: ",$W417))</f>
        <v/>
      </c>
      <c r="Y417" s="24"/>
    </row>
    <row r="418" customFormat="false" ht="15" hidden="false" customHeight="false" outlineLevel="0" collapsed="false">
      <c r="A418" s="24"/>
      <c r="B418" s="24"/>
      <c r="C418" s="22"/>
      <c r="D418" s="25"/>
      <c r="E418" s="22"/>
      <c r="F418" s="26"/>
      <c r="G418" s="26"/>
      <c r="H418" s="26"/>
      <c r="I418" s="26"/>
      <c r="J418" s="22"/>
      <c r="K418" s="20" t="n">
        <f aca="false">IF($D418="",0,$C418*$D418)</f>
        <v>0</v>
      </c>
      <c r="L418" s="20" t="n">
        <f aca="false">IF($D418="",0,$F418*$K418)</f>
        <v>0</v>
      </c>
      <c r="M418" s="20" t="n">
        <f aca="false">IF($D418="",0,$G418*$K418)</f>
        <v>0</v>
      </c>
      <c r="N418" s="20" t="n">
        <f aca="false">IF($D418="",0,$H418*$K418)</f>
        <v>0</v>
      </c>
      <c r="O418" s="20" t="n">
        <f aca="false">IF($D418="",0,$I418*$K418*(1-$F418))</f>
        <v>0</v>
      </c>
      <c r="P418" s="20" t="n">
        <f aca="false">IF($D418="",0,$E418*$D418+$L418+$M418+$N418+$O418+$J418*$D418)</f>
        <v>0</v>
      </c>
      <c r="Q418" s="20" t="n">
        <f aca="false">IF($D418="",0,$K418-$P418)</f>
        <v>0</v>
      </c>
      <c r="R418" s="21" t="n">
        <f aca="false">IF($K418=0,0,$Q418/$K418)</f>
        <v>0</v>
      </c>
      <c r="S418" s="20" t="n">
        <f aca="false">IF($D418="",0,$K418-$L418-$M418-$N418)</f>
        <v>0</v>
      </c>
      <c r="T418" s="22"/>
      <c r="U418" s="20" t="n">
        <f aca="false">IF($T418="",0,MAX(0,$S418-$T418))</f>
        <v>0</v>
      </c>
      <c r="V418" s="21" t="n">
        <f aca="false">IF($S418=0,0,$U418/$S418)</f>
        <v>0</v>
      </c>
      <c r="W418" s="23" t="str">
        <f aca="false">IF($D418="","",IF($T418="","BEKLİYOR",IF(OR($U418=0,$S418=0),"DOĞRU",IF(AND($V418&gt;PazaryeriEksikHakedisEsik,$U418&gt;PazaryeriEksikHakedisTutarEsik),"EKSİK HAKEDİŞ","DOĞRU"))))</f>
        <v/>
      </c>
      <c r="X418" s="23" t="str">
        <f aca="false">IF($B418="","",CONCATENATE("Ürün: ",$B418," | Kâr: ",TEXT($Q418,"₺ #,##0")," | Durum: ",$W418))</f>
        <v/>
      </c>
      <c r="Y418" s="24"/>
    </row>
    <row r="419" customFormat="false" ht="15" hidden="false" customHeight="false" outlineLevel="0" collapsed="false">
      <c r="A419" s="24"/>
      <c r="B419" s="24"/>
      <c r="C419" s="22"/>
      <c r="D419" s="25"/>
      <c r="E419" s="22"/>
      <c r="F419" s="26"/>
      <c r="G419" s="26"/>
      <c r="H419" s="26"/>
      <c r="I419" s="26"/>
      <c r="J419" s="22"/>
      <c r="K419" s="20" t="n">
        <f aca="false">IF($D419="",0,$C419*$D419)</f>
        <v>0</v>
      </c>
      <c r="L419" s="20" t="n">
        <f aca="false">IF($D419="",0,$F419*$K419)</f>
        <v>0</v>
      </c>
      <c r="M419" s="20" t="n">
        <f aca="false">IF($D419="",0,$G419*$K419)</f>
        <v>0</v>
      </c>
      <c r="N419" s="20" t="n">
        <f aca="false">IF($D419="",0,$H419*$K419)</f>
        <v>0</v>
      </c>
      <c r="O419" s="20" t="n">
        <f aca="false">IF($D419="",0,$I419*$K419*(1-$F419))</f>
        <v>0</v>
      </c>
      <c r="P419" s="20" t="n">
        <f aca="false">IF($D419="",0,$E419*$D419+$L419+$M419+$N419+$O419+$J419*$D419)</f>
        <v>0</v>
      </c>
      <c r="Q419" s="20" t="n">
        <f aca="false">IF($D419="",0,$K419-$P419)</f>
        <v>0</v>
      </c>
      <c r="R419" s="21" t="n">
        <f aca="false">IF($K419=0,0,$Q419/$K419)</f>
        <v>0</v>
      </c>
      <c r="S419" s="20" t="n">
        <f aca="false">IF($D419="",0,$K419-$L419-$M419-$N419)</f>
        <v>0</v>
      </c>
      <c r="T419" s="22"/>
      <c r="U419" s="20" t="n">
        <f aca="false">IF($T419="",0,MAX(0,$S419-$T419))</f>
        <v>0</v>
      </c>
      <c r="V419" s="21" t="n">
        <f aca="false">IF($S419=0,0,$U419/$S419)</f>
        <v>0</v>
      </c>
      <c r="W419" s="23" t="str">
        <f aca="false">IF($D419="","",IF($T419="","BEKLİYOR",IF(OR($U419=0,$S419=0),"DOĞRU",IF(AND($V419&gt;PazaryeriEksikHakedisEsik,$U419&gt;PazaryeriEksikHakedisTutarEsik),"EKSİK HAKEDİŞ","DOĞRU"))))</f>
        <v/>
      </c>
      <c r="X419" s="23" t="str">
        <f aca="false">IF($B419="","",CONCATENATE("Ürün: ",$B419," | Kâr: ",TEXT($Q419,"₺ #,##0")," | Durum: ",$W419))</f>
        <v/>
      </c>
      <c r="Y419" s="24"/>
    </row>
    <row r="420" customFormat="false" ht="15" hidden="false" customHeight="false" outlineLevel="0" collapsed="false">
      <c r="A420" s="24"/>
      <c r="B420" s="24"/>
      <c r="C420" s="22"/>
      <c r="D420" s="25"/>
      <c r="E420" s="22"/>
      <c r="F420" s="26"/>
      <c r="G420" s="26"/>
      <c r="H420" s="26"/>
      <c r="I420" s="26"/>
      <c r="J420" s="22"/>
      <c r="K420" s="20" t="n">
        <f aca="false">IF($D420="",0,$C420*$D420)</f>
        <v>0</v>
      </c>
      <c r="L420" s="20" t="n">
        <f aca="false">IF($D420="",0,$F420*$K420)</f>
        <v>0</v>
      </c>
      <c r="M420" s="20" t="n">
        <f aca="false">IF($D420="",0,$G420*$K420)</f>
        <v>0</v>
      </c>
      <c r="N420" s="20" t="n">
        <f aca="false">IF($D420="",0,$H420*$K420)</f>
        <v>0</v>
      </c>
      <c r="O420" s="20" t="n">
        <f aca="false">IF($D420="",0,$I420*$K420*(1-$F420))</f>
        <v>0</v>
      </c>
      <c r="P420" s="20" t="n">
        <f aca="false">IF($D420="",0,$E420*$D420+$L420+$M420+$N420+$O420+$J420*$D420)</f>
        <v>0</v>
      </c>
      <c r="Q420" s="20" t="n">
        <f aca="false">IF($D420="",0,$K420-$P420)</f>
        <v>0</v>
      </c>
      <c r="R420" s="21" t="n">
        <f aca="false">IF($K420=0,0,$Q420/$K420)</f>
        <v>0</v>
      </c>
      <c r="S420" s="20" t="n">
        <f aca="false">IF($D420="",0,$K420-$L420-$M420-$N420)</f>
        <v>0</v>
      </c>
      <c r="T420" s="22"/>
      <c r="U420" s="20" t="n">
        <f aca="false">IF($T420="",0,MAX(0,$S420-$T420))</f>
        <v>0</v>
      </c>
      <c r="V420" s="21" t="n">
        <f aca="false">IF($S420=0,0,$U420/$S420)</f>
        <v>0</v>
      </c>
      <c r="W420" s="23" t="str">
        <f aca="false">IF($D420="","",IF($T420="","BEKLİYOR",IF(OR($U420=0,$S420=0),"DOĞRU",IF(AND($V420&gt;PazaryeriEksikHakedisEsik,$U420&gt;PazaryeriEksikHakedisTutarEsik),"EKSİK HAKEDİŞ","DOĞRU"))))</f>
        <v/>
      </c>
      <c r="X420" s="23" t="str">
        <f aca="false">IF($B420="","",CONCATENATE("Ürün: ",$B420," | Kâr: ",TEXT($Q420,"₺ #,##0")," | Durum: ",$W420))</f>
        <v/>
      </c>
      <c r="Y420" s="24"/>
    </row>
    <row r="421" customFormat="false" ht="15" hidden="false" customHeight="false" outlineLevel="0" collapsed="false">
      <c r="A421" s="24"/>
      <c r="B421" s="24"/>
      <c r="C421" s="22"/>
      <c r="D421" s="25"/>
      <c r="E421" s="22"/>
      <c r="F421" s="26"/>
      <c r="G421" s="26"/>
      <c r="H421" s="26"/>
      <c r="I421" s="26"/>
      <c r="J421" s="22"/>
      <c r="K421" s="20" t="n">
        <f aca="false">IF($D421="",0,$C421*$D421)</f>
        <v>0</v>
      </c>
      <c r="L421" s="20" t="n">
        <f aca="false">IF($D421="",0,$F421*$K421)</f>
        <v>0</v>
      </c>
      <c r="M421" s="20" t="n">
        <f aca="false">IF($D421="",0,$G421*$K421)</f>
        <v>0</v>
      </c>
      <c r="N421" s="20" t="n">
        <f aca="false">IF($D421="",0,$H421*$K421)</f>
        <v>0</v>
      </c>
      <c r="O421" s="20" t="n">
        <f aca="false">IF($D421="",0,$I421*$K421*(1-$F421))</f>
        <v>0</v>
      </c>
      <c r="P421" s="20" t="n">
        <f aca="false">IF($D421="",0,$E421*$D421+$L421+$M421+$N421+$O421+$J421*$D421)</f>
        <v>0</v>
      </c>
      <c r="Q421" s="20" t="n">
        <f aca="false">IF($D421="",0,$K421-$P421)</f>
        <v>0</v>
      </c>
      <c r="R421" s="21" t="n">
        <f aca="false">IF($K421=0,0,$Q421/$K421)</f>
        <v>0</v>
      </c>
      <c r="S421" s="20" t="n">
        <f aca="false">IF($D421="",0,$K421-$L421-$M421-$N421)</f>
        <v>0</v>
      </c>
      <c r="T421" s="22"/>
      <c r="U421" s="20" t="n">
        <f aca="false">IF($T421="",0,MAX(0,$S421-$T421))</f>
        <v>0</v>
      </c>
      <c r="V421" s="21" t="n">
        <f aca="false">IF($S421=0,0,$U421/$S421)</f>
        <v>0</v>
      </c>
      <c r="W421" s="23" t="str">
        <f aca="false">IF($D421="","",IF($T421="","BEKLİYOR",IF(OR($U421=0,$S421=0),"DOĞRU",IF(AND($V421&gt;PazaryeriEksikHakedisEsik,$U421&gt;PazaryeriEksikHakedisTutarEsik),"EKSİK HAKEDİŞ","DOĞRU"))))</f>
        <v/>
      </c>
      <c r="X421" s="23" t="str">
        <f aca="false">IF($B421="","",CONCATENATE("Ürün: ",$B421," | Kâr: ",TEXT($Q421,"₺ #,##0")," | Durum: ",$W421))</f>
        <v/>
      </c>
      <c r="Y421" s="24"/>
    </row>
    <row r="422" customFormat="false" ht="15" hidden="false" customHeight="false" outlineLevel="0" collapsed="false">
      <c r="A422" s="24"/>
      <c r="B422" s="24"/>
      <c r="C422" s="22"/>
      <c r="D422" s="25"/>
      <c r="E422" s="22"/>
      <c r="F422" s="26"/>
      <c r="G422" s="26"/>
      <c r="H422" s="26"/>
      <c r="I422" s="26"/>
      <c r="J422" s="22"/>
      <c r="K422" s="20" t="n">
        <f aca="false">IF($D422="",0,$C422*$D422)</f>
        <v>0</v>
      </c>
      <c r="L422" s="20" t="n">
        <f aca="false">IF($D422="",0,$F422*$K422)</f>
        <v>0</v>
      </c>
      <c r="M422" s="20" t="n">
        <f aca="false">IF($D422="",0,$G422*$K422)</f>
        <v>0</v>
      </c>
      <c r="N422" s="20" t="n">
        <f aca="false">IF($D422="",0,$H422*$K422)</f>
        <v>0</v>
      </c>
      <c r="O422" s="20" t="n">
        <f aca="false">IF($D422="",0,$I422*$K422*(1-$F422))</f>
        <v>0</v>
      </c>
      <c r="P422" s="20" t="n">
        <f aca="false">IF($D422="",0,$E422*$D422+$L422+$M422+$N422+$O422+$J422*$D422)</f>
        <v>0</v>
      </c>
      <c r="Q422" s="20" t="n">
        <f aca="false">IF($D422="",0,$K422-$P422)</f>
        <v>0</v>
      </c>
      <c r="R422" s="21" t="n">
        <f aca="false">IF($K422=0,0,$Q422/$K422)</f>
        <v>0</v>
      </c>
      <c r="S422" s="20" t="n">
        <f aca="false">IF($D422="",0,$K422-$L422-$M422-$N422)</f>
        <v>0</v>
      </c>
      <c r="T422" s="22"/>
      <c r="U422" s="20" t="n">
        <f aca="false">IF($T422="",0,MAX(0,$S422-$T422))</f>
        <v>0</v>
      </c>
      <c r="V422" s="21" t="n">
        <f aca="false">IF($S422=0,0,$U422/$S422)</f>
        <v>0</v>
      </c>
      <c r="W422" s="23" t="str">
        <f aca="false">IF($D422="","",IF($T422="","BEKLİYOR",IF(OR($U422=0,$S422=0),"DOĞRU",IF(AND($V422&gt;PazaryeriEksikHakedisEsik,$U422&gt;PazaryeriEksikHakedisTutarEsik),"EKSİK HAKEDİŞ","DOĞRU"))))</f>
        <v/>
      </c>
      <c r="X422" s="23" t="str">
        <f aca="false">IF($B422="","",CONCATENATE("Ürün: ",$B422," | Kâr: ",TEXT($Q422,"₺ #,##0")," | Durum: ",$W422))</f>
        <v/>
      </c>
      <c r="Y422" s="24"/>
    </row>
    <row r="423" customFormat="false" ht="15" hidden="false" customHeight="false" outlineLevel="0" collapsed="false">
      <c r="A423" s="24"/>
      <c r="B423" s="24"/>
      <c r="C423" s="22"/>
      <c r="D423" s="25"/>
      <c r="E423" s="22"/>
      <c r="F423" s="26"/>
      <c r="G423" s="26"/>
      <c r="H423" s="26"/>
      <c r="I423" s="26"/>
      <c r="J423" s="22"/>
      <c r="K423" s="20" t="n">
        <f aca="false">IF($D423="",0,$C423*$D423)</f>
        <v>0</v>
      </c>
      <c r="L423" s="20" t="n">
        <f aca="false">IF($D423="",0,$F423*$K423)</f>
        <v>0</v>
      </c>
      <c r="M423" s="20" t="n">
        <f aca="false">IF($D423="",0,$G423*$K423)</f>
        <v>0</v>
      </c>
      <c r="N423" s="20" t="n">
        <f aca="false">IF($D423="",0,$H423*$K423)</f>
        <v>0</v>
      </c>
      <c r="O423" s="20" t="n">
        <f aca="false">IF($D423="",0,$I423*$K423*(1-$F423))</f>
        <v>0</v>
      </c>
      <c r="P423" s="20" t="n">
        <f aca="false">IF($D423="",0,$E423*$D423+$L423+$M423+$N423+$O423+$J423*$D423)</f>
        <v>0</v>
      </c>
      <c r="Q423" s="20" t="n">
        <f aca="false">IF($D423="",0,$K423-$P423)</f>
        <v>0</v>
      </c>
      <c r="R423" s="21" t="n">
        <f aca="false">IF($K423=0,0,$Q423/$K423)</f>
        <v>0</v>
      </c>
      <c r="S423" s="20" t="n">
        <f aca="false">IF($D423="",0,$K423-$L423-$M423-$N423)</f>
        <v>0</v>
      </c>
      <c r="T423" s="22"/>
      <c r="U423" s="20" t="n">
        <f aca="false">IF($T423="",0,MAX(0,$S423-$T423))</f>
        <v>0</v>
      </c>
      <c r="V423" s="21" t="n">
        <f aca="false">IF($S423=0,0,$U423/$S423)</f>
        <v>0</v>
      </c>
      <c r="W423" s="23" t="str">
        <f aca="false">IF($D423="","",IF($T423="","BEKLİYOR",IF(OR($U423=0,$S423=0),"DOĞRU",IF(AND($V423&gt;PazaryeriEksikHakedisEsik,$U423&gt;PazaryeriEksikHakedisTutarEsik),"EKSİK HAKEDİŞ","DOĞRU"))))</f>
        <v/>
      </c>
      <c r="X423" s="23" t="str">
        <f aca="false">IF($B423="","",CONCATENATE("Ürün: ",$B423," | Kâr: ",TEXT($Q423,"₺ #,##0")," | Durum: ",$W423))</f>
        <v/>
      </c>
      <c r="Y423" s="24"/>
    </row>
    <row r="424" customFormat="false" ht="15" hidden="false" customHeight="false" outlineLevel="0" collapsed="false">
      <c r="A424" s="24"/>
      <c r="B424" s="24"/>
      <c r="C424" s="22"/>
      <c r="D424" s="25"/>
      <c r="E424" s="22"/>
      <c r="F424" s="26"/>
      <c r="G424" s="26"/>
      <c r="H424" s="26"/>
      <c r="I424" s="26"/>
      <c r="J424" s="22"/>
      <c r="K424" s="20" t="n">
        <f aca="false">IF($D424="",0,$C424*$D424)</f>
        <v>0</v>
      </c>
      <c r="L424" s="20" t="n">
        <f aca="false">IF($D424="",0,$F424*$K424)</f>
        <v>0</v>
      </c>
      <c r="M424" s="20" t="n">
        <f aca="false">IF($D424="",0,$G424*$K424)</f>
        <v>0</v>
      </c>
      <c r="N424" s="20" t="n">
        <f aca="false">IF($D424="",0,$H424*$K424)</f>
        <v>0</v>
      </c>
      <c r="O424" s="20" t="n">
        <f aca="false">IF($D424="",0,$I424*$K424*(1-$F424))</f>
        <v>0</v>
      </c>
      <c r="P424" s="20" t="n">
        <f aca="false">IF($D424="",0,$E424*$D424+$L424+$M424+$N424+$O424+$J424*$D424)</f>
        <v>0</v>
      </c>
      <c r="Q424" s="20" t="n">
        <f aca="false">IF($D424="",0,$K424-$P424)</f>
        <v>0</v>
      </c>
      <c r="R424" s="21" t="n">
        <f aca="false">IF($K424=0,0,$Q424/$K424)</f>
        <v>0</v>
      </c>
      <c r="S424" s="20" t="n">
        <f aca="false">IF($D424="",0,$K424-$L424-$M424-$N424)</f>
        <v>0</v>
      </c>
      <c r="T424" s="22"/>
      <c r="U424" s="20" t="n">
        <f aca="false">IF($T424="",0,MAX(0,$S424-$T424))</f>
        <v>0</v>
      </c>
      <c r="V424" s="21" t="n">
        <f aca="false">IF($S424=0,0,$U424/$S424)</f>
        <v>0</v>
      </c>
      <c r="W424" s="23" t="str">
        <f aca="false">IF($D424="","",IF($T424="","BEKLİYOR",IF(OR($U424=0,$S424=0),"DOĞRU",IF(AND($V424&gt;PazaryeriEksikHakedisEsik,$U424&gt;PazaryeriEksikHakedisTutarEsik),"EKSİK HAKEDİŞ","DOĞRU"))))</f>
        <v/>
      </c>
      <c r="X424" s="23" t="str">
        <f aca="false">IF($B424="","",CONCATENATE("Ürün: ",$B424," | Kâr: ",TEXT($Q424,"₺ #,##0")," | Durum: ",$W424))</f>
        <v/>
      </c>
      <c r="Y424" s="24"/>
    </row>
    <row r="425" customFormat="false" ht="15" hidden="false" customHeight="false" outlineLevel="0" collapsed="false">
      <c r="A425" s="24"/>
      <c r="B425" s="24"/>
      <c r="C425" s="22"/>
      <c r="D425" s="25"/>
      <c r="E425" s="22"/>
      <c r="F425" s="26"/>
      <c r="G425" s="26"/>
      <c r="H425" s="26"/>
      <c r="I425" s="26"/>
      <c r="J425" s="22"/>
      <c r="K425" s="20" t="n">
        <f aca="false">IF($D425="",0,$C425*$D425)</f>
        <v>0</v>
      </c>
      <c r="L425" s="20" t="n">
        <f aca="false">IF($D425="",0,$F425*$K425)</f>
        <v>0</v>
      </c>
      <c r="M425" s="20" t="n">
        <f aca="false">IF($D425="",0,$G425*$K425)</f>
        <v>0</v>
      </c>
      <c r="N425" s="20" t="n">
        <f aca="false">IF($D425="",0,$H425*$K425)</f>
        <v>0</v>
      </c>
      <c r="O425" s="20" t="n">
        <f aca="false">IF($D425="",0,$I425*$K425*(1-$F425))</f>
        <v>0</v>
      </c>
      <c r="P425" s="20" t="n">
        <f aca="false">IF($D425="",0,$E425*$D425+$L425+$M425+$N425+$O425+$J425*$D425)</f>
        <v>0</v>
      </c>
      <c r="Q425" s="20" t="n">
        <f aca="false">IF($D425="",0,$K425-$P425)</f>
        <v>0</v>
      </c>
      <c r="R425" s="21" t="n">
        <f aca="false">IF($K425=0,0,$Q425/$K425)</f>
        <v>0</v>
      </c>
      <c r="S425" s="20" t="n">
        <f aca="false">IF($D425="",0,$K425-$L425-$M425-$N425)</f>
        <v>0</v>
      </c>
      <c r="T425" s="22"/>
      <c r="U425" s="20" t="n">
        <f aca="false">IF($T425="",0,MAX(0,$S425-$T425))</f>
        <v>0</v>
      </c>
      <c r="V425" s="21" t="n">
        <f aca="false">IF($S425=0,0,$U425/$S425)</f>
        <v>0</v>
      </c>
      <c r="W425" s="23" t="str">
        <f aca="false">IF($D425="","",IF($T425="","BEKLİYOR",IF(OR($U425=0,$S425=0),"DOĞRU",IF(AND($V425&gt;PazaryeriEksikHakedisEsik,$U425&gt;PazaryeriEksikHakedisTutarEsik),"EKSİK HAKEDİŞ","DOĞRU"))))</f>
        <v/>
      </c>
      <c r="X425" s="23" t="str">
        <f aca="false">IF($B425="","",CONCATENATE("Ürün: ",$B425," | Kâr: ",TEXT($Q425,"₺ #,##0")," | Durum: ",$W425))</f>
        <v/>
      </c>
      <c r="Y425" s="24"/>
    </row>
    <row r="426" customFormat="false" ht="15" hidden="false" customHeight="false" outlineLevel="0" collapsed="false">
      <c r="A426" s="24"/>
      <c r="B426" s="24"/>
      <c r="C426" s="22"/>
      <c r="D426" s="25"/>
      <c r="E426" s="22"/>
      <c r="F426" s="26"/>
      <c r="G426" s="26"/>
      <c r="H426" s="26"/>
      <c r="I426" s="26"/>
      <c r="J426" s="22"/>
      <c r="K426" s="20" t="n">
        <f aca="false">IF($D426="",0,$C426*$D426)</f>
        <v>0</v>
      </c>
      <c r="L426" s="20" t="n">
        <f aca="false">IF($D426="",0,$F426*$K426)</f>
        <v>0</v>
      </c>
      <c r="M426" s="20" t="n">
        <f aca="false">IF($D426="",0,$G426*$K426)</f>
        <v>0</v>
      </c>
      <c r="N426" s="20" t="n">
        <f aca="false">IF($D426="",0,$H426*$K426)</f>
        <v>0</v>
      </c>
      <c r="O426" s="20" t="n">
        <f aca="false">IF($D426="",0,$I426*$K426*(1-$F426))</f>
        <v>0</v>
      </c>
      <c r="P426" s="20" t="n">
        <f aca="false">IF($D426="",0,$E426*$D426+$L426+$M426+$N426+$O426+$J426*$D426)</f>
        <v>0</v>
      </c>
      <c r="Q426" s="20" t="n">
        <f aca="false">IF($D426="",0,$K426-$P426)</f>
        <v>0</v>
      </c>
      <c r="R426" s="21" t="n">
        <f aca="false">IF($K426=0,0,$Q426/$K426)</f>
        <v>0</v>
      </c>
      <c r="S426" s="20" t="n">
        <f aca="false">IF($D426="",0,$K426-$L426-$M426-$N426)</f>
        <v>0</v>
      </c>
      <c r="T426" s="22"/>
      <c r="U426" s="20" t="n">
        <f aca="false">IF($T426="",0,MAX(0,$S426-$T426))</f>
        <v>0</v>
      </c>
      <c r="V426" s="21" t="n">
        <f aca="false">IF($S426=0,0,$U426/$S426)</f>
        <v>0</v>
      </c>
      <c r="W426" s="23" t="str">
        <f aca="false">IF($D426="","",IF($T426="","BEKLİYOR",IF(OR($U426=0,$S426=0),"DOĞRU",IF(AND($V426&gt;PazaryeriEksikHakedisEsik,$U426&gt;PazaryeriEksikHakedisTutarEsik),"EKSİK HAKEDİŞ","DOĞRU"))))</f>
        <v/>
      </c>
      <c r="X426" s="23" t="str">
        <f aca="false">IF($B426="","",CONCATENATE("Ürün: ",$B426," | Kâr: ",TEXT($Q426,"₺ #,##0")," | Durum: ",$W426))</f>
        <v/>
      </c>
      <c r="Y426" s="24"/>
    </row>
    <row r="427" customFormat="false" ht="15" hidden="false" customHeight="false" outlineLevel="0" collapsed="false">
      <c r="A427" s="24"/>
      <c r="B427" s="24"/>
      <c r="C427" s="22"/>
      <c r="D427" s="25"/>
      <c r="E427" s="22"/>
      <c r="F427" s="26"/>
      <c r="G427" s="26"/>
      <c r="H427" s="26"/>
      <c r="I427" s="26"/>
      <c r="J427" s="22"/>
      <c r="K427" s="20" t="n">
        <f aca="false">IF($D427="",0,$C427*$D427)</f>
        <v>0</v>
      </c>
      <c r="L427" s="20" t="n">
        <f aca="false">IF($D427="",0,$F427*$K427)</f>
        <v>0</v>
      </c>
      <c r="M427" s="20" t="n">
        <f aca="false">IF($D427="",0,$G427*$K427)</f>
        <v>0</v>
      </c>
      <c r="N427" s="20" t="n">
        <f aca="false">IF($D427="",0,$H427*$K427)</f>
        <v>0</v>
      </c>
      <c r="O427" s="20" t="n">
        <f aca="false">IF($D427="",0,$I427*$K427*(1-$F427))</f>
        <v>0</v>
      </c>
      <c r="P427" s="20" t="n">
        <f aca="false">IF($D427="",0,$E427*$D427+$L427+$M427+$N427+$O427+$J427*$D427)</f>
        <v>0</v>
      </c>
      <c r="Q427" s="20" t="n">
        <f aca="false">IF($D427="",0,$K427-$P427)</f>
        <v>0</v>
      </c>
      <c r="R427" s="21" t="n">
        <f aca="false">IF($K427=0,0,$Q427/$K427)</f>
        <v>0</v>
      </c>
      <c r="S427" s="20" t="n">
        <f aca="false">IF($D427="",0,$K427-$L427-$M427-$N427)</f>
        <v>0</v>
      </c>
      <c r="T427" s="22"/>
      <c r="U427" s="20" t="n">
        <f aca="false">IF($T427="",0,MAX(0,$S427-$T427))</f>
        <v>0</v>
      </c>
      <c r="V427" s="21" t="n">
        <f aca="false">IF($S427=0,0,$U427/$S427)</f>
        <v>0</v>
      </c>
      <c r="W427" s="23" t="str">
        <f aca="false">IF($D427="","",IF($T427="","BEKLİYOR",IF(OR($U427=0,$S427=0),"DOĞRU",IF(AND($V427&gt;PazaryeriEksikHakedisEsik,$U427&gt;PazaryeriEksikHakedisTutarEsik),"EKSİK HAKEDİŞ","DOĞRU"))))</f>
        <v/>
      </c>
      <c r="X427" s="23" t="str">
        <f aca="false">IF($B427="","",CONCATENATE("Ürün: ",$B427," | Kâr: ",TEXT($Q427,"₺ #,##0")," | Durum: ",$W427))</f>
        <v/>
      </c>
      <c r="Y427" s="24"/>
    </row>
    <row r="428" customFormat="false" ht="15" hidden="false" customHeight="false" outlineLevel="0" collapsed="false">
      <c r="A428" s="24"/>
      <c r="B428" s="24"/>
      <c r="C428" s="22"/>
      <c r="D428" s="25"/>
      <c r="E428" s="22"/>
      <c r="F428" s="26"/>
      <c r="G428" s="26"/>
      <c r="H428" s="26"/>
      <c r="I428" s="26"/>
      <c r="J428" s="22"/>
      <c r="K428" s="20" t="n">
        <f aca="false">IF($D428="",0,$C428*$D428)</f>
        <v>0</v>
      </c>
      <c r="L428" s="20" t="n">
        <f aca="false">IF($D428="",0,$F428*$K428)</f>
        <v>0</v>
      </c>
      <c r="M428" s="20" t="n">
        <f aca="false">IF($D428="",0,$G428*$K428)</f>
        <v>0</v>
      </c>
      <c r="N428" s="20" t="n">
        <f aca="false">IF($D428="",0,$H428*$K428)</f>
        <v>0</v>
      </c>
      <c r="O428" s="20" t="n">
        <f aca="false">IF($D428="",0,$I428*$K428*(1-$F428))</f>
        <v>0</v>
      </c>
      <c r="P428" s="20" t="n">
        <f aca="false">IF($D428="",0,$E428*$D428+$L428+$M428+$N428+$O428+$J428*$D428)</f>
        <v>0</v>
      </c>
      <c r="Q428" s="20" t="n">
        <f aca="false">IF($D428="",0,$K428-$P428)</f>
        <v>0</v>
      </c>
      <c r="R428" s="21" t="n">
        <f aca="false">IF($K428=0,0,$Q428/$K428)</f>
        <v>0</v>
      </c>
      <c r="S428" s="20" t="n">
        <f aca="false">IF($D428="",0,$K428-$L428-$M428-$N428)</f>
        <v>0</v>
      </c>
      <c r="T428" s="22"/>
      <c r="U428" s="20" t="n">
        <f aca="false">IF($T428="",0,MAX(0,$S428-$T428))</f>
        <v>0</v>
      </c>
      <c r="V428" s="21" t="n">
        <f aca="false">IF($S428=0,0,$U428/$S428)</f>
        <v>0</v>
      </c>
      <c r="W428" s="23" t="str">
        <f aca="false">IF($D428="","",IF($T428="","BEKLİYOR",IF(OR($U428=0,$S428=0),"DOĞRU",IF(AND($V428&gt;PazaryeriEksikHakedisEsik,$U428&gt;PazaryeriEksikHakedisTutarEsik),"EKSİK HAKEDİŞ","DOĞRU"))))</f>
        <v/>
      </c>
      <c r="X428" s="23" t="str">
        <f aca="false">IF($B428="","",CONCATENATE("Ürün: ",$B428," | Kâr: ",TEXT($Q428,"₺ #,##0")," | Durum: ",$W428))</f>
        <v/>
      </c>
      <c r="Y428" s="24"/>
    </row>
    <row r="429" customFormat="false" ht="15" hidden="false" customHeight="false" outlineLevel="0" collapsed="false">
      <c r="A429" s="24"/>
      <c r="B429" s="24"/>
      <c r="C429" s="22"/>
      <c r="D429" s="25"/>
      <c r="E429" s="22"/>
      <c r="F429" s="26"/>
      <c r="G429" s="26"/>
      <c r="H429" s="26"/>
      <c r="I429" s="26"/>
      <c r="J429" s="22"/>
      <c r="K429" s="20" t="n">
        <f aca="false">IF($D429="",0,$C429*$D429)</f>
        <v>0</v>
      </c>
      <c r="L429" s="20" t="n">
        <f aca="false">IF($D429="",0,$F429*$K429)</f>
        <v>0</v>
      </c>
      <c r="M429" s="20" t="n">
        <f aca="false">IF($D429="",0,$G429*$K429)</f>
        <v>0</v>
      </c>
      <c r="N429" s="20" t="n">
        <f aca="false">IF($D429="",0,$H429*$K429)</f>
        <v>0</v>
      </c>
      <c r="O429" s="20" t="n">
        <f aca="false">IF($D429="",0,$I429*$K429*(1-$F429))</f>
        <v>0</v>
      </c>
      <c r="P429" s="20" t="n">
        <f aca="false">IF($D429="",0,$E429*$D429+$L429+$M429+$N429+$O429+$J429*$D429)</f>
        <v>0</v>
      </c>
      <c r="Q429" s="20" t="n">
        <f aca="false">IF($D429="",0,$K429-$P429)</f>
        <v>0</v>
      </c>
      <c r="R429" s="21" t="n">
        <f aca="false">IF($K429=0,0,$Q429/$K429)</f>
        <v>0</v>
      </c>
      <c r="S429" s="20" t="n">
        <f aca="false">IF($D429="",0,$K429-$L429-$M429-$N429)</f>
        <v>0</v>
      </c>
      <c r="T429" s="22"/>
      <c r="U429" s="20" t="n">
        <f aca="false">IF($T429="",0,MAX(0,$S429-$T429))</f>
        <v>0</v>
      </c>
      <c r="V429" s="21" t="n">
        <f aca="false">IF($S429=0,0,$U429/$S429)</f>
        <v>0</v>
      </c>
      <c r="W429" s="23" t="str">
        <f aca="false">IF($D429="","",IF($T429="","BEKLİYOR",IF(OR($U429=0,$S429=0),"DOĞRU",IF(AND($V429&gt;PazaryeriEksikHakedisEsik,$U429&gt;PazaryeriEksikHakedisTutarEsik),"EKSİK HAKEDİŞ","DOĞRU"))))</f>
        <v/>
      </c>
      <c r="X429" s="23" t="str">
        <f aca="false">IF($B429="","",CONCATENATE("Ürün: ",$B429," | Kâr: ",TEXT($Q429,"₺ #,##0")," | Durum: ",$W429))</f>
        <v/>
      </c>
      <c r="Y429" s="24"/>
    </row>
    <row r="430" customFormat="false" ht="15" hidden="false" customHeight="false" outlineLevel="0" collapsed="false">
      <c r="A430" s="24"/>
      <c r="B430" s="24"/>
      <c r="C430" s="22"/>
      <c r="D430" s="25"/>
      <c r="E430" s="22"/>
      <c r="F430" s="26"/>
      <c r="G430" s="26"/>
      <c r="H430" s="26"/>
      <c r="I430" s="26"/>
      <c r="J430" s="22"/>
      <c r="K430" s="20" t="n">
        <f aca="false">IF($D430="",0,$C430*$D430)</f>
        <v>0</v>
      </c>
      <c r="L430" s="20" t="n">
        <f aca="false">IF($D430="",0,$F430*$K430)</f>
        <v>0</v>
      </c>
      <c r="M430" s="20" t="n">
        <f aca="false">IF($D430="",0,$G430*$K430)</f>
        <v>0</v>
      </c>
      <c r="N430" s="20" t="n">
        <f aca="false">IF($D430="",0,$H430*$K430)</f>
        <v>0</v>
      </c>
      <c r="O430" s="20" t="n">
        <f aca="false">IF($D430="",0,$I430*$K430*(1-$F430))</f>
        <v>0</v>
      </c>
      <c r="P430" s="20" t="n">
        <f aca="false">IF($D430="",0,$E430*$D430+$L430+$M430+$N430+$O430+$J430*$D430)</f>
        <v>0</v>
      </c>
      <c r="Q430" s="20" t="n">
        <f aca="false">IF($D430="",0,$K430-$P430)</f>
        <v>0</v>
      </c>
      <c r="R430" s="21" t="n">
        <f aca="false">IF($K430=0,0,$Q430/$K430)</f>
        <v>0</v>
      </c>
      <c r="S430" s="20" t="n">
        <f aca="false">IF($D430="",0,$K430-$L430-$M430-$N430)</f>
        <v>0</v>
      </c>
      <c r="T430" s="22"/>
      <c r="U430" s="20" t="n">
        <f aca="false">IF($T430="",0,MAX(0,$S430-$T430))</f>
        <v>0</v>
      </c>
      <c r="V430" s="21" t="n">
        <f aca="false">IF($S430=0,0,$U430/$S430)</f>
        <v>0</v>
      </c>
      <c r="W430" s="23" t="str">
        <f aca="false">IF($D430="","",IF($T430="","BEKLİYOR",IF(OR($U430=0,$S430=0),"DOĞRU",IF(AND($V430&gt;PazaryeriEksikHakedisEsik,$U430&gt;PazaryeriEksikHakedisTutarEsik),"EKSİK HAKEDİŞ","DOĞRU"))))</f>
        <v/>
      </c>
      <c r="X430" s="23" t="str">
        <f aca="false">IF($B430="","",CONCATENATE("Ürün: ",$B430," | Kâr: ",TEXT($Q430,"₺ #,##0")," | Durum: ",$W430))</f>
        <v/>
      </c>
      <c r="Y430" s="24"/>
    </row>
    <row r="431" customFormat="false" ht="15" hidden="false" customHeight="false" outlineLevel="0" collapsed="false">
      <c r="A431" s="24"/>
      <c r="B431" s="24"/>
      <c r="C431" s="22"/>
      <c r="D431" s="25"/>
      <c r="E431" s="22"/>
      <c r="F431" s="26"/>
      <c r="G431" s="26"/>
      <c r="H431" s="26"/>
      <c r="I431" s="26"/>
      <c r="J431" s="22"/>
      <c r="K431" s="20" t="n">
        <f aca="false">IF($D431="",0,$C431*$D431)</f>
        <v>0</v>
      </c>
      <c r="L431" s="20" t="n">
        <f aca="false">IF($D431="",0,$F431*$K431)</f>
        <v>0</v>
      </c>
      <c r="M431" s="20" t="n">
        <f aca="false">IF($D431="",0,$G431*$K431)</f>
        <v>0</v>
      </c>
      <c r="N431" s="20" t="n">
        <f aca="false">IF($D431="",0,$H431*$K431)</f>
        <v>0</v>
      </c>
      <c r="O431" s="20" t="n">
        <f aca="false">IF($D431="",0,$I431*$K431*(1-$F431))</f>
        <v>0</v>
      </c>
      <c r="P431" s="20" t="n">
        <f aca="false">IF($D431="",0,$E431*$D431+$L431+$M431+$N431+$O431+$J431*$D431)</f>
        <v>0</v>
      </c>
      <c r="Q431" s="20" t="n">
        <f aca="false">IF($D431="",0,$K431-$P431)</f>
        <v>0</v>
      </c>
      <c r="R431" s="21" t="n">
        <f aca="false">IF($K431=0,0,$Q431/$K431)</f>
        <v>0</v>
      </c>
      <c r="S431" s="20" t="n">
        <f aca="false">IF($D431="",0,$K431-$L431-$M431-$N431)</f>
        <v>0</v>
      </c>
      <c r="T431" s="22"/>
      <c r="U431" s="20" t="n">
        <f aca="false">IF($T431="",0,MAX(0,$S431-$T431))</f>
        <v>0</v>
      </c>
      <c r="V431" s="21" t="n">
        <f aca="false">IF($S431=0,0,$U431/$S431)</f>
        <v>0</v>
      </c>
      <c r="W431" s="23" t="str">
        <f aca="false">IF($D431="","",IF($T431="","BEKLİYOR",IF(OR($U431=0,$S431=0),"DOĞRU",IF(AND($V431&gt;PazaryeriEksikHakedisEsik,$U431&gt;PazaryeriEksikHakedisTutarEsik),"EKSİK HAKEDİŞ","DOĞRU"))))</f>
        <v/>
      </c>
      <c r="X431" s="23" t="str">
        <f aca="false">IF($B431="","",CONCATENATE("Ürün: ",$B431," | Kâr: ",TEXT($Q431,"₺ #,##0")," | Durum: ",$W431))</f>
        <v/>
      </c>
      <c r="Y431" s="24"/>
    </row>
    <row r="432" customFormat="false" ht="15" hidden="false" customHeight="false" outlineLevel="0" collapsed="false">
      <c r="A432" s="24"/>
      <c r="B432" s="24"/>
      <c r="C432" s="22"/>
      <c r="D432" s="25"/>
      <c r="E432" s="22"/>
      <c r="F432" s="26"/>
      <c r="G432" s="26"/>
      <c r="H432" s="26"/>
      <c r="I432" s="26"/>
      <c r="J432" s="22"/>
      <c r="K432" s="20" t="n">
        <f aca="false">IF($D432="",0,$C432*$D432)</f>
        <v>0</v>
      </c>
      <c r="L432" s="20" t="n">
        <f aca="false">IF($D432="",0,$F432*$K432)</f>
        <v>0</v>
      </c>
      <c r="M432" s="20" t="n">
        <f aca="false">IF($D432="",0,$G432*$K432)</f>
        <v>0</v>
      </c>
      <c r="N432" s="20" t="n">
        <f aca="false">IF($D432="",0,$H432*$K432)</f>
        <v>0</v>
      </c>
      <c r="O432" s="20" t="n">
        <f aca="false">IF($D432="",0,$I432*$K432*(1-$F432))</f>
        <v>0</v>
      </c>
      <c r="P432" s="20" t="n">
        <f aca="false">IF($D432="",0,$E432*$D432+$L432+$M432+$N432+$O432+$J432*$D432)</f>
        <v>0</v>
      </c>
      <c r="Q432" s="20" t="n">
        <f aca="false">IF($D432="",0,$K432-$P432)</f>
        <v>0</v>
      </c>
      <c r="R432" s="21" t="n">
        <f aca="false">IF($K432=0,0,$Q432/$K432)</f>
        <v>0</v>
      </c>
      <c r="S432" s="20" t="n">
        <f aca="false">IF($D432="",0,$K432-$L432-$M432-$N432)</f>
        <v>0</v>
      </c>
      <c r="T432" s="22"/>
      <c r="U432" s="20" t="n">
        <f aca="false">IF($T432="",0,MAX(0,$S432-$T432))</f>
        <v>0</v>
      </c>
      <c r="V432" s="21" t="n">
        <f aca="false">IF($S432=0,0,$U432/$S432)</f>
        <v>0</v>
      </c>
      <c r="W432" s="23" t="str">
        <f aca="false">IF($D432="","",IF($T432="","BEKLİYOR",IF(OR($U432=0,$S432=0),"DOĞRU",IF(AND($V432&gt;PazaryeriEksikHakedisEsik,$U432&gt;PazaryeriEksikHakedisTutarEsik),"EKSİK HAKEDİŞ","DOĞRU"))))</f>
        <v/>
      </c>
      <c r="X432" s="23" t="str">
        <f aca="false">IF($B432="","",CONCATENATE("Ürün: ",$B432," | Kâr: ",TEXT($Q432,"₺ #,##0")," | Durum: ",$W432))</f>
        <v/>
      </c>
      <c r="Y432" s="24"/>
    </row>
    <row r="433" customFormat="false" ht="15" hidden="false" customHeight="false" outlineLevel="0" collapsed="false">
      <c r="A433" s="24"/>
      <c r="B433" s="24"/>
      <c r="C433" s="22"/>
      <c r="D433" s="25"/>
      <c r="E433" s="22"/>
      <c r="F433" s="26"/>
      <c r="G433" s="26"/>
      <c r="H433" s="26"/>
      <c r="I433" s="26"/>
      <c r="J433" s="22"/>
      <c r="K433" s="20" t="n">
        <f aca="false">IF($D433="",0,$C433*$D433)</f>
        <v>0</v>
      </c>
      <c r="L433" s="20" t="n">
        <f aca="false">IF($D433="",0,$F433*$K433)</f>
        <v>0</v>
      </c>
      <c r="M433" s="20" t="n">
        <f aca="false">IF($D433="",0,$G433*$K433)</f>
        <v>0</v>
      </c>
      <c r="N433" s="20" t="n">
        <f aca="false">IF($D433="",0,$H433*$K433)</f>
        <v>0</v>
      </c>
      <c r="O433" s="20" t="n">
        <f aca="false">IF($D433="",0,$I433*$K433*(1-$F433))</f>
        <v>0</v>
      </c>
      <c r="P433" s="20" t="n">
        <f aca="false">IF($D433="",0,$E433*$D433+$L433+$M433+$N433+$O433+$J433*$D433)</f>
        <v>0</v>
      </c>
      <c r="Q433" s="20" t="n">
        <f aca="false">IF($D433="",0,$K433-$P433)</f>
        <v>0</v>
      </c>
      <c r="R433" s="21" t="n">
        <f aca="false">IF($K433=0,0,$Q433/$K433)</f>
        <v>0</v>
      </c>
      <c r="S433" s="20" t="n">
        <f aca="false">IF($D433="",0,$K433-$L433-$M433-$N433)</f>
        <v>0</v>
      </c>
      <c r="T433" s="22"/>
      <c r="U433" s="20" t="n">
        <f aca="false">IF($T433="",0,MAX(0,$S433-$T433))</f>
        <v>0</v>
      </c>
      <c r="V433" s="21" t="n">
        <f aca="false">IF($S433=0,0,$U433/$S433)</f>
        <v>0</v>
      </c>
      <c r="W433" s="23" t="str">
        <f aca="false">IF($D433="","",IF($T433="","BEKLİYOR",IF(OR($U433=0,$S433=0),"DOĞRU",IF(AND($V433&gt;PazaryeriEksikHakedisEsik,$U433&gt;PazaryeriEksikHakedisTutarEsik),"EKSİK HAKEDİŞ","DOĞRU"))))</f>
        <v/>
      </c>
      <c r="X433" s="23" t="str">
        <f aca="false">IF($B433="","",CONCATENATE("Ürün: ",$B433," | Kâr: ",TEXT($Q433,"₺ #,##0")," | Durum: ",$W433))</f>
        <v/>
      </c>
      <c r="Y433" s="24"/>
    </row>
    <row r="434" customFormat="false" ht="15" hidden="false" customHeight="false" outlineLevel="0" collapsed="false">
      <c r="A434" s="24"/>
      <c r="B434" s="24"/>
      <c r="C434" s="22"/>
      <c r="D434" s="25"/>
      <c r="E434" s="22"/>
      <c r="F434" s="26"/>
      <c r="G434" s="26"/>
      <c r="H434" s="26"/>
      <c r="I434" s="26"/>
      <c r="J434" s="22"/>
      <c r="K434" s="20" t="n">
        <f aca="false">IF($D434="",0,$C434*$D434)</f>
        <v>0</v>
      </c>
      <c r="L434" s="20" t="n">
        <f aca="false">IF($D434="",0,$F434*$K434)</f>
        <v>0</v>
      </c>
      <c r="M434" s="20" t="n">
        <f aca="false">IF($D434="",0,$G434*$K434)</f>
        <v>0</v>
      </c>
      <c r="N434" s="20" t="n">
        <f aca="false">IF($D434="",0,$H434*$K434)</f>
        <v>0</v>
      </c>
      <c r="O434" s="20" t="n">
        <f aca="false">IF($D434="",0,$I434*$K434*(1-$F434))</f>
        <v>0</v>
      </c>
      <c r="P434" s="20" t="n">
        <f aca="false">IF($D434="",0,$E434*$D434+$L434+$M434+$N434+$O434+$J434*$D434)</f>
        <v>0</v>
      </c>
      <c r="Q434" s="20" t="n">
        <f aca="false">IF($D434="",0,$K434-$P434)</f>
        <v>0</v>
      </c>
      <c r="R434" s="21" t="n">
        <f aca="false">IF($K434=0,0,$Q434/$K434)</f>
        <v>0</v>
      </c>
      <c r="S434" s="20" t="n">
        <f aca="false">IF($D434="",0,$K434-$L434-$M434-$N434)</f>
        <v>0</v>
      </c>
      <c r="T434" s="22"/>
      <c r="U434" s="20" t="n">
        <f aca="false">IF($T434="",0,MAX(0,$S434-$T434))</f>
        <v>0</v>
      </c>
      <c r="V434" s="21" t="n">
        <f aca="false">IF($S434=0,0,$U434/$S434)</f>
        <v>0</v>
      </c>
      <c r="W434" s="23" t="str">
        <f aca="false">IF($D434="","",IF($T434="","BEKLİYOR",IF(OR($U434=0,$S434=0),"DOĞRU",IF(AND($V434&gt;PazaryeriEksikHakedisEsik,$U434&gt;PazaryeriEksikHakedisTutarEsik),"EKSİK HAKEDİŞ","DOĞRU"))))</f>
        <v/>
      </c>
      <c r="X434" s="23" t="str">
        <f aca="false">IF($B434="","",CONCATENATE("Ürün: ",$B434," | Kâr: ",TEXT($Q434,"₺ #,##0")," | Durum: ",$W434))</f>
        <v/>
      </c>
      <c r="Y434" s="24"/>
    </row>
    <row r="435" customFormat="false" ht="15" hidden="false" customHeight="false" outlineLevel="0" collapsed="false">
      <c r="A435" s="24"/>
      <c r="B435" s="24"/>
      <c r="C435" s="22"/>
      <c r="D435" s="25"/>
      <c r="E435" s="22"/>
      <c r="F435" s="26"/>
      <c r="G435" s="26"/>
      <c r="H435" s="26"/>
      <c r="I435" s="26"/>
      <c r="J435" s="22"/>
      <c r="K435" s="20" t="n">
        <f aca="false">IF($D435="",0,$C435*$D435)</f>
        <v>0</v>
      </c>
      <c r="L435" s="20" t="n">
        <f aca="false">IF($D435="",0,$F435*$K435)</f>
        <v>0</v>
      </c>
      <c r="M435" s="20" t="n">
        <f aca="false">IF($D435="",0,$G435*$K435)</f>
        <v>0</v>
      </c>
      <c r="N435" s="20" t="n">
        <f aca="false">IF($D435="",0,$H435*$K435)</f>
        <v>0</v>
      </c>
      <c r="O435" s="20" t="n">
        <f aca="false">IF($D435="",0,$I435*$K435*(1-$F435))</f>
        <v>0</v>
      </c>
      <c r="P435" s="20" t="n">
        <f aca="false">IF($D435="",0,$E435*$D435+$L435+$M435+$N435+$O435+$J435*$D435)</f>
        <v>0</v>
      </c>
      <c r="Q435" s="20" t="n">
        <f aca="false">IF($D435="",0,$K435-$P435)</f>
        <v>0</v>
      </c>
      <c r="R435" s="21" t="n">
        <f aca="false">IF($K435=0,0,$Q435/$K435)</f>
        <v>0</v>
      </c>
      <c r="S435" s="20" t="n">
        <f aca="false">IF($D435="",0,$K435-$L435-$M435-$N435)</f>
        <v>0</v>
      </c>
      <c r="T435" s="22"/>
      <c r="U435" s="20" t="n">
        <f aca="false">IF($T435="",0,MAX(0,$S435-$T435))</f>
        <v>0</v>
      </c>
      <c r="V435" s="21" t="n">
        <f aca="false">IF($S435=0,0,$U435/$S435)</f>
        <v>0</v>
      </c>
      <c r="W435" s="23" t="str">
        <f aca="false">IF($D435="","",IF($T435="","BEKLİYOR",IF(OR($U435=0,$S435=0),"DOĞRU",IF(AND($V435&gt;PazaryeriEksikHakedisEsik,$U435&gt;PazaryeriEksikHakedisTutarEsik),"EKSİK HAKEDİŞ","DOĞRU"))))</f>
        <v/>
      </c>
      <c r="X435" s="23" t="str">
        <f aca="false">IF($B435="","",CONCATENATE("Ürün: ",$B435," | Kâr: ",TEXT($Q435,"₺ #,##0")," | Durum: ",$W435))</f>
        <v/>
      </c>
      <c r="Y435" s="24"/>
    </row>
    <row r="436" customFormat="false" ht="15" hidden="false" customHeight="false" outlineLevel="0" collapsed="false">
      <c r="A436" s="24"/>
      <c r="B436" s="24"/>
      <c r="C436" s="22"/>
      <c r="D436" s="25"/>
      <c r="E436" s="22"/>
      <c r="F436" s="26"/>
      <c r="G436" s="26"/>
      <c r="H436" s="26"/>
      <c r="I436" s="26"/>
      <c r="J436" s="22"/>
      <c r="K436" s="20" t="n">
        <f aca="false">IF($D436="",0,$C436*$D436)</f>
        <v>0</v>
      </c>
      <c r="L436" s="20" t="n">
        <f aca="false">IF($D436="",0,$F436*$K436)</f>
        <v>0</v>
      </c>
      <c r="M436" s="20" t="n">
        <f aca="false">IF($D436="",0,$G436*$K436)</f>
        <v>0</v>
      </c>
      <c r="N436" s="20" t="n">
        <f aca="false">IF($D436="",0,$H436*$K436)</f>
        <v>0</v>
      </c>
      <c r="O436" s="20" t="n">
        <f aca="false">IF($D436="",0,$I436*$K436*(1-$F436))</f>
        <v>0</v>
      </c>
      <c r="P436" s="20" t="n">
        <f aca="false">IF($D436="",0,$E436*$D436+$L436+$M436+$N436+$O436+$J436*$D436)</f>
        <v>0</v>
      </c>
      <c r="Q436" s="20" t="n">
        <f aca="false">IF($D436="",0,$K436-$P436)</f>
        <v>0</v>
      </c>
      <c r="R436" s="21" t="n">
        <f aca="false">IF($K436=0,0,$Q436/$K436)</f>
        <v>0</v>
      </c>
      <c r="S436" s="20" t="n">
        <f aca="false">IF($D436="",0,$K436-$L436-$M436-$N436)</f>
        <v>0</v>
      </c>
      <c r="T436" s="22"/>
      <c r="U436" s="20" t="n">
        <f aca="false">IF($T436="",0,MAX(0,$S436-$T436))</f>
        <v>0</v>
      </c>
      <c r="V436" s="21" t="n">
        <f aca="false">IF($S436=0,0,$U436/$S436)</f>
        <v>0</v>
      </c>
      <c r="W436" s="23" t="str">
        <f aca="false">IF($D436="","",IF($T436="","BEKLİYOR",IF(OR($U436=0,$S436=0),"DOĞRU",IF(AND($V436&gt;PazaryeriEksikHakedisEsik,$U436&gt;PazaryeriEksikHakedisTutarEsik),"EKSİK HAKEDİŞ","DOĞRU"))))</f>
        <v/>
      </c>
      <c r="X436" s="23" t="str">
        <f aca="false">IF($B436="","",CONCATENATE("Ürün: ",$B436," | Kâr: ",TEXT($Q436,"₺ #,##0")," | Durum: ",$W436))</f>
        <v/>
      </c>
      <c r="Y436" s="24"/>
    </row>
    <row r="437" customFormat="false" ht="15" hidden="false" customHeight="false" outlineLevel="0" collapsed="false">
      <c r="A437" s="24"/>
      <c r="B437" s="24"/>
      <c r="C437" s="22"/>
      <c r="D437" s="25"/>
      <c r="E437" s="22"/>
      <c r="F437" s="26"/>
      <c r="G437" s="26"/>
      <c r="H437" s="26"/>
      <c r="I437" s="26"/>
      <c r="J437" s="22"/>
      <c r="K437" s="20" t="n">
        <f aca="false">IF($D437="",0,$C437*$D437)</f>
        <v>0</v>
      </c>
      <c r="L437" s="20" t="n">
        <f aca="false">IF($D437="",0,$F437*$K437)</f>
        <v>0</v>
      </c>
      <c r="M437" s="20" t="n">
        <f aca="false">IF($D437="",0,$G437*$K437)</f>
        <v>0</v>
      </c>
      <c r="N437" s="20" t="n">
        <f aca="false">IF($D437="",0,$H437*$K437)</f>
        <v>0</v>
      </c>
      <c r="O437" s="20" t="n">
        <f aca="false">IF($D437="",0,$I437*$K437*(1-$F437))</f>
        <v>0</v>
      </c>
      <c r="P437" s="20" t="n">
        <f aca="false">IF($D437="",0,$E437*$D437+$L437+$M437+$N437+$O437+$J437*$D437)</f>
        <v>0</v>
      </c>
      <c r="Q437" s="20" t="n">
        <f aca="false">IF($D437="",0,$K437-$P437)</f>
        <v>0</v>
      </c>
      <c r="R437" s="21" t="n">
        <f aca="false">IF($K437=0,0,$Q437/$K437)</f>
        <v>0</v>
      </c>
      <c r="S437" s="20" t="n">
        <f aca="false">IF($D437="",0,$K437-$L437-$M437-$N437)</f>
        <v>0</v>
      </c>
      <c r="T437" s="22"/>
      <c r="U437" s="20" t="n">
        <f aca="false">IF($T437="",0,MAX(0,$S437-$T437))</f>
        <v>0</v>
      </c>
      <c r="V437" s="21" t="n">
        <f aca="false">IF($S437=0,0,$U437/$S437)</f>
        <v>0</v>
      </c>
      <c r="W437" s="23" t="str">
        <f aca="false">IF($D437="","",IF($T437="","BEKLİYOR",IF(OR($U437=0,$S437=0),"DOĞRU",IF(AND($V437&gt;PazaryeriEksikHakedisEsik,$U437&gt;PazaryeriEksikHakedisTutarEsik),"EKSİK HAKEDİŞ","DOĞRU"))))</f>
        <v/>
      </c>
      <c r="X437" s="23" t="str">
        <f aca="false">IF($B437="","",CONCATENATE("Ürün: ",$B437," | Kâr: ",TEXT($Q437,"₺ #,##0")," | Durum: ",$W437))</f>
        <v/>
      </c>
      <c r="Y437" s="24"/>
    </row>
    <row r="438" customFormat="false" ht="15" hidden="false" customHeight="false" outlineLevel="0" collapsed="false">
      <c r="A438" s="24"/>
      <c r="B438" s="24"/>
      <c r="C438" s="22"/>
      <c r="D438" s="25"/>
      <c r="E438" s="22"/>
      <c r="F438" s="26"/>
      <c r="G438" s="26"/>
      <c r="H438" s="26"/>
      <c r="I438" s="26"/>
      <c r="J438" s="22"/>
      <c r="K438" s="20" t="n">
        <f aca="false">IF($D438="",0,$C438*$D438)</f>
        <v>0</v>
      </c>
      <c r="L438" s="20" t="n">
        <f aca="false">IF($D438="",0,$F438*$K438)</f>
        <v>0</v>
      </c>
      <c r="M438" s="20" t="n">
        <f aca="false">IF($D438="",0,$G438*$K438)</f>
        <v>0</v>
      </c>
      <c r="N438" s="20" t="n">
        <f aca="false">IF($D438="",0,$H438*$K438)</f>
        <v>0</v>
      </c>
      <c r="O438" s="20" t="n">
        <f aca="false">IF($D438="",0,$I438*$K438*(1-$F438))</f>
        <v>0</v>
      </c>
      <c r="P438" s="20" t="n">
        <f aca="false">IF($D438="",0,$E438*$D438+$L438+$M438+$N438+$O438+$J438*$D438)</f>
        <v>0</v>
      </c>
      <c r="Q438" s="20" t="n">
        <f aca="false">IF($D438="",0,$K438-$P438)</f>
        <v>0</v>
      </c>
      <c r="R438" s="21" t="n">
        <f aca="false">IF($K438=0,0,$Q438/$K438)</f>
        <v>0</v>
      </c>
      <c r="S438" s="20" t="n">
        <f aca="false">IF($D438="",0,$K438-$L438-$M438-$N438)</f>
        <v>0</v>
      </c>
      <c r="T438" s="22"/>
      <c r="U438" s="20" t="n">
        <f aca="false">IF($T438="",0,MAX(0,$S438-$T438))</f>
        <v>0</v>
      </c>
      <c r="V438" s="21" t="n">
        <f aca="false">IF($S438=0,0,$U438/$S438)</f>
        <v>0</v>
      </c>
      <c r="W438" s="23" t="str">
        <f aca="false">IF($D438="","",IF($T438="","BEKLİYOR",IF(OR($U438=0,$S438=0),"DOĞRU",IF(AND($V438&gt;PazaryeriEksikHakedisEsik,$U438&gt;PazaryeriEksikHakedisTutarEsik),"EKSİK HAKEDİŞ","DOĞRU"))))</f>
        <v/>
      </c>
      <c r="X438" s="23" t="str">
        <f aca="false">IF($B438="","",CONCATENATE("Ürün: ",$B438," | Kâr: ",TEXT($Q438,"₺ #,##0")," | Durum: ",$W438))</f>
        <v/>
      </c>
      <c r="Y438" s="24"/>
    </row>
    <row r="439" customFormat="false" ht="15" hidden="false" customHeight="false" outlineLevel="0" collapsed="false">
      <c r="A439" s="24"/>
      <c r="B439" s="24"/>
      <c r="C439" s="22"/>
      <c r="D439" s="25"/>
      <c r="E439" s="22"/>
      <c r="F439" s="26"/>
      <c r="G439" s="26"/>
      <c r="H439" s="26"/>
      <c r="I439" s="26"/>
      <c r="J439" s="22"/>
      <c r="K439" s="20" t="n">
        <f aca="false">IF($D439="",0,$C439*$D439)</f>
        <v>0</v>
      </c>
      <c r="L439" s="20" t="n">
        <f aca="false">IF($D439="",0,$F439*$K439)</f>
        <v>0</v>
      </c>
      <c r="M439" s="20" t="n">
        <f aca="false">IF($D439="",0,$G439*$K439)</f>
        <v>0</v>
      </c>
      <c r="N439" s="20" t="n">
        <f aca="false">IF($D439="",0,$H439*$K439)</f>
        <v>0</v>
      </c>
      <c r="O439" s="20" t="n">
        <f aca="false">IF($D439="",0,$I439*$K439*(1-$F439))</f>
        <v>0</v>
      </c>
      <c r="P439" s="20" t="n">
        <f aca="false">IF($D439="",0,$E439*$D439+$L439+$M439+$N439+$O439+$J439*$D439)</f>
        <v>0</v>
      </c>
      <c r="Q439" s="20" t="n">
        <f aca="false">IF($D439="",0,$K439-$P439)</f>
        <v>0</v>
      </c>
      <c r="R439" s="21" t="n">
        <f aca="false">IF($K439=0,0,$Q439/$K439)</f>
        <v>0</v>
      </c>
      <c r="S439" s="20" t="n">
        <f aca="false">IF($D439="",0,$K439-$L439-$M439-$N439)</f>
        <v>0</v>
      </c>
      <c r="T439" s="22"/>
      <c r="U439" s="20" t="n">
        <f aca="false">IF($T439="",0,MAX(0,$S439-$T439))</f>
        <v>0</v>
      </c>
      <c r="V439" s="21" t="n">
        <f aca="false">IF($S439=0,0,$U439/$S439)</f>
        <v>0</v>
      </c>
      <c r="W439" s="23" t="str">
        <f aca="false">IF($D439="","",IF($T439="","BEKLİYOR",IF(OR($U439=0,$S439=0),"DOĞRU",IF(AND($V439&gt;PazaryeriEksikHakedisEsik,$U439&gt;PazaryeriEksikHakedisTutarEsik),"EKSİK HAKEDİŞ","DOĞRU"))))</f>
        <v/>
      </c>
      <c r="X439" s="23" t="str">
        <f aca="false">IF($B439="","",CONCATENATE("Ürün: ",$B439," | Kâr: ",TEXT($Q439,"₺ #,##0")," | Durum: ",$W439))</f>
        <v/>
      </c>
      <c r="Y439" s="24"/>
    </row>
    <row r="440" customFormat="false" ht="15" hidden="false" customHeight="false" outlineLevel="0" collapsed="false">
      <c r="A440" s="24"/>
      <c r="B440" s="24"/>
      <c r="C440" s="22"/>
      <c r="D440" s="25"/>
      <c r="E440" s="22"/>
      <c r="F440" s="26"/>
      <c r="G440" s="26"/>
      <c r="H440" s="26"/>
      <c r="I440" s="26"/>
      <c r="J440" s="22"/>
      <c r="K440" s="20" t="n">
        <f aca="false">IF($D440="",0,$C440*$D440)</f>
        <v>0</v>
      </c>
      <c r="L440" s="20" t="n">
        <f aca="false">IF($D440="",0,$F440*$K440)</f>
        <v>0</v>
      </c>
      <c r="M440" s="20" t="n">
        <f aca="false">IF($D440="",0,$G440*$K440)</f>
        <v>0</v>
      </c>
      <c r="N440" s="20" t="n">
        <f aca="false">IF($D440="",0,$H440*$K440)</f>
        <v>0</v>
      </c>
      <c r="O440" s="20" t="n">
        <f aca="false">IF($D440="",0,$I440*$K440*(1-$F440))</f>
        <v>0</v>
      </c>
      <c r="P440" s="20" t="n">
        <f aca="false">IF($D440="",0,$E440*$D440+$L440+$M440+$N440+$O440+$J440*$D440)</f>
        <v>0</v>
      </c>
      <c r="Q440" s="20" t="n">
        <f aca="false">IF($D440="",0,$K440-$P440)</f>
        <v>0</v>
      </c>
      <c r="R440" s="21" t="n">
        <f aca="false">IF($K440=0,0,$Q440/$K440)</f>
        <v>0</v>
      </c>
      <c r="S440" s="20" t="n">
        <f aca="false">IF($D440="",0,$K440-$L440-$M440-$N440)</f>
        <v>0</v>
      </c>
      <c r="T440" s="22"/>
      <c r="U440" s="20" t="n">
        <f aca="false">IF($T440="",0,MAX(0,$S440-$T440))</f>
        <v>0</v>
      </c>
      <c r="V440" s="21" t="n">
        <f aca="false">IF($S440=0,0,$U440/$S440)</f>
        <v>0</v>
      </c>
      <c r="W440" s="23" t="str">
        <f aca="false">IF($D440="","",IF($T440="","BEKLİYOR",IF(OR($U440=0,$S440=0),"DOĞRU",IF(AND($V440&gt;PazaryeriEksikHakedisEsik,$U440&gt;PazaryeriEksikHakedisTutarEsik),"EKSİK HAKEDİŞ","DOĞRU"))))</f>
        <v/>
      </c>
      <c r="X440" s="23" t="str">
        <f aca="false">IF($B440="","",CONCATENATE("Ürün: ",$B440," | Kâr: ",TEXT($Q440,"₺ #,##0")," | Durum: ",$W440))</f>
        <v/>
      </c>
      <c r="Y440" s="24"/>
    </row>
    <row r="441" customFormat="false" ht="15" hidden="false" customHeight="false" outlineLevel="0" collapsed="false">
      <c r="A441" s="24"/>
      <c r="B441" s="24"/>
      <c r="C441" s="22"/>
      <c r="D441" s="25"/>
      <c r="E441" s="22"/>
      <c r="F441" s="26"/>
      <c r="G441" s="26"/>
      <c r="H441" s="26"/>
      <c r="I441" s="26"/>
      <c r="J441" s="22"/>
      <c r="K441" s="20" t="n">
        <f aca="false">IF($D441="",0,$C441*$D441)</f>
        <v>0</v>
      </c>
      <c r="L441" s="20" t="n">
        <f aca="false">IF($D441="",0,$F441*$K441)</f>
        <v>0</v>
      </c>
      <c r="M441" s="20" t="n">
        <f aca="false">IF($D441="",0,$G441*$K441)</f>
        <v>0</v>
      </c>
      <c r="N441" s="20" t="n">
        <f aca="false">IF($D441="",0,$H441*$K441)</f>
        <v>0</v>
      </c>
      <c r="O441" s="20" t="n">
        <f aca="false">IF($D441="",0,$I441*$K441*(1-$F441))</f>
        <v>0</v>
      </c>
      <c r="P441" s="20" t="n">
        <f aca="false">IF($D441="",0,$E441*$D441+$L441+$M441+$N441+$O441+$J441*$D441)</f>
        <v>0</v>
      </c>
      <c r="Q441" s="20" t="n">
        <f aca="false">IF($D441="",0,$K441-$P441)</f>
        <v>0</v>
      </c>
      <c r="R441" s="21" t="n">
        <f aca="false">IF($K441=0,0,$Q441/$K441)</f>
        <v>0</v>
      </c>
      <c r="S441" s="20" t="n">
        <f aca="false">IF($D441="",0,$K441-$L441-$M441-$N441)</f>
        <v>0</v>
      </c>
      <c r="T441" s="22"/>
      <c r="U441" s="20" t="n">
        <f aca="false">IF($T441="",0,MAX(0,$S441-$T441))</f>
        <v>0</v>
      </c>
      <c r="V441" s="21" t="n">
        <f aca="false">IF($S441=0,0,$U441/$S441)</f>
        <v>0</v>
      </c>
      <c r="W441" s="23" t="str">
        <f aca="false">IF($D441="","",IF($T441="","BEKLİYOR",IF(OR($U441=0,$S441=0),"DOĞRU",IF(AND($V441&gt;PazaryeriEksikHakedisEsik,$U441&gt;PazaryeriEksikHakedisTutarEsik),"EKSİK HAKEDİŞ","DOĞRU"))))</f>
        <v/>
      </c>
      <c r="X441" s="23" t="str">
        <f aca="false">IF($B441="","",CONCATENATE("Ürün: ",$B441," | Kâr: ",TEXT($Q441,"₺ #,##0")," | Durum: ",$W441))</f>
        <v/>
      </c>
      <c r="Y441" s="24"/>
    </row>
    <row r="442" customFormat="false" ht="15" hidden="false" customHeight="false" outlineLevel="0" collapsed="false">
      <c r="A442" s="24"/>
      <c r="B442" s="24"/>
      <c r="C442" s="22"/>
      <c r="D442" s="25"/>
      <c r="E442" s="22"/>
      <c r="F442" s="26"/>
      <c r="G442" s="26"/>
      <c r="H442" s="26"/>
      <c r="I442" s="26"/>
      <c r="J442" s="22"/>
      <c r="K442" s="20" t="n">
        <f aca="false">IF($D442="",0,$C442*$D442)</f>
        <v>0</v>
      </c>
      <c r="L442" s="20" t="n">
        <f aca="false">IF($D442="",0,$F442*$K442)</f>
        <v>0</v>
      </c>
      <c r="M442" s="20" t="n">
        <f aca="false">IF($D442="",0,$G442*$K442)</f>
        <v>0</v>
      </c>
      <c r="N442" s="20" t="n">
        <f aca="false">IF($D442="",0,$H442*$K442)</f>
        <v>0</v>
      </c>
      <c r="O442" s="20" t="n">
        <f aca="false">IF($D442="",0,$I442*$K442*(1-$F442))</f>
        <v>0</v>
      </c>
      <c r="P442" s="20" t="n">
        <f aca="false">IF($D442="",0,$E442*$D442+$L442+$M442+$N442+$O442+$J442*$D442)</f>
        <v>0</v>
      </c>
      <c r="Q442" s="20" t="n">
        <f aca="false">IF($D442="",0,$K442-$P442)</f>
        <v>0</v>
      </c>
      <c r="R442" s="21" t="n">
        <f aca="false">IF($K442=0,0,$Q442/$K442)</f>
        <v>0</v>
      </c>
      <c r="S442" s="20" t="n">
        <f aca="false">IF($D442="",0,$K442-$L442-$M442-$N442)</f>
        <v>0</v>
      </c>
      <c r="T442" s="22"/>
      <c r="U442" s="20" t="n">
        <f aca="false">IF($T442="",0,MAX(0,$S442-$T442))</f>
        <v>0</v>
      </c>
      <c r="V442" s="21" t="n">
        <f aca="false">IF($S442=0,0,$U442/$S442)</f>
        <v>0</v>
      </c>
      <c r="W442" s="23" t="str">
        <f aca="false">IF($D442="","",IF($T442="","BEKLİYOR",IF(OR($U442=0,$S442=0),"DOĞRU",IF(AND($V442&gt;PazaryeriEksikHakedisEsik,$U442&gt;PazaryeriEksikHakedisTutarEsik),"EKSİK HAKEDİŞ","DOĞRU"))))</f>
        <v/>
      </c>
      <c r="X442" s="23" t="str">
        <f aca="false">IF($B442="","",CONCATENATE("Ürün: ",$B442," | Kâr: ",TEXT($Q442,"₺ #,##0")," | Durum: ",$W442))</f>
        <v/>
      </c>
      <c r="Y442" s="24"/>
    </row>
    <row r="443" customFormat="false" ht="15" hidden="false" customHeight="false" outlineLevel="0" collapsed="false">
      <c r="A443" s="24"/>
      <c r="B443" s="24"/>
      <c r="C443" s="22"/>
      <c r="D443" s="25"/>
      <c r="E443" s="22"/>
      <c r="F443" s="26"/>
      <c r="G443" s="26"/>
      <c r="H443" s="26"/>
      <c r="I443" s="26"/>
      <c r="J443" s="22"/>
      <c r="K443" s="20" t="n">
        <f aca="false">IF($D443="",0,$C443*$D443)</f>
        <v>0</v>
      </c>
      <c r="L443" s="20" t="n">
        <f aca="false">IF($D443="",0,$F443*$K443)</f>
        <v>0</v>
      </c>
      <c r="M443" s="20" t="n">
        <f aca="false">IF($D443="",0,$G443*$K443)</f>
        <v>0</v>
      </c>
      <c r="N443" s="20" t="n">
        <f aca="false">IF($D443="",0,$H443*$K443)</f>
        <v>0</v>
      </c>
      <c r="O443" s="20" t="n">
        <f aca="false">IF($D443="",0,$I443*$K443*(1-$F443))</f>
        <v>0</v>
      </c>
      <c r="P443" s="20" t="n">
        <f aca="false">IF($D443="",0,$E443*$D443+$L443+$M443+$N443+$O443+$J443*$D443)</f>
        <v>0</v>
      </c>
      <c r="Q443" s="20" t="n">
        <f aca="false">IF($D443="",0,$K443-$P443)</f>
        <v>0</v>
      </c>
      <c r="R443" s="21" t="n">
        <f aca="false">IF($K443=0,0,$Q443/$K443)</f>
        <v>0</v>
      </c>
      <c r="S443" s="20" t="n">
        <f aca="false">IF($D443="",0,$K443-$L443-$M443-$N443)</f>
        <v>0</v>
      </c>
      <c r="T443" s="22"/>
      <c r="U443" s="20" t="n">
        <f aca="false">IF($T443="",0,MAX(0,$S443-$T443))</f>
        <v>0</v>
      </c>
      <c r="V443" s="21" t="n">
        <f aca="false">IF($S443=0,0,$U443/$S443)</f>
        <v>0</v>
      </c>
      <c r="W443" s="23" t="str">
        <f aca="false">IF($D443="","",IF($T443="","BEKLİYOR",IF(OR($U443=0,$S443=0),"DOĞRU",IF(AND($V443&gt;PazaryeriEksikHakedisEsik,$U443&gt;PazaryeriEksikHakedisTutarEsik),"EKSİK HAKEDİŞ","DOĞRU"))))</f>
        <v/>
      </c>
      <c r="X443" s="23" t="str">
        <f aca="false">IF($B443="","",CONCATENATE("Ürün: ",$B443," | Kâr: ",TEXT($Q443,"₺ #,##0")," | Durum: ",$W443))</f>
        <v/>
      </c>
      <c r="Y443" s="24"/>
    </row>
    <row r="444" customFormat="false" ht="15" hidden="false" customHeight="false" outlineLevel="0" collapsed="false">
      <c r="A444" s="24"/>
      <c r="B444" s="24"/>
      <c r="C444" s="22"/>
      <c r="D444" s="25"/>
      <c r="E444" s="22"/>
      <c r="F444" s="26"/>
      <c r="G444" s="26"/>
      <c r="H444" s="26"/>
      <c r="I444" s="26"/>
      <c r="J444" s="22"/>
      <c r="K444" s="20" t="n">
        <f aca="false">IF($D444="",0,$C444*$D444)</f>
        <v>0</v>
      </c>
      <c r="L444" s="20" t="n">
        <f aca="false">IF($D444="",0,$F444*$K444)</f>
        <v>0</v>
      </c>
      <c r="M444" s="20" t="n">
        <f aca="false">IF($D444="",0,$G444*$K444)</f>
        <v>0</v>
      </c>
      <c r="N444" s="20" t="n">
        <f aca="false">IF($D444="",0,$H444*$K444)</f>
        <v>0</v>
      </c>
      <c r="O444" s="20" t="n">
        <f aca="false">IF($D444="",0,$I444*$K444*(1-$F444))</f>
        <v>0</v>
      </c>
      <c r="P444" s="20" t="n">
        <f aca="false">IF($D444="",0,$E444*$D444+$L444+$M444+$N444+$O444+$J444*$D444)</f>
        <v>0</v>
      </c>
      <c r="Q444" s="20" t="n">
        <f aca="false">IF($D444="",0,$K444-$P444)</f>
        <v>0</v>
      </c>
      <c r="R444" s="21" t="n">
        <f aca="false">IF($K444=0,0,$Q444/$K444)</f>
        <v>0</v>
      </c>
      <c r="S444" s="20" t="n">
        <f aca="false">IF($D444="",0,$K444-$L444-$M444-$N444)</f>
        <v>0</v>
      </c>
      <c r="T444" s="22"/>
      <c r="U444" s="20" t="n">
        <f aca="false">IF($T444="",0,MAX(0,$S444-$T444))</f>
        <v>0</v>
      </c>
      <c r="V444" s="21" t="n">
        <f aca="false">IF($S444=0,0,$U444/$S444)</f>
        <v>0</v>
      </c>
      <c r="W444" s="23" t="str">
        <f aca="false">IF($D444="","",IF($T444="","BEKLİYOR",IF(OR($U444=0,$S444=0),"DOĞRU",IF(AND($V444&gt;PazaryeriEksikHakedisEsik,$U444&gt;PazaryeriEksikHakedisTutarEsik),"EKSİK HAKEDİŞ","DOĞRU"))))</f>
        <v/>
      </c>
      <c r="X444" s="23" t="str">
        <f aca="false">IF($B444="","",CONCATENATE("Ürün: ",$B444," | Kâr: ",TEXT($Q444,"₺ #,##0")," | Durum: ",$W444))</f>
        <v/>
      </c>
      <c r="Y444" s="24"/>
    </row>
    <row r="445" customFormat="false" ht="15" hidden="false" customHeight="false" outlineLevel="0" collapsed="false">
      <c r="A445" s="24"/>
      <c r="B445" s="24"/>
      <c r="C445" s="22"/>
      <c r="D445" s="25"/>
      <c r="E445" s="22"/>
      <c r="F445" s="26"/>
      <c r="G445" s="26"/>
      <c r="H445" s="26"/>
      <c r="I445" s="26"/>
      <c r="J445" s="22"/>
      <c r="K445" s="20" t="n">
        <f aca="false">IF($D445="",0,$C445*$D445)</f>
        <v>0</v>
      </c>
      <c r="L445" s="20" t="n">
        <f aca="false">IF($D445="",0,$F445*$K445)</f>
        <v>0</v>
      </c>
      <c r="M445" s="20" t="n">
        <f aca="false">IF($D445="",0,$G445*$K445)</f>
        <v>0</v>
      </c>
      <c r="N445" s="20" t="n">
        <f aca="false">IF($D445="",0,$H445*$K445)</f>
        <v>0</v>
      </c>
      <c r="O445" s="20" t="n">
        <f aca="false">IF($D445="",0,$I445*$K445*(1-$F445))</f>
        <v>0</v>
      </c>
      <c r="P445" s="20" t="n">
        <f aca="false">IF($D445="",0,$E445*$D445+$L445+$M445+$N445+$O445+$J445*$D445)</f>
        <v>0</v>
      </c>
      <c r="Q445" s="20" t="n">
        <f aca="false">IF($D445="",0,$K445-$P445)</f>
        <v>0</v>
      </c>
      <c r="R445" s="21" t="n">
        <f aca="false">IF($K445=0,0,$Q445/$K445)</f>
        <v>0</v>
      </c>
      <c r="S445" s="20" t="n">
        <f aca="false">IF($D445="",0,$K445-$L445-$M445-$N445)</f>
        <v>0</v>
      </c>
      <c r="T445" s="22"/>
      <c r="U445" s="20" t="n">
        <f aca="false">IF($T445="",0,MAX(0,$S445-$T445))</f>
        <v>0</v>
      </c>
      <c r="V445" s="21" t="n">
        <f aca="false">IF($S445=0,0,$U445/$S445)</f>
        <v>0</v>
      </c>
      <c r="W445" s="23" t="str">
        <f aca="false">IF($D445="","",IF($T445="","BEKLİYOR",IF(OR($U445=0,$S445=0),"DOĞRU",IF(AND($V445&gt;PazaryeriEksikHakedisEsik,$U445&gt;PazaryeriEksikHakedisTutarEsik),"EKSİK HAKEDİŞ","DOĞRU"))))</f>
        <v/>
      </c>
      <c r="X445" s="23" t="str">
        <f aca="false">IF($B445="","",CONCATENATE("Ürün: ",$B445," | Kâr: ",TEXT($Q445,"₺ #,##0")," | Durum: ",$W445))</f>
        <v/>
      </c>
      <c r="Y445" s="24"/>
    </row>
    <row r="446" customFormat="false" ht="15" hidden="false" customHeight="false" outlineLevel="0" collapsed="false">
      <c r="A446" s="24"/>
      <c r="B446" s="24"/>
      <c r="C446" s="22"/>
      <c r="D446" s="25"/>
      <c r="E446" s="22"/>
      <c r="F446" s="26"/>
      <c r="G446" s="26"/>
      <c r="H446" s="26"/>
      <c r="I446" s="26"/>
      <c r="J446" s="22"/>
      <c r="K446" s="20" t="n">
        <f aca="false">IF($D446="",0,$C446*$D446)</f>
        <v>0</v>
      </c>
      <c r="L446" s="20" t="n">
        <f aca="false">IF($D446="",0,$F446*$K446)</f>
        <v>0</v>
      </c>
      <c r="M446" s="20" t="n">
        <f aca="false">IF($D446="",0,$G446*$K446)</f>
        <v>0</v>
      </c>
      <c r="N446" s="20" t="n">
        <f aca="false">IF($D446="",0,$H446*$K446)</f>
        <v>0</v>
      </c>
      <c r="O446" s="20" t="n">
        <f aca="false">IF($D446="",0,$I446*$K446*(1-$F446))</f>
        <v>0</v>
      </c>
      <c r="P446" s="20" t="n">
        <f aca="false">IF($D446="",0,$E446*$D446+$L446+$M446+$N446+$O446+$J446*$D446)</f>
        <v>0</v>
      </c>
      <c r="Q446" s="20" t="n">
        <f aca="false">IF($D446="",0,$K446-$P446)</f>
        <v>0</v>
      </c>
      <c r="R446" s="21" t="n">
        <f aca="false">IF($K446=0,0,$Q446/$K446)</f>
        <v>0</v>
      </c>
      <c r="S446" s="20" t="n">
        <f aca="false">IF($D446="",0,$K446-$L446-$M446-$N446)</f>
        <v>0</v>
      </c>
      <c r="T446" s="22"/>
      <c r="U446" s="20" t="n">
        <f aca="false">IF($T446="",0,MAX(0,$S446-$T446))</f>
        <v>0</v>
      </c>
      <c r="V446" s="21" t="n">
        <f aca="false">IF($S446=0,0,$U446/$S446)</f>
        <v>0</v>
      </c>
      <c r="W446" s="23" t="str">
        <f aca="false">IF($D446="","",IF($T446="","BEKLİYOR",IF(OR($U446=0,$S446=0),"DOĞRU",IF(AND($V446&gt;PazaryeriEksikHakedisEsik,$U446&gt;PazaryeriEksikHakedisTutarEsik),"EKSİK HAKEDİŞ","DOĞRU"))))</f>
        <v/>
      </c>
      <c r="X446" s="23" t="str">
        <f aca="false">IF($B446="","",CONCATENATE("Ürün: ",$B446," | Kâr: ",TEXT($Q446,"₺ #,##0")," | Durum: ",$W446))</f>
        <v/>
      </c>
      <c r="Y446" s="24"/>
    </row>
    <row r="447" customFormat="false" ht="15" hidden="false" customHeight="false" outlineLevel="0" collapsed="false">
      <c r="A447" s="24"/>
      <c r="B447" s="24"/>
      <c r="C447" s="22"/>
      <c r="D447" s="25"/>
      <c r="E447" s="22"/>
      <c r="F447" s="26"/>
      <c r="G447" s="26"/>
      <c r="H447" s="26"/>
      <c r="I447" s="26"/>
      <c r="J447" s="22"/>
      <c r="K447" s="20" t="n">
        <f aca="false">IF($D447="",0,$C447*$D447)</f>
        <v>0</v>
      </c>
      <c r="L447" s="20" t="n">
        <f aca="false">IF($D447="",0,$F447*$K447)</f>
        <v>0</v>
      </c>
      <c r="M447" s="20" t="n">
        <f aca="false">IF($D447="",0,$G447*$K447)</f>
        <v>0</v>
      </c>
      <c r="N447" s="20" t="n">
        <f aca="false">IF($D447="",0,$H447*$K447)</f>
        <v>0</v>
      </c>
      <c r="O447" s="20" t="n">
        <f aca="false">IF($D447="",0,$I447*$K447*(1-$F447))</f>
        <v>0</v>
      </c>
      <c r="P447" s="20" t="n">
        <f aca="false">IF($D447="",0,$E447*$D447+$L447+$M447+$N447+$O447+$J447*$D447)</f>
        <v>0</v>
      </c>
      <c r="Q447" s="20" t="n">
        <f aca="false">IF($D447="",0,$K447-$P447)</f>
        <v>0</v>
      </c>
      <c r="R447" s="21" t="n">
        <f aca="false">IF($K447=0,0,$Q447/$K447)</f>
        <v>0</v>
      </c>
      <c r="S447" s="20" t="n">
        <f aca="false">IF($D447="",0,$K447-$L447-$M447-$N447)</f>
        <v>0</v>
      </c>
      <c r="T447" s="22"/>
      <c r="U447" s="20" t="n">
        <f aca="false">IF($T447="",0,MAX(0,$S447-$T447))</f>
        <v>0</v>
      </c>
      <c r="V447" s="21" t="n">
        <f aca="false">IF($S447=0,0,$U447/$S447)</f>
        <v>0</v>
      </c>
      <c r="W447" s="23" t="str">
        <f aca="false">IF($D447="","",IF($T447="","BEKLİYOR",IF(OR($U447=0,$S447=0),"DOĞRU",IF(AND($V447&gt;PazaryeriEksikHakedisEsik,$U447&gt;PazaryeriEksikHakedisTutarEsik),"EKSİK HAKEDİŞ","DOĞRU"))))</f>
        <v/>
      </c>
      <c r="X447" s="23" t="str">
        <f aca="false">IF($B447="","",CONCATENATE("Ürün: ",$B447," | Kâr: ",TEXT($Q447,"₺ #,##0")," | Durum: ",$W447))</f>
        <v/>
      </c>
      <c r="Y447" s="24"/>
    </row>
    <row r="448" customFormat="false" ht="15" hidden="false" customHeight="false" outlineLevel="0" collapsed="false">
      <c r="A448" s="24"/>
      <c r="B448" s="24"/>
      <c r="C448" s="22"/>
      <c r="D448" s="25"/>
      <c r="E448" s="22"/>
      <c r="F448" s="26"/>
      <c r="G448" s="26"/>
      <c r="H448" s="26"/>
      <c r="I448" s="26"/>
      <c r="J448" s="22"/>
      <c r="K448" s="20" t="n">
        <f aca="false">IF($D448="",0,$C448*$D448)</f>
        <v>0</v>
      </c>
      <c r="L448" s="20" t="n">
        <f aca="false">IF($D448="",0,$F448*$K448)</f>
        <v>0</v>
      </c>
      <c r="M448" s="20" t="n">
        <f aca="false">IF($D448="",0,$G448*$K448)</f>
        <v>0</v>
      </c>
      <c r="N448" s="20" t="n">
        <f aca="false">IF($D448="",0,$H448*$K448)</f>
        <v>0</v>
      </c>
      <c r="O448" s="20" t="n">
        <f aca="false">IF($D448="",0,$I448*$K448*(1-$F448))</f>
        <v>0</v>
      </c>
      <c r="P448" s="20" t="n">
        <f aca="false">IF($D448="",0,$E448*$D448+$L448+$M448+$N448+$O448+$J448*$D448)</f>
        <v>0</v>
      </c>
      <c r="Q448" s="20" t="n">
        <f aca="false">IF($D448="",0,$K448-$P448)</f>
        <v>0</v>
      </c>
      <c r="R448" s="21" t="n">
        <f aca="false">IF($K448=0,0,$Q448/$K448)</f>
        <v>0</v>
      </c>
      <c r="S448" s="20" t="n">
        <f aca="false">IF($D448="",0,$K448-$L448-$M448-$N448)</f>
        <v>0</v>
      </c>
      <c r="T448" s="22"/>
      <c r="U448" s="20" t="n">
        <f aca="false">IF($T448="",0,MAX(0,$S448-$T448))</f>
        <v>0</v>
      </c>
      <c r="V448" s="21" t="n">
        <f aca="false">IF($S448=0,0,$U448/$S448)</f>
        <v>0</v>
      </c>
      <c r="W448" s="23" t="str">
        <f aca="false">IF($D448="","",IF($T448="","BEKLİYOR",IF(OR($U448=0,$S448=0),"DOĞRU",IF(AND($V448&gt;PazaryeriEksikHakedisEsik,$U448&gt;PazaryeriEksikHakedisTutarEsik),"EKSİK HAKEDİŞ","DOĞRU"))))</f>
        <v/>
      </c>
      <c r="X448" s="23" t="str">
        <f aca="false">IF($B448="","",CONCATENATE("Ürün: ",$B448," | Kâr: ",TEXT($Q448,"₺ #,##0")," | Durum: ",$W448))</f>
        <v/>
      </c>
      <c r="Y448" s="24"/>
    </row>
    <row r="449" customFormat="false" ht="15" hidden="false" customHeight="false" outlineLevel="0" collapsed="false">
      <c r="A449" s="24"/>
      <c r="B449" s="24"/>
      <c r="C449" s="22"/>
      <c r="D449" s="25"/>
      <c r="E449" s="22"/>
      <c r="F449" s="26"/>
      <c r="G449" s="26"/>
      <c r="H449" s="26"/>
      <c r="I449" s="26"/>
      <c r="J449" s="22"/>
      <c r="K449" s="20" t="n">
        <f aca="false">IF($D449="",0,$C449*$D449)</f>
        <v>0</v>
      </c>
      <c r="L449" s="20" t="n">
        <f aca="false">IF($D449="",0,$F449*$K449)</f>
        <v>0</v>
      </c>
      <c r="M449" s="20" t="n">
        <f aca="false">IF($D449="",0,$G449*$K449)</f>
        <v>0</v>
      </c>
      <c r="N449" s="20" t="n">
        <f aca="false">IF($D449="",0,$H449*$K449)</f>
        <v>0</v>
      </c>
      <c r="O449" s="20" t="n">
        <f aca="false">IF($D449="",0,$I449*$K449*(1-$F449))</f>
        <v>0</v>
      </c>
      <c r="P449" s="20" t="n">
        <f aca="false">IF($D449="",0,$E449*$D449+$L449+$M449+$N449+$O449+$J449*$D449)</f>
        <v>0</v>
      </c>
      <c r="Q449" s="20" t="n">
        <f aca="false">IF($D449="",0,$K449-$P449)</f>
        <v>0</v>
      </c>
      <c r="R449" s="21" t="n">
        <f aca="false">IF($K449=0,0,$Q449/$K449)</f>
        <v>0</v>
      </c>
      <c r="S449" s="20" t="n">
        <f aca="false">IF($D449="",0,$K449-$L449-$M449-$N449)</f>
        <v>0</v>
      </c>
      <c r="T449" s="22"/>
      <c r="U449" s="20" t="n">
        <f aca="false">IF($T449="",0,MAX(0,$S449-$T449))</f>
        <v>0</v>
      </c>
      <c r="V449" s="21" t="n">
        <f aca="false">IF($S449=0,0,$U449/$S449)</f>
        <v>0</v>
      </c>
      <c r="W449" s="23" t="str">
        <f aca="false">IF($D449="","",IF($T449="","BEKLİYOR",IF(OR($U449=0,$S449=0),"DOĞRU",IF(AND($V449&gt;PazaryeriEksikHakedisEsik,$U449&gt;PazaryeriEksikHakedisTutarEsik),"EKSİK HAKEDİŞ","DOĞRU"))))</f>
        <v/>
      </c>
      <c r="X449" s="23" t="str">
        <f aca="false">IF($B449="","",CONCATENATE("Ürün: ",$B449," | Kâr: ",TEXT($Q449,"₺ #,##0")," | Durum: ",$W449))</f>
        <v/>
      </c>
      <c r="Y449" s="24"/>
    </row>
    <row r="450" customFormat="false" ht="15" hidden="false" customHeight="false" outlineLevel="0" collapsed="false">
      <c r="A450" s="24"/>
      <c r="B450" s="24"/>
      <c r="C450" s="22"/>
      <c r="D450" s="25"/>
      <c r="E450" s="22"/>
      <c r="F450" s="26"/>
      <c r="G450" s="26"/>
      <c r="H450" s="26"/>
      <c r="I450" s="26"/>
      <c r="J450" s="22"/>
      <c r="K450" s="20" t="n">
        <f aca="false">IF($D450="",0,$C450*$D450)</f>
        <v>0</v>
      </c>
      <c r="L450" s="20" t="n">
        <f aca="false">IF($D450="",0,$F450*$K450)</f>
        <v>0</v>
      </c>
      <c r="M450" s="20" t="n">
        <f aca="false">IF($D450="",0,$G450*$K450)</f>
        <v>0</v>
      </c>
      <c r="N450" s="20" t="n">
        <f aca="false">IF($D450="",0,$H450*$K450)</f>
        <v>0</v>
      </c>
      <c r="O450" s="20" t="n">
        <f aca="false">IF($D450="",0,$I450*$K450*(1-$F450))</f>
        <v>0</v>
      </c>
      <c r="P450" s="20" t="n">
        <f aca="false">IF($D450="",0,$E450*$D450+$L450+$M450+$N450+$O450+$J450*$D450)</f>
        <v>0</v>
      </c>
      <c r="Q450" s="20" t="n">
        <f aca="false">IF($D450="",0,$K450-$P450)</f>
        <v>0</v>
      </c>
      <c r="R450" s="21" t="n">
        <f aca="false">IF($K450=0,0,$Q450/$K450)</f>
        <v>0</v>
      </c>
      <c r="S450" s="20" t="n">
        <f aca="false">IF($D450="",0,$K450-$L450-$M450-$N450)</f>
        <v>0</v>
      </c>
      <c r="T450" s="22"/>
      <c r="U450" s="20" t="n">
        <f aca="false">IF($T450="",0,MAX(0,$S450-$T450))</f>
        <v>0</v>
      </c>
      <c r="V450" s="21" t="n">
        <f aca="false">IF($S450=0,0,$U450/$S450)</f>
        <v>0</v>
      </c>
      <c r="W450" s="23" t="str">
        <f aca="false">IF($D450="","",IF($T450="","BEKLİYOR",IF(OR($U450=0,$S450=0),"DOĞRU",IF(AND($V450&gt;PazaryeriEksikHakedisEsik,$U450&gt;PazaryeriEksikHakedisTutarEsik),"EKSİK HAKEDİŞ","DOĞRU"))))</f>
        <v/>
      </c>
      <c r="X450" s="23" t="str">
        <f aca="false">IF($B450="","",CONCATENATE("Ürün: ",$B450," | Kâr: ",TEXT($Q450,"₺ #,##0")," | Durum: ",$W450))</f>
        <v/>
      </c>
      <c r="Y450" s="24"/>
    </row>
    <row r="451" customFormat="false" ht="15" hidden="false" customHeight="false" outlineLevel="0" collapsed="false">
      <c r="A451" s="24"/>
      <c r="B451" s="24"/>
      <c r="C451" s="22"/>
      <c r="D451" s="25"/>
      <c r="E451" s="22"/>
      <c r="F451" s="26"/>
      <c r="G451" s="26"/>
      <c r="H451" s="26"/>
      <c r="I451" s="26"/>
      <c r="J451" s="22"/>
      <c r="K451" s="20" t="n">
        <f aca="false">IF($D451="",0,$C451*$D451)</f>
        <v>0</v>
      </c>
      <c r="L451" s="20" t="n">
        <f aca="false">IF($D451="",0,$F451*$K451)</f>
        <v>0</v>
      </c>
      <c r="M451" s="20" t="n">
        <f aca="false">IF($D451="",0,$G451*$K451)</f>
        <v>0</v>
      </c>
      <c r="N451" s="20" t="n">
        <f aca="false">IF($D451="",0,$H451*$K451)</f>
        <v>0</v>
      </c>
      <c r="O451" s="20" t="n">
        <f aca="false">IF($D451="",0,$I451*$K451*(1-$F451))</f>
        <v>0</v>
      </c>
      <c r="P451" s="20" t="n">
        <f aca="false">IF($D451="",0,$E451*$D451+$L451+$M451+$N451+$O451+$J451*$D451)</f>
        <v>0</v>
      </c>
      <c r="Q451" s="20" t="n">
        <f aca="false">IF($D451="",0,$K451-$P451)</f>
        <v>0</v>
      </c>
      <c r="R451" s="21" t="n">
        <f aca="false">IF($K451=0,0,$Q451/$K451)</f>
        <v>0</v>
      </c>
      <c r="S451" s="20" t="n">
        <f aca="false">IF($D451="",0,$K451-$L451-$M451-$N451)</f>
        <v>0</v>
      </c>
      <c r="T451" s="22"/>
      <c r="U451" s="20" t="n">
        <f aca="false">IF($T451="",0,MAX(0,$S451-$T451))</f>
        <v>0</v>
      </c>
      <c r="V451" s="21" t="n">
        <f aca="false">IF($S451=0,0,$U451/$S451)</f>
        <v>0</v>
      </c>
      <c r="W451" s="23" t="str">
        <f aca="false">IF($D451="","",IF($T451="","BEKLİYOR",IF(OR($U451=0,$S451=0),"DOĞRU",IF(AND($V451&gt;PazaryeriEksikHakedisEsik,$U451&gt;PazaryeriEksikHakedisTutarEsik),"EKSİK HAKEDİŞ","DOĞRU"))))</f>
        <v/>
      </c>
      <c r="X451" s="23" t="str">
        <f aca="false">IF($B451="","",CONCATENATE("Ürün: ",$B451," | Kâr: ",TEXT($Q451,"₺ #,##0")," | Durum: ",$W451))</f>
        <v/>
      </c>
      <c r="Y451" s="24"/>
    </row>
    <row r="452" customFormat="false" ht="15" hidden="false" customHeight="false" outlineLevel="0" collapsed="false">
      <c r="A452" s="24"/>
      <c r="B452" s="24"/>
      <c r="C452" s="22"/>
      <c r="D452" s="25"/>
      <c r="E452" s="22"/>
      <c r="F452" s="26"/>
      <c r="G452" s="26"/>
      <c r="H452" s="26"/>
      <c r="I452" s="26"/>
      <c r="J452" s="22"/>
      <c r="K452" s="20" t="n">
        <f aca="false">IF($D452="",0,$C452*$D452)</f>
        <v>0</v>
      </c>
      <c r="L452" s="20" t="n">
        <f aca="false">IF($D452="",0,$F452*$K452)</f>
        <v>0</v>
      </c>
      <c r="M452" s="20" t="n">
        <f aca="false">IF($D452="",0,$G452*$K452)</f>
        <v>0</v>
      </c>
      <c r="N452" s="20" t="n">
        <f aca="false">IF($D452="",0,$H452*$K452)</f>
        <v>0</v>
      </c>
      <c r="O452" s="20" t="n">
        <f aca="false">IF($D452="",0,$I452*$K452*(1-$F452))</f>
        <v>0</v>
      </c>
      <c r="P452" s="20" t="n">
        <f aca="false">IF($D452="",0,$E452*$D452+$L452+$M452+$N452+$O452+$J452*$D452)</f>
        <v>0</v>
      </c>
      <c r="Q452" s="20" t="n">
        <f aca="false">IF($D452="",0,$K452-$P452)</f>
        <v>0</v>
      </c>
      <c r="R452" s="21" t="n">
        <f aca="false">IF($K452=0,0,$Q452/$K452)</f>
        <v>0</v>
      </c>
      <c r="S452" s="20" t="n">
        <f aca="false">IF($D452="",0,$K452-$L452-$M452-$N452)</f>
        <v>0</v>
      </c>
      <c r="T452" s="22"/>
      <c r="U452" s="20" t="n">
        <f aca="false">IF($T452="",0,MAX(0,$S452-$T452))</f>
        <v>0</v>
      </c>
      <c r="V452" s="21" t="n">
        <f aca="false">IF($S452=0,0,$U452/$S452)</f>
        <v>0</v>
      </c>
      <c r="W452" s="23" t="str">
        <f aca="false">IF($D452="","",IF($T452="","BEKLİYOR",IF(OR($U452=0,$S452=0),"DOĞRU",IF(AND($V452&gt;PazaryeriEksikHakedisEsik,$U452&gt;PazaryeriEksikHakedisTutarEsik),"EKSİK HAKEDİŞ","DOĞRU"))))</f>
        <v/>
      </c>
      <c r="X452" s="23" t="str">
        <f aca="false">IF($B452="","",CONCATENATE("Ürün: ",$B452," | Kâr: ",TEXT($Q452,"₺ #,##0")," | Durum: ",$W452))</f>
        <v/>
      </c>
      <c r="Y452" s="24"/>
    </row>
    <row r="453" customFormat="false" ht="15" hidden="false" customHeight="false" outlineLevel="0" collapsed="false">
      <c r="A453" s="24"/>
      <c r="B453" s="24"/>
      <c r="C453" s="22"/>
      <c r="D453" s="25"/>
      <c r="E453" s="22"/>
      <c r="F453" s="26"/>
      <c r="G453" s="26"/>
      <c r="H453" s="26"/>
      <c r="I453" s="26"/>
      <c r="J453" s="22"/>
      <c r="K453" s="20" t="n">
        <f aca="false">IF($D453="",0,$C453*$D453)</f>
        <v>0</v>
      </c>
      <c r="L453" s="20" t="n">
        <f aca="false">IF($D453="",0,$F453*$K453)</f>
        <v>0</v>
      </c>
      <c r="M453" s="20" t="n">
        <f aca="false">IF($D453="",0,$G453*$K453)</f>
        <v>0</v>
      </c>
      <c r="N453" s="20" t="n">
        <f aca="false">IF($D453="",0,$H453*$K453)</f>
        <v>0</v>
      </c>
      <c r="O453" s="20" t="n">
        <f aca="false">IF($D453="",0,$I453*$K453*(1-$F453))</f>
        <v>0</v>
      </c>
      <c r="P453" s="20" t="n">
        <f aca="false">IF($D453="",0,$E453*$D453+$L453+$M453+$N453+$O453+$J453*$D453)</f>
        <v>0</v>
      </c>
      <c r="Q453" s="20" t="n">
        <f aca="false">IF($D453="",0,$K453-$P453)</f>
        <v>0</v>
      </c>
      <c r="R453" s="21" t="n">
        <f aca="false">IF($K453=0,0,$Q453/$K453)</f>
        <v>0</v>
      </c>
      <c r="S453" s="20" t="n">
        <f aca="false">IF($D453="",0,$K453-$L453-$M453-$N453)</f>
        <v>0</v>
      </c>
      <c r="T453" s="22"/>
      <c r="U453" s="20" t="n">
        <f aca="false">IF($T453="",0,MAX(0,$S453-$T453))</f>
        <v>0</v>
      </c>
      <c r="V453" s="21" t="n">
        <f aca="false">IF($S453=0,0,$U453/$S453)</f>
        <v>0</v>
      </c>
      <c r="W453" s="23" t="str">
        <f aca="false">IF($D453="","",IF($T453="","BEKLİYOR",IF(OR($U453=0,$S453=0),"DOĞRU",IF(AND($V453&gt;PazaryeriEksikHakedisEsik,$U453&gt;PazaryeriEksikHakedisTutarEsik),"EKSİK HAKEDİŞ","DOĞRU"))))</f>
        <v/>
      </c>
      <c r="X453" s="23" t="str">
        <f aca="false">IF($B453="","",CONCATENATE("Ürün: ",$B453," | Kâr: ",TEXT($Q453,"₺ #,##0")," | Durum: ",$W453))</f>
        <v/>
      </c>
      <c r="Y453" s="24"/>
    </row>
    <row r="454" customFormat="false" ht="15" hidden="false" customHeight="false" outlineLevel="0" collapsed="false">
      <c r="A454" s="24"/>
      <c r="B454" s="24"/>
      <c r="C454" s="22"/>
      <c r="D454" s="25"/>
      <c r="E454" s="22"/>
      <c r="F454" s="26"/>
      <c r="G454" s="26"/>
      <c r="H454" s="26"/>
      <c r="I454" s="26"/>
      <c r="J454" s="22"/>
      <c r="K454" s="20" t="n">
        <f aca="false">IF($D454="",0,$C454*$D454)</f>
        <v>0</v>
      </c>
      <c r="L454" s="20" t="n">
        <f aca="false">IF($D454="",0,$F454*$K454)</f>
        <v>0</v>
      </c>
      <c r="M454" s="20" t="n">
        <f aca="false">IF($D454="",0,$G454*$K454)</f>
        <v>0</v>
      </c>
      <c r="N454" s="20" t="n">
        <f aca="false">IF($D454="",0,$H454*$K454)</f>
        <v>0</v>
      </c>
      <c r="O454" s="20" t="n">
        <f aca="false">IF($D454="",0,$I454*$K454*(1-$F454))</f>
        <v>0</v>
      </c>
      <c r="P454" s="20" t="n">
        <f aca="false">IF($D454="",0,$E454*$D454+$L454+$M454+$N454+$O454+$J454*$D454)</f>
        <v>0</v>
      </c>
      <c r="Q454" s="20" t="n">
        <f aca="false">IF($D454="",0,$K454-$P454)</f>
        <v>0</v>
      </c>
      <c r="R454" s="21" t="n">
        <f aca="false">IF($K454=0,0,$Q454/$K454)</f>
        <v>0</v>
      </c>
      <c r="S454" s="20" t="n">
        <f aca="false">IF($D454="",0,$K454-$L454-$M454-$N454)</f>
        <v>0</v>
      </c>
      <c r="T454" s="22"/>
      <c r="U454" s="20" t="n">
        <f aca="false">IF($T454="",0,MAX(0,$S454-$T454))</f>
        <v>0</v>
      </c>
      <c r="V454" s="21" t="n">
        <f aca="false">IF($S454=0,0,$U454/$S454)</f>
        <v>0</v>
      </c>
      <c r="W454" s="23" t="str">
        <f aca="false">IF($D454="","",IF($T454="","BEKLİYOR",IF(OR($U454=0,$S454=0),"DOĞRU",IF(AND($V454&gt;PazaryeriEksikHakedisEsik,$U454&gt;PazaryeriEksikHakedisTutarEsik),"EKSİK HAKEDİŞ","DOĞRU"))))</f>
        <v/>
      </c>
      <c r="X454" s="23" t="str">
        <f aca="false">IF($B454="","",CONCATENATE("Ürün: ",$B454," | Kâr: ",TEXT($Q454,"₺ #,##0")," | Durum: ",$W454))</f>
        <v/>
      </c>
      <c r="Y454" s="24"/>
    </row>
    <row r="455" customFormat="false" ht="15" hidden="false" customHeight="false" outlineLevel="0" collapsed="false">
      <c r="A455" s="24"/>
      <c r="B455" s="24"/>
      <c r="C455" s="22"/>
      <c r="D455" s="25"/>
      <c r="E455" s="22"/>
      <c r="F455" s="26"/>
      <c r="G455" s="26"/>
      <c r="H455" s="26"/>
      <c r="I455" s="26"/>
      <c r="J455" s="22"/>
      <c r="K455" s="20" t="n">
        <f aca="false">IF($D455="",0,$C455*$D455)</f>
        <v>0</v>
      </c>
      <c r="L455" s="20" t="n">
        <f aca="false">IF($D455="",0,$F455*$K455)</f>
        <v>0</v>
      </c>
      <c r="M455" s="20" t="n">
        <f aca="false">IF($D455="",0,$G455*$K455)</f>
        <v>0</v>
      </c>
      <c r="N455" s="20" t="n">
        <f aca="false">IF($D455="",0,$H455*$K455)</f>
        <v>0</v>
      </c>
      <c r="O455" s="20" t="n">
        <f aca="false">IF($D455="",0,$I455*$K455*(1-$F455))</f>
        <v>0</v>
      </c>
      <c r="P455" s="20" t="n">
        <f aca="false">IF($D455="",0,$E455*$D455+$L455+$M455+$N455+$O455+$J455*$D455)</f>
        <v>0</v>
      </c>
      <c r="Q455" s="20" t="n">
        <f aca="false">IF($D455="",0,$K455-$P455)</f>
        <v>0</v>
      </c>
      <c r="R455" s="21" t="n">
        <f aca="false">IF($K455=0,0,$Q455/$K455)</f>
        <v>0</v>
      </c>
      <c r="S455" s="20" t="n">
        <f aca="false">IF($D455="",0,$K455-$L455-$M455-$N455)</f>
        <v>0</v>
      </c>
      <c r="T455" s="22"/>
      <c r="U455" s="20" t="n">
        <f aca="false">IF($T455="",0,MAX(0,$S455-$T455))</f>
        <v>0</v>
      </c>
      <c r="V455" s="21" t="n">
        <f aca="false">IF($S455=0,0,$U455/$S455)</f>
        <v>0</v>
      </c>
      <c r="W455" s="23" t="str">
        <f aca="false">IF($D455="","",IF($T455="","BEKLİYOR",IF(OR($U455=0,$S455=0),"DOĞRU",IF(AND($V455&gt;PazaryeriEksikHakedisEsik,$U455&gt;PazaryeriEksikHakedisTutarEsik),"EKSİK HAKEDİŞ","DOĞRU"))))</f>
        <v/>
      </c>
      <c r="X455" s="23" t="str">
        <f aca="false">IF($B455="","",CONCATENATE("Ürün: ",$B455," | Kâr: ",TEXT($Q455,"₺ #,##0")," | Durum: ",$W455))</f>
        <v/>
      </c>
      <c r="Y455" s="24"/>
    </row>
    <row r="456" customFormat="false" ht="15" hidden="false" customHeight="false" outlineLevel="0" collapsed="false">
      <c r="A456" s="24"/>
      <c r="B456" s="24"/>
      <c r="C456" s="22"/>
      <c r="D456" s="25"/>
      <c r="E456" s="22"/>
      <c r="F456" s="26"/>
      <c r="G456" s="26"/>
      <c r="H456" s="26"/>
      <c r="I456" s="26"/>
      <c r="J456" s="22"/>
      <c r="K456" s="20" t="n">
        <f aca="false">IF($D456="",0,$C456*$D456)</f>
        <v>0</v>
      </c>
      <c r="L456" s="20" t="n">
        <f aca="false">IF($D456="",0,$F456*$K456)</f>
        <v>0</v>
      </c>
      <c r="M456" s="20" t="n">
        <f aca="false">IF($D456="",0,$G456*$K456)</f>
        <v>0</v>
      </c>
      <c r="N456" s="20" t="n">
        <f aca="false">IF($D456="",0,$H456*$K456)</f>
        <v>0</v>
      </c>
      <c r="O456" s="20" t="n">
        <f aca="false">IF($D456="",0,$I456*$K456*(1-$F456))</f>
        <v>0</v>
      </c>
      <c r="P456" s="20" t="n">
        <f aca="false">IF($D456="",0,$E456*$D456+$L456+$M456+$N456+$O456+$J456*$D456)</f>
        <v>0</v>
      </c>
      <c r="Q456" s="20" t="n">
        <f aca="false">IF($D456="",0,$K456-$P456)</f>
        <v>0</v>
      </c>
      <c r="R456" s="21" t="n">
        <f aca="false">IF($K456=0,0,$Q456/$K456)</f>
        <v>0</v>
      </c>
      <c r="S456" s="20" t="n">
        <f aca="false">IF($D456="",0,$K456-$L456-$M456-$N456)</f>
        <v>0</v>
      </c>
      <c r="T456" s="22"/>
      <c r="U456" s="20" t="n">
        <f aca="false">IF($T456="",0,MAX(0,$S456-$T456))</f>
        <v>0</v>
      </c>
      <c r="V456" s="21" t="n">
        <f aca="false">IF($S456=0,0,$U456/$S456)</f>
        <v>0</v>
      </c>
      <c r="W456" s="23" t="str">
        <f aca="false">IF($D456="","",IF($T456="","BEKLİYOR",IF(OR($U456=0,$S456=0),"DOĞRU",IF(AND($V456&gt;PazaryeriEksikHakedisEsik,$U456&gt;PazaryeriEksikHakedisTutarEsik),"EKSİK HAKEDİŞ","DOĞRU"))))</f>
        <v/>
      </c>
      <c r="X456" s="23" t="str">
        <f aca="false">IF($B456="","",CONCATENATE("Ürün: ",$B456," | Kâr: ",TEXT($Q456,"₺ #,##0")," | Durum: ",$W456))</f>
        <v/>
      </c>
      <c r="Y456" s="24"/>
    </row>
    <row r="457" customFormat="false" ht="15" hidden="false" customHeight="false" outlineLevel="0" collapsed="false">
      <c r="A457" s="24"/>
      <c r="B457" s="24"/>
      <c r="C457" s="22"/>
      <c r="D457" s="25"/>
      <c r="E457" s="22"/>
      <c r="F457" s="26"/>
      <c r="G457" s="26"/>
      <c r="H457" s="26"/>
      <c r="I457" s="26"/>
      <c r="J457" s="22"/>
      <c r="K457" s="20" t="n">
        <f aca="false">IF($D457="",0,$C457*$D457)</f>
        <v>0</v>
      </c>
      <c r="L457" s="20" t="n">
        <f aca="false">IF($D457="",0,$F457*$K457)</f>
        <v>0</v>
      </c>
      <c r="M457" s="20" t="n">
        <f aca="false">IF($D457="",0,$G457*$K457)</f>
        <v>0</v>
      </c>
      <c r="N457" s="20" t="n">
        <f aca="false">IF($D457="",0,$H457*$K457)</f>
        <v>0</v>
      </c>
      <c r="O457" s="20" t="n">
        <f aca="false">IF($D457="",0,$I457*$K457*(1-$F457))</f>
        <v>0</v>
      </c>
      <c r="P457" s="20" t="n">
        <f aca="false">IF($D457="",0,$E457*$D457+$L457+$M457+$N457+$O457+$J457*$D457)</f>
        <v>0</v>
      </c>
      <c r="Q457" s="20" t="n">
        <f aca="false">IF($D457="",0,$K457-$P457)</f>
        <v>0</v>
      </c>
      <c r="R457" s="21" t="n">
        <f aca="false">IF($K457=0,0,$Q457/$K457)</f>
        <v>0</v>
      </c>
      <c r="S457" s="20" t="n">
        <f aca="false">IF($D457="",0,$K457-$L457-$M457-$N457)</f>
        <v>0</v>
      </c>
      <c r="T457" s="22"/>
      <c r="U457" s="20" t="n">
        <f aca="false">IF($T457="",0,MAX(0,$S457-$T457))</f>
        <v>0</v>
      </c>
      <c r="V457" s="21" t="n">
        <f aca="false">IF($S457=0,0,$U457/$S457)</f>
        <v>0</v>
      </c>
      <c r="W457" s="23" t="str">
        <f aca="false">IF($D457="","",IF($T457="","BEKLİYOR",IF(OR($U457=0,$S457=0),"DOĞRU",IF(AND($V457&gt;PazaryeriEksikHakedisEsik,$U457&gt;PazaryeriEksikHakedisTutarEsik),"EKSİK HAKEDİŞ","DOĞRU"))))</f>
        <v/>
      </c>
      <c r="X457" s="23" t="str">
        <f aca="false">IF($B457="","",CONCATENATE("Ürün: ",$B457," | Kâr: ",TEXT($Q457,"₺ #,##0")," | Durum: ",$W457))</f>
        <v/>
      </c>
      <c r="Y457" s="24"/>
    </row>
    <row r="458" customFormat="false" ht="15" hidden="false" customHeight="false" outlineLevel="0" collapsed="false">
      <c r="A458" s="24"/>
      <c r="B458" s="24"/>
      <c r="C458" s="22"/>
      <c r="D458" s="25"/>
      <c r="E458" s="22"/>
      <c r="F458" s="26"/>
      <c r="G458" s="26"/>
      <c r="H458" s="26"/>
      <c r="I458" s="26"/>
      <c r="J458" s="22"/>
      <c r="K458" s="20" t="n">
        <f aca="false">IF($D458="",0,$C458*$D458)</f>
        <v>0</v>
      </c>
      <c r="L458" s="20" t="n">
        <f aca="false">IF($D458="",0,$F458*$K458)</f>
        <v>0</v>
      </c>
      <c r="M458" s="20" t="n">
        <f aca="false">IF($D458="",0,$G458*$K458)</f>
        <v>0</v>
      </c>
      <c r="N458" s="20" t="n">
        <f aca="false">IF($D458="",0,$H458*$K458)</f>
        <v>0</v>
      </c>
      <c r="O458" s="20" t="n">
        <f aca="false">IF($D458="",0,$I458*$K458*(1-$F458))</f>
        <v>0</v>
      </c>
      <c r="P458" s="20" t="n">
        <f aca="false">IF($D458="",0,$E458*$D458+$L458+$M458+$N458+$O458+$J458*$D458)</f>
        <v>0</v>
      </c>
      <c r="Q458" s="20" t="n">
        <f aca="false">IF($D458="",0,$K458-$P458)</f>
        <v>0</v>
      </c>
      <c r="R458" s="21" t="n">
        <f aca="false">IF($K458=0,0,$Q458/$K458)</f>
        <v>0</v>
      </c>
      <c r="S458" s="20" t="n">
        <f aca="false">IF($D458="",0,$K458-$L458-$M458-$N458)</f>
        <v>0</v>
      </c>
      <c r="T458" s="22"/>
      <c r="U458" s="20" t="n">
        <f aca="false">IF($T458="",0,MAX(0,$S458-$T458))</f>
        <v>0</v>
      </c>
      <c r="V458" s="21" t="n">
        <f aca="false">IF($S458=0,0,$U458/$S458)</f>
        <v>0</v>
      </c>
      <c r="W458" s="23" t="str">
        <f aca="false">IF($D458="","",IF($T458="","BEKLİYOR",IF(OR($U458=0,$S458=0),"DOĞRU",IF(AND($V458&gt;PazaryeriEksikHakedisEsik,$U458&gt;PazaryeriEksikHakedisTutarEsik),"EKSİK HAKEDİŞ","DOĞRU"))))</f>
        <v/>
      </c>
      <c r="X458" s="23" t="str">
        <f aca="false">IF($B458="","",CONCATENATE("Ürün: ",$B458," | Kâr: ",TEXT($Q458,"₺ #,##0")," | Durum: ",$W458))</f>
        <v/>
      </c>
      <c r="Y458" s="24"/>
    </row>
    <row r="459" customFormat="false" ht="15" hidden="false" customHeight="false" outlineLevel="0" collapsed="false">
      <c r="A459" s="24"/>
      <c r="B459" s="24"/>
      <c r="C459" s="22"/>
      <c r="D459" s="25"/>
      <c r="E459" s="22"/>
      <c r="F459" s="26"/>
      <c r="G459" s="26"/>
      <c r="H459" s="26"/>
      <c r="I459" s="26"/>
      <c r="J459" s="22"/>
      <c r="K459" s="20" t="n">
        <f aca="false">IF($D459="",0,$C459*$D459)</f>
        <v>0</v>
      </c>
      <c r="L459" s="20" t="n">
        <f aca="false">IF($D459="",0,$F459*$K459)</f>
        <v>0</v>
      </c>
      <c r="M459" s="20" t="n">
        <f aca="false">IF($D459="",0,$G459*$K459)</f>
        <v>0</v>
      </c>
      <c r="N459" s="20" t="n">
        <f aca="false">IF($D459="",0,$H459*$K459)</f>
        <v>0</v>
      </c>
      <c r="O459" s="20" t="n">
        <f aca="false">IF($D459="",0,$I459*$K459*(1-$F459))</f>
        <v>0</v>
      </c>
      <c r="P459" s="20" t="n">
        <f aca="false">IF($D459="",0,$E459*$D459+$L459+$M459+$N459+$O459+$J459*$D459)</f>
        <v>0</v>
      </c>
      <c r="Q459" s="20" t="n">
        <f aca="false">IF($D459="",0,$K459-$P459)</f>
        <v>0</v>
      </c>
      <c r="R459" s="21" t="n">
        <f aca="false">IF($K459=0,0,$Q459/$K459)</f>
        <v>0</v>
      </c>
      <c r="S459" s="20" t="n">
        <f aca="false">IF($D459="",0,$K459-$L459-$M459-$N459)</f>
        <v>0</v>
      </c>
      <c r="T459" s="22"/>
      <c r="U459" s="20" t="n">
        <f aca="false">IF($T459="",0,MAX(0,$S459-$T459))</f>
        <v>0</v>
      </c>
      <c r="V459" s="21" t="n">
        <f aca="false">IF($S459=0,0,$U459/$S459)</f>
        <v>0</v>
      </c>
      <c r="W459" s="23" t="str">
        <f aca="false">IF($D459="","",IF($T459="","BEKLİYOR",IF(OR($U459=0,$S459=0),"DOĞRU",IF(AND($V459&gt;PazaryeriEksikHakedisEsik,$U459&gt;PazaryeriEksikHakedisTutarEsik),"EKSİK HAKEDİŞ","DOĞRU"))))</f>
        <v/>
      </c>
      <c r="X459" s="23" t="str">
        <f aca="false">IF($B459="","",CONCATENATE("Ürün: ",$B459," | Kâr: ",TEXT($Q459,"₺ #,##0")," | Durum: ",$W459))</f>
        <v/>
      </c>
      <c r="Y459" s="24"/>
    </row>
    <row r="460" customFormat="false" ht="15" hidden="false" customHeight="false" outlineLevel="0" collapsed="false">
      <c r="A460" s="24"/>
      <c r="B460" s="24"/>
      <c r="C460" s="22"/>
      <c r="D460" s="25"/>
      <c r="E460" s="22"/>
      <c r="F460" s="26"/>
      <c r="G460" s="26"/>
      <c r="H460" s="26"/>
      <c r="I460" s="26"/>
      <c r="J460" s="22"/>
      <c r="K460" s="20" t="n">
        <f aca="false">IF($D460="",0,$C460*$D460)</f>
        <v>0</v>
      </c>
      <c r="L460" s="20" t="n">
        <f aca="false">IF($D460="",0,$F460*$K460)</f>
        <v>0</v>
      </c>
      <c r="M460" s="20" t="n">
        <f aca="false">IF($D460="",0,$G460*$K460)</f>
        <v>0</v>
      </c>
      <c r="N460" s="20" t="n">
        <f aca="false">IF($D460="",0,$H460*$K460)</f>
        <v>0</v>
      </c>
      <c r="O460" s="20" t="n">
        <f aca="false">IF($D460="",0,$I460*$K460*(1-$F460))</f>
        <v>0</v>
      </c>
      <c r="P460" s="20" t="n">
        <f aca="false">IF($D460="",0,$E460*$D460+$L460+$M460+$N460+$O460+$J460*$D460)</f>
        <v>0</v>
      </c>
      <c r="Q460" s="20" t="n">
        <f aca="false">IF($D460="",0,$K460-$P460)</f>
        <v>0</v>
      </c>
      <c r="R460" s="21" t="n">
        <f aca="false">IF($K460=0,0,$Q460/$K460)</f>
        <v>0</v>
      </c>
      <c r="S460" s="20" t="n">
        <f aca="false">IF($D460="",0,$K460-$L460-$M460-$N460)</f>
        <v>0</v>
      </c>
      <c r="T460" s="22"/>
      <c r="U460" s="20" t="n">
        <f aca="false">IF($T460="",0,MAX(0,$S460-$T460))</f>
        <v>0</v>
      </c>
      <c r="V460" s="21" t="n">
        <f aca="false">IF($S460=0,0,$U460/$S460)</f>
        <v>0</v>
      </c>
      <c r="W460" s="23" t="str">
        <f aca="false">IF($D460="","",IF($T460="","BEKLİYOR",IF(OR($U460=0,$S460=0),"DOĞRU",IF(AND($V460&gt;PazaryeriEksikHakedisEsik,$U460&gt;PazaryeriEksikHakedisTutarEsik),"EKSİK HAKEDİŞ","DOĞRU"))))</f>
        <v/>
      </c>
      <c r="X460" s="23" t="str">
        <f aca="false">IF($B460="","",CONCATENATE("Ürün: ",$B460," | Kâr: ",TEXT($Q460,"₺ #,##0")," | Durum: ",$W460))</f>
        <v/>
      </c>
      <c r="Y460" s="24"/>
    </row>
    <row r="461" customFormat="false" ht="15" hidden="false" customHeight="false" outlineLevel="0" collapsed="false">
      <c r="A461" s="24"/>
      <c r="B461" s="24"/>
      <c r="C461" s="22"/>
      <c r="D461" s="25"/>
      <c r="E461" s="22"/>
      <c r="F461" s="26"/>
      <c r="G461" s="26"/>
      <c r="H461" s="26"/>
      <c r="I461" s="26"/>
      <c r="J461" s="22"/>
      <c r="K461" s="20" t="n">
        <f aca="false">IF($D461="",0,$C461*$D461)</f>
        <v>0</v>
      </c>
      <c r="L461" s="20" t="n">
        <f aca="false">IF($D461="",0,$F461*$K461)</f>
        <v>0</v>
      </c>
      <c r="M461" s="20" t="n">
        <f aca="false">IF($D461="",0,$G461*$K461)</f>
        <v>0</v>
      </c>
      <c r="N461" s="20" t="n">
        <f aca="false">IF($D461="",0,$H461*$K461)</f>
        <v>0</v>
      </c>
      <c r="O461" s="20" t="n">
        <f aca="false">IF($D461="",0,$I461*$K461*(1-$F461))</f>
        <v>0</v>
      </c>
      <c r="P461" s="20" t="n">
        <f aca="false">IF($D461="",0,$E461*$D461+$L461+$M461+$N461+$O461+$J461*$D461)</f>
        <v>0</v>
      </c>
      <c r="Q461" s="20" t="n">
        <f aca="false">IF($D461="",0,$K461-$P461)</f>
        <v>0</v>
      </c>
      <c r="R461" s="21" t="n">
        <f aca="false">IF($K461=0,0,$Q461/$K461)</f>
        <v>0</v>
      </c>
      <c r="S461" s="20" t="n">
        <f aca="false">IF($D461="",0,$K461-$L461-$M461-$N461)</f>
        <v>0</v>
      </c>
      <c r="T461" s="22"/>
      <c r="U461" s="20" t="n">
        <f aca="false">IF($T461="",0,MAX(0,$S461-$T461))</f>
        <v>0</v>
      </c>
      <c r="V461" s="21" t="n">
        <f aca="false">IF($S461=0,0,$U461/$S461)</f>
        <v>0</v>
      </c>
      <c r="W461" s="23" t="str">
        <f aca="false">IF($D461="","",IF($T461="","BEKLİYOR",IF(OR($U461=0,$S461=0),"DOĞRU",IF(AND($V461&gt;PazaryeriEksikHakedisEsik,$U461&gt;PazaryeriEksikHakedisTutarEsik),"EKSİK HAKEDİŞ","DOĞRU"))))</f>
        <v/>
      </c>
      <c r="X461" s="23" t="str">
        <f aca="false">IF($B461="","",CONCATENATE("Ürün: ",$B461," | Kâr: ",TEXT($Q461,"₺ #,##0")," | Durum: ",$W461))</f>
        <v/>
      </c>
      <c r="Y461" s="24"/>
    </row>
    <row r="462" customFormat="false" ht="15" hidden="false" customHeight="false" outlineLevel="0" collapsed="false">
      <c r="A462" s="24"/>
      <c r="B462" s="24"/>
      <c r="C462" s="22"/>
      <c r="D462" s="25"/>
      <c r="E462" s="22"/>
      <c r="F462" s="26"/>
      <c r="G462" s="26"/>
      <c r="H462" s="26"/>
      <c r="I462" s="26"/>
      <c r="J462" s="22"/>
      <c r="K462" s="20" t="n">
        <f aca="false">IF($D462="",0,$C462*$D462)</f>
        <v>0</v>
      </c>
      <c r="L462" s="20" t="n">
        <f aca="false">IF($D462="",0,$F462*$K462)</f>
        <v>0</v>
      </c>
      <c r="M462" s="20" t="n">
        <f aca="false">IF($D462="",0,$G462*$K462)</f>
        <v>0</v>
      </c>
      <c r="N462" s="20" t="n">
        <f aca="false">IF($D462="",0,$H462*$K462)</f>
        <v>0</v>
      </c>
      <c r="O462" s="20" t="n">
        <f aca="false">IF($D462="",0,$I462*$K462*(1-$F462))</f>
        <v>0</v>
      </c>
      <c r="P462" s="20" t="n">
        <f aca="false">IF($D462="",0,$E462*$D462+$L462+$M462+$N462+$O462+$J462*$D462)</f>
        <v>0</v>
      </c>
      <c r="Q462" s="20" t="n">
        <f aca="false">IF($D462="",0,$K462-$P462)</f>
        <v>0</v>
      </c>
      <c r="R462" s="21" t="n">
        <f aca="false">IF($K462=0,0,$Q462/$K462)</f>
        <v>0</v>
      </c>
      <c r="S462" s="20" t="n">
        <f aca="false">IF($D462="",0,$K462-$L462-$M462-$N462)</f>
        <v>0</v>
      </c>
      <c r="T462" s="22"/>
      <c r="U462" s="20" t="n">
        <f aca="false">IF($T462="",0,MAX(0,$S462-$T462))</f>
        <v>0</v>
      </c>
      <c r="V462" s="21" t="n">
        <f aca="false">IF($S462=0,0,$U462/$S462)</f>
        <v>0</v>
      </c>
      <c r="W462" s="23" t="str">
        <f aca="false">IF($D462="","",IF($T462="","BEKLİYOR",IF(OR($U462=0,$S462=0),"DOĞRU",IF(AND($V462&gt;PazaryeriEksikHakedisEsik,$U462&gt;PazaryeriEksikHakedisTutarEsik),"EKSİK HAKEDİŞ","DOĞRU"))))</f>
        <v/>
      </c>
      <c r="X462" s="23" t="str">
        <f aca="false">IF($B462="","",CONCATENATE("Ürün: ",$B462," | Kâr: ",TEXT($Q462,"₺ #,##0")," | Durum: ",$W462))</f>
        <v/>
      </c>
      <c r="Y462" s="24"/>
    </row>
    <row r="463" customFormat="false" ht="15" hidden="false" customHeight="false" outlineLevel="0" collapsed="false">
      <c r="A463" s="24"/>
      <c r="B463" s="24"/>
      <c r="C463" s="22"/>
      <c r="D463" s="25"/>
      <c r="E463" s="22"/>
      <c r="F463" s="26"/>
      <c r="G463" s="26"/>
      <c r="H463" s="26"/>
      <c r="I463" s="26"/>
      <c r="J463" s="22"/>
      <c r="K463" s="20" t="n">
        <f aca="false">IF($D463="",0,$C463*$D463)</f>
        <v>0</v>
      </c>
      <c r="L463" s="20" t="n">
        <f aca="false">IF($D463="",0,$F463*$K463)</f>
        <v>0</v>
      </c>
      <c r="M463" s="20" t="n">
        <f aca="false">IF($D463="",0,$G463*$K463)</f>
        <v>0</v>
      </c>
      <c r="N463" s="20" t="n">
        <f aca="false">IF($D463="",0,$H463*$K463)</f>
        <v>0</v>
      </c>
      <c r="O463" s="20" t="n">
        <f aca="false">IF($D463="",0,$I463*$K463*(1-$F463))</f>
        <v>0</v>
      </c>
      <c r="P463" s="20" t="n">
        <f aca="false">IF($D463="",0,$E463*$D463+$L463+$M463+$N463+$O463+$J463*$D463)</f>
        <v>0</v>
      </c>
      <c r="Q463" s="20" t="n">
        <f aca="false">IF($D463="",0,$K463-$P463)</f>
        <v>0</v>
      </c>
      <c r="R463" s="21" t="n">
        <f aca="false">IF($K463=0,0,$Q463/$K463)</f>
        <v>0</v>
      </c>
      <c r="S463" s="20" t="n">
        <f aca="false">IF($D463="",0,$K463-$L463-$M463-$N463)</f>
        <v>0</v>
      </c>
      <c r="T463" s="22"/>
      <c r="U463" s="20" t="n">
        <f aca="false">IF($T463="",0,MAX(0,$S463-$T463))</f>
        <v>0</v>
      </c>
      <c r="V463" s="21" t="n">
        <f aca="false">IF($S463=0,0,$U463/$S463)</f>
        <v>0</v>
      </c>
      <c r="W463" s="23" t="str">
        <f aca="false">IF($D463="","",IF($T463="","BEKLİYOR",IF(OR($U463=0,$S463=0),"DOĞRU",IF(AND($V463&gt;PazaryeriEksikHakedisEsik,$U463&gt;PazaryeriEksikHakedisTutarEsik),"EKSİK HAKEDİŞ","DOĞRU"))))</f>
        <v/>
      </c>
      <c r="X463" s="23" t="str">
        <f aca="false">IF($B463="","",CONCATENATE("Ürün: ",$B463," | Kâr: ",TEXT($Q463,"₺ #,##0")," | Durum: ",$W463))</f>
        <v/>
      </c>
      <c r="Y463" s="24"/>
    </row>
    <row r="464" customFormat="false" ht="15" hidden="false" customHeight="false" outlineLevel="0" collapsed="false">
      <c r="A464" s="24"/>
      <c r="B464" s="24"/>
      <c r="C464" s="22"/>
      <c r="D464" s="25"/>
      <c r="E464" s="22"/>
      <c r="F464" s="26"/>
      <c r="G464" s="26"/>
      <c r="H464" s="26"/>
      <c r="I464" s="26"/>
      <c r="J464" s="22"/>
      <c r="K464" s="20" t="n">
        <f aca="false">IF($D464="",0,$C464*$D464)</f>
        <v>0</v>
      </c>
      <c r="L464" s="20" t="n">
        <f aca="false">IF($D464="",0,$F464*$K464)</f>
        <v>0</v>
      </c>
      <c r="M464" s="20" t="n">
        <f aca="false">IF($D464="",0,$G464*$K464)</f>
        <v>0</v>
      </c>
      <c r="N464" s="20" t="n">
        <f aca="false">IF($D464="",0,$H464*$K464)</f>
        <v>0</v>
      </c>
      <c r="O464" s="20" t="n">
        <f aca="false">IF($D464="",0,$I464*$K464*(1-$F464))</f>
        <v>0</v>
      </c>
      <c r="P464" s="20" t="n">
        <f aca="false">IF($D464="",0,$E464*$D464+$L464+$M464+$N464+$O464+$J464*$D464)</f>
        <v>0</v>
      </c>
      <c r="Q464" s="20" t="n">
        <f aca="false">IF($D464="",0,$K464-$P464)</f>
        <v>0</v>
      </c>
      <c r="R464" s="21" t="n">
        <f aca="false">IF($K464=0,0,$Q464/$K464)</f>
        <v>0</v>
      </c>
      <c r="S464" s="20" t="n">
        <f aca="false">IF($D464="",0,$K464-$L464-$M464-$N464)</f>
        <v>0</v>
      </c>
      <c r="T464" s="22"/>
      <c r="U464" s="20" t="n">
        <f aca="false">IF($T464="",0,MAX(0,$S464-$T464))</f>
        <v>0</v>
      </c>
      <c r="V464" s="21" t="n">
        <f aca="false">IF($S464=0,0,$U464/$S464)</f>
        <v>0</v>
      </c>
      <c r="W464" s="23" t="str">
        <f aca="false">IF($D464="","",IF($T464="","BEKLİYOR",IF(OR($U464=0,$S464=0),"DOĞRU",IF(AND($V464&gt;PazaryeriEksikHakedisEsik,$U464&gt;PazaryeriEksikHakedisTutarEsik),"EKSİK HAKEDİŞ","DOĞRU"))))</f>
        <v/>
      </c>
      <c r="X464" s="23" t="str">
        <f aca="false">IF($B464="","",CONCATENATE("Ürün: ",$B464," | Kâr: ",TEXT($Q464,"₺ #,##0")," | Durum: ",$W464))</f>
        <v/>
      </c>
      <c r="Y464" s="24"/>
    </row>
    <row r="465" customFormat="false" ht="15" hidden="false" customHeight="false" outlineLevel="0" collapsed="false">
      <c r="A465" s="24"/>
      <c r="B465" s="24"/>
      <c r="C465" s="22"/>
      <c r="D465" s="25"/>
      <c r="E465" s="22"/>
      <c r="F465" s="26"/>
      <c r="G465" s="26"/>
      <c r="H465" s="26"/>
      <c r="I465" s="26"/>
      <c r="J465" s="22"/>
      <c r="K465" s="20" t="n">
        <f aca="false">IF($D465="",0,$C465*$D465)</f>
        <v>0</v>
      </c>
      <c r="L465" s="20" t="n">
        <f aca="false">IF($D465="",0,$F465*$K465)</f>
        <v>0</v>
      </c>
      <c r="M465" s="20" t="n">
        <f aca="false">IF($D465="",0,$G465*$K465)</f>
        <v>0</v>
      </c>
      <c r="N465" s="20" t="n">
        <f aca="false">IF($D465="",0,$H465*$K465)</f>
        <v>0</v>
      </c>
      <c r="O465" s="20" t="n">
        <f aca="false">IF($D465="",0,$I465*$K465*(1-$F465))</f>
        <v>0</v>
      </c>
      <c r="P465" s="20" t="n">
        <f aca="false">IF($D465="",0,$E465*$D465+$L465+$M465+$N465+$O465+$J465*$D465)</f>
        <v>0</v>
      </c>
      <c r="Q465" s="20" t="n">
        <f aca="false">IF($D465="",0,$K465-$P465)</f>
        <v>0</v>
      </c>
      <c r="R465" s="21" t="n">
        <f aca="false">IF($K465=0,0,$Q465/$K465)</f>
        <v>0</v>
      </c>
      <c r="S465" s="20" t="n">
        <f aca="false">IF($D465="",0,$K465-$L465-$M465-$N465)</f>
        <v>0</v>
      </c>
      <c r="T465" s="22"/>
      <c r="U465" s="20" t="n">
        <f aca="false">IF($T465="",0,MAX(0,$S465-$T465))</f>
        <v>0</v>
      </c>
      <c r="V465" s="21" t="n">
        <f aca="false">IF($S465=0,0,$U465/$S465)</f>
        <v>0</v>
      </c>
      <c r="W465" s="23" t="str">
        <f aca="false">IF($D465="","",IF($T465="","BEKLİYOR",IF(OR($U465=0,$S465=0),"DOĞRU",IF(AND($V465&gt;PazaryeriEksikHakedisEsik,$U465&gt;PazaryeriEksikHakedisTutarEsik),"EKSİK HAKEDİŞ","DOĞRU"))))</f>
        <v/>
      </c>
      <c r="X465" s="23" t="str">
        <f aca="false">IF($B465="","",CONCATENATE("Ürün: ",$B465," | Kâr: ",TEXT($Q465,"₺ #,##0")," | Durum: ",$W465))</f>
        <v/>
      </c>
      <c r="Y465" s="24"/>
    </row>
    <row r="466" customFormat="false" ht="15" hidden="false" customHeight="false" outlineLevel="0" collapsed="false">
      <c r="A466" s="24"/>
      <c r="B466" s="24"/>
      <c r="C466" s="22"/>
      <c r="D466" s="25"/>
      <c r="E466" s="22"/>
      <c r="F466" s="26"/>
      <c r="G466" s="26"/>
      <c r="H466" s="26"/>
      <c r="I466" s="26"/>
      <c r="J466" s="22"/>
      <c r="K466" s="20" t="n">
        <f aca="false">IF($D466="",0,$C466*$D466)</f>
        <v>0</v>
      </c>
      <c r="L466" s="20" t="n">
        <f aca="false">IF($D466="",0,$F466*$K466)</f>
        <v>0</v>
      </c>
      <c r="M466" s="20" t="n">
        <f aca="false">IF($D466="",0,$G466*$K466)</f>
        <v>0</v>
      </c>
      <c r="N466" s="20" t="n">
        <f aca="false">IF($D466="",0,$H466*$K466)</f>
        <v>0</v>
      </c>
      <c r="O466" s="20" t="n">
        <f aca="false">IF($D466="",0,$I466*$K466*(1-$F466))</f>
        <v>0</v>
      </c>
      <c r="P466" s="20" t="n">
        <f aca="false">IF($D466="",0,$E466*$D466+$L466+$M466+$N466+$O466+$J466*$D466)</f>
        <v>0</v>
      </c>
      <c r="Q466" s="20" t="n">
        <f aca="false">IF($D466="",0,$K466-$P466)</f>
        <v>0</v>
      </c>
      <c r="R466" s="21" t="n">
        <f aca="false">IF($K466=0,0,$Q466/$K466)</f>
        <v>0</v>
      </c>
      <c r="S466" s="20" t="n">
        <f aca="false">IF($D466="",0,$K466-$L466-$M466-$N466)</f>
        <v>0</v>
      </c>
      <c r="T466" s="22"/>
      <c r="U466" s="20" t="n">
        <f aca="false">IF($T466="",0,MAX(0,$S466-$T466))</f>
        <v>0</v>
      </c>
      <c r="V466" s="21" t="n">
        <f aca="false">IF($S466=0,0,$U466/$S466)</f>
        <v>0</v>
      </c>
      <c r="W466" s="23" t="str">
        <f aca="false">IF($D466="","",IF($T466="","BEKLİYOR",IF(OR($U466=0,$S466=0),"DOĞRU",IF(AND($V466&gt;PazaryeriEksikHakedisEsik,$U466&gt;PazaryeriEksikHakedisTutarEsik),"EKSİK HAKEDİŞ","DOĞRU"))))</f>
        <v/>
      </c>
      <c r="X466" s="23" t="str">
        <f aca="false">IF($B466="","",CONCATENATE("Ürün: ",$B466," | Kâr: ",TEXT($Q466,"₺ #,##0")," | Durum: ",$W466))</f>
        <v/>
      </c>
      <c r="Y466" s="24"/>
    </row>
    <row r="467" customFormat="false" ht="15" hidden="false" customHeight="false" outlineLevel="0" collapsed="false">
      <c r="A467" s="24"/>
      <c r="B467" s="24"/>
      <c r="C467" s="22"/>
      <c r="D467" s="25"/>
      <c r="E467" s="22"/>
      <c r="F467" s="26"/>
      <c r="G467" s="26"/>
      <c r="H467" s="26"/>
      <c r="I467" s="26"/>
      <c r="J467" s="22"/>
      <c r="K467" s="20" t="n">
        <f aca="false">IF($D467="",0,$C467*$D467)</f>
        <v>0</v>
      </c>
      <c r="L467" s="20" t="n">
        <f aca="false">IF($D467="",0,$F467*$K467)</f>
        <v>0</v>
      </c>
      <c r="M467" s="20" t="n">
        <f aca="false">IF($D467="",0,$G467*$K467)</f>
        <v>0</v>
      </c>
      <c r="N467" s="20" t="n">
        <f aca="false">IF($D467="",0,$H467*$K467)</f>
        <v>0</v>
      </c>
      <c r="O467" s="20" t="n">
        <f aca="false">IF($D467="",0,$I467*$K467*(1-$F467))</f>
        <v>0</v>
      </c>
      <c r="P467" s="20" t="n">
        <f aca="false">IF($D467="",0,$E467*$D467+$L467+$M467+$N467+$O467+$J467*$D467)</f>
        <v>0</v>
      </c>
      <c r="Q467" s="20" t="n">
        <f aca="false">IF($D467="",0,$K467-$P467)</f>
        <v>0</v>
      </c>
      <c r="R467" s="21" t="n">
        <f aca="false">IF($K467=0,0,$Q467/$K467)</f>
        <v>0</v>
      </c>
      <c r="S467" s="20" t="n">
        <f aca="false">IF($D467="",0,$K467-$L467-$M467-$N467)</f>
        <v>0</v>
      </c>
      <c r="T467" s="22"/>
      <c r="U467" s="20" t="n">
        <f aca="false">IF($T467="",0,MAX(0,$S467-$T467))</f>
        <v>0</v>
      </c>
      <c r="V467" s="21" t="n">
        <f aca="false">IF($S467=0,0,$U467/$S467)</f>
        <v>0</v>
      </c>
      <c r="W467" s="23" t="str">
        <f aca="false">IF($D467="","",IF($T467="","BEKLİYOR",IF(OR($U467=0,$S467=0),"DOĞRU",IF(AND($V467&gt;PazaryeriEksikHakedisEsik,$U467&gt;PazaryeriEksikHakedisTutarEsik),"EKSİK HAKEDİŞ","DOĞRU"))))</f>
        <v/>
      </c>
      <c r="X467" s="23" t="str">
        <f aca="false">IF($B467="","",CONCATENATE("Ürün: ",$B467," | Kâr: ",TEXT($Q467,"₺ #,##0")," | Durum: ",$W467))</f>
        <v/>
      </c>
      <c r="Y467" s="24"/>
    </row>
    <row r="468" customFormat="false" ht="15" hidden="false" customHeight="false" outlineLevel="0" collapsed="false">
      <c r="A468" s="24"/>
      <c r="B468" s="24"/>
      <c r="C468" s="22"/>
      <c r="D468" s="25"/>
      <c r="E468" s="22"/>
      <c r="F468" s="26"/>
      <c r="G468" s="26"/>
      <c r="H468" s="26"/>
      <c r="I468" s="26"/>
      <c r="J468" s="22"/>
      <c r="K468" s="20" t="n">
        <f aca="false">IF($D468="",0,$C468*$D468)</f>
        <v>0</v>
      </c>
      <c r="L468" s="20" t="n">
        <f aca="false">IF($D468="",0,$F468*$K468)</f>
        <v>0</v>
      </c>
      <c r="M468" s="20" t="n">
        <f aca="false">IF($D468="",0,$G468*$K468)</f>
        <v>0</v>
      </c>
      <c r="N468" s="20" t="n">
        <f aca="false">IF($D468="",0,$H468*$K468)</f>
        <v>0</v>
      </c>
      <c r="O468" s="20" t="n">
        <f aca="false">IF($D468="",0,$I468*$K468*(1-$F468))</f>
        <v>0</v>
      </c>
      <c r="P468" s="20" t="n">
        <f aca="false">IF($D468="",0,$E468*$D468+$L468+$M468+$N468+$O468+$J468*$D468)</f>
        <v>0</v>
      </c>
      <c r="Q468" s="20" t="n">
        <f aca="false">IF($D468="",0,$K468-$P468)</f>
        <v>0</v>
      </c>
      <c r="R468" s="21" t="n">
        <f aca="false">IF($K468=0,0,$Q468/$K468)</f>
        <v>0</v>
      </c>
      <c r="S468" s="20" t="n">
        <f aca="false">IF($D468="",0,$K468-$L468-$M468-$N468)</f>
        <v>0</v>
      </c>
      <c r="T468" s="22"/>
      <c r="U468" s="20" t="n">
        <f aca="false">IF($T468="",0,MAX(0,$S468-$T468))</f>
        <v>0</v>
      </c>
      <c r="V468" s="21" t="n">
        <f aca="false">IF($S468=0,0,$U468/$S468)</f>
        <v>0</v>
      </c>
      <c r="W468" s="23" t="str">
        <f aca="false">IF($D468="","",IF($T468="","BEKLİYOR",IF(OR($U468=0,$S468=0),"DOĞRU",IF(AND($V468&gt;PazaryeriEksikHakedisEsik,$U468&gt;PazaryeriEksikHakedisTutarEsik),"EKSİK HAKEDİŞ","DOĞRU"))))</f>
        <v/>
      </c>
      <c r="X468" s="23" t="str">
        <f aca="false">IF($B468="","",CONCATENATE("Ürün: ",$B468," | Kâr: ",TEXT($Q468,"₺ #,##0")," | Durum: ",$W468))</f>
        <v/>
      </c>
      <c r="Y468" s="24"/>
    </row>
    <row r="469" customFormat="false" ht="15" hidden="false" customHeight="false" outlineLevel="0" collapsed="false">
      <c r="A469" s="24"/>
      <c r="B469" s="24"/>
      <c r="C469" s="22"/>
      <c r="D469" s="25"/>
      <c r="E469" s="22"/>
      <c r="F469" s="26"/>
      <c r="G469" s="26"/>
      <c r="H469" s="26"/>
      <c r="I469" s="26"/>
      <c r="J469" s="22"/>
      <c r="K469" s="20" t="n">
        <f aca="false">IF($D469="",0,$C469*$D469)</f>
        <v>0</v>
      </c>
      <c r="L469" s="20" t="n">
        <f aca="false">IF($D469="",0,$F469*$K469)</f>
        <v>0</v>
      </c>
      <c r="M469" s="20" t="n">
        <f aca="false">IF($D469="",0,$G469*$K469)</f>
        <v>0</v>
      </c>
      <c r="N469" s="20" t="n">
        <f aca="false">IF($D469="",0,$H469*$K469)</f>
        <v>0</v>
      </c>
      <c r="O469" s="20" t="n">
        <f aca="false">IF($D469="",0,$I469*$K469*(1-$F469))</f>
        <v>0</v>
      </c>
      <c r="P469" s="20" t="n">
        <f aca="false">IF($D469="",0,$E469*$D469+$L469+$M469+$N469+$O469+$J469*$D469)</f>
        <v>0</v>
      </c>
      <c r="Q469" s="20" t="n">
        <f aca="false">IF($D469="",0,$K469-$P469)</f>
        <v>0</v>
      </c>
      <c r="R469" s="21" t="n">
        <f aca="false">IF($K469=0,0,$Q469/$K469)</f>
        <v>0</v>
      </c>
      <c r="S469" s="20" t="n">
        <f aca="false">IF($D469="",0,$K469-$L469-$M469-$N469)</f>
        <v>0</v>
      </c>
      <c r="T469" s="22"/>
      <c r="U469" s="20" t="n">
        <f aca="false">IF($T469="",0,MAX(0,$S469-$T469))</f>
        <v>0</v>
      </c>
      <c r="V469" s="21" t="n">
        <f aca="false">IF($S469=0,0,$U469/$S469)</f>
        <v>0</v>
      </c>
      <c r="W469" s="23" t="str">
        <f aca="false">IF($D469="","",IF($T469="","BEKLİYOR",IF(OR($U469=0,$S469=0),"DOĞRU",IF(AND($V469&gt;PazaryeriEksikHakedisEsik,$U469&gt;PazaryeriEksikHakedisTutarEsik),"EKSİK HAKEDİŞ","DOĞRU"))))</f>
        <v/>
      </c>
      <c r="X469" s="23" t="str">
        <f aca="false">IF($B469="","",CONCATENATE("Ürün: ",$B469," | Kâr: ",TEXT($Q469,"₺ #,##0")," | Durum: ",$W469))</f>
        <v/>
      </c>
      <c r="Y469" s="24"/>
    </row>
    <row r="470" customFormat="false" ht="15" hidden="false" customHeight="false" outlineLevel="0" collapsed="false">
      <c r="A470" s="24"/>
      <c r="B470" s="24"/>
      <c r="C470" s="22"/>
      <c r="D470" s="25"/>
      <c r="E470" s="22"/>
      <c r="F470" s="26"/>
      <c r="G470" s="26"/>
      <c r="H470" s="26"/>
      <c r="I470" s="26"/>
      <c r="J470" s="22"/>
      <c r="K470" s="20" t="n">
        <f aca="false">IF($D470="",0,$C470*$D470)</f>
        <v>0</v>
      </c>
      <c r="L470" s="20" t="n">
        <f aca="false">IF($D470="",0,$F470*$K470)</f>
        <v>0</v>
      </c>
      <c r="M470" s="20" t="n">
        <f aca="false">IF($D470="",0,$G470*$K470)</f>
        <v>0</v>
      </c>
      <c r="N470" s="20" t="n">
        <f aca="false">IF($D470="",0,$H470*$K470)</f>
        <v>0</v>
      </c>
      <c r="O470" s="20" t="n">
        <f aca="false">IF($D470="",0,$I470*$K470*(1-$F470))</f>
        <v>0</v>
      </c>
      <c r="P470" s="20" t="n">
        <f aca="false">IF($D470="",0,$E470*$D470+$L470+$M470+$N470+$O470+$J470*$D470)</f>
        <v>0</v>
      </c>
      <c r="Q470" s="20" t="n">
        <f aca="false">IF($D470="",0,$K470-$P470)</f>
        <v>0</v>
      </c>
      <c r="R470" s="21" t="n">
        <f aca="false">IF($K470=0,0,$Q470/$K470)</f>
        <v>0</v>
      </c>
      <c r="S470" s="20" t="n">
        <f aca="false">IF($D470="",0,$K470-$L470-$M470-$N470)</f>
        <v>0</v>
      </c>
      <c r="T470" s="22"/>
      <c r="U470" s="20" t="n">
        <f aca="false">IF($T470="",0,MAX(0,$S470-$T470))</f>
        <v>0</v>
      </c>
      <c r="V470" s="21" t="n">
        <f aca="false">IF($S470=0,0,$U470/$S470)</f>
        <v>0</v>
      </c>
      <c r="W470" s="23" t="str">
        <f aca="false">IF($D470="","",IF($T470="","BEKLİYOR",IF(OR($U470=0,$S470=0),"DOĞRU",IF(AND($V470&gt;PazaryeriEksikHakedisEsik,$U470&gt;PazaryeriEksikHakedisTutarEsik),"EKSİK HAKEDİŞ","DOĞRU"))))</f>
        <v/>
      </c>
      <c r="X470" s="23" t="str">
        <f aca="false">IF($B470="","",CONCATENATE("Ürün: ",$B470," | Kâr: ",TEXT($Q470,"₺ #,##0")," | Durum: ",$W470))</f>
        <v/>
      </c>
      <c r="Y470" s="24"/>
    </row>
    <row r="471" customFormat="false" ht="15" hidden="false" customHeight="false" outlineLevel="0" collapsed="false">
      <c r="A471" s="24"/>
      <c r="B471" s="24"/>
      <c r="C471" s="22"/>
      <c r="D471" s="25"/>
      <c r="E471" s="22"/>
      <c r="F471" s="26"/>
      <c r="G471" s="26"/>
      <c r="H471" s="26"/>
      <c r="I471" s="26"/>
      <c r="J471" s="22"/>
      <c r="K471" s="20" t="n">
        <f aca="false">IF($D471="",0,$C471*$D471)</f>
        <v>0</v>
      </c>
      <c r="L471" s="20" t="n">
        <f aca="false">IF($D471="",0,$F471*$K471)</f>
        <v>0</v>
      </c>
      <c r="M471" s="20" t="n">
        <f aca="false">IF($D471="",0,$G471*$K471)</f>
        <v>0</v>
      </c>
      <c r="N471" s="20" t="n">
        <f aca="false">IF($D471="",0,$H471*$K471)</f>
        <v>0</v>
      </c>
      <c r="O471" s="20" t="n">
        <f aca="false">IF($D471="",0,$I471*$K471*(1-$F471))</f>
        <v>0</v>
      </c>
      <c r="P471" s="20" t="n">
        <f aca="false">IF($D471="",0,$E471*$D471+$L471+$M471+$N471+$O471+$J471*$D471)</f>
        <v>0</v>
      </c>
      <c r="Q471" s="20" t="n">
        <f aca="false">IF($D471="",0,$K471-$P471)</f>
        <v>0</v>
      </c>
      <c r="R471" s="21" t="n">
        <f aca="false">IF($K471=0,0,$Q471/$K471)</f>
        <v>0</v>
      </c>
      <c r="S471" s="20" t="n">
        <f aca="false">IF($D471="",0,$K471-$L471-$M471-$N471)</f>
        <v>0</v>
      </c>
      <c r="T471" s="22"/>
      <c r="U471" s="20" t="n">
        <f aca="false">IF($T471="",0,MAX(0,$S471-$T471))</f>
        <v>0</v>
      </c>
      <c r="V471" s="21" t="n">
        <f aca="false">IF($S471=0,0,$U471/$S471)</f>
        <v>0</v>
      </c>
      <c r="W471" s="23" t="str">
        <f aca="false">IF($D471="","",IF($T471="","BEKLİYOR",IF(OR($U471=0,$S471=0),"DOĞRU",IF(AND($V471&gt;PazaryeriEksikHakedisEsik,$U471&gt;PazaryeriEksikHakedisTutarEsik),"EKSİK HAKEDİŞ","DOĞRU"))))</f>
        <v/>
      </c>
      <c r="X471" s="23" t="str">
        <f aca="false">IF($B471="","",CONCATENATE("Ürün: ",$B471," | Kâr: ",TEXT($Q471,"₺ #,##0")," | Durum: ",$W471))</f>
        <v/>
      </c>
      <c r="Y471" s="24"/>
    </row>
    <row r="472" customFormat="false" ht="15" hidden="false" customHeight="false" outlineLevel="0" collapsed="false">
      <c r="A472" s="24"/>
      <c r="B472" s="24"/>
      <c r="C472" s="22"/>
      <c r="D472" s="25"/>
      <c r="E472" s="22"/>
      <c r="F472" s="26"/>
      <c r="G472" s="26"/>
      <c r="H472" s="26"/>
      <c r="I472" s="26"/>
      <c r="J472" s="22"/>
      <c r="K472" s="20" t="n">
        <f aca="false">IF($D472="",0,$C472*$D472)</f>
        <v>0</v>
      </c>
      <c r="L472" s="20" t="n">
        <f aca="false">IF($D472="",0,$F472*$K472)</f>
        <v>0</v>
      </c>
      <c r="M472" s="20" t="n">
        <f aca="false">IF($D472="",0,$G472*$K472)</f>
        <v>0</v>
      </c>
      <c r="N472" s="20" t="n">
        <f aca="false">IF($D472="",0,$H472*$K472)</f>
        <v>0</v>
      </c>
      <c r="O472" s="20" t="n">
        <f aca="false">IF($D472="",0,$I472*$K472*(1-$F472))</f>
        <v>0</v>
      </c>
      <c r="P472" s="20" t="n">
        <f aca="false">IF($D472="",0,$E472*$D472+$L472+$M472+$N472+$O472+$J472*$D472)</f>
        <v>0</v>
      </c>
      <c r="Q472" s="20" t="n">
        <f aca="false">IF($D472="",0,$K472-$P472)</f>
        <v>0</v>
      </c>
      <c r="R472" s="21" t="n">
        <f aca="false">IF($K472=0,0,$Q472/$K472)</f>
        <v>0</v>
      </c>
      <c r="S472" s="20" t="n">
        <f aca="false">IF($D472="",0,$K472-$L472-$M472-$N472)</f>
        <v>0</v>
      </c>
      <c r="T472" s="22"/>
      <c r="U472" s="20" t="n">
        <f aca="false">IF($T472="",0,MAX(0,$S472-$T472))</f>
        <v>0</v>
      </c>
      <c r="V472" s="21" t="n">
        <f aca="false">IF($S472=0,0,$U472/$S472)</f>
        <v>0</v>
      </c>
      <c r="W472" s="23" t="str">
        <f aca="false">IF($D472="","",IF($T472="","BEKLİYOR",IF(OR($U472=0,$S472=0),"DOĞRU",IF(AND($V472&gt;PazaryeriEksikHakedisEsik,$U472&gt;PazaryeriEksikHakedisTutarEsik),"EKSİK HAKEDİŞ","DOĞRU"))))</f>
        <v/>
      </c>
      <c r="X472" s="23" t="str">
        <f aca="false">IF($B472="","",CONCATENATE("Ürün: ",$B472," | Kâr: ",TEXT($Q472,"₺ #,##0")," | Durum: ",$W472))</f>
        <v/>
      </c>
      <c r="Y472" s="24"/>
    </row>
    <row r="473" customFormat="false" ht="15" hidden="false" customHeight="false" outlineLevel="0" collapsed="false">
      <c r="A473" s="24"/>
      <c r="B473" s="24"/>
      <c r="C473" s="22"/>
      <c r="D473" s="25"/>
      <c r="E473" s="22"/>
      <c r="F473" s="26"/>
      <c r="G473" s="26"/>
      <c r="H473" s="26"/>
      <c r="I473" s="26"/>
      <c r="J473" s="22"/>
      <c r="K473" s="20" t="n">
        <f aca="false">IF($D473="",0,$C473*$D473)</f>
        <v>0</v>
      </c>
      <c r="L473" s="20" t="n">
        <f aca="false">IF($D473="",0,$F473*$K473)</f>
        <v>0</v>
      </c>
      <c r="M473" s="20" t="n">
        <f aca="false">IF($D473="",0,$G473*$K473)</f>
        <v>0</v>
      </c>
      <c r="N473" s="20" t="n">
        <f aca="false">IF($D473="",0,$H473*$K473)</f>
        <v>0</v>
      </c>
      <c r="O473" s="20" t="n">
        <f aca="false">IF($D473="",0,$I473*$K473*(1-$F473))</f>
        <v>0</v>
      </c>
      <c r="P473" s="20" t="n">
        <f aca="false">IF($D473="",0,$E473*$D473+$L473+$M473+$N473+$O473+$J473*$D473)</f>
        <v>0</v>
      </c>
      <c r="Q473" s="20" t="n">
        <f aca="false">IF($D473="",0,$K473-$P473)</f>
        <v>0</v>
      </c>
      <c r="R473" s="21" t="n">
        <f aca="false">IF($K473=0,0,$Q473/$K473)</f>
        <v>0</v>
      </c>
      <c r="S473" s="20" t="n">
        <f aca="false">IF($D473="",0,$K473-$L473-$M473-$N473)</f>
        <v>0</v>
      </c>
      <c r="T473" s="22"/>
      <c r="U473" s="20" t="n">
        <f aca="false">IF($T473="",0,MAX(0,$S473-$T473))</f>
        <v>0</v>
      </c>
      <c r="V473" s="21" t="n">
        <f aca="false">IF($S473=0,0,$U473/$S473)</f>
        <v>0</v>
      </c>
      <c r="W473" s="23" t="str">
        <f aca="false">IF($D473="","",IF($T473="","BEKLİYOR",IF(OR($U473=0,$S473=0),"DOĞRU",IF(AND($V473&gt;PazaryeriEksikHakedisEsik,$U473&gt;PazaryeriEksikHakedisTutarEsik),"EKSİK HAKEDİŞ","DOĞRU"))))</f>
        <v/>
      </c>
      <c r="X473" s="23" t="str">
        <f aca="false">IF($B473="","",CONCATENATE("Ürün: ",$B473," | Kâr: ",TEXT($Q473,"₺ #,##0")," | Durum: ",$W473))</f>
        <v/>
      </c>
      <c r="Y473" s="24"/>
    </row>
    <row r="474" customFormat="false" ht="15" hidden="false" customHeight="false" outlineLevel="0" collapsed="false">
      <c r="A474" s="24"/>
      <c r="B474" s="24"/>
      <c r="C474" s="22"/>
      <c r="D474" s="25"/>
      <c r="E474" s="22"/>
      <c r="F474" s="26"/>
      <c r="G474" s="26"/>
      <c r="H474" s="26"/>
      <c r="I474" s="26"/>
      <c r="J474" s="22"/>
      <c r="K474" s="20" t="n">
        <f aca="false">IF($D474="",0,$C474*$D474)</f>
        <v>0</v>
      </c>
      <c r="L474" s="20" t="n">
        <f aca="false">IF($D474="",0,$F474*$K474)</f>
        <v>0</v>
      </c>
      <c r="M474" s="20" t="n">
        <f aca="false">IF($D474="",0,$G474*$K474)</f>
        <v>0</v>
      </c>
      <c r="N474" s="20" t="n">
        <f aca="false">IF($D474="",0,$H474*$K474)</f>
        <v>0</v>
      </c>
      <c r="O474" s="20" t="n">
        <f aca="false">IF($D474="",0,$I474*$K474*(1-$F474))</f>
        <v>0</v>
      </c>
      <c r="P474" s="20" t="n">
        <f aca="false">IF($D474="",0,$E474*$D474+$L474+$M474+$N474+$O474+$J474*$D474)</f>
        <v>0</v>
      </c>
      <c r="Q474" s="20" t="n">
        <f aca="false">IF($D474="",0,$K474-$P474)</f>
        <v>0</v>
      </c>
      <c r="R474" s="21" t="n">
        <f aca="false">IF($K474=0,0,$Q474/$K474)</f>
        <v>0</v>
      </c>
      <c r="S474" s="20" t="n">
        <f aca="false">IF($D474="",0,$K474-$L474-$M474-$N474)</f>
        <v>0</v>
      </c>
      <c r="T474" s="22"/>
      <c r="U474" s="20" t="n">
        <f aca="false">IF($T474="",0,MAX(0,$S474-$T474))</f>
        <v>0</v>
      </c>
      <c r="V474" s="21" t="n">
        <f aca="false">IF($S474=0,0,$U474/$S474)</f>
        <v>0</v>
      </c>
      <c r="W474" s="23" t="str">
        <f aca="false">IF($D474="","",IF($T474="","BEKLİYOR",IF(OR($U474=0,$S474=0),"DOĞRU",IF(AND($V474&gt;PazaryeriEksikHakedisEsik,$U474&gt;PazaryeriEksikHakedisTutarEsik),"EKSİK HAKEDİŞ","DOĞRU"))))</f>
        <v/>
      </c>
      <c r="X474" s="23" t="str">
        <f aca="false">IF($B474="","",CONCATENATE("Ürün: ",$B474," | Kâr: ",TEXT($Q474,"₺ #,##0")," | Durum: ",$W474))</f>
        <v/>
      </c>
      <c r="Y474" s="24"/>
    </row>
    <row r="475" customFormat="false" ht="15" hidden="false" customHeight="false" outlineLevel="0" collapsed="false">
      <c r="A475" s="24"/>
      <c r="B475" s="24"/>
      <c r="C475" s="22"/>
      <c r="D475" s="25"/>
      <c r="E475" s="22"/>
      <c r="F475" s="26"/>
      <c r="G475" s="26"/>
      <c r="H475" s="26"/>
      <c r="I475" s="26"/>
      <c r="J475" s="22"/>
      <c r="K475" s="20" t="n">
        <f aca="false">IF($D475="",0,$C475*$D475)</f>
        <v>0</v>
      </c>
      <c r="L475" s="20" t="n">
        <f aca="false">IF($D475="",0,$F475*$K475)</f>
        <v>0</v>
      </c>
      <c r="M475" s="20" t="n">
        <f aca="false">IF($D475="",0,$G475*$K475)</f>
        <v>0</v>
      </c>
      <c r="N475" s="20" t="n">
        <f aca="false">IF($D475="",0,$H475*$K475)</f>
        <v>0</v>
      </c>
      <c r="O475" s="20" t="n">
        <f aca="false">IF($D475="",0,$I475*$K475*(1-$F475))</f>
        <v>0</v>
      </c>
      <c r="P475" s="20" t="n">
        <f aca="false">IF($D475="",0,$E475*$D475+$L475+$M475+$N475+$O475+$J475*$D475)</f>
        <v>0</v>
      </c>
      <c r="Q475" s="20" t="n">
        <f aca="false">IF($D475="",0,$K475-$P475)</f>
        <v>0</v>
      </c>
      <c r="R475" s="21" t="n">
        <f aca="false">IF($K475=0,0,$Q475/$K475)</f>
        <v>0</v>
      </c>
      <c r="S475" s="20" t="n">
        <f aca="false">IF($D475="",0,$K475-$L475-$M475-$N475)</f>
        <v>0</v>
      </c>
      <c r="T475" s="22"/>
      <c r="U475" s="20" t="n">
        <f aca="false">IF($T475="",0,MAX(0,$S475-$T475))</f>
        <v>0</v>
      </c>
      <c r="V475" s="21" t="n">
        <f aca="false">IF($S475=0,0,$U475/$S475)</f>
        <v>0</v>
      </c>
      <c r="W475" s="23" t="str">
        <f aca="false">IF($D475="","",IF($T475="","BEKLİYOR",IF(OR($U475=0,$S475=0),"DOĞRU",IF(AND($V475&gt;PazaryeriEksikHakedisEsik,$U475&gt;PazaryeriEksikHakedisTutarEsik),"EKSİK HAKEDİŞ","DOĞRU"))))</f>
        <v/>
      </c>
      <c r="X475" s="23" t="str">
        <f aca="false">IF($B475="","",CONCATENATE("Ürün: ",$B475," | Kâr: ",TEXT($Q475,"₺ #,##0")," | Durum: ",$W475))</f>
        <v/>
      </c>
      <c r="Y475" s="24"/>
    </row>
    <row r="476" customFormat="false" ht="15" hidden="false" customHeight="false" outlineLevel="0" collapsed="false">
      <c r="A476" s="24"/>
      <c r="B476" s="24"/>
      <c r="C476" s="22"/>
      <c r="D476" s="25"/>
      <c r="E476" s="22"/>
      <c r="F476" s="26"/>
      <c r="G476" s="26"/>
      <c r="H476" s="26"/>
      <c r="I476" s="26"/>
      <c r="J476" s="22"/>
      <c r="K476" s="20" t="n">
        <f aca="false">IF($D476="",0,$C476*$D476)</f>
        <v>0</v>
      </c>
      <c r="L476" s="20" t="n">
        <f aca="false">IF($D476="",0,$F476*$K476)</f>
        <v>0</v>
      </c>
      <c r="M476" s="20" t="n">
        <f aca="false">IF($D476="",0,$G476*$K476)</f>
        <v>0</v>
      </c>
      <c r="N476" s="20" t="n">
        <f aca="false">IF($D476="",0,$H476*$K476)</f>
        <v>0</v>
      </c>
      <c r="O476" s="20" t="n">
        <f aca="false">IF($D476="",0,$I476*$K476*(1-$F476))</f>
        <v>0</v>
      </c>
      <c r="P476" s="20" t="n">
        <f aca="false">IF($D476="",0,$E476*$D476+$L476+$M476+$N476+$O476+$J476*$D476)</f>
        <v>0</v>
      </c>
      <c r="Q476" s="20" t="n">
        <f aca="false">IF($D476="",0,$K476-$P476)</f>
        <v>0</v>
      </c>
      <c r="R476" s="21" t="n">
        <f aca="false">IF($K476=0,0,$Q476/$K476)</f>
        <v>0</v>
      </c>
      <c r="S476" s="20" t="n">
        <f aca="false">IF($D476="",0,$K476-$L476-$M476-$N476)</f>
        <v>0</v>
      </c>
      <c r="T476" s="22"/>
      <c r="U476" s="20" t="n">
        <f aca="false">IF($T476="",0,MAX(0,$S476-$T476))</f>
        <v>0</v>
      </c>
      <c r="V476" s="21" t="n">
        <f aca="false">IF($S476=0,0,$U476/$S476)</f>
        <v>0</v>
      </c>
      <c r="W476" s="23" t="str">
        <f aca="false">IF($D476="","",IF($T476="","BEKLİYOR",IF(OR($U476=0,$S476=0),"DOĞRU",IF(AND($V476&gt;PazaryeriEksikHakedisEsik,$U476&gt;PazaryeriEksikHakedisTutarEsik),"EKSİK HAKEDİŞ","DOĞRU"))))</f>
        <v/>
      </c>
      <c r="X476" s="23" t="str">
        <f aca="false">IF($B476="","",CONCATENATE("Ürün: ",$B476," | Kâr: ",TEXT($Q476,"₺ #,##0")," | Durum: ",$W476))</f>
        <v/>
      </c>
      <c r="Y476" s="24"/>
    </row>
    <row r="477" customFormat="false" ht="15" hidden="false" customHeight="false" outlineLevel="0" collapsed="false">
      <c r="A477" s="24"/>
      <c r="B477" s="24"/>
      <c r="C477" s="22"/>
      <c r="D477" s="25"/>
      <c r="E477" s="22"/>
      <c r="F477" s="26"/>
      <c r="G477" s="26"/>
      <c r="H477" s="26"/>
      <c r="I477" s="26"/>
      <c r="J477" s="22"/>
      <c r="K477" s="20" t="n">
        <f aca="false">IF($D477="",0,$C477*$D477)</f>
        <v>0</v>
      </c>
      <c r="L477" s="20" t="n">
        <f aca="false">IF($D477="",0,$F477*$K477)</f>
        <v>0</v>
      </c>
      <c r="M477" s="20" t="n">
        <f aca="false">IF($D477="",0,$G477*$K477)</f>
        <v>0</v>
      </c>
      <c r="N477" s="20" t="n">
        <f aca="false">IF($D477="",0,$H477*$K477)</f>
        <v>0</v>
      </c>
      <c r="O477" s="20" t="n">
        <f aca="false">IF($D477="",0,$I477*$K477*(1-$F477))</f>
        <v>0</v>
      </c>
      <c r="P477" s="20" t="n">
        <f aca="false">IF($D477="",0,$E477*$D477+$L477+$M477+$N477+$O477+$J477*$D477)</f>
        <v>0</v>
      </c>
      <c r="Q477" s="20" t="n">
        <f aca="false">IF($D477="",0,$K477-$P477)</f>
        <v>0</v>
      </c>
      <c r="R477" s="21" t="n">
        <f aca="false">IF($K477=0,0,$Q477/$K477)</f>
        <v>0</v>
      </c>
      <c r="S477" s="20" t="n">
        <f aca="false">IF($D477="",0,$K477-$L477-$M477-$N477)</f>
        <v>0</v>
      </c>
      <c r="T477" s="22"/>
      <c r="U477" s="20" t="n">
        <f aca="false">IF($T477="",0,MAX(0,$S477-$T477))</f>
        <v>0</v>
      </c>
      <c r="V477" s="21" t="n">
        <f aca="false">IF($S477=0,0,$U477/$S477)</f>
        <v>0</v>
      </c>
      <c r="W477" s="23" t="str">
        <f aca="false">IF($D477="","",IF($T477="","BEKLİYOR",IF(OR($U477=0,$S477=0),"DOĞRU",IF(AND($V477&gt;PazaryeriEksikHakedisEsik,$U477&gt;PazaryeriEksikHakedisTutarEsik),"EKSİK HAKEDİŞ","DOĞRU"))))</f>
        <v/>
      </c>
      <c r="X477" s="23" t="str">
        <f aca="false">IF($B477="","",CONCATENATE("Ürün: ",$B477," | Kâr: ",TEXT($Q477,"₺ #,##0")," | Durum: ",$W477))</f>
        <v/>
      </c>
      <c r="Y477" s="24"/>
    </row>
    <row r="478" customFormat="false" ht="15" hidden="false" customHeight="false" outlineLevel="0" collapsed="false">
      <c r="A478" s="24"/>
      <c r="B478" s="24"/>
      <c r="C478" s="22"/>
      <c r="D478" s="25"/>
      <c r="E478" s="22"/>
      <c r="F478" s="26"/>
      <c r="G478" s="26"/>
      <c r="H478" s="26"/>
      <c r="I478" s="26"/>
      <c r="J478" s="22"/>
      <c r="K478" s="20" t="n">
        <f aca="false">IF($D478="",0,$C478*$D478)</f>
        <v>0</v>
      </c>
      <c r="L478" s="20" t="n">
        <f aca="false">IF($D478="",0,$F478*$K478)</f>
        <v>0</v>
      </c>
      <c r="M478" s="20" t="n">
        <f aca="false">IF($D478="",0,$G478*$K478)</f>
        <v>0</v>
      </c>
      <c r="N478" s="20" t="n">
        <f aca="false">IF($D478="",0,$H478*$K478)</f>
        <v>0</v>
      </c>
      <c r="O478" s="20" t="n">
        <f aca="false">IF($D478="",0,$I478*$K478*(1-$F478))</f>
        <v>0</v>
      </c>
      <c r="P478" s="20" t="n">
        <f aca="false">IF($D478="",0,$E478*$D478+$L478+$M478+$N478+$O478+$J478*$D478)</f>
        <v>0</v>
      </c>
      <c r="Q478" s="20" t="n">
        <f aca="false">IF($D478="",0,$K478-$P478)</f>
        <v>0</v>
      </c>
      <c r="R478" s="21" t="n">
        <f aca="false">IF($K478=0,0,$Q478/$K478)</f>
        <v>0</v>
      </c>
      <c r="S478" s="20" t="n">
        <f aca="false">IF($D478="",0,$K478-$L478-$M478-$N478)</f>
        <v>0</v>
      </c>
      <c r="T478" s="22"/>
      <c r="U478" s="20" t="n">
        <f aca="false">IF($T478="",0,MAX(0,$S478-$T478))</f>
        <v>0</v>
      </c>
      <c r="V478" s="21" t="n">
        <f aca="false">IF($S478=0,0,$U478/$S478)</f>
        <v>0</v>
      </c>
      <c r="W478" s="23" t="str">
        <f aca="false">IF($D478="","",IF($T478="","BEKLİYOR",IF(OR($U478=0,$S478=0),"DOĞRU",IF(AND($V478&gt;PazaryeriEksikHakedisEsik,$U478&gt;PazaryeriEksikHakedisTutarEsik),"EKSİK HAKEDİŞ","DOĞRU"))))</f>
        <v/>
      </c>
      <c r="X478" s="23" t="str">
        <f aca="false">IF($B478="","",CONCATENATE("Ürün: ",$B478," | Kâr: ",TEXT($Q478,"₺ #,##0")," | Durum: ",$W478))</f>
        <v/>
      </c>
      <c r="Y478" s="24"/>
    </row>
    <row r="479" customFormat="false" ht="15" hidden="false" customHeight="false" outlineLevel="0" collapsed="false">
      <c r="A479" s="24"/>
      <c r="B479" s="24"/>
      <c r="C479" s="22"/>
      <c r="D479" s="25"/>
      <c r="E479" s="22"/>
      <c r="F479" s="26"/>
      <c r="G479" s="26"/>
      <c r="H479" s="26"/>
      <c r="I479" s="26"/>
      <c r="J479" s="22"/>
      <c r="K479" s="20" t="n">
        <f aca="false">IF($D479="",0,$C479*$D479)</f>
        <v>0</v>
      </c>
      <c r="L479" s="20" t="n">
        <f aca="false">IF($D479="",0,$F479*$K479)</f>
        <v>0</v>
      </c>
      <c r="M479" s="20" t="n">
        <f aca="false">IF($D479="",0,$G479*$K479)</f>
        <v>0</v>
      </c>
      <c r="N479" s="20" t="n">
        <f aca="false">IF($D479="",0,$H479*$K479)</f>
        <v>0</v>
      </c>
      <c r="O479" s="20" t="n">
        <f aca="false">IF($D479="",0,$I479*$K479*(1-$F479))</f>
        <v>0</v>
      </c>
      <c r="P479" s="20" t="n">
        <f aca="false">IF($D479="",0,$E479*$D479+$L479+$M479+$N479+$O479+$J479*$D479)</f>
        <v>0</v>
      </c>
      <c r="Q479" s="20" t="n">
        <f aca="false">IF($D479="",0,$K479-$P479)</f>
        <v>0</v>
      </c>
      <c r="R479" s="21" t="n">
        <f aca="false">IF($K479=0,0,$Q479/$K479)</f>
        <v>0</v>
      </c>
      <c r="S479" s="20" t="n">
        <f aca="false">IF($D479="",0,$K479-$L479-$M479-$N479)</f>
        <v>0</v>
      </c>
      <c r="T479" s="22"/>
      <c r="U479" s="20" t="n">
        <f aca="false">IF($T479="",0,MAX(0,$S479-$T479))</f>
        <v>0</v>
      </c>
      <c r="V479" s="21" t="n">
        <f aca="false">IF($S479=0,0,$U479/$S479)</f>
        <v>0</v>
      </c>
      <c r="W479" s="23" t="str">
        <f aca="false">IF($D479="","",IF($T479="","BEKLİYOR",IF(OR($U479=0,$S479=0),"DOĞRU",IF(AND($V479&gt;PazaryeriEksikHakedisEsik,$U479&gt;PazaryeriEksikHakedisTutarEsik),"EKSİK HAKEDİŞ","DOĞRU"))))</f>
        <v/>
      </c>
      <c r="X479" s="23" t="str">
        <f aca="false">IF($B479="","",CONCATENATE("Ürün: ",$B479," | Kâr: ",TEXT($Q479,"₺ #,##0")," | Durum: ",$W479))</f>
        <v/>
      </c>
      <c r="Y479" s="24"/>
    </row>
    <row r="480" customFormat="false" ht="15" hidden="false" customHeight="false" outlineLevel="0" collapsed="false">
      <c r="A480" s="24"/>
      <c r="B480" s="24"/>
      <c r="C480" s="22"/>
      <c r="D480" s="25"/>
      <c r="E480" s="22"/>
      <c r="F480" s="26"/>
      <c r="G480" s="26"/>
      <c r="H480" s="26"/>
      <c r="I480" s="26"/>
      <c r="J480" s="22"/>
      <c r="K480" s="20" t="n">
        <f aca="false">IF($D480="",0,$C480*$D480)</f>
        <v>0</v>
      </c>
      <c r="L480" s="20" t="n">
        <f aca="false">IF($D480="",0,$F480*$K480)</f>
        <v>0</v>
      </c>
      <c r="M480" s="20" t="n">
        <f aca="false">IF($D480="",0,$G480*$K480)</f>
        <v>0</v>
      </c>
      <c r="N480" s="20" t="n">
        <f aca="false">IF($D480="",0,$H480*$K480)</f>
        <v>0</v>
      </c>
      <c r="O480" s="20" t="n">
        <f aca="false">IF($D480="",0,$I480*$K480*(1-$F480))</f>
        <v>0</v>
      </c>
      <c r="P480" s="20" t="n">
        <f aca="false">IF($D480="",0,$E480*$D480+$L480+$M480+$N480+$O480+$J480*$D480)</f>
        <v>0</v>
      </c>
      <c r="Q480" s="20" t="n">
        <f aca="false">IF($D480="",0,$K480-$P480)</f>
        <v>0</v>
      </c>
      <c r="R480" s="21" t="n">
        <f aca="false">IF($K480=0,0,$Q480/$K480)</f>
        <v>0</v>
      </c>
      <c r="S480" s="20" t="n">
        <f aca="false">IF($D480="",0,$K480-$L480-$M480-$N480)</f>
        <v>0</v>
      </c>
      <c r="T480" s="22"/>
      <c r="U480" s="20" t="n">
        <f aca="false">IF($T480="",0,MAX(0,$S480-$T480))</f>
        <v>0</v>
      </c>
      <c r="V480" s="21" t="n">
        <f aca="false">IF($S480=0,0,$U480/$S480)</f>
        <v>0</v>
      </c>
      <c r="W480" s="23" t="str">
        <f aca="false">IF($D480="","",IF($T480="","BEKLİYOR",IF(OR($U480=0,$S480=0),"DOĞRU",IF(AND($V480&gt;PazaryeriEksikHakedisEsik,$U480&gt;PazaryeriEksikHakedisTutarEsik),"EKSİK HAKEDİŞ","DOĞRU"))))</f>
        <v/>
      </c>
      <c r="X480" s="23" t="str">
        <f aca="false">IF($B480="","",CONCATENATE("Ürün: ",$B480," | Kâr: ",TEXT($Q480,"₺ #,##0")," | Durum: ",$W480))</f>
        <v/>
      </c>
      <c r="Y480" s="24"/>
    </row>
    <row r="481" customFormat="false" ht="15" hidden="false" customHeight="false" outlineLevel="0" collapsed="false">
      <c r="A481" s="24"/>
      <c r="B481" s="24"/>
      <c r="C481" s="22"/>
      <c r="D481" s="25"/>
      <c r="E481" s="22"/>
      <c r="F481" s="26"/>
      <c r="G481" s="26"/>
      <c r="H481" s="26"/>
      <c r="I481" s="26"/>
      <c r="J481" s="22"/>
      <c r="K481" s="20" t="n">
        <f aca="false">IF($D481="",0,$C481*$D481)</f>
        <v>0</v>
      </c>
      <c r="L481" s="20" t="n">
        <f aca="false">IF($D481="",0,$F481*$K481)</f>
        <v>0</v>
      </c>
      <c r="M481" s="20" t="n">
        <f aca="false">IF($D481="",0,$G481*$K481)</f>
        <v>0</v>
      </c>
      <c r="N481" s="20" t="n">
        <f aca="false">IF($D481="",0,$H481*$K481)</f>
        <v>0</v>
      </c>
      <c r="O481" s="20" t="n">
        <f aca="false">IF($D481="",0,$I481*$K481*(1-$F481))</f>
        <v>0</v>
      </c>
      <c r="P481" s="20" t="n">
        <f aca="false">IF($D481="",0,$E481*$D481+$L481+$M481+$N481+$O481+$J481*$D481)</f>
        <v>0</v>
      </c>
      <c r="Q481" s="20" t="n">
        <f aca="false">IF($D481="",0,$K481-$P481)</f>
        <v>0</v>
      </c>
      <c r="R481" s="21" t="n">
        <f aca="false">IF($K481=0,0,$Q481/$K481)</f>
        <v>0</v>
      </c>
      <c r="S481" s="20" t="n">
        <f aca="false">IF($D481="",0,$K481-$L481-$M481-$N481)</f>
        <v>0</v>
      </c>
      <c r="T481" s="22"/>
      <c r="U481" s="20" t="n">
        <f aca="false">IF($T481="",0,MAX(0,$S481-$T481))</f>
        <v>0</v>
      </c>
      <c r="V481" s="21" t="n">
        <f aca="false">IF($S481=0,0,$U481/$S481)</f>
        <v>0</v>
      </c>
      <c r="W481" s="23" t="str">
        <f aca="false">IF($D481="","",IF($T481="","BEKLİYOR",IF(OR($U481=0,$S481=0),"DOĞRU",IF(AND($V481&gt;PazaryeriEksikHakedisEsik,$U481&gt;PazaryeriEksikHakedisTutarEsik),"EKSİK HAKEDİŞ","DOĞRU"))))</f>
        <v/>
      </c>
      <c r="X481" s="23" t="str">
        <f aca="false">IF($B481="","",CONCATENATE("Ürün: ",$B481," | Kâr: ",TEXT($Q481,"₺ #,##0")," | Durum: ",$W481))</f>
        <v/>
      </c>
      <c r="Y481" s="24"/>
    </row>
    <row r="482" customFormat="false" ht="15" hidden="false" customHeight="false" outlineLevel="0" collapsed="false">
      <c r="A482" s="24"/>
      <c r="B482" s="24"/>
      <c r="C482" s="22"/>
      <c r="D482" s="25"/>
      <c r="E482" s="22"/>
      <c r="F482" s="26"/>
      <c r="G482" s="26"/>
      <c r="H482" s="26"/>
      <c r="I482" s="26"/>
      <c r="J482" s="22"/>
      <c r="K482" s="20" t="n">
        <f aca="false">IF($D482="",0,$C482*$D482)</f>
        <v>0</v>
      </c>
      <c r="L482" s="20" t="n">
        <f aca="false">IF($D482="",0,$F482*$K482)</f>
        <v>0</v>
      </c>
      <c r="M482" s="20" t="n">
        <f aca="false">IF($D482="",0,$G482*$K482)</f>
        <v>0</v>
      </c>
      <c r="N482" s="20" t="n">
        <f aca="false">IF($D482="",0,$H482*$K482)</f>
        <v>0</v>
      </c>
      <c r="O482" s="20" t="n">
        <f aca="false">IF($D482="",0,$I482*$K482*(1-$F482))</f>
        <v>0</v>
      </c>
      <c r="P482" s="20" t="n">
        <f aca="false">IF($D482="",0,$E482*$D482+$L482+$M482+$N482+$O482+$J482*$D482)</f>
        <v>0</v>
      </c>
      <c r="Q482" s="20" t="n">
        <f aca="false">IF($D482="",0,$K482-$P482)</f>
        <v>0</v>
      </c>
      <c r="R482" s="21" t="n">
        <f aca="false">IF($K482=0,0,$Q482/$K482)</f>
        <v>0</v>
      </c>
      <c r="S482" s="20" t="n">
        <f aca="false">IF($D482="",0,$K482-$L482-$M482-$N482)</f>
        <v>0</v>
      </c>
      <c r="T482" s="22"/>
      <c r="U482" s="20" t="n">
        <f aca="false">IF($T482="",0,MAX(0,$S482-$T482))</f>
        <v>0</v>
      </c>
      <c r="V482" s="21" t="n">
        <f aca="false">IF($S482=0,0,$U482/$S482)</f>
        <v>0</v>
      </c>
      <c r="W482" s="23" t="str">
        <f aca="false">IF($D482="","",IF($T482="","BEKLİYOR",IF(OR($U482=0,$S482=0),"DOĞRU",IF(AND($V482&gt;PazaryeriEksikHakedisEsik,$U482&gt;PazaryeriEksikHakedisTutarEsik),"EKSİK HAKEDİŞ","DOĞRU"))))</f>
        <v/>
      </c>
      <c r="X482" s="23" t="str">
        <f aca="false">IF($B482="","",CONCATENATE("Ürün: ",$B482," | Kâr: ",TEXT($Q482,"₺ #,##0")," | Durum: ",$W482))</f>
        <v/>
      </c>
      <c r="Y482" s="24"/>
    </row>
    <row r="483" customFormat="false" ht="15" hidden="false" customHeight="false" outlineLevel="0" collapsed="false">
      <c r="A483" s="24"/>
      <c r="B483" s="24"/>
      <c r="C483" s="22"/>
      <c r="D483" s="25"/>
      <c r="E483" s="22"/>
      <c r="F483" s="26"/>
      <c r="G483" s="26"/>
      <c r="H483" s="26"/>
      <c r="I483" s="26"/>
      <c r="J483" s="22"/>
      <c r="K483" s="20" t="n">
        <f aca="false">IF($D483="",0,$C483*$D483)</f>
        <v>0</v>
      </c>
      <c r="L483" s="20" t="n">
        <f aca="false">IF($D483="",0,$F483*$K483)</f>
        <v>0</v>
      </c>
      <c r="M483" s="20" t="n">
        <f aca="false">IF($D483="",0,$G483*$K483)</f>
        <v>0</v>
      </c>
      <c r="N483" s="20" t="n">
        <f aca="false">IF($D483="",0,$H483*$K483)</f>
        <v>0</v>
      </c>
      <c r="O483" s="20" t="n">
        <f aca="false">IF($D483="",0,$I483*$K483*(1-$F483))</f>
        <v>0</v>
      </c>
      <c r="P483" s="20" t="n">
        <f aca="false">IF($D483="",0,$E483*$D483+$L483+$M483+$N483+$O483+$J483*$D483)</f>
        <v>0</v>
      </c>
      <c r="Q483" s="20" t="n">
        <f aca="false">IF($D483="",0,$K483-$P483)</f>
        <v>0</v>
      </c>
      <c r="R483" s="21" t="n">
        <f aca="false">IF($K483=0,0,$Q483/$K483)</f>
        <v>0</v>
      </c>
      <c r="S483" s="20" t="n">
        <f aca="false">IF($D483="",0,$K483-$L483-$M483-$N483)</f>
        <v>0</v>
      </c>
      <c r="T483" s="22"/>
      <c r="U483" s="20" t="n">
        <f aca="false">IF($T483="",0,MAX(0,$S483-$T483))</f>
        <v>0</v>
      </c>
      <c r="V483" s="21" t="n">
        <f aca="false">IF($S483=0,0,$U483/$S483)</f>
        <v>0</v>
      </c>
      <c r="W483" s="23" t="str">
        <f aca="false">IF($D483="","",IF($T483="","BEKLİYOR",IF(OR($U483=0,$S483=0),"DOĞRU",IF(AND($V483&gt;PazaryeriEksikHakedisEsik,$U483&gt;PazaryeriEksikHakedisTutarEsik),"EKSİK HAKEDİŞ","DOĞRU"))))</f>
        <v/>
      </c>
      <c r="X483" s="23" t="str">
        <f aca="false">IF($B483="","",CONCATENATE("Ürün: ",$B483," | Kâr: ",TEXT($Q483,"₺ #,##0")," | Durum: ",$W483))</f>
        <v/>
      </c>
      <c r="Y483" s="24"/>
    </row>
    <row r="484" customFormat="false" ht="15" hidden="false" customHeight="false" outlineLevel="0" collapsed="false">
      <c r="A484" s="24"/>
      <c r="B484" s="24"/>
      <c r="C484" s="22"/>
      <c r="D484" s="25"/>
      <c r="E484" s="22"/>
      <c r="F484" s="26"/>
      <c r="G484" s="26"/>
      <c r="H484" s="26"/>
      <c r="I484" s="26"/>
      <c r="J484" s="22"/>
      <c r="K484" s="20" t="n">
        <f aca="false">IF($D484="",0,$C484*$D484)</f>
        <v>0</v>
      </c>
      <c r="L484" s="20" t="n">
        <f aca="false">IF($D484="",0,$F484*$K484)</f>
        <v>0</v>
      </c>
      <c r="M484" s="20" t="n">
        <f aca="false">IF($D484="",0,$G484*$K484)</f>
        <v>0</v>
      </c>
      <c r="N484" s="20" t="n">
        <f aca="false">IF($D484="",0,$H484*$K484)</f>
        <v>0</v>
      </c>
      <c r="O484" s="20" t="n">
        <f aca="false">IF($D484="",0,$I484*$K484*(1-$F484))</f>
        <v>0</v>
      </c>
      <c r="P484" s="20" t="n">
        <f aca="false">IF($D484="",0,$E484*$D484+$L484+$M484+$N484+$O484+$J484*$D484)</f>
        <v>0</v>
      </c>
      <c r="Q484" s="20" t="n">
        <f aca="false">IF($D484="",0,$K484-$P484)</f>
        <v>0</v>
      </c>
      <c r="R484" s="21" t="n">
        <f aca="false">IF($K484=0,0,$Q484/$K484)</f>
        <v>0</v>
      </c>
      <c r="S484" s="20" t="n">
        <f aca="false">IF($D484="",0,$K484-$L484-$M484-$N484)</f>
        <v>0</v>
      </c>
      <c r="T484" s="22"/>
      <c r="U484" s="20" t="n">
        <f aca="false">IF($T484="",0,MAX(0,$S484-$T484))</f>
        <v>0</v>
      </c>
      <c r="V484" s="21" t="n">
        <f aca="false">IF($S484=0,0,$U484/$S484)</f>
        <v>0</v>
      </c>
      <c r="W484" s="23" t="str">
        <f aca="false">IF($D484="","",IF($T484="","BEKLİYOR",IF(OR($U484=0,$S484=0),"DOĞRU",IF(AND($V484&gt;PazaryeriEksikHakedisEsik,$U484&gt;PazaryeriEksikHakedisTutarEsik),"EKSİK HAKEDİŞ","DOĞRU"))))</f>
        <v/>
      </c>
      <c r="X484" s="23" t="str">
        <f aca="false">IF($B484="","",CONCATENATE("Ürün: ",$B484," | Kâr: ",TEXT($Q484,"₺ #,##0")," | Durum: ",$W484))</f>
        <v/>
      </c>
      <c r="Y484" s="24"/>
    </row>
    <row r="485" customFormat="false" ht="15" hidden="false" customHeight="false" outlineLevel="0" collapsed="false">
      <c r="A485" s="24"/>
      <c r="B485" s="24"/>
      <c r="C485" s="22"/>
      <c r="D485" s="25"/>
      <c r="E485" s="22"/>
      <c r="F485" s="26"/>
      <c r="G485" s="26"/>
      <c r="H485" s="26"/>
      <c r="I485" s="26"/>
      <c r="J485" s="22"/>
      <c r="K485" s="20" t="n">
        <f aca="false">IF($D485="",0,$C485*$D485)</f>
        <v>0</v>
      </c>
      <c r="L485" s="20" t="n">
        <f aca="false">IF($D485="",0,$F485*$K485)</f>
        <v>0</v>
      </c>
      <c r="M485" s="20" t="n">
        <f aca="false">IF($D485="",0,$G485*$K485)</f>
        <v>0</v>
      </c>
      <c r="N485" s="20" t="n">
        <f aca="false">IF($D485="",0,$H485*$K485)</f>
        <v>0</v>
      </c>
      <c r="O485" s="20" t="n">
        <f aca="false">IF($D485="",0,$I485*$K485*(1-$F485))</f>
        <v>0</v>
      </c>
      <c r="P485" s="20" t="n">
        <f aca="false">IF($D485="",0,$E485*$D485+$L485+$M485+$N485+$O485+$J485*$D485)</f>
        <v>0</v>
      </c>
      <c r="Q485" s="20" t="n">
        <f aca="false">IF($D485="",0,$K485-$P485)</f>
        <v>0</v>
      </c>
      <c r="R485" s="21" t="n">
        <f aca="false">IF($K485=0,0,$Q485/$K485)</f>
        <v>0</v>
      </c>
      <c r="S485" s="20" t="n">
        <f aca="false">IF($D485="",0,$K485-$L485-$M485-$N485)</f>
        <v>0</v>
      </c>
      <c r="T485" s="22"/>
      <c r="U485" s="20" t="n">
        <f aca="false">IF($T485="",0,MAX(0,$S485-$T485))</f>
        <v>0</v>
      </c>
      <c r="V485" s="21" t="n">
        <f aca="false">IF($S485=0,0,$U485/$S485)</f>
        <v>0</v>
      </c>
      <c r="W485" s="23" t="str">
        <f aca="false">IF($D485="","",IF($T485="","BEKLİYOR",IF(OR($U485=0,$S485=0),"DOĞRU",IF(AND($V485&gt;PazaryeriEksikHakedisEsik,$U485&gt;PazaryeriEksikHakedisTutarEsik),"EKSİK HAKEDİŞ","DOĞRU"))))</f>
        <v/>
      </c>
      <c r="X485" s="23" t="str">
        <f aca="false">IF($B485="","",CONCATENATE("Ürün: ",$B485," | Kâr: ",TEXT($Q485,"₺ #,##0")," | Durum: ",$W485))</f>
        <v/>
      </c>
      <c r="Y485" s="24"/>
    </row>
    <row r="486" customFormat="false" ht="15" hidden="false" customHeight="false" outlineLevel="0" collapsed="false">
      <c r="A486" s="24"/>
      <c r="B486" s="24"/>
      <c r="C486" s="22"/>
      <c r="D486" s="25"/>
      <c r="E486" s="22"/>
      <c r="F486" s="26"/>
      <c r="G486" s="26"/>
      <c r="H486" s="26"/>
      <c r="I486" s="26"/>
      <c r="J486" s="22"/>
      <c r="K486" s="20" t="n">
        <f aca="false">IF($D486="",0,$C486*$D486)</f>
        <v>0</v>
      </c>
      <c r="L486" s="20" t="n">
        <f aca="false">IF($D486="",0,$F486*$K486)</f>
        <v>0</v>
      </c>
      <c r="M486" s="20" t="n">
        <f aca="false">IF($D486="",0,$G486*$K486)</f>
        <v>0</v>
      </c>
      <c r="N486" s="20" t="n">
        <f aca="false">IF($D486="",0,$H486*$K486)</f>
        <v>0</v>
      </c>
      <c r="O486" s="20" t="n">
        <f aca="false">IF($D486="",0,$I486*$K486*(1-$F486))</f>
        <v>0</v>
      </c>
      <c r="P486" s="20" t="n">
        <f aca="false">IF($D486="",0,$E486*$D486+$L486+$M486+$N486+$O486+$J486*$D486)</f>
        <v>0</v>
      </c>
      <c r="Q486" s="20" t="n">
        <f aca="false">IF($D486="",0,$K486-$P486)</f>
        <v>0</v>
      </c>
      <c r="R486" s="21" t="n">
        <f aca="false">IF($K486=0,0,$Q486/$K486)</f>
        <v>0</v>
      </c>
      <c r="S486" s="20" t="n">
        <f aca="false">IF($D486="",0,$K486-$L486-$M486-$N486)</f>
        <v>0</v>
      </c>
      <c r="T486" s="22"/>
      <c r="U486" s="20" t="n">
        <f aca="false">IF($T486="",0,MAX(0,$S486-$T486))</f>
        <v>0</v>
      </c>
      <c r="V486" s="21" t="n">
        <f aca="false">IF($S486=0,0,$U486/$S486)</f>
        <v>0</v>
      </c>
      <c r="W486" s="23" t="str">
        <f aca="false">IF($D486="","",IF($T486="","BEKLİYOR",IF(OR($U486=0,$S486=0),"DOĞRU",IF(AND($V486&gt;PazaryeriEksikHakedisEsik,$U486&gt;PazaryeriEksikHakedisTutarEsik),"EKSİK HAKEDİŞ","DOĞRU"))))</f>
        <v/>
      </c>
      <c r="X486" s="23" t="str">
        <f aca="false">IF($B486="","",CONCATENATE("Ürün: ",$B486," | Kâr: ",TEXT($Q486,"₺ #,##0")," | Durum: ",$W486))</f>
        <v/>
      </c>
      <c r="Y486" s="24"/>
    </row>
    <row r="487" customFormat="false" ht="15" hidden="false" customHeight="false" outlineLevel="0" collapsed="false">
      <c r="A487" s="24"/>
      <c r="B487" s="24"/>
      <c r="C487" s="22"/>
      <c r="D487" s="25"/>
      <c r="E487" s="22"/>
      <c r="F487" s="26"/>
      <c r="G487" s="26"/>
      <c r="H487" s="26"/>
      <c r="I487" s="26"/>
      <c r="J487" s="22"/>
      <c r="K487" s="20" t="n">
        <f aca="false">IF($D487="",0,$C487*$D487)</f>
        <v>0</v>
      </c>
      <c r="L487" s="20" t="n">
        <f aca="false">IF($D487="",0,$F487*$K487)</f>
        <v>0</v>
      </c>
      <c r="M487" s="20" t="n">
        <f aca="false">IF($D487="",0,$G487*$K487)</f>
        <v>0</v>
      </c>
      <c r="N487" s="20" t="n">
        <f aca="false">IF($D487="",0,$H487*$K487)</f>
        <v>0</v>
      </c>
      <c r="O487" s="20" t="n">
        <f aca="false">IF($D487="",0,$I487*$K487*(1-$F487))</f>
        <v>0</v>
      </c>
      <c r="P487" s="20" t="n">
        <f aca="false">IF($D487="",0,$E487*$D487+$L487+$M487+$N487+$O487+$J487*$D487)</f>
        <v>0</v>
      </c>
      <c r="Q487" s="20" t="n">
        <f aca="false">IF($D487="",0,$K487-$P487)</f>
        <v>0</v>
      </c>
      <c r="R487" s="21" t="n">
        <f aca="false">IF($K487=0,0,$Q487/$K487)</f>
        <v>0</v>
      </c>
      <c r="S487" s="20" t="n">
        <f aca="false">IF($D487="",0,$K487-$L487-$M487-$N487)</f>
        <v>0</v>
      </c>
      <c r="T487" s="22"/>
      <c r="U487" s="20" t="n">
        <f aca="false">IF($T487="",0,MAX(0,$S487-$T487))</f>
        <v>0</v>
      </c>
      <c r="V487" s="21" t="n">
        <f aca="false">IF($S487=0,0,$U487/$S487)</f>
        <v>0</v>
      </c>
      <c r="W487" s="23" t="str">
        <f aca="false">IF($D487="","",IF($T487="","BEKLİYOR",IF(OR($U487=0,$S487=0),"DOĞRU",IF(AND($V487&gt;PazaryeriEksikHakedisEsik,$U487&gt;PazaryeriEksikHakedisTutarEsik),"EKSİK HAKEDİŞ","DOĞRU"))))</f>
        <v/>
      </c>
      <c r="X487" s="23" t="str">
        <f aca="false">IF($B487="","",CONCATENATE("Ürün: ",$B487," | Kâr: ",TEXT($Q487,"₺ #,##0")," | Durum: ",$W487))</f>
        <v/>
      </c>
      <c r="Y487" s="24"/>
    </row>
    <row r="488" customFormat="false" ht="15" hidden="false" customHeight="false" outlineLevel="0" collapsed="false">
      <c r="A488" s="24"/>
      <c r="B488" s="24"/>
      <c r="C488" s="22"/>
      <c r="D488" s="25"/>
      <c r="E488" s="22"/>
      <c r="F488" s="26"/>
      <c r="G488" s="26"/>
      <c r="H488" s="26"/>
      <c r="I488" s="26"/>
      <c r="J488" s="22"/>
      <c r="K488" s="20" t="n">
        <f aca="false">IF($D488="",0,$C488*$D488)</f>
        <v>0</v>
      </c>
      <c r="L488" s="20" t="n">
        <f aca="false">IF($D488="",0,$F488*$K488)</f>
        <v>0</v>
      </c>
      <c r="M488" s="20" t="n">
        <f aca="false">IF($D488="",0,$G488*$K488)</f>
        <v>0</v>
      </c>
      <c r="N488" s="20" t="n">
        <f aca="false">IF($D488="",0,$H488*$K488)</f>
        <v>0</v>
      </c>
      <c r="O488" s="20" t="n">
        <f aca="false">IF($D488="",0,$I488*$K488*(1-$F488))</f>
        <v>0</v>
      </c>
      <c r="P488" s="20" t="n">
        <f aca="false">IF($D488="",0,$E488*$D488+$L488+$M488+$N488+$O488+$J488*$D488)</f>
        <v>0</v>
      </c>
      <c r="Q488" s="20" t="n">
        <f aca="false">IF($D488="",0,$K488-$P488)</f>
        <v>0</v>
      </c>
      <c r="R488" s="21" t="n">
        <f aca="false">IF($K488=0,0,$Q488/$K488)</f>
        <v>0</v>
      </c>
      <c r="S488" s="20" t="n">
        <f aca="false">IF($D488="",0,$K488-$L488-$M488-$N488)</f>
        <v>0</v>
      </c>
      <c r="T488" s="22"/>
      <c r="U488" s="20" t="n">
        <f aca="false">IF($T488="",0,MAX(0,$S488-$T488))</f>
        <v>0</v>
      </c>
      <c r="V488" s="21" t="n">
        <f aca="false">IF($S488=0,0,$U488/$S488)</f>
        <v>0</v>
      </c>
      <c r="W488" s="23" t="str">
        <f aca="false">IF($D488="","",IF($T488="","BEKLİYOR",IF(OR($U488=0,$S488=0),"DOĞRU",IF(AND($V488&gt;PazaryeriEksikHakedisEsik,$U488&gt;PazaryeriEksikHakedisTutarEsik),"EKSİK HAKEDİŞ","DOĞRU"))))</f>
        <v/>
      </c>
      <c r="X488" s="23" t="str">
        <f aca="false">IF($B488="","",CONCATENATE("Ürün: ",$B488," | Kâr: ",TEXT($Q488,"₺ #,##0")," | Durum: ",$W488))</f>
        <v/>
      </c>
      <c r="Y488" s="24"/>
    </row>
    <row r="489" customFormat="false" ht="15" hidden="false" customHeight="false" outlineLevel="0" collapsed="false">
      <c r="A489" s="24"/>
      <c r="B489" s="24"/>
      <c r="C489" s="22"/>
      <c r="D489" s="25"/>
      <c r="E489" s="22"/>
      <c r="F489" s="26"/>
      <c r="G489" s="26"/>
      <c r="H489" s="26"/>
      <c r="I489" s="26"/>
      <c r="J489" s="22"/>
      <c r="K489" s="20" t="n">
        <f aca="false">IF($D489="",0,$C489*$D489)</f>
        <v>0</v>
      </c>
      <c r="L489" s="20" t="n">
        <f aca="false">IF($D489="",0,$F489*$K489)</f>
        <v>0</v>
      </c>
      <c r="M489" s="20" t="n">
        <f aca="false">IF($D489="",0,$G489*$K489)</f>
        <v>0</v>
      </c>
      <c r="N489" s="20" t="n">
        <f aca="false">IF($D489="",0,$H489*$K489)</f>
        <v>0</v>
      </c>
      <c r="O489" s="20" t="n">
        <f aca="false">IF($D489="",0,$I489*$K489*(1-$F489))</f>
        <v>0</v>
      </c>
      <c r="P489" s="20" t="n">
        <f aca="false">IF($D489="",0,$E489*$D489+$L489+$M489+$N489+$O489+$J489*$D489)</f>
        <v>0</v>
      </c>
      <c r="Q489" s="20" t="n">
        <f aca="false">IF($D489="",0,$K489-$P489)</f>
        <v>0</v>
      </c>
      <c r="R489" s="21" t="n">
        <f aca="false">IF($K489=0,0,$Q489/$K489)</f>
        <v>0</v>
      </c>
      <c r="S489" s="20" t="n">
        <f aca="false">IF($D489="",0,$K489-$L489-$M489-$N489)</f>
        <v>0</v>
      </c>
      <c r="T489" s="22"/>
      <c r="U489" s="20" t="n">
        <f aca="false">IF($T489="",0,MAX(0,$S489-$T489))</f>
        <v>0</v>
      </c>
      <c r="V489" s="21" t="n">
        <f aca="false">IF($S489=0,0,$U489/$S489)</f>
        <v>0</v>
      </c>
      <c r="W489" s="23" t="str">
        <f aca="false">IF($D489="","",IF($T489="","BEKLİYOR",IF(OR($U489=0,$S489=0),"DOĞRU",IF(AND($V489&gt;PazaryeriEksikHakedisEsik,$U489&gt;PazaryeriEksikHakedisTutarEsik),"EKSİK HAKEDİŞ","DOĞRU"))))</f>
        <v/>
      </c>
      <c r="X489" s="23" t="str">
        <f aca="false">IF($B489="","",CONCATENATE("Ürün: ",$B489," | Kâr: ",TEXT($Q489,"₺ #,##0")," | Durum: ",$W489))</f>
        <v/>
      </c>
      <c r="Y489" s="24"/>
    </row>
    <row r="490" customFormat="false" ht="15" hidden="false" customHeight="false" outlineLevel="0" collapsed="false">
      <c r="A490" s="24"/>
      <c r="B490" s="24"/>
      <c r="C490" s="22"/>
      <c r="D490" s="25"/>
      <c r="E490" s="22"/>
      <c r="F490" s="26"/>
      <c r="G490" s="26"/>
      <c r="H490" s="26"/>
      <c r="I490" s="26"/>
      <c r="J490" s="22"/>
      <c r="K490" s="20" t="n">
        <f aca="false">IF($D490="",0,$C490*$D490)</f>
        <v>0</v>
      </c>
      <c r="L490" s="20" t="n">
        <f aca="false">IF($D490="",0,$F490*$K490)</f>
        <v>0</v>
      </c>
      <c r="M490" s="20" t="n">
        <f aca="false">IF($D490="",0,$G490*$K490)</f>
        <v>0</v>
      </c>
      <c r="N490" s="20" t="n">
        <f aca="false">IF($D490="",0,$H490*$K490)</f>
        <v>0</v>
      </c>
      <c r="O490" s="20" t="n">
        <f aca="false">IF($D490="",0,$I490*$K490*(1-$F490))</f>
        <v>0</v>
      </c>
      <c r="P490" s="20" t="n">
        <f aca="false">IF($D490="",0,$E490*$D490+$L490+$M490+$N490+$O490+$J490*$D490)</f>
        <v>0</v>
      </c>
      <c r="Q490" s="20" t="n">
        <f aca="false">IF($D490="",0,$K490-$P490)</f>
        <v>0</v>
      </c>
      <c r="R490" s="21" t="n">
        <f aca="false">IF($K490=0,0,$Q490/$K490)</f>
        <v>0</v>
      </c>
      <c r="S490" s="20" t="n">
        <f aca="false">IF($D490="",0,$K490-$L490-$M490-$N490)</f>
        <v>0</v>
      </c>
      <c r="T490" s="22"/>
      <c r="U490" s="20" t="n">
        <f aca="false">IF($T490="",0,MAX(0,$S490-$T490))</f>
        <v>0</v>
      </c>
      <c r="V490" s="21" t="n">
        <f aca="false">IF($S490=0,0,$U490/$S490)</f>
        <v>0</v>
      </c>
      <c r="W490" s="23" t="str">
        <f aca="false">IF($D490="","",IF($T490="","BEKLİYOR",IF(OR($U490=0,$S490=0),"DOĞRU",IF(AND($V490&gt;PazaryeriEksikHakedisEsik,$U490&gt;PazaryeriEksikHakedisTutarEsik),"EKSİK HAKEDİŞ","DOĞRU"))))</f>
        <v/>
      </c>
      <c r="X490" s="23" t="str">
        <f aca="false">IF($B490="","",CONCATENATE("Ürün: ",$B490," | Kâr: ",TEXT($Q490,"₺ #,##0")," | Durum: ",$W490))</f>
        <v/>
      </c>
      <c r="Y490" s="24"/>
    </row>
    <row r="491" customFormat="false" ht="15" hidden="false" customHeight="false" outlineLevel="0" collapsed="false">
      <c r="A491" s="24"/>
      <c r="B491" s="24"/>
      <c r="C491" s="22"/>
      <c r="D491" s="25"/>
      <c r="E491" s="22"/>
      <c r="F491" s="26"/>
      <c r="G491" s="26"/>
      <c r="H491" s="26"/>
      <c r="I491" s="26"/>
      <c r="J491" s="22"/>
      <c r="K491" s="20" t="n">
        <f aca="false">IF($D491="",0,$C491*$D491)</f>
        <v>0</v>
      </c>
      <c r="L491" s="20" t="n">
        <f aca="false">IF($D491="",0,$F491*$K491)</f>
        <v>0</v>
      </c>
      <c r="M491" s="20" t="n">
        <f aca="false">IF($D491="",0,$G491*$K491)</f>
        <v>0</v>
      </c>
      <c r="N491" s="20" t="n">
        <f aca="false">IF($D491="",0,$H491*$K491)</f>
        <v>0</v>
      </c>
      <c r="O491" s="20" t="n">
        <f aca="false">IF($D491="",0,$I491*$K491*(1-$F491))</f>
        <v>0</v>
      </c>
      <c r="P491" s="20" t="n">
        <f aca="false">IF($D491="",0,$E491*$D491+$L491+$M491+$N491+$O491+$J491*$D491)</f>
        <v>0</v>
      </c>
      <c r="Q491" s="20" t="n">
        <f aca="false">IF($D491="",0,$K491-$P491)</f>
        <v>0</v>
      </c>
      <c r="R491" s="21" t="n">
        <f aca="false">IF($K491=0,0,$Q491/$K491)</f>
        <v>0</v>
      </c>
      <c r="S491" s="20" t="n">
        <f aca="false">IF($D491="",0,$K491-$L491-$M491-$N491)</f>
        <v>0</v>
      </c>
      <c r="T491" s="22"/>
      <c r="U491" s="20" t="n">
        <f aca="false">IF($T491="",0,MAX(0,$S491-$T491))</f>
        <v>0</v>
      </c>
      <c r="V491" s="21" t="n">
        <f aca="false">IF($S491=0,0,$U491/$S491)</f>
        <v>0</v>
      </c>
      <c r="W491" s="23" t="str">
        <f aca="false">IF($D491="","",IF($T491="","BEKLİYOR",IF(OR($U491=0,$S491=0),"DOĞRU",IF(AND($V491&gt;PazaryeriEksikHakedisEsik,$U491&gt;PazaryeriEksikHakedisTutarEsik),"EKSİK HAKEDİŞ","DOĞRU"))))</f>
        <v/>
      </c>
      <c r="X491" s="23" t="str">
        <f aca="false">IF($B491="","",CONCATENATE("Ürün: ",$B491," | Kâr: ",TEXT($Q491,"₺ #,##0")," | Durum: ",$W491))</f>
        <v/>
      </c>
      <c r="Y491" s="24"/>
    </row>
    <row r="492" customFormat="false" ht="15" hidden="false" customHeight="false" outlineLevel="0" collapsed="false">
      <c r="A492" s="24"/>
      <c r="B492" s="24"/>
      <c r="C492" s="22"/>
      <c r="D492" s="25"/>
      <c r="E492" s="22"/>
      <c r="F492" s="26"/>
      <c r="G492" s="26"/>
      <c r="H492" s="26"/>
      <c r="I492" s="26"/>
      <c r="J492" s="22"/>
      <c r="K492" s="20" t="n">
        <f aca="false">IF($D492="",0,$C492*$D492)</f>
        <v>0</v>
      </c>
      <c r="L492" s="20" t="n">
        <f aca="false">IF($D492="",0,$F492*$K492)</f>
        <v>0</v>
      </c>
      <c r="M492" s="20" t="n">
        <f aca="false">IF($D492="",0,$G492*$K492)</f>
        <v>0</v>
      </c>
      <c r="N492" s="20" t="n">
        <f aca="false">IF($D492="",0,$H492*$K492)</f>
        <v>0</v>
      </c>
      <c r="O492" s="20" t="n">
        <f aca="false">IF($D492="",0,$I492*$K492*(1-$F492))</f>
        <v>0</v>
      </c>
      <c r="P492" s="20" t="n">
        <f aca="false">IF($D492="",0,$E492*$D492+$L492+$M492+$N492+$O492+$J492*$D492)</f>
        <v>0</v>
      </c>
      <c r="Q492" s="20" t="n">
        <f aca="false">IF($D492="",0,$K492-$P492)</f>
        <v>0</v>
      </c>
      <c r="R492" s="21" t="n">
        <f aca="false">IF($K492=0,0,$Q492/$K492)</f>
        <v>0</v>
      </c>
      <c r="S492" s="20" t="n">
        <f aca="false">IF($D492="",0,$K492-$L492-$M492-$N492)</f>
        <v>0</v>
      </c>
      <c r="T492" s="22"/>
      <c r="U492" s="20" t="n">
        <f aca="false">IF($T492="",0,MAX(0,$S492-$T492))</f>
        <v>0</v>
      </c>
      <c r="V492" s="21" t="n">
        <f aca="false">IF($S492=0,0,$U492/$S492)</f>
        <v>0</v>
      </c>
      <c r="W492" s="23" t="str">
        <f aca="false">IF($D492="","",IF($T492="","BEKLİYOR",IF(OR($U492=0,$S492=0),"DOĞRU",IF(AND($V492&gt;PazaryeriEksikHakedisEsik,$U492&gt;PazaryeriEksikHakedisTutarEsik),"EKSİK HAKEDİŞ","DOĞRU"))))</f>
        <v/>
      </c>
      <c r="X492" s="23" t="str">
        <f aca="false">IF($B492="","",CONCATENATE("Ürün: ",$B492," | Kâr: ",TEXT($Q492,"₺ #,##0")," | Durum: ",$W492))</f>
        <v/>
      </c>
      <c r="Y492" s="24"/>
    </row>
    <row r="493" customFormat="false" ht="15" hidden="false" customHeight="false" outlineLevel="0" collapsed="false">
      <c r="A493" s="24"/>
      <c r="B493" s="24"/>
      <c r="C493" s="22"/>
      <c r="D493" s="25"/>
      <c r="E493" s="22"/>
      <c r="F493" s="26"/>
      <c r="G493" s="26"/>
      <c r="H493" s="26"/>
      <c r="I493" s="26"/>
      <c r="J493" s="22"/>
      <c r="K493" s="20" t="n">
        <f aca="false">IF($D493="",0,$C493*$D493)</f>
        <v>0</v>
      </c>
      <c r="L493" s="20" t="n">
        <f aca="false">IF($D493="",0,$F493*$K493)</f>
        <v>0</v>
      </c>
      <c r="M493" s="20" t="n">
        <f aca="false">IF($D493="",0,$G493*$K493)</f>
        <v>0</v>
      </c>
      <c r="N493" s="20" t="n">
        <f aca="false">IF($D493="",0,$H493*$K493)</f>
        <v>0</v>
      </c>
      <c r="O493" s="20" t="n">
        <f aca="false">IF($D493="",0,$I493*$K493*(1-$F493))</f>
        <v>0</v>
      </c>
      <c r="P493" s="20" t="n">
        <f aca="false">IF($D493="",0,$E493*$D493+$L493+$M493+$N493+$O493+$J493*$D493)</f>
        <v>0</v>
      </c>
      <c r="Q493" s="20" t="n">
        <f aca="false">IF($D493="",0,$K493-$P493)</f>
        <v>0</v>
      </c>
      <c r="R493" s="21" t="n">
        <f aca="false">IF($K493=0,0,$Q493/$K493)</f>
        <v>0</v>
      </c>
      <c r="S493" s="20" t="n">
        <f aca="false">IF($D493="",0,$K493-$L493-$M493-$N493)</f>
        <v>0</v>
      </c>
      <c r="T493" s="22"/>
      <c r="U493" s="20" t="n">
        <f aca="false">IF($T493="",0,MAX(0,$S493-$T493))</f>
        <v>0</v>
      </c>
      <c r="V493" s="21" t="n">
        <f aca="false">IF($S493=0,0,$U493/$S493)</f>
        <v>0</v>
      </c>
      <c r="W493" s="23" t="str">
        <f aca="false">IF($D493="","",IF($T493="","BEKLİYOR",IF(OR($U493=0,$S493=0),"DOĞRU",IF(AND($V493&gt;PazaryeriEksikHakedisEsik,$U493&gt;PazaryeriEksikHakedisTutarEsik),"EKSİK HAKEDİŞ","DOĞRU"))))</f>
        <v/>
      </c>
      <c r="X493" s="23" t="str">
        <f aca="false">IF($B493="","",CONCATENATE("Ürün: ",$B493," | Kâr: ",TEXT($Q493,"₺ #,##0")," | Durum: ",$W493))</f>
        <v/>
      </c>
      <c r="Y493" s="24"/>
    </row>
    <row r="494" customFormat="false" ht="15" hidden="false" customHeight="false" outlineLevel="0" collapsed="false">
      <c r="A494" s="24"/>
      <c r="B494" s="24"/>
      <c r="C494" s="22"/>
      <c r="D494" s="25"/>
      <c r="E494" s="22"/>
      <c r="F494" s="26"/>
      <c r="G494" s="26"/>
      <c r="H494" s="26"/>
      <c r="I494" s="26"/>
      <c r="J494" s="22"/>
      <c r="K494" s="20" t="n">
        <f aca="false">IF($D494="",0,$C494*$D494)</f>
        <v>0</v>
      </c>
      <c r="L494" s="20" t="n">
        <f aca="false">IF($D494="",0,$F494*$K494)</f>
        <v>0</v>
      </c>
      <c r="M494" s="20" t="n">
        <f aca="false">IF($D494="",0,$G494*$K494)</f>
        <v>0</v>
      </c>
      <c r="N494" s="20" t="n">
        <f aca="false">IF($D494="",0,$H494*$K494)</f>
        <v>0</v>
      </c>
      <c r="O494" s="20" t="n">
        <f aca="false">IF($D494="",0,$I494*$K494*(1-$F494))</f>
        <v>0</v>
      </c>
      <c r="P494" s="20" t="n">
        <f aca="false">IF($D494="",0,$E494*$D494+$L494+$M494+$N494+$O494+$J494*$D494)</f>
        <v>0</v>
      </c>
      <c r="Q494" s="20" t="n">
        <f aca="false">IF($D494="",0,$K494-$P494)</f>
        <v>0</v>
      </c>
      <c r="R494" s="21" t="n">
        <f aca="false">IF($K494=0,0,$Q494/$K494)</f>
        <v>0</v>
      </c>
      <c r="S494" s="20" t="n">
        <f aca="false">IF($D494="",0,$K494-$L494-$M494-$N494)</f>
        <v>0</v>
      </c>
      <c r="T494" s="22"/>
      <c r="U494" s="20" t="n">
        <f aca="false">IF($T494="",0,MAX(0,$S494-$T494))</f>
        <v>0</v>
      </c>
      <c r="V494" s="21" t="n">
        <f aca="false">IF($S494=0,0,$U494/$S494)</f>
        <v>0</v>
      </c>
      <c r="W494" s="23" t="str">
        <f aca="false">IF($D494="","",IF($T494="","BEKLİYOR",IF(OR($U494=0,$S494=0),"DOĞRU",IF(AND($V494&gt;PazaryeriEksikHakedisEsik,$U494&gt;PazaryeriEksikHakedisTutarEsik),"EKSİK HAKEDİŞ","DOĞRU"))))</f>
        <v/>
      </c>
      <c r="X494" s="23" t="str">
        <f aca="false">IF($B494="","",CONCATENATE("Ürün: ",$B494," | Kâr: ",TEXT($Q494,"₺ #,##0")," | Durum: ",$W494))</f>
        <v/>
      </c>
      <c r="Y494" s="24"/>
    </row>
    <row r="495" customFormat="false" ht="15" hidden="false" customHeight="false" outlineLevel="0" collapsed="false">
      <c r="A495" s="24"/>
      <c r="B495" s="24"/>
      <c r="C495" s="22"/>
      <c r="D495" s="25"/>
      <c r="E495" s="22"/>
      <c r="F495" s="26"/>
      <c r="G495" s="26"/>
      <c r="H495" s="26"/>
      <c r="I495" s="26"/>
      <c r="J495" s="22"/>
      <c r="K495" s="20" t="n">
        <f aca="false">IF($D495="",0,$C495*$D495)</f>
        <v>0</v>
      </c>
      <c r="L495" s="20" t="n">
        <f aca="false">IF($D495="",0,$F495*$K495)</f>
        <v>0</v>
      </c>
      <c r="M495" s="20" t="n">
        <f aca="false">IF($D495="",0,$G495*$K495)</f>
        <v>0</v>
      </c>
      <c r="N495" s="20" t="n">
        <f aca="false">IF($D495="",0,$H495*$K495)</f>
        <v>0</v>
      </c>
      <c r="O495" s="20" t="n">
        <f aca="false">IF($D495="",0,$I495*$K495*(1-$F495))</f>
        <v>0</v>
      </c>
      <c r="P495" s="20" t="n">
        <f aca="false">IF($D495="",0,$E495*$D495+$L495+$M495+$N495+$O495+$J495*$D495)</f>
        <v>0</v>
      </c>
      <c r="Q495" s="20" t="n">
        <f aca="false">IF($D495="",0,$K495-$P495)</f>
        <v>0</v>
      </c>
      <c r="R495" s="21" t="n">
        <f aca="false">IF($K495=0,0,$Q495/$K495)</f>
        <v>0</v>
      </c>
      <c r="S495" s="20" t="n">
        <f aca="false">IF($D495="",0,$K495-$L495-$M495-$N495)</f>
        <v>0</v>
      </c>
      <c r="T495" s="22"/>
      <c r="U495" s="20" t="n">
        <f aca="false">IF($T495="",0,MAX(0,$S495-$T495))</f>
        <v>0</v>
      </c>
      <c r="V495" s="21" t="n">
        <f aca="false">IF($S495=0,0,$U495/$S495)</f>
        <v>0</v>
      </c>
      <c r="W495" s="23" t="str">
        <f aca="false">IF($D495="","",IF($T495="","BEKLİYOR",IF(OR($U495=0,$S495=0),"DOĞRU",IF(AND($V495&gt;PazaryeriEksikHakedisEsik,$U495&gt;PazaryeriEksikHakedisTutarEsik),"EKSİK HAKEDİŞ","DOĞRU"))))</f>
        <v/>
      </c>
      <c r="X495" s="23" t="str">
        <f aca="false">IF($B495="","",CONCATENATE("Ürün: ",$B495," | Kâr: ",TEXT($Q495,"₺ #,##0")," | Durum: ",$W495))</f>
        <v/>
      </c>
      <c r="Y495" s="24"/>
    </row>
    <row r="496" customFormat="false" ht="15" hidden="false" customHeight="false" outlineLevel="0" collapsed="false">
      <c r="A496" s="24"/>
      <c r="B496" s="24"/>
      <c r="C496" s="22"/>
      <c r="D496" s="25"/>
      <c r="E496" s="22"/>
      <c r="F496" s="26"/>
      <c r="G496" s="26"/>
      <c r="H496" s="26"/>
      <c r="I496" s="26"/>
      <c r="J496" s="22"/>
      <c r="K496" s="20" t="n">
        <f aca="false">IF($D496="",0,$C496*$D496)</f>
        <v>0</v>
      </c>
      <c r="L496" s="20" t="n">
        <f aca="false">IF($D496="",0,$F496*$K496)</f>
        <v>0</v>
      </c>
      <c r="M496" s="20" t="n">
        <f aca="false">IF($D496="",0,$G496*$K496)</f>
        <v>0</v>
      </c>
      <c r="N496" s="20" t="n">
        <f aca="false">IF($D496="",0,$H496*$K496)</f>
        <v>0</v>
      </c>
      <c r="O496" s="20" t="n">
        <f aca="false">IF($D496="",0,$I496*$K496*(1-$F496))</f>
        <v>0</v>
      </c>
      <c r="P496" s="20" t="n">
        <f aca="false">IF($D496="",0,$E496*$D496+$L496+$M496+$N496+$O496+$J496*$D496)</f>
        <v>0</v>
      </c>
      <c r="Q496" s="20" t="n">
        <f aca="false">IF($D496="",0,$K496-$P496)</f>
        <v>0</v>
      </c>
      <c r="R496" s="21" t="n">
        <f aca="false">IF($K496=0,0,$Q496/$K496)</f>
        <v>0</v>
      </c>
      <c r="S496" s="20" t="n">
        <f aca="false">IF($D496="",0,$K496-$L496-$M496-$N496)</f>
        <v>0</v>
      </c>
      <c r="T496" s="22"/>
      <c r="U496" s="20" t="n">
        <f aca="false">IF($T496="",0,MAX(0,$S496-$T496))</f>
        <v>0</v>
      </c>
      <c r="V496" s="21" t="n">
        <f aca="false">IF($S496=0,0,$U496/$S496)</f>
        <v>0</v>
      </c>
      <c r="W496" s="23" t="str">
        <f aca="false">IF($D496="","",IF($T496="","BEKLİYOR",IF(OR($U496=0,$S496=0),"DOĞRU",IF(AND($V496&gt;PazaryeriEksikHakedisEsik,$U496&gt;PazaryeriEksikHakedisTutarEsik),"EKSİK HAKEDİŞ","DOĞRU"))))</f>
        <v/>
      </c>
      <c r="X496" s="23" t="str">
        <f aca="false">IF($B496="","",CONCATENATE("Ürün: ",$B496," | Kâr: ",TEXT($Q496,"₺ #,##0")," | Durum: ",$W496))</f>
        <v/>
      </c>
      <c r="Y496" s="24"/>
    </row>
    <row r="497" customFormat="false" ht="15" hidden="false" customHeight="false" outlineLevel="0" collapsed="false">
      <c r="A497" s="24"/>
      <c r="B497" s="24"/>
      <c r="C497" s="22"/>
      <c r="D497" s="25"/>
      <c r="E497" s="22"/>
      <c r="F497" s="26"/>
      <c r="G497" s="26"/>
      <c r="H497" s="26"/>
      <c r="I497" s="26"/>
      <c r="J497" s="22"/>
      <c r="K497" s="20" t="n">
        <f aca="false">IF($D497="",0,$C497*$D497)</f>
        <v>0</v>
      </c>
      <c r="L497" s="20" t="n">
        <f aca="false">IF($D497="",0,$F497*$K497)</f>
        <v>0</v>
      </c>
      <c r="M497" s="20" t="n">
        <f aca="false">IF($D497="",0,$G497*$K497)</f>
        <v>0</v>
      </c>
      <c r="N497" s="20" t="n">
        <f aca="false">IF($D497="",0,$H497*$K497)</f>
        <v>0</v>
      </c>
      <c r="O497" s="20" t="n">
        <f aca="false">IF($D497="",0,$I497*$K497*(1-$F497))</f>
        <v>0</v>
      </c>
      <c r="P497" s="20" t="n">
        <f aca="false">IF($D497="",0,$E497*$D497+$L497+$M497+$N497+$O497+$J497*$D497)</f>
        <v>0</v>
      </c>
      <c r="Q497" s="20" t="n">
        <f aca="false">IF($D497="",0,$K497-$P497)</f>
        <v>0</v>
      </c>
      <c r="R497" s="21" t="n">
        <f aca="false">IF($K497=0,0,$Q497/$K497)</f>
        <v>0</v>
      </c>
      <c r="S497" s="20" t="n">
        <f aca="false">IF($D497="",0,$K497-$L497-$M497-$N497)</f>
        <v>0</v>
      </c>
      <c r="T497" s="22"/>
      <c r="U497" s="20" t="n">
        <f aca="false">IF($T497="",0,MAX(0,$S497-$T497))</f>
        <v>0</v>
      </c>
      <c r="V497" s="21" t="n">
        <f aca="false">IF($S497=0,0,$U497/$S497)</f>
        <v>0</v>
      </c>
      <c r="W497" s="23" t="str">
        <f aca="false">IF($D497="","",IF($T497="","BEKLİYOR",IF(OR($U497=0,$S497=0),"DOĞRU",IF(AND($V497&gt;PazaryeriEksikHakedisEsik,$U497&gt;PazaryeriEksikHakedisTutarEsik),"EKSİK HAKEDİŞ","DOĞRU"))))</f>
        <v/>
      </c>
      <c r="X497" s="23" t="str">
        <f aca="false">IF($B497="","",CONCATENATE("Ürün: ",$B497," | Kâr: ",TEXT($Q497,"₺ #,##0")," | Durum: ",$W497))</f>
        <v/>
      </c>
      <c r="Y497" s="24"/>
    </row>
    <row r="498" customFormat="false" ht="15" hidden="false" customHeight="false" outlineLevel="0" collapsed="false">
      <c r="A498" s="24"/>
      <c r="B498" s="24"/>
      <c r="C498" s="22"/>
      <c r="D498" s="25"/>
      <c r="E498" s="22"/>
      <c r="F498" s="26"/>
      <c r="G498" s="26"/>
      <c r="H498" s="26"/>
      <c r="I498" s="26"/>
      <c r="J498" s="22"/>
      <c r="K498" s="20" t="n">
        <f aca="false">IF($D498="",0,$C498*$D498)</f>
        <v>0</v>
      </c>
      <c r="L498" s="20" t="n">
        <f aca="false">IF($D498="",0,$F498*$K498)</f>
        <v>0</v>
      </c>
      <c r="M498" s="20" t="n">
        <f aca="false">IF($D498="",0,$G498*$K498)</f>
        <v>0</v>
      </c>
      <c r="N498" s="20" t="n">
        <f aca="false">IF($D498="",0,$H498*$K498)</f>
        <v>0</v>
      </c>
      <c r="O498" s="20" t="n">
        <f aca="false">IF($D498="",0,$I498*$K498*(1-$F498))</f>
        <v>0</v>
      </c>
      <c r="P498" s="20" t="n">
        <f aca="false">IF($D498="",0,$E498*$D498+$L498+$M498+$N498+$O498+$J498*$D498)</f>
        <v>0</v>
      </c>
      <c r="Q498" s="20" t="n">
        <f aca="false">IF($D498="",0,$K498-$P498)</f>
        <v>0</v>
      </c>
      <c r="R498" s="21" t="n">
        <f aca="false">IF($K498=0,0,$Q498/$K498)</f>
        <v>0</v>
      </c>
      <c r="S498" s="20" t="n">
        <f aca="false">IF($D498="",0,$K498-$L498-$M498-$N498)</f>
        <v>0</v>
      </c>
      <c r="T498" s="22"/>
      <c r="U498" s="20" t="n">
        <f aca="false">IF($T498="",0,MAX(0,$S498-$T498))</f>
        <v>0</v>
      </c>
      <c r="V498" s="21" t="n">
        <f aca="false">IF($S498=0,0,$U498/$S498)</f>
        <v>0</v>
      </c>
      <c r="W498" s="23" t="str">
        <f aca="false">IF($D498="","",IF($T498="","BEKLİYOR",IF(OR($U498=0,$S498=0),"DOĞRU",IF(AND($V498&gt;PazaryeriEksikHakedisEsik,$U498&gt;PazaryeriEksikHakedisTutarEsik),"EKSİK HAKEDİŞ","DOĞRU"))))</f>
        <v/>
      </c>
      <c r="X498" s="23" t="str">
        <f aca="false">IF($B498="","",CONCATENATE("Ürün: ",$B498," | Kâr: ",TEXT($Q498,"₺ #,##0")," | Durum: ",$W498))</f>
        <v/>
      </c>
      <c r="Y498" s="24"/>
    </row>
    <row r="499" customFormat="false" ht="15" hidden="false" customHeight="false" outlineLevel="0" collapsed="false">
      <c r="A499" s="24"/>
      <c r="B499" s="24"/>
      <c r="C499" s="22"/>
      <c r="D499" s="25"/>
      <c r="E499" s="22"/>
      <c r="F499" s="26"/>
      <c r="G499" s="26"/>
      <c r="H499" s="26"/>
      <c r="I499" s="26"/>
      <c r="J499" s="22"/>
      <c r="K499" s="20" t="n">
        <f aca="false">IF($D499="",0,$C499*$D499)</f>
        <v>0</v>
      </c>
      <c r="L499" s="20" t="n">
        <f aca="false">IF($D499="",0,$F499*$K499)</f>
        <v>0</v>
      </c>
      <c r="M499" s="20" t="n">
        <f aca="false">IF($D499="",0,$G499*$K499)</f>
        <v>0</v>
      </c>
      <c r="N499" s="20" t="n">
        <f aca="false">IF($D499="",0,$H499*$K499)</f>
        <v>0</v>
      </c>
      <c r="O499" s="20" t="n">
        <f aca="false">IF($D499="",0,$I499*$K499*(1-$F499))</f>
        <v>0</v>
      </c>
      <c r="P499" s="20" t="n">
        <f aca="false">IF($D499="",0,$E499*$D499+$L499+$M499+$N499+$O499+$J499*$D499)</f>
        <v>0</v>
      </c>
      <c r="Q499" s="20" t="n">
        <f aca="false">IF($D499="",0,$K499-$P499)</f>
        <v>0</v>
      </c>
      <c r="R499" s="21" t="n">
        <f aca="false">IF($K499=0,0,$Q499/$K499)</f>
        <v>0</v>
      </c>
      <c r="S499" s="20" t="n">
        <f aca="false">IF($D499="",0,$K499-$L499-$M499-$N499)</f>
        <v>0</v>
      </c>
      <c r="T499" s="22"/>
      <c r="U499" s="20" t="n">
        <f aca="false">IF($T499="",0,MAX(0,$S499-$T499))</f>
        <v>0</v>
      </c>
      <c r="V499" s="21" t="n">
        <f aca="false">IF($S499=0,0,$U499/$S499)</f>
        <v>0</v>
      </c>
      <c r="W499" s="23" t="str">
        <f aca="false">IF($D499="","",IF($T499="","BEKLİYOR",IF(OR($U499=0,$S499=0),"DOĞRU",IF(AND($V499&gt;PazaryeriEksikHakedisEsik,$U499&gt;PazaryeriEksikHakedisTutarEsik),"EKSİK HAKEDİŞ","DOĞRU"))))</f>
        <v/>
      </c>
      <c r="X499" s="23" t="str">
        <f aca="false">IF($B499="","",CONCATENATE("Ürün: ",$B499," | Kâr: ",TEXT($Q499,"₺ #,##0")," | Durum: ",$W499))</f>
        <v/>
      </c>
      <c r="Y499" s="24"/>
    </row>
    <row r="500" customFormat="false" ht="15" hidden="false" customHeight="false" outlineLevel="0" collapsed="false">
      <c r="A500" s="24"/>
      <c r="B500" s="24"/>
      <c r="C500" s="22"/>
      <c r="D500" s="25"/>
      <c r="E500" s="22"/>
      <c r="F500" s="26"/>
      <c r="G500" s="26"/>
      <c r="H500" s="26"/>
      <c r="I500" s="26"/>
      <c r="J500" s="22"/>
      <c r="K500" s="20" t="n">
        <f aca="false">IF($D500="",0,$C500*$D500)</f>
        <v>0</v>
      </c>
      <c r="L500" s="20" t="n">
        <f aca="false">IF($D500="",0,$F500*$K500)</f>
        <v>0</v>
      </c>
      <c r="M500" s="20" t="n">
        <f aca="false">IF($D500="",0,$G500*$K500)</f>
        <v>0</v>
      </c>
      <c r="N500" s="20" t="n">
        <f aca="false">IF($D500="",0,$H500*$K500)</f>
        <v>0</v>
      </c>
      <c r="O500" s="20" t="n">
        <f aca="false">IF($D500="",0,$I500*$K500*(1-$F500))</f>
        <v>0</v>
      </c>
      <c r="P500" s="20" t="n">
        <f aca="false">IF($D500="",0,$E500*$D500+$L500+$M500+$N500+$O500+$J500*$D500)</f>
        <v>0</v>
      </c>
      <c r="Q500" s="20" t="n">
        <f aca="false">IF($D500="",0,$K500-$P500)</f>
        <v>0</v>
      </c>
      <c r="R500" s="21" t="n">
        <f aca="false">IF($K500=0,0,$Q500/$K500)</f>
        <v>0</v>
      </c>
      <c r="S500" s="20" t="n">
        <f aca="false">IF($D500="",0,$K500-$L500-$M500-$N500)</f>
        <v>0</v>
      </c>
      <c r="T500" s="22"/>
      <c r="U500" s="20" t="n">
        <f aca="false">IF($T500="",0,MAX(0,$S500-$T500))</f>
        <v>0</v>
      </c>
      <c r="V500" s="21" t="n">
        <f aca="false">IF($S500=0,0,$U500/$S500)</f>
        <v>0</v>
      </c>
      <c r="W500" s="23" t="str">
        <f aca="false">IF($D500="","",IF($T500="","BEKLİYOR",IF(OR($U500=0,$S500=0),"DOĞRU",IF(AND($V500&gt;PazaryeriEksikHakedisEsik,$U500&gt;PazaryeriEksikHakedisTutarEsik),"EKSİK HAKEDİŞ","DOĞRU"))))</f>
        <v/>
      </c>
      <c r="X500" s="23" t="str">
        <f aca="false">IF($B500="","",CONCATENATE("Ürün: ",$B500," | Kâr: ",TEXT($Q500,"₺ #,##0")," | Durum: ",$W500))</f>
        <v/>
      </c>
      <c r="Y500" s="24"/>
    </row>
    <row r="501" customFormat="false" ht="15" hidden="false" customHeight="false" outlineLevel="0" collapsed="false">
      <c r="A501" s="24"/>
      <c r="B501" s="24"/>
      <c r="C501" s="22"/>
      <c r="D501" s="25"/>
      <c r="E501" s="22"/>
      <c r="F501" s="26"/>
      <c r="G501" s="26"/>
      <c r="H501" s="26"/>
      <c r="I501" s="26"/>
      <c r="J501" s="22"/>
      <c r="K501" s="20" t="n">
        <f aca="false">IF($D501="",0,$C501*$D501)</f>
        <v>0</v>
      </c>
      <c r="L501" s="20" t="n">
        <f aca="false">IF($D501="",0,$F501*$K501)</f>
        <v>0</v>
      </c>
      <c r="M501" s="20" t="n">
        <f aca="false">IF($D501="",0,$G501*$K501)</f>
        <v>0</v>
      </c>
      <c r="N501" s="20" t="n">
        <f aca="false">IF($D501="",0,$H501*$K501)</f>
        <v>0</v>
      </c>
      <c r="O501" s="20" t="n">
        <f aca="false">IF($D501="",0,$I501*$K501*(1-$F501))</f>
        <v>0</v>
      </c>
      <c r="P501" s="20" t="n">
        <f aca="false">IF($D501="",0,$E501*$D501+$L501+$M501+$N501+$O501+$J501*$D501)</f>
        <v>0</v>
      </c>
      <c r="Q501" s="20" t="n">
        <f aca="false">IF($D501="",0,$K501-$P501)</f>
        <v>0</v>
      </c>
      <c r="R501" s="21" t="n">
        <f aca="false">IF($K501=0,0,$Q501/$K501)</f>
        <v>0</v>
      </c>
      <c r="S501" s="20" t="n">
        <f aca="false">IF($D501="",0,$K501-$L501-$M501-$N501)</f>
        <v>0</v>
      </c>
      <c r="T501" s="22"/>
      <c r="U501" s="20" t="n">
        <f aca="false">IF($T501="",0,MAX(0,$S501-$T501))</f>
        <v>0</v>
      </c>
      <c r="V501" s="21" t="n">
        <f aca="false">IF($S501=0,0,$U501/$S501)</f>
        <v>0</v>
      </c>
      <c r="W501" s="23" t="str">
        <f aca="false">IF($D501="","",IF($T501="","BEKLİYOR",IF(OR($U501=0,$S501=0),"DOĞRU",IF(AND($V501&gt;PazaryeriEksikHakedisEsik,$U501&gt;PazaryeriEksikHakedisTutarEsik),"EKSİK HAKEDİŞ","DOĞRU"))))</f>
        <v/>
      </c>
      <c r="X501" s="23" t="str">
        <f aca="false">IF($B501="","",CONCATENATE("Ürün: ",$B501," | Kâr: ",TEXT($Q501,"₺ #,##0")," | Durum: ",$W501))</f>
        <v/>
      </c>
      <c r="Y501" s="24"/>
    </row>
    <row r="502" customFormat="false" ht="15" hidden="false" customHeight="false" outlineLevel="0" collapsed="false">
      <c r="A502" s="24"/>
      <c r="B502" s="24"/>
      <c r="C502" s="22"/>
      <c r="D502" s="25"/>
      <c r="E502" s="22"/>
      <c r="F502" s="26"/>
      <c r="G502" s="26"/>
      <c r="H502" s="26"/>
      <c r="I502" s="26"/>
      <c r="J502" s="22"/>
      <c r="K502" s="20" t="n">
        <f aca="false">IF($D502="",0,$C502*$D502)</f>
        <v>0</v>
      </c>
      <c r="L502" s="20" t="n">
        <f aca="false">IF($D502="",0,$F502*$K502)</f>
        <v>0</v>
      </c>
      <c r="M502" s="20" t="n">
        <f aca="false">IF($D502="",0,$G502*$K502)</f>
        <v>0</v>
      </c>
      <c r="N502" s="20" t="n">
        <f aca="false">IF($D502="",0,$H502*$K502)</f>
        <v>0</v>
      </c>
      <c r="O502" s="20" t="n">
        <f aca="false">IF($D502="",0,$I502*$K502*(1-$F502))</f>
        <v>0</v>
      </c>
      <c r="P502" s="20" t="n">
        <f aca="false">IF($D502="",0,$E502*$D502+$L502+$M502+$N502+$O502+$J502*$D502)</f>
        <v>0</v>
      </c>
      <c r="Q502" s="20" t="n">
        <f aca="false">IF($D502="",0,$K502-$P502)</f>
        <v>0</v>
      </c>
      <c r="R502" s="21" t="n">
        <f aca="false">IF($K502=0,0,$Q502/$K502)</f>
        <v>0</v>
      </c>
      <c r="S502" s="20" t="n">
        <f aca="false">IF($D502="",0,$K502-$L502-$M502-$N502)</f>
        <v>0</v>
      </c>
      <c r="T502" s="22"/>
      <c r="U502" s="20" t="n">
        <f aca="false">IF($T502="",0,MAX(0,$S502-$T502))</f>
        <v>0</v>
      </c>
      <c r="V502" s="21" t="n">
        <f aca="false">IF($S502=0,0,$U502/$S502)</f>
        <v>0</v>
      </c>
      <c r="W502" s="23" t="str">
        <f aca="false">IF($D502="","",IF($T502="","BEKLİYOR",IF(OR($U502=0,$S502=0),"DOĞRU",IF(AND($V502&gt;PazaryeriEksikHakedisEsik,$U502&gt;PazaryeriEksikHakedisTutarEsik),"EKSİK HAKEDİŞ","DOĞRU"))))</f>
        <v/>
      </c>
      <c r="X502" s="23" t="str">
        <f aca="false">IF($B502="","",CONCATENATE("Ürün: ",$B502," | Kâr: ",TEXT($Q502,"₺ #,##0")," | Durum: ",$W502))</f>
        <v/>
      </c>
      <c r="Y502" s="24"/>
    </row>
    <row r="503" customFormat="false" ht="15" hidden="false" customHeight="false" outlineLevel="0" collapsed="false">
      <c r="A503" s="24"/>
      <c r="B503" s="24"/>
      <c r="C503" s="22"/>
      <c r="D503" s="25"/>
      <c r="E503" s="22"/>
      <c r="F503" s="26"/>
      <c r="G503" s="26"/>
      <c r="H503" s="26"/>
      <c r="I503" s="26"/>
      <c r="J503" s="22"/>
      <c r="K503" s="20" t="n">
        <f aca="false">IF($D503="",0,$C503*$D503)</f>
        <v>0</v>
      </c>
      <c r="L503" s="20" t="n">
        <f aca="false">IF($D503="",0,$F503*$K503)</f>
        <v>0</v>
      </c>
      <c r="M503" s="20" t="n">
        <f aca="false">IF($D503="",0,$G503*$K503)</f>
        <v>0</v>
      </c>
      <c r="N503" s="20" t="n">
        <f aca="false">IF($D503="",0,$H503*$K503)</f>
        <v>0</v>
      </c>
      <c r="O503" s="20" t="n">
        <f aca="false">IF($D503="",0,$I503*$K503*(1-$F503))</f>
        <v>0</v>
      </c>
      <c r="P503" s="20" t="n">
        <f aca="false">IF($D503="",0,$E503*$D503+$L503+$M503+$N503+$O503+$J503*$D503)</f>
        <v>0</v>
      </c>
      <c r="Q503" s="20" t="n">
        <f aca="false">IF($D503="",0,$K503-$P503)</f>
        <v>0</v>
      </c>
      <c r="R503" s="21" t="n">
        <f aca="false">IF($K503=0,0,$Q503/$K503)</f>
        <v>0</v>
      </c>
      <c r="S503" s="20" t="n">
        <f aca="false">IF($D503="",0,$K503-$L503-$M503-$N503)</f>
        <v>0</v>
      </c>
      <c r="T503" s="22"/>
      <c r="U503" s="20" t="n">
        <f aca="false">IF($T503="",0,MAX(0,$S503-$T503))</f>
        <v>0</v>
      </c>
      <c r="V503" s="21" t="n">
        <f aca="false">IF($S503=0,0,$U503/$S503)</f>
        <v>0</v>
      </c>
      <c r="W503" s="23" t="str">
        <f aca="false">IF($D503="","",IF($T503="","BEKLİYOR",IF(OR($U503=0,$S503=0),"DOĞRU",IF(AND($V503&gt;PazaryeriEksikHakedisEsik,$U503&gt;PazaryeriEksikHakedisTutarEsik),"EKSİK HAKEDİŞ","DOĞRU"))))</f>
        <v/>
      </c>
      <c r="X503" s="23" t="str">
        <f aca="false">IF($B503="","",CONCATENATE("Ürün: ",$B503," | Kâr: ",TEXT($Q503,"₺ #,##0")," | Durum: ",$W503))</f>
        <v/>
      </c>
      <c r="Y503" s="24"/>
    </row>
    <row r="504" customFormat="false" ht="15" hidden="false" customHeight="false" outlineLevel="0" collapsed="false">
      <c r="A504" s="24"/>
      <c r="B504" s="24"/>
      <c r="C504" s="22"/>
      <c r="D504" s="25"/>
      <c r="E504" s="22"/>
      <c r="F504" s="26"/>
      <c r="G504" s="26"/>
      <c r="H504" s="26"/>
      <c r="I504" s="26"/>
      <c r="J504" s="22"/>
      <c r="K504" s="20" t="n">
        <f aca="false">IF($D504="",0,$C504*$D504)</f>
        <v>0</v>
      </c>
      <c r="L504" s="20" t="n">
        <f aca="false">IF($D504="",0,$F504*$K504)</f>
        <v>0</v>
      </c>
      <c r="M504" s="20" t="n">
        <f aca="false">IF($D504="",0,$G504*$K504)</f>
        <v>0</v>
      </c>
      <c r="N504" s="20" t="n">
        <f aca="false">IF($D504="",0,$H504*$K504)</f>
        <v>0</v>
      </c>
      <c r="O504" s="20" t="n">
        <f aca="false">IF($D504="",0,$I504*$K504*(1-$F504))</f>
        <v>0</v>
      </c>
      <c r="P504" s="20" t="n">
        <f aca="false">IF($D504="",0,$E504*$D504+$L504+$M504+$N504+$O504+$J504*$D504)</f>
        <v>0</v>
      </c>
      <c r="Q504" s="20" t="n">
        <f aca="false">IF($D504="",0,$K504-$P504)</f>
        <v>0</v>
      </c>
      <c r="R504" s="21" t="n">
        <f aca="false">IF($K504=0,0,$Q504/$K504)</f>
        <v>0</v>
      </c>
      <c r="S504" s="20" t="n">
        <f aca="false">IF($D504="",0,$K504-$L504-$M504-$N504)</f>
        <v>0</v>
      </c>
      <c r="T504" s="22"/>
      <c r="U504" s="20" t="n">
        <f aca="false">IF($T504="",0,MAX(0,$S504-$T504))</f>
        <v>0</v>
      </c>
      <c r="V504" s="21" t="n">
        <f aca="false">IF($S504=0,0,$U504/$S504)</f>
        <v>0</v>
      </c>
      <c r="W504" s="23" t="str">
        <f aca="false">IF($D504="","",IF($T504="","BEKLİYOR",IF(OR($U504=0,$S504=0),"DOĞRU",IF(AND($V504&gt;PazaryeriEksikHakedisEsik,$U504&gt;PazaryeriEksikHakedisTutarEsik),"EKSİK HAKEDİŞ","DOĞRU"))))</f>
        <v/>
      </c>
      <c r="X504" s="23" t="str">
        <f aca="false">IF($B504="","",CONCATENATE("Ürün: ",$B504," | Kâr: ",TEXT($Q504,"₺ #,##0")," | Durum: ",$W504))</f>
        <v/>
      </c>
      <c r="Y504" s="24"/>
    </row>
    <row r="505" customFormat="false" ht="15" hidden="false" customHeight="false" outlineLevel="0" collapsed="false">
      <c r="A505" s="24"/>
      <c r="B505" s="24"/>
      <c r="C505" s="22"/>
      <c r="D505" s="25"/>
      <c r="E505" s="22"/>
      <c r="F505" s="26"/>
      <c r="G505" s="26"/>
      <c r="H505" s="26"/>
      <c r="I505" s="26"/>
      <c r="J505" s="22"/>
      <c r="K505" s="20" t="n">
        <f aca="false">IF($D505="",0,$C505*$D505)</f>
        <v>0</v>
      </c>
      <c r="L505" s="20" t="n">
        <f aca="false">IF($D505="",0,$F505*$K505)</f>
        <v>0</v>
      </c>
      <c r="M505" s="20" t="n">
        <f aca="false">IF($D505="",0,$G505*$K505)</f>
        <v>0</v>
      </c>
      <c r="N505" s="20" t="n">
        <f aca="false">IF($D505="",0,$H505*$K505)</f>
        <v>0</v>
      </c>
      <c r="O505" s="20" t="n">
        <f aca="false">IF($D505="",0,$I505*$K505*(1-$F505))</f>
        <v>0</v>
      </c>
      <c r="P505" s="20" t="n">
        <f aca="false">IF($D505="",0,$E505*$D505+$L505+$M505+$N505+$O505+$J505*$D505)</f>
        <v>0</v>
      </c>
      <c r="Q505" s="20" t="n">
        <f aca="false">IF($D505="",0,$K505-$P505)</f>
        <v>0</v>
      </c>
      <c r="R505" s="21" t="n">
        <f aca="false">IF($K505=0,0,$Q505/$K505)</f>
        <v>0</v>
      </c>
      <c r="S505" s="20" t="n">
        <f aca="false">IF($D505="",0,$K505-$L505-$M505-$N505)</f>
        <v>0</v>
      </c>
      <c r="T505" s="22"/>
      <c r="U505" s="20" t="n">
        <f aca="false">IF($T505="",0,MAX(0,$S505-$T505))</f>
        <v>0</v>
      </c>
      <c r="V505" s="21" t="n">
        <f aca="false">IF($S505=0,0,$U505/$S505)</f>
        <v>0</v>
      </c>
      <c r="W505" s="23" t="str">
        <f aca="false">IF($D505="","",IF($T505="","BEKLİYOR",IF(OR($U505=0,$S505=0),"DOĞRU",IF(AND($V505&gt;PazaryeriEksikHakedisEsik,$U505&gt;PazaryeriEksikHakedisTutarEsik),"EKSİK HAKEDİŞ","DOĞRU"))))</f>
        <v/>
      </c>
      <c r="X505" s="23" t="str">
        <f aca="false">IF($B505="","",CONCATENATE("Ürün: ",$B505," | Kâr: ",TEXT($Q505,"₺ #,##0")," | Durum: ",$W505))</f>
        <v/>
      </c>
      <c r="Y505" s="24"/>
    </row>
    <row r="506" customFormat="false" ht="15" hidden="false" customHeight="false" outlineLevel="0" collapsed="false">
      <c r="A506" s="24"/>
      <c r="B506" s="24"/>
      <c r="C506" s="22"/>
      <c r="D506" s="25"/>
      <c r="E506" s="22"/>
      <c r="F506" s="26"/>
      <c r="G506" s="26"/>
      <c r="H506" s="26"/>
      <c r="I506" s="26"/>
      <c r="J506" s="22"/>
      <c r="K506" s="20" t="n">
        <f aca="false">IF($D506="",0,$C506*$D506)</f>
        <v>0</v>
      </c>
      <c r="L506" s="20" t="n">
        <f aca="false">IF($D506="",0,$F506*$K506)</f>
        <v>0</v>
      </c>
      <c r="M506" s="20" t="n">
        <f aca="false">IF($D506="",0,$G506*$K506)</f>
        <v>0</v>
      </c>
      <c r="N506" s="20" t="n">
        <f aca="false">IF($D506="",0,$H506*$K506)</f>
        <v>0</v>
      </c>
      <c r="O506" s="20" t="n">
        <f aca="false">IF($D506="",0,$I506*$K506*(1-$F506))</f>
        <v>0</v>
      </c>
      <c r="P506" s="20" t="n">
        <f aca="false">IF($D506="",0,$E506*$D506+$L506+$M506+$N506+$O506+$J506*$D506)</f>
        <v>0</v>
      </c>
      <c r="Q506" s="20" t="n">
        <f aca="false">IF($D506="",0,$K506-$P506)</f>
        <v>0</v>
      </c>
      <c r="R506" s="21" t="n">
        <f aca="false">IF($K506=0,0,$Q506/$K506)</f>
        <v>0</v>
      </c>
      <c r="S506" s="20" t="n">
        <f aca="false">IF($D506="",0,$K506-$L506-$M506-$N506)</f>
        <v>0</v>
      </c>
      <c r="T506" s="22"/>
      <c r="U506" s="20" t="n">
        <f aca="false">IF($T506="",0,MAX(0,$S506-$T506))</f>
        <v>0</v>
      </c>
      <c r="V506" s="21" t="n">
        <f aca="false">IF($S506=0,0,$U506/$S506)</f>
        <v>0</v>
      </c>
      <c r="W506" s="23" t="str">
        <f aca="false">IF($D506="","",IF($T506="","BEKLİYOR",IF(OR($U506=0,$S506=0),"DOĞRU",IF(AND($V506&gt;PazaryeriEksikHakedisEsik,$U506&gt;PazaryeriEksikHakedisTutarEsik),"EKSİK HAKEDİŞ","DOĞRU"))))</f>
        <v/>
      </c>
      <c r="X506" s="23" t="str">
        <f aca="false">IF($B506="","",CONCATENATE("Ürün: ",$B506," | Kâr: ",TEXT($Q506,"₺ #,##0")," | Durum: ",$W506))</f>
        <v/>
      </c>
      <c r="Y506" s="24"/>
    </row>
    <row r="507" customFormat="false" ht="15" hidden="false" customHeight="false" outlineLevel="0" collapsed="false">
      <c r="A507" s="24"/>
      <c r="B507" s="24"/>
      <c r="C507" s="22"/>
      <c r="D507" s="25"/>
      <c r="E507" s="22"/>
      <c r="F507" s="26"/>
      <c r="G507" s="26"/>
      <c r="H507" s="26"/>
      <c r="I507" s="26"/>
      <c r="J507" s="22"/>
      <c r="K507" s="20" t="n">
        <f aca="false">IF($D507="",0,$C507*$D507)</f>
        <v>0</v>
      </c>
      <c r="L507" s="20" t="n">
        <f aca="false">IF($D507="",0,$F507*$K507)</f>
        <v>0</v>
      </c>
      <c r="M507" s="20" t="n">
        <f aca="false">IF($D507="",0,$G507*$K507)</f>
        <v>0</v>
      </c>
      <c r="N507" s="20" t="n">
        <f aca="false">IF($D507="",0,$H507*$K507)</f>
        <v>0</v>
      </c>
      <c r="O507" s="20" t="n">
        <f aca="false">IF($D507="",0,$I507*$K507*(1-$F507))</f>
        <v>0</v>
      </c>
      <c r="P507" s="20" t="n">
        <f aca="false">IF($D507="",0,$E507*$D507+$L507+$M507+$N507+$O507+$J507*$D507)</f>
        <v>0</v>
      </c>
      <c r="Q507" s="20" t="n">
        <f aca="false">IF($D507="",0,$K507-$P507)</f>
        <v>0</v>
      </c>
      <c r="R507" s="21" t="n">
        <f aca="false">IF($K507=0,0,$Q507/$K507)</f>
        <v>0</v>
      </c>
      <c r="S507" s="20" t="n">
        <f aca="false">IF($D507="",0,$K507-$L507-$M507-$N507)</f>
        <v>0</v>
      </c>
      <c r="T507" s="22"/>
      <c r="U507" s="20" t="n">
        <f aca="false">IF($T507="",0,MAX(0,$S507-$T507))</f>
        <v>0</v>
      </c>
      <c r="V507" s="21" t="n">
        <f aca="false">IF($S507=0,0,$U507/$S507)</f>
        <v>0</v>
      </c>
      <c r="W507" s="23" t="str">
        <f aca="false">IF($D507="","",IF($T507="","BEKLİYOR",IF(OR($U507=0,$S507=0),"DOĞRU",IF(AND($V507&gt;PazaryeriEksikHakedisEsik,$U507&gt;PazaryeriEksikHakedisTutarEsik),"EKSİK HAKEDİŞ","DOĞRU"))))</f>
        <v/>
      </c>
      <c r="X507" s="23" t="str">
        <f aca="false">IF($B507="","",CONCATENATE("Ürün: ",$B507," | Kâr: ",TEXT($Q507,"₺ #,##0")," | Durum: ",$W507))</f>
        <v/>
      </c>
      <c r="Y507" s="24"/>
    </row>
    <row r="508" customFormat="false" ht="15" hidden="false" customHeight="false" outlineLevel="0" collapsed="false">
      <c r="A508" s="24"/>
      <c r="B508" s="24"/>
      <c r="C508" s="22"/>
      <c r="D508" s="25"/>
      <c r="E508" s="22"/>
      <c r="F508" s="26"/>
      <c r="G508" s="26"/>
      <c r="H508" s="26"/>
      <c r="I508" s="26"/>
      <c r="J508" s="22"/>
      <c r="K508" s="20" t="n">
        <f aca="false">IF($D508="",0,$C508*$D508)</f>
        <v>0</v>
      </c>
      <c r="L508" s="20" t="n">
        <f aca="false">IF($D508="",0,$F508*$K508)</f>
        <v>0</v>
      </c>
      <c r="M508" s="20" t="n">
        <f aca="false">IF($D508="",0,$G508*$K508)</f>
        <v>0</v>
      </c>
      <c r="N508" s="20" t="n">
        <f aca="false">IF($D508="",0,$H508*$K508)</f>
        <v>0</v>
      </c>
      <c r="O508" s="20" t="n">
        <f aca="false">IF($D508="",0,$I508*$K508*(1-$F508))</f>
        <v>0</v>
      </c>
      <c r="P508" s="20" t="n">
        <f aca="false">IF($D508="",0,$E508*$D508+$L508+$M508+$N508+$O508+$J508*$D508)</f>
        <v>0</v>
      </c>
      <c r="Q508" s="20" t="n">
        <f aca="false">IF($D508="",0,$K508-$P508)</f>
        <v>0</v>
      </c>
      <c r="R508" s="21" t="n">
        <f aca="false">IF($K508=0,0,$Q508/$K508)</f>
        <v>0</v>
      </c>
      <c r="S508" s="20" t="n">
        <f aca="false">IF($D508="",0,$K508-$L508-$M508-$N508)</f>
        <v>0</v>
      </c>
      <c r="T508" s="22"/>
      <c r="U508" s="20" t="n">
        <f aca="false">IF($T508="",0,MAX(0,$S508-$T508))</f>
        <v>0</v>
      </c>
      <c r="V508" s="21" t="n">
        <f aca="false">IF($S508=0,0,$U508/$S508)</f>
        <v>0</v>
      </c>
      <c r="W508" s="23" t="str">
        <f aca="false">IF($D508="","",IF($T508="","BEKLİYOR",IF(OR($U508=0,$S508=0),"DOĞRU",IF(AND($V508&gt;PazaryeriEksikHakedisEsik,$U508&gt;PazaryeriEksikHakedisTutarEsik),"EKSİK HAKEDİŞ","DOĞRU"))))</f>
        <v/>
      </c>
      <c r="X508" s="23" t="str">
        <f aca="false">IF($B508="","",CONCATENATE("Ürün: ",$B508," | Kâr: ",TEXT($Q508,"₺ #,##0")," | Durum: ",$W508))</f>
        <v/>
      </c>
      <c r="Y508" s="24"/>
    </row>
    <row r="509" customFormat="false" ht="15" hidden="false" customHeight="false" outlineLevel="0" collapsed="false">
      <c r="A509" s="24"/>
      <c r="B509" s="24"/>
      <c r="C509" s="22"/>
      <c r="D509" s="25"/>
      <c r="E509" s="22"/>
      <c r="F509" s="26"/>
      <c r="G509" s="26"/>
      <c r="H509" s="26"/>
      <c r="I509" s="26"/>
      <c r="J509" s="22"/>
      <c r="K509" s="20" t="n">
        <f aca="false">IF($D509="",0,$C509*$D509)</f>
        <v>0</v>
      </c>
      <c r="L509" s="20" t="n">
        <f aca="false">IF($D509="",0,$F509*$K509)</f>
        <v>0</v>
      </c>
      <c r="M509" s="20" t="n">
        <f aca="false">IF($D509="",0,$G509*$K509)</f>
        <v>0</v>
      </c>
      <c r="N509" s="20" t="n">
        <f aca="false">IF($D509="",0,$H509*$K509)</f>
        <v>0</v>
      </c>
      <c r="O509" s="20" t="n">
        <f aca="false">IF($D509="",0,$I509*$K509*(1-$F509))</f>
        <v>0</v>
      </c>
      <c r="P509" s="20" t="n">
        <f aca="false">IF($D509="",0,$E509*$D509+$L509+$M509+$N509+$O509+$J509*$D509)</f>
        <v>0</v>
      </c>
      <c r="Q509" s="20" t="n">
        <f aca="false">IF($D509="",0,$K509-$P509)</f>
        <v>0</v>
      </c>
      <c r="R509" s="21" t="n">
        <f aca="false">IF($K509=0,0,$Q509/$K509)</f>
        <v>0</v>
      </c>
      <c r="S509" s="20" t="n">
        <f aca="false">IF($D509="",0,$K509-$L509-$M509-$N509)</f>
        <v>0</v>
      </c>
      <c r="T509" s="22"/>
      <c r="U509" s="20" t="n">
        <f aca="false">IF($T509="",0,MAX(0,$S509-$T509))</f>
        <v>0</v>
      </c>
      <c r="V509" s="21" t="n">
        <f aca="false">IF($S509=0,0,$U509/$S509)</f>
        <v>0</v>
      </c>
      <c r="W509" s="23" t="str">
        <f aca="false">IF($D509="","",IF($T509="","BEKLİYOR",IF(OR($U509=0,$S509=0),"DOĞRU",IF(AND($V509&gt;PazaryeriEksikHakedisEsik,$U509&gt;PazaryeriEksikHakedisTutarEsik),"EKSİK HAKEDİŞ","DOĞRU"))))</f>
        <v/>
      </c>
      <c r="X509" s="23" t="str">
        <f aca="false">IF($B509="","",CONCATENATE("Ürün: ",$B509," | Kâr: ",TEXT($Q509,"₺ #,##0")," | Durum: ",$W509))</f>
        <v/>
      </c>
      <c r="Y509" s="24"/>
    </row>
    <row r="510" customFormat="false" ht="15" hidden="false" customHeight="false" outlineLevel="0" collapsed="false">
      <c r="A510" s="24"/>
      <c r="B510" s="24"/>
      <c r="C510" s="22"/>
      <c r="D510" s="25"/>
      <c r="E510" s="22"/>
      <c r="F510" s="26"/>
      <c r="G510" s="26"/>
      <c r="H510" s="26"/>
      <c r="I510" s="26"/>
      <c r="J510" s="22"/>
      <c r="K510" s="20" t="n">
        <f aca="false">IF($D510="",0,$C510*$D510)</f>
        <v>0</v>
      </c>
      <c r="L510" s="20" t="n">
        <f aca="false">IF($D510="",0,$F510*$K510)</f>
        <v>0</v>
      </c>
      <c r="M510" s="20" t="n">
        <f aca="false">IF($D510="",0,$G510*$K510)</f>
        <v>0</v>
      </c>
      <c r="N510" s="20" t="n">
        <f aca="false">IF($D510="",0,$H510*$K510)</f>
        <v>0</v>
      </c>
      <c r="O510" s="20" t="n">
        <f aca="false">IF($D510="",0,$I510*$K510*(1-$F510))</f>
        <v>0</v>
      </c>
      <c r="P510" s="20" t="n">
        <f aca="false">IF($D510="",0,$E510*$D510+$L510+$M510+$N510+$O510+$J510*$D510)</f>
        <v>0</v>
      </c>
      <c r="Q510" s="20" t="n">
        <f aca="false">IF($D510="",0,$K510-$P510)</f>
        <v>0</v>
      </c>
      <c r="R510" s="21" t="n">
        <f aca="false">IF($K510=0,0,$Q510/$K510)</f>
        <v>0</v>
      </c>
      <c r="S510" s="20" t="n">
        <f aca="false">IF($D510="",0,$K510-$L510-$M510-$N510)</f>
        <v>0</v>
      </c>
      <c r="T510" s="22"/>
      <c r="U510" s="20" t="n">
        <f aca="false">IF($T510="",0,MAX(0,$S510-$T510))</f>
        <v>0</v>
      </c>
      <c r="V510" s="21" t="n">
        <f aca="false">IF($S510=0,0,$U510/$S510)</f>
        <v>0</v>
      </c>
      <c r="W510" s="23" t="str">
        <f aca="false">IF($D510="","",IF($T510="","BEKLİYOR",IF(OR($U510=0,$S510=0),"DOĞRU",IF(AND($V510&gt;PazaryeriEksikHakedisEsik,$U510&gt;PazaryeriEksikHakedisTutarEsik),"EKSİK HAKEDİŞ","DOĞRU"))))</f>
        <v/>
      </c>
      <c r="X510" s="23" t="str">
        <f aca="false">IF($B510="","",CONCATENATE("Ürün: ",$B510," | Kâr: ",TEXT($Q510,"₺ #,##0")," | Durum: ",$W510))</f>
        <v/>
      </c>
      <c r="Y510" s="24"/>
    </row>
    <row r="511" customFormat="false" ht="15" hidden="false" customHeight="false" outlineLevel="0" collapsed="false">
      <c r="A511" s="24"/>
      <c r="B511" s="24"/>
      <c r="C511" s="22"/>
      <c r="D511" s="25"/>
      <c r="E511" s="22"/>
      <c r="F511" s="26"/>
      <c r="G511" s="26"/>
      <c r="H511" s="26"/>
      <c r="I511" s="26"/>
      <c r="J511" s="22"/>
      <c r="K511" s="20" t="n">
        <f aca="false">IF($D511="",0,$C511*$D511)</f>
        <v>0</v>
      </c>
      <c r="L511" s="20" t="n">
        <f aca="false">IF($D511="",0,$F511*$K511)</f>
        <v>0</v>
      </c>
      <c r="M511" s="20" t="n">
        <f aca="false">IF($D511="",0,$G511*$K511)</f>
        <v>0</v>
      </c>
      <c r="N511" s="20" t="n">
        <f aca="false">IF($D511="",0,$H511*$K511)</f>
        <v>0</v>
      </c>
      <c r="O511" s="20" t="n">
        <f aca="false">IF($D511="",0,$I511*$K511*(1-$F511))</f>
        <v>0</v>
      </c>
      <c r="P511" s="20" t="n">
        <f aca="false">IF($D511="",0,$E511*$D511+$L511+$M511+$N511+$O511+$J511*$D511)</f>
        <v>0</v>
      </c>
      <c r="Q511" s="20" t="n">
        <f aca="false">IF($D511="",0,$K511-$P511)</f>
        <v>0</v>
      </c>
      <c r="R511" s="21" t="n">
        <f aca="false">IF($K511=0,0,$Q511/$K511)</f>
        <v>0</v>
      </c>
      <c r="S511" s="20" t="n">
        <f aca="false">IF($D511="",0,$K511-$L511-$M511-$N511)</f>
        <v>0</v>
      </c>
      <c r="T511" s="22"/>
      <c r="U511" s="20" t="n">
        <f aca="false">IF($T511="",0,MAX(0,$S511-$T511))</f>
        <v>0</v>
      </c>
      <c r="V511" s="21" t="n">
        <f aca="false">IF($S511=0,0,$U511/$S511)</f>
        <v>0</v>
      </c>
      <c r="W511" s="23" t="str">
        <f aca="false">IF($D511="","",IF($T511="","BEKLİYOR",IF(OR($U511=0,$S511=0),"DOĞRU",IF(AND($V511&gt;PazaryeriEksikHakedisEsik,$U511&gt;PazaryeriEksikHakedisTutarEsik),"EKSİK HAKEDİŞ","DOĞRU"))))</f>
        <v/>
      </c>
      <c r="X511" s="23" t="str">
        <f aca="false">IF($B511="","",CONCATENATE("Ürün: ",$B511," | Kâr: ",TEXT($Q511,"₺ #,##0")," | Durum: ",$W511))</f>
        <v/>
      </c>
      <c r="Y511" s="24"/>
    </row>
    <row r="512" customFormat="false" ht="15" hidden="false" customHeight="false" outlineLevel="0" collapsed="false">
      <c r="A512" s="24"/>
      <c r="B512" s="24"/>
      <c r="C512" s="22"/>
      <c r="D512" s="25"/>
      <c r="E512" s="22"/>
      <c r="F512" s="26"/>
      <c r="G512" s="26"/>
      <c r="H512" s="26"/>
      <c r="I512" s="26"/>
      <c r="J512" s="22"/>
      <c r="K512" s="20" t="n">
        <f aca="false">IF($D512="",0,$C512*$D512)</f>
        <v>0</v>
      </c>
      <c r="L512" s="20" t="n">
        <f aca="false">IF($D512="",0,$F512*$K512)</f>
        <v>0</v>
      </c>
      <c r="M512" s="20" t="n">
        <f aca="false">IF($D512="",0,$G512*$K512)</f>
        <v>0</v>
      </c>
      <c r="N512" s="20" t="n">
        <f aca="false">IF($D512="",0,$H512*$K512)</f>
        <v>0</v>
      </c>
      <c r="O512" s="20" t="n">
        <f aca="false">IF($D512="",0,$I512*$K512*(1-$F512))</f>
        <v>0</v>
      </c>
      <c r="P512" s="20" t="n">
        <f aca="false">IF($D512="",0,$E512*$D512+$L512+$M512+$N512+$O512+$J512*$D512)</f>
        <v>0</v>
      </c>
      <c r="Q512" s="20" t="n">
        <f aca="false">IF($D512="",0,$K512-$P512)</f>
        <v>0</v>
      </c>
      <c r="R512" s="21" t="n">
        <f aca="false">IF($K512=0,0,$Q512/$K512)</f>
        <v>0</v>
      </c>
      <c r="S512" s="20" t="n">
        <f aca="false">IF($D512="",0,$K512-$L512-$M512-$N512)</f>
        <v>0</v>
      </c>
      <c r="T512" s="22"/>
      <c r="U512" s="20" t="n">
        <f aca="false">IF($T512="",0,MAX(0,$S512-$T512))</f>
        <v>0</v>
      </c>
      <c r="V512" s="21" t="n">
        <f aca="false">IF($S512=0,0,$U512/$S512)</f>
        <v>0</v>
      </c>
      <c r="W512" s="23" t="str">
        <f aca="false">IF($D512="","",IF($T512="","BEKLİYOR",IF(OR($U512=0,$S512=0),"DOĞRU",IF(AND($V512&gt;PazaryeriEksikHakedisEsik,$U512&gt;PazaryeriEksikHakedisTutarEsik),"EKSİK HAKEDİŞ","DOĞRU"))))</f>
        <v/>
      </c>
      <c r="X512" s="23" t="str">
        <f aca="false">IF($B512="","",CONCATENATE("Ürün: ",$B512," | Kâr: ",TEXT($Q512,"₺ #,##0")," | Durum: ",$W512))</f>
        <v/>
      </c>
      <c r="Y512" s="24"/>
    </row>
    <row r="513" customFormat="false" ht="15" hidden="false" customHeight="false" outlineLevel="0" collapsed="false">
      <c r="A513" s="24"/>
      <c r="B513" s="24"/>
      <c r="C513" s="22"/>
      <c r="D513" s="25"/>
      <c r="E513" s="22"/>
      <c r="F513" s="26"/>
      <c r="G513" s="26"/>
      <c r="H513" s="26"/>
      <c r="I513" s="26"/>
      <c r="J513" s="22"/>
      <c r="K513" s="20" t="n">
        <f aca="false">IF($D513="",0,$C513*$D513)</f>
        <v>0</v>
      </c>
      <c r="L513" s="20" t="n">
        <f aca="false">IF($D513="",0,$F513*$K513)</f>
        <v>0</v>
      </c>
      <c r="M513" s="20" t="n">
        <f aca="false">IF($D513="",0,$G513*$K513)</f>
        <v>0</v>
      </c>
      <c r="N513" s="20" t="n">
        <f aca="false">IF($D513="",0,$H513*$K513)</f>
        <v>0</v>
      </c>
      <c r="O513" s="20" t="n">
        <f aca="false">IF($D513="",0,$I513*$K513*(1-$F513))</f>
        <v>0</v>
      </c>
      <c r="P513" s="20" t="n">
        <f aca="false">IF($D513="",0,$E513*$D513+$L513+$M513+$N513+$O513+$J513*$D513)</f>
        <v>0</v>
      </c>
      <c r="Q513" s="20" t="n">
        <f aca="false">IF($D513="",0,$K513-$P513)</f>
        <v>0</v>
      </c>
      <c r="R513" s="21" t="n">
        <f aca="false">IF($K513=0,0,$Q513/$K513)</f>
        <v>0</v>
      </c>
      <c r="S513" s="20" t="n">
        <f aca="false">IF($D513="",0,$K513-$L513-$M513-$N513)</f>
        <v>0</v>
      </c>
      <c r="T513" s="22"/>
      <c r="U513" s="20" t="n">
        <f aca="false">IF($T513="",0,MAX(0,$S513-$T513))</f>
        <v>0</v>
      </c>
      <c r="V513" s="21" t="n">
        <f aca="false">IF($S513=0,0,$U513/$S513)</f>
        <v>0</v>
      </c>
      <c r="W513" s="23" t="str">
        <f aca="false">IF($D513="","",IF($T513="","BEKLİYOR",IF(OR($U513=0,$S513=0),"DOĞRU",IF(AND($V513&gt;PazaryeriEksikHakedisEsik,$U513&gt;PazaryeriEksikHakedisTutarEsik),"EKSİK HAKEDİŞ","DOĞRU"))))</f>
        <v/>
      </c>
      <c r="X513" s="23" t="str">
        <f aca="false">IF($B513="","",CONCATENATE("Ürün: ",$B513," | Kâr: ",TEXT($Q513,"₺ #,##0")," | Durum: ",$W513))</f>
        <v/>
      </c>
      <c r="Y513" s="24"/>
    </row>
    <row r="514" customFormat="false" ht="15" hidden="false" customHeight="false" outlineLevel="0" collapsed="false">
      <c r="A514" s="24"/>
      <c r="B514" s="24"/>
      <c r="C514" s="22"/>
      <c r="D514" s="25"/>
      <c r="E514" s="22"/>
      <c r="F514" s="26"/>
      <c r="G514" s="26"/>
      <c r="H514" s="26"/>
      <c r="I514" s="26"/>
      <c r="J514" s="22"/>
      <c r="K514" s="20" t="n">
        <f aca="false">IF($D514="",0,$C514*$D514)</f>
        <v>0</v>
      </c>
      <c r="L514" s="20" t="n">
        <f aca="false">IF($D514="",0,$F514*$K514)</f>
        <v>0</v>
      </c>
      <c r="M514" s="20" t="n">
        <f aca="false">IF($D514="",0,$G514*$K514)</f>
        <v>0</v>
      </c>
      <c r="N514" s="20" t="n">
        <f aca="false">IF($D514="",0,$H514*$K514)</f>
        <v>0</v>
      </c>
      <c r="O514" s="20" t="n">
        <f aca="false">IF($D514="",0,$I514*$K514*(1-$F514))</f>
        <v>0</v>
      </c>
      <c r="P514" s="20" t="n">
        <f aca="false">IF($D514="",0,$E514*$D514+$L514+$M514+$N514+$O514+$J514*$D514)</f>
        <v>0</v>
      </c>
      <c r="Q514" s="20" t="n">
        <f aca="false">IF($D514="",0,$K514-$P514)</f>
        <v>0</v>
      </c>
      <c r="R514" s="21" t="n">
        <f aca="false">IF($K514=0,0,$Q514/$K514)</f>
        <v>0</v>
      </c>
      <c r="S514" s="20" t="n">
        <f aca="false">IF($D514="",0,$K514-$L514-$M514-$N514)</f>
        <v>0</v>
      </c>
      <c r="T514" s="22"/>
      <c r="U514" s="20" t="n">
        <f aca="false">IF($T514="",0,MAX(0,$S514-$T514))</f>
        <v>0</v>
      </c>
      <c r="V514" s="21" t="n">
        <f aca="false">IF($S514=0,0,$U514/$S514)</f>
        <v>0</v>
      </c>
      <c r="W514" s="23" t="str">
        <f aca="false">IF($D514="","",IF($T514="","BEKLİYOR",IF(OR($U514=0,$S514=0),"DOĞRU",IF(AND($V514&gt;PazaryeriEksikHakedisEsik,$U514&gt;PazaryeriEksikHakedisTutarEsik),"EKSİK HAKEDİŞ","DOĞRU"))))</f>
        <v/>
      </c>
      <c r="X514" s="23" t="str">
        <f aca="false">IF($B514="","",CONCATENATE("Ürün: ",$B514," | Kâr: ",TEXT($Q514,"₺ #,##0")," | Durum: ",$W514))</f>
        <v/>
      </c>
      <c r="Y514" s="24"/>
    </row>
    <row r="515" customFormat="false" ht="15" hidden="false" customHeight="false" outlineLevel="0" collapsed="false">
      <c r="A515" s="24"/>
      <c r="B515" s="24"/>
      <c r="C515" s="22"/>
      <c r="D515" s="25"/>
      <c r="E515" s="22"/>
      <c r="F515" s="26"/>
      <c r="G515" s="26"/>
      <c r="H515" s="26"/>
      <c r="I515" s="26"/>
      <c r="J515" s="22"/>
      <c r="K515" s="20" t="n">
        <f aca="false">IF($D515="",0,$C515*$D515)</f>
        <v>0</v>
      </c>
      <c r="L515" s="20" t="n">
        <f aca="false">IF($D515="",0,$F515*$K515)</f>
        <v>0</v>
      </c>
      <c r="M515" s="20" t="n">
        <f aca="false">IF($D515="",0,$G515*$K515)</f>
        <v>0</v>
      </c>
      <c r="N515" s="20" t="n">
        <f aca="false">IF($D515="",0,$H515*$K515)</f>
        <v>0</v>
      </c>
      <c r="O515" s="20" t="n">
        <f aca="false">IF($D515="",0,$I515*$K515*(1-$F515))</f>
        <v>0</v>
      </c>
      <c r="P515" s="20" t="n">
        <f aca="false">IF($D515="",0,$E515*$D515+$L515+$M515+$N515+$O515+$J515*$D515)</f>
        <v>0</v>
      </c>
      <c r="Q515" s="20" t="n">
        <f aca="false">IF($D515="",0,$K515-$P515)</f>
        <v>0</v>
      </c>
      <c r="R515" s="21" t="n">
        <f aca="false">IF($K515=0,0,$Q515/$K515)</f>
        <v>0</v>
      </c>
      <c r="S515" s="20" t="n">
        <f aca="false">IF($D515="",0,$K515-$L515-$M515-$N515)</f>
        <v>0</v>
      </c>
      <c r="T515" s="22"/>
      <c r="U515" s="20" t="n">
        <f aca="false">IF($T515="",0,MAX(0,$S515-$T515))</f>
        <v>0</v>
      </c>
      <c r="V515" s="21" t="n">
        <f aca="false">IF($S515=0,0,$U515/$S515)</f>
        <v>0</v>
      </c>
      <c r="W515" s="23" t="str">
        <f aca="false">IF($D515="","",IF($T515="","BEKLİYOR",IF(OR($U515=0,$S515=0),"DOĞRU",IF(AND($V515&gt;PazaryeriEksikHakedisEsik,$U515&gt;PazaryeriEksikHakedisTutarEsik),"EKSİK HAKEDİŞ","DOĞRU"))))</f>
        <v/>
      </c>
      <c r="X515" s="23" t="str">
        <f aca="false">IF($B515="","",CONCATENATE("Ürün: ",$B515," | Kâr: ",TEXT($Q515,"₺ #,##0")," | Durum: ",$W515))</f>
        <v/>
      </c>
      <c r="Y515" s="24"/>
    </row>
    <row r="516" customFormat="false" ht="15" hidden="false" customHeight="false" outlineLevel="0" collapsed="false">
      <c r="A516" s="24"/>
      <c r="B516" s="24"/>
      <c r="C516" s="22"/>
      <c r="D516" s="25"/>
      <c r="E516" s="22"/>
      <c r="F516" s="26"/>
      <c r="G516" s="26"/>
      <c r="H516" s="26"/>
      <c r="I516" s="26"/>
      <c r="J516" s="22"/>
      <c r="K516" s="20" t="n">
        <f aca="false">IF($D516="",0,$C516*$D516)</f>
        <v>0</v>
      </c>
      <c r="L516" s="20" t="n">
        <f aca="false">IF($D516="",0,$F516*$K516)</f>
        <v>0</v>
      </c>
      <c r="M516" s="20" t="n">
        <f aca="false">IF($D516="",0,$G516*$K516)</f>
        <v>0</v>
      </c>
      <c r="N516" s="20" t="n">
        <f aca="false">IF($D516="",0,$H516*$K516)</f>
        <v>0</v>
      </c>
      <c r="O516" s="20" t="n">
        <f aca="false">IF($D516="",0,$I516*$K516*(1-$F516))</f>
        <v>0</v>
      </c>
      <c r="P516" s="20" t="n">
        <f aca="false">IF($D516="",0,$E516*$D516+$L516+$M516+$N516+$O516+$J516*$D516)</f>
        <v>0</v>
      </c>
      <c r="Q516" s="20" t="n">
        <f aca="false">IF($D516="",0,$K516-$P516)</f>
        <v>0</v>
      </c>
      <c r="R516" s="21" t="n">
        <f aca="false">IF($K516=0,0,$Q516/$K516)</f>
        <v>0</v>
      </c>
      <c r="S516" s="20" t="n">
        <f aca="false">IF($D516="",0,$K516-$L516-$M516-$N516)</f>
        <v>0</v>
      </c>
      <c r="T516" s="22"/>
      <c r="U516" s="20" t="n">
        <f aca="false">IF($T516="",0,MAX(0,$S516-$T516))</f>
        <v>0</v>
      </c>
      <c r="V516" s="21" t="n">
        <f aca="false">IF($S516=0,0,$U516/$S516)</f>
        <v>0</v>
      </c>
      <c r="W516" s="23" t="str">
        <f aca="false">IF($D516="","",IF($T516="","BEKLİYOR",IF(OR($U516=0,$S516=0),"DOĞRU",IF(AND($V516&gt;PazaryeriEksikHakedisEsik,$U516&gt;PazaryeriEksikHakedisTutarEsik),"EKSİK HAKEDİŞ","DOĞRU"))))</f>
        <v/>
      </c>
      <c r="X516" s="23" t="str">
        <f aca="false">IF($B516="","",CONCATENATE("Ürün: ",$B516," | Kâr: ",TEXT($Q516,"₺ #,##0")," | Durum: ",$W516))</f>
        <v/>
      </c>
      <c r="Y516" s="24"/>
    </row>
    <row r="517" customFormat="false" ht="15" hidden="false" customHeight="false" outlineLevel="0" collapsed="false">
      <c r="A517" s="24"/>
      <c r="B517" s="24"/>
      <c r="C517" s="22"/>
      <c r="D517" s="25"/>
      <c r="E517" s="22"/>
      <c r="F517" s="26"/>
      <c r="G517" s="26"/>
      <c r="H517" s="26"/>
      <c r="I517" s="26"/>
      <c r="J517" s="22"/>
      <c r="K517" s="20" t="n">
        <f aca="false">IF($D517="",0,$C517*$D517)</f>
        <v>0</v>
      </c>
      <c r="L517" s="20" t="n">
        <f aca="false">IF($D517="",0,$F517*$K517)</f>
        <v>0</v>
      </c>
      <c r="M517" s="20" t="n">
        <f aca="false">IF($D517="",0,$G517*$K517)</f>
        <v>0</v>
      </c>
      <c r="N517" s="20" t="n">
        <f aca="false">IF($D517="",0,$H517*$K517)</f>
        <v>0</v>
      </c>
      <c r="O517" s="20" t="n">
        <f aca="false">IF($D517="",0,$I517*$K517*(1-$F517))</f>
        <v>0</v>
      </c>
      <c r="P517" s="20" t="n">
        <f aca="false">IF($D517="",0,$E517*$D517+$L517+$M517+$N517+$O517+$J517*$D517)</f>
        <v>0</v>
      </c>
      <c r="Q517" s="20" t="n">
        <f aca="false">IF($D517="",0,$K517-$P517)</f>
        <v>0</v>
      </c>
      <c r="R517" s="21" t="n">
        <f aca="false">IF($K517=0,0,$Q517/$K517)</f>
        <v>0</v>
      </c>
      <c r="S517" s="20" t="n">
        <f aca="false">IF($D517="",0,$K517-$L517-$M517-$N517)</f>
        <v>0</v>
      </c>
      <c r="T517" s="22"/>
      <c r="U517" s="20" t="n">
        <f aca="false">IF($T517="",0,MAX(0,$S517-$T517))</f>
        <v>0</v>
      </c>
      <c r="V517" s="21" t="n">
        <f aca="false">IF($S517=0,0,$U517/$S517)</f>
        <v>0</v>
      </c>
      <c r="W517" s="23" t="str">
        <f aca="false">IF($D517="","",IF($T517="","BEKLİYOR",IF(OR($U517=0,$S517=0),"DOĞRU",IF(AND($V517&gt;PazaryeriEksikHakedisEsik,$U517&gt;PazaryeriEksikHakedisTutarEsik),"EKSİK HAKEDİŞ","DOĞRU"))))</f>
        <v/>
      </c>
      <c r="X517" s="23" t="str">
        <f aca="false">IF($B517="","",CONCATENATE("Ürün: ",$B517," | Kâr: ",TEXT($Q517,"₺ #,##0")," | Durum: ",$W517))</f>
        <v/>
      </c>
      <c r="Y517" s="24"/>
    </row>
    <row r="518" customFormat="false" ht="15" hidden="false" customHeight="false" outlineLevel="0" collapsed="false">
      <c r="A518" s="24"/>
      <c r="B518" s="24"/>
      <c r="C518" s="22"/>
      <c r="D518" s="25"/>
      <c r="E518" s="22"/>
      <c r="F518" s="26"/>
      <c r="G518" s="26"/>
      <c r="H518" s="26"/>
      <c r="I518" s="26"/>
      <c r="J518" s="22"/>
      <c r="K518" s="20" t="n">
        <f aca="false">IF($D518="",0,$C518*$D518)</f>
        <v>0</v>
      </c>
      <c r="L518" s="20" t="n">
        <f aca="false">IF($D518="",0,$F518*$K518)</f>
        <v>0</v>
      </c>
      <c r="M518" s="20" t="n">
        <f aca="false">IF($D518="",0,$G518*$K518)</f>
        <v>0</v>
      </c>
      <c r="N518" s="20" t="n">
        <f aca="false">IF($D518="",0,$H518*$K518)</f>
        <v>0</v>
      </c>
      <c r="O518" s="20" t="n">
        <f aca="false">IF($D518="",0,$I518*$K518*(1-$F518))</f>
        <v>0</v>
      </c>
      <c r="P518" s="20" t="n">
        <f aca="false">IF($D518="",0,$E518*$D518+$L518+$M518+$N518+$O518+$J518*$D518)</f>
        <v>0</v>
      </c>
      <c r="Q518" s="20" t="n">
        <f aca="false">IF($D518="",0,$K518-$P518)</f>
        <v>0</v>
      </c>
      <c r="R518" s="21" t="n">
        <f aca="false">IF($K518=0,0,$Q518/$K518)</f>
        <v>0</v>
      </c>
      <c r="S518" s="20" t="n">
        <f aca="false">IF($D518="",0,$K518-$L518-$M518-$N518)</f>
        <v>0</v>
      </c>
      <c r="T518" s="22"/>
      <c r="U518" s="20" t="n">
        <f aca="false">IF($T518="",0,MAX(0,$S518-$T518))</f>
        <v>0</v>
      </c>
      <c r="V518" s="21" t="n">
        <f aca="false">IF($S518=0,0,$U518/$S518)</f>
        <v>0</v>
      </c>
      <c r="W518" s="23" t="str">
        <f aca="false">IF($D518="","",IF($T518="","BEKLİYOR",IF(OR($U518=0,$S518=0),"DOĞRU",IF(AND($V518&gt;PazaryeriEksikHakedisEsik,$U518&gt;PazaryeriEksikHakedisTutarEsik),"EKSİK HAKEDİŞ","DOĞRU"))))</f>
        <v/>
      </c>
      <c r="X518" s="23" t="str">
        <f aca="false">IF($B518="","",CONCATENATE("Ürün: ",$B518," | Kâr: ",TEXT($Q518,"₺ #,##0")," | Durum: ",$W518))</f>
        <v/>
      </c>
      <c r="Y518" s="24"/>
    </row>
    <row r="519" customFormat="false" ht="15" hidden="false" customHeight="false" outlineLevel="0" collapsed="false">
      <c r="A519" s="24"/>
      <c r="B519" s="24"/>
      <c r="C519" s="22"/>
      <c r="D519" s="25"/>
      <c r="E519" s="22"/>
      <c r="F519" s="26"/>
      <c r="G519" s="26"/>
      <c r="H519" s="26"/>
      <c r="I519" s="26"/>
      <c r="J519" s="22"/>
      <c r="K519" s="20" t="n">
        <f aca="false">IF($D519="",0,$C519*$D519)</f>
        <v>0</v>
      </c>
      <c r="L519" s="20" t="n">
        <f aca="false">IF($D519="",0,$F519*$K519)</f>
        <v>0</v>
      </c>
      <c r="M519" s="20" t="n">
        <f aca="false">IF($D519="",0,$G519*$K519)</f>
        <v>0</v>
      </c>
      <c r="N519" s="20" t="n">
        <f aca="false">IF($D519="",0,$H519*$K519)</f>
        <v>0</v>
      </c>
      <c r="O519" s="20" t="n">
        <f aca="false">IF($D519="",0,$I519*$K519*(1-$F519))</f>
        <v>0</v>
      </c>
      <c r="P519" s="20" t="n">
        <f aca="false">IF($D519="",0,$E519*$D519+$L519+$M519+$N519+$O519+$J519*$D519)</f>
        <v>0</v>
      </c>
      <c r="Q519" s="20" t="n">
        <f aca="false">IF($D519="",0,$K519-$P519)</f>
        <v>0</v>
      </c>
      <c r="R519" s="21" t="n">
        <f aca="false">IF($K519=0,0,$Q519/$K519)</f>
        <v>0</v>
      </c>
      <c r="S519" s="20" t="n">
        <f aca="false">IF($D519="",0,$K519-$L519-$M519-$N519)</f>
        <v>0</v>
      </c>
      <c r="T519" s="22"/>
      <c r="U519" s="20" t="n">
        <f aca="false">IF($T519="",0,MAX(0,$S519-$T519))</f>
        <v>0</v>
      </c>
      <c r="V519" s="21" t="n">
        <f aca="false">IF($S519=0,0,$U519/$S519)</f>
        <v>0</v>
      </c>
      <c r="W519" s="23" t="str">
        <f aca="false">IF($D519="","",IF($T519="","BEKLİYOR",IF(OR($U519=0,$S519=0),"DOĞRU",IF(AND($V519&gt;PazaryeriEksikHakedisEsik,$U519&gt;PazaryeriEksikHakedisTutarEsik),"EKSİK HAKEDİŞ","DOĞRU"))))</f>
        <v/>
      </c>
      <c r="X519" s="23" t="str">
        <f aca="false">IF($B519="","",CONCATENATE("Ürün: ",$B519," | Kâr: ",TEXT($Q519,"₺ #,##0")," | Durum: ",$W519))</f>
        <v/>
      </c>
      <c r="Y519" s="24"/>
    </row>
    <row r="520" customFormat="false" ht="15" hidden="false" customHeight="false" outlineLevel="0" collapsed="false">
      <c r="A520" s="24"/>
      <c r="B520" s="24"/>
      <c r="C520" s="22"/>
      <c r="D520" s="25"/>
      <c r="E520" s="22"/>
      <c r="F520" s="26"/>
      <c r="G520" s="26"/>
      <c r="H520" s="26"/>
      <c r="I520" s="26"/>
      <c r="J520" s="22"/>
      <c r="K520" s="20" t="n">
        <f aca="false">IF($D520="",0,$C520*$D520)</f>
        <v>0</v>
      </c>
      <c r="L520" s="20" t="n">
        <f aca="false">IF($D520="",0,$F520*$K520)</f>
        <v>0</v>
      </c>
      <c r="M520" s="20" t="n">
        <f aca="false">IF($D520="",0,$G520*$K520)</f>
        <v>0</v>
      </c>
      <c r="N520" s="20" t="n">
        <f aca="false">IF($D520="",0,$H520*$K520)</f>
        <v>0</v>
      </c>
      <c r="O520" s="20" t="n">
        <f aca="false">IF($D520="",0,$I520*$K520*(1-$F520))</f>
        <v>0</v>
      </c>
      <c r="P520" s="20" t="n">
        <f aca="false">IF($D520="",0,$E520*$D520+$L520+$M520+$N520+$O520+$J520*$D520)</f>
        <v>0</v>
      </c>
      <c r="Q520" s="20" t="n">
        <f aca="false">IF($D520="",0,$K520-$P520)</f>
        <v>0</v>
      </c>
      <c r="R520" s="21" t="n">
        <f aca="false">IF($K520=0,0,$Q520/$K520)</f>
        <v>0</v>
      </c>
      <c r="S520" s="20" t="n">
        <f aca="false">IF($D520="",0,$K520-$L520-$M520-$N520)</f>
        <v>0</v>
      </c>
      <c r="T520" s="22"/>
      <c r="U520" s="20" t="n">
        <f aca="false">IF($T520="",0,MAX(0,$S520-$T520))</f>
        <v>0</v>
      </c>
      <c r="V520" s="21" t="n">
        <f aca="false">IF($S520=0,0,$U520/$S520)</f>
        <v>0</v>
      </c>
      <c r="W520" s="23" t="str">
        <f aca="false">IF($D520="","",IF($T520="","BEKLİYOR",IF(OR($U520=0,$S520=0),"DOĞRU",IF(AND($V520&gt;PazaryeriEksikHakedisEsik,$U520&gt;PazaryeriEksikHakedisTutarEsik),"EKSİK HAKEDİŞ","DOĞRU"))))</f>
        <v/>
      </c>
      <c r="X520" s="23" t="str">
        <f aca="false">IF($B520="","",CONCATENATE("Ürün: ",$B520," | Kâr: ",TEXT($Q520,"₺ #,##0")," | Durum: ",$W520))</f>
        <v/>
      </c>
      <c r="Y520" s="24"/>
    </row>
    <row r="521" customFormat="false" ht="15" hidden="false" customHeight="false" outlineLevel="0" collapsed="false">
      <c r="A521" s="24"/>
      <c r="B521" s="24"/>
      <c r="C521" s="22"/>
      <c r="D521" s="25"/>
      <c r="E521" s="22"/>
      <c r="F521" s="26"/>
      <c r="G521" s="26"/>
      <c r="H521" s="26"/>
      <c r="I521" s="26"/>
      <c r="J521" s="22"/>
      <c r="K521" s="20" t="n">
        <f aca="false">IF($D521="",0,$C521*$D521)</f>
        <v>0</v>
      </c>
      <c r="L521" s="20" t="n">
        <f aca="false">IF($D521="",0,$F521*$K521)</f>
        <v>0</v>
      </c>
      <c r="M521" s="20" t="n">
        <f aca="false">IF($D521="",0,$G521*$K521)</f>
        <v>0</v>
      </c>
      <c r="N521" s="20" t="n">
        <f aca="false">IF($D521="",0,$H521*$K521)</f>
        <v>0</v>
      </c>
      <c r="O521" s="20" t="n">
        <f aca="false">IF($D521="",0,$I521*$K521*(1-$F521))</f>
        <v>0</v>
      </c>
      <c r="P521" s="20" t="n">
        <f aca="false">IF($D521="",0,$E521*$D521+$L521+$M521+$N521+$O521+$J521*$D521)</f>
        <v>0</v>
      </c>
      <c r="Q521" s="20" t="n">
        <f aca="false">IF($D521="",0,$K521-$P521)</f>
        <v>0</v>
      </c>
      <c r="R521" s="21" t="n">
        <f aca="false">IF($K521=0,0,$Q521/$K521)</f>
        <v>0</v>
      </c>
      <c r="S521" s="20" t="n">
        <f aca="false">IF($D521="",0,$K521-$L521-$M521-$N521)</f>
        <v>0</v>
      </c>
      <c r="T521" s="22"/>
      <c r="U521" s="20" t="n">
        <f aca="false">IF($T521="",0,MAX(0,$S521-$T521))</f>
        <v>0</v>
      </c>
      <c r="V521" s="21" t="n">
        <f aca="false">IF($S521=0,0,$U521/$S521)</f>
        <v>0</v>
      </c>
      <c r="W521" s="23" t="str">
        <f aca="false">IF($D521="","",IF($T521="","BEKLİYOR",IF(OR($U521=0,$S521=0),"DOĞRU",IF(AND($V521&gt;PazaryeriEksikHakedisEsik,$U521&gt;PazaryeriEksikHakedisTutarEsik),"EKSİK HAKEDİŞ","DOĞRU"))))</f>
        <v/>
      </c>
      <c r="X521" s="23" t="str">
        <f aca="false">IF($B521="","",CONCATENATE("Ürün: ",$B521," | Kâr: ",TEXT($Q521,"₺ #,##0")," | Durum: ",$W521))</f>
        <v/>
      </c>
      <c r="Y521" s="24"/>
    </row>
    <row r="522" customFormat="false" ht="15" hidden="false" customHeight="false" outlineLevel="0" collapsed="false">
      <c r="A522" s="24"/>
      <c r="B522" s="24"/>
      <c r="C522" s="22"/>
      <c r="D522" s="25"/>
      <c r="E522" s="22"/>
      <c r="F522" s="26"/>
      <c r="G522" s="26"/>
      <c r="H522" s="26"/>
      <c r="I522" s="26"/>
      <c r="J522" s="22"/>
      <c r="K522" s="20" t="n">
        <f aca="false">IF($D522="",0,$C522*$D522)</f>
        <v>0</v>
      </c>
      <c r="L522" s="20" t="n">
        <f aca="false">IF($D522="",0,$F522*$K522)</f>
        <v>0</v>
      </c>
      <c r="M522" s="20" t="n">
        <f aca="false">IF($D522="",0,$G522*$K522)</f>
        <v>0</v>
      </c>
      <c r="N522" s="20" t="n">
        <f aca="false">IF($D522="",0,$H522*$K522)</f>
        <v>0</v>
      </c>
      <c r="O522" s="20" t="n">
        <f aca="false">IF($D522="",0,$I522*$K522*(1-$F522))</f>
        <v>0</v>
      </c>
      <c r="P522" s="20" t="n">
        <f aca="false">IF($D522="",0,$E522*$D522+$L522+$M522+$N522+$O522+$J522*$D522)</f>
        <v>0</v>
      </c>
      <c r="Q522" s="20" t="n">
        <f aca="false">IF($D522="",0,$K522-$P522)</f>
        <v>0</v>
      </c>
      <c r="R522" s="21" t="n">
        <f aca="false">IF($K522=0,0,$Q522/$K522)</f>
        <v>0</v>
      </c>
      <c r="S522" s="20" t="n">
        <f aca="false">IF($D522="",0,$K522-$L522-$M522-$N522)</f>
        <v>0</v>
      </c>
      <c r="T522" s="22"/>
      <c r="U522" s="20" t="n">
        <f aca="false">IF($T522="",0,MAX(0,$S522-$T522))</f>
        <v>0</v>
      </c>
      <c r="V522" s="21" t="n">
        <f aca="false">IF($S522=0,0,$U522/$S522)</f>
        <v>0</v>
      </c>
      <c r="W522" s="23" t="str">
        <f aca="false">IF($D522="","",IF($T522="","BEKLİYOR",IF(OR($U522=0,$S522=0),"DOĞRU",IF(AND($V522&gt;PazaryeriEksikHakedisEsik,$U522&gt;PazaryeriEksikHakedisTutarEsik),"EKSİK HAKEDİŞ","DOĞRU"))))</f>
        <v/>
      </c>
      <c r="X522" s="23" t="str">
        <f aca="false">IF($B522="","",CONCATENATE("Ürün: ",$B522," | Kâr: ",TEXT($Q522,"₺ #,##0")," | Durum: ",$W522))</f>
        <v/>
      </c>
      <c r="Y522" s="24"/>
    </row>
    <row r="523" customFormat="false" ht="15" hidden="false" customHeight="false" outlineLevel="0" collapsed="false">
      <c r="A523" s="24"/>
      <c r="B523" s="24"/>
      <c r="C523" s="22"/>
      <c r="D523" s="25"/>
      <c r="E523" s="22"/>
      <c r="F523" s="26"/>
      <c r="G523" s="26"/>
      <c r="H523" s="26"/>
      <c r="I523" s="26"/>
      <c r="J523" s="22"/>
      <c r="K523" s="20" t="n">
        <f aca="false">IF($D523="",0,$C523*$D523)</f>
        <v>0</v>
      </c>
      <c r="L523" s="20" t="n">
        <f aca="false">IF($D523="",0,$F523*$K523)</f>
        <v>0</v>
      </c>
      <c r="M523" s="20" t="n">
        <f aca="false">IF($D523="",0,$G523*$K523)</f>
        <v>0</v>
      </c>
      <c r="N523" s="20" t="n">
        <f aca="false">IF($D523="",0,$H523*$K523)</f>
        <v>0</v>
      </c>
      <c r="O523" s="20" t="n">
        <f aca="false">IF($D523="",0,$I523*$K523*(1-$F523))</f>
        <v>0</v>
      </c>
      <c r="P523" s="20" t="n">
        <f aca="false">IF($D523="",0,$E523*$D523+$L523+$M523+$N523+$O523+$J523*$D523)</f>
        <v>0</v>
      </c>
      <c r="Q523" s="20" t="n">
        <f aca="false">IF($D523="",0,$K523-$P523)</f>
        <v>0</v>
      </c>
      <c r="R523" s="21" t="n">
        <f aca="false">IF($K523=0,0,$Q523/$K523)</f>
        <v>0</v>
      </c>
      <c r="S523" s="20" t="n">
        <f aca="false">IF($D523="",0,$K523-$L523-$M523-$N523)</f>
        <v>0</v>
      </c>
      <c r="T523" s="22"/>
      <c r="U523" s="20" t="n">
        <f aca="false">IF($T523="",0,MAX(0,$S523-$T523))</f>
        <v>0</v>
      </c>
      <c r="V523" s="21" t="n">
        <f aca="false">IF($S523=0,0,$U523/$S523)</f>
        <v>0</v>
      </c>
      <c r="W523" s="23" t="str">
        <f aca="false">IF($D523="","",IF($T523="","BEKLİYOR",IF(OR($U523=0,$S523=0),"DOĞRU",IF(AND($V523&gt;PazaryeriEksikHakedisEsik,$U523&gt;PazaryeriEksikHakedisTutarEsik),"EKSİK HAKEDİŞ","DOĞRU"))))</f>
        <v/>
      </c>
      <c r="X523" s="23" t="str">
        <f aca="false">IF($B523="","",CONCATENATE("Ürün: ",$B523," | Kâr: ",TEXT($Q523,"₺ #,##0")," | Durum: ",$W523))</f>
        <v/>
      </c>
      <c r="Y523" s="24"/>
    </row>
    <row r="524" customFormat="false" ht="15" hidden="false" customHeight="false" outlineLevel="0" collapsed="false">
      <c r="A524" s="24"/>
      <c r="B524" s="24"/>
      <c r="C524" s="22"/>
      <c r="D524" s="25"/>
      <c r="E524" s="22"/>
      <c r="F524" s="26"/>
      <c r="G524" s="26"/>
      <c r="H524" s="26"/>
      <c r="I524" s="26"/>
      <c r="J524" s="22"/>
      <c r="K524" s="20" t="n">
        <f aca="false">IF($D524="",0,$C524*$D524)</f>
        <v>0</v>
      </c>
      <c r="L524" s="20" t="n">
        <f aca="false">IF($D524="",0,$F524*$K524)</f>
        <v>0</v>
      </c>
      <c r="M524" s="20" t="n">
        <f aca="false">IF($D524="",0,$G524*$K524)</f>
        <v>0</v>
      </c>
      <c r="N524" s="20" t="n">
        <f aca="false">IF($D524="",0,$H524*$K524)</f>
        <v>0</v>
      </c>
      <c r="O524" s="20" t="n">
        <f aca="false">IF($D524="",0,$I524*$K524*(1-$F524))</f>
        <v>0</v>
      </c>
      <c r="P524" s="20" t="n">
        <f aca="false">IF($D524="",0,$E524*$D524+$L524+$M524+$N524+$O524+$J524*$D524)</f>
        <v>0</v>
      </c>
      <c r="Q524" s="20" t="n">
        <f aca="false">IF($D524="",0,$K524-$P524)</f>
        <v>0</v>
      </c>
      <c r="R524" s="21" t="n">
        <f aca="false">IF($K524=0,0,$Q524/$K524)</f>
        <v>0</v>
      </c>
      <c r="S524" s="20" t="n">
        <f aca="false">IF($D524="",0,$K524-$L524-$M524-$N524)</f>
        <v>0</v>
      </c>
      <c r="T524" s="22"/>
      <c r="U524" s="20" t="n">
        <f aca="false">IF($T524="",0,MAX(0,$S524-$T524))</f>
        <v>0</v>
      </c>
      <c r="V524" s="21" t="n">
        <f aca="false">IF($S524=0,0,$U524/$S524)</f>
        <v>0</v>
      </c>
      <c r="W524" s="23" t="str">
        <f aca="false">IF($D524="","",IF($T524="","BEKLİYOR",IF(OR($U524=0,$S524=0),"DOĞRU",IF(AND($V524&gt;PazaryeriEksikHakedisEsik,$U524&gt;PazaryeriEksikHakedisTutarEsik),"EKSİK HAKEDİŞ","DOĞRU"))))</f>
        <v/>
      </c>
      <c r="X524" s="23" t="str">
        <f aca="false">IF($B524="","",CONCATENATE("Ürün: ",$B524," | Kâr: ",TEXT($Q524,"₺ #,##0")," | Durum: ",$W524))</f>
        <v/>
      </c>
      <c r="Y524" s="24"/>
    </row>
    <row r="525" customFormat="false" ht="15" hidden="false" customHeight="false" outlineLevel="0" collapsed="false">
      <c r="A525" s="24"/>
      <c r="B525" s="24"/>
      <c r="C525" s="22"/>
      <c r="D525" s="25"/>
      <c r="E525" s="22"/>
      <c r="F525" s="26"/>
      <c r="G525" s="26"/>
      <c r="H525" s="26"/>
      <c r="I525" s="26"/>
      <c r="J525" s="22"/>
      <c r="K525" s="20" t="n">
        <f aca="false">IF($D525="",0,$C525*$D525)</f>
        <v>0</v>
      </c>
      <c r="L525" s="20" t="n">
        <f aca="false">IF($D525="",0,$F525*$K525)</f>
        <v>0</v>
      </c>
      <c r="M525" s="20" t="n">
        <f aca="false">IF($D525="",0,$G525*$K525)</f>
        <v>0</v>
      </c>
      <c r="N525" s="20" t="n">
        <f aca="false">IF($D525="",0,$H525*$K525)</f>
        <v>0</v>
      </c>
      <c r="O525" s="20" t="n">
        <f aca="false">IF($D525="",0,$I525*$K525*(1-$F525))</f>
        <v>0</v>
      </c>
      <c r="P525" s="20" t="n">
        <f aca="false">IF($D525="",0,$E525*$D525+$L525+$M525+$N525+$O525+$J525*$D525)</f>
        <v>0</v>
      </c>
      <c r="Q525" s="20" t="n">
        <f aca="false">IF($D525="",0,$K525-$P525)</f>
        <v>0</v>
      </c>
      <c r="R525" s="21" t="n">
        <f aca="false">IF($K525=0,0,$Q525/$K525)</f>
        <v>0</v>
      </c>
      <c r="S525" s="20" t="n">
        <f aca="false">IF($D525="",0,$K525-$L525-$M525-$N525)</f>
        <v>0</v>
      </c>
      <c r="T525" s="22"/>
      <c r="U525" s="20" t="n">
        <f aca="false">IF($T525="",0,MAX(0,$S525-$T525))</f>
        <v>0</v>
      </c>
      <c r="V525" s="21" t="n">
        <f aca="false">IF($S525=0,0,$U525/$S525)</f>
        <v>0</v>
      </c>
      <c r="W525" s="23" t="str">
        <f aca="false">IF($D525="","",IF($T525="","BEKLİYOR",IF(OR($U525=0,$S525=0),"DOĞRU",IF(AND($V525&gt;PazaryeriEksikHakedisEsik,$U525&gt;PazaryeriEksikHakedisTutarEsik),"EKSİK HAKEDİŞ","DOĞRU"))))</f>
        <v/>
      </c>
      <c r="X525" s="23" t="str">
        <f aca="false">IF($B525="","",CONCATENATE("Ürün: ",$B525," | Kâr: ",TEXT($Q525,"₺ #,##0")," | Durum: ",$W525))</f>
        <v/>
      </c>
      <c r="Y525" s="24"/>
    </row>
    <row r="526" customFormat="false" ht="15" hidden="false" customHeight="false" outlineLevel="0" collapsed="false">
      <c r="A526" s="24"/>
      <c r="B526" s="24"/>
      <c r="C526" s="22"/>
      <c r="D526" s="25"/>
      <c r="E526" s="22"/>
      <c r="F526" s="26"/>
      <c r="G526" s="26"/>
      <c r="H526" s="26"/>
      <c r="I526" s="26"/>
      <c r="J526" s="22"/>
      <c r="K526" s="20" t="n">
        <f aca="false">IF($D526="",0,$C526*$D526)</f>
        <v>0</v>
      </c>
      <c r="L526" s="20" t="n">
        <f aca="false">IF($D526="",0,$F526*$K526)</f>
        <v>0</v>
      </c>
      <c r="M526" s="20" t="n">
        <f aca="false">IF($D526="",0,$G526*$K526)</f>
        <v>0</v>
      </c>
      <c r="N526" s="20" t="n">
        <f aca="false">IF($D526="",0,$H526*$K526)</f>
        <v>0</v>
      </c>
      <c r="O526" s="20" t="n">
        <f aca="false">IF($D526="",0,$I526*$K526*(1-$F526))</f>
        <v>0</v>
      </c>
      <c r="P526" s="20" t="n">
        <f aca="false">IF($D526="",0,$E526*$D526+$L526+$M526+$N526+$O526+$J526*$D526)</f>
        <v>0</v>
      </c>
      <c r="Q526" s="20" t="n">
        <f aca="false">IF($D526="",0,$K526-$P526)</f>
        <v>0</v>
      </c>
      <c r="R526" s="21" t="n">
        <f aca="false">IF($K526=0,0,$Q526/$K526)</f>
        <v>0</v>
      </c>
      <c r="S526" s="20" t="n">
        <f aca="false">IF($D526="",0,$K526-$L526-$M526-$N526)</f>
        <v>0</v>
      </c>
      <c r="T526" s="22"/>
      <c r="U526" s="20" t="n">
        <f aca="false">IF($T526="",0,MAX(0,$S526-$T526))</f>
        <v>0</v>
      </c>
      <c r="V526" s="21" t="n">
        <f aca="false">IF($S526=0,0,$U526/$S526)</f>
        <v>0</v>
      </c>
      <c r="W526" s="23" t="str">
        <f aca="false">IF($D526="","",IF($T526="","BEKLİYOR",IF(OR($U526=0,$S526=0),"DOĞRU",IF(AND($V526&gt;PazaryeriEksikHakedisEsik,$U526&gt;PazaryeriEksikHakedisTutarEsik),"EKSİK HAKEDİŞ","DOĞRU"))))</f>
        <v/>
      </c>
      <c r="X526" s="23" t="str">
        <f aca="false">IF($B526="","",CONCATENATE("Ürün: ",$B526," | Kâr: ",TEXT($Q526,"₺ #,##0")," | Durum: ",$W526))</f>
        <v/>
      </c>
      <c r="Y526" s="24"/>
    </row>
    <row r="527" customFormat="false" ht="15" hidden="false" customHeight="false" outlineLevel="0" collapsed="false">
      <c r="A527" s="24"/>
      <c r="B527" s="24"/>
      <c r="C527" s="22"/>
      <c r="D527" s="25"/>
      <c r="E527" s="22"/>
      <c r="F527" s="26"/>
      <c r="G527" s="26"/>
      <c r="H527" s="26"/>
      <c r="I527" s="26"/>
      <c r="J527" s="22"/>
      <c r="K527" s="20" t="n">
        <f aca="false">IF($D527="",0,$C527*$D527)</f>
        <v>0</v>
      </c>
      <c r="L527" s="20" t="n">
        <f aca="false">IF($D527="",0,$F527*$K527)</f>
        <v>0</v>
      </c>
      <c r="M527" s="20" t="n">
        <f aca="false">IF($D527="",0,$G527*$K527)</f>
        <v>0</v>
      </c>
      <c r="N527" s="20" t="n">
        <f aca="false">IF($D527="",0,$H527*$K527)</f>
        <v>0</v>
      </c>
      <c r="O527" s="20" t="n">
        <f aca="false">IF($D527="",0,$I527*$K527*(1-$F527))</f>
        <v>0</v>
      </c>
      <c r="P527" s="20" t="n">
        <f aca="false">IF($D527="",0,$E527*$D527+$L527+$M527+$N527+$O527+$J527*$D527)</f>
        <v>0</v>
      </c>
      <c r="Q527" s="20" t="n">
        <f aca="false">IF($D527="",0,$K527-$P527)</f>
        <v>0</v>
      </c>
      <c r="R527" s="21" t="n">
        <f aca="false">IF($K527=0,0,$Q527/$K527)</f>
        <v>0</v>
      </c>
      <c r="S527" s="20" t="n">
        <f aca="false">IF($D527="",0,$K527-$L527-$M527-$N527)</f>
        <v>0</v>
      </c>
      <c r="T527" s="22"/>
      <c r="U527" s="20" t="n">
        <f aca="false">IF($T527="",0,MAX(0,$S527-$T527))</f>
        <v>0</v>
      </c>
      <c r="V527" s="21" t="n">
        <f aca="false">IF($S527=0,0,$U527/$S527)</f>
        <v>0</v>
      </c>
      <c r="W527" s="23" t="str">
        <f aca="false">IF($D527="","",IF($T527="","BEKLİYOR",IF(OR($U527=0,$S527=0),"DOĞRU",IF(AND($V527&gt;PazaryeriEksikHakedisEsik,$U527&gt;PazaryeriEksikHakedisTutarEsik),"EKSİK HAKEDİŞ","DOĞRU"))))</f>
        <v/>
      </c>
      <c r="X527" s="23" t="str">
        <f aca="false">IF($B527="","",CONCATENATE("Ürün: ",$B527," | Kâr: ",TEXT($Q527,"₺ #,##0")," | Durum: ",$W527))</f>
        <v/>
      </c>
      <c r="Y527" s="24"/>
    </row>
    <row r="528" customFormat="false" ht="15" hidden="false" customHeight="false" outlineLevel="0" collapsed="false">
      <c r="A528" s="24"/>
      <c r="B528" s="24"/>
      <c r="C528" s="22"/>
      <c r="D528" s="25"/>
      <c r="E528" s="22"/>
      <c r="F528" s="26"/>
      <c r="G528" s="26"/>
      <c r="H528" s="26"/>
      <c r="I528" s="26"/>
      <c r="J528" s="22"/>
      <c r="K528" s="20" t="n">
        <f aca="false">IF($D528="",0,$C528*$D528)</f>
        <v>0</v>
      </c>
      <c r="L528" s="20" t="n">
        <f aca="false">IF($D528="",0,$F528*$K528)</f>
        <v>0</v>
      </c>
      <c r="M528" s="20" t="n">
        <f aca="false">IF($D528="",0,$G528*$K528)</f>
        <v>0</v>
      </c>
      <c r="N528" s="20" t="n">
        <f aca="false">IF($D528="",0,$H528*$K528)</f>
        <v>0</v>
      </c>
      <c r="O528" s="20" t="n">
        <f aca="false">IF($D528="",0,$I528*$K528*(1-$F528))</f>
        <v>0</v>
      </c>
      <c r="P528" s="20" t="n">
        <f aca="false">IF($D528="",0,$E528*$D528+$L528+$M528+$N528+$O528+$J528*$D528)</f>
        <v>0</v>
      </c>
      <c r="Q528" s="20" t="n">
        <f aca="false">IF($D528="",0,$K528-$P528)</f>
        <v>0</v>
      </c>
      <c r="R528" s="21" t="n">
        <f aca="false">IF($K528=0,0,$Q528/$K528)</f>
        <v>0</v>
      </c>
      <c r="S528" s="20" t="n">
        <f aca="false">IF($D528="",0,$K528-$L528-$M528-$N528)</f>
        <v>0</v>
      </c>
      <c r="T528" s="22"/>
      <c r="U528" s="20" t="n">
        <f aca="false">IF($T528="",0,MAX(0,$S528-$T528))</f>
        <v>0</v>
      </c>
      <c r="V528" s="21" t="n">
        <f aca="false">IF($S528=0,0,$U528/$S528)</f>
        <v>0</v>
      </c>
      <c r="W528" s="23" t="str">
        <f aca="false">IF($D528="","",IF($T528="","BEKLİYOR",IF(OR($U528=0,$S528=0),"DOĞRU",IF(AND($V528&gt;PazaryeriEksikHakedisEsik,$U528&gt;PazaryeriEksikHakedisTutarEsik),"EKSİK HAKEDİŞ","DOĞRU"))))</f>
        <v/>
      </c>
      <c r="X528" s="23" t="str">
        <f aca="false">IF($B528="","",CONCATENATE("Ürün: ",$B528," | Kâr: ",TEXT($Q528,"₺ #,##0")," | Durum: ",$W528))</f>
        <v/>
      </c>
      <c r="Y528" s="24"/>
    </row>
    <row r="529" customFormat="false" ht="15" hidden="false" customHeight="false" outlineLevel="0" collapsed="false">
      <c r="A529" s="24"/>
      <c r="B529" s="24"/>
      <c r="C529" s="22"/>
      <c r="D529" s="25"/>
      <c r="E529" s="22"/>
      <c r="F529" s="26"/>
      <c r="G529" s="26"/>
      <c r="H529" s="26"/>
      <c r="I529" s="26"/>
      <c r="J529" s="22"/>
      <c r="K529" s="20" t="n">
        <f aca="false">IF($D529="",0,$C529*$D529)</f>
        <v>0</v>
      </c>
      <c r="L529" s="20" t="n">
        <f aca="false">IF($D529="",0,$F529*$K529)</f>
        <v>0</v>
      </c>
      <c r="M529" s="20" t="n">
        <f aca="false">IF($D529="",0,$G529*$K529)</f>
        <v>0</v>
      </c>
      <c r="N529" s="20" t="n">
        <f aca="false">IF($D529="",0,$H529*$K529)</f>
        <v>0</v>
      </c>
      <c r="O529" s="20" t="n">
        <f aca="false">IF($D529="",0,$I529*$K529*(1-$F529))</f>
        <v>0</v>
      </c>
      <c r="P529" s="20" t="n">
        <f aca="false">IF($D529="",0,$E529*$D529+$L529+$M529+$N529+$O529+$J529*$D529)</f>
        <v>0</v>
      </c>
      <c r="Q529" s="20" t="n">
        <f aca="false">IF($D529="",0,$K529-$P529)</f>
        <v>0</v>
      </c>
      <c r="R529" s="21" t="n">
        <f aca="false">IF($K529=0,0,$Q529/$K529)</f>
        <v>0</v>
      </c>
      <c r="S529" s="20" t="n">
        <f aca="false">IF($D529="",0,$K529-$L529-$M529-$N529)</f>
        <v>0</v>
      </c>
      <c r="T529" s="22"/>
      <c r="U529" s="20" t="n">
        <f aca="false">IF($T529="",0,MAX(0,$S529-$T529))</f>
        <v>0</v>
      </c>
      <c r="V529" s="21" t="n">
        <f aca="false">IF($S529=0,0,$U529/$S529)</f>
        <v>0</v>
      </c>
      <c r="W529" s="23" t="str">
        <f aca="false">IF($D529="","",IF($T529="","BEKLİYOR",IF(OR($U529=0,$S529=0),"DOĞRU",IF(AND($V529&gt;PazaryeriEksikHakedisEsik,$U529&gt;PazaryeriEksikHakedisTutarEsik),"EKSİK HAKEDİŞ","DOĞRU"))))</f>
        <v/>
      </c>
      <c r="X529" s="23" t="str">
        <f aca="false">IF($B529="","",CONCATENATE("Ürün: ",$B529," | Kâr: ",TEXT($Q529,"₺ #,##0")," | Durum: ",$W529))</f>
        <v/>
      </c>
      <c r="Y529" s="24"/>
    </row>
    <row r="530" customFormat="false" ht="15" hidden="false" customHeight="false" outlineLevel="0" collapsed="false">
      <c r="A530" s="24"/>
      <c r="B530" s="24"/>
      <c r="C530" s="22"/>
      <c r="D530" s="25"/>
      <c r="E530" s="22"/>
      <c r="F530" s="26"/>
      <c r="G530" s="26"/>
      <c r="H530" s="26"/>
      <c r="I530" s="26"/>
      <c r="J530" s="22"/>
      <c r="K530" s="20" t="n">
        <f aca="false">IF($D530="",0,$C530*$D530)</f>
        <v>0</v>
      </c>
      <c r="L530" s="20" t="n">
        <f aca="false">IF($D530="",0,$F530*$K530)</f>
        <v>0</v>
      </c>
      <c r="M530" s="20" t="n">
        <f aca="false">IF($D530="",0,$G530*$K530)</f>
        <v>0</v>
      </c>
      <c r="N530" s="20" t="n">
        <f aca="false">IF($D530="",0,$H530*$K530)</f>
        <v>0</v>
      </c>
      <c r="O530" s="20" t="n">
        <f aca="false">IF($D530="",0,$I530*$K530*(1-$F530))</f>
        <v>0</v>
      </c>
      <c r="P530" s="20" t="n">
        <f aca="false">IF($D530="",0,$E530*$D530+$L530+$M530+$N530+$O530+$J530*$D530)</f>
        <v>0</v>
      </c>
      <c r="Q530" s="20" t="n">
        <f aca="false">IF($D530="",0,$K530-$P530)</f>
        <v>0</v>
      </c>
      <c r="R530" s="21" t="n">
        <f aca="false">IF($K530=0,0,$Q530/$K530)</f>
        <v>0</v>
      </c>
      <c r="S530" s="20" t="n">
        <f aca="false">IF($D530="",0,$K530-$L530-$M530-$N530)</f>
        <v>0</v>
      </c>
      <c r="T530" s="22"/>
      <c r="U530" s="20" t="n">
        <f aca="false">IF($T530="",0,MAX(0,$S530-$T530))</f>
        <v>0</v>
      </c>
      <c r="V530" s="21" t="n">
        <f aca="false">IF($S530=0,0,$U530/$S530)</f>
        <v>0</v>
      </c>
      <c r="W530" s="23" t="str">
        <f aca="false">IF($D530="","",IF($T530="","BEKLİYOR",IF(OR($U530=0,$S530=0),"DOĞRU",IF(AND($V530&gt;PazaryeriEksikHakedisEsik,$U530&gt;PazaryeriEksikHakedisTutarEsik),"EKSİK HAKEDİŞ","DOĞRU"))))</f>
        <v/>
      </c>
      <c r="X530" s="23" t="str">
        <f aca="false">IF($B530="","",CONCATENATE("Ürün: ",$B530," | Kâr: ",TEXT($Q530,"₺ #,##0")," | Durum: ",$W530))</f>
        <v/>
      </c>
      <c r="Y530" s="24"/>
    </row>
    <row r="531" customFormat="false" ht="15" hidden="false" customHeight="false" outlineLevel="0" collapsed="false">
      <c r="A531" s="24"/>
      <c r="B531" s="24"/>
      <c r="C531" s="22"/>
      <c r="D531" s="25"/>
      <c r="E531" s="22"/>
      <c r="F531" s="26"/>
      <c r="G531" s="26"/>
      <c r="H531" s="26"/>
      <c r="I531" s="26"/>
      <c r="J531" s="22"/>
      <c r="K531" s="20" t="n">
        <f aca="false">IF($D531="",0,$C531*$D531)</f>
        <v>0</v>
      </c>
      <c r="L531" s="20" t="n">
        <f aca="false">IF($D531="",0,$F531*$K531)</f>
        <v>0</v>
      </c>
      <c r="M531" s="20" t="n">
        <f aca="false">IF($D531="",0,$G531*$K531)</f>
        <v>0</v>
      </c>
      <c r="N531" s="20" t="n">
        <f aca="false">IF($D531="",0,$H531*$K531)</f>
        <v>0</v>
      </c>
      <c r="O531" s="20" t="n">
        <f aca="false">IF($D531="",0,$I531*$K531*(1-$F531))</f>
        <v>0</v>
      </c>
      <c r="P531" s="20" t="n">
        <f aca="false">IF($D531="",0,$E531*$D531+$L531+$M531+$N531+$O531+$J531*$D531)</f>
        <v>0</v>
      </c>
      <c r="Q531" s="20" t="n">
        <f aca="false">IF($D531="",0,$K531-$P531)</f>
        <v>0</v>
      </c>
      <c r="R531" s="21" t="n">
        <f aca="false">IF($K531=0,0,$Q531/$K531)</f>
        <v>0</v>
      </c>
      <c r="S531" s="20" t="n">
        <f aca="false">IF($D531="",0,$K531-$L531-$M531-$N531)</f>
        <v>0</v>
      </c>
      <c r="T531" s="22"/>
      <c r="U531" s="20" t="n">
        <f aca="false">IF($T531="",0,MAX(0,$S531-$T531))</f>
        <v>0</v>
      </c>
      <c r="V531" s="21" t="n">
        <f aca="false">IF($S531=0,0,$U531/$S531)</f>
        <v>0</v>
      </c>
      <c r="W531" s="23" t="str">
        <f aca="false">IF($D531="","",IF($T531="","BEKLİYOR",IF(OR($U531=0,$S531=0),"DOĞRU",IF(AND($V531&gt;PazaryeriEksikHakedisEsik,$U531&gt;PazaryeriEksikHakedisTutarEsik),"EKSİK HAKEDİŞ","DOĞRU"))))</f>
        <v/>
      </c>
      <c r="X531" s="23" t="str">
        <f aca="false">IF($B531="","",CONCATENATE("Ürün: ",$B531," | Kâr: ",TEXT($Q531,"₺ #,##0")," | Durum: ",$W531))</f>
        <v/>
      </c>
      <c r="Y531" s="24"/>
    </row>
    <row r="532" customFormat="false" ht="15" hidden="false" customHeight="false" outlineLevel="0" collapsed="false">
      <c r="A532" s="24"/>
      <c r="B532" s="24"/>
      <c r="C532" s="22"/>
      <c r="D532" s="25"/>
      <c r="E532" s="22"/>
      <c r="F532" s="26"/>
      <c r="G532" s="26"/>
      <c r="H532" s="26"/>
      <c r="I532" s="26"/>
      <c r="J532" s="22"/>
      <c r="K532" s="20" t="n">
        <f aca="false">IF($D532="",0,$C532*$D532)</f>
        <v>0</v>
      </c>
      <c r="L532" s="20" t="n">
        <f aca="false">IF($D532="",0,$F532*$K532)</f>
        <v>0</v>
      </c>
      <c r="M532" s="20" t="n">
        <f aca="false">IF($D532="",0,$G532*$K532)</f>
        <v>0</v>
      </c>
      <c r="N532" s="20" t="n">
        <f aca="false">IF($D532="",0,$H532*$K532)</f>
        <v>0</v>
      </c>
      <c r="O532" s="20" t="n">
        <f aca="false">IF($D532="",0,$I532*$K532*(1-$F532))</f>
        <v>0</v>
      </c>
      <c r="P532" s="20" t="n">
        <f aca="false">IF($D532="",0,$E532*$D532+$L532+$M532+$N532+$O532+$J532*$D532)</f>
        <v>0</v>
      </c>
      <c r="Q532" s="20" t="n">
        <f aca="false">IF($D532="",0,$K532-$P532)</f>
        <v>0</v>
      </c>
      <c r="R532" s="21" t="n">
        <f aca="false">IF($K532=0,0,$Q532/$K532)</f>
        <v>0</v>
      </c>
      <c r="S532" s="20" t="n">
        <f aca="false">IF($D532="",0,$K532-$L532-$M532-$N532)</f>
        <v>0</v>
      </c>
      <c r="T532" s="22"/>
      <c r="U532" s="20" t="n">
        <f aca="false">IF($T532="",0,MAX(0,$S532-$T532))</f>
        <v>0</v>
      </c>
      <c r="V532" s="21" t="n">
        <f aca="false">IF($S532=0,0,$U532/$S532)</f>
        <v>0</v>
      </c>
      <c r="W532" s="23" t="str">
        <f aca="false">IF($D532="","",IF($T532="","BEKLİYOR",IF(OR($U532=0,$S532=0),"DOĞRU",IF(AND($V532&gt;PazaryeriEksikHakedisEsik,$U532&gt;PazaryeriEksikHakedisTutarEsik),"EKSİK HAKEDİŞ","DOĞRU"))))</f>
        <v/>
      </c>
      <c r="X532" s="23" t="str">
        <f aca="false">IF($B532="","",CONCATENATE("Ürün: ",$B532," | Kâr: ",TEXT($Q532,"₺ #,##0")," | Durum: ",$W532))</f>
        <v/>
      </c>
      <c r="Y532" s="24"/>
    </row>
    <row r="533" customFormat="false" ht="15" hidden="false" customHeight="false" outlineLevel="0" collapsed="false">
      <c r="A533" s="24"/>
      <c r="B533" s="24"/>
      <c r="C533" s="22"/>
      <c r="D533" s="25"/>
      <c r="E533" s="22"/>
      <c r="F533" s="26"/>
      <c r="G533" s="26"/>
      <c r="H533" s="26"/>
      <c r="I533" s="26"/>
      <c r="J533" s="22"/>
      <c r="K533" s="20" t="n">
        <f aca="false">IF($D533="",0,$C533*$D533)</f>
        <v>0</v>
      </c>
      <c r="L533" s="20" t="n">
        <f aca="false">IF($D533="",0,$F533*$K533)</f>
        <v>0</v>
      </c>
      <c r="M533" s="20" t="n">
        <f aca="false">IF($D533="",0,$G533*$K533)</f>
        <v>0</v>
      </c>
      <c r="N533" s="20" t="n">
        <f aca="false">IF($D533="",0,$H533*$K533)</f>
        <v>0</v>
      </c>
      <c r="O533" s="20" t="n">
        <f aca="false">IF($D533="",0,$I533*$K533*(1-$F533))</f>
        <v>0</v>
      </c>
      <c r="P533" s="20" t="n">
        <f aca="false">IF($D533="",0,$E533*$D533+$L533+$M533+$N533+$O533+$J533*$D533)</f>
        <v>0</v>
      </c>
      <c r="Q533" s="20" t="n">
        <f aca="false">IF($D533="",0,$K533-$P533)</f>
        <v>0</v>
      </c>
      <c r="R533" s="21" t="n">
        <f aca="false">IF($K533=0,0,$Q533/$K533)</f>
        <v>0</v>
      </c>
      <c r="S533" s="20" t="n">
        <f aca="false">IF($D533="",0,$K533-$L533-$M533-$N533)</f>
        <v>0</v>
      </c>
      <c r="T533" s="22"/>
      <c r="U533" s="20" t="n">
        <f aca="false">IF($T533="",0,MAX(0,$S533-$T533))</f>
        <v>0</v>
      </c>
      <c r="V533" s="21" t="n">
        <f aca="false">IF($S533=0,0,$U533/$S533)</f>
        <v>0</v>
      </c>
      <c r="W533" s="23" t="str">
        <f aca="false">IF($D533="","",IF($T533="","BEKLİYOR",IF(OR($U533=0,$S533=0),"DOĞRU",IF(AND($V533&gt;PazaryeriEksikHakedisEsik,$U533&gt;PazaryeriEksikHakedisTutarEsik),"EKSİK HAKEDİŞ","DOĞRU"))))</f>
        <v/>
      </c>
      <c r="X533" s="23" t="str">
        <f aca="false">IF($B533="","",CONCATENATE("Ürün: ",$B533," | Kâr: ",TEXT($Q533,"₺ #,##0")," | Durum: ",$W533))</f>
        <v/>
      </c>
      <c r="Y533" s="24"/>
    </row>
    <row r="534" customFormat="false" ht="15" hidden="false" customHeight="false" outlineLevel="0" collapsed="false">
      <c r="A534" s="24"/>
      <c r="B534" s="24"/>
      <c r="C534" s="22"/>
      <c r="D534" s="25"/>
      <c r="E534" s="22"/>
      <c r="F534" s="26"/>
      <c r="G534" s="26"/>
      <c r="H534" s="26"/>
      <c r="I534" s="26"/>
      <c r="J534" s="22"/>
      <c r="K534" s="20" t="n">
        <f aca="false">IF($D534="",0,$C534*$D534)</f>
        <v>0</v>
      </c>
      <c r="L534" s="20" t="n">
        <f aca="false">IF($D534="",0,$F534*$K534)</f>
        <v>0</v>
      </c>
      <c r="M534" s="20" t="n">
        <f aca="false">IF($D534="",0,$G534*$K534)</f>
        <v>0</v>
      </c>
      <c r="N534" s="20" t="n">
        <f aca="false">IF($D534="",0,$H534*$K534)</f>
        <v>0</v>
      </c>
      <c r="O534" s="20" t="n">
        <f aca="false">IF($D534="",0,$I534*$K534*(1-$F534))</f>
        <v>0</v>
      </c>
      <c r="P534" s="20" t="n">
        <f aca="false">IF($D534="",0,$E534*$D534+$L534+$M534+$N534+$O534+$J534*$D534)</f>
        <v>0</v>
      </c>
      <c r="Q534" s="20" t="n">
        <f aca="false">IF($D534="",0,$K534-$P534)</f>
        <v>0</v>
      </c>
      <c r="R534" s="21" t="n">
        <f aca="false">IF($K534=0,0,$Q534/$K534)</f>
        <v>0</v>
      </c>
      <c r="S534" s="20" t="n">
        <f aca="false">IF($D534="",0,$K534-$L534-$M534-$N534)</f>
        <v>0</v>
      </c>
      <c r="T534" s="22"/>
      <c r="U534" s="20" t="n">
        <f aca="false">IF($T534="",0,MAX(0,$S534-$T534))</f>
        <v>0</v>
      </c>
      <c r="V534" s="21" t="n">
        <f aca="false">IF($S534=0,0,$U534/$S534)</f>
        <v>0</v>
      </c>
      <c r="W534" s="23" t="str">
        <f aca="false">IF($D534="","",IF($T534="","BEKLİYOR",IF(OR($U534=0,$S534=0),"DOĞRU",IF(AND($V534&gt;PazaryeriEksikHakedisEsik,$U534&gt;PazaryeriEksikHakedisTutarEsik),"EKSİK HAKEDİŞ","DOĞRU"))))</f>
        <v/>
      </c>
      <c r="X534" s="23" t="str">
        <f aca="false">IF($B534="","",CONCATENATE("Ürün: ",$B534," | Kâr: ",TEXT($Q534,"₺ #,##0")," | Durum: ",$W534))</f>
        <v/>
      </c>
      <c r="Y534" s="24"/>
    </row>
    <row r="535" customFormat="false" ht="15" hidden="false" customHeight="false" outlineLevel="0" collapsed="false">
      <c r="A535" s="24"/>
      <c r="B535" s="24"/>
      <c r="C535" s="22"/>
      <c r="D535" s="25"/>
      <c r="E535" s="22"/>
      <c r="F535" s="26"/>
      <c r="G535" s="26"/>
      <c r="H535" s="26"/>
      <c r="I535" s="26"/>
      <c r="J535" s="22"/>
      <c r="K535" s="20" t="n">
        <f aca="false">IF($D535="",0,$C535*$D535)</f>
        <v>0</v>
      </c>
      <c r="L535" s="20" t="n">
        <f aca="false">IF($D535="",0,$F535*$K535)</f>
        <v>0</v>
      </c>
      <c r="M535" s="20" t="n">
        <f aca="false">IF($D535="",0,$G535*$K535)</f>
        <v>0</v>
      </c>
      <c r="N535" s="20" t="n">
        <f aca="false">IF($D535="",0,$H535*$K535)</f>
        <v>0</v>
      </c>
      <c r="O535" s="20" t="n">
        <f aca="false">IF($D535="",0,$I535*$K535*(1-$F535))</f>
        <v>0</v>
      </c>
      <c r="P535" s="20" t="n">
        <f aca="false">IF($D535="",0,$E535*$D535+$L535+$M535+$N535+$O535+$J535*$D535)</f>
        <v>0</v>
      </c>
      <c r="Q535" s="20" t="n">
        <f aca="false">IF($D535="",0,$K535-$P535)</f>
        <v>0</v>
      </c>
      <c r="R535" s="21" t="n">
        <f aca="false">IF($K535=0,0,$Q535/$K535)</f>
        <v>0</v>
      </c>
      <c r="S535" s="20" t="n">
        <f aca="false">IF($D535="",0,$K535-$L535-$M535-$N535)</f>
        <v>0</v>
      </c>
      <c r="T535" s="22"/>
      <c r="U535" s="20" t="n">
        <f aca="false">IF($T535="",0,MAX(0,$S535-$T535))</f>
        <v>0</v>
      </c>
      <c r="V535" s="21" t="n">
        <f aca="false">IF($S535=0,0,$U535/$S535)</f>
        <v>0</v>
      </c>
      <c r="W535" s="23" t="str">
        <f aca="false">IF($D535="","",IF($T535="","BEKLİYOR",IF(OR($U535=0,$S535=0),"DOĞRU",IF(AND($V535&gt;PazaryeriEksikHakedisEsik,$U535&gt;PazaryeriEksikHakedisTutarEsik),"EKSİK HAKEDİŞ","DOĞRU"))))</f>
        <v/>
      </c>
      <c r="X535" s="23" t="str">
        <f aca="false">IF($B535="","",CONCATENATE("Ürün: ",$B535," | Kâr: ",TEXT($Q535,"₺ #,##0")," | Durum: ",$W535))</f>
        <v/>
      </c>
      <c r="Y535" s="24"/>
    </row>
    <row r="536" customFormat="false" ht="15" hidden="false" customHeight="false" outlineLevel="0" collapsed="false">
      <c r="A536" s="24"/>
      <c r="B536" s="24"/>
      <c r="C536" s="22"/>
      <c r="D536" s="25"/>
      <c r="E536" s="22"/>
      <c r="F536" s="26"/>
      <c r="G536" s="26"/>
      <c r="H536" s="26"/>
      <c r="I536" s="26"/>
      <c r="J536" s="22"/>
      <c r="K536" s="20" t="n">
        <f aca="false">IF($D536="",0,$C536*$D536)</f>
        <v>0</v>
      </c>
      <c r="L536" s="20" t="n">
        <f aca="false">IF($D536="",0,$F536*$K536)</f>
        <v>0</v>
      </c>
      <c r="M536" s="20" t="n">
        <f aca="false">IF($D536="",0,$G536*$K536)</f>
        <v>0</v>
      </c>
      <c r="N536" s="20" t="n">
        <f aca="false">IF($D536="",0,$H536*$K536)</f>
        <v>0</v>
      </c>
      <c r="O536" s="20" t="n">
        <f aca="false">IF($D536="",0,$I536*$K536*(1-$F536))</f>
        <v>0</v>
      </c>
      <c r="P536" s="20" t="n">
        <f aca="false">IF($D536="",0,$E536*$D536+$L536+$M536+$N536+$O536+$J536*$D536)</f>
        <v>0</v>
      </c>
      <c r="Q536" s="20" t="n">
        <f aca="false">IF($D536="",0,$K536-$P536)</f>
        <v>0</v>
      </c>
      <c r="R536" s="21" t="n">
        <f aca="false">IF($K536=0,0,$Q536/$K536)</f>
        <v>0</v>
      </c>
      <c r="S536" s="20" t="n">
        <f aca="false">IF($D536="",0,$K536-$L536-$M536-$N536)</f>
        <v>0</v>
      </c>
      <c r="T536" s="22"/>
      <c r="U536" s="20" t="n">
        <f aca="false">IF($T536="",0,MAX(0,$S536-$T536))</f>
        <v>0</v>
      </c>
      <c r="V536" s="21" t="n">
        <f aca="false">IF($S536=0,0,$U536/$S536)</f>
        <v>0</v>
      </c>
      <c r="W536" s="23" t="str">
        <f aca="false">IF($D536="","",IF($T536="","BEKLİYOR",IF(OR($U536=0,$S536=0),"DOĞRU",IF(AND($V536&gt;PazaryeriEksikHakedisEsik,$U536&gt;PazaryeriEksikHakedisTutarEsik),"EKSİK HAKEDİŞ","DOĞRU"))))</f>
        <v/>
      </c>
      <c r="X536" s="23" t="str">
        <f aca="false">IF($B536="","",CONCATENATE("Ürün: ",$B536," | Kâr: ",TEXT($Q536,"₺ #,##0")," | Durum: ",$W536))</f>
        <v/>
      </c>
      <c r="Y536" s="24"/>
    </row>
    <row r="537" customFormat="false" ht="15" hidden="false" customHeight="false" outlineLevel="0" collapsed="false">
      <c r="A537" s="24"/>
      <c r="B537" s="24"/>
      <c r="C537" s="22"/>
      <c r="D537" s="25"/>
      <c r="E537" s="22"/>
      <c r="F537" s="26"/>
      <c r="G537" s="26"/>
      <c r="H537" s="26"/>
      <c r="I537" s="26"/>
      <c r="J537" s="22"/>
      <c r="K537" s="20" t="n">
        <f aca="false">IF($D537="",0,$C537*$D537)</f>
        <v>0</v>
      </c>
      <c r="L537" s="20" t="n">
        <f aca="false">IF($D537="",0,$F537*$K537)</f>
        <v>0</v>
      </c>
      <c r="M537" s="20" t="n">
        <f aca="false">IF($D537="",0,$G537*$K537)</f>
        <v>0</v>
      </c>
      <c r="N537" s="20" t="n">
        <f aca="false">IF($D537="",0,$H537*$K537)</f>
        <v>0</v>
      </c>
      <c r="O537" s="20" t="n">
        <f aca="false">IF($D537="",0,$I537*$K537*(1-$F537))</f>
        <v>0</v>
      </c>
      <c r="P537" s="20" t="n">
        <f aca="false">IF($D537="",0,$E537*$D537+$L537+$M537+$N537+$O537+$J537*$D537)</f>
        <v>0</v>
      </c>
      <c r="Q537" s="20" t="n">
        <f aca="false">IF($D537="",0,$K537-$P537)</f>
        <v>0</v>
      </c>
      <c r="R537" s="21" t="n">
        <f aca="false">IF($K537=0,0,$Q537/$K537)</f>
        <v>0</v>
      </c>
      <c r="S537" s="20" t="n">
        <f aca="false">IF($D537="",0,$K537-$L537-$M537-$N537)</f>
        <v>0</v>
      </c>
      <c r="T537" s="22"/>
      <c r="U537" s="20" t="n">
        <f aca="false">IF($T537="",0,MAX(0,$S537-$T537))</f>
        <v>0</v>
      </c>
      <c r="V537" s="21" t="n">
        <f aca="false">IF($S537=0,0,$U537/$S537)</f>
        <v>0</v>
      </c>
      <c r="W537" s="23" t="str">
        <f aca="false">IF($D537="","",IF($T537="","BEKLİYOR",IF(OR($U537=0,$S537=0),"DOĞRU",IF(AND($V537&gt;PazaryeriEksikHakedisEsik,$U537&gt;PazaryeriEksikHakedisTutarEsik),"EKSİK HAKEDİŞ","DOĞRU"))))</f>
        <v/>
      </c>
      <c r="X537" s="23" t="str">
        <f aca="false">IF($B537="","",CONCATENATE("Ürün: ",$B537," | Kâr: ",TEXT($Q537,"₺ #,##0")," | Durum: ",$W537))</f>
        <v/>
      </c>
      <c r="Y537" s="24"/>
    </row>
    <row r="538" customFormat="false" ht="15" hidden="false" customHeight="false" outlineLevel="0" collapsed="false">
      <c r="A538" s="24"/>
      <c r="B538" s="24"/>
      <c r="C538" s="22"/>
      <c r="D538" s="25"/>
      <c r="E538" s="22"/>
      <c r="F538" s="26"/>
      <c r="G538" s="26"/>
      <c r="H538" s="26"/>
      <c r="I538" s="26"/>
      <c r="J538" s="22"/>
      <c r="K538" s="20" t="n">
        <f aca="false">IF($D538="",0,$C538*$D538)</f>
        <v>0</v>
      </c>
      <c r="L538" s="20" t="n">
        <f aca="false">IF($D538="",0,$F538*$K538)</f>
        <v>0</v>
      </c>
      <c r="M538" s="20" t="n">
        <f aca="false">IF($D538="",0,$G538*$K538)</f>
        <v>0</v>
      </c>
      <c r="N538" s="20" t="n">
        <f aca="false">IF($D538="",0,$H538*$K538)</f>
        <v>0</v>
      </c>
      <c r="O538" s="20" t="n">
        <f aca="false">IF($D538="",0,$I538*$K538*(1-$F538))</f>
        <v>0</v>
      </c>
      <c r="P538" s="20" t="n">
        <f aca="false">IF($D538="",0,$E538*$D538+$L538+$M538+$N538+$O538+$J538*$D538)</f>
        <v>0</v>
      </c>
      <c r="Q538" s="20" t="n">
        <f aca="false">IF($D538="",0,$K538-$P538)</f>
        <v>0</v>
      </c>
      <c r="R538" s="21" t="n">
        <f aca="false">IF($K538=0,0,$Q538/$K538)</f>
        <v>0</v>
      </c>
      <c r="S538" s="20" t="n">
        <f aca="false">IF($D538="",0,$K538-$L538-$M538-$N538)</f>
        <v>0</v>
      </c>
      <c r="T538" s="22"/>
      <c r="U538" s="20" t="n">
        <f aca="false">IF($T538="",0,MAX(0,$S538-$T538))</f>
        <v>0</v>
      </c>
      <c r="V538" s="21" t="n">
        <f aca="false">IF($S538=0,0,$U538/$S538)</f>
        <v>0</v>
      </c>
      <c r="W538" s="23" t="str">
        <f aca="false">IF($D538="","",IF($T538="","BEKLİYOR",IF(OR($U538=0,$S538=0),"DOĞRU",IF(AND($V538&gt;PazaryeriEksikHakedisEsik,$U538&gt;PazaryeriEksikHakedisTutarEsik),"EKSİK HAKEDİŞ","DOĞRU"))))</f>
        <v/>
      </c>
      <c r="X538" s="23" t="str">
        <f aca="false">IF($B538="","",CONCATENATE("Ürün: ",$B538," | Kâr: ",TEXT($Q538,"₺ #,##0")," | Durum: ",$W538))</f>
        <v/>
      </c>
      <c r="Y538" s="24"/>
    </row>
    <row r="539" customFormat="false" ht="15" hidden="false" customHeight="false" outlineLevel="0" collapsed="false">
      <c r="A539" s="24"/>
      <c r="B539" s="24"/>
      <c r="C539" s="22"/>
      <c r="D539" s="25"/>
      <c r="E539" s="22"/>
      <c r="F539" s="26"/>
      <c r="G539" s="26"/>
      <c r="H539" s="26"/>
      <c r="I539" s="26"/>
      <c r="J539" s="22"/>
      <c r="K539" s="20" t="n">
        <f aca="false">IF($D539="",0,$C539*$D539)</f>
        <v>0</v>
      </c>
      <c r="L539" s="20" t="n">
        <f aca="false">IF($D539="",0,$F539*$K539)</f>
        <v>0</v>
      </c>
      <c r="M539" s="20" t="n">
        <f aca="false">IF($D539="",0,$G539*$K539)</f>
        <v>0</v>
      </c>
      <c r="N539" s="20" t="n">
        <f aca="false">IF($D539="",0,$H539*$K539)</f>
        <v>0</v>
      </c>
      <c r="O539" s="20" t="n">
        <f aca="false">IF($D539="",0,$I539*$K539*(1-$F539))</f>
        <v>0</v>
      </c>
      <c r="P539" s="20" t="n">
        <f aca="false">IF($D539="",0,$E539*$D539+$L539+$M539+$N539+$O539+$J539*$D539)</f>
        <v>0</v>
      </c>
      <c r="Q539" s="20" t="n">
        <f aca="false">IF($D539="",0,$K539-$P539)</f>
        <v>0</v>
      </c>
      <c r="R539" s="21" t="n">
        <f aca="false">IF($K539=0,0,$Q539/$K539)</f>
        <v>0</v>
      </c>
      <c r="S539" s="20" t="n">
        <f aca="false">IF($D539="",0,$K539-$L539-$M539-$N539)</f>
        <v>0</v>
      </c>
      <c r="T539" s="22"/>
      <c r="U539" s="20" t="n">
        <f aca="false">IF($T539="",0,MAX(0,$S539-$T539))</f>
        <v>0</v>
      </c>
      <c r="V539" s="21" t="n">
        <f aca="false">IF($S539=0,0,$U539/$S539)</f>
        <v>0</v>
      </c>
      <c r="W539" s="23" t="str">
        <f aca="false">IF($D539="","",IF($T539="","BEKLİYOR",IF(OR($U539=0,$S539=0),"DOĞRU",IF(AND($V539&gt;PazaryeriEksikHakedisEsik,$U539&gt;PazaryeriEksikHakedisTutarEsik),"EKSİK HAKEDİŞ","DOĞRU"))))</f>
        <v/>
      </c>
      <c r="X539" s="23" t="str">
        <f aca="false">IF($B539="","",CONCATENATE("Ürün: ",$B539," | Kâr: ",TEXT($Q539,"₺ #,##0")," | Durum: ",$W539))</f>
        <v/>
      </c>
      <c r="Y539" s="24"/>
    </row>
    <row r="540" customFormat="false" ht="15" hidden="false" customHeight="false" outlineLevel="0" collapsed="false">
      <c r="A540" s="24"/>
      <c r="B540" s="24"/>
      <c r="C540" s="22"/>
      <c r="D540" s="25"/>
      <c r="E540" s="22"/>
      <c r="F540" s="26"/>
      <c r="G540" s="26"/>
      <c r="H540" s="26"/>
      <c r="I540" s="26"/>
      <c r="J540" s="22"/>
      <c r="K540" s="20" t="n">
        <f aca="false">IF($D540="",0,$C540*$D540)</f>
        <v>0</v>
      </c>
      <c r="L540" s="20" t="n">
        <f aca="false">IF($D540="",0,$F540*$K540)</f>
        <v>0</v>
      </c>
      <c r="M540" s="20" t="n">
        <f aca="false">IF($D540="",0,$G540*$K540)</f>
        <v>0</v>
      </c>
      <c r="N540" s="20" t="n">
        <f aca="false">IF($D540="",0,$H540*$K540)</f>
        <v>0</v>
      </c>
      <c r="O540" s="20" t="n">
        <f aca="false">IF($D540="",0,$I540*$K540*(1-$F540))</f>
        <v>0</v>
      </c>
      <c r="P540" s="20" t="n">
        <f aca="false">IF($D540="",0,$E540*$D540+$L540+$M540+$N540+$O540+$J540*$D540)</f>
        <v>0</v>
      </c>
      <c r="Q540" s="20" t="n">
        <f aca="false">IF($D540="",0,$K540-$P540)</f>
        <v>0</v>
      </c>
      <c r="R540" s="21" t="n">
        <f aca="false">IF($K540=0,0,$Q540/$K540)</f>
        <v>0</v>
      </c>
      <c r="S540" s="20" t="n">
        <f aca="false">IF($D540="",0,$K540-$L540-$M540-$N540)</f>
        <v>0</v>
      </c>
      <c r="T540" s="22"/>
      <c r="U540" s="20" t="n">
        <f aca="false">IF($T540="",0,MAX(0,$S540-$T540))</f>
        <v>0</v>
      </c>
      <c r="V540" s="21" t="n">
        <f aca="false">IF($S540=0,0,$U540/$S540)</f>
        <v>0</v>
      </c>
      <c r="W540" s="23" t="str">
        <f aca="false">IF($D540="","",IF($T540="","BEKLİYOR",IF(OR($U540=0,$S540=0),"DOĞRU",IF(AND($V540&gt;PazaryeriEksikHakedisEsik,$U540&gt;PazaryeriEksikHakedisTutarEsik),"EKSİK HAKEDİŞ","DOĞRU"))))</f>
        <v/>
      </c>
      <c r="X540" s="23" t="str">
        <f aca="false">IF($B540="","",CONCATENATE("Ürün: ",$B540," | Kâr: ",TEXT($Q540,"₺ #,##0")," | Durum: ",$W540))</f>
        <v/>
      </c>
      <c r="Y540" s="24"/>
    </row>
    <row r="541" customFormat="false" ht="15" hidden="false" customHeight="false" outlineLevel="0" collapsed="false">
      <c r="A541" s="24"/>
      <c r="B541" s="24"/>
      <c r="C541" s="22"/>
      <c r="D541" s="25"/>
      <c r="E541" s="22"/>
      <c r="F541" s="26"/>
      <c r="G541" s="26"/>
      <c r="H541" s="26"/>
      <c r="I541" s="26"/>
      <c r="J541" s="22"/>
      <c r="K541" s="20" t="n">
        <f aca="false">IF($D541="",0,$C541*$D541)</f>
        <v>0</v>
      </c>
      <c r="L541" s="20" t="n">
        <f aca="false">IF($D541="",0,$F541*$K541)</f>
        <v>0</v>
      </c>
      <c r="M541" s="20" t="n">
        <f aca="false">IF($D541="",0,$G541*$K541)</f>
        <v>0</v>
      </c>
      <c r="N541" s="20" t="n">
        <f aca="false">IF($D541="",0,$H541*$K541)</f>
        <v>0</v>
      </c>
      <c r="O541" s="20" t="n">
        <f aca="false">IF($D541="",0,$I541*$K541*(1-$F541))</f>
        <v>0</v>
      </c>
      <c r="P541" s="20" t="n">
        <f aca="false">IF($D541="",0,$E541*$D541+$L541+$M541+$N541+$O541+$J541*$D541)</f>
        <v>0</v>
      </c>
      <c r="Q541" s="20" t="n">
        <f aca="false">IF($D541="",0,$K541-$P541)</f>
        <v>0</v>
      </c>
      <c r="R541" s="21" t="n">
        <f aca="false">IF($K541=0,0,$Q541/$K541)</f>
        <v>0</v>
      </c>
      <c r="S541" s="20" t="n">
        <f aca="false">IF($D541="",0,$K541-$L541-$M541-$N541)</f>
        <v>0</v>
      </c>
      <c r="T541" s="22"/>
      <c r="U541" s="20" t="n">
        <f aca="false">IF($T541="",0,MAX(0,$S541-$T541))</f>
        <v>0</v>
      </c>
      <c r="V541" s="21" t="n">
        <f aca="false">IF($S541=0,0,$U541/$S541)</f>
        <v>0</v>
      </c>
      <c r="W541" s="23" t="str">
        <f aca="false">IF($D541="","",IF($T541="","BEKLİYOR",IF(OR($U541=0,$S541=0),"DOĞRU",IF(AND($V541&gt;PazaryeriEksikHakedisEsik,$U541&gt;PazaryeriEksikHakedisTutarEsik),"EKSİK HAKEDİŞ","DOĞRU"))))</f>
        <v/>
      </c>
      <c r="X541" s="23" t="str">
        <f aca="false">IF($B541="","",CONCATENATE("Ürün: ",$B541," | Kâr: ",TEXT($Q541,"₺ #,##0")," | Durum: ",$W541))</f>
        <v/>
      </c>
      <c r="Y541" s="24"/>
    </row>
    <row r="542" customFormat="false" ht="15" hidden="false" customHeight="false" outlineLevel="0" collapsed="false">
      <c r="A542" s="24"/>
      <c r="B542" s="24"/>
      <c r="C542" s="22"/>
      <c r="D542" s="25"/>
      <c r="E542" s="22"/>
      <c r="F542" s="26"/>
      <c r="G542" s="26"/>
      <c r="H542" s="26"/>
      <c r="I542" s="26"/>
      <c r="J542" s="22"/>
      <c r="K542" s="20" t="n">
        <f aca="false">IF($D542="",0,$C542*$D542)</f>
        <v>0</v>
      </c>
      <c r="L542" s="20" t="n">
        <f aca="false">IF($D542="",0,$F542*$K542)</f>
        <v>0</v>
      </c>
      <c r="M542" s="20" t="n">
        <f aca="false">IF($D542="",0,$G542*$K542)</f>
        <v>0</v>
      </c>
      <c r="N542" s="20" t="n">
        <f aca="false">IF($D542="",0,$H542*$K542)</f>
        <v>0</v>
      </c>
      <c r="O542" s="20" t="n">
        <f aca="false">IF($D542="",0,$I542*$K542*(1-$F542))</f>
        <v>0</v>
      </c>
      <c r="P542" s="20" t="n">
        <f aca="false">IF($D542="",0,$E542*$D542+$L542+$M542+$N542+$O542+$J542*$D542)</f>
        <v>0</v>
      </c>
      <c r="Q542" s="20" t="n">
        <f aca="false">IF($D542="",0,$K542-$P542)</f>
        <v>0</v>
      </c>
      <c r="R542" s="21" t="n">
        <f aca="false">IF($K542=0,0,$Q542/$K542)</f>
        <v>0</v>
      </c>
      <c r="S542" s="20" t="n">
        <f aca="false">IF($D542="",0,$K542-$L542-$M542-$N542)</f>
        <v>0</v>
      </c>
      <c r="T542" s="22"/>
      <c r="U542" s="20" t="n">
        <f aca="false">IF($T542="",0,MAX(0,$S542-$T542))</f>
        <v>0</v>
      </c>
      <c r="V542" s="21" t="n">
        <f aca="false">IF($S542=0,0,$U542/$S542)</f>
        <v>0</v>
      </c>
      <c r="W542" s="23" t="str">
        <f aca="false">IF($D542="","",IF($T542="","BEKLİYOR",IF(OR($U542=0,$S542=0),"DOĞRU",IF(AND($V542&gt;PazaryeriEksikHakedisEsik,$U542&gt;PazaryeriEksikHakedisTutarEsik),"EKSİK HAKEDİŞ","DOĞRU"))))</f>
        <v/>
      </c>
      <c r="X542" s="23" t="str">
        <f aca="false">IF($B542="","",CONCATENATE("Ürün: ",$B542," | Kâr: ",TEXT($Q542,"₺ #,##0")," | Durum: ",$W542))</f>
        <v/>
      </c>
      <c r="Y542" s="24"/>
    </row>
    <row r="543" customFormat="false" ht="15" hidden="false" customHeight="false" outlineLevel="0" collapsed="false">
      <c r="A543" s="24"/>
      <c r="B543" s="24"/>
      <c r="C543" s="22"/>
      <c r="D543" s="25"/>
      <c r="E543" s="22"/>
      <c r="F543" s="26"/>
      <c r="G543" s="26"/>
      <c r="H543" s="26"/>
      <c r="I543" s="26"/>
      <c r="J543" s="22"/>
      <c r="K543" s="20" t="n">
        <f aca="false">IF($D543="",0,$C543*$D543)</f>
        <v>0</v>
      </c>
      <c r="L543" s="20" t="n">
        <f aca="false">IF($D543="",0,$F543*$K543)</f>
        <v>0</v>
      </c>
      <c r="M543" s="20" t="n">
        <f aca="false">IF($D543="",0,$G543*$K543)</f>
        <v>0</v>
      </c>
      <c r="N543" s="20" t="n">
        <f aca="false">IF($D543="",0,$H543*$K543)</f>
        <v>0</v>
      </c>
      <c r="O543" s="20" t="n">
        <f aca="false">IF($D543="",0,$I543*$K543*(1-$F543))</f>
        <v>0</v>
      </c>
      <c r="P543" s="20" t="n">
        <f aca="false">IF($D543="",0,$E543*$D543+$L543+$M543+$N543+$O543+$J543*$D543)</f>
        <v>0</v>
      </c>
      <c r="Q543" s="20" t="n">
        <f aca="false">IF($D543="",0,$K543-$P543)</f>
        <v>0</v>
      </c>
      <c r="R543" s="21" t="n">
        <f aca="false">IF($K543=0,0,$Q543/$K543)</f>
        <v>0</v>
      </c>
      <c r="S543" s="20" t="n">
        <f aca="false">IF($D543="",0,$K543-$L543-$M543-$N543)</f>
        <v>0</v>
      </c>
      <c r="T543" s="22"/>
      <c r="U543" s="20" t="n">
        <f aca="false">IF($T543="",0,MAX(0,$S543-$T543))</f>
        <v>0</v>
      </c>
      <c r="V543" s="21" t="n">
        <f aca="false">IF($S543=0,0,$U543/$S543)</f>
        <v>0</v>
      </c>
      <c r="W543" s="23" t="str">
        <f aca="false">IF($D543="","",IF($T543="","BEKLİYOR",IF(OR($U543=0,$S543=0),"DOĞRU",IF(AND($V543&gt;PazaryeriEksikHakedisEsik,$U543&gt;PazaryeriEksikHakedisTutarEsik),"EKSİK HAKEDİŞ","DOĞRU"))))</f>
        <v/>
      </c>
      <c r="X543" s="23" t="str">
        <f aca="false">IF($B543="","",CONCATENATE("Ürün: ",$B543," | Kâr: ",TEXT($Q543,"₺ #,##0")," | Durum: ",$W543))</f>
        <v/>
      </c>
      <c r="Y543" s="24"/>
    </row>
    <row r="544" customFormat="false" ht="15" hidden="false" customHeight="false" outlineLevel="0" collapsed="false">
      <c r="A544" s="24"/>
      <c r="B544" s="24"/>
      <c r="C544" s="22"/>
      <c r="D544" s="25"/>
      <c r="E544" s="22"/>
      <c r="F544" s="26"/>
      <c r="G544" s="26"/>
      <c r="H544" s="26"/>
      <c r="I544" s="26"/>
      <c r="J544" s="22"/>
      <c r="K544" s="20" t="n">
        <f aca="false">IF($D544="",0,$C544*$D544)</f>
        <v>0</v>
      </c>
      <c r="L544" s="20" t="n">
        <f aca="false">IF($D544="",0,$F544*$K544)</f>
        <v>0</v>
      </c>
      <c r="M544" s="20" t="n">
        <f aca="false">IF($D544="",0,$G544*$K544)</f>
        <v>0</v>
      </c>
      <c r="N544" s="20" t="n">
        <f aca="false">IF($D544="",0,$H544*$K544)</f>
        <v>0</v>
      </c>
      <c r="O544" s="20" t="n">
        <f aca="false">IF($D544="",0,$I544*$K544*(1-$F544))</f>
        <v>0</v>
      </c>
      <c r="P544" s="20" t="n">
        <f aca="false">IF($D544="",0,$E544*$D544+$L544+$M544+$N544+$O544+$J544*$D544)</f>
        <v>0</v>
      </c>
      <c r="Q544" s="20" t="n">
        <f aca="false">IF($D544="",0,$K544-$P544)</f>
        <v>0</v>
      </c>
      <c r="R544" s="21" t="n">
        <f aca="false">IF($K544=0,0,$Q544/$K544)</f>
        <v>0</v>
      </c>
      <c r="S544" s="20" t="n">
        <f aca="false">IF($D544="",0,$K544-$L544-$M544-$N544)</f>
        <v>0</v>
      </c>
      <c r="T544" s="22"/>
      <c r="U544" s="20" t="n">
        <f aca="false">IF($T544="",0,MAX(0,$S544-$T544))</f>
        <v>0</v>
      </c>
      <c r="V544" s="21" t="n">
        <f aca="false">IF($S544=0,0,$U544/$S544)</f>
        <v>0</v>
      </c>
      <c r="W544" s="23" t="str">
        <f aca="false">IF($D544="","",IF($T544="","BEKLİYOR",IF(OR($U544=0,$S544=0),"DOĞRU",IF(AND($V544&gt;PazaryeriEksikHakedisEsik,$U544&gt;PazaryeriEksikHakedisTutarEsik),"EKSİK HAKEDİŞ","DOĞRU"))))</f>
        <v/>
      </c>
      <c r="X544" s="23" t="str">
        <f aca="false">IF($B544="","",CONCATENATE("Ürün: ",$B544," | Kâr: ",TEXT($Q544,"₺ #,##0")," | Durum: ",$W544))</f>
        <v/>
      </c>
      <c r="Y544" s="24"/>
    </row>
    <row r="545" customFormat="false" ht="15" hidden="false" customHeight="false" outlineLevel="0" collapsed="false">
      <c r="A545" s="24"/>
      <c r="B545" s="24"/>
      <c r="C545" s="22"/>
      <c r="D545" s="25"/>
      <c r="E545" s="22"/>
      <c r="F545" s="26"/>
      <c r="G545" s="26"/>
      <c r="H545" s="26"/>
      <c r="I545" s="26"/>
      <c r="J545" s="22"/>
      <c r="K545" s="20" t="n">
        <f aca="false">IF($D545="",0,$C545*$D545)</f>
        <v>0</v>
      </c>
      <c r="L545" s="20" t="n">
        <f aca="false">IF($D545="",0,$F545*$K545)</f>
        <v>0</v>
      </c>
      <c r="M545" s="20" t="n">
        <f aca="false">IF($D545="",0,$G545*$K545)</f>
        <v>0</v>
      </c>
      <c r="N545" s="20" t="n">
        <f aca="false">IF($D545="",0,$H545*$K545)</f>
        <v>0</v>
      </c>
      <c r="O545" s="20" t="n">
        <f aca="false">IF($D545="",0,$I545*$K545*(1-$F545))</f>
        <v>0</v>
      </c>
      <c r="P545" s="20" t="n">
        <f aca="false">IF($D545="",0,$E545*$D545+$L545+$M545+$N545+$O545+$J545*$D545)</f>
        <v>0</v>
      </c>
      <c r="Q545" s="20" t="n">
        <f aca="false">IF($D545="",0,$K545-$P545)</f>
        <v>0</v>
      </c>
      <c r="R545" s="21" t="n">
        <f aca="false">IF($K545=0,0,$Q545/$K545)</f>
        <v>0</v>
      </c>
      <c r="S545" s="20" t="n">
        <f aca="false">IF($D545="",0,$K545-$L545-$M545-$N545)</f>
        <v>0</v>
      </c>
      <c r="T545" s="22"/>
      <c r="U545" s="20" t="n">
        <f aca="false">IF($T545="",0,MAX(0,$S545-$T545))</f>
        <v>0</v>
      </c>
      <c r="V545" s="21" t="n">
        <f aca="false">IF($S545=0,0,$U545/$S545)</f>
        <v>0</v>
      </c>
      <c r="W545" s="23" t="str">
        <f aca="false">IF($D545="","",IF($T545="","BEKLİYOR",IF(OR($U545=0,$S545=0),"DOĞRU",IF(AND($V545&gt;PazaryeriEksikHakedisEsik,$U545&gt;PazaryeriEksikHakedisTutarEsik),"EKSİK HAKEDİŞ","DOĞRU"))))</f>
        <v/>
      </c>
      <c r="X545" s="23" t="str">
        <f aca="false">IF($B545="","",CONCATENATE("Ürün: ",$B545," | Kâr: ",TEXT($Q545,"₺ #,##0")," | Durum: ",$W545))</f>
        <v/>
      </c>
      <c r="Y545" s="24"/>
    </row>
    <row r="546" customFormat="false" ht="15" hidden="false" customHeight="false" outlineLevel="0" collapsed="false">
      <c r="A546" s="24"/>
      <c r="B546" s="24"/>
      <c r="C546" s="22"/>
      <c r="D546" s="25"/>
      <c r="E546" s="22"/>
      <c r="F546" s="26"/>
      <c r="G546" s="26"/>
      <c r="H546" s="26"/>
      <c r="I546" s="26"/>
      <c r="J546" s="22"/>
      <c r="K546" s="20" t="n">
        <f aca="false">IF($D546="",0,$C546*$D546)</f>
        <v>0</v>
      </c>
      <c r="L546" s="20" t="n">
        <f aca="false">IF($D546="",0,$F546*$K546)</f>
        <v>0</v>
      </c>
      <c r="M546" s="20" t="n">
        <f aca="false">IF($D546="",0,$G546*$K546)</f>
        <v>0</v>
      </c>
      <c r="N546" s="20" t="n">
        <f aca="false">IF($D546="",0,$H546*$K546)</f>
        <v>0</v>
      </c>
      <c r="O546" s="20" t="n">
        <f aca="false">IF($D546="",0,$I546*$K546*(1-$F546))</f>
        <v>0</v>
      </c>
      <c r="P546" s="20" t="n">
        <f aca="false">IF($D546="",0,$E546*$D546+$L546+$M546+$N546+$O546+$J546*$D546)</f>
        <v>0</v>
      </c>
      <c r="Q546" s="20" t="n">
        <f aca="false">IF($D546="",0,$K546-$P546)</f>
        <v>0</v>
      </c>
      <c r="R546" s="21" t="n">
        <f aca="false">IF($K546=0,0,$Q546/$K546)</f>
        <v>0</v>
      </c>
      <c r="S546" s="20" t="n">
        <f aca="false">IF($D546="",0,$K546-$L546-$M546-$N546)</f>
        <v>0</v>
      </c>
      <c r="T546" s="22"/>
      <c r="U546" s="20" t="n">
        <f aca="false">IF($T546="",0,MAX(0,$S546-$T546))</f>
        <v>0</v>
      </c>
      <c r="V546" s="21" t="n">
        <f aca="false">IF($S546=0,0,$U546/$S546)</f>
        <v>0</v>
      </c>
      <c r="W546" s="23" t="str">
        <f aca="false">IF($D546="","",IF($T546="","BEKLİYOR",IF(OR($U546=0,$S546=0),"DOĞRU",IF(AND($V546&gt;PazaryeriEksikHakedisEsik,$U546&gt;PazaryeriEksikHakedisTutarEsik),"EKSİK HAKEDİŞ","DOĞRU"))))</f>
        <v/>
      </c>
      <c r="X546" s="23" t="str">
        <f aca="false">IF($B546="","",CONCATENATE("Ürün: ",$B546," | Kâr: ",TEXT($Q546,"₺ #,##0")," | Durum: ",$W546))</f>
        <v/>
      </c>
      <c r="Y546" s="24"/>
    </row>
    <row r="547" customFormat="false" ht="15" hidden="false" customHeight="false" outlineLevel="0" collapsed="false">
      <c r="A547" s="24"/>
      <c r="B547" s="24"/>
      <c r="C547" s="22"/>
      <c r="D547" s="25"/>
      <c r="E547" s="22"/>
      <c r="F547" s="26"/>
      <c r="G547" s="26"/>
      <c r="H547" s="26"/>
      <c r="I547" s="26"/>
      <c r="J547" s="22"/>
      <c r="K547" s="20" t="n">
        <f aca="false">IF($D547="",0,$C547*$D547)</f>
        <v>0</v>
      </c>
      <c r="L547" s="20" t="n">
        <f aca="false">IF($D547="",0,$F547*$K547)</f>
        <v>0</v>
      </c>
      <c r="M547" s="20" t="n">
        <f aca="false">IF($D547="",0,$G547*$K547)</f>
        <v>0</v>
      </c>
      <c r="N547" s="20" t="n">
        <f aca="false">IF($D547="",0,$H547*$K547)</f>
        <v>0</v>
      </c>
      <c r="O547" s="20" t="n">
        <f aca="false">IF($D547="",0,$I547*$K547*(1-$F547))</f>
        <v>0</v>
      </c>
      <c r="P547" s="20" t="n">
        <f aca="false">IF($D547="",0,$E547*$D547+$L547+$M547+$N547+$O547+$J547*$D547)</f>
        <v>0</v>
      </c>
      <c r="Q547" s="20" t="n">
        <f aca="false">IF($D547="",0,$K547-$P547)</f>
        <v>0</v>
      </c>
      <c r="R547" s="21" t="n">
        <f aca="false">IF($K547=0,0,$Q547/$K547)</f>
        <v>0</v>
      </c>
      <c r="S547" s="20" t="n">
        <f aca="false">IF($D547="",0,$K547-$L547-$M547-$N547)</f>
        <v>0</v>
      </c>
      <c r="T547" s="22"/>
      <c r="U547" s="20" t="n">
        <f aca="false">IF($T547="",0,MAX(0,$S547-$T547))</f>
        <v>0</v>
      </c>
      <c r="V547" s="21" t="n">
        <f aca="false">IF($S547=0,0,$U547/$S547)</f>
        <v>0</v>
      </c>
      <c r="W547" s="23" t="str">
        <f aca="false">IF($D547="","",IF($T547="","BEKLİYOR",IF(OR($U547=0,$S547=0),"DOĞRU",IF(AND($V547&gt;PazaryeriEksikHakedisEsik,$U547&gt;PazaryeriEksikHakedisTutarEsik),"EKSİK HAKEDİŞ","DOĞRU"))))</f>
        <v/>
      </c>
      <c r="X547" s="23" t="str">
        <f aca="false">IF($B547="","",CONCATENATE("Ürün: ",$B547," | Kâr: ",TEXT($Q547,"₺ #,##0")," | Durum: ",$W547))</f>
        <v/>
      </c>
      <c r="Y547" s="24"/>
    </row>
    <row r="548" customFormat="false" ht="15" hidden="false" customHeight="false" outlineLevel="0" collapsed="false">
      <c r="A548" s="24"/>
      <c r="B548" s="24"/>
      <c r="C548" s="22"/>
      <c r="D548" s="25"/>
      <c r="E548" s="22"/>
      <c r="F548" s="26"/>
      <c r="G548" s="26"/>
      <c r="H548" s="26"/>
      <c r="I548" s="26"/>
      <c r="J548" s="22"/>
      <c r="K548" s="20" t="n">
        <f aca="false">IF($D548="",0,$C548*$D548)</f>
        <v>0</v>
      </c>
      <c r="L548" s="20" t="n">
        <f aca="false">IF($D548="",0,$F548*$K548)</f>
        <v>0</v>
      </c>
      <c r="M548" s="20" t="n">
        <f aca="false">IF($D548="",0,$G548*$K548)</f>
        <v>0</v>
      </c>
      <c r="N548" s="20" t="n">
        <f aca="false">IF($D548="",0,$H548*$K548)</f>
        <v>0</v>
      </c>
      <c r="O548" s="20" t="n">
        <f aca="false">IF($D548="",0,$I548*$K548*(1-$F548))</f>
        <v>0</v>
      </c>
      <c r="P548" s="20" t="n">
        <f aca="false">IF($D548="",0,$E548*$D548+$L548+$M548+$N548+$O548+$J548*$D548)</f>
        <v>0</v>
      </c>
      <c r="Q548" s="20" t="n">
        <f aca="false">IF($D548="",0,$K548-$P548)</f>
        <v>0</v>
      </c>
      <c r="R548" s="21" t="n">
        <f aca="false">IF($K548=0,0,$Q548/$K548)</f>
        <v>0</v>
      </c>
      <c r="S548" s="20" t="n">
        <f aca="false">IF($D548="",0,$K548-$L548-$M548-$N548)</f>
        <v>0</v>
      </c>
      <c r="T548" s="22"/>
      <c r="U548" s="20" t="n">
        <f aca="false">IF($T548="",0,MAX(0,$S548-$T548))</f>
        <v>0</v>
      </c>
      <c r="V548" s="21" t="n">
        <f aca="false">IF($S548=0,0,$U548/$S548)</f>
        <v>0</v>
      </c>
      <c r="W548" s="23" t="str">
        <f aca="false">IF($D548="","",IF($T548="","BEKLİYOR",IF(OR($U548=0,$S548=0),"DOĞRU",IF(AND($V548&gt;PazaryeriEksikHakedisEsik,$U548&gt;PazaryeriEksikHakedisTutarEsik),"EKSİK HAKEDİŞ","DOĞRU"))))</f>
        <v/>
      </c>
      <c r="X548" s="23" t="str">
        <f aca="false">IF($B548="","",CONCATENATE("Ürün: ",$B548," | Kâr: ",TEXT($Q548,"₺ #,##0")," | Durum: ",$W548))</f>
        <v/>
      </c>
      <c r="Y548" s="24"/>
    </row>
    <row r="549" customFormat="false" ht="15" hidden="false" customHeight="false" outlineLevel="0" collapsed="false">
      <c r="A549" s="24"/>
      <c r="B549" s="24"/>
      <c r="C549" s="22"/>
      <c r="D549" s="25"/>
      <c r="E549" s="22"/>
      <c r="F549" s="26"/>
      <c r="G549" s="26"/>
      <c r="H549" s="26"/>
      <c r="I549" s="26"/>
      <c r="J549" s="22"/>
      <c r="K549" s="20" t="n">
        <f aca="false">IF($D549="",0,$C549*$D549)</f>
        <v>0</v>
      </c>
      <c r="L549" s="20" t="n">
        <f aca="false">IF($D549="",0,$F549*$K549)</f>
        <v>0</v>
      </c>
      <c r="M549" s="20" t="n">
        <f aca="false">IF($D549="",0,$G549*$K549)</f>
        <v>0</v>
      </c>
      <c r="N549" s="20" t="n">
        <f aca="false">IF($D549="",0,$H549*$K549)</f>
        <v>0</v>
      </c>
      <c r="O549" s="20" t="n">
        <f aca="false">IF($D549="",0,$I549*$K549*(1-$F549))</f>
        <v>0</v>
      </c>
      <c r="P549" s="20" t="n">
        <f aca="false">IF($D549="",0,$E549*$D549+$L549+$M549+$N549+$O549+$J549*$D549)</f>
        <v>0</v>
      </c>
      <c r="Q549" s="20" t="n">
        <f aca="false">IF($D549="",0,$K549-$P549)</f>
        <v>0</v>
      </c>
      <c r="R549" s="21" t="n">
        <f aca="false">IF($K549=0,0,$Q549/$K549)</f>
        <v>0</v>
      </c>
      <c r="S549" s="20" t="n">
        <f aca="false">IF($D549="",0,$K549-$L549-$M549-$N549)</f>
        <v>0</v>
      </c>
      <c r="T549" s="22"/>
      <c r="U549" s="20" t="n">
        <f aca="false">IF($T549="",0,MAX(0,$S549-$T549))</f>
        <v>0</v>
      </c>
      <c r="V549" s="21" t="n">
        <f aca="false">IF($S549=0,0,$U549/$S549)</f>
        <v>0</v>
      </c>
      <c r="W549" s="23" t="str">
        <f aca="false">IF($D549="","",IF($T549="","BEKLİYOR",IF(OR($U549=0,$S549=0),"DOĞRU",IF(AND($V549&gt;PazaryeriEksikHakedisEsik,$U549&gt;PazaryeriEksikHakedisTutarEsik),"EKSİK HAKEDİŞ","DOĞRU"))))</f>
        <v/>
      </c>
      <c r="X549" s="23" t="str">
        <f aca="false">IF($B549="","",CONCATENATE("Ürün: ",$B549," | Kâr: ",TEXT($Q549,"₺ #,##0")," | Durum: ",$W549))</f>
        <v/>
      </c>
      <c r="Y549" s="24"/>
    </row>
    <row r="550" customFormat="false" ht="15" hidden="false" customHeight="false" outlineLevel="0" collapsed="false">
      <c r="A550" s="24"/>
      <c r="B550" s="24"/>
      <c r="C550" s="22"/>
      <c r="D550" s="25"/>
      <c r="E550" s="22"/>
      <c r="F550" s="26"/>
      <c r="G550" s="26"/>
      <c r="H550" s="26"/>
      <c r="I550" s="26"/>
      <c r="J550" s="22"/>
      <c r="K550" s="20" t="n">
        <f aca="false">IF($D550="",0,$C550*$D550)</f>
        <v>0</v>
      </c>
      <c r="L550" s="20" t="n">
        <f aca="false">IF($D550="",0,$F550*$K550)</f>
        <v>0</v>
      </c>
      <c r="M550" s="20" t="n">
        <f aca="false">IF($D550="",0,$G550*$K550)</f>
        <v>0</v>
      </c>
      <c r="N550" s="20" t="n">
        <f aca="false">IF($D550="",0,$H550*$K550)</f>
        <v>0</v>
      </c>
      <c r="O550" s="20" t="n">
        <f aca="false">IF($D550="",0,$I550*$K550*(1-$F550))</f>
        <v>0</v>
      </c>
      <c r="P550" s="20" t="n">
        <f aca="false">IF($D550="",0,$E550*$D550+$L550+$M550+$N550+$O550+$J550*$D550)</f>
        <v>0</v>
      </c>
      <c r="Q550" s="20" t="n">
        <f aca="false">IF($D550="",0,$K550-$P550)</f>
        <v>0</v>
      </c>
      <c r="R550" s="21" t="n">
        <f aca="false">IF($K550=0,0,$Q550/$K550)</f>
        <v>0</v>
      </c>
      <c r="S550" s="20" t="n">
        <f aca="false">IF($D550="",0,$K550-$L550-$M550-$N550)</f>
        <v>0</v>
      </c>
      <c r="T550" s="22"/>
      <c r="U550" s="20" t="n">
        <f aca="false">IF($T550="",0,MAX(0,$S550-$T550))</f>
        <v>0</v>
      </c>
      <c r="V550" s="21" t="n">
        <f aca="false">IF($S550=0,0,$U550/$S550)</f>
        <v>0</v>
      </c>
      <c r="W550" s="23" t="str">
        <f aca="false">IF($D550="","",IF($T550="","BEKLİYOR",IF(OR($U550=0,$S550=0),"DOĞRU",IF(AND($V550&gt;PazaryeriEksikHakedisEsik,$U550&gt;PazaryeriEksikHakedisTutarEsik),"EKSİK HAKEDİŞ","DOĞRU"))))</f>
        <v/>
      </c>
      <c r="X550" s="23" t="str">
        <f aca="false">IF($B550="","",CONCATENATE("Ürün: ",$B550," | Kâr: ",TEXT($Q550,"₺ #,##0")," | Durum: ",$W550))</f>
        <v/>
      </c>
      <c r="Y550" s="24"/>
    </row>
    <row r="551" customFormat="false" ht="15" hidden="false" customHeight="false" outlineLevel="0" collapsed="false">
      <c r="A551" s="24"/>
      <c r="B551" s="24"/>
      <c r="C551" s="22"/>
      <c r="D551" s="25"/>
      <c r="E551" s="22"/>
      <c r="F551" s="26"/>
      <c r="G551" s="26"/>
      <c r="H551" s="26"/>
      <c r="I551" s="26"/>
      <c r="J551" s="22"/>
      <c r="K551" s="20" t="n">
        <f aca="false">IF($D551="",0,$C551*$D551)</f>
        <v>0</v>
      </c>
      <c r="L551" s="20" t="n">
        <f aca="false">IF($D551="",0,$F551*$K551)</f>
        <v>0</v>
      </c>
      <c r="M551" s="20" t="n">
        <f aca="false">IF($D551="",0,$G551*$K551)</f>
        <v>0</v>
      </c>
      <c r="N551" s="20" t="n">
        <f aca="false">IF($D551="",0,$H551*$K551)</f>
        <v>0</v>
      </c>
      <c r="O551" s="20" t="n">
        <f aca="false">IF($D551="",0,$I551*$K551*(1-$F551))</f>
        <v>0</v>
      </c>
      <c r="P551" s="20" t="n">
        <f aca="false">IF($D551="",0,$E551*$D551+$L551+$M551+$N551+$O551+$J551*$D551)</f>
        <v>0</v>
      </c>
      <c r="Q551" s="20" t="n">
        <f aca="false">IF($D551="",0,$K551-$P551)</f>
        <v>0</v>
      </c>
      <c r="R551" s="21" t="n">
        <f aca="false">IF($K551=0,0,$Q551/$K551)</f>
        <v>0</v>
      </c>
      <c r="S551" s="20" t="n">
        <f aca="false">IF($D551="",0,$K551-$L551-$M551-$N551)</f>
        <v>0</v>
      </c>
      <c r="T551" s="22"/>
      <c r="U551" s="20" t="n">
        <f aca="false">IF($T551="",0,MAX(0,$S551-$T551))</f>
        <v>0</v>
      </c>
      <c r="V551" s="21" t="n">
        <f aca="false">IF($S551=0,0,$U551/$S551)</f>
        <v>0</v>
      </c>
      <c r="W551" s="23" t="str">
        <f aca="false">IF($D551="","",IF($T551="","BEKLİYOR",IF(OR($U551=0,$S551=0),"DOĞRU",IF(AND($V551&gt;PazaryeriEksikHakedisEsik,$U551&gt;PazaryeriEksikHakedisTutarEsik),"EKSİK HAKEDİŞ","DOĞRU"))))</f>
        <v/>
      </c>
      <c r="X551" s="23" t="str">
        <f aca="false">IF($B551="","",CONCATENATE("Ürün: ",$B551," | Kâr: ",TEXT($Q551,"₺ #,##0")," | Durum: ",$W551))</f>
        <v/>
      </c>
      <c r="Y551" s="24"/>
    </row>
    <row r="552" customFormat="false" ht="15" hidden="false" customHeight="false" outlineLevel="0" collapsed="false">
      <c r="A552" s="24"/>
      <c r="B552" s="24"/>
      <c r="C552" s="22"/>
      <c r="D552" s="25"/>
      <c r="E552" s="22"/>
      <c r="F552" s="26"/>
      <c r="G552" s="26"/>
      <c r="H552" s="26"/>
      <c r="I552" s="26"/>
      <c r="J552" s="22"/>
      <c r="K552" s="20" t="n">
        <f aca="false">IF($D552="",0,$C552*$D552)</f>
        <v>0</v>
      </c>
      <c r="L552" s="20" t="n">
        <f aca="false">IF($D552="",0,$F552*$K552)</f>
        <v>0</v>
      </c>
      <c r="M552" s="20" t="n">
        <f aca="false">IF($D552="",0,$G552*$K552)</f>
        <v>0</v>
      </c>
      <c r="N552" s="20" t="n">
        <f aca="false">IF($D552="",0,$H552*$K552)</f>
        <v>0</v>
      </c>
      <c r="O552" s="20" t="n">
        <f aca="false">IF($D552="",0,$I552*$K552*(1-$F552))</f>
        <v>0</v>
      </c>
      <c r="P552" s="20" t="n">
        <f aca="false">IF($D552="",0,$E552*$D552+$L552+$M552+$N552+$O552+$J552*$D552)</f>
        <v>0</v>
      </c>
      <c r="Q552" s="20" t="n">
        <f aca="false">IF($D552="",0,$K552-$P552)</f>
        <v>0</v>
      </c>
      <c r="R552" s="21" t="n">
        <f aca="false">IF($K552=0,0,$Q552/$K552)</f>
        <v>0</v>
      </c>
      <c r="S552" s="20" t="n">
        <f aca="false">IF($D552="",0,$K552-$L552-$M552-$N552)</f>
        <v>0</v>
      </c>
      <c r="T552" s="22"/>
      <c r="U552" s="20" t="n">
        <f aca="false">IF($T552="",0,MAX(0,$S552-$T552))</f>
        <v>0</v>
      </c>
      <c r="V552" s="21" t="n">
        <f aca="false">IF($S552=0,0,$U552/$S552)</f>
        <v>0</v>
      </c>
      <c r="W552" s="23" t="str">
        <f aca="false">IF($D552="","",IF($T552="","BEKLİYOR",IF(OR($U552=0,$S552=0),"DOĞRU",IF(AND($V552&gt;PazaryeriEksikHakedisEsik,$U552&gt;PazaryeriEksikHakedisTutarEsik),"EKSİK HAKEDİŞ","DOĞRU"))))</f>
        <v/>
      </c>
      <c r="X552" s="23" t="str">
        <f aca="false">IF($B552="","",CONCATENATE("Ürün: ",$B552," | Kâr: ",TEXT($Q552,"₺ #,##0")," | Durum: ",$W552))</f>
        <v/>
      </c>
      <c r="Y552" s="24"/>
    </row>
    <row r="553" customFormat="false" ht="15" hidden="false" customHeight="false" outlineLevel="0" collapsed="false">
      <c r="A553" s="24"/>
      <c r="B553" s="24"/>
      <c r="C553" s="22"/>
      <c r="D553" s="25"/>
      <c r="E553" s="22"/>
      <c r="F553" s="26"/>
      <c r="G553" s="26"/>
      <c r="H553" s="26"/>
      <c r="I553" s="26"/>
      <c r="J553" s="22"/>
      <c r="K553" s="20" t="n">
        <f aca="false">IF($D553="",0,$C553*$D553)</f>
        <v>0</v>
      </c>
      <c r="L553" s="20" t="n">
        <f aca="false">IF($D553="",0,$F553*$K553)</f>
        <v>0</v>
      </c>
      <c r="M553" s="20" t="n">
        <f aca="false">IF($D553="",0,$G553*$K553)</f>
        <v>0</v>
      </c>
      <c r="N553" s="20" t="n">
        <f aca="false">IF($D553="",0,$H553*$K553)</f>
        <v>0</v>
      </c>
      <c r="O553" s="20" t="n">
        <f aca="false">IF($D553="",0,$I553*$K553*(1-$F553))</f>
        <v>0</v>
      </c>
      <c r="P553" s="20" t="n">
        <f aca="false">IF($D553="",0,$E553*$D553+$L553+$M553+$N553+$O553+$J553*$D553)</f>
        <v>0</v>
      </c>
      <c r="Q553" s="20" t="n">
        <f aca="false">IF($D553="",0,$K553-$P553)</f>
        <v>0</v>
      </c>
      <c r="R553" s="21" t="n">
        <f aca="false">IF($K553=0,0,$Q553/$K553)</f>
        <v>0</v>
      </c>
      <c r="S553" s="20" t="n">
        <f aca="false">IF($D553="",0,$K553-$L553-$M553-$N553)</f>
        <v>0</v>
      </c>
      <c r="T553" s="22"/>
      <c r="U553" s="20" t="n">
        <f aca="false">IF($T553="",0,MAX(0,$S553-$T553))</f>
        <v>0</v>
      </c>
      <c r="V553" s="21" t="n">
        <f aca="false">IF($S553=0,0,$U553/$S553)</f>
        <v>0</v>
      </c>
      <c r="W553" s="23" t="str">
        <f aca="false">IF($D553="","",IF($T553="","BEKLİYOR",IF(OR($U553=0,$S553=0),"DOĞRU",IF(AND($V553&gt;PazaryeriEksikHakedisEsik,$U553&gt;PazaryeriEksikHakedisTutarEsik),"EKSİK HAKEDİŞ","DOĞRU"))))</f>
        <v/>
      </c>
      <c r="X553" s="23" t="str">
        <f aca="false">IF($B553="","",CONCATENATE("Ürün: ",$B553," | Kâr: ",TEXT($Q553,"₺ #,##0")," | Durum: ",$W553))</f>
        <v/>
      </c>
      <c r="Y553" s="24"/>
    </row>
    <row r="554" customFormat="false" ht="15" hidden="false" customHeight="false" outlineLevel="0" collapsed="false">
      <c r="A554" s="24"/>
      <c r="B554" s="24"/>
      <c r="C554" s="22"/>
      <c r="D554" s="25"/>
      <c r="E554" s="22"/>
      <c r="F554" s="26"/>
      <c r="G554" s="26"/>
      <c r="H554" s="26"/>
      <c r="I554" s="26"/>
      <c r="J554" s="22"/>
      <c r="K554" s="20" t="n">
        <f aca="false">IF($D554="",0,$C554*$D554)</f>
        <v>0</v>
      </c>
      <c r="L554" s="20" t="n">
        <f aca="false">IF($D554="",0,$F554*$K554)</f>
        <v>0</v>
      </c>
      <c r="M554" s="20" t="n">
        <f aca="false">IF($D554="",0,$G554*$K554)</f>
        <v>0</v>
      </c>
      <c r="N554" s="20" t="n">
        <f aca="false">IF($D554="",0,$H554*$K554)</f>
        <v>0</v>
      </c>
      <c r="O554" s="20" t="n">
        <f aca="false">IF($D554="",0,$I554*$K554*(1-$F554))</f>
        <v>0</v>
      </c>
      <c r="P554" s="20" t="n">
        <f aca="false">IF($D554="",0,$E554*$D554+$L554+$M554+$N554+$O554+$J554*$D554)</f>
        <v>0</v>
      </c>
      <c r="Q554" s="20" t="n">
        <f aca="false">IF($D554="",0,$K554-$P554)</f>
        <v>0</v>
      </c>
      <c r="R554" s="21" t="n">
        <f aca="false">IF($K554=0,0,$Q554/$K554)</f>
        <v>0</v>
      </c>
      <c r="S554" s="20" t="n">
        <f aca="false">IF($D554="",0,$K554-$L554-$M554-$N554)</f>
        <v>0</v>
      </c>
      <c r="T554" s="22"/>
      <c r="U554" s="20" t="n">
        <f aca="false">IF($T554="",0,MAX(0,$S554-$T554))</f>
        <v>0</v>
      </c>
      <c r="V554" s="21" t="n">
        <f aca="false">IF($S554=0,0,$U554/$S554)</f>
        <v>0</v>
      </c>
      <c r="W554" s="23" t="str">
        <f aca="false">IF($D554="","",IF($T554="","BEKLİYOR",IF(OR($U554=0,$S554=0),"DOĞRU",IF(AND($V554&gt;PazaryeriEksikHakedisEsik,$U554&gt;PazaryeriEksikHakedisTutarEsik),"EKSİK HAKEDİŞ","DOĞRU"))))</f>
        <v/>
      </c>
      <c r="X554" s="23" t="str">
        <f aca="false">IF($B554="","",CONCATENATE("Ürün: ",$B554," | Kâr: ",TEXT($Q554,"₺ #,##0")," | Durum: ",$W554))</f>
        <v/>
      </c>
      <c r="Y554" s="24"/>
    </row>
    <row r="555" customFormat="false" ht="15" hidden="false" customHeight="false" outlineLevel="0" collapsed="false">
      <c r="A555" s="24"/>
      <c r="B555" s="24"/>
      <c r="C555" s="22"/>
      <c r="D555" s="25"/>
      <c r="E555" s="22"/>
      <c r="F555" s="26"/>
      <c r="G555" s="26"/>
      <c r="H555" s="26"/>
      <c r="I555" s="26"/>
      <c r="J555" s="22"/>
      <c r="K555" s="20" t="n">
        <f aca="false">IF($D555="",0,$C555*$D555)</f>
        <v>0</v>
      </c>
      <c r="L555" s="20" t="n">
        <f aca="false">IF($D555="",0,$F555*$K555)</f>
        <v>0</v>
      </c>
      <c r="M555" s="20" t="n">
        <f aca="false">IF($D555="",0,$G555*$K555)</f>
        <v>0</v>
      </c>
      <c r="N555" s="20" t="n">
        <f aca="false">IF($D555="",0,$H555*$K555)</f>
        <v>0</v>
      </c>
      <c r="O555" s="20" t="n">
        <f aca="false">IF($D555="",0,$I555*$K555*(1-$F555))</f>
        <v>0</v>
      </c>
      <c r="P555" s="20" t="n">
        <f aca="false">IF($D555="",0,$E555*$D555+$L555+$M555+$N555+$O555+$J555*$D555)</f>
        <v>0</v>
      </c>
      <c r="Q555" s="20" t="n">
        <f aca="false">IF($D555="",0,$K555-$P555)</f>
        <v>0</v>
      </c>
      <c r="R555" s="21" t="n">
        <f aca="false">IF($K555=0,0,$Q555/$K555)</f>
        <v>0</v>
      </c>
      <c r="S555" s="20" t="n">
        <f aca="false">IF($D555="",0,$K555-$L555-$M555-$N555)</f>
        <v>0</v>
      </c>
      <c r="T555" s="22"/>
      <c r="U555" s="20" t="n">
        <f aca="false">IF($T555="",0,MAX(0,$S555-$T555))</f>
        <v>0</v>
      </c>
      <c r="V555" s="21" t="n">
        <f aca="false">IF($S555=0,0,$U555/$S555)</f>
        <v>0</v>
      </c>
      <c r="W555" s="23" t="str">
        <f aca="false">IF($D555="","",IF($T555="","BEKLİYOR",IF(OR($U555=0,$S555=0),"DOĞRU",IF(AND($V555&gt;PazaryeriEksikHakedisEsik,$U555&gt;PazaryeriEksikHakedisTutarEsik),"EKSİK HAKEDİŞ","DOĞRU"))))</f>
        <v/>
      </c>
      <c r="X555" s="23" t="str">
        <f aca="false">IF($B555="","",CONCATENATE("Ürün: ",$B555," | Kâr: ",TEXT($Q555,"₺ #,##0")," | Durum: ",$W555))</f>
        <v/>
      </c>
      <c r="Y555" s="24"/>
    </row>
    <row r="556" customFormat="false" ht="15" hidden="false" customHeight="false" outlineLevel="0" collapsed="false">
      <c r="A556" s="24"/>
      <c r="B556" s="24"/>
      <c r="C556" s="22"/>
      <c r="D556" s="25"/>
      <c r="E556" s="22"/>
      <c r="F556" s="26"/>
      <c r="G556" s="26"/>
      <c r="H556" s="26"/>
      <c r="I556" s="26"/>
      <c r="J556" s="22"/>
      <c r="K556" s="20" t="n">
        <f aca="false">IF($D556="",0,$C556*$D556)</f>
        <v>0</v>
      </c>
      <c r="L556" s="20" t="n">
        <f aca="false">IF($D556="",0,$F556*$K556)</f>
        <v>0</v>
      </c>
      <c r="M556" s="20" t="n">
        <f aca="false">IF($D556="",0,$G556*$K556)</f>
        <v>0</v>
      </c>
      <c r="N556" s="20" t="n">
        <f aca="false">IF($D556="",0,$H556*$K556)</f>
        <v>0</v>
      </c>
      <c r="O556" s="20" t="n">
        <f aca="false">IF($D556="",0,$I556*$K556*(1-$F556))</f>
        <v>0</v>
      </c>
      <c r="P556" s="20" t="n">
        <f aca="false">IF($D556="",0,$E556*$D556+$L556+$M556+$N556+$O556+$J556*$D556)</f>
        <v>0</v>
      </c>
      <c r="Q556" s="20" t="n">
        <f aca="false">IF($D556="",0,$K556-$P556)</f>
        <v>0</v>
      </c>
      <c r="R556" s="21" t="n">
        <f aca="false">IF($K556=0,0,$Q556/$K556)</f>
        <v>0</v>
      </c>
      <c r="S556" s="20" t="n">
        <f aca="false">IF($D556="",0,$K556-$L556-$M556-$N556)</f>
        <v>0</v>
      </c>
      <c r="T556" s="22"/>
      <c r="U556" s="20" t="n">
        <f aca="false">IF($T556="",0,MAX(0,$S556-$T556))</f>
        <v>0</v>
      </c>
      <c r="V556" s="21" t="n">
        <f aca="false">IF($S556=0,0,$U556/$S556)</f>
        <v>0</v>
      </c>
      <c r="W556" s="23" t="str">
        <f aca="false">IF($D556="","",IF($T556="","BEKLİYOR",IF(OR($U556=0,$S556=0),"DOĞRU",IF(AND($V556&gt;PazaryeriEksikHakedisEsik,$U556&gt;PazaryeriEksikHakedisTutarEsik),"EKSİK HAKEDİŞ","DOĞRU"))))</f>
        <v/>
      </c>
      <c r="X556" s="23" t="str">
        <f aca="false">IF($B556="","",CONCATENATE("Ürün: ",$B556," | Kâr: ",TEXT($Q556,"₺ #,##0")," | Durum: ",$W556))</f>
        <v/>
      </c>
      <c r="Y556" s="24"/>
    </row>
    <row r="557" customFormat="false" ht="15" hidden="false" customHeight="false" outlineLevel="0" collapsed="false">
      <c r="A557" s="24"/>
      <c r="B557" s="24"/>
      <c r="C557" s="22"/>
      <c r="D557" s="25"/>
      <c r="E557" s="22"/>
      <c r="F557" s="26"/>
      <c r="G557" s="26"/>
      <c r="H557" s="26"/>
      <c r="I557" s="26"/>
      <c r="J557" s="22"/>
      <c r="K557" s="20" t="n">
        <f aca="false">IF($D557="",0,$C557*$D557)</f>
        <v>0</v>
      </c>
      <c r="L557" s="20" t="n">
        <f aca="false">IF($D557="",0,$F557*$K557)</f>
        <v>0</v>
      </c>
      <c r="M557" s="20" t="n">
        <f aca="false">IF($D557="",0,$G557*$K557)</f>
        <v>0</v>
      </c>
      <c r="N557" s="20" t="n">
        <f aca="false">IF($D557="",0,$H557*$K557)</f>
        <v>0</v>
      </c>
      <c r="O557" s="20" t="n">
        <f aca="false">IF($D557="",0,$I557*$K557*(1-$F557))</f>
        <v>0</v>
      </c>
      <c r="P557" s="20" t="n">
        <f aca="false">IF($D557="",0,$E557*$D557+$L557+$M557+$N557+$O557+$J557*$D557)</f>
        <v>0</v>
      </c>
      <c r="Q557" s="20" t="n">
        <f aca="false">IF($D557="",0,$K557-$P557)</f>
        <v>0</v>
      </c>
      <c r="R557" s="21" t="n">
        <f aca="false">IF($K557=0,0,$Q557/$K557)</f>
        <v>0</v>
      </c>
      <c r="S557" s="20" t="n">
        <f aca="false">IF($D557="",0,$K557-$L557-$M557-$N557)</f>
        <v>0</v>
      </c>
      <c r="T557" s="22"/>
      <c r="U557" s="20" t="n">
        <f aca="false">IF($T557="",0,MAX(0,$S557-$T557))</f>
        <v>0</v>
      </c>
      <c r="V557" s="21" t="n">
        <f aca="false">IF($S557=0,0,$U557/$S557)</f>
        <v>0</v>
      </c>
      <c r="W557" s="23" t="str">
        <f aca="false">IF($D557="","",IF($T557="","BEKLİYOR",IF(OR($U557=0,$S557=0),"DOĞRU",IF(AND($V557&gt;PazaryeriEksikHakedisEsik,$U557&gt;PazaryeriEksikHakedisTutarEsik),"EKSİK HAKEDİŞ","DOĞRU"))))</f>
        <v/>
      </c>
      <c r="X557" s="23" t="str">
        <f aca="false">IF($B557="","",CONCATENATE("Ürün: ",$B557," | Kâr: ",TEXT($Q557,"₺ #,##0")," | Durum: ",$W557))</f>
        <v/>
      </c>
      <c r="Y557" s="24"/>
    </row>
    <row r="558" customFormat="false" ht="15" hidden="false" customHeight="false" outlineLevel="0" collapsed="false">
      <c r="A558" s="24"/>
      <c r="B558" s="24"/>
      <c r="C558" s="22"/>
      <c r="D558" s="25"/>
      <c r="E558" s="22"/>
      <c r="F558" s="26"/>
      <c r="G558" s="26"/>
      <c r="H558" s="26"/>
      <c r="I558" s="26"/>
      <c r="J558" s="22"/>
      <c r="K558" s="20" t="n">
        <f aca="false">IF($D558="",0,$C558*$D558)</f>
        <v>0</v>
      </c>
      <c r="L558" s="20" t="n">
        <f aca="false">IF($D558="",0,$F558*$K558)</f>
        <v>0</v>
      </c>
      <c r="M558" s="20" t="n">
        <f aca="false">IF($D558="",0,$G558*$K558)</f>
        <v>0</v>
      </c>
      <c r="N558" s="20" t="n">
        <f aca="false">IF($D558="",0,$H558*$K558)</f>
        <v>0</v>
      </c>
      <c r="O558" s="20" t="n">
        <f aca="false">IF($D558="",0,$I558*$K558*(1-$F558))</f>
        <v>0</v>
      </c>
      <c r="P558" s="20" t="n">
        <f aca="false">IF($D558="",0,$E558*$D558+$L558+$M558+$N558+$O558+$J558*$D558)</f>
        <v>0</v>
      </c>
      <c r="Q558" s="20" t="n">
        <f aca="false">IF($D558="",0,$K558-$P558)</f>
        <v>0</v>
      </c>
      <c r="R558" s="21" t="n">
        <f aca="false">IF($K558=0,0,$Q558/$K558)</f>
        <v>0</v>
      </c>
      <c r="S558" s="20" t="n">
        <f aca="false">IF($D558="",0,$K558-$L558-$M558-$N558)</f>
        <v>0</v>
      </c>
      <c r="T558" s="22"/>
      <c r="U558" s="20" t="n">
        <f aca="false">IF($T558="",0,MAX(0,$S558-$T558))</f>
        <v>0</v>
      </c>
      <c r="V558" s="21" t="n">
        <f aca="false">IF($S558=0,0,$U558/$S558)</f>
        <v>0</v>
      </c>
      <c r="W558" s="23" t="str">
        <f aca="false">IF($D558="","",IF($T558="","BEKLİYOR",IF(OR($U558=0,$S558=0),"DOĞRU",IF(AND($V558&gt;PazaryeriEksikHakedisEsik,$U558&gt;PazaryeriEksikHakedisTutarEsik),"EKSİK HAKEDİŞ","DOĞRU"))))</f>
        <v/>
      </c>
      <c r="X558" s="23" t="str">
        <f aca="false">IF($B558="","",CONCATENATE("Ürün: ",$B558," | Kâr: ",TEXT($Q558,"₺ #,##0")," | Durum: ",$W558))</f>
        <v/>
      </c>
      <c r="Y558" s="24"/>
    </row>
    <row r="559" customFormat="false" ht="15" hidden="false" customHeight="false" outlineLevel="0" collapsed="false">
      <c r="A559" s="24"/>
      <c r="B559" s="24"/>
      <c r="C559" s="22"/>
      <c r="D559" s="25"/>
      <c r="E559" s="22"/>
      <c r="F559" s="26"/>
      <c r="G559" s="26"/>
      <c r="H559" s="26"/>
      <c r="I559" s="26"/>
      <c r="J559" s="22"/>
      <c r="K559" s="20" t="n">
        <f aca="false">IF($D559="",0,$C559*$D559)</f>
        <v>0</v>
      </c>
      <c r="L559" s="20" t="n">
        <f aca="false">IF($D559="",0,$F559*$K559)</f>
        <v>0</v>
      </c>
      <c r="M559" s="20" t="n">
        <f aca="false">IF($D559="",0,$G559*$K559)</f>
        <v>0</v>
      </c>
      <c r="N559" s="20" t="n">
        <f aca="false">IF($D559="",0,$H559*$K559)</f>
        <v>0</v>
      </c>
      <c r="O559" s="20" t="n">
        <f aca="false">IF($D559="",0,$I559*$K559*(1-$F559))</f>
        <v>0</v>
      </c>
      <c r="P559" s="20" t="n">
        <f aca="false">IF($D559="",0,$E559*$D559+$L559+$M559+$N559+$O559+$J559*$D559)</f>
        <v>0</v>
      </c>
      <c r="Q559" s="20" t="n">
        <f aca="false">IF($D559="",0,$K559-$P559)</f>
        <v>0</v>
      </c>
      <c r="R559" s="21" t="n">
        <f aca="false">IF($K559=0,0,$Q559/$K559)</f>
        <v>0</v>
      </c>
      <c r="S559" s="20" t="n">
        <f aca="false">IF($D559="",0,$K559-$L559-$M559-$N559)</f>
        <v>0</v>
      </c>
      <c r="T559" s="22"/>
      <c r="U559" s="20" t="n">
        <f aca="false">IF($T559="",0,MAX(0,$S559-$T559))</f>
        <v>0</v>
      </c>
      <c r="V559" s="21" t="n">
        <f aca="false">IF($S559=0,0,$U559/$S559)</f>
        <v>0</v>
      </c>
      <c r="W559" s="23" t="str">
        <f aca="false">IF($D559="","",IF($T559="","BEKLİYOR",IF(OR($U559=0,$S559=0),"DOĞRU",IF(AND($V559&gt;PazaryeriEksikHakedisEsik,$U559&gt;PazaryeriEksikHakedisTutarEsik),"EKSİK HAKEDİŞ","DOĞRU"))))</f>
        <v/>
      </c>
      <c r="X559" s="23" t="str">
        <f aca="false">IF($B559="","",CONCATENATE("Ürün: ",$B559," | Kâr: ",TEXT($Q559,"₺ #,##0")," | Durum: ",$W559))</f>
        <v/>
      </c>
      <c r="Y559" s="24"/>
    </row>
    <row r="560" customFormat="false" ht="15" hidden="false" customHeight="false" outlineLevel="0" collapsed="false">
      <c r="A560" s="24"/>
      <c r="B560" s="24"/>
      <c r="C560" s="22"/>
      <c r="D560" s="25"/>
      <c r="E560" s="22"/>
      <c r="F560" s="26"/>
      <c r="G560" s="26"/>
      <c r="H560" s="26"/>
      <c r="I560" s="26"/>
      <c r="J560" s="22"/>
      <c r="K560" s="20" t="n">
        <f aca="false">IF($D560="",0,$C560*$D560)</f>
        <v>0</v>
      </c>
      <c r="L560" s="20" t="n">
        <f aca="false">IF($D560="",0,$F560*$K560)</f>
        <v>0</v>
      </c>
      <c r="M560" s="20" t="n">
        <f aca="false">IF($D560="",0,$G560*$K560)</f>
        <v>0</v>
      </c>
      <c r="N560" s="20" t="n">
        <f aca="false">IF($D560="",0,$H560*$K560)</f>
        <v>0</v>
      </c>
      <c r="O560" s="20" t="n">
        <f aca="false">IF($D560="",0,$I560*$K560*(1-$F560))</f>
        <v>0</v>
      </c>
      <c r="P560" s="20" t="n">
        <f aca="false">IF($D560="",0,$E560*$D560+$L560+$M560+$N560+$O560+$J560*$D560)</f>
        <v>0</v>
      </c>
      <c r="Q560" s="20" t="n">
        <f aca="false">IF($D560="",0,$K560-$P560)</f>
        <v>0</v>
      </c>
      <c r="R560" s="21" t="n">
        <f aca="false">IF($K560=0,0,$Q560/$K560)</f>
        <v>0</v>
      </c>
      <c r="S560" s="20" t="n">
        <f aca="false">IF($D560="",0,$K560-$L560-$M560-$N560)</f>
        <v>0</v>
      </c>
      <c r="T560" s="22"/>
      <c r="U560" s="20" t="n">
        <f aca="false">IF($T560="",0,MAX(0,$S560-$T560))</f>
        <v>0</v>
      </c>
      <c r="V560" s="21" t="n">
        <f aca="false">IF($S560=0,0,$U560/$S560)</f>
        <v>0</v>
      </c>
      <c r="W560" s="23" t="str">
        <f aca="false">IF($D560="","",IF($T560="","BEKLİYOR",IF(OR($U560=0,$S560=0),"DOĞRU",IF(AND($V560&gt;PazaryeriEksikHakedisEsik,$U560&gt;PazaryeriEksikHakedisTutarEsik),"EKSİK HAKEDİŞ","DOĞRU"))))</f>
        <v/>
      </c>
      <c r="X560" s="23" t="str">
        <f aca="false">IF($B560="","",CONCATENATE("Ürün: ",$B560," | Kâr: ",TEXT($Q560,"₺ #,##0")," | Durum: ",$W560))</f>
        <v/>
      </c>
      <c r="Y560" s="24"/>
    </row>
    <row r="561" customFormat="false" ht="15" hidden="false" customHeight="false" outlineLevel="0" collapsed="false">
      <c r="A561" s="24"/>
      <c r="B561" s="24"/>
      <c r="C561" s="22"/>
      <c r="D561" s="25"/>
      <c r="E561" s="22"/>
      <c r="F561" s="26"/>
      <c r="G561" s="26"/>
      <c r="H561" s="26"/>
      <c r="I561" s="26"/>
      <c r="J561" s="22"/>
      <c r="K561" s="20" t="n">
        <f aca="false">IF($D561="",0,$C561*$D561)</f>
        <v>0</v>
      </c>
      <c r="L561" s="20" t="n">
        <f aca="false">IF($D561="",0,$F561*$K561)</f>
        <v>0</v>
      </c>
      <c r="M561" s="20" t="n">
        <f aca="false">IF($D561="",0,$G561*$K561)</f>
        <v>0</v>
      </c>
      <c r="N561" s="20" t="n">
        <f aca="false">IF($D561="",0,$H561*$K561)</f>
        <v>0</v>
      </c>
      <c r="O561" s="20" t="n">
        <f aca="false">IF($D561="",0,$I561*$K561*(1-$F561))</f>
        <v>0</v>
      </c>
      <c r="P561" s="20" t="n">
        <f aca="false">IF($D561="",0,$E561*$D561+$L561+$M561+$N561+$O561+$J561*$D561)</f>
        <v>0</v>
      </c>
      <c r="Q561" s="20" t="n">
        <f aca="false">IF($D561="",0,$K561-$P561)</f>
        <v>0</v>
      </c>
      <c r="R561" s="21" t="n">
        <f aca="false">IF($K561=0,0,$Q561/$K561)</f>
        <v>0</v>
      </c>
      <c r="S561" s="20" t="n">
        <f aca="false">IF($D561="",0,$K561-$L561-$M561-$N561)</f>
        <v>0</v>
      </c>
      <c r="T561" s="22"/>
      <c r="U561" s="20" t="n">
        <f aca="false">IF($T561="",0,MAX(0,$S561-$T561))</f>
        <v>0</v>
      </c>
      <c r="V561" s="21" t="n">
        <f aca="false">IF($S561=0,0,$U561/$S561)</f>
        <v>0</v>
      </c>
      <c r="W561" s="23" t="str">
        <f aca="false">IF($D561="","",IF($T561="","BEKLİYOR",IF(OR($U561=0,$S561=0),"DOĞRU",IF(AND($V561&gt;PazaryeriEksikHakedisEsik,$U561&gt;PazaryeriEksikHakedisTutarEsik),"EKSİK HAKEDİŞ","DOĞRU"))))</f>
        <v/>
      </c>
      <c r="X561" s="23" t="str">
        <f aca="false">IF($B561="","",CONCATENATE("Ürün: ",$B561," | Kâr: ",TEXT($Q561,"₺ #,##0")," | Durum: ",$W561))</f>
        <v/>
      </c>
      <c r="Y561" s="24"/>
    </row>
    <row r="562" customFormat="false" ht="15" hidden="false" customHeight="false" outlineLevel="0" collapsed="false">
      <c r="A562" s="24"/>
      <c r="B562" s="24"/>
      <c r="C562" s="22"/>
      <c r="D562" s="25"/>
      <c r="E562" s="22"/>
      <c r="F562" s="26"/>
      <c r="G562" s="26"/>
      <c r="H562" s="26"/>
      <c r="I562" s="26"/>
      <c r="J562" s="22"/>
      <c r="K562" s="20" t="n">
        <f aca="false">IF($D562="",0,$C562*$D562)</f>
        <v>0</v>
      </c>
      <c r="L562" s="20" t="n">
        <f aca="false">IF($D562="",0,$F562*$K562)</f>
        <v>0</v>
      </c>
      <c r="M562" s="20" t="n">
        <f aca="false">IF($D562="",0,$G562*$K562)</f>
        <v>0</v>
      </c>
      <c r="N562" s="20" t="n">
        <f aca="false">IF($D562="",0,$H562*$K562)</f>
        <v>0</v>
      </c>
      <c r="O562" s="20" t="n">
        <f aca="false">IF($D562="",0,$I562*$K562*(1-$F562))</f>
        <v>0</v>
      </c>
      <c r="P562" s="20" t="n">
        <f aca="false">IF($D562="",0,$E562*$D562+$L562+$M562+$N562+$O562+$J562*$D562)</f>
        <v>0</v>
      </c>
      <c r="Q562" s="20" t="n">
        <f aca="false">IF($D562="",0,$K562-$P562)</f>
        <v>0</v>
      </c>
      <c r="R562" s="21" t="n">
        <f aca="false">IF($K562=0,0,$Q562/$K562)</f>
        <v>0</v>
      </c>
      <c r="S562" s="20" t="n">
        <f aca="false">IF($D562="",0,$K562-$L562-$M562-$N562)</f>
        <v>0</v>
      </c>
      <c r="T562" s="22"/>
      <c r="U562" s="20" t="n">
        <f aca="false">IF($T562="",0,MAX(0,$S562-$T562))</f>
        <v>0</v>
      </c>
      <c r="V562" s="21" t="n">
        <f aca="false">IF($S562=0,0,$U562/$S562)</f>
        <v>0</v>
      </c>
      <c r="W562" s="23" t="str">
        <f aca="false">IF($D562="","",IF($T562="","BEKLİYOR",IF(OR($U562=0,$S562=0),"DOĞRU",IF(AND($V562&gt;PazaryeriEksikHakedisEsik,$U562&gt;PazaryeriEksikHakedisTutarEsik),"EKSİK HAKEDİŞ","DOĞRU"))))</f>
        <v/>
      </c>
      <c r="X562" s="23" t="str">
        <f aca="false">IF($B562="","",CONCATENATE("Ürün: ",$B562," | Kâr: ",TEXT($Q562,"₺ #,##0")," | Durum: ",$W562))</f>
        <v/>
      </c>
      <c r="Y562" s="24"/>
    </row>
    <row r="563" customFormat="false" ht="15" hidden="false" customHeight="false" outlineLevel="0" collapsed="false">
      <c r="A563" s="24"/>
      <c r="B563" s="24"/>
      <c r="C563" s="22"/>
      <c r="D563" s="25"/>
      <c r="E563" s="22"/>
      <c r="F563" s="26"/>
      <c r="G563" s="26"/>
      <c r="H563" s="26"/>
      <c r="I563" s="26"/>
      <c r="J563" s="22"/>
      <c r="K563" s="20" t="n">
        <f aca="false">IF($D563="",0,$C563*$D563)</f>
        <v>0</v>
      </c>
      <c r="L563" s="20" t="n">
        <f aca="false">IF($D563="",0,$F563*$K563)</f>
        <v>0</v>
      </c>
      <c r="M563" s="20" t="n">
        <f aca="false">IF($D563="",0,$G563*$K563)</f>
        <v>0</v>
      </c>
      <c r="N563" s="20" t="n">
        <f aca="false">IF($D563="",0,$H563*$K563)</f>
        <v>0</v>
      </c>
      <c r="O563" s="20" t="n">
        <f aca="false">IF($D563="",0,$I563*$K563*(1-$F563))</f>
        <v>0</v>
      </c>
      <c r="P563" s="20" t="n">
        <f aca="false">IF($D563="",0,$E563*$D563+$L563+$M563+$N563+$O563+$J563*$D563)</f>
        <v>0</v>
      </c>
      <c r="Q563" s="20" t="n">
        <f aca="false">IF($D563="",0,$K563-$P563)</f>
        <v>0</v>
      </c>
      <c r="R563" s="21" t="n">
        <f aca="false">IF($K563=0,0,$Q563/$K563)</f>
        <v>0</v>
      </c>
      <c r="S563" s="20" t="n">
        <f aca="false">IF($D563="",0,$K563-$L563-$M563-$N563)</f>
        <v>0</v>
      </c>
      <c r="T563" s="22"/>
      <c r="U563" s="20" t="n">
        <f aca="false">IF($T563="",0,MAX(0,$S563-$T563))</f>
        <v>0</v>
      </c>
      <c r="V563" s="21" t="n">
        <f aca="false">IF($S563=0,0,$U563/$S563)</f>
        <v>0</v>
      </c>
      <c r="W563" s="23" t="str">
        <f aca="false">IF($D563="","",IF($T563="","BEKLİYOR",IF(OR($U563=0,$S563=0),"DOĞRU",IF(AND($V563&gt;PazaryeriEksikHakedisEsik,$U563&gt;PazaryeriEksikHakedisTutarEsik),"EKSİK HAKEDİŞ","DOĞRU"))))</f>
        <v/>
      </c>
      <c r="X563" s="23" t="str">
        <f aca="false">IF($B563="","",CONCATENATE("Ürün: ",$B563," | Kâr: ",TEXT($Q563,"₺ #,##0")," | Durum: ",$W563))</f>
        <v/>
      </c>
      <c r="Y563" s="24"/>
    </row>
    <row r="564" customFormat="false" ht="15" hidden="false" customHeight="false" outlineLevel="0" collapsed="false">
      <c r="A564" s="24"/>
      <c r="B564" s="24"/>
      <c r="C564" s="22"/>
      <c r="D564" s="25"/>
      <c r="E564" s="22"/>
      <c r="F564" s="26"/>
      <c r="G564" s="26"/>
      <c r="H564" s="26"/>
      <c r="I564" s="26"/>
      <c r="J564" s="22"/>
      <c r="K564" s="20" t="n">
        <f aca="false">IF($D564="",0,$C564*$D564)</f>
        <v>0</v>
      </c>
      <c r="L564" s="20" t="n">
        <f aca="false">IF($D564="",0,$F564*$K564)</f>
        <v>0</v>
      </c>
      <c r="M564" s="20" t="n">
        <f aca="false">IF($D564="",0,$G564*$K564)</f>
        <v>0</v>
      </c>
      <c r="N564" s="20" t="n">
        <f aca="false">IF($D564="",0,$H564*$K564)</f>
        <v>0</v>
      </c>
      <c r="O564" s="20" t="n">
        <f aca="false">IF($D564="",0,$I564*$K564*(1-$F564))</f>
        <v>0</v>
      </c>
      <c r="P564" s="20" t="n">
        <f aca="false">IF($D564="",0,$E564*$D564+$L564+$M564+$N564+$O564+$J564*$D564)</f>
        <v>0</v>
      </c>
      <c r="Q564" s="20" t="n">
        <f aca="false">IF($D564="",0,$K564-$P564)</f>
        <v>0</v>
      </c>
      <c r="R564" s="21" t="n">
        <f aca="false">IF($K564=0,0,$Q564/$K564)</f>
        <v>0</v>
      </c>
      <c r="S564" s="20" t="n">
        <f aca="false">IF($D564="",0,$K564-$L564-$M564-$N564)</f>
        <v>0</v>
      </c>
      <c r="T564" s="22"/>
      <c r="U564" s="20" t="n">
        <f aca="false">IF($T564="",0,MAX(0,$S564-$T564))</f>
        <v>0</v>
      </c>
      <c r="V564" s="21" t="n">
        <f aca="false">IF($S564=0,0,$U564/$S564)</f>
        <v>0</v>
      </c>
      <c r="W564" s="23" t="str">
        <f aca="false">IF($D564="","",IF($T564="","BEKLİYOR",IF(OR($U564=0,$S564=0),"DOĞRU",IF(AND($V564&gt;PazaryeriEksikHakedisEsik,$U564&gt;PazaryeriEksikHakedisTutarEsik),"EKSİK HAKEDİŞ","DOĞRU"))))</f>
        <v/>
      </c>
      <c r="X564" s="23" t="str">
        <f aca="false">IF($B564="","",CONCATENATE("Ürün: ",$B564," | Kâr: ",TEXT($Q564,"₺ #,##0")," | Durum: ",$W564))</f>
        <v/>
      </c>
      <c r="Y564" s="24"/>
    </row>
    <row r="565" customFormat="false" ht="15" hidden="false" customHeight="false" outlineLevel="0" collapsed="false">
      <c r="A565" s="24"/>
      <c r="B565" s="24"/>
      <c r="C565" s="22"/>
      <c r="D565" s="25"/>
      <c r="E565" s="22"/>
      <c r="F565" s="26"/>
      <c r="G565" s="26"/>
      <c r="H565" s="26"/>
      <c r="I565" s="26"/>
      <c r="J565" s="22"/>
      <c r="K565" s="20" t="n">
        <f aca="false">IF($D565="",0,$C565*$D565)</f>
        <v>0</v>
      </c>
      <c r="L565" s="20" t="n">
        <f aca="false">IF($D565="",0,$F565*$K565)</f>
        <v>0</v>
      </c>
      <c r="M565" s="20" t="n">
        <f aca="false">IF($D565="",0,$G565*$K565)</f>
        <v>0</v>
      </c>
      <c r="N565" s="20" t="n">
        <f aca="false">IF($D565="",0,$H565*$K565)</f>
        <v>0</v>
      </c>
      <c r="O565" s="20" t="n">
        <f aca="false">IF($D565="",0,$I565*$K565*(1-$F565))</f>
        <v>0</v>
      </c>
      <c r="P565" s="20" t="n">
        <f aca="false">IF($D565="",0,$E565*$D565+$L565+$M565+$N565+$O565+$J565*$D565)</f>
        <v>0</v>
      </c>
      <c r="Q565" s="20" t="n">
        <f aca="false">IF($D565="",0,$K565-$P565)</f>
        <v>0</v>
      </c>
      <c r="R565" s="21" t="n">
        <f aca="false">IF($K565=0,0,$Q565/$K565)</f>
        <v>0</v>
      </c>
      <c r="S565" s="20" t="n">
        <f aca="false">IF($D565="",0,$K565-$L565-$M565-$N565)</f>
        <v>0</v>
      </c>
      <c r="T565" s="22"/>
      <c r="U565" s="20" t="n">
        <f aca="false">IF($T565="",0,MAX(0,$S565-$T565))</f>
        <v>0</v>
      </c>
      <c r="V565" s="21" t="n">
        <f aca="false">IF($S565=0,0,$U565/$S565)</f>
        <v>0</v>
      </c>
      <c r="W565" s="23" t="str">
        <f aca="false">IF($D565="","",IF($T565="","BEKLİYOR",IF(OR($U565=0,$S565=0),"DOĞRU",IF(AND($V565&gt;PazaryeriEksikHakedisEsik,$U565&gt;PazaryeriEksikHakedisTutarEsik),"EKSİK HAKEDİŞ","DOĞRU"))))</f>
        <v/>
      </c>
      <c r="X565" s="23" t="str">
        <f aca="false">IF($B565="","",CONCATENATE("Ürün: ",$B565," | Kâr: ",TEXT($Q565,"₺ #,##0")," | Durum: ",$W565))</f>
        <v/>
      </c>
      <c r="Y565" s="24"/>
    </row>
    <row r="566" customFormat="false" ht="15" hidden="false" customHeight="false" outlineLevel="0" collapsed="false">
      <c r="A566" s="24"/>
      <c r="B566" s="24"/>
      <c r="C566" s="22"/>
      <c r="D566" s="25"/>
      <c r="E566" s="22"/>
      <c r="F566" s="26"/>
      <c r="G566" s="26"/>
      <c r="H566" s="26"/>
      <c r="I566" s="26"/>
      <c r="J566" s="22"/>
      <c r="K566" s="20" t="n">
        <f aca="false">IF($D566="",0,$C566*$D566)</f>
        <v>0</v>
      </c>
      <c r="L566" s="20" t="n">
        <f aca="false">IF($D566="",0,$F566*$K566)</f>
        <v>0</v>
      </c>
      <c r="M566" s="20" t="n">
        <f aca="false">IF($D566="",0,$G566*$K566)</f>
        <v>0</v>
      </c>
      <c r="N566" s="20" t="n">
        <f aca="false">IF($D566="",0,$H566*$K566)</f>
        <v>0</v>
      </c>
      <c r="O566" s="20" t="n">
        <f aca="false">IF($D566="",0,$I566*$K566*(1-$F566))</f>
        <v>0</v>
      </c>
      <c r="P566" s="20" t="n">
        <f aca="false">IF($D566="",0,$E566*$D566+$L566+$M566+$N566+$O566+$J566*$D566)</f>
        <v>0</v>
      </c>
      <c r="Q566" s="20" t="n">
        <f aca="false">IF($D566="",0,$K566-$P566)</f>
        <v>0</v>
      </c>
      <c r="R566" s="21" t="n">
        <f aca="false">IF($K566=0,0,$Q566/$K566)</f>
        <v>0</v>
      </c>
      <c r="S566" s="20" t="n">
        <f aca="false">IF($D566="",0,$K566-$L566-$M566-$N566)</f>
        <v>0</v>
      </c>
      <c r="T566" s="22"/>
      <c r="U566" s="20" t="n">
        <f aca="false">IF($T566="",0,MAX(0,$S566-$T566))</f>
        <v>0</v>
      </c>
      <c r="V566" s="21" t="n">
        <f aca="false">IF($S566=0,0,$U566/$S566)</f>
        <v>0</v>
      </c>
      <c r="W566" s="23" t="str">
        <f aca="false">IF($D566="","",IF($T566="","BEKLİYOR",IF(OR($U566=0,$S566=0),"DOĞRU",IF(AND($V566&gt;PazaryeriEksikHakedisEsik,$U566&gt;PazaryeriEksikHakedisTutarEsik),"EKSİK HAKEDİŞ","DOĞRU"))))</f>
        <v/>
      </c>
      <c r="X566" s="23" t="str">
        <f aca="false">IF($B566="","",CONCATENATE("Ürün: ",$B566," | Kâr: ",TEXT($Q566,"₺ #,##0")," | Durum: ",$W566))</f>
        <v/>
      </c>
      <c r="Y566" s="24"/>
    </row>
    <row r="567" customFormat="false" ht="15" hidden="false" customHeight="false" outlineLevel="0" collapsed="false">
      <c r="A567" s="24"/>
      <c r="B567" s="24"/>
      <c r="C567" s="22"/>
      <c r="D567" s="25"/>
      <c r="E567" s="22"/>
      <c r="F567" s="26"/>
      <c r="G567" s="26"/>
      <c r="H567" s="26"/>
      <c r="I567" s="26"/>
      <c r="J567" s="22"/>
      <c r="K567" s="20" t="n">
        <f aca="false">IF($D567="",0,$C567*$D567)</f>
        <v>0</v>
      </c>
      <c r="L567" s="20" t="n">
        <f aca="false">IF($D567="",0,$F567*$K567)</f>
        <v>0</v>
      </c>
      <c r="M567" s="20" t="n">
        <f aca="false">IF($D567="",0,$G567*$K567)</f>
        <v>0</v>
      </c>
      <c r="N567" s="20" t="n">
        <f aca="false">IF($D567="",0,$H567*$K567)</f>
        <v>0</v>
      </c>
      <c r="O567" s="20" t="n">
        <f aca="false">IF($D567="",0,$I567*$K567*(1-$F567))</f>
        <v>0</v>
      </c>
      <c r="P567" s="20" t="n">
        <f aca="false">IF($D567="",0,$E567*$D567+$L567+$M567+$N567+$O567+$J567*$D567)</f>
        <v>0</v>
      </c>
      <c r="Q567" s="20" t="n">
        <f aca="false">IF($D567="",0,$K567-$P567)</f>
        <v>0</v>
      </c>
      <c r="R567" s="21" t="n">
        <f aca="false">IF($K567=0,0,$Q567/$K567)</f>
        <v>0</v>
      </c>
      <c r="S567" s="20" t="n">
        <f aca="false">IF($D567="",0,$K567-$L567-$M567-$N567)</f>
        <v>0</v>
      </c>
      <c r="T567" s="22"/>
      <c r="U567" s="20" t="n">
        <f aca="false">IF($T567="",0,MAX(0,$S567-$T567))</f>
        <v>0</v>
      </c>
      <c r="V567" s="21" t="n">
        <f aca="false">IF($S567=0,0,$U567/$S567)</f>
        <v>0</v>
      </c>
      <c r="W567" s="23" t="str">
        <f aca="false">IF($D567="","",IF($T567="","BEKLİYOR",IF(OR($U567=0,$S567=0),"DOĞRU",IF(AND($V567&gt;PazaryeriEksikHakedisEsik,$U567&gt;PazaryeriEksikHakedisTutarEsik),"EKSİK HAKEDİŞ","DOĞRU"))))</f>
        <v/>
      </c>
      <c r="X567" s="23" t="str">
        <f aca="false">IF($B567="","",CONCATENATE("Ürün: ",$B567," | Kâr: ",TEXT($Q567,"₺ #,##0")," | Durum: ",$W567))</f>
        <v/>
      </c>
      <c r="Y567" s="24"/>
    </row>
    <row r="568" customFormat="false" ht="15" hidden="false" customHeight="false" outlineLevel="0" collapsed="false">
      <c r="A568" s="24"/>
      <c r="B568" s="24"/>
      <c r="C568" s="22"/>
      <c r="D568" s="25"/>
      <c r="E568" s="22"/>
      <c r="F568" s="26"/>
      <c r="G568" s="26"/>
      <c r="H568" s="26"/>
      <c r="I568" s="26"/>
      <c r="J568" s="22"/>
      <c r="K568" s="20" t="n">
        <f aca="false">IF($D568="",0,$C568*$D568)</f>
        <v>0</v>
      </c>
      <c r="L568" s="20" t="n">
        <f aca="false">IF($D568="",0,$F568*$K568)</f>
        <v>0</v>
      </c>
      <c r="M568" s="20" t="n">
        <f aca="false">IF($D568="",0,$G568*$K568)</f>
        <v>0</v>
      </c>
      <c r="N568" s="20" t="n">
        <f aca="false">IF($D568="",0,$H568*$K568)</f>
        <v>0</v>
      </c>
      <c r="O568" s="20" t="n">
        <f aca="false">IF($D568="",0,$I568*$K568*(1-$F568))</f>
        <v>0</v>
      </c>
      <c r="P568" s="20" t="n">
        <f aca="false">IF($D568="",0,$E568*$D568+$L568+$M568+$N568+$O568+$J568*$D568)</f>
        <v>0</v>
      </c>
      <c r="Q568" s="20" t="n">
        <f aca="false">IF($D568="",0,$K568-$P568)</f>
        <v>0</v>
      </c>
      <c r="R568" s="21" t="n">
        <f aca="false">IF($K568=0,0,$Q568/$K568)</f>
        <v>0</v>
      </c>
      <c r="S568" s="20" t="n">
        <f aca="false">IF($D568="",0,$K568-$L568-$M568-$N568)</f>
        <v>0</v>
      </c>
      <c r="T568" s="22"/>
      <c r="U568" s="20" t="n">
        <f aca="false">IF($T568="",0,MAX(0,$S568-$T568))</f>
        <v>0</v>
      </c>
      <c r="V568" s="21" t="n">
        <f aca="false">IF($S568=0,0,$U568/$S568)</f>
        <v>0</v>
      </c>
      <c r="W568" s="23" t="str">
        <f aca="false">IF($D568="","",IF($T568="","BEKLİYOR",IF(OR($U568=0,$S568=0),"DOĞRU",IF(AND($V568&gt;PazaryeriEksikHakedisEsik,$U568&gt;PazaryeriEksikHakedisTutarEsik),"EKSİK HAKEDİŞ","DOĞRU"))))</f>
        <v/>
      </c>
      <c r="X568" s="23" t="str">
        <f aca="false">IF($B568="","",CONCATENATE("Ürün: ",$B568," | Kâr: ",TEXT($Q568,"₺ #,##0")," | Durum: ",$W568))</f>
        <v/>
      </c>
      <c r="Y568" s="24"/>
    </row>
    <row r="569" customFormat="false" ht="15" hidden="false" customHeight="false" outlineLevel="0" collapsed="false">
      <c r="A569" s="24"/>
      <c r="B569" s="24"/>
      <c r="C569" s="22"/>
      <c r="D569" s="25"/>
      <c r="E569" s="22"/>
      <c r="F569" s="26"/>
      <c r="G569" s="26"/>
      <c r="H569" s="26"/>
      <c r="I569" s="26"/>
      <c r="J569" s="22"/>
      <c r="K569" s="20" t="n">
        <f aca="false">IF($D569="",0,$C569*$D569)</f>
        <v>0</v>
      </c>
      <c r="L569" s="20" t="n">
        <f aca="false">IF($D569="",0,$F569*$K569)</f>
        <v>0</v>
      </c>
      <c r="M569" s="20" t="n">
        <f aca="false">IF($D569="",0,$G569*$K569)</f>
        <v>0</v>
      </c>
      <c r="N569" s="20" t="n">
        <f aca="false">IF($D569="",0,$H569*$K569)</f>
        <v>0</v>
      </c>
      <c r="O569" s="20" t="n">
        <f aca="false">IF($D569="",0,$I569*$K569*(1-$F569))</f>
        <v>0</v>
      </c>
      <c r="P569" s="20" t="n">
        <f aca="false">IF($D569="",0,$E569*$D569+$L569+$M569+$N569+$O569+$J569*$D569)</f>
        <v>0</v>
      </c>
      <c r="Q569" s="20" t="n">
        <f aca="false">IF($D569="",0,$K569-$P569)</f>
        <v>0</v>
      </c>
      <c r="R569" s="21" t="n">
        <f aca="false">IF($K569=0,0,$Q569/$K569)</f>
        <v>0</v>
      </c>
      <c r="S569" s="20" t="n">
        <f aca="false">IF($D569="",0,$K569-$L569-$M569-$N569)</f>
        <v>0</v>
      </c>
      <c r="T569" s="22"/>
      <c r="U569" s="20" t="n">
        <f aca="false">IF($T569="",0,MAX(0,$S569-$T569))</f>
        <v>0</v>
      </c>
      <c r="V569" s="21" t="n">
        <f aca="false">IF($S569=0,0,$U569/$S569)</f>
        <v>0</v>
      </c>
      <c r="W569" s="23" t="str">
        <f aca="false">IF($D569="","",IF($T569="","BEKLİYOR",IF(OR($U569=0,$S569=0),"DOĞRU",IF(AND($V569&gt;PazaryeriEksikHakedisEsik,$U569&gt;PazaryeriEksikHakedisTutarEsik),"EKSİK HAKEDİŞ","DOĞRU"))))</f>
        <v/>
      </c>
      <c r="X569" s="23" t="str">
        <f aca="false">IF($B569="","",CONCATENATE("Ürün: ",$B569," | Kâr: ",TEXT($Q569,"₺ #,##0")," | Durum: ",$W569))</f>
        <v/>
      </c>
      <c r="Y569" s="24"/>
    </row>
    <row r="570" customFormat="false" ht="15" hidden="false" customHeight="false" outlineLevel="0" collapsed="false">
      <c r="A570" s="24"/>
      <c r="B570" s="24"/>
      <c r="C570" s="22"/>
      <c r="D570" s="25"/>
      <c r="E570" s="22"/>
      <c r="F570" s="26"/>
      <c r="G570" s="26"/>
      <c r="H570" s="26"/>
      <c r="I570" s="26"/>
      <c r="J570" s="22"/>
      <c r="K570" s="20" t="n">
        <f aca="false">IF($D570="",0,$C570*$D570)</f>
        <v>0</v>
      </c>
      <c r="L570" s="20" t="n">
        <f aca="false">IF($D570="",0,$F570*$K570)</f>
        <v>0</v>
      </c>
      <c r="M570" s="20" t="n">
        <f aca="false">IF($D570="",0,$G570*$K570)</f>
        <v>0</v>
      </c>
      <c r="N570" s="20" t="n">
        <f aca="false">IF($D570="",0,$H570*$K570)</f>
        <v>0</v>
      </c>
      <c r="O570" s="20" t="n">
        <f aca="false">IF($D570="",0,$I570*$K570*(1-$F570))</f>
        <v>0</v>
      </c>
      <c r="P570" s="20" t="n">
        <f aca="false">IF($D570="",0,$E570*$D570+$L570+$M570+$N570+$O570+$J570*$D570)</f>
        <v>0</v>
      </c>
      <c r="Q570" s="20" t="n">
        <f aca="false">IF($D570="",0,$K570-$P570)</f>
        <v>0</v>
      </c>
      <c r="R570" s="21" t="n">
        <f aca="false">IF($K570=0,0,$Q570/$K570)</f>
        <v>0</v>
      </c>
      <c r="S570" s="20" t="n">
        <f aca="false">IF($D570="",0,$K570-$L570-$M570-$N570)</f>
        <v>0</v>
      </c>
      <c r="T570" s="22"/>
      <c r="U570" s="20" t="n">
        <f aca="false">IF($T570="",0,MAX(0,$S570-$T570))</f>
        <v>0</v>
      </c>
      <c r="V570" s="21" t="n">
        <f aca="false">IF($S570=0,0,$U570/$S570)</f>
        <v>0</v>
      </c>
      <c r="W570" s="23" t="str">
        <f aca="false">IF($D570="","",IF($T570="","BEKLİYOR",IF(OR($U570=0,$S570=0),"DOĞRU",IF(AND($V570&gt;PazaryeriEksikHakedisEsik,$U570&gt;PazaryeriEksikHakedisTutarEsik),"EKSİK HAKEDİŞ","DOĞRU"))))</f>
        <v/>
      </c>
      <c r="X570" s="23" t="str">
        <f aca="false">IF($B570="","",CONCATENATE("Ürün: ",$B570," | Kâr: ",TEXT($Q570,"₺ #,##0")," | Durum: ",$W570))</f>
        <v/>
      </c>
      <c r="Y570" s="24"/>
    </row>
    <row r="571" customFormat="false" ht="15" hidden="false" customHeight="false" outlineLevel="0" collapsed="false">
      <c r="A571" s="24"/>
      <c r="B571" s="24"/>
      <c r="C571" s="22"/>
      <c r="D571" s="25"/>
      <c r="E571" s="22"/>
      <c r="F571" s="26"/>
      <c r="G571" s="26"/>
      <c r="H571" s="26"/>
      <c r="I571" s="26"/>
      <c r="J571" s="22"/>
      <c r="K571" s="20" t="n">
        <f aca="false">IF($D571="",0,$C571*$D571)</f>
        <v>0</v>
      </c>
      <c r="L571" s="20" t="n">
        <f aca="false">IF($D571="",0,$F571*$K571)</f>
        <v>0</v>
      </c>
      <c r="M571" s="20" t="n">
        <f aca="false">IF($D571="",0,$G571*$K571)</f>
        <v>0</v>
      </c>
      <c r="N571" s="20" t="n">
        <f aca="false">IF($D571="",0,$H571*$K571)</f>
        <v>0</v>
      </c>
      <c r="O571" s="20" t="n">
        <f aca="false">IF($D571="",0,$I571*$K571*(1-$F571))</f>
        <v>0</v>
      </c>
      <c r="P571" s="20" t="n">
        <f aca="false">IF($D571="",0,$E571*$D571+$L571+$M571+$N571+$O571+$J571*$D571)</f>
        <v>0</v>
      </c>
      <c r="Q571" s="20" t="n">
        <f aca="false">IF($D571="",0,$K571-$P571)</f>
        <v>0</v>
      </c>
      <c r="R571" s="21" t="n">
        <f aca="false">IF($K571=0,0,$Q571/$K571)</f>
        <v>0</v>
      </c>
      <c r="S571" s="20" t="n">
        <f aca="false">IF($D571="",0,$K571-$L571-$M571-$N571)</f>
        <v>0</v>
      </c>
      <c r="T571" s="22"/>
      <c r="U571" s="20" t="n">
        <f aca="false">IF($T571="",0,MAX(0,$S571-$T571))</f>
        <v>0</v>
      </c>
      <c r="V571" s="21" t="n">
        <f aca="false">IF($S571=0,0,$U571/$S571)</f>
        <v>0</v>
      </c>
      <c r="W571" s="23" t="str">
        <f aca="false">IF($D571="","",IF($T571="","BEKLİYOR",IF(OR($U571=0,$S571=0),"DOĞRU",IF(AND($V571&gt;PazaryeriEksikHakedisEsik,$U571&gt;PazaryeriEksikHakedisTutarEsik),"EKSİK HAKEDİŞ","DOĞRU"))))</f>
        <v/>
      </c>
      <c r="X571" s="23" t="str">
        <f aca="false">IF($B571="","",CONCATENATE("Ürün: ",$B571," | Kâr: ",TEXT($Q571,"₺ #,##0")," | Durum: ",$W571))</f>
        <v/>
      </c>
      <c r="Y571" s="24"/>
    </row>
    <row r="572" customFormat="false" ht="15" hidden="false" customHeight="false" outlineLevel="0" collapsed="false">
      <c r="A572" s="24"/>
      <c r="B572" s="24"/>
      <c r="C572" s="22"/>
      <c r="D572" s="25"/>
      <c r="E572" s="22"/>
      <c r="F572" s="26"/>
      <c r="G572" s="26"/>
      <c r="H572" s="26"/>
      <c r="I572" s="26"/>
      <c r="J572" s="22"/>
      <c r="K572" s="20" t="n">
        <f aca="false">IF($D572="",0,$C572*$D572)</f>
        <v>0</v>
      </c>
      <c r="L572" s="20" t="n">
        <f aca="false">IF($D572="",0,$F572*$K572)</f>
        <v>0</v>
      </c>
      <c r="M572" s="20" t="n">
        <f aca="false">IF($D572="",0,$G572*$K572)</f>
        <v>0</v>
      </c>
      <c r="N572" s="20" t="n">
        <f aca="false">IF($D572="",0,$H572*$K572)</f>
        <v>0</v>
      </c>
      <c r="O572" s="20" t="n">
        <f aca="false">IF($D572="",0,$I572*$K572*(1-$F572))</f>
        <v>0</v>
      </c>
      <c r="P572" s="20" t="n">
        <f aca="false">IF($D572="",0,$E572*$D572+$L572+$M572+$N572+$O572+$J572*$D572)</f>
        <v>0</v>
      </c>
      <c r="Q572" s="20" t="n">
        <f aca="false">IF($D572="",0,$K572-$P572)</f>
        <v>0</v>
      </c>
      <c r="R572" s="21" t="n">
        <f aca="false">IF($K572=0,0,$Q572/$K572)</f>
        <v>0</v>
      </c>
      <c r="S572" s="20" t="n">
        <f aca="false">IF($D572="",0,$K572-$L572-$M572-$N572)</f>
        <v>0</v>
      </c>
      <c r="T572" s="22"/>
      <c r="U572" s="20" t="n">
        <f aca="false">IF($T572="",0,MAX(0,$S572-$T572))</f>
        <v>0</v>
      </c>
      <c r="V572" s="21" t="n">
        <f aca="false">IF($S572=0,0,$U572/$S572)</f>
        <v>0</v>
      </c>
      <c r="W572" s="23" t="str">
        <f aca="false">IF($D572="","",IF($T572="","BEKLİYOR",IF(OR($U572=0,$S572=0),"DOĞRU",IF(AND($V572&gt;PazaryeriEksikHakedisEsik,$U572&gt;PazaryeriEksikHakedisTutarEsik),"EKSİK HAKEDİŞ","DOĞRU"))))</f>
        <v/>
      </c>
      <c r="X572" s="23" t="str">
        <f aca="false">IF($B572="","",CONCATENATE("Ürün: ",$B572," | Kâr: ",TEXT($Q572,"₺ #,##0")," | Durum: ",$W572))</f>
        <v/>
      </c>
      <c r="Y572" s="24"/>
    </row>
    <row r="573" customFormat="false" ht="15" hidden="false" customHeight="false" outlineLevel="0" collapsed="false">
      <c r="A573" s="24"/>
      <c r="B573" s="24"/>
      <c r="C573" s="22"/>
      <c r="D573" s="25"/>
      <c r="E573" s="22"/>
      <c r="F573" s="26"/>
      <c r="G573" s="26"/>
      <c r="H573" s="26"/>
      <c r="I573" s="26"/>
      <c r="J573" s="22"/>
      <c r="K573" s="20" t="n">
        <f aca="false">IF($D573="",0,$C573*$D573)</f>
        <v>0</v>
      </c>
      <c r="L573" s="20" t="n">
        <f aca="false">IF($D573="",0,$F573*$K573)</f>
        <v>0</v>
      </c>
      <c r="M573" s="20" t="n">
        <f aca="false">IF($D573="",0,$G573*$K573)</f>
        <v>0</v>
      </c>
      <c r="N573" s="20" t="n">
        <f aca="false">IF($D573="",0,$H573*$K573)</f>
        <v>0</v>
      </c>
      <c r="O573" s="20" t="n">
        <f aca="false">IF($D573="",0,$I573*$K573*(1-$F573))</f>
        <v>0</v>
      </c>
      <c r="P573" s="20" t="n">
        <f aca="false">IF($D573="",0,$E573*$D573+$L573+$M573+$N573+$O573+$J573*$D573)</f>
        <v>0</v>
      </c>
      <c r="Q573" s="20" t="n">
        <f aca="false">IF($D573="",0,$K573-$P573)</f>
        <v>0</v>
      </c>
      <c r="R573" s="21" t="n">
        <f aca="false">IF($K573=0,0,$Q573/$K573)</f>
        <v>0</v>
      </c>
      <c r="S573" s="20" t="n">
        <f aca="false">IF($D573="",0,$K573-$L573-$M573-$N573)</f>
        <v>0</v>
      </c>
      <c r="T573" s="22"/>
      <c r="U573" s="20" t="n">
        <f aca="false">IF($T573="",0,MAX(0,$S573-$T573))</f>
        <v>0</v>
      </c>
      <c r="V573" s="21" t="n">
        <f aca="false">IF($S573=0,0,$U573/$S573)</f>
        <v>0</v>
      </c>
      <c r="W573" s="23" t="str">
        <f aca="false">IF($D573="","",IF($T573="","BEKLİYOR",IF(OR($U573=0,$S573=0),"DOĞRU",IF(AND($V573&gt;PazaryeriEksikHakedisEsik,$U573&gt;PazaryeriEksikHakedisTutarEsik),"EKSİK HAKEDİŞ","DOĞRU"))))</f>
        <v/>
      </c>
      <c r="X573" s="23" t="str">
        <f aca="false">IF($B573="","",CONCATENATE("Ürün: ",$B573," | Kâr: ",TEXT($Q573,"₺ #,##0")," | Durum: ",$W573))</f>
        <v/>
      </c>
      <c r="Y573" s="24"/>
    </row>
    <row r="574" customFormat="false" ht="15" hidden="false" customHeight="false" outlineLevel="0" collapsed="false">
      <c r="A574" s="24"/>
      <c r="B574" s="24"/>
      <c r="C574" s="22"/>
      <c r="D574" s="25"/>
      <c r="E574" s="22"/>
      <c r="F574" s="26"/>
      <c r="G574" s="26"/>
      <c r="H574" s="26"/>
      <c r="I574" s="26"/>
      <c r="J574" s="22"/>
      <c r="K574" s="20" t="n">
        <f aca="false">IF($D574="",0,$C574*$D574)</f>
        <v>0</v>
      </c>
      <c r="L574" s="20" t="n">
        <f aca="false">IF($D574="",0,$F574*$K574)</f>
        <v>0</v>
      </c>
      <c r="M574" s="20" t="n">
        <f aca="false">IF($D574="",0,$G574*$K574)</f>
        <v>0</v>
      </c>
      <c r="N574" s="20" t="n">
        <f aca="false">IF($D574="",0,$H574*$K574)</f>
        <v>0</v>
      </c>
      <c r="O574" s="20" t="n">
        <f aca="false">IF($D574="",0,$I574*$K574*(1-$F574))</f>
        <v>0</v>
      </c>
      <c r="P574" s="20" t="n">
        <f aca="false">IF($D574="",0,$E574*$D574+$L574+$M574+$N574+$O574+$J574*$D574)</f>
        <v>0</v>
      </c>
      <c r="Q574" s="20" t="n">
        <f aca="false">IF($D574="",0,$K574-$P574)</f>
        <v>0</v>
      </c>
      <c r="R574" s="21" t="n">
        <f aca="false">IF($K574=0,0,$Q574/$K574)</f>
        <v>0</v>
      </c>
      <c r="S574" s="20" t="n">
        <f aca="false">IF($D574="",0,$K574-$L574-$M574-$N574)</f>
        <v>0</v>
      </c>
      <c r="T574" s="22"/>
      <c r="U574" s="20" t="n">
        <f aca="false">IF($T574="",0,MAX(0,$S574-$T574))</f>
        <v>0</v>
      </c>
      <c r="V574" s="21" t="n">
        <f aca="false">IF($S574=0,0,$U574/$S574)</f>
        <v>0</v>
      </c>
      <c r="W574" s="23" t="str">
        <f aca="false">IF($D574="","",IF($T574="","BEKLİYOR",IF(OR($U574=0,$S574=0),"DOĞRU",IF(AND($V574&gt;PazaryeriEksikHakedisEsik,$U574&gt;PazaryeriEksikHakedisTutarEsik),"EKSİK HAKEDİŞ","DOĞRU"))))</f>
        <v/>
      </c>
      <c r="X574" s="23" t="str">
        <f aca="false">IF($B574="","",CONCATENATE("Ürün: ",$B574," | Kâr: ",TEXT($Q574,"₺ #,##0")," | Durum: ",$W574))</f>
        <v/>
      </c>
      <c r="Y574" s="24"/>
    </row>
    <row r="575" customFormat="false" ht="15" hidden="false" customHeight="false" outlineLevel="0" collapsed="false">
      <c r="A575" s="24"/>
      <c r="B575" s="24"/>
      <c r="C575" s="22"/>
      <c r="D575" s="25"/>
      <c r="E575" s="22"/>
      <c r="F575" s="26"/>
      <c r="G575" s="26"/>
      <c r="H575" s="26"/>
      <c r="I575" s="26"/>
      <c r="J575" s="22"/>
      <c r="K575" s="20" t="n">
        <f aca="false">IF($D575="",0,$C575*$D575)</f>
        <v>0</v>
      </c>
      <c r="L575" s="20" t="n">
        <f aca="false">IF($D575="",0,$F575*$K575)</f>
        <v>0</v>
      </c>
      <c r="M575" s="20" t="n">
        <f aca="false">IF($D575="",0,$G575*$K575)</f>
        <v>0</v>
      </c>
      <c r="N575" s="20" t="n">
        <f aca="false">IF($D575="",0,$H575*$K575)</f>
        <v>0</v>
      </c>
      <c r="O575" s="20" t="n">
        <f aca="false">IF($D575="",0,$I575*$K575*(1-$F575))</f>
        <v>0</v>
      </c>
      <c r="P575" s="20" t="n">
        <f aca="false">IF($D575="",0,$E575*$D575+$L575+$M575+$N575+$O575+$J575*$D575)</f>
        <v>0</v>
      </c>
      <c r="Q575" s="20" t="n">
        <f aca="false">IF($D575="",0,$K575-$P575)</f>
        <v>0</v>
      </c>
      <c r="R575" s="21" t="n">
        <f aca="false">IF($K575=0,0,$Q575/$K575)</f>
        <v>0</v>
      </c>
      <c r="S575" s="20" t="n">
        <f aca="false">IF($D575="",0,$K575-$L575-$M575-$N575)</f>
        <v>0</v>
      </c>
      <c r="T575" s="22"/>
      <c r="U575" s="20" t="n">
        <f aca="false">IF($T575="",0,MAX(0,$S575-$T575))</f>
        <v>0</v>
      </c>
      <c r="V575" s="21" t="n">
        <f aca="false">IF($S575=0,0,$U575/$S575)</f>
        <v>0</v>
      </c>
      <c r="W575" s="23" t="str">
        <f aca="false">IF($D575="","",IF($T575="","BEKLİYOR",IF(OR($U575=0,$S575=0),"DOĞRU",IF(AND($V575&gt;PazaryeriEksikHakedisEsik,$U575&gt;PazaryeriEksikHakedisTutarEsik),"EKSİK HAKEDİŞ","DOĞRU"))))</f>
        <v/>
      </c>
      <c r="X575" s="23" t="str">
        <f aca="false">IF($B575="","",CONCATENATE("Ürün: ",$B575," | Kâr: ",TEXT($Q575,"₺ #,##0")," | Durum: ",$W575))</f>
        <v/>
      </c>
      <c r="Y575" s="24"/>
    </row>
    <row r="576" customFormat="false" ht="15" hidden="false" customHeight="false" outlineLevel="0" collapsed="false">
      <c r="A576" s="24"/>
      <c r="B576" s="24"/>
      <c r="C576" s="22"/>
      <c r="D576" s="25"/>
      <c r="E576" s="22"/>
      <c r="F576" s="26"/>
      <c r="G576" s="26"/>
      <c r="H576" s="26"/>
      <c r="I576" s="26"/>
      <c r="J576" s="22"/>
      <c r="K576" s="20" t="n">
        <f aca="false">IF($D576="",0,$C576*$D576)</f>
        <v>0</v>
      </c>
      <c r="L576" s="20" t="n">
        <f aca="false">IF($D576="",0,$F576*$K576)</f>
        <v>0</v>
      </c>
      <c r="M576" s="20" t="n">
        <f aca="false">IF($D576="",0,$G576*$K576)</f>
        <v>0</v>
      </c>
      <c r="N576" s="20" t="n">
        <f aca="false">IF($D576="",0,$H576*$K576)</f>
        <v>0</v>
      </c>
      <c r="O576" s="20" t="n">
        <f aca="false">IF($D576="",0,$I576*$K576*(1-$F576))</f>
        <v>0</v>
      </c>
      <c r="P576" s="20" t="n">
        <f aca="false">IF($D576="",0,$E576*$D576+$L576+$M576+$N576+$O576+$J576*$D576)</f>
        <v>0</v>
      </c>
      <c r="Q576" s="20" t="n">
        <f aca="false">IF($D576="",0,$K576-$P576)</f>
        <v>0</v>
      </c>
      <c r="R576" s="21" t="n">
        <f aca="false">IF($K576=0,0,$Q576/$K576)</f>
        <v>0</v>
      </c>
      <c r="S576" s="20" t="n">
        <f aca="false">IF($D576="",0,$K576-$L576-$M576-$N576)</f>
        <v>0</v>
      </c>
      <c r="T576" s="22"/>
      <c r="U576" s="20" t="n">
        <f aca="false">IF($T576="",0,MAX(0,$S576-$T576))</f>
        <v>0</v>
      </c>
      <c r="V576" s="21" t="n">
        <f aca="false">IF($S576=0,0,$U576/$S576)</f>
        <v>0</v>
      </c>
      <c r="W576" s="23" t="str">
        <f aca="false">IF($D576="","",IF($T576="","BEKLİYOR",IF(OR($U576=0,$S576=0),"DOĞRU",IF(AND($V576&gt;PazaryeriEksikHakedisEsik,$U576&gt;PazaryeriEksikHakedisTutarEsik),"EKSİK HAKEDİŞ","DOĞRU"))))</f>
        <v/>
      </c>
      <c r="X576" s="23" t="str">
        <f aca="false">IF($B576="","",CONCATENATE("Ürün: ",$B576," | Kâr: ",TEXT($Q576,"₺ #,##0")," | Durum: ",$W576))</f>
        <v/>
      </c>
      <c r="Y576" s="24"/>
    </row>
    <row r="577" customFormat="false" ht="15" hidden="false" customHeight="false" outlineLevel="0" collapsed="false">
      <c r="A577" s="24"/>
      <c r="B577" s="24"/>
      <c r="C577" s="22"/>
      <c r="D577" s="25"/>
      <c r="E577" s="22"/>
      <c r="F577" s="26"/>
      <c r="G577" s="26"/>
      <c r="H577" s="26"/>
      <c r="I577" s="26"/>
      <c r="J577" s="22"/>
      <c r="K577" s="20" t="n">
        <f aca="false">IF($D577="",0,$C577*$D577)</f>
        <v>0</v>
      </c>
      <c r="L577" s="20" t="n">
        <f aca="false">IF($D577="",0,$F577*$K577)</f>
        <v>0</v>
      </c>
      <c r="M577" s="20" t="n">
        <f aca="false">IF($D577="",0,$G577*$K577)</f>
        <v>0</v>
      </c>
      <c r="N577" s="20" t="n">
        <f aca="false">IF($D577="",0,$H577*$K577)</f>
        <v>0</v>
      </c>
      <c r="O577" s="20" t="n">
        <f aca="false">IF($D577="",0,$I577*$K577*(1-$F577))</f>
        <v>0</v>
      </c>
      <c r="P577" s="20" t="n">
        <f aca="false">IF($D577="",0,$E577*$D577+$L577+$M577+$N577+$O577+$J577*$D577)</f>
        <v>0</v>
      </c>
      <c r="Q577" s="20" t="n">
        <f aca="false">IF($D577="",0,$K577-$P577)</f>
        <v>0</v>
      </c>
      <c r="R577" s="21" t="n">
        <f aca="false">IF($K577=0,0,$Q577/$K577)</f>
        <v>0</v>
      </c>
      <c r="S577" s="20" t="n">
        <f aca="false">IF($D577="",0,$K577-$L577-$M577-$N577)</f>
        <v>0</v>
      </c>
      <c r="T577" s="22"/>
      <c r="U577" s="20" t="n">
        <f aca="false">IF($T577="",0,MAX(0,$S577-$T577))</f>
        <v>0</v>
      </c>
      <c r="V577" s="21" t="n">
        <f aca="false">IF($S577=0,0,$U577/$S577)</f>
        <v>0</v>
      </c>
      <c r="W577" s="23" t="str">
        <f aca="false">IF($D577="","",IF($T577="","BEKLİYOR",IF(OR($U577=0,$S577=0),"DOĞRU",IF(AND($V577&gt;PazaryeriEksikHakedisEsik,$U577&gt;PazaryeriEksikHakedisTutarEsik),"EKSİK HAKEDİŞ","DOĞRU"))))</f>
        <v/>
      </c>
      <c r="X577" s="23" t="str">
        <f aca="false">IF($B577="","",CONCATENATE("Ürün: ",$B577," | Kâr: ",TEXT($Q577,"₺ #,##0")," | Durum: ",$W577))</f>
        <v/>
      </c>
      <c r="Y577" s="24"/>
    </row>
    <row r="578" customFormat="false" ht="15" hidden="false" customHeight="false" outlineLevel="0" collapsed="false">
      <c r="A578" s="24"/>
      <c r="B578" s="24"/>
      <c r="C578" s="22"/>
      <c r="D578" s="25"/>
      <c r="E578" s="22"/>
      <c r="F578" s="26"/>
      <c r="G578" s="26"/>
      <c r="H578" s="26"/>
      <c r="I578" s="26"/>
      <c r="J578" s="22"/>
      <c r="K578" s="20" t="n">
        <f aca="false">IF($D578="",0,$C578*$D578)</f>
        <v>0</v>
      </c>
      <c r="L578" s="20" t="n">
        <f aca="false">IF($D578="",0,$F578*$K578)</f>
        <v>0</v>
      </c>
      <c r="M578" s="20" t="n">
        <f aca="false">IF($D578="",0,$G578*$K578)</f>
        <v>0</v>
      </c>
      <c r="N578" s="20" t="n">
        <f aca="false">IF($D578="",0,$H578*$K578)</f>
        <v>0</v>
      </c>
      <c r="O578" s="20" t="n">
        <f aca="false">IF($D578="",0,$I578*$K578*(1-$F578))</f>
        <v>0</v>
      </c>
      <c r="P578" s="20" t="n">
        <f aca="false">IF($D578="",0,$E578*$D578+$L578+$M578+$N578+$O578+$J578*$D578)</f>
        <v>0</v>
      </c>
      <c r="Q578" s="20" t="n">
        <f aca="false">IF($D578="",0,$K578-$P578)</f>
        <v>0</v>
      </c>
      <c r="R578" s="21" t="n">
        <f aca="false">IF($K578=0,0,$Q578/$K578)</f>
        <v>0</v>
      </c>
      <c r="S578" s="20" t="n">
        <f aca="false">IF($D578="",0,$K578-$L578-$M578-$N578)</f>
        <v>0</v>
      </c>
      <c r="T578" s="22"/>
      <c r="U578" s="20" t="n">
        <f aca="false">IF($T578="",0,MAX(0,$S578-$T578))</f>
        <v>0</v>
      </c>
      <c r="V578" s="21" t="n">
        <f aca="false">IF($S578=0,0,$U578/$S578)</f>
        <v>0</v>
      </c>
      <c r="W578" s="23" t="str">
        <f aca="false">IF($D578="","",IF($T578="","BEKLİYOR",IF(OR($U578=0,$S578=0),"DOĞRU",IF(AND($V578&gt;PazaryeriEksikHakedisEsik,$U578&gt;PazaryeriEksikHakedisTutarEsik),"EKSİK HAKEDİŞ","DOĞRU"))))</f>
        <v/>
      </c>
      <c r="X578" s="23" t="str">
        <f aca="false">IF($B578="","",CONCATENATE("Ürün: ",$B578," | Kâr: ",TEXT($Q578,"₺ #,##0")," | Durum: ",$W578))</f>
        <v/>
      </c>
      <c r="Y578" s="24"/>
    </row>
    <row r="579" customFormat="false" ht="15" hidden="false" customHeight="false" outlineLevel="0" collapsed="false">
      <c r="A579" s="24"/>
      <c r="B579" s="24"/>
      <c r="C579" s="22"/>
      <c r="D579" s="25"/>
      <c r="E579" s="22"/>
      <c r="F579" s="26"/>
      <c r="G579" s="26"/>
      <c r="H579" s="26"/>
      <c r="I579" s="26"/>
      <c r="J579" s="22"/>
      <c r="K579" s="20" t="n">
        <f aca="false">IF($D579="",0,$C579*$D579)</f>
        <v>0</v>
      </c>
      <c r="L579" s="20" t="n">
        <f aca="false">IF($D579="",0,$F579*$K579)</f>
        <v>0</v>
      </c>
      <c r="M579" s="20" t="n">
        <f aca="false">IF($D579="",0,$G579*$K579)</f>
        <v>0</v>
      </c>
      <c r="N579" s="20" t="n">
        <f aca="false">IF($D579="",0,$H579*$K579)</f>
        <v>0</v>
      </c>
      <c r="O579" s="20" t="n">
        <f aca="false">IF($D579="",0,$I579*$K579*(1-$F579))</f>
        <v>0</v>
      </c>
      <c r="P579" s="20" t="n">
        <f aca="false">IF($D579="",0,$E579*$D579+$L579+$M579+$N579+$O579+$J579*$D579)</f>
        <v>0</v>
      </c>
      <c r="Q579" s="20" t="n">
        <f aca="false">IF($D579="",0,$K579-$P579)</f>
        <v>0</v>
      </c>
      <c r="R579" s="21" t="n">
        <f aca="false">IF($K579=0,0,$Q579/$K579)</f>
        <v>0</v>
      </c>
      <c r="S579" s="20" t="n">
        <f aca="false">IF($D579="",0,$K579-$L579-$M579-$N579)</f>
        <v>0</v>
      </c>
      <c r="T579" s="22"/>
      <c r="U579" s="20" t="n">
        <f aca="false">IF($T579="",0,MAX(0,$S579-$T579))</f>
        <v>0</v>
      </c>
      <c r="V579" s="21" t="n">
        <f aca="false">IF($S579=0,0,$U579/$S579)</f>
        <v>0</v>
      </c>
      <c r="W579" s="23" t="str">
        <f aca="false">IF($D579="","",IF($T579="","BEKLİYOR",IF(OR($U579=0,$S579=0),"DOĞRU",IF(AND($V579&gt;PazaryeriEksikHakedisEsik,$U579&gt;PazaryeriEksikHakedisTutarEsik),"EKSİK HAKEDİŞ","DOĞRU"))))</f>
        <v/>
      </c>
      <c r="X579" s="23" t="str">
        <f aca="false">IF($B579="","",CONCATENATE("Ürün: ",$B579," | Kâr: ",TEXT($Q579,"₺ #,##0")," | Durum: ",$W579))</f>
        <v/>
      </c>
      <c r="Y579" s="24"/>
    </row>
    <row r="580" customFormat="false" ht="15" hidden="false" customHeight="false" outlineLevel="0" collapsed="false">
      <c r="A580" s="24"/>
      <c r="B580" s="24"/>
      <c r="C580" s="22"/>
      <c r="D580" s="25"/>
      <c r="E580" s="22"/>
      <c r="F580" s="26"/>
      <c r="G580" s="26"/>
      <c r="H580" s="26"/>
      <c r="I580" s="26"/>
      <c r="J580" s="22"/>
      <c r="K580" s="20" t="n">
        <f aca="false">IF($D580="",0,$C580*$D580)</f>
        <v>0</v>
      </c>
      <c r="L580" s="20" t="n">
        <f aca="false">IF($D580="",0,$F580*$K580)</f>
        <v>0</v>
      </c>
      <c r="M580" s="20" t="n">
        <f aca="false">IF($D580="",0,$G580*$K580)</f>
        <v>0</v>
      </c>
      <c r="N580" s="20" t="n">
        <f aca="false">IF($D580="",0,$H580*$K580)</f>
        <v>0</v>
      </c>
      <c r="O580" s="20" t="n">
        <f aca="false">IF($D580="",0,$I580*$K580*(1-$F580))</f>
        <v>0</v>
      </c>
      <c r="P580" s="20" t="n">
        <f aca="false">IF($D580="",0,$E580*$D580+$L580+$M580+$N580+$O580+$J580*$D580)</f>
        <v>0</v>
      </c>
      <c r="Q580" s="20" t="n">
        <f aca="false">IF($D580="",0,$K580-$P580)</f>
        <v>0</v>
      </c>
      <c r="R580" s="21" t="n">
        <f aca="false">IF($K580=0,0,$Q580/$K580)</f>
        <v>0</v>
      </c>
      <c r="S580" s="20" t="n">
        <f aca="false">IF($D580="",0,$K580-$L580-$M580-$N580)</f>
        <v>0</v>
      </c>
      <c r="T580" s="22"/>
      <c r="U580" s="20" t="n">
        <f aca="false">IF($T580="",0,MAX(0,$S580-$T580))</f>
        <v>0</v>
      </c>
      <c r="V580" s="21" t="n">
        <f aca="false">IF($S580=0,0,$U580/$S580)</f>
        <v>0</v>
      </c>
      <c r="W580" s="23" t="str">
        <f aca="false">IF($D580="","",IF($T580="","BEKLİYOR",IF(OR($U580=0,$S580=0),"DOĞRU",IF(AND($V580&gt;PazaryeriEksikHakedisEsik,$U580&gt;PazaryeriEksikHakedisTutarEsik),"EKSİK HAKEDİŞ","DOĞRU"))))</f>
        <v/>
      </c>
      <c r="X580" s="23" t="str">
        <f aca="false">IF($B580="","",CONCATENATE("Ürün: ",$B580," | Kâr: ",TEXT($Q580,"₺ #,##0")," | Durum: ",$W580))</f>
        <v/>
      </c>
      <c r="Y580" s="24"/>
    </row>
    <row r="581" customFormat="false" ht="15" hidden="false" customHeight="false" outlineLevel="0" collapsed="false">
      <c r="A581" s="24"/>
      <c r="B581" s="24"/>
      <c r="C581" s="22"/>
      <c r="D581" s="25"/>
      <c r="E581" s="22"/>
      <c r="F581" s="26"/>
      <c r="G581" s="26"/>
      <c r="H581" s="26"/>
      <c r="I581" s="26"/>
      <c r="J581" s="22"/>
      <c r="K581" s="20" t="n">
        <f aca="false">IF($D581="",0,$C581*$D581)</f>
        <v>0</v>
      </c>
      <c r="L581" s="20" t="n">
        <f aca="false">IF($D581="",0,$F581*$K581)</f>
        <v>0</v>
      </c>
      <c r="M581" s="20" t="n">
        <f aca="false">IF($D581="",0,$G581*$K581)</f>
        <v>0</v>
      </c>
      <c r="N581" s="20" t="n">
        <f aca="false">IF($D581="",0,$H581*$K581)</f>
        <v>0</v>
      </c>
      <c r="O581" s="20" t="n">
        <f aca="false">IF($D581="",0,$I581*$K581*(1-$F581))</f>
        <v>0</v>
      </c>
      <c r="P581" s="20" t="n">
        <f aca="false">IF($D581="",0,$E581*$D581+$L581+$M581+$N581+$O581+$J581*$D581)</f>
        <v>0</v>
      </c>
      <c r="Q581" s="20" t="n">
        <f aca="false">IF($D581="",0,$K581-$P581)</f>
        <v>0</v>
      </c>
      <c r="R581" s="21" t="n">
        <f aca="false">IF($K581=0,0,$Q581/$K581)</f>
        <v>0</v>
      </c>
      <c r="S581" s="20" t="n">
        <f aca="false">IF($D581="",0,$K581-$L581-$M581-$N581)</f>
        <v>0</v>
      </c>
      <c r="T581" s="22"/>
      <c r="U581" s="20" t="n">
        <f aca="false">IF($T581="",0,MAX(0,$S581-$T581))</f>
        <v>0</v>
      </c>
      <c r="V581" s="21" t="n">
        <f aca="false">IF($S581=0,0,$U581/$S581)</f>
        <v>0</v>
      </c>
      <c r="W581" s="23" t="str">
        <f aca="false">IF($D581="","",IF($T581="","BEKLİYOR",IF(OR($U581=0,$S581=0),"DOĞRU",IF(AND($V581&gt;PazaryeriEksikHakedisEsik,$U581&gt;PazaryeriEksikHakedisTutarEsik),"EKSİK HAKEDİŞ","DOĞRU"))))</f>
        <v/>
      </c>
      <c r="X581" s="23" t="str">
        <f aca="false">IF($B581="","",CONCATENATE("Ürün: ",$B581," | Kâr: ",TEXT($Q581,"₺ #,##0")," | Durum: ",$W581))</f>
        <v/>
      </c>
      <c r="Y581" s="24"/>
    </row>
    <row r="582" customFormat="false" ht="15" hidden="false" customHeight="false" outlineLevel="0" collapsed="false">
      <c r="A582" s="24"/>
      <c r="B582" s="24"/>
      <c r="C582" s="22"/>
      <c r="D582" s="25"/>
      <c r="E582" s="22"/>
      <c r="F582" s="26"/>
      <c r="G582" s="26"/>
      <c r="H582" s="26"/>
      <c r="I582" s="26"/>
      <c r="J582" s="22"/>
      <c r="K582" s="20" t="n">
        <f aca="false">IF($D582="",0,$C582*$D582)</f>
        <v>0</v>
      </c>
      <c r="L582" s="20" t="n">
        <f aca="false">IF($D582="",0,$F582*$K582)</f>
        <v>0</v>
      </c>
      <c r="M582" s="20" t="n">
        <f aca="false">IF($D582="",0,$G582*$K582)</f>
        <v>0</v>
      </c>
      <c r="N582" s="20" t="n">
        <f aca="false">IF($D582="",0,$H582*$K582)</f>
        <v>0</v>
      </c>
      <c r="O582" s="20" t="n">
        <f aca="false">IF($D582="",0,$I582*$K582*(1-$F582))</f>
        <v>0</v>
      </c>
      <c r="P582" s="20" t="n">
        <f aca="false">IF($D582="",0,$E582*$D582+$L582+$M582+$N582+$O582+$J582*$D582)</f>
        <v>0</v>
      </c>
      <c r="Q582" s="20" t="n">
        <f aca="false">IF($D582="",0,$K582-$P582)</f>
        <v>0</v>
      </c>
      <c r="R582" s="21" t="n">
        <f aca="false">IF($K582=0,0,$Q582/$K582)</f>
        <v>0</v>
      </c>
      <c r="S582" s="20" t="n">
        <f aca="false">IF($D582="",0,$K582-$L582-$M582-$N582)</f>
        <v>0</v>
      </c>
      <c r="T582" s="22"/>
      <c r="U582" s="20" t="n">
        <f aca="false">IF($T582="",0,MAX(0,$S582-$T582))</f>
        <v>0</v>
      </c>
      <c r="V582" s="21" t="n">
        <f aca="false">IF($S582=0,0,$U582/$S582)</f>
        <v>0</v>
      </c>
      <c r="W582" s="23" t="str">
        <f aca="false">IF($D582="","",IF($T582="","BEKLİYOR",IF(OR($U582=0,$S582=0),"DOĞRU",IF(AND($V582&gt;PazaryeriEksikHakedisEsik,$U582&gt;PazaryeriEksikHakedisTutarEsik),"EKSİK HAKEDİŞ","DOĞRU"))))</f>
        <v/>
      </c>
      <c r="X582" s="23" t="str">
        <f aca="false">IF($B582="","",CONCATENATE("Ürün: ",$B582," | Kâr: ",TEXT($Q582,"₺ #,##0")," | Durum: ",$W582))</f>
        <v/>
      </c>
      <c r="Y582" s="24"/>
    </row>
    <row r="583" customFormat="false" ht="15" hidden="false" customHeight="false" outlineLevel="0" collapsed="false">
      <c r="A583" s="24"/>
      <c r="B583" s="24"/>
      <c r="C583" s="22"/>
      <c r="D583" s="25"/>
      <c r="E583" s="22"/>
      <c r="F583" s="26"/>
      <c r="G583" s="26"/>
      <c r="H583" s="26"/>
      <c r="I583" s="26"/>
      <c r="J583" s="22"/>
      <c r="K583" s="20" t="n">
        <f aca="false">IF($D583="",0,$C583*$D583)</f>
        <v>0</v>
      </c>
      <c r="L583" s="20" t="n">
        <f aca="false">IF($D583="",0,$F583*$K583)</f>
        <v>0</v>
      </c>
      <c r="M583" s="20" t="n">
        <f aca="false">IF($D583="",0,$G583*$K583)</f>
        <v>0</v>
      </c>
      <c r="N583" s="20" t="n">
        <f aca="false">IF($D583="",0,$H583*$K583)</f>
        <v>0</v>
      </c>
      <c r="O583" s="20" t="n">
        <f aca="false">IF($D583="",0,$I583*$K583*(1-$F583))</f>
        <v>0</v>
      </c>
      <c r="P583" s="20" t="n">
        <f aca="false">IF($D583="",0,$E583*$D583+$L583+$M583+$N583+$O583+$J583*$D583)</f>
        <v>0</v>
      </c>
      <c r="Q583" s="20" t="n">
        <f aca="false">IF($D583="",0,$K583-$P583)</f>
        <v>0</v>
      </c>
      <c r="R583" s="21" t="n">
        <f aca="false">IF($K583=0,0,$Q583/$K583)</f>
        <v>0</v>
      </c>
      <c r="S583" s="20" t="n">
        <f aca="false">IF($D583="",0,$K583-$L583-$M583-$N583)</f>
        <v>0</v>
      </c>
      <c r="T583" s="22"/>
      <c r="U583" s="20" t="n">
        <f aca="false">IF($T583="",0,MAX(0,$S583-$T583))</f>
        <v>0</v>
      </c>
      <c r="V583" s="21" t="n">
        <f aca="false">IF($S583=0,0,$U583/$S583)</f>
        <v>0</v>
      </c>
      <c r="W583" s="23" t="str">
        <f aca="false">IF($D583="","",IF($T583="","BEKLİYOR",IF(OR($U583=0,$S583=0),"DOĞRU",IF(AND($V583&gt;PazaryeriEksikHakedisEsik,$U583&gt;PazaryeriEksikHakedisTutarEsik),"EKSİK HAKEDİŞ","DOĞRU"))))</f>
        <v/>
      </c>
      <c r="X583" s="23" t="str">
        <f aca="false">IF($B583="","",CONCATENATE("Ürün: ",$B583," | Kâr: ",TEXT($Q583,"₺ #,##0")," | Durum: ",$W583))</f>
        <v/>
      </c>
      <c r="Y583" s="24"/>
    </row>
    <row r="584" customFormat="false" ht="15" hidden="false" customHeight="false" outlineLevel="0" collapsed="false">
      <c r="A584" s="24"/>
      <c r="B584" s="24"/>
      <c r="C584" s="22"/>
      <c r="D584" s="25"/>
      <c r="E584" s="22"/>
      <c r="F584" s="26"/>
      <c r="G584" s="26"/>
      <c r="H584" s="26"/>
      <c r="I584" s="26"/>
      <c r="J584" s="22"/>
      <c r="K584" s="20" t="n">
        <f aca="false">IF($D584="",0,$C584*$D584)</f>
        <v>0</v>
      </c>
      <c r="L584" s="20" t="n">
        <f aca="false">IF($D584="",0,$F584*$K584)</f>
        <v>0</v>
      </c>
      <c r="M584" s="20" t="n">
        <f aca="false">IF($D584="",0,$G584*$K584)</f>
        <v>0</v>
      </c>
      <c r="N584" s="20" t="n">
        <f aca="false">IF($D584="",0,$H584*$K584)</f>
        <v>0</v>
      </c>
      <c r="O584" s="20" t="n">
        <f aca="false">IF($D584="",0,$I584*$K584*(1-$F584))</f>
        <v>0</v>
      </c>
      <c r="P584" s="20" t="n">
        <f aca="false">IF($D584="",0,$E584*$D584+$L584+$M584+$N584+$O584+$J584*$D584)</f>
        <v>0</v>
      </c>
      <c r="Q584" s="20" t="n">
        <f aca="false">IF($D584="",0,$K584-$P584)</f>
        <v>0</v>
      </c>
      <c r="R584" s="21" t="n">
        <f aca="false">IF($K584=0,0,$Q584/$K584)</f>
        <v>0</v>
      </c>
      <c r="S584" s="20" t="n">
        <f aca="false">IF($D584="",0,$K584-$L584-$M584-$N584)</f>
        <v>0</v>
      </c>
      <c r="T584" s="22"/>
      <c r="U584" s="20" t="n">
        <f aca="false">IF($T584="",0,MAX(0,$S584-$T584))</f>
        <v>0</v>
      </c>
      <c r="V584" s="21" t="n">
        <f aca="false">IF($S584=0,0,$U584/$S584)</f>
        <v>0</v>
      </c>
      <c r="W584" s="23" t="str">
        <f aca="false">IF($D584="","",IF($T584="","BEKLİYOR",IF(OR($U584=0,$S584=0),"DOĞRU",IF(AND($V584&gt;PazaryeriEksikHakedisEsik,$U584&gt;PazaryeriEksikHakedisTutarEsik),"EKSİK HAKEDİŞ","DOĞRU"))))</f>
        <v/>
      </c>
      <c r="X584" s="23" t="str">
        <f aca="false">IF($B584="","",CONCATENATE("Ürün: ",$B584," | Kâr: ",TEXT($Q584,"₺ #,##0")," | Durum: ",$W584))</f>
        <v/>
      </c>
      <c r="Y584" s="24"/>
    </row>
    <row r="585" customFormat="false" ht="15" hidden="false" customHeight="false" outlineLevel="0" collapsed="false">
      <c r="A585" s="24"/>
      <c r="B585" s="24"/>
      <c r="C585" s="22"/>
      <c r="D585" s="25"/>
      <c r="E585" s="22"/>
      <c r="F585" s="26"/>
      <c r="G585" s="26"/>
      <c r="H585" s="26"/>
      <c r="I585" s="26"/>
      <c r="J585" s="22"/>
      <c r="K585" s="20" t="n">
        <f aca="false">IF($D585="",0,$C585*$D585)</f>
        <v>0</v>
      </c>
      <c r="L585" s="20" t="n">
        <f aca="false">IF($D585="",0,$F585*$K585)</f>
        <v>0</v>
      </c>
      <c r="M585" s="20" t="n">
        <f aca="false">IF($D585="",0,$G585*$K585)</f>
        <v>0</v>
      </c>
      <c r="N585" s="20" t="n">
        <f aca="false">IF($D585="",0,$H585*$K585)</f>
        <v>0</v>
      </c>
      <c r="O585" s="20" t="n">
        <f aca="false">IF($D585="",0,$I585*$K585*(1-$F585))</f>
        <v>0</v>
      </c>
      <c r="P585" s="20" t="n">
        <f aca="false">IF($D585="",0,$E585*$D585+$L585+$M585+$N585+$O585+$J585*$D585)</f>
        <v>0</v>
      </c>
      <c r="Q585" s="20" t="n">
        <f aca="false">IF($D585="",0,$K585-$P585)</f>
        <v>0</v>
      </c>
      <c r="R585" s="21" t="n">
        <f aca="false">IF($K585=0,0,$Q585/$K585)</f>
        <v>0</v>
      </c>
      <c r="S585" s="20" t="n">
        <f aca="false">IF($D585="",0,$K585-$L585-$M585-$N585)</f>
        <v>0</v>
      </c>
      <c r="T585" s="22"/>
      <c r="U585" s="20" t="n">
        <f aca="false">IF($T585="",0,MAX(0,$S585-$T585))</f>
        <v>0</v>
      </c>
      <c r="V585" s="21" t="n">
        <f aca="false">IF($S585=0,0,$U585/$S585)</f>
        <v>0</v>
      </c>
      <c r="W585" s="23" t="str">
        <f aca="false">IF($D585="","",IF($T585="","BEKLİYOR",IF(OR($U585=0,$S585=0),"DOĞRU",IF(AND($V585&gt;PazaryeriEksikHakedisEsik,$U585&gt;PazaryeriEksikHakedisTutarEsik),"EKSİK HAKEDİŞ","DOĞRU"))))</f>
        <v/>
      </c>
      <c r="X585" s="23" t="str">
        <f aca="false">IF($B585="","",CONCATENATE("Ürün: ",$B585," | Kâr: ",TEXT($Q585,"₺ #,##0")," | Durum: ",$W585))</f>
        <v/>
      </c>
      <c r="Y585" s="24"/>
    </row>
    <row r="586" customFormat="false" ht="15" hidden="false" customHeight="false" outlineLevel="0" collapsed="false">
      <c r="A586" s="24"/>
      <c r="B586" s="24"/>
      <c r="C586" s="22"/>
      <c r="D586" s="25"/>
      <c r="E586" s="22"/>
      <c r="F586" s="26"/>
      <c r="G586" s="26"/>
      <c r="H586" s="26"/>
      <c r="I586" s="26"/>
      <c r="J586" s="22"/>
      <c r="K586" s="20" t="n">
        <f aca="false">IF($D586="",0,$C586*$D586)</f>
        <v>0</v>
      </c>
      <c r="L586" s="20" t="n">
        <f aca="false">IF($D586="",0,$F586*$K586)</f>
        <v>0</v>
      </c>
      <c r="M586" s="20" t="n">
        <f aca="false">IF($D586="",0,$G586*$K586)</f>
        <v>0</v>
      </c>
      <c r="N586" s="20" t="n">
        <f aca="false">IF($D586="",0,$H586*$K586)</f>
        <v>0</v>
      </c>
      <c r="O586" s="20" t="n">
        <f aca="false">IF($D586="",0,$I586*$K586*(1-$F586))</f>
        <v>0</v>
      </c>
      <c r="P586" s="20" t="n">
        <f aca="false">IF($D586="",0,$E586*$D586+$L586+$M586+$N586+$O586+$J586*$D586)</f>
        <v>0</v>
      </c>
      <c r="Q586" s="20" t="n">
        <f aca="false">IF($D586="",0,$K586-$P586)</f>
        <v>0</v>
      </c>
      <c r="R586" s="21" t="n">
        <f aca="false">IF($K586=0,0,$Q586/$K586)</f>
        <v>0</v>
      </c>
      <c r="S586" s="20" t="n">
        <f aca="false">IF($D586="",0,$K586-$L586-$M586-$N586)</f>
        <v>0</v>
      </c>
      <c r="T586" s="22"/>
      <c r="U586" s="20" t="n">
        <f aca="false">IF($T586="",0,MAX(0,$S586-$T586))</f>
        <v>0</v>
      </c>
      <c r="V586" s="21" t="n">
        <f aca="false">IF($S586=0,0,$U586/$S586)</f>
        <v>0</v>
      </c>
      <c r="W586" s="23" t="str">
        <f aca="false">IF($D586="","",IF($T586="","BEKLİYOR",IF(OR($U586=0,$S586=0),"DOĞRU",IF(AND($V586&gt;PazaryeriEksikHakedisEsik,$U586&gt;PazaryeriEksikHakedisTutarEsik),"EKSİK HAKEDİŞ","DOĞRU"))))</f>
        <v/>
      </c>
      <c r="X586" s="23" t="str">
        <f aca="false">IF($B586="","",CONCATENATE("Ürün: ",$B586," | Kâr: ",TEXT($Q586,"₺ #,##0")," | Durum: ",$W586))</f>
        <v/>
      </c>
      <c r="Y586" s="24"/>
    </row>
    <row r="587" customFormat="false" ht="15" hidden="false" customHeight="false" outlineLevel="0" collapsed="false">
      <c r="A587" s="24"/>
      <c r="B587" s="24"/>
      <c r="C587" s="22"/>
      <c r="D587" s="25"/>
      <c r="E587" s="22"/>
      <c r="F587" s="26"/>
      <c r="G587" s="26"/>
      <c r="H587" s="26"/>
      <c r="I587" s="26"/>
      <c r="J587" s="22"/>
      <c r="K587" s="20" t="n">
        <f aca="false">IF($D587="",0,$C587*$D587)</f>
        <v>0</v>
      </c>
      <c r="L587" s="20" t="n">
        <f aca="false">IF($D587="",0,$F587*$K587)</f>
        <v>0</v>
      </c>
      <c r="M587" s="20" t="n">
        <f aca="false">IF($D587="",0,$G587*$K587)</f>
        <v>0</v>
      </c>
      <c r="N587" s="20" t="n">
        <f aca="false">IF($D587="",0,$H587*$K587)</f>
        <v>0</v>
      </c>
      <c r="O587" s="20" t="n">
        <f aca="false">IF($D587="",0,$I587*$K587*(1-$F587))</f>
        <v>0</v>
      </c>
      <c r="P587" s="20" t="n">
        <f aca="false">IF($D587="",0,$E587*$D587+$L587+$M587+$N587+$O587+$J587*$D587)</f>
        <v>0</v>
      </c>
      <c r="Q587" s="20" t="n">
        <f aca="false">IF($D587="",0,$K587-$P587)</f>
        <v>0</v>
      </c>
      <c r="R587" s="21" t="n">
        <f aca="false">IF($K587=0,0,$Q587/$K587)</f>
        <v>0</v>
      </c>
      <c r="S587" s="20" t="n">
        <f aca="false">IF($D587="",0,$K587-$L587-$M587-$N587)</f>
        <v>0</v>
      </c>
      <c r="T587" s="22"/>
      <c r="U587" s="20" t="n">
        <f aca="false">IF($T587="",0,MAX(0,$S587-$T587))</f>
        <v>0</v>
      </c>
      <c r="V587" s="21" t="n">
        <f aca="false">IF($S587=0,0,$U587/$S587)</f>
        <v>0</v>
      </c>
      <c r="W587" s="23" t="str">
        <f aca="false">IF($D587="","",IF($T587="","BEKLİYOR",IF(OR($U587=0,$S587=0),"DOĞRU",IF(AND($V587&gt;PazaryeriEksikHakedisEsik,$U587&gt;PazaryeriEksikHakedisTutarEsik),"EKSİK HAKEDİŞ","DOĞRU"))))</f>
        <v/>
      </c>
      <c r="X587" s="23" t="str">
        <f aca="false">IF($B587="","",CONCATENATE("Ürün: ",$B587," | Kâr: ",TEXT($Q587,"₺ #,##0")," | Durum: ",$W587))</f>
        <v/>
      </c>
      <c r="Y587" s="24"/>
    </row>
    <row r="588" customFormat="false" ht="15" hidden="false" customHeight="false" outlineLevel="0" collapsed="false">
      <c r="A588" s="24"/>
      <c r="B588" s="24"/>
      <c r="C588" s="22"/>
      <c r="D588" s="25"/>
      <c r="E588" s="22"/>
      <c r="F588" s="26"/>
      <c r="G588" s="26"/>
      <c r="H588" s="26"/>
      <c r="I588" s="26"/>
      <c r="J588" s="22"/>
      <c r="K588" s="20" t="n">
        <f aca="false">IF($D588="",0,$C588*$D588)</f>
        <v>0</v>
      </c>
      <c r="L588" s="20" t="n">
        <f aca="false">IF($D588="",0,$F588*$K588)</f>
        <v>0</v>
      </c>
      <c r="M588" s="20" t="n">
        <f aca="false">IF($D588="",0,$G588*$K588)</f>
        <v>0</v>
      </c>
      <c r="N588" s="20" t="n">
        <f aca="false">IF($D588="",0,$H588*$K588)</f>
        <v>0</v>
      </c>
      <c r="O588" s="20" t="n">
        <f aca="false">IF($D588="",0,$I588*$K588*(1-$F588))</f>
        <v>0</v>
      </c>
      <c r="P588" s="20" t="n">
        <f aca="false">IF($D588="",0,$E588*$D588+$L588+$M588+$N588+$O588+$J588*$D588)</f>
        <v>0</v>
      </c>
      <c r="Q588" s="20" t="n">
        <f aca="false">IF($D588="",0,$K588-$P588)</f>
        <v>0</v>
      </c>
      <c r="R588" s="21" t="n">
        <f aca="false">IF($K588=0,0,$Q588/$K588)</f>
        <v>0</v>
      </c>
      <c r="S588" s="20" t="n">
        <f aca="false">IF($D588="",0,$K588-$L588-$M588-$N588)</f>
        <v>0</v>
      </c>
      <c r="T588" s="22"/>
      <c r="U588" s="20" t="n">
        <f aca="false">IF($T588="",0,MAX(0,$S588-$T588))</f>
        <v>0</v>
      </c>
      <c r="V588" s="21" t="n">
        <f aca="false">IF($S588=0,0,$U588/$S588)</f>
        <v>0</v>
      </c>
      <c r="W588" s="23" t="str">
        <f aca="false">IF($D588="","",IF($T588="","BEKLİYOR",IF(OR($U588=0,$S588=0),"DOĞRU",IF(AND($V588&gt;PazaryeriEksikHakedisEsik,$U588&gt;PazaryeriEksikHakedisTutarEsik),"EKSİK HAKEDİŞ","DOĞRU"))))</f>
        <v/>
      </c>
      <c r="X588" s="23" t="str">
        <f aca="false">IF($B588="","",CONCATENATE("Ürün: ",$B588," | Kâr: ",TEXT($Q588,"₺ #,##0")," | Durum: ",$W588))</f>
        <v/>
      </c>
      <c r="Y588" s="24"/>
    </row>
    <row r="589" customFormat="false" ht="15" hidden="false" customHeight="false" outlineLevel="0" collapsed="false">
      <c r="A589" s="24"/>
      <c r="B589" s="24"/>
      <c r="C589" s="22"/>
      <c r="D589" s="25"/>
      <c r="E589" s="22"/>
      <c r="F589" s="26"/>
      <c r="G589" s="26"/>
      <c r="H589" s="26"/>
      <c r="I589" s="26"/>
      <c r="J589" s="22"/>
      <c r="K589" s="20" t="n">
        <f aca="false">IF($D589="",0,$C589*$D589)</f>
        <v>0</v>
      </c>
      <c r="L589" s="20" t="n">
        <f aca="false">IF($D589="",0,$F589*$K589)</f>
        <v>0</v>
      </c>
      <c r="M589" s="20" t="n">
        <f aca="false">IF($D589="",0,$G589*$K589)</f>
        <v>0</v>
      </c>
      <c r="N589" s="20" t="n">
        <f aca="false">IF($D589="",0,$H589*$K589)</f>
        <v>0</v>
      </c>
      <c r="O589" s="20" t="n">
        <f aca="false">IF($D589="",0,$I589*$K589*(1-$F589))</f>
        <v>0</v>
      </c>
      <c r="P589" s="20" t="n">
        <f aca="false">IF($D589="",0,$E589*$D589+$L589+$M589+$N589+$O589+$J589*$D589)</f>
        <v>0</v>
      </c>
      <c r="Q589" s="20" t="n">
        <f aca="false">IF($D589="",0,$K589-$P589)</f>
        <v>0</v>
      </c>
      <c r="R589" s="21" t="n">
        <f aca="false">IF($K589=0,0,$Q589/$K589)</f>
        <v>0</v>
      </c>
      <c r="S589" s="20" t="n">
        <f aca="false">IF($D589="",0,$K589-$L589-$M589-$N589)</f>
        <v>0</v>
      </c>
      <c r="T589" s="22"/>
      <c r="U589" s="20" t="n">
        <f aca="false">IF($T589="",0,MAX(0,$S589-$T589))</f>
        <v>0</v>
      </c>
      <c r="V589" s="21" t="n">
        <f aca="false">IF($S589=0,0,$U589/$S589)</f>
        <v>0</v>
      </c>
      <c r="W589" s="23" t="str">
        <f aca="false">IF($D589="","",IF($T589="","BEKLİYOR",IF(OR($U589=0,$S589=0),"DOĞRU",IF(AND($V589&gt;PazaryeriEksikHakedisEsik,$U589&gt;PazaryeriEksikHakedisTutarEsik),"EKSİK HAKEDİŞ","DOĞRU"))))</f>
        <v/>
      </c>
      <c r="X589" s="23" t="str">
        <f aca="false">IF($B589="","",CONCATENATE("Ürün: ",$B589," | Kâr: ",TEXT($Q589,"₺ #,##0")," | Durum: ",$W589))</f>
        <v/>
      </c>
      <c r="Y589" s="24"/>
    </row>
    <row r="590" customFormat="false" ht="15" hidden="false" customHeight="false" outlineLevel="0" collapsed="false">
      <c r="A590" s="24"/>
      <c r="B590" s="24"/>
      <c r="C590" s="22"/>
      <c r="D590" s="25"/>
      <c r="E590" s="22"/>
      <c r="F590" s="26"/>
      <c r="G590" s="26"/>
      <c r="H590" s="26"/>
      <c r="I590" s="26"/>
      <c r="J590" s="22"/>
      <c r="K590" s="20" t="n">
        <f aca="false">IF($D590="",0,$C590*$D590)</f>
        <v>0</v>
      </c>
      <c r="L590" s="20" t="n">
        <f aca="false">IF($D590="",0,$F590*$K590)</f>
        <v>0</v>
      </c>
      <c r="M590" s="20" t="n">
        <f aca="false">IF($D590="",0,$G590*$K590)</f>
        <v>0</v>
      </c>
      <c r="N590" s="20" t="n">
        <f aca="false">IF($D590="",0,$H590*$K590)</f>
        <v>0</v>
      </c>
      <c r="O590" s="20" t="n">
        <f aca="false">IF($D590="",0,$I590*$K590*(1-$F590))</f>
        <v>0</v>
      </c>
      <c r="P590" s="20" t="n">
        <f aca="false">IF($D590="",0,$E590*$D590+$L590+$M590+$N590+$O590+$J590*$D590)</f>
        <v>0</v>
      </c>
      <c r="Q590" s="20" t="n">
        <f aca="false">IF($D590="",0,$K590-$P590)</f>
        <v>0</v>
      </c>
      <c r="R590" s="21" t="n">
        <f aca="false">IF($K590=0,0,$Q590/$K590)</f>
        <v>0</v>
      </c>
      <c r="S590" s="20" t="n">
        <f aca="false">IF($D590="",0,$K590-$L590-$M590-$N590)</f>
        <v>0</v>
      </c>
      <c r="T590" s="22"/>
      <c r="U590" s="20" t="n">
        <f aca="false">IF($T590="",0,MAX(0,$S590-$T590))</f>
        <v>0</v>
      </c>
      <c r="V590" s="21" t="n">
        <f aca="false">IF($S590=0,0,$U590/$S590)</f>
        <v>0</v>
      </c>
      <c r="W590" s="23" t="str">
        <f aca="false">IF($D590="","",IF($T590="","BEKLİYOR",IF(OR($U590=0,$S590=0),"DOĞRU",IF(AND($V590&gt;PazaryeriEksikHakedisEsik,$U590&gt;PazaryeriEksikHakedisTutarEsik),"EKSİK HAKEDİŞ","DOĞRU"))))</f>
        <v/>
      </c>
      <c r="X590" s="23" t="str">
        <f aca="false">IF($B590="","",CONCATENATE("Ürün: ",$B590," | Kâr: ",TEXT($Q590,"₺ #,##0")," | Durum: ",$W590))</f>
        <v/>
      </c>
      <c r="Y590" s="24"/>
    </row>
    <row r="591" customFormat="false" ht="15" hidden="false" customHeight="false" outlineLevel="0" collapsed="false">
      <c r="A591" s="24"/>
      <c r="B591" s="24"/>
      <c r="C591" s="22"/>
      <c r="D591" s="25"/>
      <c r="E591" s="22"/>
      <c r="F591" s="26"/>
      <c r="G591" s="26"/>
      <c r="H591" s="26"/>
      <c r="I591" s="26"/>
      <c r="J591" s="22"/>
      <c r="K591" s="20" t="n">
        <f aca="false">IF($D591="",0,$C591*$D591)</f>
        <v>0</v>
      </c>
      <c r="L591" s="20" t="n">
        <f aca="false">IF($D591="",0,$F591*$K591)</f>
        <v>0</v>
      </c>
      <c r="M591" s="20" t="n">
        <f aca="false">IF($D591="",0,$G591*$K591)</f>
        <v>0</v>
      </c>
      <c r="N591" s="20" t="n">
        <f aca="false">IF($D591="",0,$H591*$K591)</f>
        <v>0</v>
      </c>
      <c r="O591" s="20" t="n">
        <f aca="false">IF($D591="",0,$I591*$K591*(1-$F591))</f>
        <v>0</v>
      </c>
      <c r="P591" s="20" t="n">
        <f aca="false">IF($D591="",0,$E591*$D591+$L591+$M591+$N591+$O591+$J591*$D591)</f>
        <v>0</v>
      </c>
      <c r="Q591" s="20" t="n">
        <f aca="false">IF($D591="",0,$K591-$P591)</f>
        <v>0</v>
      </c>
      <c r="R591" s="21" t="n">
        <f aca="false">IF($K591=0,0,$Q591/$K591)</f>
        <v>0</v>
      </c>
      <c r="S591" s="20" t="n">
        <f aca="false">IF($D591="",0,$K591-$L591-$M591-$N591)</f>
        <v>0</v>
      </c>
      <c r="T591" s="22"/>
      <c r="U591" s="20" t="n">
        <f aca="false">IF($T591="",0,MAX(0,$S591-$T591))</f>
        <v>0</v>
      </c>
      <c r="V591" s="21" t="n">
        <f aca="false">IF($S591=0,0,$U591/$S591)</f>
        <v>0</v>
      </c>
      <c r="W591" s="23" t="str">
        <f aca="false">IF($D591="","",IF($T591="","BEKLİYOR",IF(OR($U591=0,$S591=0),"DOĞRU",IF(AND($V591&gt;PazaryeriEksikHakedisEsik,$U591&gt;PazaryeriEksikHakedisTutarEsik),"EKSİK HAKEDİŞ","DOĞRU"))))</f>
        <v/>
      </c>
      <c r="X591" s="23" t="str">
        <f aca="false">IF($B591="","",CONCATENATE("Ürün: ",$B591," | Kâr: ",TEXT($Q591,"₺ #,##0")," | Durum: ",$W591))</f>
        <v/>
      </c>
      <c r="Y591" s="24"/>
    </row>
    <row r="592" customFormat="false" ht="15" hidden="false" customHeight="false" outlineLevel="0" collapsed="false">
      <c r="A592" s="24"/>
      <c r="B592" s="24"/>
      <c r="C592" s="22"/>
      <c r="D592" s="25"/>
      <c r="E592" s="22"/>
      <c r="F592" s="26"/>
      <c r="G592" s="26"/>
      <c r="H592" s="26"/>
      <c r="I592" s="26"/>
      <c r="J592" s="22"/>
      <c r="K592" s="20" t="n">
        <f aca="false">IF($D592="",0,$C592*$D592)</f>
        <v>0</v>
      </c>
      <c r="L592" s="20" t="n">
        <f aca="false">IF($D592="",0,$F592*$K592)</f>
        <v>0</v>
      </c>
      <c r="M592" s="20" t="n">
        <f aca="false">IF($D592="",0,$G592*$K592)</f>
        <v>0</v>
      </c>
      <c r="N592" s="20" t="n">
        <f aca="false">IF($D592="",0,$H592*$K592)</f>
        <v>0</v>
      </c>
      <c r="O592" s="20" t="n">
        <f aca="false">IF($D592="",0,$I592*$K592*(1-$F592))</f>
        <v>0</v>
      </c>
      <c r="P592" s="20" t="n">
        <f aca="false">IF($D592="",0,$E592*$D592+$L592+$M592+$N592+$O592+$J592*$D592)</f>
        <v>0</v>
      </c>
      <c r="Q592" s="20" t="n">
        <f aca="false">IF($D592="",0,$K592-$P592)</f>
        <v>0</v>
      </c>
      <c r="R592" s="21" t="n">
        <f aca="false">IF($K592=0,0,$Q592/$K592)</f>
        <v>0</v>
      </c>
      <c r="S592" s="20" t="n">
        <f aca="false">IF($D592="",0,$K592-$L592-$M592-$N592)</f>
        <v>0</v>
      </c>
      <c r="T592" s="22"/>
      <c r="U592" s="20" t="n">
        <f aca="false">IF($T592="",0,MAX(0,$S592-$T592))</f>
        <v>0</v>
      </c>
      <c r="V592" s="21" t="n">
        <f aca="false">IF($S592=0,0,$U592/$S592)</f>
        <v>0</v>
      </c>
      <c r="W592" s="23" t="str">
        <f aca="false">IF($D592="","",IF($T592="","BEKLİYOR",IF(OR($U592=0,$S592=0),"DOĞRU",IF(AND($V592&gt;PazaryeriEksikHakedisEsik,$U592&gt;PazaryeriEksikHakedisTutarEsik),"EKSİK HAKEDİŞ","DOĞRU"))))</f>
        <v/>
      </c>
      <c r="X592" s="23" t="str">
        <f aca="false">IF($B592="","",CONCATENATE("Ürün: ",$B592," | Kâr: ",TEXT($Q592,"₺ #,##0")," | Durum: ",$W592))</f>
        <v/>
      </c>
      <c r="Y592" s="24"/>
    </row>
    <row r="593" customFormat="false" ht="15" hidden="false" customHeight="false" outlineLevel="0" collapsed="false">
      <c r="A593" s="24"/>
      <c r="B593" s="24"/>
      <c r="C593" s="22"/>
      <c r="D593" s="25"/>
      <c r="E593" s="22"/>
      <c r="F593" s="26"/>
      <c r="G593" s="26"/>
      <c r="H593" s="26"/>
      <c r="I593" s="26"/>
      <c r="J593" s="22"/>
      <c r="K593" s="20" t="n">
        <f aca="false">IF($D593="",0,$C593*$D593)</f>
        <v>0</v>
      </c>
      <c r="L593" s="20" t="n">
        <f aca="false">IF($D593="",0,$F593*$K593)</f>
        <v>0</v>
      </c>
      <c r="M593" s="20" t="n">
        <f aca="false">IF($D593="",0,$G593*$K593)</f>
        <v>0</v>
      </c>
      <c r="N593" s="20" t="n">
        <f aca="false">IF($D593="",0,$H593*$K593)</f>
        <v>0</v>
      </c>
      <c r="O593" s="20" t="n">
        <f aca="false">IF($D593="",0,$I593*$K593*(1-$F593))</f>
        <v>0</v>
      </c>
      <c r="P593" s="20" t="n">
        <f aca="false">IF($D593="",0,$E593*$D593+$L593+$M593+$N593+$O593+$J593*$D593)</f>
        <v>0</v>
      </c>
      <c r="Q593" s="20" t="n">
        <f aca="false">IF($D593="",0,$K593-$P593)</f>
        <v>0</v>
      </c>
      <c r="R593" s="21" t="n">
        <f aca="false">IF($K593=0,0,$Q593/$K593)</f>
        <v>0</v>
      </c>
      <c r="S593" s="20" t="n">
        <f aca="false">IF($D593="",0,$K593-$L593-$M593-$N593)</f>
        <v>0</v>
      </c>
      <c r="T593" s="22"/>
      <c r="U593" s="20" t="n">
        <f aca="false">IF($T593="",0,MAX(0,$S593-$T593))</f>
        <v>0</v>
      </c>
      <c r="V593" s="21" t="n">
        <f aca="false">IF($S593=0,0,$U593/$S593)</f>
        <v>0</v>
      </c>
      <c r="W593" s="23" t="str">
        <f aca="false">IF($D593="","",IF($T593="","BEKLİYOR",IF(OR($U593=0,$S593=0),"DOĞRU",IF(AND($V593&gt;PazaryeriEksikHakedisEsik,$U593&gt;PazaryeriEksikHakedisTutarEsik),"EKSİK HAKEDİŞ","DOĞRU"))))</f>
        <v/>
      </c>
      <c r="X593" s="23" t="str">
        <f aca="false">IF($B593="","",CONCATENATE("Ürün: ",$B593," | Kâr: ",TEXT($Q593,"₺ #,##0")," | Durum: ",$W593))</f>
        <v/>
      </c>
      <c r="Y593" s="24"/>
    </row>
    <row r="594" customFormat="false" ht="15" hidden="false" customHeight="false" outlineLevel="0" collapsed="false">
      <c r="A594" s="24"/>
      <c r="B594" s="24"/>
      <c r="C594" s="22"/>
      <c r="D594" s="25"/>
      <c r="E594" s="22"/>
      <c r="F594" s="26"/>
      <c r="G594" s="26"/>
      <c r="H594" s="26"/>
      <c r="I594" s="26"/>
      <c r="J594" s="22"/>
      <c r="K594" s="20" t="n">
        <f aca="false">IF($D594="",0,$C594*$D594)</f>
        <v>0</v>
      </c>
      <c r="L594" s="20" t="n">
        <f aca="false">IF($D594="",0,$F594*$K594)</f>
        <v>0</v>
      </c>
      <c r="M594" s="20" t="n">
        <f aca="false">IF($D594="",0,$G594*$K594)</f>
        <v>0</v>
      </c>
      <c r="N594" s="20" t="n">
        <f aca="false">IF($D594="",0,$H594*$K594)</f>
        <v>0</v>
      </c>
      <c r="O594" s="20" t="n">
        <f aca="false">IF($D594="",0,$I594*$K594*(1-$F594))</f>
        <v>0</v>
      </c>
      <c r="P594" s="20" t="n">
        <f aca="false">IF($D594="",0,$E594*$D594+$L594+$M594+$N594+$O594+$J594*$D594)</f>
        <v>0</v>
      </c>
      <c r="Q594" s="20" t="n">
        <f aca="false">IF($D594="",0,$K594-$P594)</f>
        <v>0</v>
      </c>
      <c r="R594" s="21" t="n">
        <f aca="false">IF($K594=0,0,$Q594/$K594)</f>
        <v>0</v>
      </c>
      <c r="S594" s="20" t="n">
        <f aca="false">IF($D594="",0,$K594-$L594-$M594-$N594)</f>
        <v>0</v>
      </c>
      <c r="T594" s="22"/>
      <c r="U594" s="20" t="n">
        <f aca="false">IF($T594="",0,MAX(0,$S594-$T594))</f>
        <v>0</v>
      </c>
      <c r="V594" s="21" t="n">
        <f aca="false">IF($S594=0,0,$U594/$S594)</f>
        <v>0</v>
      </c>
      <c r="W594" s="23" t="str">
        <f aca="false">IF($D594="","",IF($T594="","BEKLİYOR",IF(OR($U594=0,$S594=0),"DOĞRU",IF(AND($V594&gt;PazaryeriEksikHakedisEsik,$U594&gt;PazaryeriEksikHakedisTutarEsik),"EKSİK HAKEDİŞ","DOĞRU"))))</f>
        <v/>
      </c>
      <c r="X594" s="23" t="str">
        <f aca="false">IF($B594="","",CONCATENATE("Ürün: ",$B594," | Kâr: ",TEXT($Q594,"₺ #,##0")," | Durum: ",$W594))</f>
        <v/>
      </c>
      <c r="Y594" s="24"/>
    </row>
    <row r="595" customFormat="false" ht="15" hidden="false" customHeight="false" outlineLevel="0" collapsed="false">
      <c r="A595" s="24"/>
      <c r="B595" s="24"/>
      <c r="C595" s="22"/>
      <c r="D595" s="25"/>
      <c r="E595" s="22"/>
      <c r="F595" s="26"/>
      <c r="G595" s="26"/>
      <c r="H595" s="26"/>
      <c r="I595" s="26"/>
      <c r="J595" s="22"/>
      <c r="K595" s="20" t="n">
        <f aca="false">IF($D595="",0,$C595*$D595)</f>
        <v>0</v>
      </c>
      <c r="L595" s="20" t="n">
        <f aca="false">IF($D595="",0,$F595*$K595)</f>
        <v>0</v>
      </c>
      <c r="M595" s="20" t="n">
        <f aca="false">IF($D595="",0,$G595*$K595)</f>
        <v>0</v>
      </c>
      <c r="N595" s="20" t="n">
        <f aca="false">IF($D595="",0,$H595*$K595)</f>
        <v>0</v>
      </c>
      <c r="O595" s="20" t="n">
        <f aca="false">IF($D595="",0,$I595*$K595*(1-$F595))</f>
        <v>0</v>
      </c>
      <c r="P595" s="20" t="n">
        <f aca="false">IF($D595="",0,$E595*$D595+$L595+$M595+$N595+$O595+$J595*$D595)</f>
        <v>0</v>
      </c>
      <c r="Q595" s="20" t="n">
        <f aca="false">IF($D595="",0,$K595-$P595)</f>
        <v>0</v>
      </c>
      <c r="R595" s="21" t="n">
        <f aca="false">IF($K595=0,0,$Q595/$K595)</f>
        <v>0</v>
      </c>
      <c r="S595" s="20" t="n">
        <f aca="false">IF($D595="",0,$K595-$L595-$M595-$N595)</f>
        <v>0</v>
      </c>
      <c r="T595" s="22"/>
      <c r="U595" s="20" t="n">
        <f aca="false">IF($T595="",0,MAX(0,$S595-$T595))</f>
        <v>0</v>
      </c>
      <c r="V595" s="21" t="n">
        <f aca="false">IF($S595=0,0,$U595/$S595)</f>
        <v>0</v>
      </c>
      <c r="W595" s="23" t="str">
        <f aca="false">IF($D595="","",IF($T595="","BEKLİYOR",IF(OR($U595=0,$S595=0),"DOĞRU",IF(AND($V595&gt;PazaryeriEksikHakedisEsik,$U595&gt;PazaryeriEksikHakedisTutarEsik),"EKSİK HAKEDİŞ","DOĞRU"))))</f>
        <v/>
      </c>
      <c r="X595" s="23" t="str">
        <f aca="false">IF($B595="","",CONCATENATE("Ürün: ",$B595," | Kâr: ",TEXT($Q595,"₺ #,##0")," | Durum: ",$W595))</f>
        <v/>
      </c>
      <c r="Y595" s="24"/>
    </row>
    <row r="596" customFormat="false" ht="15" hidden="false" customHeight="false" outlineLevel="0" collapsed="false">
      <c r="A596" s="24"/>
      <c r="B596" s="24"/>
      <c r="C596" s="22"/>
      <c r="D596" s="25"/>
      <c r="E596" s="22"/>
      <c r="F596" s="26"/>
      <c r="G596" s="26"/>
      <c r="H596" s="26"/>
      <c r="I596" s="26"/>
      <c r="J596" s="22"/>
      <c r="K596" s="20" t="n">
        <f aca="false">IF($D596="",0,$C596*$D596)</f>
        <v>0</v>
      </c>
      <c r="L596" s="20" t="n">
        <f aca="false">IF($D596="",0,$F596*$K596)</f>
        <v>0</v>
      </c>
      <c r="M596" s="20" t="n">
        <f aca="false">IF($D596="",0,$G596*$K596)</f>
        <v>0</v>
      </c>
      <c r="N596" s="20" t="n">
        <f aca="false">IF($D596="",0,$H596*$K596)</f>
        <v>0</v>
      </c>
      <c r="O596" s="20" t="n">
        <f aca="false">IF($D596="",0,$I596*$K596*(1-$F596))</f>
        <v>0</v>
      </c>
      <c r="P596" s="20" t="n">
        <f aca="false">IF($D596="",0,$E596*$D596+$L596+$M596+$N596+$O596+$J596*$D596)</f>
        <v>0</v>
      </c>
      <c r="Q596" s="20" t="n">
        <f aca="false">IF($D596="",0,$K596-$P596)</f>
        <v>0</v>
      </c>
      <c r="R596" s="21" t="n">
        <f aca="false">IF($K596=0,0,$Q596/$K596)</f>
        <v>0</v>
      </c>
      <c r="S596" s="20" t="n">
        <f aca="false">IF($D596="",0,$K596-$L596-$M596-$N596)</f>
        <v>0</v>
      </c>
      <c r="T596" s="22"/>
      <c r="U596" s="20" t="n">
        <f aca="false">IF($T596="",0,MAX(0,$S596-$T596))</f>
        <v>0</v>
      </c>
      <c r="V596" s="21" t="n">
        <f aca="false">IF($S596=0,0,$U596/$S596)</f>
        <v>0</v>
      </c>
      <c r="W596" s="23" t="str">
        <f aca="false">IF($D596="","",IF($T596="","BEKLİYOR",IF(OR($U596=0,$S596=0),"DOĞRU",IF(AND($V596&gt;PazaryeriEksikHakedisEsik,$U596&gt;PazaryeriEksikHakedisTutarEsik),"EKSİK HAKEDİŞ","DOĞRU"))))</f>
        <v/>
      </c>
      <c r="X596" s="23" t="str">
        <f aca="false">IF($B596="","",CONCATENATE("Ürün: ",$B596," | Kâr: ",TEXT($Q596,"₺ #,##0")," | Durum: ",$W596))</f>
        <v/>
      </c>
      <c r="Y596" s="24"/>
    </row>
    <row r="597" customFormat="false" ht="15" hidden="false" customHeight="false" outlineLevel="0" collapsed="false">
      <c r="A597" s="24"/>
      <c r="B597" s="24"/>
      <c r="C597" s="22"/>
      <c r="D597" s="25"/>
      <c r="E597" s="22"/>
      <c r="F597" s="26"/>
      <c r="G597" s="26"/>
      <c r="H597" s="26"/>
      <c r="I597" s="26"/>
      <c r="J597" s="22"/>
      <c r="K597" s="20" t="n">
        <f aca="false">IF($D597="",0,$C597*$D597)</f>
        <v>0</v>
      </c>
      <c r="L597" s="20" t="n">
        <f aca="false">IF($D597="",0,$F597*$K597)</f>
        <v>0</v>
      </c>
      <c r="M597" s="20" t="n">
        <f aca="false">IF($D597="",0,$G597*$K597)</f>
        <v>0</v>
      </c>
      <c r="N597" s="20" t="n">
        <f aca="false">IF($D597="",0,$H597*$K597)</f>
        <v>0</v>
      </c>
      <c r="O597" s="20" t="n">
        <f aca="false">IF($D597="",0,$I597*$K597*(1-$F597))</f>
        <v>0</v>
      </c>
      <c r="P597" s="20" t="n">
        <f aca="false">IF($D597="",0,$E597*$D597+$L597+$M597+$N597+$O597+$J597*$D597)</f>
        <v>0</v>
      </c>
      <c r="Q597" s="20" t="n">
        <f aca="false">IF($D597="",0,$K597-$P597)</f>
        <v>0</v>
      </c>
      <c r="R597" s="21" t="n">
        <f aca="false">IF($K597=0,0,$Q597/$K597)</f>
        <v>0</v>
      </c>
      <c r="S597" s="20" t="n">
        <f aca="false">IF($D597="",0,$K597-$L597-$M597-$N597)</f>
        <v>0</v>
      </c>
      <c r="T597" s="22"/>
      <c r="U597" s="20" t="n">
        <f aca="false">IF($T597="",0,MAX(0,$S597-$T597))</f>
        <v>0</v>
      </c>
      <c r="V597" s="21" t="n">
        <f aca="false">IF($S597=0,0,$U597/$S597)</f>
        <v>0</v>
      </c>
      <c r="W597" s="23" t="str">
        <f aca="false">IF($D597="","",IF($T597="","BEKLİYOR",IF(OR($U597=0,$S597=0),"DOĞRU",IF(AND($V597&gt;PazaryeriEksikHakedisEsik,$U597&gt;PazaryeriEksikHakedisTutarEsik),"EKSİK HAKEDİŞ","DOĞRU"))))</f>
        <v/>
      </c>
      <c r="X597" s="23" t="str">
        <f aca="false">IF($B597="","",CONCATENATE("Ürün: ",$B597," | Kâr: ",TEXT($Q597,"₺ #,##0")," | Durum: ",$W597))</f>
        <v/>
      </c>
      <c r="Y597" s="24"/>
    </row>
    <row r="598" customFormat="false" ht="15" hidden="false" customHeight="false" outlineLevel="0" collapsed="false">
      <c r="A598" s="24"/>
      <c r="B598" s="24"/>
      <c r="C598" s="22"/>
      <c r="D598" s="25"/>
      <c r="E598" s="22"/>
      <c r="F598" s="26"/>
      <c r="G598" s="26"/>
      <c r="H598" s="26"/>
      <c r="I598" s="26"/>
      <c r="J598" s="22"/>
      <c r="K598" s="20" t="n">
        <f aca="false">IF($D598="",0,$C598*$D598)</f>
        <v>0</v>
      </c>
      <c r="L598" s="20" t="n">
        <f aca="false">IF($D598="",0,$F598*$K598)</f>
        <v>0</v>
      </c>
      <c r="M598" s="20" t="n">
        <f aca="false">IF($D598="",0,$G598*$K598)</f>
        <v>0</v>
      </c>
      <c r="N598" s="20" t="n">
        <f aca="false">IF($D598="",0,$H598*$K598)</f>
        <v>0</v>
      </c>
      <c r="O598" s="20" t="n">
        <f aca="false">IF($D598="",0,$I598*$K598*(1-$F598))</f>
        <v>0</v>
      </c>
      <c r="P598" s="20" t="n">
        <f aca="false">IF($D598="",0,$E598*$D598+$L598+$M598+$N598+$O598+$J598*$D598)</f>
        <v>0</v>
      </c>
      <c r="Q598" s="20" t="n">
        <f aca="false">IF($D598="",0,$K598-$P598)</f>
        <v>0</v>
      </c>
      <c r="R598" s="21" t="n">
        <f aca="false">IF($K598=0,0,$Q598/$K598)</f>
        <v>0</v>
      </c>
      <c r="S598" s="20" t="n">
        <f aca="false">IF($D598="",0,$K598-$L598-$M598-$N598)</f>
        <v>0</v>
      </c>
      <c r="T598" s="22"/>
      <c r="U598" s="20" t="n">
        <f aca="false">IF($T598="",0,MAX(0,$S598-$T598))</f>
        <v>0</v>
      </c>
      <c r="V598" s="21" t="n">
        <f aca="false">IF($S598=0,0,$U598/$S598)</f>
        <v>0</v>
      </c>
      <c r="W598" s="23" t="str">
        <f aca="false">IF($D598="","",IF($T598="","BEKLİYOR",IF(OR($U598=0,$S598=0),"DOĞRU",IF(AND($V598&gt;PazaryeriEksikHakedisEsik,$U598&gt;PazaryeriEksikHakedisTutarEsik),"EKSİK HAKEDİŞ","DOĞRU"))))</f>
        <v/>
      </c>
      <c r="X598" s="23" t="str">
        <f aca="false">IF($B598="","",CONCATENATE("Ürün: ",$B598," | Kâr: ",TEXT($Q598,"₺ #,##0")," | Durum: ",$W598))</f>
        <v/>
      </c>
      <c r="Y598" s="24"/>
    </row>
    <row r="599" customFormat="false" ht="15" hidden="false" customHeight="false" outlineLevel="0" collapsed="false">
      <c r="A599" s="24"/>
      <c r="B599" s="24"/>
      <c r="C599" s="22"/>
      <c r="D599" s="25"/>
      <c r="E599" s="22"/>
      <c r="F599" s="26"/>
      <c r="G599" s="26"/>
      <c r="H599" s="26"/>
      <c r="I599" s="26"/>
      <c r="J599" s="22"/>
      <c r="K599" s="20" t="n">
        <f aca="false">IF($D599="",0,$C599*$D599)</f>
        <v>0</v>
      </c>
      <c r="L599" s="20" t="n">
        <f aca="false">IF($D599="",0,$F599*$K599)</f>
        <v>0</v>
      </c>
      <c r="M599" s="20" t="n">
        <f aca="false">IF($D599="",0,$G599*$K599)</f>
        <v>0</v>
      </c>
      <c r="N599" s="20" t="n">
        <f aca="false">IF($D599="",0,$H599*$K599)</f>
        <v>0</v>
      </c>
      <c r="O599" s="20" t="n">
        <f aca="false">IF($D599="",0,$I599*$K599*(1-$F599))</f>
        <v>0</v>
      </c>
      <c r="P599" s="20" t="n">
        <f aca="false">IF($D599="",0,$E599*$D599+$L599+$M599+$N599+$O599+$J599*$D599)</f>
        <v>0</v>
      </c>
      <c r="Q599" s="20" t="n">
        <f aca="false">IF($D599="",0,$K599-$P599)</f>
        <v>0</v>
      </c>
      <c r="R599" s="21" t="n">
        <f aca="false">IF($K599=0,0,$Q599/$K599)</f>
        <v>0</v>
      </c>
      <c r="S599" s="20" t="n">
        <f aca="false">IF($D599="",0,$K599-$L599-$M599-$N599)</f>
        <v>0</v>
      </c>
      <c r="T599" s="22"/>
      <c r="U599" s="20" t="n">
        <f aca="false">IF($T599="",0,MAX(0,$S599-$T599))</f>
        <v>0</v>
      </c>
      <c r="V599" s="21" t="n">
        <f aca="false">IF($S599=0,0,$U599/$S599)</f>
        <v>0</v>
      </c>
      <c r="W599" s="23" t="str">
        <f aca="false">IF($D599="","",IF($T599="","BEKLİYOR",IF(OR($U599=0,$S599=0),"DOĞRU",IF(AND($V599&gt;PazaryeriEksikHakedisEsik,$U599&gt;PazaryeriEksikHakedisTutarEsik),"EKSİK HAKEDİŞ","DOĞRU"))))</f>
        <v/>
      </c>
      <c r="X599" s="23" t="str">
        <f aca="false">IF($B599="","",CONCATENATE("Ürün: ",$B599," | Kâr: ",TEXT($Q599,"₺ #,##0")," | Durum: ",$W599))</f>
        <v/>
      </c>
      <c r="Y599" s="24"/>
    </row>
    <row r="600" customFormat="false" ht="15" hidden="false" customHeight="false" outlineLevel="0" collapsed="false">
      <c r="A600" s="24"/>
      <c r="B600" s="24"/>
      <c r="C600" s="22"/>
      <c r="D600" s="25"/>
      <c r="E600" s="22"/>
      <c r="F600" s="26"/>
      <c r="G600" s="26"/>
      <c r="H600" s="26"/>
      <c r="I600" s="26"/>
      <c r="J600" s="22"/>
      <c r="K600" s="20" t="n">
        <f aca="false">IF($D600="",0,$C600*$D600)</f>
        <v>0</v>
      </c>
      <c r="L600" s="20" t="n">
        <f aca="false">IF($D600="",0,$F600*$K600)</f>
        <v>0</v>
      </c>
      <c r="M600" s="20" t="n">
        <f aca="false">IF($D600="",0,$G600*$K600)</f>
        <v>0</v>
      </c>
      <c r="N600" s="20" t="n">
        <f aca="false">IF($D600="",0,$H600*$K600)</f>
        <v>0</v>
      </c>
      <c r="O600" s="20" t="n">
        <f aca="false">IF($D600="",0,$I600*$K600*(1-$F600))</f>
        <v>0</v>
      </c>
      <c r="P600" s="20" t="n">
        <f aca="false">IF($D600="",0,$E600*$D600+$L600+$M600+$N600+$O600+$J600*$D600)</f>
        <v>0</v>
      </c>
      <c r="Q600" s="20" t="n">
        <f aca="false">IF($D600="",0,$K600-$P600)</f>
        <v>0</v>
      </c>
      <c r="R600" s="21" t="n">
        <f aca="false">IF($K600=0,0,$Q600/$K600)</f>
        <v>0</v>
      </c>
      <c r="S600" s="20" t="n">
        <f aca="false">IF($D600="",0,$K600-$L600-$M600-$N600)</f>
        <v>0</v>
      </c>
      <c r="T600" s="22"/>
      <c r="U600" s="20" t="n">
        <f aca="false">IF($T600="",0,MAX(0,$S600-$T600))</f>
        <v>0</v>
      </c>
      <c r="V600" s="21" t="n">
        <f aca="false">IF($S600=0,0,$U600/$S600)</f>
        <v>0</v>
      </c>
      <c r="W600" s="23" t="str">
        <f aca="false">IF($D600="","",IF($T600="","BEKLİYOR",IF(OR($U600=0,$S600=0),"DOĞRU",IF(AND($V600&gt;PazaryeriEksikHakedisEsik,$U600&gt;PazaryeriEksikHakedisTutarEsik),"EKSİK HAKEDİŞ","DOĞRU"))))</f>
        <v/>
      </c>
      <c r="X600" s="23" t="str">
        <f aca="false">IF($B600="","",CONCATENATE("Ürün: ",$B600," | Kâr: ",TEXT($Q600,"₺ #,##0")," | Durum: ",$W600))</f>
        <v/>
      </c>
      <c r="Y600" s="24"/>
    </row>
    <row r="601" customFormat="false" ht="15" hidden="false" customHeight="false" outlineLevel="0" collapsed="false">
      <c r="A601" s="24"/>
      <c r="B601" s="24"/>
      <c r="C601" s="22"/>
      <c r="D601" s="25"/>
      <c r="E601" s="22"/>
      <c r="F601" s="26"/>
      <c r="G601" s="26"/>
      <c r="H601" s="26"/>
      <c r="I601" s="26"/>
      <c r="J601" s="22"/>
      <c r="K601" s="20" t="n">
        <f aca="false">IF($D601="",0,$C601*$D601)</f>
        <v>0</v>
      </c>
      <c r="L601" s="20" t="n">
        <f aca="false">IF($D601="",0,$F601*$K601)</f>
        <v>0</v>
      </c>
      <c r="M601" s="20" t="n">
        <f aca="false">IF($D601="",0,$G601*$K601)</f>
        <v>0</v>
      </c>
      <c r="N601" s="20" t="n">
        <f aca="false">IF($D601="",0,$H601*$K601)</f>
        <v>0</v>
      </c>
      <c r="O601" s="20" t="n">
        <f aca="false">IF($D601="",0,$I601*$K601*(1-$F601))</f>
        <v>0</v>
      </c>
      <c r="P601" s="20" t="n">
        <f aca="false">IF($D601="",0,$E601*$D601+$L601+$M601+$N601+$O601+$J601*$D601)</f>
        <v>0</v>
      </c>
      <c r="Q601" s="20" t="n">
        <f aca="false">IF($D601="",0,$K601-$P601)</f>
        <v>0</v>
      </c>
      <c r="R601" s="21" t="n">
        <f aca="false">IF($K601=0,0,$Q601/$K601)</f>
        <v>0</v>
      </c>
      <c r="S601" s="20" t="n">
        <f aca="false">IF($D601="",0,$K601-$L601-$M601-$N601)</f>
        <v>0</v>
      </c>
      <c r="T601" s="22"/>
      <c r="U601" s="20" t="n">
        <f aca="false">IF($T601="",0,MAX(0,$S601-$T601))</f>
        <v>0</v>
      </c>
      <c r="V601" s="21" t="n">
        <f aca="false">IF($S601=0,0,$U601/$S601)</f>
        <v>0</v>
      </c>
      <c r="W601" s="23" t="str">
        <f aca="false">IF($D601="","",IF($T601="","BEKLİYOR",IF(OR($U601=0,$S601=0),"DOĞRU",IF(AND($V601&gt;PazaryeriEksikHakedisEsik,$U601&gt;PazaryeriEksikHakedisTutarEsik),"EKSİK HAKEDİŞ","DOĞRU"))))</f>
        <v/>
      </c>
      <c r="X601" s="23" t="str">
        <f aca="false">IF($B601="","",CONCATENATE("Ürün: ",$B601," | Kâr: ",TEXT($Q601,"₺ #,##0")," | Durum: ",$W601))</f>
        <v/>
      </c>
      <c r="Y601" s="24"/>
    </row>
    <row r="602" customFormat="false" ht="15" hidden="false" customHeight="false" outlineLevel="0" collapsed="false">
      <c r="A602" s="24"/>
      <c r="B602" s="24"/>
      <c r="C602" s="22"/>
      <c r="D602" s="25"/>
      <c r="E602" s="22"/>
      <c r="F602" s="26"/>
      <c r="G602" s="26"/>
      <c r="H602" s="26"/>
      <c r="I602" s="26"/>
      <c r="J602" s="22"/>
      <c r="K602" s="20" t="n">
        <f aca="false">IF($D602="",0,$C602*$D602)</f>
        <v>0</v>
      </c>
      <c r="L602" s="20" t="n">
        <f aca="false">IF($D602="",0,$F602*$K602)</f>
        <v>0</v>
      </c>
      <c r="M602" s="20" t="n">
        <f aca="false">IF($D602="",0,$G602*$K602)</f>
        <v>0</v>
      </c>
      <c r="N602" s="20" t="n">
        <f aca="false">IF($D602="",0,$H602*$K602)</f>
        <v>0</v>
      </c>
      <c r="O602" s="20" t="n">
        <f aca="false">IF($D602="",0,$I602*$K602*(1-$F602))</f>
        <v>0</v>
      </c>
      <c r="P602" s="20" t="n">
        <f aca="false">IF($D602="",0,$E602*$D602+$L602+$M602+$N602+$O602+$J602*$D602)</f>
        <v>0</v>
      </c>
      <c r="Q602" s="20" t="n">
        <f aca="false">IF($D602="",0,$K602-$P602)</f>
        <v>0</v>
      </c>
      <c r="R602" s="21" t="n">
        <f aca="false">IF($K602=0,0,$Q602/$K602)</f>
        <v>0</v>
      </c>
      <c r="S602" s="20" t="n">
        <f aca="false">IF($D602="",0,$K602-$L602-$M602-$N602)</f>
        <v>0</v>
      </c>
      <c r="T602" s="22"/>
      <c r="U602" s="20" t="n">
        <f aca="false">IF($T602="",0,MAX(0,$S602-$T602))</f>
        <v>0</v>
      </c>
      <c r="V602" s="21" t="n">
        <f aca="false">IF($S602=0,0,$U602/$S602)</f>
        <v>0</v>
      </c>
      <c r="W602" s="23" t="str">
        <f aca="false">IF($D602="","",IF($T602="","BEKLİYOR",IF(OR($U602=0,$S602=0),"DOĞRU",IF(AND($V602&gt;PazaryeriEksikHakedisEsik,$U602&gt;PazaryeriEksikHakedisTutarEsik),"EKSİK HAKEDİŞ","DOĞRU"))))</f>
        <v/>
      </c>
      <c r="X602" s="23" t="str">
        <f aca="false">IF($B602="","",CONCATENATE("Ürün: ",$B602," | Kâr: ",TEXT($Q602,"₺ #,##0")," | Durum: ",$W602))</f>
        <v/>
      </c>
      <c r="Y602" s="24"/>
    </row>
    <row r="603" customFormat="false" ht="15" hidden="false" customHeight="false" outlineLevel="0" collapsed="false">
      <c r="A603" s="24"/>
      <c r="B603" s="24"/>
      <c r="C603" s="22"/>
      <c r="D603" s="25"/>
      <c r="E603" s="22"/>
      <c r="F603" s="26"/>
      <c r="G603" s="26"/>
      <c r="H603" s="26"/>
      <c r="I603" s="26"/>
      <c r="J603" s="22"/>
      <c r="K603" s="20" t="n">
        <f aca="false">IF($D603="",0,$C603*$D603)</f>
        <v>0</v>
      </c>
      <c r="L603" s="20" t="n">
        <f aca="false">IF($D603="",0,$F603*$K603)</f>
        <v>0</v>
      </c>
      <c r="M603" s="20" t="n">
        <f aca="false">IF($D603="",0,$G603*$K603)</f>
        <v>0</v>
      </c>
      <c r="N603" s="20" t="n">
        <f aca="false">IF($D603="",0,$H603*$K603)</f>
        <v>0</v>
      </c>
      <c r="O603" s="20" t="n">
        <f aca="false">IF($D603="",0,$I603*$K603*(1-$F603))</f>
        <v>0</v>
      </c>
      <c r="P603" s="20" t="n">
        <f aca="false">IF($D603="",0,$E603*$D603+$L603+$M603+$N603+$O603+$J603*$D603)</f>
        <v>0</v>
      </c>
      <c r="Q603" s="20" t="n">
        <f aca="false">IF($D603="",0,$K603-$P603)</f>
        <v>0</v>
      </c>
      <c r="R603" s="21" t="n">
        <f aca="false">IF($K603=0,0,$Q603/$K603)</f>
        <v>0</v>
      </c>
      <c r="S603" s="20" t="n">
        <f aca="false">IF($D603="",0,$K603-$L603-$M603-$N603)</f>
        <v>0</v>
      </c>
      <c r="T603" s="22"/>
      <c r="U603" s="20" t="n">
        <f aca="false">IF($T603="",0,MAX(0,$S603-$T603))</f>
        <v>0</v>
      </c>
      <c r="V603" s="21" t="n">
        <f aca="false">IF($S603=0,0,$U603/$S603)</f>
        <v>0</v>
      </c>
      <c r="W603" s="23" t="str">
        <f aca="false">IF($D603="","",IF($T603="","BEKLİYOR",IF(OR($U603=0,$S603=0),"DOĞRU",IF(AND($V603&gt;PazaryeriEksikHakedisEsik,$U603&gt;PazaryeriEksikHakedisTutarEsik),"EKSİK HAKEDİŞ","DOĞRU"))))</f>
        <v/>
      </c>
      <c r="X603" s="23" t="str">
        <f aca="false">IF($B603="","",CONCATENATE("Ürün: ",$B603," | Kâr: ",TEXT($Q603,"₺ #,##0")," | Durum: ",$W603))</f>
        <v/>
      </c>
      <c r="Y603" s="24"/>
    </row>
    <row r="604" customFormat="false" ht="15" hidden="false" customHeight="false" outlineLevel="0" collapsed="false">
      <c r="A604" s="24"/>
      <c r="B604" s="24"/>
      <c r="C604" s="22"/>
      <c r="D604" s="25"/>
      <c r="E604" s="22"/>
      <c r="F604" s="26"/>
      <c r="G604" s="26"/>
      <c r="H604" s="26"/>
      <c r="I604" s="26"/>
      <c r="J604" s="22"/>
      <c r="K604" s="20" t="n">
        <f aca="false">IF($D604="",0,$C604*$D604)</f>
        <v>0</v>
      </c>
      <c r="L604" s="20" t="n">
        <f aca="false">IF($D604="",0,$F604*$K604)</f>
        <v>0</v>
      </c>
      <c r="M604" s="20" t="n">
        <f aca="false">IF($D604="",0,$G604*$K604)</f>
        <v>0</v>
      </c>
      <c r="N604" s="20" t="n">
        <f aca="false">IF($D604="",0,$H604*$K604)</f>
        <v>0</v>
      </c>
      <c r="O604" s="20" t="n">
        <f aca="false">IF($D604="",0,$I604*$K604*(1-$F604))</f>
        <v>0</v>
      </c>
      <c r="P604" s="20" t="n">
        <f aca="false">IF($D604="",0,$E604*$D604+$L604+$M604+$N604+$O604+$J604*$D604)</f>
        <v>0</v>
      </c>
      <c r="Q604" s="20" t="n">
        <f aca="false">IF($D604="",0,$K604-$P604)</f>
        <v>0</v>
      </c>
      <c r="R604" s="21" t="n">
        <f aca="false">IF($K604=0,0,$Q604/$K604)</f>
        <v>0</v>
      </c>
      <c r="S604" s="20" t="n">
        <f aca="false">IF($D604="",0,$K604-$L604-$M604-$N604)</f>
        <v>0</v>
      </c>
      <c r="T604" s="22"/>
      <c r="U604" s="20" t="n">
        <f aca="false">IF($T604="",0,MAX(0,$S604-$T604))</f>
        <v>0</v>
      </c>
      <c r="V604" s="21" t="n">
        <f aca="false">IF($S604=0,0,$U604/$S604)</f>
        <v>0</v>
      </c>
      <c r="W604" s="23" t="str">
        <f aca="false">IF($D604="","",IF($T604="","BEKLİYOR",IF(OR($U604=0,$S604=0),"DOĞRU",IF(AND($V604&gt;PazaryeriEksikHakedisEsik,$U604&gt;PazaryeriEksikHakedisTutarEsik),"EKSİK HAKEDİŞ","DOĞRU"))))</f>
        <v/>
      </c>
      <c r="X604" s="23" t="str">
        <f aca="false">IF($B604="","",CONCATENATE("Ürün: ",$B604," | Kâr: ",TEXT($Q604,"₺ #,##0")," | Durum: ",$W604))</f>
        <v/>
      </c>
      <c r="Y604" s="24"/>
    </row>
    <row r="605" customFormat="false" ht="15" hidden="false" customHeight="false" outlineLevel="0" collapsed="false">
      <c r="A605" s="24"/>
      <c r="B605" s="24"/>
      <c r="C605" s="22"/>
      <c r="D605" s="25"/>
      <c r="E605" s="22"/>
      <c r="F605" s="26"/>
      <c r="G605" s="26"/>
      <c r="H605" s="26"/>
      <c r="I605" s="26"/>
      <c r="J605" s="22"/>
      <c r="K605" s="20" t="n">
        <f aca="false">IF($D605="",0,$C605*$D605)</f>
        <v>0</v>
      </c>
      <c r="L605" s="20" t="n">
        <f aca="false">IF($D605="",0,$F605*$K605)</f>
        <v>0</v>
      </c>
      <c r="M605" s="20" t="n">
        <f aca="false">IF($D605="",0,$G605*$K605)</f>
        <v>0</v>
      </c>
      <c r="N605" s="20" t="n">
        <f aca="false">IF($D605="",0,$H605*$K605)</f>
        <v>0</v>
      </c>
      <c r="O605" s="20" t="n">
        <f aca="false">IF($D605="",0,$I605*$K605*(1-$F605))</f>
        <v>0</v>
      </c>
      <c r="P605" s="20" t="n">
        <f aca="false">IF($D605="",0,$E605*$D605+$L605+$M605+$N605+$O605+$J605*$D605)</f>
        <v>0</v>
      </c>
      <c r="Q605" s="20" t="n">
        <f aca="false">IF($D605="",0,$K605-$P605)</f>
        <v>0</v>
      </c>
      <c r="R605" s="21" t="n">
        <f aca="false">IF($K605=0,0,$Q605/$K605)</f>
        <v>0</v>
      </c>
      <c r="S605" s="20" t="n">
        <f aca="false">IF($D605="",0,$K605-$L605-$M605-$N605)</f>
        <v>0</v>
      </c>
      <c r="T605" s="22"/>
      <c r="U605" s="20" t="n">
        <f aca="false">IF($T605="",0,MAX(0,$S605-$T605))</f>
        <v>0</v>
      </c>
      <c r="V605" s="21" t="n">
        <f aca="false">IF($S605=0,0,$U605/$S605)</f>
        <v>0</v>
      </c>
      <c r="W605" s="23" t="str">
        <f aca="false">IF($D605="","",IF($T605="","BEKLİYOR",IF(OR($U605=0,$S605=0),"DOĞRU",IF(AND($V605&gt;PazaryeriEksikHakedisEsik,$U605&gt;PazaryeriEksikHakedisTutarEsik),"EKSİK HAKEDİŞ","DOĞRU"))))</f>
        <v/>
      </c>
      <c r="X605" s="23" t="str">
        <f aca="false">IF($B605="","",CONCATENATE("Ürün: ",$B605," | Kâr: ",TEXT($Q605,"₺ #,##0")," | Durum: ",$W605))</f>
        <v/>
      </c>
      <c r="Y605" s="24"/>
    </row>
    <row r="606" customFormat="false" ht="15" hidden="false" customHeight="false" outlineLevel="0" collapsed="false">
      <c r="A606" s="24"/>
      <c r="B606" s="24"/>
      <c r="C606" s="22"/>
      <c r="D606" s="25"/>
      <c r="E606" s="22"/>
      <c r="F606" s="26"/>
      <c r="G606" s="26"/>
      <c r="H606" s="26"/>
      <c r="I606" s="26"/>
      <c r="J606" s="22"/>
      <c r="K606" s="20" t="n">
        <f aca="false">IF($D606="",0,$C606*$D606)</f>
        <v>0</v>
      </c>
      <c r="L606" s="20" t="n">
        <f aca="false">IF($D606="",0,$F606*$K606)</f>
        <v>0</v>
      </c>
      <c r="M606" s="20" t="n">
        <f aca="false">IF($D606="",0,$G606*$K606)</f>
        <v>0</v>
      </c>
      <c r="N606" s="20" t="n">
        <f aca="false">IF($D606="",0,$H606*$K606)</f>
        <v>0</v>
      </c>
      <c r="O606" s="20" t="n">
        <f aca="false">IF($D606="",0,$I606*$K606*(1-$F606))</f>
        <v>0</v>
      </c>
      <c r="P606" s="20" t="n">
        <f aca="false">IF($D606="",0,$E606*$D606+$L606+$M606+$N606+$O606+$J606*$D606)</f>
        <v>0</v>
      </c>
      <c r="Q606" s="20" t="n">
        <f aca="false">IF($D606="",0,$K606-$P606)</f>
        <v>0</v>
      </c>
      <c r="R606" s="21" t="n">
        <f aca="false">IF($K606=0,0,$Q606/$K606)</f>
        <v>0</v>
      </c>
      <c r="S606" s="20" t="n">
        <f aca="false">IF($D606="",0,$K606-$L606-$M606-$N606)</f>
        <v>0</v>
      </c>
      <c r="T606" s="22"/>
      <c r="U606" s="20" t="n">
        <f aca="false">IF($T606="",0,MAX(0,$S606-$T606))</f>
        <v>0</v>
      </c>
      <c r="V606" s="21" t="n">
        <f aca="false">IF($S606=0,0,$U606/$S606)</f>
        <v>0</v>
      </c>
      <c r="W606" s="23" t="str">
        <f aca="false">IF($D606="","",IF($T606="","BEKLİYOR",IF(OR($U606=0,$S606=0),"DOĞRU",IF(AND($V606&gt;PazaryeriEksikHakedisEsik,$U606&gt;PazaryeriEksikHakedisTutarEsik),"EKSİK HAKEDİŞ","DOĞRU"))))</f>
        <v/>
      </c>
      <c r="X606" s="23" t="str">
        <f aca="false">IF($B606="","",CONCATENATE("Ürün: ",$B606," | Kâr: ",TEXT($Q606,"₺ #,##0")," | Durum: ",$W606))</f>
        <v/>
      </c>
      <c r="Y606" s="24"/>
    </row>
    <row r="607" customFormat="false" ht="15" hidden="false" customHeight="false" outlineLevel="0" collapsed="false">
      <c r="A607" s="24"/>
      <c r="B607" s="24"/>
      <c r="C607" s="22"/>
      <c r="D607" s="25"/>
      <c r="E607" s="22"/>
      <c r="F607" s="26"/>
      <c r="G607" s="26"/>
      <c r="H607" s="26"/>
      <c r="I607" s="26"/>
      <c r="J607" s="22"/>
      <c r="K607" s="20" t="n">
        <f aca="false">IF($D607="",0,$C607*$D607)</f>
        <v>0</v>
      </c>
      <c r="L607" s="20" t="n">
        <f aca="false">IF($D607="",0,$F607*$K607)</f>
        <v>0</v>
      </c>
      <c r="M607" s="20" t="n">
        <f aca="false">IF($D607="",0,$G607*$K607)</f>
        <v>0</v>
      </c>
      <c r="N607" s="20" t="n">
        <f aca="false">IF($D607="",0,$H607*$K607)</f>
        <v>0</v>
      </c>
      <c r="O607" s="20" t="n">
        <f aca="false">IF($D607="",0,$I607*$K607*(1-$F607))</f>
        <v>0</v>
      </c>
      <c r="P607" s="20" t="n">
        <f aca="false">IF($D607="",0,$E607*$D607+$L607+$M607+$N607+$O607+$J607*$D607)</f>
        <v>0</v>
      </c>
      <c r="Q607" s="20" t="n">
        <f aca="false">IF($D607="",0,$K607-$P607)</f>
        <v>0</v>
      </c>
      <c r="R607" s="21" t="n">
        <f aca="false">IF($K607=0,0,$Q607/$K607)</f>
        <v>0</v>
      </c>
      <c r="S607" s="20" t="n">
        <f aca="false">IF($D607="",0,$K607-$L607-$M607-$N607)</f>
        <v>0</v>
      </c>
      <c r="T607" s="22"/>
      <c r="U607" s="20" t="n">
        <f aca="false">IF($T607="",0,MAX(0,$S607-$T607))</f>
        <v>0</v>
      </c>
      <c r="V607" s="21" t="n">
        <f aca="false">IF($S607=0,0,$U607/$S607)</f>
        <v>0</v>
      </c>
      <c r="W607" s="23" t="str">
        <f aca="false">IF($D607="","",IF($T607="","BEKLİYOR",IF(OR($U607=0,$S607=0),"DOĞRU",IF(AND($V607&gt;PazaryeriEksikHakedisEsik,$U607&gt;PazaryeriEksikHakedisTutarEsik),"EKSİK HAKEDİŞ","DOĞRU"))))</f>
        <v/>
      </c>
      <c r="X607" s="23" t="str">
        <f aca="false">IF($B607="","",CONCATENATE("Ürün: ",$B607," | Kâr: ",TEXT($Q607,"₺ #,##0")," | Durum: ",$W607))</f>
        <v/>
      </c>
      <c r="Y607" s="24"/>
    </row>
    <row r="608" customFormat="false" ht="15" hidden="false" customHeight="false" outlineLevel="0" collapsed="false">
      <c r="A608" s="24"/>
      <c r="B608" s="24"/>
      <c r="C608" s="22"/>
      <c r="D608" s="25"/>
      <c r="E608" s="22"/>
      <c r="F608" s="26"/>
      <c r="G608" s="26"/>
      <c r="H608" s="26"/>
      <c r="I608" s="26"/>
      <c r="J608" s="22"/>
      <c r="K608" s="20" t="n">
        <f aca="false">IF($D608="",0,$C608*$D608)</f>
        <v>0</v>
      </c>
      <c r="L608" s="20" t="n">
        <f aca="false">IF($D608="",0,$F608*$K608)</f>
        <v>0</v>
      </c>
      <c r="M608" s="20" t="n">
        <f aca="false">IF($D608="",0,$G608*$K608)</f>
        <v>0</v>
      </c>
      <c r="N608" s="20" t="n">
        <f aca="false">IF($D608="",0,$H608*$K608)</f>
        <v>0</v>
      </c>
      <c r="O608" s="20" t="n">
        <f aca="false">IF($D608="",0,$I608*$K608*(1-$F608))</f>
        <v>0</v>
      </c>
      <c r="P608" s="20" t="n">
        <f aca="false">IF($D608="",0,$E608*$D608+$L608+$M608+$N608+$O608+$J608*$D608)</f>
        <v>0</v>
      </c>
      <c r="Q608" s="20" t="n">
        <f aca="false">IF($D608="",0,$K608-$P608)</f>
        <v>0</v>
      </c>
      <c r="R608" s="21" t="n">
        <f aca="false">IF($K608=0,0,$Q608/$K608)</f>
        <v>0</v>
      </c>
      <c r="S608" s="20" t="n">
        <f aca="false">IF($D608="",0,$K608-$L608-$M608-$N608)</f>
        <v>0</v>
      </c>
      <c r="T608" s="22"/>
      <c r="U608" s="20" t="n">
        <f aca="false">IF($T608="",0,MAX(0,$S608-$T608))</f>
        <v>0</v>
      </c>
      <c r="V608" s="21" t="n">
        <f aca="false">IF($S608=0,0,$U608/$S608)</f>
        <v>0</v>
      </c>
      <c r="W608" s="23" t="str">
        <f aca="false">IF($D608="","",IF($T608="","BEKLİYOR",IF(OR($U608=0,$S608=0),"DOĞRU",IF(AND($V608&gt;PazaryeriEksikHakedisEsik,$U608&gt;PazaryeriEksikHakedisTutarEsik),"EKSİK HAKEDİŞ","DOĞRU"))))</f>
        <v/>
      </c>
      <c r="X608" s="23" t="str">
        <f aca="false">IF($B608="","",CONCATENATE("Ürün: ",$B608," | Kâr: ",TEXT($Q608,"₺ #,##0")," | Durum: ",$W608))</f>
        <v/>
      </c>
      <c r="Y608" s="24"/>
    </row>
    <row r="609" customFormat="false" ht="15" hidden="false" customHeight="false" outlineLevel="0" collapsed="false">
      <c r="A609" s="24"/>
      <c r="B609" s="24"/>
      <c r="C609" s="22"/>
      <c r="D609" s="25"/>
      <c r="E609" s="22"/>
      <c r="F609" s="26"/>
      <c r="G609" s="26"/>
      <c r="H609" s="26"/>
      <c r="I609" s="26"/>
      <c r="J609" s="22"/>
      <c r="K609" s="20" t="n">
        <f aca="false">IF($D609="",0,$C609*$D609)</f>
        <v>0</v>
      </c>
      <c r="L609" s="20" t="n">
        <f aca="false">IF($D609="",0,$F609*$K609)</f>
        <v>0</v>
      </c>
      <c r="M609" s="20" t="n">
        <f aca="false">IF($D609="",0,$G609*$K609)</f>
        <v>0</v>
      </c>
      <c r="N609" s="20" t="n">
        <f aca="false">IF($D609="",0,$H609*$K609)</f>
        <v>0</v>
      </c>
      <c r="O609" s="20" t="n">
        <f aca="false">IF($D609="",0,$I609*$K609*(1-$F609))</f>
        <v>0</v>
      </c>
      <c r="P609" s="20" t="n">
        <f aca="false">IF($D609="",0,$E609*$D609+$L609+$M609+$N609+$O609+$J609*$D609)</f>
        <v>0</v>
      </c>
      <c r="Q609" s="20" t="n">
        <f aca="false">IF($D609="",0,$K609-$P609)</f>
        <v>0</v>
      </c>
      <c r="R609" s="21" t="n">
        <f aca="false">IF($K609=0,0,$Q609/$K609)</f>
        <v>0</v>
      </c>
      <c r="S609" s="20" t="n">
        <f aca="false">IF($D609="",0,$K609-$L609-$M609-$N609)</f>
        <v>0</v>
      </c>
      <c r="T609" s="22"/>
      <c r="U609" s="20" t="n">
        <f aca="false">IF($T609="",0,MAX(0,$S609-$T609))</f>
        <v>0</v>
      </c>
      <c r="V609" s="21" t="n">
        <f aca="false">IF($S609=0,0,$U609/$S609)</f>
        <v>0</v>
      </c>
      <c r="W609" s="23" t="str">
        <f aca="false">IF($D609="","",IF($T609="","BEKLİYOR",IF(OR($U609=0,$S609=0),"DOĞRU",IF(AND($V609&gt;PazaryeriEksikHakedisEsik,$U609&gt;PazaryeriEksikHakedisTutarEsik),"EKSİK HAKEDİŞ","DOĞRU"))))</f>
        <v/>
      </c>
      <c r="X609" s="23" t="str">
        <f aca="false">IF($B609="","",CONCATENATE("Ürün: ",$B609," | Kâr: ",TEXT($Q609,"₺ #,##0")," | Durum: ",$W609))</f>
        <v/>
      </c>
      <c r="Y609" s="24"/>
    </row>
    <row r="610" customFormat="false" ht="15" hidden="false" customHeight="false" outlineLevel="0" collapsed="false">
      <c r="A610" s="24"/>
      <c r="B610" s="24"/>
      <c r="C610" s="22"/>
      <c r="D610" s="25"/>
      <c r="E610" s="22"/>
      <c r="F610" s="26"/>
      <c r="G610" s="26"/>
      <c r="H610" s="26"/>
      <c r="I610" s="26"/>
      <c r="J610" s="22"/>
      <c r="K610" s="20" t="n">
        <f aca="false">IF($D610="",0,$C610*$D610)</f>
        <v>0</v>
      </c>
      <c r="L610" s="20" t="n">
        <f aca="false">IF($D610="",0,$F610*$K610)</f>
        <v>0</v>
      </c>
      <c r="M610" s="20" t="n">
        <f aca="false">IF($D610="",0,$G610*$K610)</f>
        <v>0</v>
      </c>
      <c r="N610" s="20" t="n">
        <f aca="false">IF($D610="",0,$H610*$K610)</f>
        <v>0</v>
      </c>
      <c r="O610" s="20" t="n">
        <f aca="false">IF($D610="",0,$I610*$K610*(1-$F610))</f>
        <v>0</v>
      </c>
      <c r="P610" s="20" t="n">
        <f aca="false">IF($D610="",0,$E610*$D610+$L610+$M610+$N610+$O610+$J610*$D610)</f>
        <v>0</v>
      </c>
      <c r="Q610" s="20" t="n">
        <f aca="false">IF($D610="",0,$K610-$P610)</f>
        <v>0</v>
      </c>
      <c r="R610" s="21" t="n">
        <f aca="false">IF($K610=0,0,$Q610/$K610)</f>
        <v>0</v>
      </c>
      <c r="S610" s="20" t="n">
        <f aca="false">IF($D610="",0,$K610-$L610-$M610-$N610)</f>
        <v>0</v>
      </c>
      <c r="T610" s="22"/>
      <c r="U610" s="20" t="n">
        <f aca="false">IF($T610="",0,MAX(0,$S610-$T610))</f>
        <v>0</v>
      </c>
      <c r="V610" s="21" t="n">
        <f aca="false">IF($S610=0,0,$U610/$S610)</f>
        <v>0</v>
      </c>
      <c r="W610" s="23" t="str">
        <f aca="false">IF($D610="","",IF($T610="","BEKLİYOR",IF(OR($U610=0,$S610=0),"DOĞRU",IF(AND($V610&gt;PazaryeriEksikHakedisEsik,$U610&gt;PazaryeriEksikHakedisTutarEsik),"EKSİK HAKEDİŞ","DOĞRU"))))</f>
        <v/>
      </c>
      <c r="X610" s="23" t="str">
        <f aca="false">IF($B610="","",CONCATENATE("Ürün: ",$B610," | Kâr: ",TEXT($Q610,"₺ #,##0")," | Durum: ",$W610))</f>
        <v/>
      </c>
      <c r="Y610" s="24"/>
    </row>
    <row r="611" customFormat="false" ht="15" hidden="false" customHeight="false" outlineLevel="0" collapsed="false">
      <c r="A611" s="24"/>
      <c r="B611" s="24"/>
      <c r="C611" s="22"/>
      <c r="D611" s="25"/>
      <c r="E611" s="22"/>
      <c r="F611" s="26"/>
      <c r="G611" s="26"/>
      <c r="H611" s="26"/>
      <c r="I611" s="26"/>
      <c r="J611" s="22"/>
      <c r="K611" s="20" t="n">
        <f aca="false">IF($D611="",0,$C611*$D611)</f>
        <v>0</v>
      </c>
      <c r="L611" s="20" t="n">
        <f aca="false">IF($D611="",0,$F611*$K611)</f>
        <v>0</v>
      </c>
      <c r="M611" s="20" t="n">
        <f aca="false">IF($D611="",0,$G611*$K611)</f>
        <v>0</v>
      </c>
      <c r="N611" s="20" t="n">
        <f aca="false">IF($D611="",0,$H611*$K611)</f>
        <v>0</v>
      </c>
      <c r="O611" s="20" t="n">
        <f aca="false">IF($D611="",0,$I611*$K611*(1-$F611))</f>
        <v>0</v>
      </c>
      <c r="P611" s="20" t="n">
        <f aca="false">IF($D611="",0,$E611*$D611+$L611+$M611+$N611+$O611+$J611*$D611)</f>
        <v>0</v>
      </c>
      <c r="Q611" s="20" t="n">
        <f aca="false">IF($D611="",0,$K611-$P611)</f>
        <v>0</v>
      </c>
      <c r="R611" s="21" t="n">
        <f aca="false">IF($K611=0,0,$Q611/$K611)</f>
        <v>0</v>
      </c>
      <c r="S611" s="20" t="n">
        <f aca="false">IF($D611="",0,$K611-$L611-$M611-$N611)</f>
        <v>0</v>
      </c>
      <c r="T611" s="22"/>
      <c r="U611" s="20" t="n">
        <f aca="false">IF($T611="",0,MAX(0,$S611-$T611))</f>
        <v>0</v>
      </c>
      <c r="V611" s="21" t="n">
        <f aca="false">IF($S611=0,0,$U611/$S611)</f>
        <v>0</v>
      </c>
      <c r="W611" s="23" t="str">
        <f aca="false">IF($D611="","",IF($T611="","BEKLİYOR",IF(OR($U611=0,$S611=0),"DOĞRU",IF(AND($V611&gt;PazaryeriEksikHakedisEsik,$U611&gt;PazaryeriEksikHakedisTutarEsik),"EKSİK HAKEDİŞ","DOĞRU"))))</f>
        <v/>
      </c>
      <c r="X611" s="23" t="str">
        <f aca="false">IF($B611="","",CONCATENATE("Ürün: ",$B611," | Kâr: ",TEXT($Q611,"₺ #,##0")," | Durum: ",$W611))</f>
        <v/>
      </c>
      <c r="Y611" s="24"/>
    </row>
    <row r="612" customFormat="false" ht="15" hidden="false" customHeight="false" outlineLevel="0" collapsed="false">
      <c r="A612" s="24"/>
      <c r="B612" s="24"/>
      <c r="C612" s="22"/>
      <c r="D612" s="25"/>
      <c r="E612" s="22"/>
      <c r="F612" s="26"/>
      <c r="G612" s="26"/>
      <c r="H612" s="26"/>
      <c r="I612" s="26"/>
      <c r="J612" s="22"/>
      <c r="K612" s="20" t="n">
        <f aca="false">IF($D612="",0,$C612*$D612)</f>
        <v>0</v>
      </c>
      <c r="L612" s="20" t="n">
        <f aca="false">IF($D612="",0,$F612*$K612)</f>
        <v>0</v>
      </c>
      <c r="M612" s="20" t="n">
        <f aca="false">IF($D612="",0,$G612*$K612)</f>
        <v>0</v>
      </c>
      <c r="N612" s="20" t="n">
        <f aca="false">IF($D612="",0,$H612*$K612)</f>
        <v>0</v>
      </c>
      <c r="O612" s="20" t="n">
        <f aca="false">IF($D612="",0,$I612*$K612*(1-$F612))</f>
        <v>0</v>
      </c>
      <c r="P612" s="20" t="n">
        <f aca="false">IF($D612="",0,$E612*$D612+$L612+$M612+$N612+$O612+$J612*$D612)</f>
        <v>0</v>
      </c>
      <c r="Q612" s="20" t="n">
        <f aca="false">IF($D612="",0,$K612-$P612)</f>
        <v>0</v>
      </c>
      <c r="R612" s="21" t="n">
        <f aca="false">IF($K612=0,0,$Q612/$K612)</f>
        <v>0</v>
      </c>
      <c r="S612" s="20" t="n">
        <f aca="false">IF($D612="",0,$K612-$L612-$M612-$N612)</f>
        <v>0</v>
      </c>
      <c r="T612" s="22"/>
      <c r="U612" s="20" t="n">
        <f aca="false">IF($T612="",0,MAX(0,$S612-$T612))</f>
        <v>0</v>
      </c>
      <c r="V612" s="21" t="n">
        <f aca="false">IF($S612=0,0,$U612/$S612)</f>
        <v>0</v>
      </c>
      <c r="W612" s="23" t="str">
        <f aca="false">IF($D612="","",IF($T612="","BEKLİYOR",IF(OR($U612=0,$S612=0),"DOĞRU",IF(AND($V612&gt;PazaryeriEksikHakedisEsik,$U612&gt;PazaryeriEksikHakedisTutarEsik),"EKSİK HAKEDİŞ","DOĞRU"))))</f>
        <v/>
      </c>
      <c r="X612" s="23" t="str">
        <f aca="false">IF($B612="","",CONCATENATE("Ürün: ",$B612," | Kâr: ",TEXT($Q612,"₺ #,##0")," | Durum: ",$W612))</f>
        <v/>
      </c>
      <c r="Y612" s="24"/>
    </row>
    <row r="613" customFormat="false" ht="15" hidden="false" customHeight="false" outlineLevel="0" collapsed="false">
      <c r="A613" s="24"/>
      <c r="B613" s="24"/>
      <c r="C613" s="22"/>
      <c r="D613" s="25"/>
      <c r="E613" s="22"/>
      <c r="F613" s="26"/>
      <c r="G613" s="26"/>
      <c r="H613" s="26"/>
      <c r="I613" s="26"/>
      <c r="J613" s="22"/>
      <c r="K613" s="20" t="n">
        <f aca="false">IF($D613="",0,$C613*$D613)</f>
        <v>0</v>
      </c>
      <c r="L613" s="20" t="n">
        <f aca="false">IF($D613="",0,$F613*$K613)</f>
        <v>0</v>
      </c>
      <c r="M613" s="20" t="n">
        <f aca="false">IF($D613="",0,$G613*$K613)</f>
        <v>0</v>
      </c>
      <c r="N613" s="20" t="n">
        <f aca="false">IF($D613="",0,$H613*$K613)</f>
        <v>0</v>
      </c>
      <c r="O613" s="20" t="n">
        <f aca="false">IF($D613="",0,$I613*$K613*(1-$F613))</f>
        <v>0</v>
      </c>
      <c r="P613" s="20" t="n">
        <f aca="false">IF($D613="",0,$E613*$D613+$L613+$M613+$N613+$O613+$J613*$D613)</f>
        <v>0</v>
      </c>
      <c r="Q613" s="20" t="n">
        <f aca="false">IF($D613="",0,$K613-$P613)</f>
        <v>0</v>
      </c>
      <c r="R613" s="21" t="n">
        <f aca="false">IF($K613=0,0,$Q613/$K613)</f>
        <v>0</v>
      </c>
      <c r="S613" s="20" t="n">
        <f aca="false">IF($D613="",0,$K613-$L613-$M613-$N613)</f>
        <v>0</v>
      </c>
      <c r="T613" s="22"/>
      <c r="U613" s="20" t="n">
        <f aca="false">IF($T613="",0,MAX(0,$S613-$T613))</f>
        <v>0</v>
      </c>
      <c r="V613" s="21" t="n">
        <f aca="false">IF($S613=0,0,$U613/$S613)</f>
        <v>0</v>
      </c>
      <c r="W613" s="23" t="str">
        <f aca="false">IF($D613="","",IF($T613="","BEKLİYOR",IF(OR($U613=0,$S613=0),"DOĞRU",IF(AND($V613&gt;PazaryeriEksikHakedisEsik,$U613&gt;PazaryeriEksikHakedisTutarEsik),"EKSİK HAKEDİŞ","DOĞRU"))))</f>
        <v/>
      </c>
      <c r="X613" s="23" t="str">
        <f aca="false">IF($B613="","",CONCATENATE("Ürün: ",$B613," | Kâr: ",TEXT($Q613,"₺ #,##0")," | Durum: ",$W613))</f>
        <v/>
      </c>
      <c r="Y613" s="24"/>
    </row>
    <row r="614" customFormat="false" ht="15" hidden="false" customHeight="false" outlineLevel="0" collapsed="false">
      <c r="A614" s="24"/>
      <c r="B614" s="24"/>
      <c r="C614" s="22"/>
      <c r="D614" s="25"/>
      <c r="E614" s="22"/>
      <c r="F614" s="26"/>
      <c r="G614" s="26"/>
      <c r="H614" s="26"/>
      <c r="I614" s="26"/>
      <c r="J614" s="22"/>
      <c r="K614" s="20" t="n">
        <f aca="false">IF($D614="",0,$C614*$D614)</f>
        <v>0</v>
      </c>
      <c r="L614" s="20" t="n">
        <f aca="false">IF($D614="",0,$F614*$K614)</f>
        <v>0</v>
      </c>
      <c r="M614" s="20" t="n">
        <f aca="false">IF($D614="",0,$G614*$K614)</f>
        <v>0</v>
      </c>
      <c r="N614" s="20" t="n">
        <f aca="false">IF($D614="",0,$H614*$K614)</f>
        <v>0</v>
      </c>
      <c r="O614" s="20" t="n">
        <f aca="false">IF($D614="",0,$I614*$K614*(1-$F614))</f>
        <v>0</v>
      </c>
      <c r="P614" s="20" t="n">
        <f aca="false">IF($D614="",0,$E614*$D614+$L614+$M614+$N614+$O614+$J614*$D614)</f>
        <v>0</v>
      </c>
      <c r="Q614" s="20" t="n">
        <f aca="false">IF($D614="",0,$K614-$P614)</f>
        <v>0</v>
      </c>
      <c r="R614" s="21" t="n">
        <f aca="false">IF($K614=0,0,$Q614/$K614)</f>
        <v>0</v>
      </c>
      <c r="S614" s="20" t="n">
        <f aca="false">IF($D614="",0,$K614-$L614-$M614-$N614)</f>
        <v>0</v>
      </c>
      <c r="T614" s="22"/>
      <c r="U614" s="20" t="n">
        <f aca="false">IF($T614="",0,MAX(0,$S614-$T614))</f>
        <v>0</v>
      </c>
      <c r="V614" s="21" t="n">
        <f aca="false">IF($S614=0,0,$U614/$S614)</f>
        <v>0</v>
      </c>
      <c r="W614" s="23" t="str">
        <f aca="false">IF($D614="","",IF($T614="","BEKLİYOR",IF(OR($U614=0,$S614=0),"DOĞRU",IF(AND($V614&gt;PazaryeriEksikHakedisEsik,$U614&gt;PazaryeriEksikHakedisTutarEsik),"EKSİK HAKEDİŞ","DOĞRU"))))</f>
        <v/>
      </c>
      <c r="X614" s="23" t="str">
        <f aca="false">IF($B614="","",CONCATENATE("Ürün: ",$B614," | Kâr: ",TEXT($Q614,"₺ #,##0")," | Durum: ",$W614))</f>
        <v/>
      </c>
      <c r="Y614" s="24"/>
    </row>
    <row r="615" customFormat="false" ht="15" hidden="false" customHeight="false" outlineLevel="0" collapsed="false">
      <c r="A615" s="24"/>
      <c r="B615" s="24"/>
      <c r="C615" s="22"/>
      <c r="D615" s="25"/>
      <c r="E615" s="22"/>
      <c r="F615" s="26"/>
      <c r="G615" s="26"/>
      <c r="H615" s="26"/>
      <c r="I615" s="26"/>
      <c r="J615" s="22"/>
      <c r="K615" s="20" t="n">
        <f aca="false">IF($D615="",0,$C615*$D615)</f>
        <v>0</v>
      </c>
      <c r="L615" s="20" t="n">
        <f aca="false">IF($D615="",0,$F615*$K615)</f>
        <v>0</v>
      </c>
      <c r="M615" s="20" t="n">
        <f aca="false">IF($D615="",0,$G615*$K615)</f>
        <v>0</v>
      </c>
      <c r="N615" s="20" t="n">
        <f aca="false">IF($D615="",0,$H615*$K615)</f>
        <v>0</v>
      </c>
      <c r="O615" s="20" t="n">
        <f aca="false">IF($D615="",0,$I615*$K615*(1-$F615))</f>
        <v>0</v>
      </c>
      <c r="P615" s="20" t="n">
        <f aca="false">IF($D615="",0,$E615*$D615+$L615+$M615+$N615+$O615+$J615*$D615)</f>
        <v>0</v>
      </c>
      <c r="Q615" s="20" t="n">
        <f aca="false">IF($D615="",0,$K615-$P615)</f>
        <v>0</v>
      </c>
      <c r="R615" s="21" t="n">
        <f aca="false">IF($K615=0,0,$Q615/$K615)</f>
        <v>0</v>
      </c>
      <c r="S615" s="20" t="n">
        <f aca="false">IF($D615="",0,$K615-$L615-$M615-$N615)</f>
        <v>0</v>
      </c>
      <c r="T615" s="22"/>
      <c r="U615" s="20" t="n">
        <f aca="false">IF($T615="",0,MAX(0,$S615-$T615))</f>
        <v>0</v>
      </c>
      <c r="V615" s="21" t="n">
        <f aca="false">IF($S615=0,0,$U615/$S615)</f>
        <v>0</v>
      </c>
      <c r="W615" s="23" t="str">
        <f aca="false">IF($D615="","",IF($T615="","BEKLİYOR",IF(OR($U615=0,$S615=0),"DOĞRU",IF(AND($V615&gt;PazaryeriEksikHakedisEsik,$U615&gt;PazaryeriEksikHakedisTutarEsik),"EKSİK HAKEDİŞ","DOĞRU"))))</f>
        <v/>
      </c>
      <c r="X615" s="23" t="str">
        <f aca="false">IF($B615="","",CONCATENATE("Ürün: ",$B615," | Kâr: ",TEXT($Q615,"₺ #,##0")," | Durum: ",$W615))</f>
        <v/>
      </c>
      <c r="Y615" s="24"/>
    </row>
    <row r="616" customFormat="false" ht="15" hidden="false" customHeight="false" outlineLevel="0" collapsed="false">
      <c r="A616" s="24"/>
      <c r="B616" s="24"/>
      <c r="C616" s="22"/>
      <c r="D616" s="25"/>
      <c r="E616" s="22"/>
      <c r="F616" s="26"/>
      <c r="G616" s="26"/>
      <c r="H616" s="26"/>
      <c r="I616" s="26"/>
      <c r="J616" s="22"/>
      <c r="K616" s="20" t="n">
        <f aca="false">IF($D616="",0,$C616*$D616)</f>
        <v>0</v>
      </c>
      <c r="L616" s="20" t="n">
        <f aca="false">IF($D616="",0,$F616*$K616)</f>
        <v>0</v>
      </c>
      <c r="M616" s="20" t="n">
        <f aca="false">IF($D616="",0,$G616*$K616)</f>
        <v>0</v>
      </c>
      <c r="N616" s="20" t="n">
        <f aca="false">IF($D616="",0,$H616*$K616)</f>
        <v>0</v>
      </c>
      <c r="O616" s="20" t="n">
        <f aca="false">IF($D616="",0,$I616*$K616*(1-$F616))</f>
        <v>0</v>
      </c>
      <c r="P616" s="20" t="n">
        <f aca="false">IF($D616="",0,$E616*$D616+$L616+$M616+$N616+$O616+$J616*$D616)</f>
        <v>0</v>
      </c>
      <c r="Q616" s="20" t="n">
        <f aca="false">IF($D616="",0,$K616-$P616)</f>
        <v>0</v>
      </c>
      <c r="R616" s="21" t="n">
        <f aca="false">IF($K616=0,0,$Q616/$K616)</f>
        <v>0</v>
      </c>
      <c r="S616" s="20" t="n">
        <f aca="false">IF($D616="",0,$K616-$L616-$M616-$N616)</f>
        <v>0</v>
      </c>
      <c r="T616" s="22"/>
      <c r="U616" s="20" t="n">
        <f aca="false">IF($T616="",0,MAX(0,$S616-$T616))</f>
        <v>0</v>
      </c>
      <c r="V616" s="21" t="n">
        <f aca="false">IF($S616=0,0,$U616/$S616)</f>
        <v>0</v>
      </c>
      <c r="W616" s="23" t="str">
        <f aca="false">IF($D616="","",IF($T616="","BEKLİYOR",IF(OR($U616=0,$S616=0),"DOĞRU",IF(AND($V616&gt;PazaryeriEksikHakedisEsik,$U616&gt;PazaryeriEksikHakedisTutarEsik),"EKSİK HAKEDİŞ","DOĞRU"))))</f>
        <v/>
      </c>
      <c r="X616" s="23" t="str">
        <f aca="false">IF($B616="","",CONCATENATE("Ürün: ",$B616," | Kâr: ",TEXT($Q616,"₺ #,##0")," | Durum: ",$W616))</f>
        <v/>
      </c>
      <c r="Y616" s="24"/>
    </row>
    <row r="617" customFormat="false" ht="15" hidden="false" customHeight="false" outlineLevel="0" collapsed="false">
      <c r="A617" s="24"/>
      <c r="B617" s="24"/>
      <c r="C617" s="22"/>
      <c r="D617" s="25"/>
      <c r="E617" s="22"/>
      <c r="F617" s="26"/>
      <c r="G617" s="26"/>
      <c r="H617" s="26"/>
      <c r="I617" s="26"/>
      <c r="J617" s="22"/>
      <c r="K617" s="20" t="n">
        <f aca="false">IF($D617="",0,$C617*$D617)</f>
        <v>0</v>
      </c>
      <c r="L617" s="20" t="n">
        <f aca="false">IF($D617="",0,$F617*$K617)</f>
        <v>0</v>
      </c>
      <c r="M617" s="20" t="n">
        <f aca="false">IF($D617="",0,$G617*$K617)</f>
        <v>0</v>
      </c>
      <c r="N617" s="20" t="n">
        <f aca="false">IF($D617="",0,$H617*$K617)</f>
        <v>0</v>
      </c>
      <c r="O617" s="20" t="n">
        <f aca="false">IF($D617="",0,$I617*$K617*(1-$F617))</f>
        <v>0</v>
      </c>
      <c r="P617" s="20" t="n">
        <f aca="false">IF($D617="",0,$E617*$D617+$L617+$M617+$N617+$O617+$J617*$D617)</f>
        <v>0</v>
      </c>
      <c r="Q617" s="20" t="n">
        <f aca="false">IF($D617="",0,$K617-$P617)</f>
        <v>0</v>
      </c>
      <c r="R617" s="21" t="n">
        <f aca="false">IF($K617=0,0,$Q617/$K617)</f>
        <v>0</v>
      </c>
      <c r="S617" s="20" t="n">
        <f aca="false">IF($D617="",0,$K617-$L617-$M617-$N617)</f>
        <v>0</v>
      </c>
      <c r="T617" s="22"/>
      <c r="U617" s="20" t="n">
        <f aca="false">IF($T617="",0,MAX(0,$S617-$T617))</f>
        <v>0</v>
      </c>
      <c r="V617" s="21" t="n">
        <f aca="false">IF($S617=0,0,$U617/$S617)</f>
        <v>0</v>
      </c>
      <c r="W617" s="23" t="str">
        <f aca="false">IF($D617="","",IF($T617="","BEKLİYOR",IF(OR($U617=0,$S617=0),"DOĞRU",IF(AND($V617&gt;PazaryeriEksikHakedisEsik,$U617&gt;PazaryeriEksikHakedisTutarEsik),"EKSİK HAKEDİŞ","DOĞRU"))))</f>
        <v/>
      </c>
      <c r="X617" s="23" t="str">
        <f aca="false">IF($B617="","",CONCATENATE("Ürün: ",$B617," | Kâr: ",TEXT($Q617,"₺ #,##0")," | Durum: ",$W617))</f>
        <v/>
      </c>
      <c r="Y617" s="24"/>
    </row>
    <row r="618" customFormat="false" ht="15" hidden="false" customHeight="false" outlineLevel="0" collapsed="false">
      <c r="A618" s="24"/>
      <c r="B618" s="24"/>
      <c r="C618" s="22"/>
      <c r="D618" s="25"/>
      <c r="E618" s="22"/>
      <c r="F618" s="26"/>
      <c r="G618" s="26"/>
      <c r="H618" s="26"/>
      <c r="I618" s="26"/>
      <c r="J618" s="22"/>
      <c r="K618" s="20" t="n">
        <f aca="false">IF($D618="",0,$C618*$D618)</f>
        <v>0</v>
      </c>
      <c r="L618" s="20" t="n">
        <f aca="false">IF($D618="",0,$F618*$K618)</f>
        <v>0</v>
      </c>
      <c r="M618" s="20" t="n">
        <f aca="false">IF($D618="",0,$G618*$K618)</f>
        <v>0</v>
      </c>
      <c r="N618" s="20" t="n">
        <f aca="false">IF($D618="",0,$H618*$K618)</f>
        <v>0</v>
      </c>
      <c r="O618" s="20" t="n">
        <f aca="false">IF($D618="",0,$I618*$K618*(1-$F618))</f>
        <v>0</v>
      </c>
      <c r="P618" s="20" t="n">
        <f aca="false">IF($D618="",0,$E618*$D618+$L618+$M618+$N618+$O618+$J618*$D618)</f>
        <v>0</v>
      </c>
      <c r="Q618" s="20" t="n">
        <f aca="false">IF($D618="",0,$K618-$P618)</f>
        <v>0</v>
      </c>
      <c r="R618" s="21" t="n">
        <f aca="false">IF($K618=0,0,$Q618/$K618)</f>
        <v>0</v>
      </c>
      <c r="S618" s="20" t="n">
        <f aca="false">IF($D618="",0,$K618-$L618-$M618-$N618)</f>
        <v>0</v>
      </c>
      <c r="T618" s="22"/>
      <c r="U618" s="20" t="n">
        <f aca="false">IF($T618="",0,MAX(0,$S618-$T618))</f>
        <v>0</v>
      </c>
      <c r="V618" s="21" t="n">
        <f aca="false">IF($S618=0,0,$U618/$S618)</f>
        <v>0</v>
      </c>
      <c r="W618" s="23" t="str">
        <f aca="false">IF($D618="","",IF($T618="","BEKLİYOR",IF(OR($U618=0,$S618=0),"DOĞRU",IF(AND($V618&gt;PazaryeriEksikHakedisEsik,$U618&gt;PazaryeriEksikHakedisTutarEsik),"EKSİK HAKEDİŞ","DOĞRU"))))</f>
        <v/>
      </c>
      <c r="X618" s="23" t="str">
        <f aca="false">IF($B618="","",CONCATENATE("Ürün: ",$B618," | Kâr: ",TEXT($Q618,"₺ #,##0")," | Durum: ",$W618))</f>
        <v/>
      </c>
      <c r="Y618" s="24"/>
    </row>
    <row r="619" customFormat="false" ht="15" hidden="false" customHeight="false" outlineLevel="0" collapsed="false">
      <c r="A619" s="24"/>
      <c r="B619" s="24"/>
      <c r="C619" s="22"/>
      <c r="D619" s="25"/>
      <c r="E619" s="22"/>
      <c r="F619" s="26"/>
      <c r="G619" s="26"/>
      <c r="H619" s="26"/>
      <c r="I619" s="26"/>
      <c r="J619" s="22"/>
      <c r="K619" s="20" t="n">
        <f aca="false">IF($D619="",0,$C619*$D619)</f>
        <v>0</v>
      </c>
      <c r="L619" s="20" t="n">
        <f aca="false">IF($D619="",0,$F619*$K619)</f>
        <v>0</v>
      </c>
      <c r="M619" s="20" t="n">
        <f aca="false">IF($D619="",0,$G619*$K619)</f>
        <v>0</v>
      </c>
      <c r="N619" s="20" t="n">
        <f aca="false">IF($D619="",0,$H619*$K619)</f>
        <v>0</v>
      </c>
      <c r="O619" s="20" t="n">
        <f aca="false">IF($D619="",0,$I619*$K619*(1-$F619))</f>
        <v>0</v>
      </c>
      <c r="P619" s="20" t="n">
        <f aca="false">IF($D619="",0,$E619*$D619+$L619+$M619+$N619+$O619+$J619*$D619)</f>
        <v>0</v>
      </c>
      <c r="Q619" s="20" t="n">
        <f aca="false">IF($D619="",0,$K619-$P619)</f>
        <v>0</v>
      </c>
      <c r="R619" s="21" t="n">
        <f aca="false">IF($K619=0,0,$Q619/$K619)</f>
        <v>0</v>
      </c>
      <c r="S619" s="20" t="n">
        <f aca="false">IF($D619="",0,$K619-$L619-$M619-$N619)</f>
        <v>0</v>
      </c>
      <c r="T619" s="22"/>
      <c r="U619" s="20" t="n">
        <f aca="false">IF($T619="",0,MAX(0,$S619-$T619))</f>
        <v>0</v>
      </c>
      <c r="V619" s="21" t="n">
        <f aca="false">IF($S619=0,0,$U619/$S619)</f>
        <v>0</v>
      </c>
      <c r="W619" s="23" t="str">
        <f aca="false">IF($D619="","",IF($T619="","BEKLİYOR",IF(OR($U619=0,$S619=0),"DOĞRU",IF(AND($V619&gt;PazaryeriEksikHakedisEsik,$U619&gt;PazaryeriEksikHakedisTutarEsik),"EKSİK HAKEDİŞ","DOĞRU"))))</f>
        <v/>
      </c>
      <c r="X619" s="23" t="str">
        <f aca="false">IF($B619="","",CONCATENATE("Ürün: ",$B619," | Kâr: ",TEXT($Q619,"₺ #,##0")," | Durum: ",$W619))</f>
        <v/>
      </c>
      <c r="Y619" s="24"/>
    </row>
    <row r="620" customFormat="false" ht="15" hidden="false" customHeight="false" outlineLevel="0" collapsed="false">
      <c r="A620" s="24"/>
      <c r="B620" s="24"/>
      <c r="C620" s="22"/>
      <c r="D620" s="25"/>
      <c r="E620" s="22"/>
      <c r="F620" s="26"/>
      <c r="G620" s="26"/>
      <c r="H620" s="26"/>
      <c r="I620" s="26"/>
      <c r="J620" s="22"/>
      <c r="K620" s="20" t="n">
        <f aca="false">IF($D620="",0,$C620*$D620)</f>
        <v>0</v>
      </c>
      <c r="L620" s="20" t="n">
        <f aca="false">IF($D620="",0,$F620*$K620)</f>
        <v>0</v>
      </c>
      <c r="M620" s="20" t="n">
        <f aca="false">IF($D620="",0,$G620*$K620)</f>
        <v>0</v>
      </c>
      <c r="N620" s="20" t="n">
        <f aca="false">IF($D620="",0,$H620*$K620)</f>
        <v>0</v>
      </c>
      <c r="O620" s="20" t="n">
        <f aca="false">IF($D620="",0,$I620*$K620*(1-$F620))</f>
        <v>0</v>
      </c>
      <c r="P620" s="20" t="n">
        <f aca="false">IF($D620="",0,$E620*$D620+$L620+$M620+$N620+$O620+$J620*$D620)</f>
        <v>0</v>
      </c>
      <c r="Q620" s="20" t="n">
        <f aca="false">IF($D620="",0,$K620-$P620)</f>
        <v>0</v>
      </c>
      <c r="R620" s="21" t="n">
        <f aca="false">IF($K620=0,0,$Q620/$K620)</f>
        <v>0</v>
      </c>
      <c r="S620" s="20" t="n">
        <f aca="false">IF($D620="",0,$K620-$L620-$M620-$N620)</f>
        <v>0</v>
      </c>
      <c r="T620" s="22"/>
      <c r="U620" s="20" t="n">
        <f aca="false">IF($T620="",0,MAX(0,$S620-$T620))</f>
        <v>0</v>
      </c>
      <c r="V620" s="21" t="n">
        <f aca="false">IF($S620=0,0,$U620/$S620)</f>
        <v>0</v>
      </c>
      <c r="W620" s="23" t="str">
        <f aca="false">IF($D620="","",IF($T620="","BEKLİYOR",IF(OR($U620=0,$S620=0),"DOĞRU",IF(AND($V620&gt;PazaryeriEksikHakedisEsik,$U620&gt;PazaryeriEksikHakedisTutarEsik),"EKSİK HAKEDİŞ","DOĞRU"))))</f>
        <v/>
      </c>
      <c r="X620" s="23" t="str">
        <f aca="false">IF($B620="","",CONCATENATE("Ürün: ",$B620," | Kâr: ",TEXT($Q620,"₺ #,##0")," | Durum: ",$W620))</f>
        <v/>
      </c>
      <c r="Y620" s="24"/>
    </row>
    <row r="621" customFormat="false" ht="15" hidden="false" customHeight="false" outlineLevel="0" collapsed="false">
      <c r="A621" s="24"/>
      <c r="B621" s="24"/>
      <c r="C621" s="22"/>
      <c r="D621" s="25"/>
      <c r="E621" s="22"/>
      <c r="F621" s="26"/>
      <c r="G621" s="26"/>
      <c r="H621" s="26"/>
      <c r="I621" s="26"/>
      <c r="J621" s="22"/>
      <c r="K621" s="20" t="n">
        <f aca="false">IF($D621="",0,$C621*$D621)</f>
        <v>0</v>
      </c>
      <c r="L621" s="20" t="n">
        <f aca="false">IF($D621="",0,$F621*$K621)</f>
        <v>0</v>
      </c>
      <c r="M621" s="20" t="n">
        <f aca="false">IF($D621="",0,$G621*$K621)</f>
        <v>0</v>
      </c>
      <c r="N621" s="20" t="n">
        <f aca="false">IF($D621="",0,$H621*$K621)</f>
        <v>0</v>
      </c>
      <c r="O621" s="20" t="n">
        <f aca="false">IF($D621="",0,$I621*$K621*(1-$F621))</f>
        <v>0</v>
      </c>
      <c r="P621" s="20" t="n">
        <f aca="false">IF($D621="",0,$E621*$D621+$L621+$M621+$N621+$O621+$J621*$D621)</f>
        <v>0</v>
      </c>
      <c r="Q621" s="20" t="n">
        <f aca="false">IF($D621="",0,$K621-$P621)</f>
        <v>0</v>
      </c>
      <c r="R621" s="21" t="n">
        <f aca="false">IF($K621=0,0,$Q621/$K621)</f>
        <v>0</v>
      </c>
      <c r="S621" s="20" t="n">
        <f aca="false">IF($D621="",0,$K621-$L621-$M621-$N621)</f>
        <v>0</v>
      </c>
      <c r="T621" s="22"/>
      <c r="U621" s="20" t="n">
        <f aca="false">IF($T621="",0,MAX(0,$S621-$T621))</f>
        <v>0</v>
      </c>
      <c r="V621" s="21" t="n">
        <f aca="false">IF($S621=0,0,$U621/$S621)</f>
        <v>0</v>
      </c>
      <c r="W621" s="23" t="str">
        <f aca="false">IF($D621="","",IF($T621="","BEKLİYOR",IF(OR($U621=0,$S621=0),"DOĞRU",IF(AND($V621&gt;PazaryeriEksikHakedisEsik,$U621&gt;PazaryeriEksikHakedisTutarEsik),"EKSİK HAKEDİŞ","DOĞRU"))))</f>
        <v/>
      </c>
      <c r="X621" s="23" t="str">
        <f aca="false">IF($B621="","",CONCATENATE("Ürün: ",$B621," | Kâr: ",TEXT($Q621,"₺ #,##0")," | Durum: ",$W621))</f>
        <v/>
      </c>
      <c r="Y621" s="24"/>
    </row>
    <row r="622" customFormat="false" ht="15" hidden="false" customHeight="false" outlineLevel="0" collapsed="false">
      <c r="A622" s="24"/>
      <c r="B622" s="24"/>
      <c r="C622" s="22"/>
      <c r="D622" s="25"/>
      <c r="E622" s="22"/>
      <c r="F622" s="26"/>
      <c r="G622" s="26"/>
      <c r="H622" s="26"/>
      <c r="I622" s="26"/>
      <c r="J622" s="22"/>
      <c r="K622" s="20" t="n">
        <f aca="false">IF($D622="",0,$C622*$D622)</f>
        <v>0</v>
      </c>
      <c r="L622" s="20" t="n">
        <f aca="false">IF($D622="",0,$F622*$K622)</f>
        <v>0</v>
      </c>
      <c r="M622" s="20" t="n">
        <f aca="false">IF($D622="",0,$G622*$K622)</f>
        <v>0</v>
      </c>
      <c r="N622" s="20" t="n">
        <f aca="false">IF($D622="",0,$H622*$K622)</f>
        <v>0</v>
      </c>
      <c r="O622" s="20" t="n">
        <f aca="false">IF($D622="",0,$I622*$K622*(1-$F622))</f>
        <v>0</v>
      </c>
      <c r="P622" s="20" t="n">
        <f aca="false">IF($D622="",0,$E622*$D622+$L622+$M622+$N622+$O622+$J622*$D622)</f>
        <v>0</v>
      </c>
      <c r="Q622" s="20" t="n">
        <f aca="false">IF($D622="",0,$K622-$P622)</f>
        <v>0</v>
      </c>
      <c r="R622" s="21" t="n">
        <f aca="false">IF($K622=0,0,$Q622/$K622)</f>
        <v>0</v>
      </c>
      <c r="S622" s="20" t="n">
        <f aca="false">IF($D622="",0,$K622-$L622-$M622-$N622)</f>
        <v>0</v>
      </c>
      <c r="T622" s="22"/>
      <c r="U622" s="20" t="n">
        <f aca="false">IF($T622="",0,MAX(0,$S622-$T622))</f>
        <v>0</v>
      </c>
      <c r="V622" s="21" t="n">
        <f aca="false">IF($S622=0,0,$U622/$S622)</f>
        <v>0</v>
      </c>
      <c r="W622" s="23" t="str">
        <f aca="false">IF($D622="","",IF($T622="","BEKLİYOR",IF(OR($U622=0,$S622=0),"DOĞRU",IF(AND($V622&gt;PazaryeriEksikHakedisEsik,$U622&gt;PazaryeriEksikHakedisTutarEsik),"EKSİK HAKEDİŞ","DOĞRU"))))</f>
        <v/>
      </c>
      <c r="X622" s="23" t="str">
        <f aca="false">IF($B622="","",CONCATENATE("Ürün: ",$B622," | Kâr: ",TEXT($Q622,"₺ #,##0")," | Durum: ",$W622))</f>
        <v/>
      </c>
      <c r="Y622" s="24"/>
    </row>
    <row r="623" customFormat="false" ht="15" hidden="false" customHeight="false" outlineLevel="0" collapsed="false">
      <c r="A623" s="24"/>
      <c r="B623" s="24"/>
      <c r="C623" s="22"/>
      <c r="D623" s="25"/>
      <c r="E623" s="22"/>
      <c r="F623" s="26"/>
      <c r="G623" s="26"/>
      <c r="H623" s="26"/>
      <c r="I623" s="26"/>
      <c r="J623" s="22"/>
      <c r="K623" s="20" t="n">
        <f aca="false">IF($D623="",0,$C623*$D623)</f>
        <v>0</v>
      </c>
      <c r="L623" s="20" t="n">
        <f aca="false">IF($D623="",0,$F623*$K623)</f>
        <v>0</v>
      </c>
      <c r="M623" s="20" t="n">
        <f aca="false">IF($D623="",0,$G623*$K623)</f>
        <v>0</v>
      </c>
      <c r="N623" s="20" t="n">
        <f aca="false">IF($D623="",0,$H623*$K623)</f>
        <v>0</v>
      </c>
      <c r="O623" s="20" t="n">
        <f aca="false">IF($D623="",0,$I623*$K623*(1-$F623))</f>
        <v>0</v>
      </c>
      <c r="P623" s="20" t="n">
        <f aca="false">IF($D623="",0,$E623*$D623+$L623+$M623+$N623+$O623+$J623*$D623)</f>
        <v>0</v>
      </c>
      <c r="Q623" s="20" t="n">
        <f aca="false">IF($D623="",0,$K623-$P623)</f>
        <v>0</v>
      </c>
      <c r="R623" s="21" t="n">
        <f aca="false">IF($K623=0,0,$Q623/$K623)</f>
        <v>0</v>
      </c>
      <c r="S623" s="20" t="n">
        <f aca="false">IF($D623="",0,$K623-$L623-$M623-$N623)</f>
        <v>0</v>
      </c>
      <c r="T623" s="22"/>
      <c r="U623" s="20" t="n">
        <f aca="false">IF($T623="",0,MAX(0,$S623-$T623))</f>
        <v>0</v>
      </c>
      <c r="V623" s="21" t="n">
        <f aca="false">IF($S623=0,0,$U623/$S623)</f>
        <v>0</v>
      </c>
      <c r="W623" s="23" t="str">
        <f aca="false">IF($D623="","",IF($T623="","BEKLİYOR",IF(OR($U623=0,$S623=0),"DOĞRU",IF(AND($V623&gt;PazaryeriEksikHakedisEsik,$U623&gt;PazaryeriEksikHakedisTutarEsik),"EKSİK HAKEDİŞ","DOĞRU"))))</f>
        <v/>
      </c>
      <c r="X623" s="23" t="str">
        <f aca="false">IF($B623="","",CONCATENATE("Ürün: ",$B623," | Kâr: ",TEXT($Q623,"₺ #,##0")," | Durum: ",$W623))</f>
        <v/>
      </c>
      <c r="Y623" s="24"/>
    </row>
    <row r="624" customFormat="false" ht="15" hidden="false" customHeight="false" outlineLevel="0" collapsed="false">
      <c r="A624" s="24"/>
      <c r="B624" s="24"/>
      <c r="C624" s="22"/>
      <c r="D624" s="25"/>
      <c r="E624" s="22"/>
      <c r="F624" s="26"/>
      <c r="G624" s="26"/>
      <c r="H624" s="26"/>
      <c r="I624" s="26"/>
      <c r="J624" s="22"/>
      <c r="K624" s="20" t="n">
        <f aca="false">IF($D624="",0,$C624*$D624)</f>
        <v>0</v>
      </c>
      <c r="L624" s="20" t="n">
        <f aca="false">IF($D624="",0,$F624*$K624)</f>
        <v>0</v>
      </c>
      <c r="M624" s="20" t="n">
        <f aca="false">IF($D624="",0,$G624*$K624)</f>
        <v>0</v>
      </c>
      <c r="N624" s="20" t="n">
        <f aca="false">IF($D624="",0,$H624*$K624)</f>
        <v>0</v>
      </c>
      <c r="O624" s="20" t="n">
        <f aca="false">IF($D624="",0,$I624*$K624*(1-$F624))</f>
        <v>0</v>
      </c>
      <c r="P624" s="20" t="n">
        <f aca="false">IF($D624="",0,$E624*$D624+$L624+$M624+$N624+$O624+$J624*$D624)</f>
        <v>0</v>
      </c>
      <c r="Q624" s="20" t="n">
        <f aca="false">IF($D624="",0,$K624-$P624)</f>
        <v>0</v>
      </c>
      <c r="R624" s="21" t="n">
        <f aca="false">IF($K624=0,0,$Q624/$K624)</f>
        <v>0</v>
      </c>
      <c r="S624" s="20" t="n">
        <f aca="false">IF($D624="",0,$K624-$L624-$M624-$N624)</f>
        <v>0</v>
      </c>
      <c r="T624" s="22"/>
      <c r="U624" s="20" t="n">
        <f aca="false">IF($T624="",0,MAX(0,$S624-$T624))</f>
        <v>0</v>
      </c>
      <c r="V624" s="21" t="n">
        <f aca="false">IF($S624=0,0,$U624/$S624)</f>
        <v>0</v>
      </c>
      <c r="W624" s="23" t="str">
        <f aca="false">IF($D624="","",IF($T624="","BEKLİYOR",IF(OR($U624=0,$S624=0),"DOĞRU",IF(AND($V624&gt;PazaryeriEksikHakedisEsik,$U624&gt;PazaryeriEksikHakedisTutarEsik),"EKSİK HAKEDİŞ","DOĞRU"))))</f>
        <v/>
      </c>
      <c r="X624" s="23" t="str">
        <f aca="false">IF($B624="","",CONCATENATE("Ürün: ",$B624," | Kâr: ",TEXT($Q624,"₺ #,##0")," | Durum: ",$W624))</f>
        <v/>
      </c>
      <c r="Y624" s="24"/>
    </row>
    <row r="625" customFormat="false" ht="15" hidden="false" customHeight="false" outlineLevel="0" collapsed="false">
      <c r="A625" s="24"/>
      <c r="B625" s="24"/>
      <c r="C625" s="22"/>
      <c r="D625" s="25"/>
      <c r="E625" s="22"/>
      <c r="F625" s="26"/>
      <c r="G625" s="26"/>
      <c r="H625" s="26"/>
      <c r="I625" s="26"/>
      <c r="J625" s="22"/>
      <c r="K625" s="20" t="n">
        <f aca="false">IF($D625="",0,$C625*$D625)</f>
        <v>0</v>
      </c>
      <c r="L625" s="20" t="n">
        <f aca="false">IF($D625="",0,$F625*$K625)</f>
        <v>0</v>
      </c>
      <c r="M625" s="20" t="n">
        <f aca="false">IF($D625="",0,$G625*$K625)</f>
        <v>0</v>
      </c>
      <c r="N625" s="20" t="n">
        <f aca="false">IF($D625="",0,$H625*$K625)</f>
        <v>0</v>
      </c>
      <c r="O625" s="20" t="n">
        <f aca="false">IF($D625="",0,$I625*$K625*(1-$F625))</f>
        <v>0</v>
      </c>
      <c r="P625" s="20" t="n">
        <f aca="false">IF($D625="",0,$E625*$D625+$L625+$M625+$N625+$O625+$J625*$D625)</f>
        <v>0</v>
      </c>
      <c r="Q625" s="20" t="n">
        <f aca="false">IF($D625="",0,$K625-$P625)</f>
        <v>0</v>
      </c>
      <c r="R625" s="21" t="n">
        <f aca="false">IF($K625=0,0,$Q625/$K625)</f>
        <v>0</v>
      </c>
      <c r="S625" s="20" t="n">
        <f aca="false">IF($D625="",0,$K625-$L625-$M625-$N625)</f>
        <v>0</v>
      </c>
      <c r="T625" s="22"/>
      <c r="U625" s="20" t="n">
        <f aca="false">IF($T625="",0,MAX(0,$S625-$T625))</f>
        <v>0</v>
      </c>
      <c r="V625" s="21" t="n">
        <f aca="false">IF($S625=0,0,$U625/$S625)</f>
        <v>0</v>
      </c>
      <c r="W625" s="23" t="str">
        <f aca="false">IF($D625="","",IF($T625="","BEKLİYOR",IF(OR($U625=0,$S625=0),"DOĞRU",IF(AND($V625&gt;PazaryeriEksikHakedisEsik,$U625&gt;PazaryeriEksikHakedisTutarEsik),"EKSİK HAKEDİŞ","DOĞRU"))))</f>
        <v/>
      </c>
      <c r="X625" s="23" t="str">
        <f aca="false">IF($B625="","",CONCATENATE("Ürün: ",$B625," | Kâr: ",TEXT($Q625,"₺ #,##0")," | Durum: ",$W625))</f>
        <v/>
      </c>
      <c r="Y625" s="24"/>
    </row>
    <row r="626" customFormat="false" ht="15" hidden="false" customHeight="false" outlineLevel="0" collapsed="false">
      <c r="A626" s="24"/>
      <c r="B626" s="24"/>
      <c r="C626" s="22"/>
      <c r="D626" s="25"/>
      <c r="E626" s="22"/>
      <c r="F626" s="26"/>
      <c r="G626" s="26"/>
      <c r="H626" s="26"/>
      <c r="I626" s="26"/>
      <c r="J626" s="22"/>
      <c r="K626" s="20" t="n">
        <f aca="false">IF($D626="",0,$C626*$D626)</f>
        <v>0</v>
      </c>
      <c r="L626" s="20" t="n">
        <f aca="false">IF($D626="",0,$F626*$K626)</f>
        <v>0</v>
      </c>
      <c r="M626" s="20" t="n">
        <f aca="false">IF($D626="",0,$G626*$K626)</f>
        <v>0</v>
      </c>
      <c r="N626" s="20" t="n">
        <f aca="false">IF($D626="",0,$H626*$K626)</f>
        <v>0</v>
      </c>
      <c r="O626" s="20" t="n">
        <f aca="false">IF($D626="",0,$I626*$K626*(1-$F626))</f>
        <v>0</v>
      </c>
      <c r="P626" s="20" t="n">
        <f aca="false">IF($D626="",0,$E626*$D626+$L626+$M626+$N626+$O626+$J626*$D626)</f>
        <v>0</v>
      </c>
      <c r="Q626" s="20" t="n">
        <f aca="false">IF($D626="",0,$K626-$P626)</f>
        <v>0</v>
      </c>
      <c r="R626" s="21" t="n">
        <f aca="false">IF($K626=0,0,$Q626/$K626)</f>
        <v>0</v>
      </c>
      <c r="S626" s="20" t="n">
        <f aca="false">IF($D626="",0,$K626-$L626-$M626-$N626)</f>
        <v>0</v>
      </c>
      <c r="T626" s="22"/>
      <c r="U626" s="20" t="n">
        <f aca="false">IF($T626="",0,MAX(0,$S626-$T626))</f>
        <v>0</v>
      </c>
      <c r="V626" s="21" t="n">
        <f aca="false">IF($S626=0,0,$U626/$S626)</f>
        <v>0</v>
      </c>
      <c r="W626" s="23" t="str">
        <f aca="false">IF($D626="","",IF($T626="","BEKLİYOR",IF(OR($U626=0,$S626=0),"DOĞRU",IF(AND($V626&gt;PazaryeriEksikHakedisEsik,$U626&gt;PazaryeriEksikHakedisTutarEsik),"EKSİK HAKEDİŞ","DOĞRU"))))</f>
        <v/>
      </c>
      <c r="X626" s="23" t="str">
        <f aca="false">IF($B626="","",CONCATENATE("Ürün: ",$B626," | Kâr: ",TEXT($Q626,"₺ #,##0")," | Durum: ",$W626))</f>
        <v/>
      </c>
      <c r="Y626" s="24"/>
    </row>
    <row r="627" customFormat="false" ht="15" hidden="false" customHeight="false" outlineLevel="0" collapsed="false">
      <c r="A627" s="24"/>
      <c r="B627" s="24"/>
      <c r="C627" s="22"/>
      <c r="D627" s="25"/>
      <c r="E627" s="22"/>
      <c r="F627" s="26"/>
      <c r="G627" s="26"/>
      <c r="H627" s="26"/>
      <c r="I627" s="26"/>
      <c r="J627" s="22"/>
      <c r="K627" s="20" t="n">
        <f aca="false">IF($D627="",0,$C627*$D627)</f>
        <v>0</v>
      </c>
      <c r="L627" s="20" t="n">
        <f aca="false">IF($D627="",0,$F627*$K627)</f>
        <v>0</v>
      </c>
      <c r="M627" s="20" t="n">
        <f aca="false">IF($D627="",0,$G627*$K627)</f>
        <v>0</v>
      </c>
      <c r="N627" s="20" t="n">
        <f aca="false">IF($D627="",0,$H627*$K627)</f>
        <v>0</v>
      </c>
      <c r="O627" s="20" t="n">
        <f aca="false">IF($D627="",0,$I627*$K627*(1-$F627))</f>
        <v>0</v>
      </c>
      <c r="P627" s="20" t="n">
        <f aca="false">IF($D627="",0,$E627*$D627+$L627+$M627+$N627+$O627+$J627*$D627)</f>
        <v>0</v>
      </c>
      <c r="Q627" s="20" t="n">
        <f aca="false">IF($D627="",0,$K627-$P627)</f>
        <v>0</v>
      </c>
      <c r="R627" s="21" t="n">
        <f aca="false">IF($K627=0,0,$Q627/$K627)</f>
        <v>0</v>
      </c>
      <c r="S627" s="20" t="n">
        <f aca="false">IF($D627="",0,$K627-$L627-$M627-$N627)</f>
        <v>0</v>
      </c>
      <c r="T627" s="22"/>
      <c r="U627" s="20" t="n">
        <f aca="false">IF($T627="",0,MAX(0,$S627-$T627))</f>
        <v>0</v>
      </c>
      <c r="V627" s="21" t="n">
        <f aca="false">IF($S627=0,0,$U627/$S627)</f>
        <v>0</v>
      </c>
      <c r="W627" s="23" t="str">
        <f aca="false">IF($D627="","",IF($T627="","BEKLİYOR",IF(OR($U627=0,$S627=0),"DOĞRU",IF(AND($V627&gt;PazaryeriEksikHakedisEsik,$U627&gt;PazaryeriEksikHakedisTutarEsik),"EKSİK HAKEDİŞ","DOĞRU"))))</f>
        <v/>
      </c>
      <c r="X627" s="23" t="str">
        <f aca="false">IF($B627="","",CONCATENATE("Ürün: ",$B627," | Kâr: ",TEXT($Q627,"₺ #,##0")," | Durum: ",$W627))</f>
        <v/>
      </c>
      <c r="Y627" s="24"/>
    </row>
    <row r="628" customFormat="false" ht="15" hidden="false" customHeight="false" outlineLevel="0" collapsed="false">
      <c r="A628" s="24"/>
      <c r="B628" s="24"/>
      <c r="C628" s="22"/>
      <c r="D628" s="25"/>
      <c r="E628" s="22"/>
      <c r="F628" s="26"/>
      <c r="G628" s="26"/>
      <c r="H628" s="26"/>
      <c r="I628" s="26"/>
      <c r="J628" s="22"/>
      <c r="K628" s="20" t="n">
        <f aca="false">IF($D628="",0,$C628*$D628)</f>
        <v>0</v>
      </c>
      <c r="L628" s="20" t="n">
        <f aca="false">IF($D628="",0,$F628*$K628)</f>
        <v>0</v>
      </c>
      <c r="M628" s="20" t="n">
        <f aca="false">IF($D628="",0,$G628*$K628)</f>
        <v>0</v>
      </c>
      <c r="N628" s="20" t="n">
        <f aca="false">IF($D628="",0,$H628*$K628)</f>
        <v>0</v>
      </c>
      <c r="O628" s="20" t="n">
        <f aca="false">IF($D628="",0,$I628*$K628*(1-$F628))</f>
        <v>0</v>
      </c>
      <c r="P628" s="20" t="n">
        <f aca="false">IF($D628="",0,$E628*$D628+$L628+$M628+$N628+$O628+$J628*$D628)</f>
        <v>0</v>
      </c>
      <c r="Q628" s="20" t="n">
        <f aca="false">IF($D628="",0,$K628-$P628)</f>
        <v>0</v>
      </c>
      <c r="R628" s="21" t="n">
        <f aca="false">IF($K628=0,0,$Q628/$K628)</f>
        <v>0</v>
      </c>
      <c r="S628" s="20" t="n">
        <f aca="false">IF($D628="",0,$K628-$L628-$M628-$N628)</f>
        <v>0</v>
      </c>
      <c r="T628" s="22"/>
      <c r="U628" s="20" t="n">
        <f aca="false">IF($T628="",0,MAX(0,$S628-$T628))</f>
        <v>0</v>
      </c>
      <c r="V628" s="21" t="n">
        <f aca="false">IF($S628=0,0,$U628/$S628)</f>
        <v>0</v>
      </c>
      <c r="W628" s="23" t="str">
        <f aca="false">IF($D628="","",IF($T628="","BEKLİYOR",IF(OR($U628=0,$S628=0),"DOĞRU",IF(AND($V628&gt;PazaryeriEksikHakedisEsik,$U628&gt;PazaryeriEksikHakedisTutarEsik),"EKSİK HAKEDİŞ","DOĞRU"))))</f>
        <v/>
      </c>
      <c r="X628" s="23" t="str">
        <f aca="false">IF($B628="","",CONCATENATE("Ürün: ",$B628," | Kâr: ",TEXT($Q628,"₺ #,##0")," | Durum: ",$W628))</f>
        <v/>
      </c>
      <c r="Y628" s="24"/>
    </row>
    <row r="629" customFormat="false" ht="15" hidden="false" customHeight="false" outlineLevel="0" collapsed="false">
      <c r="A629" s="24"/>
      <c r="B629" s="24"/>
      <c r="C629" s="22"/>
      <c r="D629" s="25"/>
      <c r="E629" s="22"/>
      <c r="F629" s="26"/>
      <c r="G629" s="26"/>
      <c r="H629" s="26"/>
      <c r="I629" s="26"/>
      <c r="J629" s="22"/>
      <c r="K629" s="20" t="n">
        <f aca="false">IF($D629="",0,$C629*$D629)</f>
        <v>0</v>
      </c>
      <c r="L629" s="20" t="n">
        <f aca="false">IF($D629="",0,$F629*$K629)</f>
        <v>0</v>
      </c>
      <c r="M629" s="20" t="n">
        <f aca="false">IF($D629="",0,$G629*$K629)</f>
        <v>0</v>
      </c>
      <c r="N629" s="20" t="n">
        <f aca="false">IF($D629="",0,$H629*$K629)</f>
        <v>0</v>
      </c>
      <c r="O629" s="20" t="n">
        <f aca="false">IF($D629="",0,$I629*$K629*(1-$F629))</f>
        <v>0</v>
      </c>
      <c r="P629" s="20" t="n">
        <f aca="false">IF($D629="",0,$E629*$D629+$L629+$M629+$N629+$O629+$J629*$D629)</f>
        <v>0</v>
      </c>
      <c r="Q629" s="20" t="n">
        <f aca="false">IF($D629="",0,$K629-$P629)</f>
        <v>0</v>
      </c>
      <c r="R629" s="21" t="n">
        <f aca="false">IF($K629=0,0,$Q629/$K629)</f>
        <v>0</v>
      </c>
      <c r="S629" s="20" t="n">
        <f aca="false">IF($D629="",0,$K629-$L629-$M629-$N629)</f>
        <v>0</v>
      </c>
      <c r="T629" s="22"/>
      <c r="U629" s="20" t="n">
        <f aca="false">IF($T629="",0,MAX(0,$S629-$T629))</f>
        <v>0</v>
      </c>
      <c r="V629" s="21" t="n">
        <f aca="false">IF($S629=0,0,$U629/$S629)</f>
        <v>0</v>
      </c>
      <c r="W629" s="23" t="str">
        <f aca="false">IF($D629="","",IF($T629="","BEKLİYOR",IF(OR($U629=0,$S629=0),"DOĞRU",IF(AND($V629&gt;PazaryeriEksikHakedisEsik,$U629&gt;PazaryeriEksikHakedisTutarEsik),"EKSİK HAKEDİŞ","DOĞRU"))))</f>
        <v/>
      </c>
      <c r="X629" s="23" t="str">
        <f aca="false">IF($B629="","",CONCATENATE("Ürün: ",$B629," | Kâr: ",TEXT($Q629,"₺ #,##0")," | Durum: ",$W629))</f>
        <v/>
      </c>
      <c r="Y629" s="24"/>
    </row>
    <row r="630" customFormat="false" ht="15" hidden="false" customHeight="false" outlineLevel="0" collapsed="false">
      <c r="A630" s="24"/>
      <c r="B630" s="24"/>
      <c r="C630" s="22"/>
      <c r="D630" s="25"/>
      <c r="E630" s="22"/>
      <c r="F630" s="26"/>
      <c r="G630" s="26"/>
      <c r="H630" s="26"/>
      <c r="I630" s="26"/>
      <c r="J630" s="22"/>
      <c r="K630" s="20" t="n">
        <f aca="false">IF($D630="",0,$C630*$D630)</f>
        <v>0</v>
      </c>
      <c r="L630" s="20" t="n">
        <f aca="false">IF($D630="",0,$F630*$K630)</f>
        <v>0</v>
      </c>
      <c r="M630" s="20" t="n">
        <f aca="false">IF($D630="",0,$G630*$K630)</f>
        <v>0</v>
      </c>
      <c r="N630" s="20" t="n">
        <f aca="false">IF($D630="",0,$H630*$K630)</f>
        <v>0</v>
      </c>
      <c r="O630" s="20" t="n">
        <f aca="false">IF($D630="",0,$I630*$K630*(1-$F630))</f>
        <v>0</v>
      </c>
      <c r="P630" s="20" t="n">
        <f aca="false">IF($D630="",0,$E630*$D630+$L630+$M630+$N630+$O630+$J630*$D630)</f>
        <v>0</v>
      </c>
      <c r="Q630" s="20" t="n">
        <f aca="false">IF($D630="",0,$K630-$P630)</f>
        <v>0</v>
      </c>
      <c r="R630" s="21" t="n">
        <f aca="false">IF($K630=0,0,$Q630/$K630)</f>
        <v>0</v>
      </c>
      <c r="S630" s="20" t="n">
        <f aca="false">IF($D630="",0,$K630-$L630-$M630-$N630)</f>
        <v>0</v>
      </c>
      <c r="T630" s="22"/>
      <c r="U630" s="20" t="n">
        <f aca="false">IF($T630="",0,MAX(0,$S630-$T630))</f>
        <v>0</v>
      </c>
      <c r="V630" s="21" t="n">
        <f aca="false">IF($S630=0,0,$U630/$S630)</f>
        <v>0</v>
      </c>
      <c r="W630" s="23" t="str">
        <f aca="false">IF($D630="","",IF($T630="","BEKLİYOR",IF(OR($U630=0,$S630=0),"DOĞRU",IF(AND($V630&gt;PazaryeriEksikHakedisEsik,$U630&gt;PazaryeriEksikHakedisTutarEsik),"EKSİK HAKEDİŞ","DOĞRU"))))</f>
        <v/>
      </c>
      <c r="X630" s="23" t="str">
        <f aca="false">IF($B630="","",CONCATENATE("Ürün: ",$B630," | Kâr: ",TEXT($Q630,"₺ #,##0")," | Durum: ",$W630))</f>
        <v/>
      </c>
      <c r="Y630" s="24"/>
    </row>
    <row r="631" customFormat="false" ht="15" hidden="false" customHeight="false" outlineLevel="0" collapsed="false">
      <c r="A631" s="24"/>
      <c r="B631" s="24"/>
      <c r="C631" s="22"/>
      <c r="D631" s="25"/>
      <c r="E631" s="22"/>
      <c r="F631" s="26"/>
      <c r="G631" s="26"/>
      <c r="H631" s="26"/>
      <c r="I631" s="26"/>
      <c r="J631" s="22"/>
      <c r="K631" s="20" t="n">
        <f aca="false">IF($D631="",0,$C631*$D631)</f>
        <v>0</v>
      </c>
      <c r="L631" s="20" t="n">
        <f aca="false">IF($D631="",0,$F631*$K631)</f>
        <v>0</v>
      </c>
      <c r="M631" s="20" t="n">
        <f aca="false">IF($D631="",0,$G631*$K631)</f>
        <v>0</v>
      </c>
      <c r="N631" s="20" t="n">
        <f aca="false">IF($D631="",0,$H631*$K631)</f>
        <v>0</v>
      </c>
      <c r="O631" s="20" t="n">
        <f aca="false">IF($D631="",0,$I631*$K631*(1-$F631))</f>
        <v>0</v>
      </c>
      <c r="P631" s="20" t="n">
        <f aca="false">IF($D631="",0,$E631*$D631+$L631+$M631+$N631+$O631+$J631*$D631)</f>
        <v>0</v>
      </c>
      <c r="Q631" s="20" t="n">
        <f aca="false">IF($D631="",0,$K631-$P631)</f>
        <v>0</v>
      </c>
      <c r="R631" s="21" t="n">
        <f aca="false">IF($K631=0,0,$Q631/$K631)</f>
        <v>0</v>
      </c>
      <c r="S631" s="20" t="n">
        <f aca="false">IF($D631="",0,$K631-$L631-$M631-$N631)</f>
        <v>0</v>
      </c>
      <c r="T631" s="22"/>
      <c r="U631" s="20" t="n">
        <f aca="false">IF($T631="",0,MAX(0,$S631-$T631))</f>
        <v>0</v>
      </c>
      <c r="V631" s="21" t="n">
        <f aca="false">IF($S631=0,0,$U631/$S631)</f>
        <v>0</v>
      </c>
      <c r="W631" s="23" t="str">
        <f aca="false">IF($D631="","",IF($T631="","BEKLİYOR",IF(OR($U631=0,$S631=0),"DOĞRU",IF(AND($V631&gt;PazaryeriEksikHakedisEsik,$U631&gt;PazaryeriEksikHakedisTutarEsik),"EKSİK HAKEDİŞ","DOĞRU"))))</f>
        <v/>
      </c>
      <c r="X631" s="23" t="str">
        <f aca="false">IF($B631="","",CONCATENATE("Ürün: ",$B631," | Kâr: ",TEXT($Q631,"₺ #,##0")," | Durum: ",$W631))</f>
        <v/>
      </c>
      <c r="Y631" s="24"/>
    </row>
    <row r="632" customFormat="false" ht="15" hidden="false" customHeight="false" outlineLevel="0" collapsed="false">
      <c r="A632" s="24"/>
      <c r="B632" s="24"/>
      <c r="C632" s="22"/>
      <c r="D632" s="25"/>
      <c r="E632" s="22"/>
      <c r="F632" s="26"/>
      <c r="G632" s="26"/>
      <c r="H632" s="26"/>
      <c r="I632" s="26"/>
      <c r="J632" s="22"/>
      <c r="K632" s="20" t="n">
        <f aca="false">IF($D632="",0,$C632*$D632)</f>
        <v>0</v>
      </c>
      <c r="L632" s="20" t="n">
        <f aca="false">IF($D632="",0,$F632*$K632)</f>
        <v>0</v>
      </c>
      <c r="M632" s="20" t="n">
        <f aca="false">IF($D632="",0,$G632*$K632)</f>
        <v>0</v>
      </c>
      <c r="N632" s="20" t="n">
        <f aca="false">IF($D632="",0,$H632*$K632)</f>
        <v>0</v>
      </c>
      <c r="O632" s="20" t="n">
        <f aca="false">IF($D632="",0,$I632*$K632*(1-$F632))</f>
        <v>0</v>
      </c>
      <c r="P632" s="20" t="n">
        <f aca="false">IF($D632="",0,$E632*$D632+$L632+$M632+$N632+$O632+$J632*$D632)</f>
        <v>0</v>
      </c>
      <c r="Q632" s="20" t="n">
        <f aca="false">IF($D632="",0,$K632-$P632)</f>
        <v>0</v>
      </c>
      <c r="R632" s="21" t="n">
        <f aca="false">IF($K632=0,0,$Q632/$K632)</f>
        <v>0</v>
      </c>
      <c r="S632" s="20" t="n">
        <f aca="false">IF($D632="",0,$K632-$L632-$M632-$N632)</f>
        <v>0</v>
      </c>
      <c r="T632" s="22"/>
      <c r="U632" s="20" t="n">
        <f aca="false">IF($T632="",0,MAX(0,$S632-$T632))</f>
        <v>0</v>
      </c>
      <c r="V632" s="21" t="n">
        <f aca="false">IF($S632=0,0,$U632/$S632)</f>
        <v>0</v>
      </c>
      <c r="W632" s="23" t="str">
        <f aca="false">IF($D632="","",IF($T632="","BEKLİYOR",IF(OR($U632=0,$S632=0),"DOĞRU",IF(AND($V632&gt;PazaryeriEksikHakedisEsik,$U632&gt;PazaryeriEksikHakedisTutarEsik),"EKSİK HAKEDİŞ","DOĞRU"))))</f>
        <v/>
      </c>
      <c r="X632" s="23" t="str">
        <f aca="false">IF($B632="","",CONCATENATE("Ürün: ",$B632," | Kâr: ",TEXT($Q632,"₺ #,##0")," | Durum: ",$W632))</f>
        <v/>
      </c>
      <c r="Y632" s="24"/>
    </row>
    <row r="633" customFormat="false" ht="15" hidden="false" customHeight="false" outlineLevel="0" collapsed="false">
      <c r="A633" s="24"/>
      <c r="B633" s="24"/>
      <c r="C633" s="22"/>
      <c r="D633" s="25"/>
      <c r="E633" s="22"/>
      <c r="F633" s="26"/>
      <c r="G633" s="26"/>
      <c r="H633" s="26"/>
      <c r="I633" s="26"/>
      <c r="J633" s="22"/>
      <c r="K633" s="20" t="n">
        <f aca="false">IF($D633="",0,$C633*$D633)</f>
        <v>0</v>
      </c>
      <c r="L633" s="20" t="n">
        <f aca="false">IF($D633="",0,$F633*$K633)</f>
        <v>0</v>
      </c>
      <c r="M633" s="20" t="n">
        <f aca="false">IF($D633="",0,$G633*$K633)</f>
        <v>0</v>
      </c>
      <c r="N633" s="20" t="n">
        <f aca="false">IF($D633="",0,$H633*$K633)</f>
        <v>0</v>
      </c>
      <c r="O633" s="20" t="n">
        <f aca="false">IF($D633="",0,$I633*$K633*(1-$F633))</f>
        <v>0</v>
      </c>
      <c r="P633" s="20" t="n">
        <f aca="false">IF($D633="",0,$E633*$D633+$L633+$M633+$N633+$O633+$J633*$D633)</f>
        <v>0</v>
      </c>
      <c r="Q633" s="20" t="n">
        <f aca="false">IF($D633="",0,$K633-$P633)</f>
        <v>0</v>
      </c>
      <c r="R633" s="21" t="n">
        <f aca="false">IF($K633=0,0,$Q633/$K633)</f>
        <v>0</v>
      </c>
      <c r="S633" s="20" t="n">
        <f aca="false">IF($D633="",0,$K633-$L633-$M633-$N633)</f>
        <v>0</v>
      </c>
      <c r="T633" s="22"/>
      <c r="U633" s="20" t="n">
        <f aca="false">IF($T633="",0,MAX(0,$S633-$T633))</f>
        <v>0</v>
      </c>
      <c r="V633" s="21" t="n">
        <f aca="false">IF($S633=0,0,$U633/$S633)</f>
        <v>0</v>
      </c>
      <c r="W633" s="23" t="str">
        <f aca="false">IF($D633="","",IF($T633="","BEKLİYOR",IF(OR($U633=0,$S633=0),"DOĞRU",IF(AND($V633&gt;PazaryeriEksikHakedisEsik,$U633&gt;PazaryeriEksikHakedisTutarEsik),"EKSİK HAKEDİŞ","DOĞRU"))))</f>
        <v/>
      </c>
      <c r="X633" s="23" t="str">
        <f aca="false">IF($B633="","",CONCATENATE("Ürün: ",$B633," | Kâr: ",TEXT($Q633,"₺ #,##0")," | Durum: ",$W633))</f>
        <v/>
      </c>
      <c r="Y633" s="24"/>
    </row>
    <row r="634" customFormat="false" ht="15" hidden="false" customHeight="false" outlineLevel="0" collapsed="false">
      <c r="A634" s="24"/>
      <c r="B634" s="24"/>
      <c r="C634" s="22"/>
      <c r="D634" s="25"/>
      <c r="E634" s="22"/>
      <c r="F634" s="26"/>
      <c r="G634" s="26"/>
      <c r="H634" s="26"/>
      <c r="I634" s="26"/>
      <c r="J634" s="22"/>
      <c r="K634" s="20" t="n">
        <f aca="false">IF($D634="",0,$C634*$D634)</f>
        <v>0</v>
      </c>
      <c r="L634" s="20" t="n">
        <f aca="false">IF($D634="",0,$F634*$K634)</f>
        <v>0</v>
      </c>
      <c r="M634" s="20" t="n">
        <f aca="false">IF($D634="",0,$G634*$K634)</f>
        <v>0</v>
      </c>
      <c r="N634" s="20" t="n">
        <f aca="false">IF($D634="",0,$H634*$K634)</f>
        <v>0</v>
      </c>
      <c r="O634" s="20" t="n">
        <f aca="false">IF($D634="",0,$I634*$K634*(1-$F634))</f>
        <v>0</v>
      </c>
      <c r="P634" s="20" t="n">
        <f aca="false">IF($D634="",0,$E634*$D634+$L634+$M634+$N634+$O634+$J634*$D634)</f>
        <v>0</v>
      </c>
      <c r="Q634" s="20" t="n">
        <f aca="false">IF($D634="",0,$K634-$P634)</f>
        <v>0</v>
      </c>
      <c r="R634" s="21" t="n">
        <f aca="false">IF($K634=0,0,$Q634/$K634)</f>
        <v>0</v>
      </c>
      <c r="S634" s="20" t="n">
        <f aca="false">IF($D634="",0,$K634-$L634-$M634-$N634)</f>
        <v>0</v>
      </c>
      <c r="T634" s="22"/>
      <c r="U634" s="20" t="n">
        <f aca="false">IF($T634="",0,MAX(0,$S634-$T634))</f>
        <v>0</v>
      </c>
      <c r="V634" s="21" t="n">
        <f aca="false">IF($S634=0,0,$U634/$S634)</f>
        <v>0</v>
      </c>
      <c r="W634" s="23" t="str">
        <f aca="false">IF($D634="","",IF($T634="","BEKLİYOR",IF(OR($U634=0,$S634=0),"DOĞRU",IF(AND($V634&gt;PazaryeriEksikHakedisEsik,$U634&gt;PazaryeriEksikHakedisTutarEsik),"EKSİK HAKEDİŞ","DOĞRU"))))</f>
        <v/>
      </c>
      <c r="X634" s="23" t="str">
        <f aca="false">IF($B634="","",CONCATENATE("Ürün: ",$B634," | Kâr: ",TEXT($Q634,"₺ #,##0")," | Durum: ",$W634))</f>
        <v/>
      </c>
      <c r="Y634" s="24"/>
    </row>
    <row r="635" customFormat="false" ht="15" hidden="false" customHeight="false" outlineLevel="0" collapsed="false">
      <c r="A635" s="24"/>
      <c r="B635" s="24"/>
      <c r="C635" s="22"/>
      <c r="D635" s="25"/>
      <c r="E635" s="22"/>
      <c r="F635" s="26"/>
      <c r="G635" s="26"/>
      <c r="H635" s="26"/>
      <c r="I635" s="26"/>
      <c r="J635" s="22"/>
      <c r="K635" s="20" t="n">
        <f aca="false">IF($D635="",0,$C635*$D635)</f>
        <v>0</v>
      </c>
      <c r="L635" s="20" t="n">
        <f aca="false">IF($D635="",0,$F635*$K635)</f>
        <v>0</v>
      </c>
      <c r="M635" s="20" t="n">
        <f aca="false">IF($D635="",0,$G635*$K635)</f>
        <v>0</v>
      </c>
      <c r="N635" s="20" t="n">
        <f aca="false">IF($D635="",0,$H635*$K635)</f>
        <v>0</v>
      </c>
      <c r="O635" s="20" t="n">
        <f aca="false">IF($D635="",0,$I635*$K635*(1-$F635))</f>
        <v>0</v>
      </c>
      <c r="P635" s="20" t="n">
        <f aca="false">IF($D635="",0,$E635*$D635+$L635+$M635+$N635+$O635+$J635*$D635)</f>
        <v>0</v>
      </c>
      <c r="Q635" s="20" t="n">
        <f aca="false">IF($D635="",0,$K635-$P635)</f>
        <v>0</v>
      </c>
      <c r="R635" s="21" t="n">
        <f aca="false">IF($K635=0,0,$Q635/$K635)</f>
        <v>0</v>
      </c>
      <c r="S635" s="20" t="n">
        <f aca="false">IF($D635="",0,$K635-$L635-$M635-$N635)</f>
        <v>0</v>
      </c>
      <c r="T635" s="22"/>
      <c r="U635" s="20" t="n">
        <f aca="false">IF($T635="",0,MAX(0,$S635-$T635))</f>
        <v>0</v>
      </c>
      <c r="V635" s="21" t="n">
        <f aca="false">IF($S635=0,0,$U635/$S635)</f>
        <v>0</v>
      </c>
      <c r="W635" s="23" t="str">
        <f aca="false">IF($D635="","",IF($T635="","BEKLİYOR",IF(OR($U635=0,$S635=0),"DOĞRU",IF(AND($V635&gt;PazaryeriEksikHakedisEsik,$U635&gt;PazaryeriEksikHakedisTutarEsik),"EKSİK HAKEDİŞ","DOĞRU"))))</f>
        <v/>
      </c>
      <c r="X635" s="23" t="str">
        <f aca="false">IF($B635="","",CONCATENATE("Ürün: ",$B635," | Kâr: ",TEXT($Q635,"₺ #,##0")," | Durum: ",$W635))</f>
        <v/>
      </c>
      <c r="Y635" s="24"/>
    </row>
    <row r="636" customFormat="false" ht="15" hidden="false" customHeight="false" outlineLevel="0" collapsed="false">
      <c r="A636" s="24"/>
      <c r="B636" s="24"/>
      <c r="C636" s="22"/>
      <c r="D636" s="25"/>
      <c r="E636" s="22"/>
      <c r="F636" s="26"/>
      <c r="G636" s="26"/>
      <c r="H636" s="26"/>
      <c r="I636" s="26"/>
      <c r="J636" s="22"/>
      <c r="K636" s="20" t="n">
        <f aca="false">IF($D636="",0,$C636*$D636)</f>
        <v>0</v>
      </c>
      <c r="L636" s="20" t="n">
        <f aca="false">IF($D636="",0,$F636*$K636)</f>
        <v>0</v>
      </c>
      <c r="M636" s="20" t="n">
        <f aca="false">IF($D636="",0,$G636*$K636)</f>
        <v>0</v>
      </c>
      <c r="N636" s="20" t="n">
        <f aca="false">IF($D636="",0,$H636*$K636)</f>
        <v>0</v>
      </c>
      <c r="O636" s="20" t="n">
        <f aca="false">IF($D636="",0,$I636*$K636*(1-$F636))</f>
        <v>0</v>
      </c>
      <c r="P636" s="20" t="n">
        <f aca="false">IF($D636="",0,$E636*$D636+$L636+$M636+$N636+$O636+$J636*$D636)</f>
        <v>0</v>
      </c>
      <c r="Q636" s="20" t="n">
        <f aca="false">IF($D636="",0,$K636-$P636)</f>
        <v>0</v>
      </c>
      <c r="R636" s="21" t="n">
        <f aca="false">IF($K636=0,0,$Q636/$K636)</f>
        <v>0</v>
      </c>
      <c r="S636" s="20" t="n">
        <f aca="false">IF($D636="",0,$K636-$L636-$M636-$N636)</f>
        <v>0</v>
      </c>
      <c r="T636" s="22"/>
      <c r="U636" s="20" t="n">
        <f aca="false">IF($T636="",0,MAX(0,$S636-$T636))</f>
        <v>0</v>
      </c>
      <c r="V636" s="21" t="n">
        <f aca="false">IF($S636=0,0,$U636/$S636)</f>
        <v>0</v>
      </c>
      <c r="W636" s="23" t="str">
        <f aca="false">IF($D636="","",IF($T636="","BEKLİYOR",IF(OR($U636=0,$S636=0),"DOĞRU",IF(AND($V636&gt;PazaryeriEksikHakedisEsik,$U636&gt;PazaryeriEksikHakedisTutarEsik),"EKSİK HAKEDİŞ","DOĞRU"))))</f>
        <v/>
      </c>
      <c r="X636" s="23" t="str">
        <f aca="false">IF($B636="","",CONCATENATE("Ürün: ",$B636," | Kâr: ",TEXT($Q636,"₺ #,##0")," | Durum: ",$W636))</f>
        <v/>
      </c>
      <c r="Y636" s="24"/>
    </row>
    <row r="637" customFormat="false" ht="15" hidden="false" customHeight="false" outlineLevel="0" collapsed="false">
      <c r="A637" s="24"/>
      <c r="B637" s="24"/>
      <c r="C637" s="22"/>
      <c r="D637" s="25"/>
      <c r="E637" s="22"/>
      <c r="F637" s="26"/>
      <c r="G637" s="26"/>
      <c r="H637" s="26"/>
      <c r="I637" s="26"/>
      <c r="J637" s="22"/>
      <c r="K637" s="20" t="n">
        <f aca="false">IF($D637="",0,$C637*$D637)</f>
        <v>0</v>
      </c>
      <c r="L637" s="20" t="n">
        <f aca="false">IF($D637="",0,$F637*$K637)</f>
        <v>0</v>
      </c>
      <c r="M637" s="20" t="n">
        <f aca="false">IF($D637="",0,$G637*$K637)</f>
        <v>0</v>
      </c>
      <c r="N637" s="20" t="n">
        <f aca="false">IF($D637="",0,$H637*$K637)</f>
        <v>0</v>
      </c>
      <c r="O637" s="20" t="n">
        <f aca="false">IF($D637="",0,$I637*$K637*(1-$F637))</f>
        <v>0</v>
      </c>
      <c r="P637" s="20" t="n">
        <f aca="false">IF($D637="",0,$E637*$D637+$L637+$M637+$N637+$O637+$J637*$D637)</f>
        <v>0</v>
      </c>
      <c r="Q637" s="20" t="n">
        <f aca="false">IF($D637="",0,$K637-$P637)</f>
        <v>0</v>
      </c>
      <c r="R637" s="21" t="n">
        <f aca="false">IF($K637=0,0,$Q637/$K637)</f>
        <v>0</v>
      </c>
      <c r="S637" s="20" t="n">
        <f aca="false">IF($D637="",0,$K637-$L637-$M637-$N637)</f>
        <v>0</v>
      </c>
      <c r="T637" s="22"/>
      <c r="U637" s="20" t="n">
        <f aca="false">IF($T637="",0,MAX(0,$S637-$T637))</f>
        <v>0</v>
      </c>
      <c r="V637" s="21" t="n">
        <f aca="false">IF($S637=0,0,$U637/$S637)</f>
        <v>0</v>
      </c>
      <c r="W637" s="23" t="str">
        <f aca="false">IF($D637="","",IF($T637="","BEKLİYOR",IF(OR($U637=0,$S637=0),"DOĞRU",IF(AND($V637&gt;PazaryeriEksikHakedisEsik,$U637&gt;PazaryeriEksikHakedisTutarEsik),"EKSİK HAKEDİŞ","DOĞRU"))))</f>
        <v/>
      </c>
      <c r="X637" s="23" t="str">
        <f aca="false">IF($B637="","",CONCATENATE("Ürün: ",$B637," | Kâr: ",TEXT($Q637,"₺ #,##0")," | Durum: ",$W637))</f>
        <v/>
      </c>
      <c r="Y637" s="24"/>
    </row>
    <row r="638" customFormat="false" ht="15" hidden="false" customHeight="false" outlineLevel="0" collapsed="false">
      <c r="A638" s="24"/>
      <c r="B638" s="24"/>
      <c r="C638" s="22"/>
      <c r="D638" s="25"/>
      <c r="E638" s="22"/>
      <c r="F638" s="26"/>
      <c r="G638" s="26"/>
      <c r="H638" s="26"/>
      <c r="I638" s="26"/>
      <c r="J638" s="22"/>
      <c r="K638" s="20" t="n">
        <f aca="false">IF($D638="",0,$C638*$D638)</f>
        <v>0</v>
      </c>
      <c r="L638" s="20" t="n">
        <f aca="false">IF($D638="",0,$F638*$K638)</f>
        <v>0</v>
      </c>
      <c r="M638" s="20" t="n">
        <f aca="false">IF($D638="",0,$G638*$K638)</f>
        <v>0</v>
      </c>
      <c r="N638" s="20" t="n">
        <f aca="false">IF($D638="",0,$H638*$K638)</f>
        <v>0</v>
      </c>
      <c r="O638" s="20" t="n">
        <f aca="false">IF($D638="",0,$I638*$K638*(1-$F638))</f>
        <v>0</v>
      </c>
      <c r="P638" s="20" t="n">
        <f aca="false">IF($D638="",0,$E638*$D638+$L638+$M638+$N638+$O638+$J638*$D638)</f>
        <v>0</v>
      </c>
      <c r="Q638" s="20" t="n">
        <f aca="false">IF($D638="",0,$K638-$P638)</f>
        <v>0</v>
      </c>
      <c r="R638" s="21" t="n">
        <f aca="false">IF($K638=0,0,$Q638/$K638)</f>
        <v>0</v>
      </c>
      <c r="S638" s="20" t="n">
        <f aca="false">IF($D638="",0,$K638-$L638-$M638-$N638)</f>
        <v>0</v>
      </c>
      <c r="T638" s="22"/>
      <c r="U638" s="20" t="n">
        <f aca="false">IF($T638="",0,MAX(0,$S638-$T638))</f>
        <v>0</v>
      </c>
      <c r="V638" s="21" t="n">
        <f aca="false">IF($S638=0,0,$U638/$S638)</f>
        <v>0</v>
      </c>
      <c r="W638" s="23" t="str">
        <f aca="false">IF($D638="","",IF($T638="","BEKLİYOR",IF(OR($U638=0,$S638=0),"DOĞRU",IF(AND($V638&gt;PazaryeriEksikHakedisEsik,$U638&gt;PazaryeriEksikHakedisTutarEsik),"EKSİK HAKEDİŞ","DOĞRU"))))</f>
        <v/>
      </c>
      <c r="X638" s="23" t="str">
        <f aca="false">IF($B638="","",CONCATENATE("Ürün: ",$B638," | Kâr: ",TEXT($Q638,"₺ #,##0")," | Durum: ",$W638))</f>
        <v/>
      </c>
      <c r="Y638" s="24"/>
    </row>
    <row r="639" customFormat="false" ht="15" hidden="false" customHeight="false" outlineLevel="0" collapsed="false">
      <c r="A639" s="24"/>
      <c r="B639" s="24"/>
      <c r="C639" s="22"/>
      <c r="D639" s="25"/>
      <c r="E639" s="22"/>
      <c r="F639" s="26"/>
      <c r="G639" s="26"/>
      <c r="H639" s="26"/>
      <c r="I639" s="26"/>
      <c r="J639" s="22"/>
      <c r="K639" s="20" t="n">
        <f aca="false">IF($D639="",0,$C639*$D639)</f>
        <v>0</v>
      </c>
      <c r="L639" s="20" t="n">
        <f aca="false">IF($D639="",0,$F639*$K639)</f>
        <v>0</v>
      </c>
      <c r="M639" s="20" t="n">
        <f aca="false">IF($D639="",0,$G639*$K639)</f>
        <v>0</v>
      </c>
      <c r="N639" s="20" t="n">
        <f aca="false">IF($D639="",0,$H639*$K639)</f>
        <v>0</v>
      </c>
      <c r="O639" s="20" t="n">
        <f aca="false">IF($D639="",0,$I639*$K639*(1-$F639))</f>
        <v>0</v>
      </c>
      <c r="P639" s="20" t="n">
        <f aca="false">IF($D639="",0,$E639*$D639+$L639+$M639+$N639+$O639+$J639*$D639)</f>
        <v>0</v>
      </c>
      <c r="Q639" s="20" t="n">
        <f aca="false">IF($D639="",0,$K639-$P639)</f>
        <v>0</v>
      </c>
      <c r="R639" s="21" t="n">
        <f aca="false">IF($K639=0,0,$Q639/$K639)</f>
        <v>0</v>
      </c>
      <c r="S639" s="20" t="n">
        <f aca="false">IF($D639="",0,$K639-$L639-$M639-$N639)</f>
        <v>0</v>
      </c>
      <c r="T639" s="22"/>
      <c r="U639" s="20" t="n">
        <f aca="false">IF($T639="",0,MAX(0,$S639-$T639))</f>
        <v>0</v>
      </c>
      <c r="V639" s="21" t="n">
        <f aca="false">IF($S639=0,0,$U639/$S639)</f>
        <v>0</v>
      </c>
      <c r="W639" s="23" t="str">
        <f aca="false">IF($D639="","",IF($T639="","BEKLİYOR",IF(OR($U639=0,$S639=0),"DOĞRU",IF(AND($V639&gt;PazaryeriEksikHakedisEsik,$U639&gt;PazaryeriEksikHakedisTutarEsik),"EKSİK HAKEDİŞ","DOĞRU"))))</f>
        <v/>
      </c>
      <c r="X639" s="23" t="str">
        <f aca="false">IF($B639="","",CONCATENATE("Ürün: ",$B639," | Kâr: ",TEXT($Q639,"₺ #,##0")," | Durum: ",$W639))</f>
        <v/>
      </c>
      <c r="Y639" s="24"/>
    </row>
    <row r="640" customFormat="false" ht="15" hidden="false" customHeight="false" outlineLevel="0" collapsed="false">
      <c r="A640" s="24"/>
      <c r="B640" s="24"/>
      <c r="C640" s="22"/>
      <c r="D640" s="25"/>
      <c r="E640" s="22"/>
      <c r="F640" s="26"/>
      <c r="G640" s="26"/>
      <c r="H640" s="26"/>
      <c r="I640" s="26"/>
      <c r="J640" s="22"/>
      <c r="K640" s="20" t="n">
        <f aca="false">IF($D640="",0,$C640*$D640)</f>
        <v>0</v>
      </c>
      <c r="L640" s="20" t="n">
        <f aca="false">IF($D640="",0,$F640*$K640)</f>
        <v>0</v>
      </c>
      <c r="M640" s="20" t="n">
        <f aca="false">IF($D640="",0,$G640*$K640)</f>
        <v>0</v>
      </c>
      <c r="N640" s="20" t="n">
        <f aca="false">IF($D640="",0,$H640*$K640)</f>
        <v>0</v>
      </c>
      <c r="O640" s="20" t="n">
        <f aca="false">IF($D640="",0,$I640*$K640*(1-$F640))</f>
        <v>0</v>
      </c>
      <c r="P640" s="20" t="n">
        <f aca="false">IF($D640="",0,$E640*$D640+$L640+$M640+$N640+$O640+$J640*$D640)</f>
        <v>0</v>
      </c>
      <c r="Q640" s="20" t="n">
        <f aca="false">IF($D640="",0,$K640-$P640)</f>
        <v>0</v>
      </c>
      <c r="R640" s="21" t="n">
        <f aca="false">IF($K640=0,0,$Q640/$K640)</f>
        <v>0</v>
      </c>
      <c r="S640" s="20" t="n">
        <f aca="false">IF($D640="",0,$K640-$L640-$M640-$N640)</f>
        <v>0</v>
      </c>
      <c r="T640" s="22"/>
      <c r="U640" s="20" t="n">
        <f aca="false">IF($T640="",0,MAX(0,$S640-$T640))</f>
        <v>0</v>
      </c>
      <c r="V640" s="21" t="n">
        <f aca="false">IF($S640=0,0,$U640/$S640)</f>
        <v>0</v>
      </c>
      <c r="W640" s="23" t="str">
        <f aca="false">IF($D640="","",IF($T640="","BEKLİYOR",IF(OR($U640=0,$S640=0),"DOĞRU",IF(AND($V640&gt;PazaryeriEksikHakedisEsik,$U640&gt;PazaryeriEksikHakedisTutarEsik),"EKSİK HAKEDİŞ","DOĞRU"))))</f>
        <v/>
      </c>
      <c r="X640" s="23" t="str">
        <f aca="false">IF($B640="","",CONCATENATE("Ürün: ",$B640," | Kâr: ",TEXT($Q640,"₺ #,##0")," | Durum: ",$W640))</f>
        <v/>
      </c>
      <c r="Y640" s="24"/>
    </row>
    <row r="641" customFormat="false" ht="15" hidden="false" customHeight="false" outlineLevel="0" collapsed="false">
      <c r="A641" s="24"/>
      <c r="B641" s="24"/>
      <c r="C641" s="22"/>
      <c r="D641" s="25"/>
      <c r="E641" s="22"/>
      <c r="F641" s="26"/>
      <c r="G641" s="26"/>
      <c r="H641" s="26"/>
      <c r="I641" s="26"/>
      <c r="J641" s="22"/>
      <c r="K641" s="20" t="n">
        <f aca="false">IF($D641="",0,$C641*$D641)</f>
        <v>0</v>
      </c>
      <c r="L641" s="20" t="n">
        <f aca="false">IF($D641="",0,$F641*$K641)</f>
        <v>0</v>
      </c>
      <c r="M641" s="20" t="n">
        <f aca="false">IF($D641="",0,$G641*$K641)</f>
        <v>0</v>
      </c>
      <c r="N641" s="20" t="n">
        <f aca="false">IF($D641="",0,$H641*$K641)</f>
        <v>0</v>
      </c>
      <c r="O641" s="20" t="n">
        <f aca="false">IF($D641="",0,$I641*$K641*(1-$F641))</f>
        <v>0</v>
      </c>
      <c r="P641" s="20" t="n">
        <f aca="false">IF($D641="",0,$E641*$D641+$L641+$M641+$N641+$O641+$J641*$D641)</f>
        <v>0</v>
      </c>
      <c r="Q641" s="20" t="n">
        <f aca="false">IF($D641="",0,$K641-$P641)</f>
        <v>0</v>
      </c>
      <c r="R641" s="21" t="n">
        <f aca="false">IF($K641=0,0,$Q641/$K641)</f>
        <v>0</v>
      </c>
      <c r="S641" s="20" t="n">
        <f aca="false">IF($D641="",0,$K641-$L641-$M641-$N641)</f>
        <v>0</v>
      </c>
      <c r="T641" s="22"/>
      <c r="U641" s="20" t="n">
        <f aca="false">IF($T641="",0,MAX(0,$S641-$T641))</f>
        <v>0</v>
      </c>
      <c r="V641" s="21" t="n">
        <f aca="false">IF($S641=0,0,$U641/$S641)</f>
        <v>0</v>
      </c>
      <c r="W641" s="23" t="str">
        <f aca="false">IF($D641="","",IF($T641="","BEKLİYOR",IF(OR($U641=0,$S641=0),"DOĞRU",IF(AND($V641&gt;PazaryeriEksikHakedisEsik,$U641&gt;PazaryeriEksikHakedisTutarEsik),"EKSİK HAKEDİŞ","DOĞRU"))))</f>
        <v/>
      </c>
      <c r="X641" s="23" t="str">
        <f aca="false">IF($B641="","",CONCATENATE("Ürün: ",$B641," | Kâr: ",TEXT($Q641,"₺ #,##0")," | Durum: ",$W641))</f>
        <v/>
      </c>
      <c r="Y641" s="24"/>
    </row>
    <row r="642" customFormat="false" ht="15" hidden="false" customHeight="false" outlineLevel="0" collapsed="false">
      <c r="A642" s="24"/>
      <c r="B642" s="24"/>
      <c r="C642" s="22"/>
      <c r="D642" s="25"/>
      <c r="E642" s="22"/>
      <c r="F642" s="26"/>
      <c r="G642" s="26"/>
      <c r="H642" s="26"/>
      <c r="I642" s="26"/>
      <c r="J642" s="22"/>
      <c r="K642" s="20" t="n">
        <f aca="false">IF($D642="",0,$C642*$D642)</f>
        <v>0</v>
      </c>
      <c r="L642" s="20" t="n">
        <f aca="false">IF($D642="",0,$F642*$K642)</f>
        <v>0</v>
      </c>
      <c r="M642" s="20" t="n">
        <f aca="false">IF($D642="",0,$G642*$K642)</f>
        <v>0</v>
      </c>
      <c r="N642" s="20" t="n">
        <f aca="false">IF($D642="",0,$H642*$K642)</f>
        <v>0</v>
      </c>
      <c r="O642" s="20" t="n">
        <f aca="false">IF($D642="",0,$I642*$K642*(1-$F642))</f>
        <v>0</v>
      </c>
      <c r="P642" s="20" t="n">
        <f aca="false">IF($D642="",0,$E642*$D642+$L642+$M642+$N642+$O642+$J642*$D642)</f>
        <v>0</v>
      </c>
      <c r="Q642" s="20" t="n">
        <f aca="false">IF($D642="",0,$K642-$P642)</f>
        <v>0</v>
      </c>
      <c r="R642" s="21" t="n">
        <f aca="false">IF($K642=0,0,$Q642/$K642)</f>
        <v>0</v>
      </c>
      <c r="S642" s="20" t="n">
        <f aca="false">IF($D642="",0,$K642-$L642-$M642-$N642)</f>
        <v>0</v>
      </c>
      <c r="T642" s="22"/>
      <c r="U642" s="20" t="n">
        <f aca="false">IF($T642="",0,MAX(0,$S642-$T642))</f>
        <v>0</v>
      </c>
      <c r="V642" s="21" t="n">
        <f aca="false">IF($S642=0,0,$U642/$S642)</f>
        <v>0</v>
      </c>
      <c r="W642" s="23" t="str">
        <f aca="false">IF($D642="","",IF($T642="","BEKLİYOR",IF(OR($U642=0,$S642=0),"DOĞRU",IF(AND($V642&gt;PazaryeriEksikHakedisEsik,$U642&gt;PazaryeriEksikHakedisTutarEsik),"EKSİK HAKEDİŞ","DOĞRU"))))</f>
        <v/>
      </c>
      <c r="X642" s="23" t="str">
        <f aca="false">IF($B642="","",CONCATENATE("Ürün: ",$B642," | Kâr: ",TEXT($Q642,"₺ #,##0")," | Durum: ",$W642))</f>
        <v/>
      </c>
      <c r="Y642" s="24"/>
    </row>
    <row r="643" customFormat="false" ht="15" hidden="false" customHeight="false" outlineLevel="0" collapsed="false">
      <c r="A643" s="24"/>
      <c r="B643" s="24"/>
      <c r="C643" s="22"/>
      <c r="D643" s="25"/>
      <c r="E643" s="22"/>
      <c r="F643" s="26"/>
      <c r="G643" s="26"/>
      <c r="H643" s="26"/>
      <c r="I643" s="26"/>
      <c r="J643" s="22"/>
      <c r="K643" s="20" t="n">
        <f aca="false">IF($D643="",0,$C643*$D643)</f>
        <v>0</v>
      </c>
      <c r="L643" s="20" t="n">
        <f aca="false">IF($D643="",0,$F643*$K643)</f>
        <v>0</v>
      </c>
      <c r="M643" s="20" t="n">
        <f aca="false">IF($D643="",0,$G643*$K643)</f>
        <v>0</v>
      </c>
      <c r="N643" s="20" t="n">
        <f aca="false">IF($D643="",0,$H643*$K643)</f>
        <v>0</v>
      </c>
      <c r="O643" s="20" t="n">
        <f aca="false">IF($D643="",0,$I643*$K643*(1-$F643))</f>
        <v>0</v>
      </c>
      <c r="P643" s="20" t="n">
        <f aca="false">IF($D643="",0,$E643*$D643+$L643+$M643+$N643+$O643+$J643*$D643)</f>
        <v>0</v>
      </c>
      <c r="Q643" s="20" t="n">
        <f aca="false">IF($D643="",0,$K643-$P643)</f>
        <v>0</v>
      </c>
      <c r="R643" s="21" t="n">
        <f aca="false">IF($K643=0,0,$Q643/$K643)</f>
        <v>0</v>
      </c>
      <c r="S643" s="20" t="n">
        <f aca="false">IF($D643="",0,$K643-$L643-$M643-$N643)</f>
        <v>0</v>
      </c>
      <c r="T643" s="22"/>
      <c r="U643" s="20" t="n">
        <f aca="false">IF($T643="",0,MAX(0,$S643-$T643))</f>
        <v>0</v>
      </c>
      <c r="V643" s="21" t="n">
        <f aca="false">IF($S643=0,0,$U643/$S643)</f>
        <v>0</v>
      </c>
      <c r="W643" s="23" t="str">
        <f aca="false">IF($D643="","",IF($T643="","BEKLİYOR",IF(OR($U643=0,$S643=0),"DOĞRU",IF(AND($V643&gt;PazaryeriEksikHakedisEsik,$U643&gt;PazaryeriEksikHakedisTutarEsik),"EKSİK HAKEDİŞ","DOĞRU"))))</f>
        <v/>
      </c>
      <c r="X643" s="23" t="str">
        <f aca="false">IF($B643="","",CONCATENATE("Ürün: ",$B643," | Kâr: ",TEXT($Q643,"₺ #,##0")," | Durum: ",$W643))</f>
        <v/>
      </c>
      <c r="Y643" s="24"/>
    </row>
    <row r="644" customFormat="false" ht="15" hidden="false" customHeight="false" outlineLevel="0" collapsed="false">
      <c r="A644" s="24"/>
      <c r="B644" s="24"/>
      <c r="C644" s="22"/>
      <c r="D644" s="25"/>
      <c r="E644" s="22"/>
      <c r="F644" s="26"/>
      <c r="G644" s="26"/>
      <c r="H644" s="26"/>
      <c r="I644" s="26"/>
      <c r="J644" s="22"/>
      <c r="K644" s="20" t="n">
        <f aca="false">IF($D644="",0,$C644*$D644)</f>
        <v>0</v>
      </c>
      <c r="L644" s="20" t="n">
        <f aca="false">IF($D644="",0,$F644*$K644)</f>
        <v>0</v>
      </c>
      <c r="M644" s="20" t="n">
        <f aca="false">IF($D644="",0,$G644*$K644)</f>
        <v>0</v>
      </c>
      <c r="N644" s="20" t="n">
        <f aca="false">IF($D644="",0,$H644*$K644)</f>
        <v>0</v>
      </c>
      <c r="O644" s="20" t="n">
        <f aca="false">IF($D644="",0,$I644*$K644*(1-$F644))</f>
        <v>0</v>
      </c>
      <c r="P644" s="20" t="n">
        <f aca="false">IF($D644="",0,$E644*$D644+$L644+$M644+$N644+$O644+$J644*$D644)</f>
        <v>0</v>
      </c>
      <c r="Q644" s="20" t="n">
        <f aca="false">IF($D644="",0,$K644-$P644)</f>
        <v>0</v>
      </c>
      <c r="R644" s="21" t="n">
        <f aca="false">IF($K644=0,0,$Q644/$K644)</f>
        <v>0</v>
      </c>
      <c r="S644" s="20" t="n">
        <f aca="false">IF($D644="",0,$K644-$L644-$M644-$N644)</f>
        <v>0</v>
      </c>
      <c r="T644" s="22"/>
      <c r="U644" s="20" t="n">
        <f aca="false">IF($T644="",0,MAX(0,$S644-$T644))</f>
        <v>0</v>
      </c>
      <c r="V644" s="21" t="n">
        <f aca="false">IF($S644=0,0,$U644/$S644)</f>
        <v>0</v>
      </c>
      <c r="W644" s="23" t="str">
        <f aca="false">IF($D644="","",IF($T644="","BEKLİYOR",IF(OR($U644=0,$S644=0),"DOĞRU",IF(AND($V644&gt;PazaryeriEksikHakedisEsik,$U644&gt;PazaryeriEksikHakedisTutarEsik),"EKSİK HAKEDİŞ","DOĞRU"))))</f>
        <v/>
      </c>
      <c r="X644" s="23" t="str">
        <f aca="false">IF($B644="","",CONCATENATE("Ürün: ",$B644," | Kâr: ",TEXT($Q644,"₺ #,##0")," | Durum: ",$W644))</f>
        <v/>
      </c>
      <c r="Y644" s="24"/>
    </row>
    <row r="645" customFormat="false" ht="15" hidden="false" customHeight="false" outlineLevel="0" collapsed="false">
      <c r="A645" s="24"/>
      <c r="B645" s="24"/>
      <c r="C645" s="22"/>
      <c r="D645" s="25"/>
      <c r="E645" s="22"/>
      <c r="F645" s="26"/>
      <c r="G645" s="26"/>
      <c r="H645" s="26"/>
      <c r="I645" s="26"/>
      <c r="J645" s="22"/>
      <c r="K645" s="20" t="n">
        <f aca="false">IF($D645="",0,$C645*$D645)</f>
        <v>0</v>
      </c>
      <c r="L645" s="20" t="n">
        <f aca="false">IF($D645="",0,$F645*$K645)</f>
        <v>0</v>
      </c>
      <c r="M645" s="20" t="n">
        <f aca="false">IF($D645="",0,$G645*$K645)</f>
        <v>0</v>
      </c>
      <c r="N645" s="20" t="n">
        <f aca="false">IF($D645="",0,$H645*$K645)</f>
        <v>0</v>
      </c>
      <c r="O645" s="20" t="n">
        <f aca="false">IF($D645="",0,$I645*$K645*(1-$F645))</f>
        <v>0</v>
      </c>
      <c r="P645" s="20" t="n">
        <f aca="false">IF($D645="",0,$E645*$D645+$L645+$M645+$N645+$O645+$J645*$D645)</f>
        <v>0</v>
      </c>
      <c r="Q645" s="20" t="n">
        <f aca="false">IF($D645="",0,$K645-$P645)</f>
        <v>0</v>
      </c>
      <c r="R645" s="21" t="n">
        <f aca="false">IF($K645=0,0,$Q645/$K645)</f>
        <v>0</v>
      </c>
      <c r="S645" s="20" t="n">
        <f aca="false">IF($D645="",0,$K645-$L645-$M645-$N645)</f>
        <v>0</v>
      </c>
      <c r="T645" s="22"/>
      <c r="U645" s="20" t="n">
        <f aca="false">IF($T645="",0,MAX(0,$S645-$T645))</f>
        <v>0</v>
      </c>
      <c r="V645" s="21" t="n">
        <f aca="false">IF($S645=0,0,$U645/$S645)</f>
        <v>0</v>
      </c>
      <c r="W645" s="23" t="str">
        <f aca="false">IF($D645="","",IF($T645="","BEKLİYOR",IF(OR($U645=0,$S645=0),"DOĞRU",IF(AND($V645&gt;PazaryeriEksikHakedisEsik,$U645&gt;PazaryeriEksikHakedisTutarEsik),"EKSİK HAKEDİŞ","DOĞRU"))))</f>
        <v/>
      </c>
      <c r="X645" s="23" t="str">
        <f aca="false">IF($B645="","",CONCATENATE("Ürün: ",$B645," | Kâr: ",TEXT($Q645,"₺ #,##0")," | Durum: ",$W645))</f>
        <v/>
      </c>
      <c r="Y645" s="24"/>
    </row>
    <row r="646" customFormat="false" ht="15" hidden="false" customHeight="false" outlineLevel="0" collapsed="false">
      <c r="A646" s="24"/>
      <c r="B646" s="24"/>
      <c r="C646" s="22"/>
      <c r="D646" s="25"/>
      <c r="E646" s="22"/>
      <c r="F646" s="26"/>
      <c r="G646" s="26"/>
      <c r="H646" s="26"/>
      <c r="I646" s="26"/>
      <c r="J646" s="22"/>
      <c r="K646" s="20" t="n">
        <f aca="false">IF($D646="",0,$C646*$D646)</f>
        <v>0</v>
      </c>
      <c r="L646" s="20" t="n">
        <f aca="false">IF($D646="",0,$F646*$K646)</f>
        <v>0</v>
      </c>
      <c r="M646" s="20" t="n">
        <f aca="false">IF($D646="",0,$G646*$K646)</f>
        <v>0</v>
      </c>
      <c r="N646" s="20" t="n">
        <f aca="false">IF($D646="",0,$H646*$K646)</f>
        <v>0</v>
      </c>
      <c r="O646" s="20" t="n">
        <f aca="false">IF($D646="",0,$I646*$K646*(1-$F646))</f>
        <v>0</v>
      </c>
      <c r="P646" s="20" t="n">
        <f aca="false">IF($D646="",0,$E646*$D646+$L646+$M646+$N646+$O646+$J646*$D646)</f>
        <v>0</v>
      </c>
      <c r="Q646" s="20" t="n">
        <f aca="false">IF($D646="",0,$K646-$P646)</f>
        <v>0</v>
      </c>
      <c r="R646" s="21" t="n">
        <f aca="false">IF($K646=0,0,$Q646/$K646)</f>
        <v>0</v>
      </c>
      <c r="S646" s="20" t="n">
        <f aca="false">IF($D646="",0,$K646-$L646-$M646-$N646)</f>
        <v>0</v>
      </c>
      <c r="T646" s="22"/>
      <c r="U646" s="20" t="n">
        <f aca="false">IF($T646="",0,MAX(0,$S646-$T646))</f>
        <v>0</v>
      </c>
      <c r="V646" s="21" t="n">
        <f aca="false">IF($S646=0,0,$U646/$S646)</f>
        <v>0</v>
      </c>
      <c r="W646" s="23" t="str">
        <f aca="false">IF($D646="","",IF($T646="","BEKLİYOR",IF(OR($U646=0,$S646=0),"DOĞRU",IF(AND($V646&gt;PazaryeriEksikHakedisEsik,$U646&gt;PazaryeriEksikHakedisTutarEsik),"EKSİK HAKEDİŞ","DOĞRU"))))</f>
        <v/>
      </c>
      <c r="X646" s="23" t="str">
        <f aca="false">IF($B646="","",CONCATENATE("Ürün: ",$B646," | Kâr: ",TEXT($Q646,"₺ #,##0")," | Durum: ",$W646))</f>
        <v/>
      </c>
      <c r="Y646" s="24"/>
    </row>
    <row r="647" customFormat="false" ht="15" hidden="false" customHeight="false" outlineLevel="0" collapsed="false">
      <c r="A647" s="24"/>
      <c r="B647" s="24"/>
      <c r="C647" s="22"/>
      <c r="D647" s="25"/>
      <c r="E647" s="22"/>
      <c r="F647" s="26"/>
      <c r="G647" s="26"/>
      <c r="H647" s="26"/>
      <c r="I647" s="26"/>
      <c r="J647" s="22"/>
      <c r="K647" s="20" t="n">
        <f aca="false">IF($D647="",0,$C647*$D647)</f>
        <v>0</v>
      </c>
      <c r="L647" s="20" t="n">
        <f aca="false">IF($D647="",0,$F647*$K647)</f>
        <v>0</v>
      </c>
      <c r="M647" s="20" t="n">
        <f aca="false">IF($D647="",0,$G647*$K647)</f>
        <v>0</v>
      </c>
      <c r="N647" s="20" t="n">
        <f aca="false">IF($D647="",0,$H647*$K647)</f>
        <v>0</v>
      </c>
      <c r="O647" s="20" t="n">
        <f aca="false">IF($D647="",0,$I647*$K647*(1-$F647))</f>
        <v>0</v>
      </c>
      <c r="P647" s="20" t="n">
        <f aca="false">IF($D647="",0,$E647*$D647+$L647+$M647+$N647+$O647+$J647*$D647)</f>
        <v>0</v>
      </c>
      <c r="Q647" s="20" t="n">
        <f aca="false">IF($D647="",0,$K647-$P647)</f>
        <v>0</v>
      </c>
      <c r="R647" s="21" t="n">
        <f aca="false">IF($K647=0,0,$Q647/$K647)</f>
        <v>0</v>
      </c>
      <c r="S647" s="20" t="n">
        <f aca="false">IF($D647="",0,$K647-$L647-$M647-$N647)</f>
        <v>0</v>
      </c>
      <c r="T647" s="22"/>
      <c r="U647" s="20" t="n">
        <f aca="false">IF($T647="",0,MAX(0,$S647-$T647))</f>
        <v>0</v>
      </c>
      <c r="V647" s="21" t="n">
        <f aca="false">IF($S647=0,0,$U647/$S647)</f>
        <v>0</v>
      </c>
      <c r="W647" s="23" t="str">
        <f aca="false">IF($D647="","",IF($T647="","BEKLİYOR",IF(OR($U647=0,$S647=0),"DOĞRU",IF(AND($V647&gt;PazaryeriEksikHakedisEsik,$U647&gt;PazaryeriEksikHakedisTutarEsik),"EKSİK HAKEDİŞ","DOĞRU"))))</f>
        <v/>
      </c>
      <c r="X647" s="23" t="str">
        <f aca="false">IF($B647="","",CONCATENATE("Ürün: ",$B647," | Kâr: ",TEXT($Q647,"₺ #,##0")," | Durum: ",$W647))</f>
        <v/>
      </c>
      <c r="Y647" s="24"/>
    </row>
    <row r="648" customFormat="false" ht="15" hidden="false" customHeight="false" outlineLevel="0" collapsed="false">
      <c r="A648" s="24"/>
      <c r="B648" s="24"/>
      <c r="C648" s="22"/>
      <c r="D648" s="25"/>
      <c r="E648" s="22"/>
      <c r="F648" s="26"/>
      <c r="G648" s="26"/>
      <c r="H648" s="26"/>
      <c r="I648" s="26"/>
      <c r="J648" s="22"/>
      <c r="K648" s="20" t="n">
        <f aca="false">IF($D648="",0,$C648*$D648)</f>
        <v>0</v>
      </c>
      <c r="L648" s="20" t="n">
        <f aca="false">IF($D648="",0,$F648*$K648)</f>
        <v>0</v>
      </c>
      <c r="M648" s="20" t="n">
        <f aca="false">IF($D648="",0,$G648*$K648)</f>
        <v>0</v>
      </c>
      <c r="N648" s="20" t="n">
        <f aca="false">IF($D648="",0,$H648*$K648)</f>
        <v>0</v>
      </c>
      <c r="O648" s="20" t="n">
        <f aca="false">IF($D648="",0,$I648*$K648*(1-$F648))</f>
        <v>0</v>
      </c>
      <c r="P648" s="20" t="n">
        <f aca="false">IF($D648="",0,$E648*$D648+$L648+$M648+$N648+$O648+$J648*$D648)</f>
        <v>0</v>
      </c>
      <c r="Q648" s="20" t="n">
        <f aca="false">IF($D648="",0,$K648-$P648)</f>
        <v>0</v>
      </c>
      <c r="R648" s="21" t="n">
        <f aca="false">IF($K648=0,0,$Q648/$K648)</f>
        <v>0</v>
      </c>
      <c r="S648" s="20" t="n">
        <f aca="false">IF($D648="",0,$K648-$L648-$M648-$N648)</f>
        <v>0</v>
      </c>
      <c r="T648" s="22"/>
      <c r="U648" s="20" t="n">
        <f aca="false">IF($T648="",0,MAX(0,$S648-$T648))</f>
        <v>0</v>
      </c>
      <c r="V648" s="21" t="n">
        <f aca="false">IF($S648=0,0,$U648/$S648)</f>
        <v>0</v>
      </c>
      <c r="W648" s="23" t="str">
        <f aca="false">IF($D648="","",IF($T648="","BEKLİYOR",IF(OR($U648=0,$S648=0),"DOĞRU",IF(AND($V648&gt;PazaryeriEksikHakedisEsik,$U648&gt;PazaryeriEksikHakedisTutarEsik),"EKSİK HAKEDİŞ","DOĞRU"))))</f>
        <v/>
      </c>
      <c r="X648" s="23" t="str">
        <f aca="false">IF($B648="","",CONCATENATE("Ürün: ",$B648," | Kâr: ",TEXT($Q648,"₺ #,##0")," | Durum: ",$W648))</f>
        <v/>
      </c>
      <c r="Y648" s="24"/>
    </row>
    <row r="649" customFormat="false" ht="15" hidden="false" customHeight="false" outlineLevel="0" collapsed="false">
      <c r="A649" s="24"/>
      <c r="B649" s="24"/>
      <c r="C649" s="22"/>
      <c r="D649" s="25"/>
      <c r="E649" s="22"/>
      <c r="F649" s="26"/>
      <c r="G649" s="26"/>
      <c r="H649" s="26"/>
      <c r="I649" s="26"/>
      <c r="J649" s="22"/>
      <c r="K649" s="20" t="n">
        <f aca="false">IF($D649="",0,$C649*$D649)</f>
        <v>0</v>
      </c>
      <c r="L649" s="20" t="n">
        <f aca="false">IF($D649="",0,$F649*$K649)</f>
        <v>0</v>
      </c>
      <c r="M649" s="20" t="n">
        <f aca="false">IF($D649="",0,$G649*$K649)</f>
        <v>0</v>
      </c>
      <c r="N649" s="20" t="n">
        <f aca="false">IF($D649="",0,$H649*$K649)</f>
        <v>0</v>
      </c>
      <c r="O649" s="20" t="n">
        <f aca="false">IF($D649="",0,$I649*$K649*(1-$F649))</f>
        <v>0</v>
      </c>
      <c r="P649" s="20" t="n">
        <f aca="false">IF($D649="",0,$E649*$D649+$L649+$M649+$N649+$O649+$J649*$D649)</f>
        <v>0</v>
      </c>
      <c r="Q649" s="20" t="n">
        <f aca="false">IF($D649="",0,$K649-$P649)</f>
        <v>0</v>
      </c>
      <c r="R649" s="21" t="n">
        <f aca="false">IF($K649=0,0,$Q649/$K649)</f>
        <v>0</v>
      </c>
      <c r="S649" s="20" t="n">
        <f aca="false">IF($D649="",0,$K649-$L649-$M649-$N649)</f>
        <v>0</v>
      </c>
      <c r="T649" s="22"/>
      <c r="U649" s="20" t="n">
        <f aca="false">IF($T649="",0,MAX(0,$S649-$T649))</f>
        <v>0</v>
      </c>
      <c r="V649" s="21" t="n">
        <f aca="false">IF($S649=0,0,$U649/$S649)</f>
        <v>0</v>
      </c>
      <c r="W649" s="23" t="str">
        <f aca="false">IF($D649="","",IF($T649="","BEKLİYOR",IF(OR($U649=0,$S649=0),"DOĞRU",IF(AND($V649&gt;PazaryeriEksikHakedisEsik,$U649&gt;PazaryeriEksikHakedisTutarEsik),"EKSİK HAKEDİŞ","DOĞRU"))))</f>
        <v/>
      </c>
      <c r="X649" s="23" t="str">
        <f aca="false">IF($B649="","",CONCATENATE("Ürün: ",$B649," | Kâr: ",TEXT($Q649,"₺ #,##0")," | Durum: ",$W649))</f>
        <v/>
      </c>
      <c r="Y649" s="24"/>
    </row>
    <row r="650" customFormat="false" ht="15" hidden="false" customHeight="false" outlineLevel="0" collapsed="false">
      <c r="A650" s="24"/>
      <c r="B650" s="24"/>
      <c r="C650" s="22"/>
      <c r="D650" s="25"/>
      <c r="E650" s="22"/>
      <c r="F650" s="26"/>
      <c r="G650" s="26"/>
      <c r="H650" s="26"/>
      <c r="I650" s="26"/>
      <c r="J650" s="22"/>
      <c r="K650" s="20" t="n">
        <f aca="false">IF($D650="",0,$C650*$D650)</f>
        <v>0</v>
      </c>
      <c r="L650" s="20" t="n">
        <f aca="false">IF($D650="",0,$F650*$K650)</f>
        <v>0</v>
      </c>
      <c r="M650" s="20" t="n">
        <f aca="false">IF($D650="",0,$G650*$K650)</f>
        <v>0</v>
      </c>
      <c r="N650" s="20" t="n">
        <f aca="false">IF($D650="",0,$H650*$K650)</f>
        <v>0</v>
      </c>
      <c r="O650" s="20" t="n">
        <f aca="false">IF($D650="",0,$I650*$K650*(1-$F650))</f>
        <v>0</v>
      </c>
      <c r="P650" s="20" t="n">
        <f aca="false">IF($D650="",0,$E650*$D650+$L650+$M650+$N650+$O650+$J650*$D650)</f>
        <v>0</v>
      </c>
      <c r="Q650" s="20" t="n">
        <f aca="false">IF($D650="",0,$K650-$P650)</f>
        <v>0</v>
      </c>
      <c r="R650" s="21" t="n">
        <f aca="false">IF($K650=0,0,$Q650/$K650)</f>
        <v>0</v>
      </c>
      <c r="S650" s="20" t="n">
        <f aca="false">IF($D650="",0,$K650-$L650-$M650-$N650)</f>
        <v>0</v>
      </c>
      <c r="T650" s="22"/>
      <c r="U650" s="20" t="n">
        <f aca="false">IF($T650="",0,MAX(0,$S650-$T650))</f>
        <v>0</v>
      </c>
      <c r="V650" s="21" t="n">
        <f aca="false">IF($S650=0,0,$U650/$S650)</f>
        <v>0</v>
      </c>
      <c r="W650" s="23" t="str">
        <f aca="false">IF($D650="","",IF($T650="","BEKLİYOR",IF(OR($U650=0,$S650=0),"DOĞRU",IF(AND($V650&gt;PazaryeriEksikHakedisEsik,$U650&gt;PazaryeriEksikHakedisTutarEsik),"EKSİK HAKEDİŞ","DOĞRU"))))</f>
        <v/>
      </c>
      <c r="X650" s="23" t="str">
        <f aca="false">IF($B650="","",CONCATENATE("Ürün: ",$B650," | Kâr: ",TEXT($Q650,"₺ #,##0")," | Durum: ",$W650))</f>
        <v/>
      </c>
      <c r="Y650" s="24"/>
    </row>
    <row r="651" customFormat="false" ht="15" hidden="false" customHeight="false" outlineLevel="0" collapsed="false">
      <c r="A651" s="24"/>
      <c r="B651" s="24"/>
      <c r="C651" s="22"/>
      <c r="D651" s="25"/>
      <c r="E651" s="22"/>
      <c r="F651" s="26"/>
      <c r="G651" s="26"/>
      <c r="H651" s="26"/>
      <c r="I651" s="26"/>
      <c r="J651" s="22"/>
      <c r="K651" s="20" t="n">
        <f aca="false">IF($D651="",0,$C651*$D651)</f>
        <v>0</v>
      </c>
      <c r="L651" s="20" t="n">
        <f aca="false">IF($D651="",0,$F651*$K651)</f>
        <v>0</v>
      </c>
      <c r="M651" s="20" t="n">
        <f aca="false">IF($D651="",0,$G651*$K651)</f>
        <v>0</v>
      </c>
      <c r="N651" s="20" t="n">
        <f aca="false">IF($D651="",0,$H651*$K651)</f>
        <v>0</v>
      </c>
      <c r="O651" s="20" t="n">
        <f aca="false">IF($D651="",0,$I651*$K651*(1-$F651))</f>
        <v>0</v>
      </c>
      <c r="P651" s="20" t="n">
        <f aca="false">IF($D651="",0,$E651*$D651+$L651+$M651+$N651+$O651+$J651*$D651)</f>
        <v>0</v>
      </c>
      <c r="Q651" s="20" t="n">
        <f aca="false">IF($D651="",0,$K651-$P651)</f>
        <v>0</v>
      </c>
      <c r="R651" s="21" t="n">
        <f aca="false">IF($K651=0,0,$Q651/$K651)</f>
        <v>0</v>
      </c>
      <c r="S651" s="20" t="n">
        <f aca="false">IF($D651="",0,$K651-$L651-$M651-$N651)</f>
        <v>0</v>
      </c>
      <c r="T651" s="22"/>
      <c r="U651" s="20" t="n">
        <f aca="false">IF($T651="",0,MAX(0,$S651-$T651))</f>
        <v>0</v>
      </c>
      <c r="V651" s="21" t="n">
        <f aca="false">IF($S651=0,0,$U651/$S651)</f>
        <v>0</v>
      </c>
      <c r="W651" s="23" t="str">
        <f aca="false">IF($D651="","",IF($T651="","BEKLİYOR",IF(OR($U651=0,$S651=0),"DOĞRU",IF(AND($V651&gt;PazaryeriEksikHakedisEsik,$U651&gt;PazaryeriEksikHakedisTutarEsik),"EKSİK HAKEDİŞ","DOĞRU"))))</f>
        <v/>
      </c>
      <c r="X651" s="23" t="str">
        <f aca="false">IF($B651="","",CONCATENATE("Ürün: ",$B651," | Kâr: ",TEXT($Q651,"₺ #,##0")," | Durum: ",$W651))</f>
        <v/>
      </c>
      <c r="Y651" s="24"/>
    </row>
    <row r="652" customFormat="false" ht="15" hidden="false" customHeight="false" outlineLevel="0" collapsed="false">
      <c r="A652" s="24"/>
      <c r="B652" s="24"/>
      <c r="C652" s="22"/>
      <c r="D652" s="25"/>
      <c r="E652" s="22"/>
      <c r="F652" s="26"/>
      <c r="G652" s="26"/>
      <c r="H652" s="26"/>
      <c r="I652" s="26"/>
      <c r="J652" s="22"/>
      <c r="K652" s="20" t="n">
        <f aca="false">IF($D652="",0,$C652*$D652)</f>
        <v>0</v>
      </c>
      <c r="L652" s="20" t="n">
        <f aca="false">IF($D652="",0,$F652*$K652)</f>
        <v>0</v>
      </c>
      <c r="M652" s="20" t="n">
        <f aca="false">IF($D652="",0,$G652*$K652)</f>
        <v>0</v>
      </c>
      <c r="N652" s="20" t="n">
        <f aca="false">IF($D652="",0,$H652*$K652)</f>
        <v>0</v>
      </c>
      <c r="O652" s="20" t="n">
        <f aca="false">IF($D652="",0,$I652*$K652*(1-$F652))</f>
        <v>0</v>
      </c>
      <c r="P652" s="20" t="n">
        <f aca="false">IF($D652="",0,$E652*$D652+$L652+$M652+$N652+$O652+$J652*$D652)</f>
        <v>0</v>
      </c>
      <c r="Q652" s="20" t="n">
        <f aca="false">IF($D652="",0,$K652-$P652)</f>
        <v>0</v>
      </c>
      <c r="R652" s="21" t="n">
        <f aca="false">IF($K652=0,0,$Q652/$K652)</f>
        <v>0</v>
      </c>
      <c r="S652" s="20" t="n">
        <f aca="false">IF($D652="",0,$K652-$L652-$M652-$N652)</f>
        <v>0</v>
      </c>
      <c r="T652" s="22"/>
      <c r="U652" s="20" t="n">
        <f aca="false">IF($T652="",0,MAX(0,$S652-$T652))</f>
        <v>0</v>
      </c>
      <c r="V652" s="21" t="n">
        <f aca="false">IF($S652=0,0,$U652/$S652)</f>
        <v>0</v>
      </c>
      <c r="W652" s="23" t="str">
        <f aca="false">IF($D652="","",IF($T652="","BEKLİYOR",IF(OR($U652=0,$S652=0),"DOĞRU",IF(AND($V652&gt;PazaryeriEksikHakedisEsik,$U652&gt;PazaryeriEksikHakedisTutarEsik),"EKSİK HAKEDİŞ","DOĞRU"))))</f>
        <v/>
      </c>
      <c r="X652" s="23" t="str">
        <f aca="false">IF($B652="","",CONCATENATE("Ürün: ",$B652," | Kâr: ",TEXT($Q652,"₺ #,##0")," | Durum: ",$W652))</f>
        <v/>
      </c>
      <c r="Y652" s="24"/>
    </row>
    <row r="653" customFormat="false" ht="15" hidden="false" customHeight="false" outlineLevel="0" collapsed="false">
      <c r="A653" s="24"/>
      <c r="B653" s="24"/>
      <c r="C653" s="22"/>
      <c r="D653" s="25"/>
      <c r="E653" s="22"/>
      <c r="F653" s="26"/>
      <c r="G653" s="26"/>
      <c r="H653" s="26"/>
      <c r="I653" s="26"/>
      <c r="J653" s="22"/>
      <c r="K653" s="20" t="n">
        <f aca="false">IF($D653="",0,$C653*$D653)</f>
        <v>0</v>
      </c>
      <c r="L653" s="20" t="n">
        <f aca="false">IF($D653="",0,$F653*$K653)</f>
        <v>0</v>
      </c>
      <c r="M653" s="20" t="n">
        <f aca="false">IF($D653="",0,$G653*$K653)</f>
        <v>0</v>
      </c>
      <c r="N653" s="20" t="n">
        <f aca="false">IF($D653="",0,$H653*$K653)</f>
        <v>0</v>
      </c>
      <c r="O653" s="20" t="n">
        <f aca="false">IF($D653="",0,$I653*$K653*(1-$F653))</f>
        <v>0</v>
      </c>
      <c r="P653" s="20" t="n">
        <f aca="false">IF($D653="",0,$E653*$D653+$L653+$M653+$N653+$O653+$J653*$D653)</f>
        <v>0</v>
      </c>
      <c r="Q653" s="20" t="n">
        <f aca="false">IF($D653="",0,$K653-$P653)</f>
        <v>0</v>
      </c>
      <c r="R653" s="21" t="n">
        <f aca="false">IF($K653=0,0,$Q653/$K653)</f>
        <v>0</v>
      </c>
      <c r="S653" s="20" t="n">
        <f aca="false">IF($D653="",0,$K653-$L653-$M653-$N653)</f>
        <v>0</v>
      </c>
      <c r="T653" s="22"/>
      <c r="U653" s="20" t="n">
        <f aca="false">IF($T653="",0,MAX(0,$S653-$T653))</f>
        <v>0</v>
      </c>
      <c r="V653" s="21" t="n">
        <f aca="false">IF($S653=0,0,$U653/$S653)</f>
        <v>0</v>
      </c>
      <c r="W653" s="23" t="str">
        <f aca="false">IF($D653="","",IF($T653="","BEKLİYOR",IF(OR($U653=0,$S653=0),"DOĞRU",IF(AND($V653&gt;PazaryeriEksikHakedisEsik,$U653&gt;PazaryeriEksikHakedisTutarEsik),"EKSİK HAKEDİŞ","DOĞRU"))))</f>
        <v/>
      </c>
      <c r="X653" s="23" t="str">
        <f aca="false">IF($B653="","",CONCATENATE("Ürün: ",$B653," | Kâr: ",TEXT($Q653,"₺ #,##0")," | Durum: ",$W653))</f>
        <v/>
      </c>
      <c r="Y653" s="24"/>
    </row>
    <row r="654" customFormat="false" ht="15" hidden="false" customHeight="false" outlineLevel="0" collapsed="false">
      <c r="A654" s="24"/>
      <c r="B654" s="24"/>
      <c r="C654" s="22"/>
      <c r="D654" s="25"/>
      <c r="E654" s="22"/>
      <c r="F654" s="26"/>
      <c r="G654" s="26"/>
      <c r="H654" s="26"/>
      <c r="I654" s="26"/>
      <c r="J654" s="22"/>
      <c r="K654" s="20" t="n">
        <f aca="false">IF($D654="",0,$C654*$D654)</f>
        <v>0</v>
      </c>
      <c r="L654" s="20" t="n">
        <f aca="false">IF($D654="",0,$F654*$K654)</f>
        <v>0</v>
      </c>
      <c r="M654" s="20" t="n">
        <f aca="false">IF($D654="",0,$G654*$K654)</f>
        <v>0</v>
      </c>
      <c r="N654" s="20" t="n">
        <f aca="false">IF($D654="",0,$H654*$K654)</f>
        <v>0</v>
      </c>
      <c r="O654" s="20" t="n">
        <f aca="false">IF($D654="",0,$I654*$K654*(1-$F654))</f>
        <v>0</v>
      </c>
      <c r="P654" s="20" t="n">
        <f aca="false">IF($D654="",0,$E654*$D654+$L654+$M654+$N654+$O654+$J654*$D654)</f>
        <v>0</v>
      </c>
      <c r="Q654" s="20" t="n">
        <f aca="false">IF($D654="",0,$K654-$P654)</f>
        <v>0</v>
      </c>
      <c r="R654" s="21" t="n">
        <f aca="false">IF($K654=0,0,$Q654/$K654)</f>
        <v>0</v>
      </c>
      <c r="S654" s="20" t="n">
        <f aca="false">IF($D654="",0,$K654-$L654-$M654-$N654)</f>
        <v>0</v>
      </c>
      <c r="T654" s="22"/>
      <c r="U654" s="20" t="n">
        <f aca="false">IF($T654="",0,MAX(0,$S654-$T654))</f>
        <v>0</v>
      </c>
      <c r="V654" s="21" t="n">
        <f aca="false">IF($S654=0,0,$U654/$S654)</f>
        <v>0</v>
      </c>
      <c r="W654" s="23" t="str">
        <f aca="false">IF($D654="","",IF($T654="","BEKLİYOR",IF(OR($U654=0,$S654=0),"DOĞRU",IF(AND($V654&gt;PazaryeriEksikHakedisEsik,$U654&gt;PazaryeriEksikHakedisTutarEsik),"EKSİK HAKEDİŞ","DOĞRU"))))</f>
        <v/>
      </c>
      <c r="X654" s="23" t="str">
        <f aca="false">IF($B654="","",CONCATENATE("Ürün: ",$B654," | Kâr: ",TEXT($Q654,"₺ #,##0")," | Durum: ",$W654))</f>
        <v/>
      </c>
      <c r="Y654" s="24"/>
    </row>
    <row r="655" customFormat="false" ht="15" hidden="false" customHeight="false" outlineLevel="0" collapsed="false">
      <c r="A655" s="24"/>
      <c r="B655" s="24"/>
      <c r="C655" s="22"/>
      <c r="D655" s="25"/>
      <c r="E655" s="22"/>
      <c r="F655" s="26"/>
      <c r="G655" s="26"/>
      <c r="H655" s="26"/>
      <c r="I655" s="26"/>
      <c r="J655" s="22"/>
      <c r="K655" s="20" t="n">
        <f aca="false">IF($D655="",0,$C655*$D655)</f>
        <v>0</v>
      </c>
      <c r="L655" s="20" t="n">
        <f aca="false">IF($D655="",0,$F655*$K655)</f>
        <v>0</v>
      </c>
      <c r="M655" s="20" t="n">
        <f aca="false">IF($D655="",0,$G655*$K655)</f>
        <v>0</v>
      </c>
      <c r="N655" s="20" t="n">
        <f aca="false">IF($D655="",0,$H655*$K655)</f>
        <v>0</v>
      </c>
      <c r="O655" s="20" t="n">
        <f aca="false">IF($D655="",0,$I655*$K655*(1-$F655))</f>
        <v>0</v>
      </c>
      <c r="P655" s="20" t="n">
        <f aca="false">IF($D655="",0,$E655*$D655+$L655+$M655+$N655+$O655+$J655*$D655)</f>
        <v>0</v>
      </c>
      <c r="Q655" s="20" t="n">
        <f aca="false">IF($D655="",0,$K655-$P655)</f>
        <v>0</v>
      </c>
      <c r="R655" s="21" t="n">
        <f aca="false">IF($K655=0,0,$Q655/$K655)</f>
        <v>0</v>
      </c>
      <c r="S655" s="20" t="n">
        <f aca="false">IF($D655="",0,$K655-$L655-$M655-$N655)</f>
        <v>0</v>
      </c>
      <c r="T655" s="22"/>
      <c r="U655" s="20" t="n">
        <f aca="false">IF($T655="",0,MAX(0,$S655-$T655))</f>
        <v>0</v>
      </c>
      <c r="V655" s="21" t="n">
        <f aca="false">IF($S655=0,0,$U655/$S655)</f>
        <v>0</v>
      </c>
      <c r="W655" s="23" t="str">
        <f aca="false">IF($D655="","",IF($T655="","BEKLİYOR",IF(OR($U655=0,$S655=0),"DOĞRU",IF(AND($V655&gt;PazaryeriEksikHakedisEsik,$U655&gt;PazaryeriEksikHakedisTutarEsik),"EKSİK HAKEDİŞ","DOĞRU"))))</f>
        <v/>
      </c>
      <c r="X655" s="23" t="str">
        <f aca="false">IF($B655="","",CONCATENATE("Ürün: ",$B655," | Kâr: ",TEXT($Q655,"₺ #,##0")," | Durum: ",$W655))</f>
        <v/>
      </c>
      <c r="Y655" s="24"/>
    </row>
    <row r="656" customFormat="false" ht="15" hidden="false" customHeight="false" outlineLevel="0" collapsed="false">
      <c r="A656" s="24"/>
      <c r="B656" s="24"/>
      <c r="C656" s="22"/>
      <c r="D656" s="25"/>
      <c r="E656" s="22"/>
      <c r="F656" s="26"/>
      <c r="G656" s="26"/>
      <c r="H656" s="26"/>
      <c r="I656" s="26"/>
      <c r="J656" s="22"/>
      <c r="K656" s="20" t="n">
        <f aca="false">IF($D656="",0,$C656*$D656)</f>
        <v>0</v>
      </c>
      <c r="L656" s="20" t="n">
        <f aca="false">IF($D656="",0,$F656*$K656)</f>
        <v>0</v>
      </c>
      <c r="M656" s="20" t="n">
        <f aca="false">IF($D656="",0,$G656*$K656)</f>
        <v>0</v>
      </c>
      <c r="N656" s="20" t="n">
        <f aca="false">IF($D656="",0,$H656*$K656)</f>
        <v>0</v>
      </c>
      <c r="O656" s="20" t="n">
        <f aca="false">IF($D656="",0,$I656*$K656*(1-$F656))</f>
        <v>0</v>
      </c>
      <c r="P656" s="20" t="n">
        <f aca="false">IF($D656="",0,$E656*$D656+$L656+$M656+$N656+$O656+$J656*$D656)</f>
        <v>0</v>
      </c>
      <c r="Q656" s="20" t="n">
        <f aca="false">IF($D656="",0,$K656-$P656)</f>
        <v>0</v>
      </c>
      <c r="R656" s="21" t="n">
        <f aca="false">IF($K656=0,0,$Q656/$K656)</f>
        <v>0</v>
      </c>
      <c r="S656" s="20" t="n">
        <f aca="false">IF($D656="",0,$K656-$L656-$M656-$N656)</f>
        <v>0</v>
      </c>
      <c r="T656" s="22"/>
      <c r="U656" s="20" t="n">
        <f aca="false">IF($T656="",0,MAX(0,$S656-$T656))</f>
        <v>0</v>
      </c>
      <c r="V656" s="21" t="n">
        <f aca="false">IF($S656=0,0,$U656/$S656)</f>
        <v>0</v>
      </c>
      <c r="W656" s="23" t="str">
        <f aca="false">IF($D656="","",IF($T656="","BEKLİYOR",IF(OR($U656=0,$S656=0),"DOĞRU",IF(AND($V656&gt;PazaryeriEksikHakedisEsik,$U656&gt;PazaryeriEksikHakedisTutarEsik),"EKSİK HAKEDİŞ","DOĞRU"))))</f>
        <v/>
      </c>
      <c r="X656" s="23" t="str">
        <f aca="false">IF($B656="","",CONCATENATE("Ürün: ",$B656," | Kâr: ",TEXT($Q656,"₺ #,##0")," | Durum: ",$W656))</f>
        <v/>
      </c>
      <c r="Y656" s="24"/>
    </row>
    <row r="657" customFormat="false" ht="15" hidden="false" customHeight="false" outlineLevel="0" collapsed="false">
      <c r="A657" s="24"/>
      <c r="B657" s="24"/>
      <c r="C657" s="22"/>
      <c r="D657" s="25"/>
      <c r="E657" s="22"/>
      <c r="F657" s="26"/>
      <c r="G657" s="26"/>
      <c r="H657" s="26"/>
      <c r="I657" s="26"/>
      <c r="J657" s="22"/>
      <c r="K657" s="20" t="n">
        <f aca="false">IF($D657="",0,$C657*$D657)</f>
        <v>0</v>
      </c>
      <c r="L657" s="20" t="n">
        <f aca="false">IF($D657="",0,$F657*$K657)</f>
        <v>0</v>
      </c>
      <c r="M657" s="20" t="n">
        <f aca="false">IF($D657="",0,$G657*$K657)</f>
        <v>0</v>
      </c>
      <c r="N657" s="20" t="n">
        <f aca="false">IF($D657="",0,$H657*$K657)</f>
        <v>0</v>
      </c>
      <c r="O657" s="20" t="n">
        <f aca="false">IF($D657="",0,$I657*$K657*(1-$F657))</f>
        <v>0</v>
      </c>
      <c r="P657" s="20" t="n">
        <f aca="false">IF($D657="",0,$E657*$D657+$L657+$M657+$N657+$O657+$J657*$D657)</f>
        <v>0</v>
      </c>
      <c r="Q657" s="20" t="n">
        <f aca="false">IF($D657="",0,$K657-$P657)</f>
        <v>0</v>
      </c>
      <c r="R657" s="21" t="n">
        <f aca="false">IF($K657=0,0,$Q657/$K657)</f>
        <v>0</v>
      </c>
      <c r="S657" s="20" t="n">
        <f aca="false">IF($D657="",0,$K657-$L657-$M657-$N657)</f>
        <v>0</v>
      </c>
      <c r="T657" s="22"/>
      <c r="U657" s="20" t="n">
        <f aca="false">IF($T657="",0,MAX(0,$S657-$T657))</f>
        <v>0</v>
      </c>
      <c r="V657" s="21" t="n">
        <f aca="false">IF($S657=0,0,$U657/$S657)</f>
        <v>0</v>
      </c>
      <c r="W657" s="23" t="str">
        <f aca="false">IF($D657="","",IF($T657="","BEKLİYOR",IF(OR($U657=0,$S657=0),"DOĞRU",IF(AND($V657&gt;PazaryeriEksikHakedisEsik,$U657&gt;PazaryeriEksikHakedisTutarEsik),"EKSİK HAKEDİŞ","DOĞRU"))))</f>
        <v/>
      </c>
      <c r="X657" s="23" t="str">
        <f aca="false">IF($B657="","",CONCATENATE("Ürün: ",$B657," | Kâr: ",TEXT($Q657,"₺ #,##0")," | Durum: ",$W657))</f>
        <v/>
      </c>
      <c r="Y657" s="24"/>
    </row>
    <row r="658" customFormat="false" ht="15" hidden="false" customHeight="false" outlineLevel="0" collapsed="false">
      <c r="A658" s="24"/>
      <c r="B658" s="24"/>
      <c r="C658" s="22"/>
      <c r="D658" s="25"/>
      <c r="E658" s="22"/>
      <c r="F658" s="26"/>
      <c r="G658" s="26"/>
      <c r="H658" s="26"/>
      <c r="I658" s="26"/>
      <c r="J658" s="22"/>
      <c r="K658" s="20" t="n">
        <f aca="false">IF($D658="",0,$C658*$D658)</f>
        <v>0</v>
      </c>
      <c r="L658" s="20" t="n">
        <f aca="false">IF($D658="",0,$F658*$K658)</f>
        <v>0</v>
      </c>
      <c r="M658" s="20" t="n">
        <f aca="false">IF($D658="",0,$G658*$K658)</f>
        <v>0</v>
      </c>
      <c r="N658" s="20" t="n">
        <f aca="false">IF($D658="",0,$H658*$K658)</f>
        <v>0</v>
      </c>
      <c r="O658" s="20" t="n">
        <f aca="false">IF($D658="",0,$I658*$K658*(1-$F658))</f>
        <v>0</v>
      </c>
      <c r="P658" s="20" t="n">
        <f aca="false">IF($D658="",0,$E658*$D658+$L658+$M658+$N658+$O658+$J658*$D658)</f>
        <v>0</v>
      </c>
      <c r="Q658" s="20" t="n">
        <f aca="false">IF($D658="",0,$K658-$P658)</f>
        <v>0</v>
      </c>
      <c r="R658" s="21" t="n">
        <f aca="false">IF($K658=0,0,$Q658/$K658)</f>
        <v>0</v>
      </c>
      <c r="S658" s="20" t="n">
        <f aca="false">IF($D658="",0,$K658-$L658-$M658-$N658)</f>
        <v>0</v>
      </c>
      <c r="T658" s="22"/>
      <c r="U658" s="20" t="n">
        <f aca="false">IF($T658="",0,MAX(0,$S658-$T658))</f>
        <v>0</v>
      </c>
      <c r="V658" s="21" t="n">
        <f aca="false">IF($S658=0,0,$U658/$S658)</f>
        <v>0</v>
      </c>
      <c r="W658" s="23" t="str">
        <f aca="false">IF($D658="","",IF($T658="","BEKLİYOR",IF(OR($U658=0,$S658=0),"DOĞRU",IF(AND($V658&gt;PazaryeriEksikHakedisEsik,$U658&gt;PazaryeriEksikHakedisTutarEsik),"EKSİK HAKEDİŞ","DOĞRU"))))</f>
        <v/>
      </c>
      <c r="X658" s="23" t="str">
        <f aca="false">IF($B658="","",CONCATENATE("Ürün: ",$B658," | Kâr: ",TEXT($Q658,"₺ #,##0")," | Durum: ",$W658))</f>
        <v/>
      </c>
      <c r="Y658" s="24"/>
    </row>
    <row r="659" customFormat="false" ht="15" hidden="false" customHeight="false" outlineLevel="0" collapsed="false">
      <c r="A659" s="24"/>
      <c r="B659" s="24"/>
      <c r="C659" s="22"/>
      <c r="D659" s="25"/>
      <c r="E659" s="22"/>
      <c r="F659" s="26"/>
      <c r="G659" s="26"/>
      <c r="H659" s="26"/>
      <c r="I659" s="26"/>
      <c r="J659" s="22"/>
      <c r="K659" s="20" t="n">
        <f aca="false">IF($D659="",0,$C659*$D659)</f>
        <v>0</v>
      </c>
      <c r="L659" s="20" t="n">
        <f aca="false">IF($D659="",0,$F659*$K659)</f>
        <v>0</v>
      </c>
      <c r="M659" s="20" t="n">
        <f aca="false">IF($D659="",0,$G659*$K659)</f>
        <v>0</v>
      </c>
      <c r="N659" s="20" t="n">
        <f aca="false">IF($D659="",0,$H659*$K659)</f>
        <v>0</v>
      </c>
      <c r="O659" s="20" t="n">
        <f aca="false">IF($D659="",0,$I659*$K659*(1-$F659))</f>
        <v>0</v>
      </c>
      <c r="P659" s="20" t="n">
        <f aca="false">IF($D659="",0,$E659*$D659+$L659+$M659+$N659+$O659+$J659*$D659)</f>
        <v>0</v>
      </c>
      <c r="Q659" s="20" t="n">
        <f aca="false">IF($D659="",0,$K659-$P659)</f>
        <v>0</v>
      </c>
      <c r="R659" s="21" t="n">
        <f aca="false">IF($K659=0,0,$Q659/$K659)</f>
        <v>0</v>
      </c>
      <c r="S659" s="20" t="n">
        <f aca="false">IF($D659="",0,$K659-$L659-$M659-$N659)</f>
        <v>0</v>
      </c>
      <c r="T659" s="22"/>
      <c r="U659" s="20" t="n">
        <f aca="false">IF($T659="",0,MAX(0,$S659-$T659))</f>
        <v>0</v>
      </c>
      <c r="V659" s="21" t="n">
        <f aca="false">IF($S659=0,0,$U659/$S659)</f>
        <v>0</v>
      </c>
      <c r="W659" s="23" t="str">
        <f aca="false">IF($D659="","",IF($T659="","BEKLİYOR",IF(OR($U659=0,$S659=0),"DOĞRU",IF(AND($V659&gt;PazaryeriEksikHakedisEsik,$U659&gt;PazaryeriEksikHakedisTutarEsik),"EKSİK HAKEDİŞ","DOĞRU"))))</f>
        <v/>
      </c>
      <c r="X659" s="23" t="str">
        <f aca="false">IF($B659="","",CONCATENATE("Ürün: ",$B659," | Kâr: ",TEXT($Q659,"₺ #,##0")," | Durum: ",$W659))</f>
        <v/>
      </c>
      <c r="Y659" s="24"/>
    </row>
    <row r="660" customFormat="false" ht="15" hidden="false" customHeight="false" outlineLevel="0" collapsed="false">
      <c r="A660" s="24"/>
      <c r="B660" s="24"/>
      <c r="C660" s="22"/>
      <c r="D660" s="25"/>
      <c r="E660" s="22"/>
      <c r="F660" s="26"/>
      <c r="G660" s="26"/>
      <c r="H660" s="26"/>
      <c r="I660" s="26"/>
      <c r="J660" s="22"/>
      <c r="K660" s="20" t="n">
        <f aca="false">IF($D660="",0,$C660*$D660)</f>
        <v>0</v>
      </c>
      <c r="L660" s="20" t="n">
        <f aca="false">IF($D660="",0,$F660*$K660)</f>
        <v>0</v>
      </c>
      <c r="M660" s="20" t="n">
        <f aca="false">IF($D660="",0,$G660*$K660)</f>
        <v>0</v>
      </c>
      <c r="N660" s="20" t="n">
        <f aca="false">IF($D660="",0,$H660*$K660)</f>
        <v>0</v>
      </c>
      <c r="O660" s="20" t="n">
        <f aca="false">IF($D660="",0,$I660*$K660*(1-$F660))</f>
        <v>0</v>
      </c>
      <c r="P660" s="20" t="n">
        <f aca="false">IF($D660="",0,$E660*$D660+$L660+$M660+$N660+$O660+$J660*$D660)</f>
        <v>0</v>
      </c>
      <c r="Q660" s="20" t="n">
        <f aca="false">IF($D660="",0,$K660-$P660)</f>
        <v>0</v>
      </c>
      <c r="R660" s="21" t="n">
        <f aca="false">IF($K660=0,0,$Q660/$K660)</f>
        <v>0</v>
      </c>
      <c r="S660" s="20" t="n">
        <f aca="false">IF($D660="",0,$K660-$L660-$M660-$N660)</f>
        <v>0</v>
      </c>
      <c r="T660" s="22"/>
      <c r="U660" s="20" t="n">
        <f aca="false">IF($T660="",0,MAX(0,$S660-$T660))</f>
        <v>0</v>
      </c>
      <c r="V660" s="21" t="n">
        <f aca="false">IF($S660=0,0,$U660/$S660)</f>
        <v>0</v>
      </c>
      <c r="W660" s="23" t="str">
        <f aca="false">IF($D660="","",IF($T660="","BEKLİYOR",IF(OR($U660=0,$S660=0),"DOĞRU",IF(AND($V660&gt;PazaryeriEksikHakedisEsik,$U660&gt;PazaryeriEksikHakedisTutarEsik),"EKSİK HAKEDİŞ","DOĞRU"))))</f>
        <v/>
      </c>
      <c r="X660" s="23" t="str">
        <f aca="false">IF($B660="","",CONCATENATE("Ürün: ",$B660," | Kâr: ",TEXT($Q660,"₺ #,##0")," | Durum: ",$W660))</f>
        <v/>
      </c>
      <c r="Y660" s="24"/>
    </row>
    <row r="661" customFormat="false" ht="15" hidden="false" customHeight="false" outlineLevel="0" collapsed="false">
      <c r="A661" s="24"/>
      <c r="B661" s="24"/>
      <c r="C661" s="22"/>
      <c r="D661" s="25"/>
      <c r="E661" s="22"/>
      <c r="F661" s="26"/>
      <c r="G661" s="26"/>
      <c r="H661" s="26"/>
      <c r="I661" s="26"/>
      <c r="J661" s="22"/>
      <c r="K661" s="20" t="n">
        <f aca="false">IF($D661="",0,$C661*$D661)</f>
        <v>0</v>
      </c>
      <c r="L661" s="20" t="n">
        <f aca="false">IF($D661="",0,$F661*$K661)</f>
        <v>0</v>
      </c>
      <c r="M661" s="20" t="n">
        <f aca="false">IF($D661="",0,$G661*$K661)</f>
        <v>0</v>
      </c>
      <c r="N661" s="20" t="n">
        <f aca="false">IF($D661="",0,$H661*$K661)</f>
        <v>0</v>
      </c>
      <c r="O661" s="20" t="n">
        <f aca="false">IF($D661="",0,$I661*$K661*(1-$F661))</f>
        <v>0</v>
      </c>
      <c r="P661" s="20" t="n">
        <f aca="false">IF($D661="",0,$E661*$D661+$L661+$M661+$N661+$O661+$J661*$D661)</f>
        <v>0</v>
      </c>
      <c r="Q661" s="20" t="n">
        <f aca="false">IF($D661="",0,$K661-$P661)</f>
        <v>0</v>
      </c>
      <c r="R661" s="21" t="n">
        <f aca="false">IF($K661=0,0,$Q661/$K661)</f>
        <v>0</v>
      </c>
      <c r="S661" s="20" t="n">
        <f aca="false">IF($D661="",0,$K661-$L661-$M661-$N661)</f>
        <v>0</v>
      </c>
      <c r="T661" s="22"/>
      <c r="U661" s="20" t="n">
        <f aca="false">IF($T661="",0,MAX(0,$S661-$T661))</f>
        <v>0</v>
      </c>
      <c r="V661" s="21" t="n">
        <f aca="false">IF($S661=0,0,$U661/$S661)</f>
        <v>0</v>
      </c>
      <c r="W661" s="23" t="str">
        <f aca="false">IF($D661="","",IF($T661="","BEKLİYOR",IF(OR($U661=0,$S661=0),"DOĞRU",IF(AND($V661&gt;PazaryeriEksikHakedisEsik,$U661&gt;PazaryeriEksikHakedisTutarEsik),"EKSİK HAKEDİŞ","DOĞRU"))))</f>
        <v/>
      </c>
      <c r="X661" s="23" t="str">
        <f aca="false">IF($B661="","",CONCATENATE("Ürün: ",$B661," | Kâr: ",TEXT($Q661,"₺ #,##0")," | Durum: ",$W661))</f>
        <v/>
      </c>
      <c r="Y661" s="24"/>
    </row>
    <row r="662" customFormat="false" ht="15" hidden="false" customHeight="false" outlineLevel="0" collapsed="false">
      <c r="A662" s="24"/>
      <c r="B662" s="24"/>
      <c r="C662" s="22"/>
      <c r="D662" s="25"/>
      <c r="E662" s="22"/>
      <c r="F662" s="26"/>
      <c r="G662" s="26"/>
      <c r="H662" s="26"/>
      <c r="I662" s="26"/>
      <c r="J662" s="22"/>
      <c r="K662" s="20" t="n">
        <f aca="false">IF($D662="",0,$C662*$D662)</f>
        <v>0</v>
      </c>
      <c r="L662" s="20" t="n">
        <f aca="false">IF($D662="",0,$F662*$K662)</f>
        <v>0</v>
      </c>
      <c r="M662" s="20" t="n">
        <f aca="false">IF($D662="",0,$G662*$K662)</f>
        <v>0</v>
      </c>
      <c r="N662" s="20" t="n">
        <f aca="false">IF($D662="",0,$H662*$K662)</f>
        <v>0</v>
      </c>
      <c r="O662" s="20" t="n">
        <f aca="false">IF($D662="",0,$I662*$K662*(1-$F662))</f>
        <v>0</v>
      </c>
      <c r="P662" s="20" t="n">
        <f aca="false">IF($D662="",0,$E662*$D662+$L662+$M662+$N662+$O662+$J662*$D662)</f>
        <v>0</v>
      </c>
      <c r="Q662" s="20" t="n">
        <f aca="false">IF($D662="",0,$K662-$P662)</f>
        <v>0</v>
      </c>
      <c r="R662" s="21" t="n">
        <f aca="false">IF($K662=0,0,$Q662/$K662)</f>
        <v>0</v>
      </c>
      <c r="S662" s="20" t="n">
        <f aca="false">IF($D662="",0,$K662-$L662-$M662-$N662)</f>
        <v>0</v>
      </c>
      <c r="T662" s="22"/>
      <c r="U662" s="20" t="n">
        <f aca="false">IF($T662="",0,MAX(0,$S662-$T662))</f>
        <v>0</v>
      </c>
      <c r="V662" s="21" t="n">
        <f aca="false">IF($S662=0,0,$U662/$S662)</f>
        <v>0</v>
      </c>
      <c r="W662" s="23" t="str">
        <f aca="false">IF($D662="","",IF($T662="","BEKLİYOR",IF(OR($U662=0,$S662=0),"DOĞRU",IF(AND($V662&gt;PazaryeriEksikHakedisEsik,$U662&gt;PazaryeriEksikHakedisTutarEsik),"EKSİK HAKEDİŞ","DOĞRU"))))</f>
        <v/>
      </c>
      <c r="X662" s="23" t="str">
        <f aca="false">IF($B662="","",CONCATENATE("Ürün: ",$B662," | Kâr: ",TEXT($Q662,"₺ #,##0")," | Durum: ",$W662))</f>
        <v/>
      </c>
      <c r="Y662" s="24"/>
    </row>
    <row r="663" customFormat="false" ht="15" hidden="false" customHeight="false" outlineLevel="0" collapsed="false">
      <c r="A663" s="24"/>
      <c r="B663" s="24"/>
      <c r="C663" s="22"/>
      <c r="D663" s="25"/>
      <c r="E663" s="22"/>
      <c r="F663" s="26"/>
      <c r="G663" s="26"/>
      <c r="H663" s="26"/>
      <c r="I663" s="26"/>
      <c r="J663" s="22"/>
      <c r="K663" s="20" t="n">
        <f aca="false">IF($D663="",0,$C663*$D663)</f>
        <v>0</v>
      </c>
      <c r="L663" s="20" t="n">
        <f aca="false">IF($D663="",0,$F663*$K663)</f>
        <v>0</v>
      </c>
      <c r="M663" s="20" t="n">
        <f aca="false">IF($D663="",0,$G663*$K663)</f>
        <v>0</v>
      </c>
      <c r="N663" s="20" t="n">
        <f aca="false">IF($D663="",0,$H663*$K663)</f>
        <v>0</v>
      </c>
      <c r="O663" s="20" t="n">
        <f aca="false">IF($D663="",0,$I663*$K663*(1-$F663))</f>
        <v>0</v>
      </c>
      <c r="P663" s="20" t="n">
        <f aca="false">IF($D663="",0,$E663*$D663+$L663+$M663+$N663+$O663+$J663*$D663)</f>
        <v>0</v>
      </c>
      <c r="Q663" s="20" t="n">
        <f aca="false">IF($D663="",0,$K663-$P663)</f>
        <v>0</v>
      </c>
      <c r="R663" s="21" t="n">
        <f aca="false">IF($K663=0,0,$Q663/$K663)</f>
        <v>0</v>
      </c>
      <c r="S663" s="20" t="n">
        <f aca="false">IF($D663="",0,$K663-$L663-$M663-$N663)</f>
        <v>0</v>
      </c>
      <c r="T663" s="22"/>
      <c r="U663" s="20" t="n">
        <f aca="false">IF($T663="",0,MAX(0,$S663-$T663))</f>
        <v>0</v>
      </c>
      <c r="V663" s="21" t="n">
        <f aca="false">IF($S663=0,0,$U663/$S663)</f>
        <v>0</v>
      </c>
      <c r="W663" s="23" t="str">
        <f aca="false">IF($D663="","",IF($T663="","BEKLİYOR",IF(OR($U663=0,$S663=0),"DOĞRU",IF(AND($V663&gt;PazaryeriEksikHakedisEsik,$U663&gt;PazaryeriEksikHakedisTutarEsik),"EKSİK HAKEDİŞ","DOĞRU"))))</f>
        <v/>
      </c>
      <c r="X663" s="23" t="str">
        <f aca="false">IF($B663="","",CONCATENATE("Ürün: ",$B663," | Kâr: ",TEXT($Q663,"₺ #,##0")," | Durum: ",$W663))</f>
        <v/>
      </c>
      <c r="Y663" s="24"/>
    </row>
    <row r="664" customFormat="false" ht="15" hidden="false" customHeight="false" outlineLevel="0" collapsed="false">
      <c r="A664" s="24"/>
      <c r="B664" s="24"/>
      <c r="C664" s="22"/>
      <c r="D664" s="25"/>
      <c r="E664" s="22"/>
      <c r="F664" s="26"/>
      <c r="G664" s="26"/>
      <c r="H664" s="26"/>
      <c r="I664" s="26"/>
      <c r="J664" s="22"/>
      <c r="K664" s="20" t="n">
        <f aca="false">IF($D664="",0,$C664*$D664)</f>
        <v>0</v>
      </c>
      <c r="L664" s="20" t="n">
        <f aca="false">IF($D664="",0,$F664*$K664)</f>
        <v>0</v>
      </c>
      <c r="M664" s="20" t="n">
        <f aca="false">IF($D664="",0,$G664*$K664)</f>
        <v>0</v>
      </c>
      <c r="N664" s="20" t="n">
        <f aca="false">IF($D664="",0,$H664*$K664)</f>
        <v>0</v>
      </c>
      <c r="O664" s="20" t="n">
        <f aca="false">IF($D664="",0,$I664*$K664*(1-$F664))</f>
        <v>0</v>
      </c>
      <c r="P664" s="20" t="n">
        <f aca="false">IF($D664="",0,$E664*$D664+$L664+$M664+$N664+$O664+$J664*$D664)</f>
        <v>0</v>
      </c>
      <c r="Q664" s="20" t="n">
        <f aca="false">IF($D664="",0,$K664-$P664)</f>
        <v>0</v>
      </c>
      <c r="R664" s="21" t="n">
        <f aca="false">IF($K664=0,0,$Q664/$K664)</f>
        <v>0</v>
      </c>
      <c r="S664" s="20" t="n">
        <f aca="false">IF($D664="",0,$K664-$L664-$M664-$N664)</f>
        <v>0</v>
      </c>
      <c r="T664" s="22"/>
      <c r="U664" s="20" t="n">
        <f aca="false">IF($T664="",0,MAX(0,$S664-$T664))</f>
        <v>0</v>
      </c>
      <c r="V664" s="21" t="n">
        <f aca="false">IF($S664=0,0,$U664/$S664)</f>
        <v>0</v>
      </c>
      <c r="W664" s="23" t="str">
        <f aca="false">IF($D664="","",IF($T664="","BEKLİYOR",IF(OR($U664=0,$S664=0),"DOĞRU",IF(AND($V664&gt;PazaryeriEksikHakedisEsik,$U664&gt;PazaryeriEksikHakedisTutarEsik),"EKSİK HAKEDİŞ","DOĞRU"))))</f>
        <v/>
      </c>
      <c r="X664" s="23" t="str">
        <f aca="false">IF($B664="","",CONCATENATE("Ürün: ",$B664," | Kâr: ",TEXT($Q664,"₺ #,##0")," | Durum: ",$W664))</f>
        <v/>
      </c>
      <c r="Y664" s="24"/>
    </row>
    <row r="665" customFormat="false" ht="15" hidden="false" customHeight="false" outlineLevel="0" collapsed="false">
      <c r="A665" s="24"/>
      <c r="B665" s="24"/>
      <c r="C665" s="22"/>
      <c r="D665" s="25"/>
      <c r="E665" s="22"/>
      <c r="F665" s="26"/>
      <c r="G665" s="26"/>
      <c r="H665" s="26"/>
      <c r="I665" s="26"/>
      <c r="J665" s="22"/>
      <c r="K665" s="20" t="n">
        <f aca="false">IF($D665="",0,$C665*$D665)</f>
        <v>0</v>
      </c>
      <c r="L665" s="20" t="n">
        <f aca="false">IF($D665="",0,$F665*$K665)</f>
        <v>0</v>
      </c>
      <c r="M665" s="20" t="n">
        <f aca="false">IF($D665="",0,$G665*$K665)</f>
        <v>0</v>
      </c>
      <c r="N665" s="20" t="n">
        <f aca="false">IF($D665="",0,$H665*$K665)</f>
        <v>0</v>
      </c>
      <c r="O665" s="20" t="n">
        <f aca="false">IF($D665="",0,$I665*$K665*(1-$F665))</f>
        <v>0</v>
      </c>
      <c r="P665" s="20" t="n">
        <f aca="false">IF($D665="",0,$E665*$D665+$L665+$M665+$N665+$O665+$J665*$D665)</f>
        <v>0</v>
      </c>
      <c r="Q665" s="20" t="n">
        <f aca="false">IF($D665="",0,$K665-$P665)</f>
        <v>0</v>
      </c>
      <c r="R665" s="21" t="n">
        <f aca="false">IF($K665=0,0,$Q665/$K665)</f>
        <v>0</v>
      </c>
      <c r="S665" s="20" t="n">
        <f aca="false">IF($D665="",0,$K665-$L665-$M665-$N665)</f>
        <v>0</v>
      </c>
      <c r="T665" s="22"/>
      <c r="U665" s="20" t="n">
        <f aca="false">IF($T665="",0,MAX(0,$S665-$T665))</f>
        <v>0</v>
      </c>
      <c r="V665" s="21" t="n">
        <f aca="false">IF($S665=0,0,$U665/$S665)</f>
        <v>0</v>
      </c>
      <c r="W665" s="23" t="str">
        <f aca="false">IF($D665="","",IF($T665="","BEKLİYOR",IF(OR($U665=0,$S665=0),"DOĞRU",IF(AND($V665&gt;PazaryeriEksikHakedisEsik,$U665&gt;PazaryeriEksikHakedisTutarEsik),"EKSİK HAKEDİŞ","DOĞRU"))))</f>
        <v/>
      </c>
      <c r="X665" s="23" t="str">
        <f aca="false">IF($B665="","",CONCATENATE("Ürün: ",$B665," | Kâr: ",TEXT($Q665,"₺ #,##0")," | Durum: ",$W665))</f>
        <v/>
      </c>
      <c r="Y665" s="24"/>
    </row>
    <row r="666" customFormat="false" ht="15" hidden="false" customHeight="false" outlineLevel="0" collapsed="false">
      <c r="A666" s="24"/>
      <c r="B666" s="24"/>
      <c r="C666" s="22"/>
      <c r="D666" s="25"/>
      <c r="E666" s="22"/>
      <c r="F666" s="26"/>
      <c r="G666" s="26"/>
      <c r="H666" s="26"/>
      <c r="I666" s="26"/>
      <c r="J666" s="22"/>
      <c r="K666" s="20" t="n">
        <f aca="false">IF($D666="",0,$C666*$D666)</f>
        <v>0</v>
      </c>
      <c r="L666" s="20" t="n">
        <f aca="false">IF($D666="",0,$F666*$K666)</f>
        <v>0</v>
      </c>
      <c r="M666" s="20" t="n">
        <f aca="false">IF($D666="",0,$G666*$K666)</f>
        <v>0</v>
      </c>
      <c r="N666" s="20" t="n">
        <f aca="false">IF($D666="",0,$H666*$K666)</f>
        <v>0</v>
      </c>
      <c r="O666" s="20" t="n">
        <f aca="false">IF($D666="",0,$I666*$K666*(1-$F666))</f>
        <v>0</v>
      </c>
      <c r="P666" s="20" t="n">
        <f aca="false">IF($D666="",0,$E666*$D666+$L666+$M666+$N666+$O666+$J666*$D666)</f>
        <v>0</v>
      </c>
      <c r="Q666" s="20" t="n">
        <f aca="false">IF($D666="",0,$K666-$P666)</f>
        <v>0</v>
      </c>
      <c r="R666" s="21" t="n">
        <f aca="false">IF($K666=0,0,$Q666/$K666)</f>
        <v>0</v>
      </c>
      <c r="S666" s="20" t="n">
        <f aca="false">IF($D666="",0,$K666-$L666-$M666-$N666)</f>
        <v>0</v>
      </c>
      <c r="T666" s="22"/>
      <c r="U666" s="20" t="n">
        <f aca="false">IF($T666="",0,MAX(0,$S666-$T666))</f>
        <v>0</v>
      </c>
      <c r="V666" s="21" t="n">
        <f aca="false">IF($S666=0,0,$U666/$S666)</f>
        <v>0</v>
      </c>
      <c r="W666" s="23" t="str">
        <f aca="false">IF($D666="","",IF($T666="","BEKLİYOR",IF(OR($U666=0,$S666=0),"DOĞRU",IF(AND($V666&gt;PazaryeriEksikHakedisEsik,$U666&gt;PazaryeriEksikHakedisTutarEsik),"EKSİK HAKEDİŞ","DOĞRU"))))</f>
        <v/>
      </c>
      <c r="X666" s="23" t="str">
        <f aca="false">IF($B666="","",CONCATENATE("Ürün: ",$B666," | Kâr: ",TEXT($Q666,"₺ #,##0")," | Durum: ",$W666))</f>
        <v/>
      </c>
      <c r="Y666" s="24"/>
    </row>
    <row r="667" customFormat="false" ht="15" hidden="false" customHeight="false" outlineLevel="0" collapsed="false">
      <c r="A667" s="24"/>
      <c r="B667" s="24"/>
      <c r="C667" s="22"/>
      <c r="D667" s="25"/>
      <c r="E667" s="22"/>
      <c r="F667" s="26"/>
      <c r="G667" s="26"/>
      <c r="H667" s="26"/>
      <c r="I667" s="26"/>
      <c r="J667" s="22"/>
      <c r="K667" s="20" t="n">
        <f aca="false">IF($D667="",0,$C667*$D667)</f>
        <v>0</v>
      </c>
      <c r="L667" s="20" t="n">
        <f aca="false">IF($D667="",0,$F667*$K667)</f>
        <v>0</v>
      </c>
      <c r="M667" s="20" t="n">
        <f aca="false">IF($D667="",0,$G667*$K667)</f>
        <v>0</v>
      </c>
      <c r="N667" s="20" t="n">
        <f aca="false">IF($D667="",0,$H667*$K667)</f>
        <v>0</v>
      </c>
      <c r="O667" s="20" t="n">
        <f aca="false">IF($D667="",0,$I667*$K667*(1-$F667))</f>
        <v>0</v>
      </c>
      <c r="P667" s="20" t="n">
        <f aca="false">IF($D667="",0,$E667*$D667+$L667+$M667+$N667+$O667+$J667*$D667)</f>
        <v>0</v>
      </c>
      <c r="Q667" s="20" t="n">
        <f aca="false">IF($D667="",0,$K667-$P667)</f>
        <v>0</v>
      </c>
      <c r="R667" s="21" t="n">
        <f aca="false">IF($K667=0,0,$Q667/$K667)</f>
        <v>0</v>
      </c>
      <c r="S667" s="20" t="n">
        <f aca="false">IF($D667="",0,$K667-$L667-$M667-$N667)</f>
        <v>0</v>
      </c>
      <c r="T667" s="22"/>
      <c r="U667" s="20" t="n">
        <f aca="false">IF($T667="",0,MAX(0,$S667-$T667))</f>
        <v>0</v>
      </c>
      <c r="V667" s="21" t="n">
        <f aca="false">IF($S667=0,0,$U667/$S667)</f>
        <v>0</v>
      </c>
      <c r="W667" s="23" t="str">
        <f aca="false">IF($D667="","",IF($T667="","BEKLİYOR",IF(OR($U667=0,$S667=0),"DOĞRU",IF(AND($V667&gt;PazaryeriEksikHakedisEsik,$U667&gt;PazaryeriEksikHakedisTutarEsik),"EKSİK HAKEDİŞ","DOĞRU"))))</f>
        <v/>
      </c>
      <c r="X667" s="23" t="str">
        <f aca="false">IF($B667="","",CONCATENATE("Ürün: ",$B667," | Kâr: ",TEXT($Q667,"₺ #,##0")," | Durum: ",$W667))</f>
        <v/>
      </c>
      <c r="Y667" s="24"/>
    </row>
    <row r="668" customFormat="false" ht="15" hidden="false" customHeight="false" outlineLevel="0" collapsed="false">
      <c r="A668" s="24"/>
      <c r="B668" s="24"/>
      <c r="C668" s="22"/>
      <c r="D668" s="25"/>
      <c r="E668" s="22"/>
      <c r="F668" s="26"/>
      <c r="G668" s="26"/>
      <c r="H668" s="26"/>
      <c r="I668" s="26"/>
      <c r="J668" s="22"/>
      <c r="K668" s="20" t="n">
        <f aca="false">IF($D668="",0,$C668*$D668)</f>
        <v>0</v>
      </c>
      <c r="L668" s="20" t="n">
        <f aca="false">IF($D668="",0,$F668*$K668)</f>
        <v>0</v>
      </c>
      <c r="M668" s="20" t="n">
        <f aca="false">IF($D668="",0,$G668*$K668)</f>
        <v>0</v>
      </c>
      <c r="N668" s="20" t="n">
        <f aca="false">IF($D668="",0,$H668*$K668)</f>
        <v>0</v>
      </c>
      <c r="O668" s="20" t="n">
        <f aca="false">IF($D668="",0,$I668*$K668*(1-$F668))</f>
        <v>0</v>
      </c>
      <c r="P668" s="20" t="n">
        <f aca="false">IF($D668="",0,$E668*$D668+$L668+$M668+$N668+$O668+$J668*$D668)</f>
        <v>0</v>
      </c>
      <c r="Q668" s="20" t="n">
        <f aca="false">IF($D668="",0,$K668-$P668)</f>
        <v>0</v>
      </c>
      <c r="R668" s="21" t="n">
        <f aca="false">IF($K668=0,0,$Q668/$K668)</f>
        <v>0</v>
      </c>
      <c r="S668" s="20" t="n">
        <f aca="false">IF($D668="",0,$K668-$L668-$M668-$N668)</f>
        <v>0</v>
      </c>
      <c r="T668" s="22"/>
      <c r="U668" s="20" t="n">
        <f aca="false">IF($T668="",0,MAX(0,$S668-$T668))</f>
        <v>0</v>
      </c>
      <c r="V668" s="21" t="n">
        <f aca="false">IF($S668=0,0,$U668/$S668)</f>
        <v>0</v>
      </c>
      <c r="W668" s="23" t="str">
        <f aca="false">IF($D668="","",IF($T668="","BEKLİYOR",IF(OR($U668=0,$S668=0),"DOĞRU",IF(AND($V668&gt;PazaryeriEksikHakedisEsik,$U668&gt;PazaryeriEksikHakedisTutarEsik),"EKSİK HAKEDİŞ","DOĞRU"))))</f>
        <v/>
      </c>
      <c r="X668" s="23" t="str">
        <f aca="false">IF($B668="","",CONCATENATE("Ürün: ",$B668," | Kâr: ",TEXT($Q668,"₺ #,##0")," | Durum: ",$W668))</f>
        <v/>
      </c>
      <c r="Y668" s="24"/>
    </row>
    <row r="669" customFormat="false" ht="15" hidden="false" customHeight="false" outlineLevel="0" collapsed="false">
      <c r="A669" s="24"/>
      <c r="B669" s="24"/>
      <c r="C669" s="22"/>
      <c r="D669" s="25"/>
      <c r="E669" s="22"/>
      <c r="F669" s="26"/>
      <c r="G669" s="26"/>
      <c r="H669" s="26"/>
      <c r="I669" s="26"/>
      <c r="J669" s="22"/>
      <c r="K669" s="20" t="n">
        <f aca="false">IF($D669="",0,$C669*$D669)</f>
        <v>0</v>
      </c>
      <c r="L669" s="20" t="n">
        <f aca="false">IF($D669="",0,$F669*$K669)</f>
        <v>0</v>
      </c>
      <c r="M669" s="20" t="n">
        <f aca="false">IF($D669="",0,$G669*$K669)</f>
        <v>0</v>
      </c>
      <c r="N669" s="20" t="n">
        <f aca="false">IF($D669="",0,$H669*$K669)</f>
        <v>0</v>
      </c>
      <c r="O669" s="20" t="n">
        <f aca="false">IF($D669="",0,$I669*$K669*(1-$F669))</f>
        <v>0</v>
      </c>
      <c r="P669" s="20" t="n">
        <f aca="false">IF($D669="",0,$E669*$D669+$L669+$M669+$N669+$O669+$J669*$D669)</f>
        <v>0</v>
      </c>
      <c r="Q669" s="20" t="n">
        <f aca="false">IF($D669="",0,$K669-$P669)</f>
        <v>0</v>
      </c>
      <c r="R669" s="21" t="n">
        <f aca="false">IF($K669=0,0,$Q669/$K669)</f>
        <v>0</v>
      </c>
      <c r="S669" s="20" t="n">
        <f aca="false">IF($D669="",0,$K669-$L669-$M669-$N669)</f>
        <v>0</v>
      </c>
      <c r="T669" s="22"/>
      <c r="U669" s="20" t="n">
        <f aca="false">IF($T669="",0,MAX(0,$S669-$T669))</f>
        <v>0</v>
      </c>
      <c r="V669" s="21" t="n">
        <f aca="false">IF($S669=0,0,$U669/$S669)</f>
        <v>0</v>
      </c>
      <c r="W669" s="23" t="str">
        <f aca="false">IF($D669="","",IF($T669="","BEKLİYOR",IF(OR($U669=0,$S669=0),"DOĞRU",IF(AND($V669&gt;PazaryeriEksikHakedisEsik,$U669&gt;PazaryeriEksikHakedisTutarEsik),"EKSİK HAKEDİŞ","DOĞRU"))))</f>
        <v/>
      </c>
      <c r="X669" s="23" t="str">
        <f aca="false">IF($B669="","",CONCATENATE("Ürün: ",$B669," | Kâr: ",TEXT($Q669,"₺ #,##0")," | Durum: ",$W669))</f>
        <v/>
      </c>
      <c r="Y669" s="24"/>
    </row>
    <row r="670" customFormat="false" ht="15" hidden="false" customHeight="false" outlineLevel="0" collapsed="false">
      <c r="A670" s="24"/>
      <c r="B670" s="24"/>
      <c r="C670" s="22"/>
      <c r="D670" s="25"/>
      <c r="E670" s="22"/>
      <c r="F670" s="26"/>
      <c r="G670" s="26"/>
      <c r="H670" s="26"/>
      <c r="I670" s="26"/>
      <c r="J670" s="22"/>
      <c r="K670" s="20" t="n">
        <f aca="false">IF($D670="",0,$C670*$D670)</f>
        <v>0</v>
      </c>
      <c r="L670" s="20" t="n">
        <f aca="false">IF($D670="",0,$F670*$K670)</f>
        <v>0</v>
      </c>
      <c r="M670" s="20" t="n">
        <f aca="false">IF($D670="",0,$G670*$K670)</f>
        <v>0</v>
      </c>
      <c r="N670" s="20" t="n">
        <f aca="false">IF($D670="",0,$H670*$K670)</f>
        <v>0</v>
      </c>
      <c r="O670" s="20" t="n">
        <f aca="false">IF($D670="",0,$I670*$K670*(1-$F670))</f>
        <v>0</v>
      </c>
      <c r="P670" s="20" t="n">
        <f aca="false">IF($D670="",0,$E670*$D670+$L670+$M670+$N670+$O670+$J670*$D670)</f>
        <v>0</v>
      </c>
      <c r="Q670" s="20" t="n">
        <f aca="false">IF($D670="",0,$K670-$P670)</f>
        <v>0</v>
      </c>
      <c r="R670" s="21" t="n">
        <f aca="false">IF($K670=0,0,$Q670/$K670)</f>
        <v>0</v>
      </c>
      <c r="S670" s="20" t="n">
        <f aca="false">IF($D670="",0,$K670-$L670-$M670-$N670)</f>
        <v>0</v>
      </c>
      <c r="T670" s="22"/>
      <c r="U670" s="20" t="n">
        <f aca="false">IF($T670="",0,MAX(0,$S670-$T670))</f>
        <v>0</v>
      </c>
      <c r="V670" s="21" t="n">
        <f aca="false">IF($S670=0,0,$U670/$S670)</f>
        <v>0</v>
      </c>
      <c r="W670" s="23" t="str">
        <f aca="false">IF($D670="","",IF($T670="","BEKLİYOR",IF(OR($U670=0,$S670=0),"DOĞRU",IF(AND($V670&gt;PazaryeriEksikHakedisEsik,$U670&gt;PazaryeriEksikHakedisTutarEsik),"EKSİK HAKEDİŞ","DOĞRU"))))</f>
        <v/>
      </c>
      <c r="X670" s="23" t="str">
        <f aca="false">IF($B670="","",CONCATENATE("Ürün: ",$B670," | Kâr: ",TEXT($Q670,"₺ #,##0")," | Durum: ",$W670))</f>
        <v/>
      </c>
      <c r="Y670" s="24"/>
    </row>
    <row r="671" customFormat="false" ht="15" hidden="false" customHeight="false" outlineLevel="0" collapsed="false">
      <c r="A671" s="24"/>
      <c r="B671" s="24"/>
      <c r="C671" s="22"/>
      <c r="D671" s="25"/>
      <c r="E671" s="22"/>
      <c r="F671" s="26"/>
      <c r="G671" s="26"/>
      <c r="H671" s="26"/>
      <c r="I671" s="26"/>
      <c r="J671" s="22"/>
      <c r="K671" s="20" t="n">
        <f aca="false">IF($D671="",0,$C671*$D671)</f>
        <v>0</v>
      </c>
      <c r="L671" s="20" t="n">
        <f aca="false">IF($D671="",0,$F671*$K671)</f>
        <v>0</v>
      </c>
      <c r="M671" s="20" t="n">
        <f aca="false">IF($D671="",0,$G671*$K671)</f>
        <v>0</v>
      </c>
      <c r="N671" s="20" t="n">
        <f aca="false">IF($D671="",0,$H671*$K671)</f>
        <v>0</v>
      </c>
      <c r="O671" s="20" t="n">
        <f aca="false">IF($D671="",0,$I671*$K671*(1-$F671))</f>
        <v>0</v>
      </c>
      <c r="P671" s="20" t="n">
        <f aca="false">IF($D671="",0,$E671*$D671+$L671+$M671+$N671+$O671+$J671*$D671)</f>
        <v>0</v>
      </c>
      <c r="Q671" s="20" t="n">
        <f aca="false">IF($D671="",0,$K671-$P671)</f>
        <v>0</v>
      </c>
      <c r="R671" s="21" t="n">
        <f aca="false">IF($K671=0,0,$Q671/$K671)</f>
        <v>0</v>
      </c>
      <c r="S671" s="20" t="n">
        <f aca="false">IF($D671="",0,$K671-$L671-$M671-$N671)</f>
        <v>0</v>
      </c>
      <c r="T671" s="22"/>
      <c r="U671" s="20" t="n">
        <f aca="false">IF($T671="",0,MAX(0,$S671-$T671))</f>
        <v>0</v>
      </c>
      <c r="V671" s="21" t="n">
        <f aca="false">IF($S671=0,0,$U671/$S671)</f>
        <v>0</v>
      </c>
      <c r="W671" s="23" t="str">
        <f aca="false">IF($D671="","",IF($T671="","BEKLİYOR",IF(OR($U671=0,$S671=0),"DOĞRU",IF(AND($V671&gt;PazaryeriEksikHakedisEsik,$U671&gt;PazaryeriEksikHakedisTutarEsik),"EKSİK HAKEDİŞ","DOĞRU"))))</f>
        <v/>
      </c>
      <c r="X671" s="23" t="str">
        <f aca="false">IF($B671="","",CONCATENATE("Ürün: ",$B671," | Kâr: ",TEXT($Q671,"₺ #,##0")," | Durum: ",$W671))</f>
        <v/>
      </c>
      <c r="Y671" s="24"/>
    </row>
    <row r="672" customFormat="false" ht="15" hidden="false" customHeight="false" outlineLevel="0" collapsed="false">
      <c r="A672" s="24"/>
      <c r="B672" s="24"/>
      <c r="C672" s="22"/>
      <c r="D672" s="25"/>
      <c r="E672" s="22"/>
      <c r="F672" s="26"/>
      <c r="G672" s="26"/>
      <c r="H672" s="26"/>
      <c r="I672" s="26"/>
      <c r="J672" s="22"/>
      <c r="K672" s="20" t="n">
        <f aca="false">IF($D672="",0,$C672*$D672)</f>
        <v>0</v>
      </c>
      <c r="L672" s="20" t="n">
        <f aca="false">IF($D672="",0,$F672*$K672)</f>
        <v>0</v>
      </c>
      <c r="M672" s="20" t="n">
        <f aca="false">IF($D672="",0,$G672*$K672)</f>
        <v>0</v>
      </c>
      <c r="N672" s="20" t="n">
        <f aca="false">IF($D672="",0,$H672*$K672)</f>
        <v>0</v>
      </c>
      <c r="O672" s="20" t="n">
        <f aca="false">IF($D672="",0,$I672*$K672*(1-$F672))</f>
        <v>0</v>
      </c>
      <c r="P672" s="20" t="n">
        <f aca="false">IF($D672="",0,$E672*$D672+$L672+$M672+$N672+$O672+$J672*$D672)</f>
        <v>0</v>
      </c>
      <c r="Q672" s="20" t="n">
        <f aca="false">IF($D672="",0,$K672-$P672)</f>
        <v>0</v>
      </c>
      <c r="R672" s="21" t="n">
        <f aca="false">IF($K672=0,0,$Q672/$K672)</f>
        <v>0</v>
      </c>
      <c r="S672" s="20" t="n">
        <f aca="false">IF($D672="",0,$K672-$L672-$M672-$N672)</f>
        <v>0</v>
      </c>
      <c r="T672" s="22"/>
      <c r="U672" s="20" t="n">
        <f aca="false">IF($T672="",0,MAX(0,$S672-$T672))</f>
        <v>0</v>
      </c>
      <c r="V672" s="21" t="n">
        <f aca="false">IF($S672=0,0,$U672/$S672)</f>
        <v>0</v>
      </c>
      <c r="W672" s="23" t="str">
        <f aca="false">IF($D672="","",IF($T672="","BEKLİYOR",IF(OR($U672=0,$S672=0),"DOĞRU",IF(AND($V672&gt;PazaryeriEksikHakedisEsik,$U672&gt;PazaryeriEksikHakedisTutarEsik),"EKSİK HAKEDİŞ","DOĞRU"))))</f>
        <v/>
      </c>
      <c r="X672" s="23" t="str">
        <f aca="false">IF($B672="","",CONCATENATE("Ürün: ",$B672," | Kâr: ",TEXT($Q672,"₺ #,##0")," | Durum: ",$W672))</f>
        <v/>
      </c>
      <c r="Y672" s="24"/>
    </row>
    <row r="673" customFormat="false" ht="15" hidden="false" customHeight="false" outlineLevel="0" collapsed="false">
      <c r="A673" s="24"/>
      <c r="B673" s="24"/>
      <c r="C673" s="22"/>
      <c r="D673" s="25"/>
      <c r="E673" s="22"/>
      <c r="F673" s="26"/>
      <c r="G673" s="26"/>
      <c r="H673" s="26"/>
      <c r="I673" s="26"/>
      <c r="J673" s="22"/>
      <c r="K673" s="20" t="n">
        <f aca="false">IF($D673="",0,$C673*$D673)</f>
        <v>0</v>
      </c>
      <c r="L673" s="20" t="n">
        <f aca="false">IF($D673="",0,$F673*$K673)</f>
        <v>0</v>
      </c>
      <c r="M673" s="20" t="n">
        <f aca="false">IF($D673="",0,$G673*$K673)</f>
        <v>0</v>
      </c>
      <c r="N673" s="20" t="n">
        <f aca="false">IF($D673="",0,$H673*$K673)</f>
        <v>0</v>
      </c>
      <c r="O673" s="20" t="n">
        <f aca="false">IF($D673="",0,$I673*$K673*(1-$F673))</f>
        <v>0</v>
      </c>
      <c r="P673" s="20" t="n">
        <f aca="false">IF($D673="",0,$E673*$D673+$L673+$M673+$N673+$O673+$J673*$D673)</f>
        <v>0</v>
      </c>
      <c r="Q673" s="20" t="n">
        <f aca="false">IF($D673="",0,$K673-$P673)</f>
        <v>0</v>
      </c>
      <c r="R673" s="21" t="n">
        <f aca="false">IF($K673=0,0,$Q673/$K673)</f>
        <v>0</v>
      </c>
      <c r="S673" s="20" t="n">
        <f aca="false">IF($D673="",0,$K673-$L673-$M673-$N673)</f>
        <v>0</v>
      </c>
      <c r="T673" s="22"/>
      <c r="U673" s="20" t="n">
        <f aca="false">IF($T673="",0,MAX(0,$S673-$T673))</f>
        <v>0</v>
      </c>
      <c r="V673" s="21" t="n">
        <f aca="false">IF($S673=0,0,$U673/$S673)</f>
        <v>0</v>
      </c>
      <c r="W673" s="23" t="str">
        <f aca="false">IF($D673="","",IF($T673="","BEKLİYOR",IF(OR($U673=0,$S673=0),"DOĞRU",IF(AND($V673&gt;PazaryeriEksikHakedisEsik,$U673&gt;PazaryeriEksikHakedisTutarEsik),"EKSİK HAKEDİŞ","DOĞRU"))))</f>
        <v/>
      </c>
      <c r="X673" s="23" t="str">
        <f aca="false">IF($B673="","",CONCATENATE("Ürün: ",$B673," | Kâr: ",TEXT($Q673,"₺ #,##0")," | Durum: ",$W673))</f>
        <v/>
      </c>
      <c r="Y673" s="24"/>
    </row>
    <row r="674" customFormat="false" ht="15" hidden="false" customHeight="false" outlineLevel="0" collapsed="false">
      <c r="A674" s="24"/>
      <c r="B674" s="24"/>
      <c r="C674" s="22"/>
      <c r="D674" s="25"/>
      <c r="E674" s="22"/>
      <c r="F674" s="26"/>
      <c r="G674" s="26"/>
      <c r="H674" s="26"/>
      <c r="I674" s="26"/>
      <c r="J674" s="22"/>
      <c r="K674" s="20" t="n">
        <f aca="false">IF($D674="",0,$C674*$D674)</f>
        <v>0</v>
      </c>
      <c r="L674" s="20" t="n">
        <f aca="false">IF($D674="",0,$F674*$K674)</f>
        <v>0</v>
      </c>
      <c r="M674" s="20" t="n">
        <f aca="false">IF($D674="",0,$G674*$K674)</f>
        <v>0</v>
      </c>
      <c r="N674" s="20" t="n">
        <f aca="false">IF($D674="",0,$H674*$K674)</f>
        <v>0</v>
      </c>
      <c r="O674" s="20" t="n">
        <f aca="false">IF($D674="",0,$I674*$K674*(1-$F674))</f>
        <v>0</v>
      </c>
      <c r="P674" s="20" t="n">
        <f aca="false">IF($D674="",0,$E674*$D674+$L674+$M674+$N674+$O674+$J674*$D674)</f>
        <v>0</v>
      </c>
      <c r="Q674" s="20" t="n">
        <f aca="false">IF($D674="",0,$K674-$P674)</f>
        <v>0</v>
      </c>
      <c r="R674" s="21" t="n">
        <f aca="false">IF($K674=0,0,$Q674/$K674)</f>
        <v>0</v>
      </c>
      <c r="S674" s="20" t="n">
        <f aca="false">IF($D674="",0,$K674-$L674-$M674-$N674)</f>
        <v>0</v>
      </c>
      <c r="T674" s="22"/>
      <c r="U674" s="20" t="n">
        <f aca="false">IF($T674="",0,MAX(0,$S674-$T674))</f>
        <v>0</v>
      </c>
      <c r="V674" s="21" t="n">
        <f aca="false">IF($S674=0,0,$U674/$S674)</f>
        <v>0</v>
      </c>
      <c r="W674" s="23" t="str">
        <f aca="false">IF($D674="","",IF($T674="","BEKLİYOR",IF(OR($U674=0,$S674=0),"DOĞRU",IF(AND($V674&gt;PazaryeriEksikHakedisEsik,$U674&gt;PazaryeriEksikHakedisTutarEsik),"EKSİK HAKEDİŞ","DOĞRU"))))</f>
        <v/>
      </c>
      <c r="X674" s="23" t="str">
        <f aca="false">IF($B674="","",CONCATENATE("Ürün: ",$B674," | Kâr: ",TEXT($Q674,"₺ #,##0")," | Durum: ",$W674))</f>
        <v/>
      </c>
      <c r="Y674" s="24"/>
    </row>
    <row r="675" customFormat="false" ht="15" hidden="false" customHeight="false" outlineLevel="0" collapsed="false">
      <c r="A675" s="24"/>
      <c r="B675" s="24"/>
      <c r="C675" s="22"/>
      <c r="D675" s="25"/>
      <c r="E675" s="22"/>
      <c r="F675" s="26"/>
      <c r="G675" s="26"/>
      <c r="H675" s="26"/>
      <c r="I675" s="26"/>
      <c r="J675" s="22"/>
      <c r="K675" s="20" t="n">
        <f aca="false">IF($D675="",0,$C675*$D675)</f>
        <v>0</v>
      </c>
      <c r="L675" s="20" t="n">
        <f aca="false">IF($D675="",0,$F675*$K675)</f>
        <v>0</v>
      </c>
      <c r="M675" s="20" t="n">
        <f aca="false">IF($D675="",0,$G675*$K675)</f>
        <v>0</v>
      </c>
      <c r="N675" s="20" t="n">
        <f aca="false">IF($D675="",0,$H675*$K675)</f>
        <v>0</v>
      </c>
      <c r="O675" s="20" t="n">
        <f aca="false">IF($D675="",0,$I675*$K675*(1-$F675))</f>
        <v>0</v>
      </c>
      <c r="P675" s="20" t="n">
        <f aca="false">IF($D675="",0,$E675*$D675+$L675+$M675+$N675+$O675+$J675*$D675)</f>
        <v>0</v>
      </c>
      <c r="Q675" s="20" t="n">
        <f aca="false">IF($D675="",0,$K675-$P675)</f>
        <v>0</v>
      </c>
      <c r="R675" s="21" t="n">
        <f aca="false">IF($K675=0,0,$Q675/$K675)</f>
        <v>0</v>
      </c>
      <c r="S675" s="20" t="n">
        <f aca="false">IF($D675="",0,$K675-$L675-$M675-$N675)</f>
        <v>0</v>
      </c>
      <c r="T675" s="22"/>
      <c r="U675" s="20" t="n">
        <f aca="false">IF($T675="",0,MAX(0,$S675-$T675))</f>
        <v>0</v>
      </c>
      <c r="V675" s="21" t="n">
        <f aca="false">IF($S675=0,0,$U675/$S675)</f>
        <v>0</v>
      </c>
      <c r="W675" s="23" t="str">
        <f aca="false">IF($D675="","",IF($T675="","BEKLİYOR",IF(OR($U675=0,$S675=0),"DOĞRU",IF(AND($V675&gt;PazaryeriEksikHakedisEsik,$U675&gt;PazaryeriEksikHakedisTutarEsik),"EKSİK HAKEDİŞ","DOĞRU"))))</f>
        <v/>
      </c>
      <c r="X675" s="23" t="str">
        <f aca="false">IF($B675="","",CONCATENATE("Ürün: ",$B675," | Kâr: ",TEXT($Q675,"₺ #,##0")," | Durum: ",$W675))</f>
        <v/>
      </c>
      <c r="Y675" s="24"/>
    </row>
    <row r="676" customFormat="false" ht="15" hidden="false" customHeight="false" outlineLevel="0" collapsed="false">
      <c r="A676" s="24"/>
      <c r="B676" s="24"/>
      <c r="C676" s="22"/>
      <c r="D676" s="25"/>
      <c r="E676" s="22"/>
      <c r="F676" s="26"/>
      <c r="G676" s="26"/>
      <c r="H676" s="26"/>
      <c r="I676" s="26"/>
      <c r="J676" s="22"/>
      <c r="K676" s="20" t="n">
        <f aca="false">IF($D676="",0,$C676*$D676)</f>
        <v>0</v>
      </c>
      <c r="L676" s="20" t="n">
        <f aca="false">IF($D676="",0,$F676*$K676)</f>
        <v>0</v>
      </c>
      <c r="M676" s="20" t="n">
        <f aca="false">IF($D676="",0,$G676*$K676)</f>
        <v>0</v>
      </c>
      <c r="N676" s="20" t="n">
        <f aca="false">IF($D676="",0,$H676*$K676)</f>
        <v>0</v>
      </c>
      <c r="O676" s="20" t="n">
        <f aca="false">IF($D676="",0,$I676*$K676*(1-$F676))</f>
        <v>0</v>
      </c>
      <c r="P676" s="20" t="n">
        <f aca="false">IF($D676="",0,$E676*$D676+$L676+$M676+$N676+$O676+$J676*$D676)</f>
        <v>0</v>
      </c>
      <c r="Q676" s="20" t="n">
        <f aca="false">IF($D676="",0,$K676-$P676)</f>
        <v>0</v>
      </c>
      <c r="R676" s="21" t="n">
        <f aca="false">IF($K676=0,0,$Q676/$K676)</f>
        <v>0</v>
      </c>
      <c r="S676" s="20" t="n">
        <f aca="false">IF($D676="",0,$K676-$L676-$M676-$N676)</f>
        <v>0</v>
      </c>
      <c r="T676" s="22"/>
      <c r="U676" s="20" t="n">
        <f aca="false">IF($T676="",0,MAX(0,$S676-$T676))</f>
        <v>0</v>
      </c>
      <c r="V676" s="21" t="n">
        <f aca="false">IF($S676=0,0,$U676/$S676)</f>
        <v>0</v>
      </c>
      <c r="W676" s="23" t="str">
        <f aca="false">IF($D676="","",IF($T676="","BEKLİYOR",IF(OR($U676=0,$S676=0),"DOĞRU",IF(AND($V676&gt;PazaryeriEksikHakedisEsik,$U676&gt;PazaryeriEksikHakedisTutarEsik),"EKSİK HAKEDİŞ","DOĞRU"))))</f>
        <v/>
      </c>
      <c r="X676" s="23" t="str">
        <f aca="false">IF($B676="","",CONCATENATE("Ürün: ",$B676," | Kâr: ",TEXT($Q676,"₺ #,##0")," | Durum: ",$W676))</f>
        <v/>
      </c>
      <c r="Y676" s="24"/>
    </row>
    <row r="677" customFormat="false" ht="15" hidden="false" customHeight="false" outlineLevel="0" collapsed="false">
      <c r="A677" s="24"/>
      <c r="B677" s="24"/>
      <c r="C677" s="22"/>
      <c r="D677" s="25"/>
      <c r="E677" s="22"/>
      <c r="F677" s="26"/>
      <c r="G677" s="26"/>
      <c r="H677" s="26"/>
      <c r="I677" s="26"/>
      <c r="J677" s="22"/>
      <c r="K677" s="20" t="n">
        <f aca="false">IF($D677="",0,$C677*$D677)</f>
        <v>0</v>
      </c>
      <c r="L677" s="20" t="n">
        <f aca="false">IF($D677="",0,$F677*$K677)</f>
        <v>0</v>
      </c>
      <c r="M677" s="20" t="n">
        <f aca="false">IF($D677="",0,$G677*$K677)</f>
        <v>0</v>
      </c>
      <c r="N677" s="20" t="n">
        <f aca="false">IF($D677="",0,$H677*$K677)</f>
        <v>0</v>
      </c>
      <c r="O677" s="20" t="n">
        <f aca="false">IF($D677="",0,$I677*$K677*(1-$F677))</f>
        <v>0</v>
      </c>
      <c r="P677" s="20" t="n">
        <f aca="false">IF($D677="",0,$E677*$D677+$L677+$M677+$N677+$O677+$J677*$D677)</f>
        <v>0</v>
      </c>
      <c r="Q677" s="20" t="n">
        <f aca="false">IF($D677="",0,$K677-$P677)</f>
        <v>0</v>
      </c>
      <c r="R677" s="21" t="n">
        <f aca="false">IF($K677=0,0,$Q677/$K677)</f>
        <v>0</v>
      </c>
      <c r="S677" s="20" t="n">
        <f aca="false">IF($D677="",0,$K677-$L677-$M677-$N677)</f>
        <v>0</v>
      </c>
      <c r="T677" s="22"/>
      <c r="U677" s="20" t="n">
        <f aca="false">IF($T677="",0,MAX(0,$S677-$T677))</f>
        <v>0</v>
      </c>
      <c r="V677" s="21" t="n">
        <f aca="false">IF($S677=0,0,$U677/$S677)</f>
        <v>0</v>
      </c>
      <c r="W677" s="23" t="str">
        <f aca="false">IF($D677="","",IF($T677="","BEKLİYOR",IF(OR($U677=0,$S677=0),"DOĞRU",IF(AND($V677&gt;PazaryeriEksikHakedisEsik,$U677&gt;PazaryeriEksikHakedisTutarEsik),"EKSİK HAKEDİŞ","DOĞRU"))))</f>
        <v/>
      </c>
      <c r="X677" s="23" t="str">
        <f aca="false">IF($B677="","",CONCATENATE("Ürün: ",$B677," | Kâr: ",TEXT($Q677,"₺ #,##0")," | Durum: ",$W677))</f>
        <v/>
      </c>
      <c r="Y677" s="24"/>
    </row>
    <row r="678" customFormat="false" ht="15" hidden="false" customHeight="false" outlineLevel="0" collapsed="false">
      <c r="A678" s="24"/>
      <c r="B678" s="24"/>
      <c r="C678" s="22"/>
      <c r="D678" s="25"/>
      <c r="E678" s="22"/>
      <c r="F678" s="26"/>
      <c r="G678" s="26"/>
      <c r="H678" s="26"/>
      <c r="I678" s="26"/>
      <c r="J678" s="22"/>
      <c r="K678" s="20" t="n">
        <f aca="false">IF($D678="",0,$C678*$D678)</f>
        <v>0</v>
      </c>
      <c r="L678" s="20" t="n">
        <f aca="false">IF($D678="",0,$F678*$K678)</f>
        <v>0</v>
      </c>
      <c r="M678" s="20" t="n">
        <f aca="false">IF($D678="",0,$G678*$K678)</f>
        <v>0</v>
      </c>
      <c r="N678" s="20" t="n">
        <f aca="false">IF($D678="",0,$H678*$K678)</f>
        <v>0</v>
      </c>
      <c r="O678" s="20" t="n">
        <f aca="false">IF($D678="",0,$I678*$K678*(1-$F678))</f>
        <v>0</v>
      </c>
      <c r="P678" s="20" t="n">
        <f aca="false">IF($D678="",0,$E678*$D678+$L678+$M678+$N678+$O678+$J678*$D678)</f>
        <v>0</v>
      </c>
      <c r="Q678" s="20" t="n">
        <f aca="false">IF($D678="",0,$K678-$P678)</f>
        <v>0</v>
      </c>
      <c r="R678" s="21" t="n">
        <f aca="false">IF($K678=0,0,$Q678/$K678)</f>
        <v>0</v>
      </c>
      <c r="S678" s="20" t="n">
        <f aca="false">IF($D678="",0,$K678-$L678-$M678-$N678)</f>
        <v>0</v>
      </c>
      <c r="T678" s="22"/>
      <c r="U678" s="20" t="n">
        <f aca="false">IF($T678="",0,MAX(0,$S678-$T678))</f>
        <v>0</v>
      </c>
      <c r="V678" s="21" t="n">
        <f aca="false">IF($S678=0,0,$U678/$S678)</f>
        <v>0</v>
      </c>
      <c r="W678" s="23" t="str">
        <f aca="false">IF($D678="","",IF($T678="","BEKLİYOR",IF(OR($U678=0,$S678=0),"DOĞRU",IF(AND($V678&gt;PazaryeriEksikHakedisEsik,$U678&gt;PazaryeriEksikHakedisTutarEsik),"EKSİK HAKEDİŞ","DOĞRU"))))</f>
        <v/>
      </c>
      <c r="X678" s="23" t="str">
        <f aca="false">IF($B678="","",CONCATENATE("Ürün: ",$B678," | Kâr: ",TEXT($Q678,"₺ #,##0")," | Durum: ",$W678))</f>
        <v/>
      </c>
      <c r="Y678" s="24"/>
    </row>
    <row r="679" customFormat="false" ht="15" hidden="false" customHeight="false" outlineLevel="0" collapsed="false">
      <c r="A679" s="24"/>
      <c r="B679" s="24"/>
      <c r="C679" s="22"/>
      <c r="D679" s="25"/>
      <c r="E679" s="22"/>
      <c r="F679" s="26"/>
      <c r="G679" s="26"/>
      <c r="H679" s="26"/>
      <c r="I679" s="26"/>
      <c r="J679" s="22"/>
      <c r="K679" s="20" t="n">
        <f aca="false">IF($D679="",0,$C679*$D679)</f>
        <v>0</v>
      </c>
      <c r="L679" s="20" t="n">
        <f aca="false">IF($D679="",0,$F679*$K679)</f>
        <v>0</v>
      </c>
      <c r="M679" s="20" t="n">
        <f aca="false">IF($D679="",0,$G679*$K679)</f>
        <v>0</v>
      </c>
      <c r="N679" s="20" t="n">
        <f aca="false">IF($D679="",0,$H679*$K679)</f>
        <v>0</v>
      </c>
      <c r="O679" s="20" t="n">
        <f aca="false">IF($D679="",0,$I679*$K679*(1-$F679))</f>
        <v>0</v>
      </c>
      <c r="P679" s="20" t="n">
        <f aca="false">IF($D679="",0,$E679*$D679+$L679+$M679+$N679+$O679+$J679*$D679)</f>
        <v>0</v>
      </c>
      <c r="Q679" s="20" t="n">
        <f aca="false">IF($D679="",0,$K679-$P679)</f>
        <v>0</v>
      </c>
      <c r="R679" s="21" t="n">
        <f aca="false">IF($K679=0,0,$Q679/$K679)</f>
        <v>0</v>
      </c>
      <c r="S679" s="20" t="n">
        <f aca="false">IF($D679="",0,$K679-$L679-$M679-$N679)</f>
        <v>0</v>
      </c>
      <c r="T679" s="22"/>
      <c r="U679" s="20" t="n">
        <f aca="false">IF($T679="",0,MAX(0,$S679-$T679))</f>
        <v>0</v>
      </c>
      <c r="V679" s="21" t="n">
        <f aca="false">IF($S679=0,0,$U679/$S679)</f>
        <v>0</v>
      </c>
      <c r="W679" s="23" t="str">
        <f aca="false">IF($D679="","",IF($T679="","BEKLİYOR",IF(OR($U679=0,$S679=0),"DOĞRU",IF(AND($V679&gt;PazaryeriEksikHakedisEsik,$U679&gt;PazaryeriEksikHakedisTutarEsik),"EKSİK HAKEDİŞ","DOĞRU"))))</f>
        <v/>
      </c>
      <c r="X679" s="23" t="str">
        <f aca="false">IF($B679="","",CONCATENATE("Ürün: ",$B679," | Kâr: ",TEXT($Q679,"₺ #,##0")," | Durum: ",$W679))</f>
        <v/>
      </c>
      <c r="Y679" s="24"/>
    </row>
    <row r="680" customFormat="false" ht="15" hidden="false" customHeight="false" outlineLevel="0" collapsed="false">
      <c r="A680" s="24"/>
      <c r="B680" s="24"/>
      <c r="C680" s="22"/>
      <c r="D680" s="25"/>
      <c r="E680" s="22"/>
      <c r="F680" s="26"/>
      <c r="G680" s="26"/>
      <c r="H680" s="26"/>
      <c r="I680" s="26"/>
      <c r="J680" s="22"/>
      <c r="K680" s="20" t="n">
        <f aca="false">IF($D680="",0,$C680*$D680)</f>
        <v>0</v>
      </c>
      <c r="L680" s="20" t="n">
        <f aca="false">IF($D680="",0,$F680*$K680)</f>
        <v>0</v>
      </c>
      <c r="M680" s="20" t="n">
        <f aca="false">IF($D680="",0,$G680*$K680)</f>
        <v>0</v>
      </c>
      <c r="N680" s="20" t="n">
        <f aca="false">IF($D680="",0,$H680*$K680)</f>
        <v>0</v>
      </c>
      <c r="O680" s="20" t="n">
        <f aca="false">IF($D680="",0,$I680*$K680*(1-$F680))</f>
        <v>0</v>
      </c>
      <c r="P680" s="20" t="n">
        <f aca="false">IF($D680="",0,$E680*$D680+$L680+$M680+$N680+$O680+$J680*$D680)</f>
        <v>0</v>
      </c>
      <c r="Q680" s="20" t="n">
        <f aca="false">IF($D680="",0,$K680-$P680)</f>
        <v>0</v>
      </c>
      <c r="R680" s="21" t="n">
        <f aca="false">IF($K680=0,0,$Q680/$K680)</f>
        <v>0</v>
      </c>
      <c r="S680" s="20" t="n">
        <f aca="false">IF($D680="",0,$K680-$L680-$M680-$N680)</f>
        <v>0</v>
      </c>
      <c r="T680" s="22"/>
      <c r="U680" s="20" t="n">
        <f aca="false">IF($T680="",0,MAX(0,$S680-$T680))</f>
        <v>0</v>
      </c>
      <c r="V680" s="21" t="n">
        <f aca="false">IF($S680=0,0,$U680/$S680)</f>
        <v>0</v>
      </c>
      <c r="W680" s="23" t="str">
        <f aca="false">IF($D680="","",IF($T680="","BEKLİYOR",IF(OR($U680=0,$S680=0),"DOĞRU",IF(AND($V680&gt;PazaryeriEksikHakedisEsik,$U680&gt;PazaryeriEksikHakedisTutarEsik),"EKSİK HAKEDİŞ","DOĞRU"))))</f>
        <v/>
      </c>
      <c r="X680" s="23" t="str">
        <f aca="false">IF($B680="","",CONCATENATE("Ürün: ",$B680," | Kâr: ",TEXT($Q680,"₺ #,##0")," | Durum: ",$W680))</f>
        <v/>
      </c>
      <c r="Y680" s="24"/>
    </row>
    <row r="681" customFormat="false" ht="15" hidden="false" customHeight="false" outlineLevel="0" collapsed="false">
      <c r="A681" s="24"/>
      <c r="B681" s="24"/>
      <c r="C681" s="22"/>
      <c r="D681" s="25"/>
      <c r="E681" s="22"/>
      <c r="F681" s="26"/>
      <c r="G681" s="26"/>
      <c r="H681" s="26"/>
      <c r="I681" s="26"/>
      <c r="J681" s="22"/>
      <c r="K681" s="20" t="n">
        <f aca="false">IF($D681="",0,$C681*$D681)</f>
        <v>0</v>
      </c>
      <c r="L681" s="20" t="n">
        <f aca="false">IF($D681="",0,$F681*$K681)</f>
        <v>0</v>
      </c>
      <c r="M681" s="20" t="n">
        <f aca="false">IF($D681="",0,$G681*$K681)</f>
        <v>0</v>
      </c>
      <c r="N681" s="20" t="n">
        <f aca="false">IF($D681="",0,$H681*$K681)</f>
        <v>0</v>
      </c>
      <c r="O681" s="20" t="n">
        <f aca="false">IF($D681="",0,$I681*$K681*(1-$F681))</f>
        <v>0</v>
      </c>
      <c r="P681" s="20" t="n">
        <f aca="false">IF($D681="",0,$E681*$D681+$L681+$M681+$N681+$O681+$J681*$D681)</f>
        <v>0</v>
      </c>
      <c r="Q681" s="20" t="n">
        <f aca="false">IF($D681="",0,$K681-$P681)</f>
        <v>0</v>
      </c>
      <c r="R681" s="21" t="n">
        <f aca="false">IF($K681=0,0,$Q681/$K681)</f>
        <v>0</v>
      </c>
      <c r="S681" s="20" t="n">
        <f aca="false">IF($D681="",0,$K681-$L681-$M681-$N681)</f>
        <v>0</v>
      </c>
      <c r="T681" s="22"/>
      <c r="U681" s="20" t="n">
        <f aca="false">IF($T681="",0,MAX(0,$S681-$T681))</f>
        <v>0</v>
      </c>
      <c r="V681" s="21" t="n">
        <f aca="false">IF($S681=0,0,$U681/$S681)</f>
        <v>0</v>
      </c>
      <c r="W681" s="23" t="str">
        <f aca="false">IF($D681="","",IF($T681="","BEKLİYOR",IF(OR($U681=0,$S681=0),"DOĞRU",IF(AND($V681&gt;PazaryeriEksikHakedisEsik,$U681&gt;PazaryeriEksikHakedisTutarEsik),"EKSİK HAKEDİŞ","DOĞRU"))))</f>
        <v/>
      </c>
      <c r="X681" s="23" t="str">
        <f aca="false">IF($B681="","",CONCATENATE("Ürün: ",$B681," | Kâr: ",TEXT($Q681,"₺ #,##0")," | Durum: ",$W681))</f>
        <v/>
      </c>
      <c r="Y681" s="24"/>
    </row>
    <row r="682" customFormat="false" ht="15" hidden="false" customHeight="false" outlineLevel="0" collapsed="false">
      <c r="A682" s="24"/>
      <c r="B682" s="24"/>
      <c r="C682" s="22"/>
      <c r="D682" s="25"/>
      <c r="E682" s="22"/>
      <c r="F682" s="26"/>
      <c r="G682" s="26"/>
      <c r="H682" s="26"/>
      <c r="I682" s="26"/>
      <c r="J682" s="22"/>
      <c r="K682" s="20" t="n">
        <f aca="false">IF($D682="",0,$C682*$D682)</f>
        <v>0</v>
      </c>
      <c r="L682" s="20" t="n">
        <f aca="false">IF($D682="",0,$F682*$K682)</f>
        <v>0</v>
      </c>
      <c r="M682" s="20" t="n">
        <f aca="false">IF($D682="",0,$G682*$K682)</f>
        <v>0</v>
      </c>
      <c r="N682" s="20" t="n">
        <f aca="false">IF($D682="",0,$H682*$K682)</f>
        <v>0</v>
      </c>
      <c r="O682" s="20" t="n">
        <f aca="false">IF($D682="",0,$I682*$K682*(1-$F682))</f>
        <v>0</v>
      </c>
      <c r="P682" s="20" t="n">
        <f aca="false">IF($D682="",0,$E682*$D682+$L682+$M682+$N682+$O682+$J682*$D682)</f>
        <v>0</v>
      </c>
      <c r="Q682" s="20" t="n">
        <f aca="false">IF($D682="",0,$K682-$P682)</f>
        <v>0</v>
      </c>
      <c r="R682" s="21" t="n">
        <f aca="false">IF($K682=0,0,$Q682/$K682)</f>
        <v>0</v>
      </c>
      <c r="S682" s="20" t="n">
        <f aca="false">IF($D682="",0,$K682-$L682-$M682-$N682)</f>
        <v>0</v>
      </c>
      <c r="T682" s="22"/>
      <c r="U682" s="20" t="n">
        <f aca="false">IF($T682="",0,MAX(0,$S682-$T682))</f>
        <v>0</v>
      </c>
      <c r="V682" s="21" t="n">
        <f aca="false">IF($S682=0,0,$U682/$S682)</f>
        <v>0</v>
      </c>
      <c r="W682" s="23" t="str">
        <f aca="false">IF($D682="","",IF($T682="","BEKLİYOR",IF(OR($U682=0,$S682=0),"DOĞRU",IF(AND($V682&gt;PazaryeriEksikHakedisEsik,$U682&gt;PazaryeriEksikHakedisTutarEsik),"EKSİK HAKEDİŞ","DOĞRU"))))</f>
        <v/>
      </c>
      <c r="X682" s="23" t="str">
        <f aca="false">IF($B682="","",CONCATENATE("Ürün: ",$B682," | Kâr: ",TEXT($Q682,"₺ #,##0")," | Durum: ",$W682))</f>
        <v/>
      </c>
      <c r="Y682" s="24"/>
    </row>
    <row r="683" customFormat="false" ht="15" hidden="false" customHeight="false" outlineLevel="0" collapsed="false">
      <c r="A683" s="24"/>
      <c r="B683" s="24"/>
      <c r="C683" s="22"/>
      <c r="D683" s="25"/>
      <c r="E683" s="22"/>
      <c r="F683" s="26"/>
      <c r="G683" s="26"/>
      <c r="H683" s="26"/>
      <c r="I683" s="26"/>
      <c r="J683" s="22"/>
      <c r="K683" s="20" t="n">
        <f aca="false">IF($D683="",0,$C683*$D683)</f>
        <v>0</v>
      </c>
      <c r="L683" s="20" t="n">
        <f aca="false">IF($D683="",0,$F683*$K683)</f>
        <v>0</v>
      </c>
      <c r="M683" s="20" t="n">
        <f aca="false">IF($D683="",0,$G683*$K683)</f>
        <v>0</v>
      </c>
      <c r="N683" s="20" t="n">
        <f aca="false">IF($D683="",0,$H683*$K683)</f>
        <v>0</v>
      </c>
      <c r="O683" s="20" t="n">
        <f aca="false">IF($D683="",0,$I683*$K683*(1-$F683))</f>
        <v>0</v>
      </c>
      <c r="P683" s="20" t="n">
        <f aca="false">IF($D683="",0,$E683*$D683+$L683+$M683+$N683+$O683+$J683*$D683)</f>
        <v>0</v>
      </c>
      <c r="Q683" s="20" t="n">
        <f aca="false">IF($D683="",0,$K683-$P683)</f>
        <v>0</v>
      </c>
      <c r="R683" s="21" t="n">
        <f aca="false">IF($K683=0,0,$Q683/$K683)</f>
        <v>0</v>
      </c>
      <c r="S683" s="20" t="n">
        <f aca="false">IF($D683="",0,$K683-$L683-$M683-$N683)</f>
        <v>0</v>
      </c>
      <c r="T683" s="22"/>
      <c r="U683" s="20" t="n">
        <f aca="false">IF($T683="",0,MAX(0,$S683-$T683))</f>
        <v>0</v>
      </c>
      <c r="V683" s="21" t="n">
        <f aca="false">IF($S683=0,0,$U683/$S683)</f>
        <v>0</v>
      </c>
      <c r="W683" s="23" t="str">
        <f aca="false">IF($D683="","",IF($T683="","BEKLİYOR",IF(OR($U683=0,$S683=0),"DOĞRU",IF(AND($V683&gt;PazaryeriEksikHakedisEsik,$U683&gt;PazaryeriEksikHakedisTutarEsik),"EKSİK HAKEDİŞ","DOĞRU"))))</f>
        <v/>
      </c>
      <c r="X683" s="23" t="str">
        <f aca="false">IF($B683="","",CONCATENATE("Ürün: ",$B683," | Kâr: ",TEXT($Q683,"₺ #,##0")," | Durum: ",$W683))</f>
        <v/>
      </c>
      <c r="Y683" s="24"/>
    </row>
    <row r="684" customFormat="false" ht="15" hidden="false" customHeight="false" outlineLevel="0" collapsed="false">
      <c r="A684" s="24"/>
      <c r="B684" s="24"/>
      <c r="C684" s="22"/>
      <c r="D684" s="25"/>
      <c r="E684" s="22"/>
      <c r="F684" s="26"/>
      <c r="G684" s="26"/>
      <c r="H684" s="26"/>
      <c r="I684" s="26"/>
      <c r="J684" s="22"/>
      <c r="K684" s="20" t="n">
        <f aca="false">IF($D684="",0,$C684*$D684)</f>
        <v>0</v>
      </c>
      <c r="L684" s="20" t="n">
        <f aca="false">IF($D684="",0,$F684*$K684)</f>
        <v>0</v>
      </c>
      <c r="M684" s="20" t="n">
        <f aca="false">IF($D684="",0,$G684*$K684)</f>
        <v>0</v>
      </c>
      <c r="N684" s="20" t="n">
        <f aca="false">IF($D684="",0,$H684*$K684)</f>
        <v>0</v>
      </c>
      <c r="O684" s="20" t="n">
        <f aca="false">IF($D684="",0,$I684*$K684*(1-$F684))</f>
        <v>0</v>
      </c>
      <c r="P684" s="20" t="n">
        <f aca="false">IF($D684="",0,$E684*$D684+$L684+$M684+$N684+$O684+$J684*$D684)</f>
        <v>0</v>
      </c>
      <c r="Q684" s="20" t="n">
        <f aca="false">IF($D684="",0,$K684-$P684)</f>
        <v>0</v>
      </c>
      <c r="R684" s="21" t="n">
        <f aca="false">IF($K684=0,0,$Q684/$K684)</f>
        <v>0</v>
      </c>
      <c r="S684" s="20" t="n">
        <f aca="false">IF($D684="",0,$K684-$L684-$M684-$N684)</f>
        <v>0</v>
      </c>
      <c r="T684" s="22"/>
      <c r="U684" s="20" t="n">
        <f aca="false">IF($T684="",0,MAX(0,$S684-$T684))</f>
        <v>0</v>
      </c>
      <c r="V684" s="21" t="n">
        <f aca="false">IF($S684=0,0,$U684/$S684)</f>
        <v>0</v>
      </c>
      <c r="W684" s="23" t="str">
        <f aca="false">IF($D684="","",IF($T684="","BEKLİYOR",IF(OR($U684=0,$S684=0),"DOĞRU",IF(AND($V684&gt;PazaryeriEksikHakedisEsik,$U684&gt;PazaryeriEksikHakedisTutarEsik),"EKSİK HAKEDİŞ","DOĞRU"))))</f>
        <v/>
      </c>
      <c r="X684" s="23" t="str">
        <f aca="false">IF($B684="","",CONCATENATE("Ürün: ",$B684," | Kâr: ",TEXT($Q684,"₺ #,##0")," | Durum: ",$W684))</f>
        <v/>
      </c>
      <c r="Y684" s="24"/>
    </row>
    <row r="685" customFormat="false" ht="15" hidden="false" customHeight="false" outlineLevel="0" collapsed="false">
      <c r="A685" s="24"/>
      <c r="B685" s="24"/>
      <c r="C685" s="22"/>
      <c r="D685" s="25"/>
      <c r="E685" s="22"/>
      <c r="F685" s="26"/>
      <c r="G685" s="26"/>
      <c r="H685" s="26"/>
      <c r="I685" s="26"/>
      <c r="J685" s="22"/>
      <c r="K685" s="20" t="n">
        <f aca="false">IF($D685="",0,$C685*$D685)</f>
        <v>0</v>
      </c>
      <c r="L685" s="20" t="n">
        <f aca="false">IF($D685="",0,$F685*$K685)</f>
        <v>0</v>
      </c>
      <c r="M685" s="20" t="n">
        <f aca="false">IF($D685="",0,$G685*$K685)</f>
        <v>0</v>
      </c>
      <c r="N685" s="20" t="n">
        <f aca="false">IF($D685="",0,$H685*$K685)</f>
        <v>0</v>
      </c>
      <c r="O685" s="20" t="n">
        <f aca="false">IF($D685="",0,$I685*$K685*(1-$F685))</f>
        <v>0</v>
      </c>
      <c r="P685" s="20" t="n">
        <f aca="false">IF($D685="",0,$E685*$D685+$L685+$M685+$N685+$O685+$J685*$D685)</f>
        <v>0</v>
      </c>
      <c r="Q685" s="20" t="n">
        <f aca="false">IF($D685="",0,$K685-$P685)</f>
        <v>0</v>
      </c>
      <c r="R685" s="21" t="n">
        <f aca="false">IF($K685=0,0,$Q685/$K685)</f>
        <v>0</v>
      </c>
      <c r="S685" s="20" t="n">
        <f aca="false">IF($D685="",0,$K685-$L685-$M685-$N685)</f>
        <v>0</v>
      </c>
      <c r="T685" s="22"/>
      <c r="U685" s="20" t="n">
        <f aca="false">IF($T685="",0,MAX(0,$S685-$T685))</f>
        <v>0</v>
      </c>
      <c r="V685" s="21" t="n">
        <f aca="false">IF($S685=0,0,$U685/$S685)</f>
        <v>0</v>
      </c>
      <c r="W685" s="23" t="str">
        <f aca="false">IF($D685="","",IF($T685="","BEKLİYOR",IF(OR($U685=0,$S685=0),"DOĞRU",IF(AND($V685&gt;PazaryeriEksikHakedisEsik,$U685&gt;PazaryeriEksikHakedisTutarEsik),"EKSİK HAKEDİŞ","DOĞRU"))))</f>
        <v/>
      </c>
      <c r="X685" s="23" t="str">
        <f aca="false">IF($B685="","",CONCATENATE("Ürün: ",$B685," | Kâr: ",TEXT($Q685,"₺ #,##0")," | Durum: ",$W685))</f>
        <v/>
      </c>
      <c r="Y685" s="24"/>
    </row>
    <row r="686" customFormat="false" ht="15" hidden="false" customHeight="false" outlineLevel="0" collapsed="false">
      <c r="A686" s="24"/>
      <c r="B686" s="24"/>
      <c r="C686" s="22"/>
      <c r="D686" s="25"/>
      <c r="E686" s="22"/>
      <c r="F686" s="26"/>
      <c r="G686" s="26"/>
      <c r="H686" s="26"/>
      <c r="I686" s="26"/>
      <c r="J686" s="22"/>
      <c r="K686" s="20" t="n">
        <f aca="false">IF($D686="",0,$C686*$D686)</f>
        <v>0</v>
      </c>
      <c r="L686" s="20" t="n">
        <f aca="false">IF($D686="",0,$F686*$K686)</f>
        <v>0</v>
      </c>
      <c r="M686" s="20" t="n">
        <f aca="false">IF($D686="",0,$G686*$K686)</f>
        <v>0</v>
      </c>
      <c r="N686" s="20" t="n">
        <f aca="false">IF($D686="",0,$H686*$K686)</f>
        <v>0</v>
      </c>
      <c r="O686" s="20" t="n">
        <f aca="false">IF($D686="",0,$I686*$K686*(1-$F686))</f>
        <v>0</v>
      </c>
      <c r="P686" s="20" t="n">
        <f aca="false">IF($D686="",0,$E686*$D686+$L686+$M686+$N686+$O686+$J686*$D686)</f>
        <v>0</v>
      </c>
      <c r="Q686" s="20" t="n">
        <f aca="false">IF($D686="",0,$K686-$P686)</f>
        <v>0</v>
      </c>
      <c r="R686" s="21" t="n">
        <f aca="false">IF($K686=0,0,$Q686/$K686)</f>
        <v>0</v>
      </c>
      <c r="S686" s="20" t="n">
        <f aca="false">IF($D686="",0,$K686-$L686-$M686-$N686)</f>
        <v>0</v>
      </c>
      <c r="T686" s="22"/>
      <c r="U686" s="20" t="n">
        <f aca="false">IF($T686="",0,MAX(0,$S686-$T686))</f>
        <v>0</v>
      </c>
      <c r="V686" s="21" t="n">
        <f aca="false">IF($S686=0,0,$U686/$S686)</f>
        <v>0</v>
      </c>
      <c r="W686" s="23" t="str">
        <f aca="false">IF($D686="","",IF($T686="","BEKLİYOR",IF(OR($U686=0,$S686=0),"DOĞRU",IF(AND($V686&gt;PazaryeriEksikHakedisEsik,$U686&gt;PazaryeriEksikHakedisTutarEsik),"EKSİK HAKEDİŞ","DOĞRU"))))</f>
        <v/>
      </c>
      <c r="X686" s="23" t="str">
        <f aca="false">IF($B686="","",CONCATENATE("Ürün: ",$B686," | Kâr: ",TEXT($Q686,"₺ #,##0")," | Durum: ",$W686))</f>
        <v/>
      </c>
      <c r="Y686" s="24"/>
    </row>
    <row r="687" customFormat="false" ht="15" hidden="false" customHeight="false" outlineLevel="0" collapsed="false">
      <c r="A687" s="24"/>
      <c r="B687" s="24"/>
      <c r="C687" s="22"/>
      <c r="D687" s="25"/>
      <c r="E687" s="22"/>
      <c r="F687" s="26"/>
      <c r="G687" s="26"/>
      <c r="H687" s="26"/>
      <c r="I687" s="26"/>
      <c r="J687" s="22"/>
      <c r="K687" s="20" t="n">
        <f aca="false">IF($D687="",0,$C687*$D687)</f>
        <v>0</v>
      </c>
      <c r="L687" s="20" t="n">
        <f aca="false">IF($D687="",0,$F687*$K687)</f>
        <v>0</v>
      </c>
      <c r="M687" s="20" t="n">
        <f aca="false">IF($D687="",0,$G687*$K687)</f>
        <v>0</v>
      </c>
      <c r="N687" s="20" t="n">
        <f aca="false">IF($D687="",0,$H687*$K687)</f>
        <v>0</v>
      </c>
      <c r="O687" s="20" t="n">
        <f aca="false">IF($D687="",0,$I687*$K687*(1-$F687))</f>
        <v>0</v>
      </c>
      <c r="P687" s="20" t="n">
        <f aca="false">IF($D687="",0,$E687*$D687+$L687+$M687+$N687+$O687+$J687*$D687)</f>
        <v>0</v>
      </c>
      <c r="Q687" s="20" t="n">
        <f aca="false">IF($D687="",0,$K687-$P687)</f>
        <v>0</v>
      </c>
      <c r="R687" s="21" t="n">
        <f aca="false">IF($K687=0,0,$Q687/$K687)</f>
        <v>0</v>
      </c>
      <c r="S687" s="20" t="n">
        <f aca="false">IF($D687="",0,$K687-$L687-$M687-$N687)</f>
        <v>0</v>
      </c>
      <c r="T687" s="22"/>
      <c r="U687" s="20" t="n">
        <f aca="false">IF($T687="",0,MAX(0,$S687-$T687))</f>
        <v>0</v>
      </c>
      <c r="V687" s="21" t="n">
        <f aca="false">IF($S687=0,0,$U687/$S687)</f>
        <v>0</v>
      </c>
      <c r="W687" s="23" t="str">
        <f aca="false">IF($D687="","",IF($T687="","BEKLİYOR",IF(OR($U687=0,$S687=0),"DOĞRU",IF(AND($V687&gt;PazaryeriEksikHakedisEsik,$U687&gt;PazaryeriEksikHakedisTutarEsik),"EKSİK HAKEDİŞ","DOĞRU"))))</f>
        <v/>
      </c>
      <c r="X687" s="23" t="str">
        <f aca="false">IF($B687="","",CONCATENATE("Ürün: ",$B687," | Kâr: ",TEXT($Q687,"₺ #,##0")," | Durum: ",$W687))</f>
        <v/>
      </c>
      <c r="Y687" s="24"/>
    </row>
    <row r="688" customFormat="false" ht="15" hidden="false" customHeight="false" outlineLevel="0" collapsed="false">
      <c r="A688" s="24"/>
      <c r="B688" s="24"/>
      <c r="C688" s="22"/>
      <c r="D688" s="25"/>
      <c r="E688" s="22"/>
      <c r="F688" s="26"/>
      <c r="G688" s="26"/>
      <c r="H688" s="26"/>
      <c r="I688" s="26"/>
      <c r="J688" s="22"/>
      <c r="K688" s="20" t="n">
        <f aca="false">IF($D688="",0,$C688*$D688)</f>
        <v>0</v>
      </c>
      <c r="L688" s="20" t="n">
        <f aca="false">IF($D688="",0,$F688*$K688)</f>
        <v>0</v>
      </c>
      <c r="M688" s="20" t="n">
        <f aca="false">IF($D688="",0,$G688*$K688)</f>
        <v>0</v>
      </c>
      <c r="N688" s="20" t="n">
        <f aca="false">IF($D688="",0,$H688*$K688)</f>
        <v>0</v>
      </c>
      <c r="O688" s="20" t="n">
        <f aca="false">IF($D688="",0,$I688*$K688*(1-$F688))</f>
        <v>0</v>
      </c>
      <c r="P688" s="20" t="n">
        <f aca="false">IF($D688="",0,$E688*$D688+$L688+$M688+$N688+$O688+$J688*$D688)</f>
        <v>0</v>
      </c>
      <c r="Q688" s="20" t="n">
        <f aca="false">IF($D688="",0,$K688-$P688)</f>
        <v>0</v>
      </c>
      <c r="R688" s="21" t="n">
        <f aca="false">IF($K688=0,0,$Q688/$K688)</f>
        <v>0</v>
      </c>
      <c r="S688" s="20" t="n">
        <f aca="false">IF($D688="",0,$K688-$L688-$M688-$N688)</f>
        <v>0</v>
      </c>
      <c r="T688" s="22"/>
      <c r="U688" s="20" t="n">
        <f aca="false">IF($T688="",0,MAX(0,$S688-$T688))</f>
        <v>0</v>
      </c>
      <c r="V688" s="21" t="n">
        <f aca="false">IF($S688=0,0,$U688/$S688)</f>
        <v>0</v>
      </c>
      <c r="W688" s="23" t="str">
        <f aca="false">IF($D688="","",IF($T688="","BEKLİYOR",IF(OR($U688=0,$S688=0),"DOĞRU",IF(AND($V688&gt;PazaryeriEksikHakedisEsik,$U688&gt;PazaryeriEksikHakedisTutarEsik),"EKSİK HAKEDİŞ","DOĞRU"))))</f>
        <v/>
      </c>
      <c r="X688" s="23" t="str">
        <f aca="false">IF($B688="","",CONCATENATE("Ürün: ",$B688," | Kâr: ",TEXT($Q688,"₺ #,##0")," | Durum: ",$W688))</f>
        <v/>
      </c>
      <c r="Y688" s="24"/>
    </row>
    <row r="689" customFormat="false" ht="15" hidden="false" customHeight="false" outlineLevel="0" collapsed="false">
      <c r="A689" s="24"/>
      <c r="B689" s="24"/>
      <c r="C689" s="22"/>
      <c r="D689" s="25"/>
      <c r="E689" s="22"/>
      <c r="F689" s="26"/>
      <c r="G689" s="26"/>
      <c r="H689" s="26"/>
      <c r="I689" s="26"/>
      <c r="J689" s="22"/>
      <c r="K689" s="20" t="n">
        <f aca="false">IF($D689="",0,$C689*$D689)</f>
        <v>0</v>
      </c>
      <c r="L689" s="20" t="n">
        <f aca="false">IF($D689="",0,$F689*$K689)</f>
        <v>0</v>
      </c>
      <c r="M689" s="20" t="n">
        <f aca="false">IF($D689="",0,$G689*$K689)</f>
        <v>0</v>
      </c>
      <c r="N689" s="20" t="n">
        <f aca="false">IF($D689="",0,$H689*$K689)</f>
        <v>0</v>
      </c>
      <c r="O689" s="20" t="n">
        <f aca="false">IF($D689="",0,$I689*$K689*(1-$F689))</f>
        <v>0</v>
      </c>
      <c r="P689" s="20" t="n">
        <f aca="false">IF($D689="",0,$E689*$D689+$L689+$M689+$N689+$O689+$J689*$D689)</f>
        <v>0</v>
      </c>
      <c r="Q689" s="20" t="n">
        <f aca="false">IF($D689="",0,$K689-$P689)</f>
        <v>0</v>
      </c>
      <c r="R689" s="21" t="n">
        <f aca="false">IF($K689=0,0,$Q689/$K689)</f>
        <v>0</v>
      </c>
      <c r="S689" s="20" t="n">
        <f aca="false">IF($D689="",0,$K689-$L689-$M689-$N689)</f>
        <v>0</v>
      </c>
      <c r="T689" s="22"/>
      <c r="U689" s="20" t="n">
        <f aca="false">IF($T689="",0,MAX(0,$S689-$T689))</f>
        <v>0</v>
      </c>
      <c r="V689" s="21" t="n">
        <f aca="false">IF($S689=0,0,$U689/$S689)</f>
        <v>0</v>
      </c>
      <c r="W689" s="23" t="str">
        <f aca="false">IF($D689="","",IF($T689="","BEKLİYOR",IF(OR($U689=0,$S689=0),"DOĞRU",IF(AND($V689&gt;PazaryeriEksikHakedisEsik,$U689&gt;PazaryeriEksikHakedisTutarEsik),"EKSİK HAKEDİŞ","DOĞRU"))))</f>
        <v/>
      </c>
      <c r="X689" s="23" t="str">
        <f aca="false">IF($B689="","",CONCATENATE("Ürün: ",$B689," | Kâr: ",TEXT($Q689,"₺ #,##0")," | Durum: ",$W689))</f>
        <v/>
      </c>
      <c r="Y689" s="24"/>
    </row>
    <row r="690" customFormat="false" ht="15" hidden="false" customHeight="false" outlineLevel="0" collapsed="false">
      <c r="A690" s="24"/>
      <c r="B690" s="24"/>
      <c r="C690" s="22"/>
      <c r="D690" s="25"/>
      <c r="E690" s="22"/>
      <c r="F690" s="26"/>
      <c r="G690" s="26"/>
      <c r="H690" s="26"/>
      <c r="I690" s="26"/>
      <c r="J690" s="22"/>
      <c r="K690" s="20" t="n">
        <f aca="false">IF($D690="",0,$C690*$D690)</f>
        <v>0</v>
      </c>
      <c r="L690" s="20" t="n">
        <f aca="false">IF($D690="",0,$F690*$K690)</f>
        <v>0</v>
      </c>
      <c r="M690" s="20" t="n">
        <f aca="false">IF($D690="",0,$G690*$K690)</f>
        <v>0</v>
      </c>
      <c r="N690" s="20" t="n">
        <f aca="false">IF($D690="",0,$H690*$K690)</f>
        <v>0</v>
      </c>
      <c r="O690" s="20" t="n">
        <f aca="false">IF($D690="",0,$I690*$K690*(1-$F690))</f>
        <v>0</v>
      </c>
      <c r="P690" s="20" t="n">
        <f aca="false">IF($D690="",0,$E690*$D690+$L690+$M690+$N690+$O690+$J690*$D690)</f>
        <v>0</v>
      </c>
      <c r="Q690" s="20" t="n">
        <f aca="false">IF($D690="",0,$K690-$P690)</f>
        <v>0</v>
      </c>
      <c r="R690" s="21" t="n">
        <f aca="false">IF($K690=0,0,$Q690/$K690)</f>
        <v>0</v>
      </c>
      <c r="S690" s="20" t="n">
        <f aca="false">IF($D690="",0,$K690-$L690-$M690-$N690)</f>
        <v>0</v>
      </c>
      <c r="T690" s="22"/>
      <c r="U690" s="20" t="n">
        <f aca="false">IF($T690="",0,MAX(0,$S690-$T690))</f>
        <v>0</v>
      </c>
      <c r="V690" s="21" t="n">
        <f aca="false">IF($S690=0,0,$U690/$S690)</f>
        <v>0</v>
      </c>
      <c r="W690" s="23" t="str">
        <f aca="false">IF($D690="","",IF($T690="","BEKLİYOR",IF(OR($U690=0,$S690=0),"DOĞRU",IF(AND($V690&gt;PazaryeriEksikHakedisEsik,$U690&gt;PazaryeriEksikHakedisTutarEsik),"EKSİK HAKEDİŞ","DOĞRU"))))</f>
        <v/>
      </c>
      <c r="X690" s="23" t="str">
        <f aca="false">IF($B690="","",CONCATENATE("Ürün: ",$B690," | Kâr: ",TEXT($Q690,"₺ #,##0")," | Durum: ",$W690))</f>
        <v/>
      </c>
      <c r="Y690" s="24"/>
    </row>
    <row r="691" customFormat="false" ht="15" hidden="false" customHeight="false" outlineLevel="0" collapsed="false">
      <c r="A691" s="24"/>
      <c r="B691" s="24"/>
      <c r="C691" s="22"/>
      <c r="D691" s="25"/>
      <c r="E691" s="22"/>
      <c r="F691" s="26"/>
      <c r="G691" s="26"/>
      <c r="H691" s="26"/>
      <c r="I691" s="26"/>
      <c r="J691" s="22"/>
      <c r="K691" s="20" t="n">
        <f aca="false">IF($D691="",0,$C691*$D691)</f>
        <v>0</v>
      </c>
      <c r="L691" s="20" t="n">
        <f aca="false">IF($D691="",0,$F691*$K691)</f>
        <v>0</v>
      </c>
      <c r="M691" s="20" t="n">
        <f aca="false">IF($D691="",0,$G691*$K691)</f>
        <v>0</v>
      </c>
      <c r="N691" s="20" t="n">
        <f aca="false">IF($D691="",0,$H691*$K691)</f>
        <v>0</v>
      </c>
      <c r="O691" s="20" t="n">
        <f aca="false">IF($D691="",0,$I691*$K691*(1-$F691))</f>
        <v>0</v>
      </c>
      <c r="P691" s="20" t="n">
        <f aca="false">IF($D691="",0,$E691*$D691+$L691+$M691+$N691+$O691+$J691*$D691)</f>
        <v>0</v>
      </c>
      <c r="Q691" s="20" t="n">
        <f aca="false">IF($D691="",0,$K691-$P691)</f>
        <v>0</v>
      </c>
      <c r="R691" s="21" t="n">
        <f aca="false">IF($K691=0,0,$Q691/$K691)</f>
        <v>0</v>
      </c>
      <c r="S691" s="20" t="n">
        <f aca="false">IF($D691="",0,$K691-$L691-$M691-$N691)</f>
        <v>0</v>
      </c>
      <c r="T691" s="22"/>
      <c r="U691" s="20" t="n">
        <f aca="false">IF($T691="",0,MAX(0,$S691-$T691))</f>
        <v>0</v>
      </c>
      <c r="V691" s="21" t="n">
        <f aca="false">IF($S691=0,0,$U691/$S691)</f>
        <v>0</v>
      </c>
      <c r="W691" s="23" t="str">
        <f aca="false">IF($D691="","",IF($T691="","BEKLİYOR",IF(OR($U691=0,$S691=0),"DOĞRU",IF(AND($V691&gt;PazaryeriEksikHakedisEsik,$U691&gt;PazaryeriEksikHakedisTutarEsik),"EKSİK HAKEDİŞ","DOĞRU"))))</f>
        <v/>
      </c>
      <c r="X691" s="23" t="str">
        <f aca="false">IF($B691="","",CONCATENATE("Ürün: ",$B691," | Kâr: ",TEXT($Q691,"₺ #,##0")," | Durum: ",$W691))</f>
        <v/>
      </c>
      <c r="Y691" s="24"/>
    </row>
    <row r="692" customFormat="false" ht="15" hidden="false" customHeight="false" outlineLevel="0" collapsed="false">
      <c r="A692" s="24"/>
      <c r="B692" s="24"/>
      <c r="C692" s="22"/>
      <c r="D692" s="25"/>
      <c r="E692" s="22"/>
      <c r="F692" s="26"/>
      <c r="G692" s="26"/>
      <c r="H692" s="26"/>
      <c r="I692" s="26"/>
      <c r="J692" s="22"/>
      <c r="K692" s="20" t="n">
        <f aca="false">IF($D692="",0,$C692*$D692)</f>
        <v>0</v>
      </c>
      <c r="L692" s="20" t="n">
        <f aca="false">IF($D692="",0,$F692*$K692)</f>
        <v>0</v>
      </c>
      <c r="M692" s="20" t="n">
        <f aca="false">IF($D692="",0,$G692*$K692)</f>
        <v>0</v>
      </c>
      <c r="N692" s="20" t="n">
        <f aca="false">IF($D692="",0,$H692*$K692)</f>
        <v>0</v>
      </c>
      <c r="O692" s="20" t="n">
        <f aca="false">IF($D692="",0,$I692*$K692*(1-$F692))</f>
        <v>0</v>
      </c>
      <c r="P692" s="20" t="n">
        <f aca="false">IF($D692="",0,$E692*$D692+$L692+$M692+$N692+$O692+$J692*$D692)</f>
        <v>0</v>
      </c>
      <c r="Q692" s="20" t="n">
        <f aca="false">IF($D692="",0,$K692-$P692)</f>
        <v>0</v>
      </c>
      <c r="R692" s="21" t="n">
        <f aca="false">IF($K692=0,0,$Q692/$K692)</f>
        <v>0</v>
      </c>
      <c r="S692" s="20" t="n">
        <f aca="false">IF($D692="",0,$K692-$L692-$M692-$N692)</f>
        <v>0</v>
      </c>
      <c r="T692" s="22"/>
      <c r="U692" s="20" t="n">
        <f aca="false">IF($T692="",0,MAX(0,$S692-$T692))</f>
        <v>0</v>
      </c>
      <c r="V692" s="21" t="n">
        <f aca="false">IF($S692=0,0,$U692/$S692)</f>
        <v>0</v>
      </c>
      <c r="W692" s="23" t="str">
        <f aca="false">IF($D692="","",IF($T692="","BEKLİYOR",IF(OR($U692=0,$S692=0),"DOĞRU",IF(AND($V692&gt;PazaryeriEksikHakedisEsik,$U692&gt;PazaryeriEksikHakedisTutarEsik),"EKSİK HAKEDİŞ","DOĞRU"))))</f>
        <v/>
      </c>
      <c r="X692" s="23" t="str">
        <f aca="false">IF($B692="","",CONCATENATE("Ürün: ",$B692," | Kâr: ",TEXT($Q692,"₺ #,##0")," | Durum: ",$W692))</f>
        <v/>
      </c>
      <c r="Y692" s="24"/>
    </row>
    <row r="693" customFormat="false" ht="15" hidden="false" customHeight="false" outlineLevel="0" collapsed="false">
      <c r="A693" s="24"/>
      <c r="B693" s="24"/>
      <c r="C693" s="22"/>
      <c r="D693" s="25"/>
      <c r="E693" s="22"/>
      <c r="F693" s="26"/>
      <c r="G693" s="26"/>
      <c r="H693" s="26"/>
      <c r="I693" s="26"/>
      <c r="J693" s="22"/>
      <c r="K693" s="20" t="n">
        <f aca="false">IF($D693="",0,$C693*$D693)</f>
        <v>0</v>
      </c>
      <c r="L693" s="20" t="n">
        <f aca="false">IF($D693="",0,$F693*$K693)</f>
        <v>0</v>
      </c>
      <c r="M693" s="20" t="n">
        <f aca="false">IF($D693="",0,$G693*$K693)</f>
        <v>0</v>
      </c>
      <c r="N693" s="20" t="n">
        <f aca="false">IF($D693="",0,$H693*$K693)</f>
        <v>0</v>
      </c>
      <c r="O693" s="20" t="n">
        <f aca="false">IF($D693="",0,$I693*$K693*(1-$F693))</f>
        <v>0</v>
      </c>
      <c r="P693" s="20" t="n">
        <f aca="false">IF($D693="",0,$E693*$D693+$L693+$M693+$N693+$O693+$J693*$D693)</f>
        <v>0</v>
      </c>
      <c r="Q693" s="20" t="n">
        <f aca="false">IF($D693="",0,$K693-$P693)</f>
        <v>0</v>
      </c>
      <c r="R693" s="21" t="n">
        <f aca="false">IF($K693=0,0,$Q693/$K693)</f>
        <v>0</v>
      </c>
      <c r="S693" s="20" t="n">
        <f aca="false">IF($D693="",0,$K693-$L693-$M693-$N693)</f>
        <v>0</v>
      </c>
      <c r="T693" s="22"/>
      <c r="U693" s="20" t="n">
        <f aca="false">IF($T693="",0,MAX(0,$S693-$T693))</f>
        <v>0</v>
      </c>
      <c r="V693" s="21" t="n">
        <f aca="false">IF($S693=0,0,$U693/$S693)</f>
        <v>0</v>
      </c>
      <c r="W693" s="23" t="str">
        <f aca="false">IF($D693="","",IF($T693="","BEKLİYOR",IF(OR($U693=0,$S693=0),"DOĞRU",IF(AND($V693&gt;PazaryeriEksikHakedisEsik,$U693&gt;PazaryeriEksikHakedisTutarEsik),"EKSİK HAKEDİŞ","DOĞRU"))))</f>
        <v/>
      </c>
      <c r="X693" s="23" t="str">
        <f aca="false">IF($B693="","",CONCATENATE("Ürün: ",$B693," | Kâr: ",TEXT($Q693,"₺ #,##0")," | Durum: ",$W693))</f>
        <v/>
      </c>
      <c r="Y693" s="24"/>
    </row>
    <row r="694" customFormat="false" ht="15" hidden="false" customHeight="false" outlineLevel="0" collapsed="false">
      <c r="A694" s="24"/>
      <c r="B694" s="24"/>
      <c r="C694" s="22"/>
      <c r="D694" s="25"/>
      <c r="E694" s="22"/>
      <c r="F694" s="26"/>
      <c r="G694" s="26"/>
      <c r="H694" s="26"/>
      <c r="I694" s="26"/>
      <c r="J694" s="22"/>
      <c r="K694" s="20" t="n">
        <f aca="false">IF($D694="",0,$C694*$D694)</f>
        <v>0</v>
      </c>
      <c r="L694" s="20" t="n">
        <f aca="false">IF($D694="",0,$F694*$K694)</f>
        <v>0</v>
      </c>
      <c r="M694" s="20" t="n">
        <f aca="false">IF($D694="",0,$G694*$K694)</f>
        <v>0</v>
      </c>
      <c r="N694" s="20" t="n">
        <f aca="false">IF($D694="",0,$H694*$K694)</f>
        <v>0</v>
      </c>
      <c r="O694" s="20" t="n">
        <f aca="false">IF($D694="",0,$I694*$K694*(1-$F694))</f>
        <v>0</v>
      </c>
      <c r="P694" s="20" t="n">
        <f aca="false">IF($D694="",0,$E694*$D694+$L694+$M694+$N694+$O694+$J694*$D694)</f>
        <v>0</v>
      </c>
      <c r="Q694" s="20" t="n">
        <f aca="false">IF($D694="",0,$K694-$P694)</f>
        <v>0</v>
      </c>
      <c r="R694" s="21" t="n">
        <f aca="false">IF($K694=0,0,$Q694/$K694)</f>
        <v>0</v>
      </c>
      <c r="S694" s="20" t="n">
        <f aca="false">IF($D694="",0,$K694-$L694-$M694-$N694)</f>
        <v>0</v>
      </c>
      <c r="T694" s="22"/>
      <c r="U694" s="20" t="n">
        <f aca="false">IF($T694="",0,MAX(0,$S694-$T694))</f>
        <v>0</v>
      </c>
      <c r="V694" s="21" t="n">
        <f aca="false">IF($S694=0,0,$U694/$S694)</f>
        <v>0</v>
      </c>
      <c r="W694" s="23" t="str">
        <f aca="false">IF($D694="","",IF($T694="","BEKLİYOR",IF(OR($U694=0,$S694=0),"DOĞRU",IF(AND($V694&gt;PazaryeriEksikHakedisEsik,$U694&gt;PazaryeriEksikHakedisTutarEsik),"EKSİK HAKEDİŞ","DOĞRU"))))</f>
        <v/>
      </c>
      <c r="X694" s="23" t="str">
        <f aca="false">IF($B694="","",CONCATENATE("Ürün: ",$B694," | Kâr: ",TEXT($Q694,"₺ #,##0")," | Durum: ",$W694))</f>
        <v/>
      </c>
      <c r="Y694" s="24"/>
    </row>
    <row r="695" customFormat="false" ht="15" hidden="false" customHeight="false" outlineLevel="0" collapsed="false">
      <c r="A695" s="24"/>
      <c r="B695" s="24"/>
      <c r="C695" s="22"/>
      <c r="D695" s="25"/>
      <c r="E695" s="22"/>
      <c r="F695" s="26"/>
      <c r="G695" s="26"/>
      <c r="H695" s="26"/>
      <c r="I695" s="26"/>
      <c r="J695" s="22"/>
      <c r="K695" s="20" t="n">
        <f aca="false">IF($D695="",0,$C695*$D695)</f>
        <v>0</v>
      </c>
      <c r="L695" s="20" t="n">
        <f aca="false">IF($D695="",0,$F695*$K695)</f>
        <v>0</v>
      </c>
      <c r="M695" s="20" t="n">
        <f aca="false">IF($D695="",0,$G695*$K695)</f>
        <v>0</v>
      </c>
      <c r="N695" s="20" t="n">
        <f aca="false">IF($D695="",0,$H695*$K695)</f>
        <v>0</v>
      </c>
      <c r="O695" s="20" t="n">
        <f aca="false">IF($D695="",0,$I695*$K695*(1-$F695))</f>
        <v>0</v>
      </c>
      <c r="P695" s="20" t="n">
        <f aca="false">IF($D695="",0,$E695*$D695+$L695+$M695+$N695+$O695+$J695*$D695)</f>
        <v>0</v>
      </c>
      <c r="Q695" s="20" t="n">
        <f aca="false">IF($D695="",0,$K695-$P695)</f>
        <v>0</v>
      </c>
      <c r="R695" s="21" t="n">
        <f aca="false">IF($K695=0,0,$Q695/$K695)</f>
        <v>0</v>
      </c>
      <c r="S695" s="20" t="n">
        <f aca="false">IF($D695="",0,$K695-$L695-$M695-$N695)</f>
        <v>0</v>
      </c>
      <c r="T695" s="22"/>
      <c r="U695" s="20" t="n">
        <f aca="false">IF($T695="",0,MAX(0,$S695-$T695))</f>
        <v>0</v>
      </c>
      <c r="V695" s="21" t="n">
        <f aca="false">IF($S695=0,0,$U695/$S695)</f>
        <v>0</v>
      </c>
      <c r="W695" s="23" t="str">
        <f aca="false">IF($D695="","",IF($T695="","BEKLİYOR",IF(OR($U695=0,$S695=0),"DOĞRU",IF(AND($V695&gt;PazaryeriEksikHakedisEsik,$U695&gt;PazaryeriEksikHakedisTutarEsik),"EKSİK HAKEDİŞ","DOĞRU"))))</f>
        <v/>
      </c>
      <c r="X695" s="23" t="str">
        <f aca="false">IF($B695="","",CONCATENATE("Ürün: ",$B695," | Kâr: ",TEXT($Q695,"₺ #,##0")," | Durum: ",$W695))</f>
        <v/>
      </c>
      <c r="Y695" s="24"/>
    </row>
    <row r="696" customFormat="false" ht="15" hidden="false" customHeight="false" outlineLevel="0" collapsed="false">
      <c r="A696" s="24"/>
      <c r="B696" s="24"/>
      <c r="C696" s="22"/>
      <c r="D696" s="25"/>
      <c r="E696" s="22"/>
      <c r="F696" s="26"/>
      <c r="G696" s="26"/>
      <c r="H696" s="26"/>
      <c r="I696" s="26"/>
      <c r="J696" s="22"/>
      <c r="K696" s="20" t="n">
        <f aca="false">IF($D696="",0,$C696*$D696)</f>
        <v>0</v>
      </c>
      <c r="L696" s="20" t="n">
        <f aca="false">IF($D696="",0,$F696*$K696)</f>
        <v>0</v>
      </c>
      <c r="M696" s="20" t="n">
        <f aca="false">IF($D696="",0,$G696*$K696)</f>
        <v>0</v>
      </c>
      <c r="N696" s="20" t="n">
        <f aca="false">IF($D696="",0,$H696*$K696)</f>
        <v>0</v>
      </c>
      <c r="O696" s="20" t="n">
        <f aca="false">IF($D696="",0,$I696*$K696*(1-$F696))</f>
        <v>0</v>
      </c>
      <c r="P696" s="20" t="n">
        <f aca="false">IF($D696="",0,$E696*$D696+$L696+$M696+$N696+$O696+$J696*$D696)</f>
        <v>0</v>
      </c>
      <c r="Q696" s="20" t="n">
        <f aca="false">IF($D696="",0,$K696-$P696)</f>
        <v>0</v>
      </c>
      <c r="R696" s="21" t="n">
        <f aca="false">IF($K696=0,0,$Q696/$K696)</f>
        <v>0</v>
      </c>
      <c r="S696" s="20" t="n">
        <f aca="false">IF($D696="",0,$K696-$L696-$M696-$N696)</f>
        <v>0</v>
      </c>
      <c r="T696" s="22"/>
      <c r="U696" s="20" t="n">
        <f aca="false">IF($T696="",0,MAX(0,$S696-$T696))</f>
        <v>0</v>
      </c>
      <c r="V696" s="21" t="n">
        <f aca="false">IF($S696=0,0,$U696/$S696)</f>
        <v>0</v>
      </c>
      <c r="W696" s="23" t="str">
        <f aca="false">IF($D696="","",IF($T696="","BEKLİYOR",IF(OR($U696=0,$S696=0),"DOĞRU",IF(AND($V696&gt;PazaryeriEksikHakedisEsik,$U696&gt;PazaryeriEksikHakedisTutarEsik),"EKSİK HAKEDİŞ","DOĞRU"))))</f>
        <v/>
      </c>
      <c r="X696" s="23" t="str">
        <f aca="false">IF($B696="","",CONCATENATE("Ürün: ",$B696," | Kâr: ",TEXT($Q696,"₺ #,##0")," | Durum: ",$W696))</f>
        <v/>
      </c>
      <c r="Y696" s="24"/>
    </row>
    <row r="697" customFormat="false" ht="15" hidden="false" customHeight="false" outlineLevel="0" collapsed="false">
      <c r="A697" s="24"/>
      <c r="B697" s="24"/>
      <c r="C697" s="22"/>
      <c r="D697" s="25"/>
      <c r="E697" s="22"/>
      <c r="F697" s="26"/>
      <c r="G697" s="26"/>
      <c r="H697" s="26"/>
      <c r="I697" s="26"/>
      <c r="J697" s="22"/>
      <c r="K697" s="20" t="n">
        <f aca="false">IF($D697="",0,$C697*$D697)</f>
        <v>0</v>
      </c>
      <c r="L697" s="20" t="n">
        <f aca="false">IF($D697="",0,$F697*$K697)</f>
        <v>0</v>
      </c>
      <c r="M697" s="20" t="n">
        <f aca="false">IF($D697="",0,$G697*$K697)</f>
        <v>0</v>
      </c>
      <c r="N697" s="20" t="n">
        <f aca="false">IF($D697="",0,$H697*$K697)</f>
        <v>0</v>
      </c>
      <c r="O697" s="20" t="n">
        <f aca="false">IF($D697="",0,$I697*$K697*(1-$F697))</f>
        <v>0</v>
      </c>
      <c r="P697" s="20" t="n">
        <f aca="false">IF($D697="",0,$E697*$D697+$L697+$M697+$N697+$O697+$J697*$D697)</f>
        <v>0</v>
      </c>
      <c r="Q697" s="20" t="n">
        <f aca="false">IF($D697="",0,$K697-$P697)</f>
        <v>0</v>
      </c>
      <c r="R697" s="21" t="n">
        <f aca="false">IF($K697=0,0,$Q697/$K697)</f>
        <v>0</v>
      </c>
      <c r="S697" s="20" t="n">
        <f aca="false">IF($D697="",0,$K697-$L697-$M697-$N697)</f>
        <v>0</v>
      </c>
      <c r="T697" s="22"/>
      <c r="U697" s="20" t="n">
        <f aca="false">IF($T697="",0,MAX(0,$S697-$T697))</f>
        <v>0</v>
      </c>
      <c r="V697" s="21" t="n">
        <f aca="false">IF($S697=0,0,$U697/$S697)</f>
        <v>0</v>
      </c>
      <c r="W697" s="23" t="str">
        <f aca="false">IF($D697="","",IF($T697="","BEKLİYOR",IF(OR($U697=0,$S697=0),"DOĞRU",IF(AND($V697&gt;PazaryeriEksikHakedisEsik,$U697&gt;PazaryeriEksikHakedisTutarEsik),"EKSİK HAKEDİŞ","DOĞRU"))))</f>
        <v/>
      </c>
      <c r="X697" s="23" t="str">
        <f aca="false">IF($B697="","",CONCATENATE("Ürün: ",$B697," | Kâr: ",TEXT($Q697,"₺ #,##0")," | Durum: ",$W697))</f>
        <v/>
      </c>
      <c r="Y697" s="24"/>
    </row>
    <row r="698" customFormat="false" ht="15" hidden="false" customHeight="false" outlineLevel="0" collapsed="false">
      <c r="A698" s="24"/>
      <c r="B698" s="24"/>
      <c r="C698" s="22"/>
      <c r="D698" s="25"/>
      <c r="E698" s="22"/>
      <c r="F698" s="26"/>
      <c r="G698" s="26"/>
      <c r="H698" s="26"/>
      <c r="I698" s="26"/>
      <c r="J698" s="22"/>
      <c r="K698" s="20" t="n">
        <f aca="false">IF($D698="",0,$C698*$D698)</f>
        <v>0</v>
      </c>
      <c r="L698" s="20" t="n">
        <f aca="false">IF($D698="",0,$F698*$K698)</f>
        <v>0</v>
      </c>
      <c r="M698" s="20" t="n">
        <f aca="false">IF($D698="",0,$G698*$K698)</f>
        <v>0</v>
      </c>
      <c r="N698" s="20" t="n">
        <f aca="false">IF($D698="",0,$H698*$K698)</f>
        <v>0</v>
      </c>
      <c r="O698" s="20" t="n">
        <f aca="false">IF($D698="",0,$I698*$K698*(1-$F698))</f>
        <v>0</v>
      </c>
      <c r="P698" s="20" t="n">
        <f aca="false">IF($D698="",0,$E698*$D698+$L698+$M698+$N698+$O698+$J698*$D698)</f>
        <v>0</v>
      </c>
      <c r="Q698" s="20" t="n">
        <f aca="false">IF($D698="",0,$K698-$P698)</f>
        <v>0</v>
      </c>
      <c r="R698" s="21" t="n">
        <f aca="false">IF($K698=0,0,$Q698/$K698)</f>
        <v>0</v>
      </c>
      <c r="S698" s="20" t="n">
        <f aca="false">IF($D698="",0,$K698-$L698-$M698-$N698)</f>
        <v>0</v>
      </c>
      <c r="T698" s="22"/>
      <c r="U698" s="20" t="n">
        <f aca="false">IF($T698="",0,MAX(0,$S698-$T698))</f>
        <v>0</v>
      </c>
      <c r="V698" s="21" t="n">
        <f aca="false">IF($S698=0,0,$U698/$S698)</f>
        <v>0</v>
      </c>
      <c r="W698" s="23" t="str">
        <f aca="false">IF($D698="","",IF($T698="","BEKLİYOR",IF(OR($U698=0,$S698=0),"DOĞRU",IF(AND($V698&gt;PazaryeriEksikHakedisEsik,$U698&gt;PazaryeriEksikHakedisTutarEsik),"EKSİK HAKEDİŞ","DOĞRU"))))</f>
        <v/>
      </c>
      <c r="X698" s="23" t="str">
        <f aca="false">IF($B698="","",CONCATENATE("Ürün: ",$B698," | Kâr: ",TEXT($Q698,"₺ #,##0")," | Durum: ",$W698))</f>
        <v/>
      </c>
      <c r="Y698" s="24"/>
    </row>
    <row r="699" customFormat="false" ht="15" hidden="false" customHeight="false" outlineLevel="0" collapsed="false">
      <c r="A699" s="24"/>
      <c r="B699" s="24"/>
      <c r="C699" s="22"/>
      <c r="D699" s="25"/>
      <c r="E699" s="22"/>
      <c r="F699" s="26"/>
      <c r="G699" s="26"/>
      <c r="H699" s="26"/>
      <c r="I699" s="26"/>
      <c r="J699" s="22"/>
      <c r="K699" s="20" t="n">
        <f aca="false">IF($D699="",0,$C699*$D699)</f>
        <v>0</v>
      </c>
      <c r="L699" s="20" t="n">
        <f aca="false">IF($D699="",0,$F699*$K699)</f>
        <v>0</v>
      </c>
      <c r="M699" s="20" t="n">
        <f aca="false">IF($D699="",0,$G699*$K699)</f>
        <v>0</v>
      </c>
      <c r="N699" s="20" t="n">
        <f aca="false">IF($D699="",0,$H699*$K699)</f>
        <v>0</v>
      </c>
      <c r="O699" s="20" t="n">
        <f aca="false">IF($D699="",0,$I699*$K699*(1-$F699))</f>
        <v>0</v>
      </c>
      <c r="P699" s="20" t="n">
        <f aca="false">IF($D699="",0,$E699*$D699+$L699+$M699+$N699+$O699+$J699*$D699)</f>
        <v>0</v>
      </c>
      <c r="Q699" s="20" t="n">
        <f aca="false">IF($D699="",0,$K699-$P699)</f>
        <v>0</v>
      </c>
      <c r="R699" s="21" t="n">
        <f aca="false">IF($K699=0,0,$Q699/$K699)</f>
        <v>0</v>
      </c>
      <c r="S699" s="20" t="n">
        <f aca="false">IF($D699="",0,$K699-$L699-$M699-$N699)</f>
        <v>0</v>
      </c>
      <c r="T699" s="22"/>
      <c r="U699" s="20" t="n">
        <f aca="false">IF($T699="",0,MAX(0,$S699-$T699))</f>
        <v>0</v>
      </c>
      <c r="V699" s="21" t="n">
        <f aca="false">IF($S699=0,0,$U699/$S699)</f>
        <v>0</v>
      </c>
      <c r="W699" s="23" t="str">
        <f aca="false">IF($D699="","",IF($T699="","BEKLİYOR",IF(OR($U699=0,$S699=0),"DOĞRU",IF(AND($V699&gt;PazaryeriEksikHakedisEsik,$U699&gt;PazaryeriEksikHakedisTutarEsik),"EKSİK HAKEDİŞ","DOĞRU"))))</f>
        <v/>
      </c>
      <c r="X699" s="23" t="str">
        <f aca="false">IF($B699="","",CONCATENATE("Ürün: ",$B699," | Kâr: ",TEXT($Q699,"₺ #,##0")," | Durum: ",$W699))</f>
        <v/>
      </c>
      <c r="Y699" s="24"/>
    </row>
    <row r="700" customFormat="false" ht="15" hidden="false" customHeight="false" outlineLevel="0" collapsed="false">
      <c r="A700" s="24"/>
      <c r="B700" s="24"/>
      <c r="C700" s="22"/>
      <c r="D700" s="25"/>
      <c r="E700" s="22"/>
      <c r="F700" s="26"/>
      <c r="G700" s="26"/>
      <c r="H700" s="26"/>
      <c r="I700" s="26"/>
      <c r="J700" s="22"/>
      <c r="K700" s="20" t="n">
        <f aca="false">IF($D700="",0,$C700*$D700)</f>
        <v>0</v>
      </c>
      <c r="L700" s="20" t="n">
        <f aca="false">IF($D700="",0,$F700*$K700)</f>
        <v>0</v>
      </c>
      <c r="M700" s="20" t="n">
        <f aca="false">IF($D700="",0,$G700*$K700)</f>
        <v>0</v>
      </c>
      <c r="N700" s="20" t="n">
        <f aca="false">IF($D700="",0,$H700*$K700)</f>
        <v>0</v>
      </c>
      <c r="O700" s="20" t="n">
        <f aca="false">IF($D700="",0,$I700*$K700*(1-$F700))</f>
        <v>0</v>
      </c>
      <c r="P700" s="20" t="n">
        <f aca="false">IF($D700="",0,$E700*$D700+$L700+$M700+$N700+$O700+$J700*$D700)</f>
        <v>0</v>
      </c>
      <c r="Q700" s="20" t="n">
        <f aca="false">IF($D700="",0,$K700-$P700)</f>
        <v>0</v>
      </c>
      <c r="R700" s="21" t="n">
        <f aca="false">IF($K700=0,0,$Q700/$K700)</f>
        <v>0</v>
      </c>
      <c r="S700" s="20" t="n">
        <f aca="false">IF($D700="",0,$K700-$L700-$M700-$N700)</f>
        <v>0</v>
      </c>
      <c r="T700" s="22"/>
      <c r="U700" s="20" t="n">
        <f aca="false">IF($T700="",0,MAX(0,$S700-$T700))</f>
        <v>0</v>
      </c>
      <c r="V700" s="21" t="n">
        <f aca="false">IF($S700=0,0,$U700/$S700)</f>
        <v>0</v>
      </c>
      <c r="W700" s="23" t="str">
        <f aca="false">IF($D700="","",IF($T700="","BEKLİYOR",IF(OR($U700=0,$S700=0),"DOĞRU",IF(AND($V700&gt;PazaryeriEksikHakedisEsik,$U700&gt;PazaryeriEksikHakedisTutarEsik),"EKSİK HAKEDİŞ","DOĞRU"))))</f>
        <v/>
      </c>
      <c r="X700" s="23" t="str">
        <f aca="false">IF($B700="","",CONCATENATE("Ürün: ",$B700," | Kâr: ",TEXT($Q700,"₺ #,##0")," | Durum: ",$W700))</f>
        <v/>
      </c>
      <c r="Y700" s="24"/>
    </row>
    <row r="701" customFormat="false" ht="15" hidden="false" customHeight="false" outlineLevel="0" collapsed="false">
      <c r="A701" s="24"/>
      <c r="B701" s="24"/>
      <c r="C701" s="22"/>
      <c r="D701" s="25"/>
      <c r="E701" s="22"/>
      <c r="F701" s="26"/>
      <c r="G701" s="26"/>
      <c r="H701" s="26"/>
      <c r="I701" s="26"/>
      <c r="J701" s="22"/>
      <c r="K701" s="20" t="n">
        <f aca="false">IF($D701="",0,$C701*$D701)</f>
        <v>0</v>
      </c>
      <c r="L701" s="20" t="n">
        <f aca="false">IF($D701="",0,$F701*$K701)</f>
        <v>0</v>
      </c>
      <c r="M701" s="20" t="n">
        <f aca="false">IF($D701="",0,$G701*$K701)</f>
        <v>0</v>
      </c>
      <c r="N701" s="20" t="n">
        <f aca="false">IF($D701="",0,$H701*$K701)</f>
        <v>0</v>
      </c>
      <c r="O701" s="20" t="n">
        <f aca="false">IF($D701="",0,$I701*$K701*(1-$F701))</f>
        <v>0</v>
      </c>
      <c r="P701" s="20" t="n">
        <f aca="false">IF($D701="",0,$E701*$D701+$L701+$M701+$N701+$O701+$J701*$D701)</f>
        <v>0</v>
      </c>
      <c r="Q701" s="20" t="n">
        <f aca="false">IF($D701="",0,$K701-$P701)</f>
        <v>0</v>
      </c>
      <c r="R701" s="21" t="n">
        <f aca="false">IF($K701=0,0,$Q701/$K701)</f>
        <v>0</v>
      </c>
      <c r="S701" s="20" t="n">
        <f aca="false">IF($D701="",0,$K701-$L701-$M701-$N701)</f>
        <v>0</v>
      </c>
      <c r="T701" s="22"/>
      <c r="U701" s="20" t="n">
        <f aca="false">IF($T701="",0,MAX(0,$S701-$T701))</f>
        <v>0</v>
      </c>
      <c r="V701" s="21" t="n">
        <f aca="false">IF($S701=0,0,$U701/$S701)</f>
        <v>0</v>
      </c>
      <c r="W701" s="23" t="str">
        <f aca="false">IF($D701="","",IF($T701="","BEKLİYOR",IF(OR($U701=0,$S701=0),"DOĞRU",IF(AND($V701&gt;PazaryeriEksikHakedisEsik,$U701&gt;PazaryeriEksikHakedisTutarEsik),"EKSİK HAKEDİŞ","DOĞRU"))))</f>
        <v/>
      </c>
      <c r="X701" s="23" t="str">
        <f aca="false">IF($B701="","",CONCATENATE("Ürün: ",$B701," | Kâr: ",TEXT($Q701,"₺ #,##0")," | Durum: ",$W701))</f>
        <v/>
      </c>
      <c r="Y701" s="24"/>
    </row>
    <row r="702" customFormat="false" ht="15" hidden="false" customHeight="false" outlineLevel="0" collapsed="false">
      <c r="A702" s="24"/>
      <c r="B702" s="24"/>
      <c r="C702" s="22"/>
      <c r="D702" s="25"/>
      <c r="E702" s="22"/>
      <c r="F702" s="26"/>
      <c r="G702" s="26"/>
      <c r="H702" s="26"/>
      <c r="I702" s="26"/>
      <c r="J702" s="22"/>
      <c r="K702" s="20" t="n">
        <f aca="false">IF($D702="",0,$C702*$D702)</f>
        <v>0</v>
      </c>
      <c r="L702" s="20" t="n">
        <f aca="false">IF($D702="",0,$F702*$K702)</f>
        <v>0</v>
      </c>
      <c r="M702" s="20" t="n">
        <f aca="false">IF($D702="",0,$G702*$K702)</f>
        <v>0</v>
      </c>
      <c r="N702" s="20" t="n">
        <f aca="false">IF($D702="",0,$H702*$K702)</f>
        <v>0</v>
      </c>
      <c r="O702" s="20" t="n">
        <f aca="false">IF($D702="",0,$I702*$K702*(1-$F702))</f>
        <v>0</v>
      </c>
      <c r="P702" s="20" t="n">
        <f aca="false">IF($D702="",0,$E702*$D702+$L702+$M702+$N702+$O702+$J702*$D702)</f>
        <v>0</v>
      </c>
      <c r="Q702" s="20" t="n">
        <f aca="false">IF($D702="",0,$K702-$P702)</f>
        <v>0</v>
      </c>
      <c r="R702" s="21" t="n">
        <f aca="false">IF($K702=0,0,$Q702/$K702)</f>
        <v>0</v>
      </c>
      <c r="S702" s="20" t="n">
        <f aca="false">IF($D702="",0,$K702-$L702-$M702-$N702)</f>
        <v>0</v>
      </c>
      <c r="T702" s="22"/>
      <c r="U702" s="20" t="n">
        <f aca="false">IF($T702="",0,MAX(0,$S702-$T702))</f>
        <v>0</v>
      </c>
      <c r="V702" s="21" t="n">
        <f aca="false">IF($S702=0,0,$U702/$S702)</f>
        <v>0</v>
      </c>
      <c r="W702" s="23" t="str">
        <f aca="false">IF($D702="","",IF($T702="","BEKLİYOR",IF(OR($U702=0,$S702=0),"DOĞRU",IF(AND($V702&gt;PazaryeriEksikHakedisEsik,$U702&gt;PazaryeriEksikHakedisTutarEsik),"EKSİK HAKEDİŞ","DOĞRU"))))</f>
        <v/>
      </c>
      <c r="X702" s="23" t="str">
        <f aca="false">IF($B702="","",CONCATENATE("Ürün: ",$B702," | Kâr: ",TEXT($Q702,"₺ #,##0")," | Durum: ",$W702))</f>
        <v/>
      </c>
      <c r="Y702" s="24"/>
    </row>
    <row r="703" customFormat="false" ht="15" hidden="false" customHeight="false" outlineLevel="0" collapsed="false">
      <c r="A703" s="24"/>
      <c r="B703" s="24"/>
      <c r="C703" s="22"/>
      <c r="D703" s="25"/>
      <c r="E703" s="22"/>
      <c r="F703" s="26"/>
      <c r="G703" s="26"/>
      <c r="H703" s="26"/>
      <c r="I703" s="26"/>
      <c r="J703" s="22"/>
      <c r="K703" s="20" t="n">
        <f aca="false">IF($D703="",0,$C703*$D703)</f>
        <v>0</v>
      </c>
      <c r="L703" s="20" t="n">
        <f aca="false">IF($D703="",0,$F703*$K703)</f>
        <v>0</v>
      </c>
      <c r="M703" s="20" t="n">
        <f aca="false">IF($D703="",0,$G703*$K703)</f>
        <v>0</v>
      </c>
      <c r="N703" s="20" t="n">
        <f aca="false">IF($D703="",0,$H703*$K703)</f>
        <v>0</v>
      </c>
      <c r="O703" s="20" t="n">
        <f aca="false">IF($D703="",0,$I703*$K703*(1-$F703))</f>
        <v>0</v>
      </c>
      <c r="P703" s="20" t="n">
        <f aca="false">IF($D703="",0,$E703*$D703+$L703+$M703+$N703+$O703+$J703*$D703)</f>
        <v>0</v>
      </c>
      <c r="Q703" s="20" t="n">
        <f aca="false">IF($D703="",0,$K703-$P703)</f>
        <v>0</v>
      </c>
      <c r="R703" s="21" t="n">
        <f aca="false">IF($K703=0,0,$Q703/$K703)</f>
        <v>0</v>
      </c>
      <c r="S703" s="20" t="n">
        <f aca="false">IF($D703="",0,$K703-$L703-$M703-$N703)</f>
        <v>0</v>
      </c>
      <c r="T703" s="22"/>
      <c r="U703" s="20" t="n">
        <f aca="false">IF($T703="",0,MAX(0,$S703-$T703))</f>
        <v>0</v>
      </c>
      <c r="V703" s="21" t="n">
        <f aca="false">IF($S703=0,0,$U703/$S703)</f>
        <v>0</v>
      </c>
      <c r="W703" s="23" t="str">
        <f aca="false">IF($D703="","",IF($T703="","BEKLİYOR",IF(OR($U703=0,$S703=0),"DOĞRU",IF(AND($V703&gt;PazaryeriEksikHakedisEsik,$U703&gt;PazaryeriEksikHakedisTutarEsik),"EKSİK HAKEDİŞ","DOĞRU"))))</f>
        <v/>
      </c>
      <c r="X703" s="23" t="str">
        <f aca="false">IF($B703="","",CONCATENATE("Ürün: ",$B703," | Kâr: ",TEXT($Q703,"₺ #,##0")," | Durum: ",$W703))</f>
        <v/>
      </c>
      <c r="Y703" s="24"/>
    </row>
    <row r="704" customFormat="false" ht="15" hidden="false" customHeight="false" outlineLevel="0" collapsed="false">
      <c r="A704" s="24"/>
      <c r="B704" s="24"/>
      <c r="C704" s="22"/>
      <c r="D704" s="25"/>
      <c r="E704" s="22"/>
      <c r="F704" s="26"/>
      <c r="G704" s="26"/>
      <c r="H704" s="26"/>
      <c r="I704" s="26"/>
      <c r="J704" s="22"/>
      <c r="K704" s="20" t="n">
        <f aca="false">IF($D704="",0,$C704*$D704)</f>
        <v>0</v>
      </c>
      <c r="L704" s="20" t="n">
        <f aca="false">IF($D704="",0,$F704*$K704)</f>
        <v>0</v>
      </c>
      <c r="M704" s="20" t="n">
        <f aca="false">IF($D704="",0,$G704*$K704)</f>
        <v>0</v>
      </c>
      <c r="N704" s="20" t="n">
        <f aca="false">IF($D704="",0,$H704*$K704)</f>
        <v>0</v>
      </c>
      <c r="O704" s="20" t="n">
        <f aca="false">IF($D704="",0,$I704*$K704*(1-$F704))</f>
        <v>0</v>
      </c>
      <c r="P704" s="20" t="n">
        <f aca="false">IF($D704="",0,$E704*$D704+$L704+$M704+$N704+$O704+$J704*$D704)</f>
        <v>0</v>
      </c>
      <c r="Q704" s="20" t="n">
        <f aca="false">IF($D704="",0,$K704-$P704)</f>
        <v>0</v>
      </c>
      <c r="R704" s="21" t="n">
        <f aca="false">IF($K704=0,0,$Q704/$K704)</f>
        <v>0</v>
      </c>
      <c r="S704" s="20" t="n">
        <f aca="false">IF($D704="",0,$K704-$L704-$M704-$N704)</f>
        <v>0</v>
      </c>
      <c r="T704" s="22"/>
      <c r="U704" s="20" t="n">
        <f aca="false">IF($T704="",0,MAX(0,$S704-$T704))</f>
        <v>0</v>
      </c>
      <c r="V704" s="21" t="n">
        <f aca="false">IF($S704=0,0,$U704/$S704)</f>
        <v>0</v>
      </c>
      <c r="W704" s="23" t="str">
        <f aca="false">IF($D704="","",IF($T704="","BEKLİYOR",IF(OR($U704=0,$S704=0),"DOĞRU",IF(AND($V704&gt;PazaryeriEksikHakedisEsik,$U704&gt;PazaryeriEksikHakedisTutarEsik),"EKSİK HAKEDİŞ","DOĞRU"))))</f>
        <v/>
      </c>
      <c r="X704" s="23" t="str">
        <f aca="false">IF($B704="","",CONCATENATE("Ürün: ",$B704," | Kâr: ",TEXT($Q704,"₺ #,##0")," | Durum: ",$W704))</f>
        <v/>
      </c>
      <c r="Y704" s="24"/>
    </row>
    <row r="705" customFormat="false" ht="15" hidden="false" customHeight="false" outlineLevel="0" collapsed="false">
      <c r="A705" s="24"/>
      <c r="B705" s="24"/>
      <c r="C705" s="22"/>
      <c r="D705" s="25"/>
      <c r="E705" s="22"/>
      <c r="F705" s="26"/>
      <c r="G705" s="26"/>
      <c r="H705" s="26"/>
      <c r="I705" s="26"/>
      <c r="J705" s="22"/>
      <c r="K705" s="20" t="n">
        <f aca="false">IF($D705="",0,$C705*$D705)</f>
        <v>0</v>
      </c>
      <c r="L705" s="20" t="n">
        <f aca="false">IF($D705="",0,$F705*$K705)</f>
        <v>0</v>
      </c>
      <c r="M705" s="20" t="n">
        <f aca="false">IF($D705="",0,$G705*$K705)</f>
        <v>0</v>
      </c>
      <c r="N705" s="20" t="n">
        <f aca="false">IF($D705="",0,$H705*$K705)</f>
        <v>0</v>
      </c>
      <c r="O705" s="20" t="n">
        <f aca="false">IF($D705="",0,$I705*$K705*(1-$F705))</f>
        <v>0</v>
      </c>
      <c r="P705" s="20" t="n">
        <f aca="false">IF($D705="",0,$E705*$D705+$L705+$M705+$N705+$O705+$J705*$D705)</f>
        <v>0</v>
      </c>
      <c r="Q705" s="20" t="n">
        <f aca="false">IF($D705="",0,$K705-$P705)</f>
        <v>0</v>
      </c>
      <c r="R705" s="21" t="n">
        <f aca="false">IF($K705=0,0,$Q705/$K705)</f>
        <v>0</v>
      </c>
      <c r="S705" s="20" t="n">
        <f aca="false">IF($D705="",0,$K705-$L705-$M705-$N705)</f>
        <v>0</v>
      </c>
      <c r="T705" s="22"/>
      <c r="U705" s="20" t="n">
        <f aca="false">IF($T705="",0,MAX(0,$S705-$T705))</f>
        <v>0</v>
      </c>
      <c r="V705" s="21" t="n">
        <f aca="false">IF($S705=0,0,$U705/$S705)</f>
        <v>0</v>
      </c>
      <c r="W705" s="23" t="str">
        <f aca="false">IF($D705="","",IF($T705="","BEKLİYOR",IF(OR($U705=0,$S705=0),"DOĞRU",IF(AND($V705&gt;PazaryeriEksikHakedisEsik,$U705&gt;PazaryeriEksikHakedisTutarEsik),"EKSİK HAKEDİŞ","DOĞRU"))))</f>
        <v/>
      </c>
      <c r="X705" s="23" t="str">
        <f aca="false">IF($B705="","",CONCATENATE("Ürün: ",$B705," | Kâr: ",TEXT($Q705,"₺ #,##0")," | Durum: ",$W705))</f>
        <v/>
      </c>
      <c r="Y705" s="24"/>
    </row>
    <row r="706" customFormat="false" ht="15" hidden="false" customHeight="false" outlineLevel="0" collapsed="false">
      <c r="A706" s="24"/>
      <c r="B706" s="24"/>
      <c r="C706" s="22"/>
      <c r="D706" s="25"/>
      <c r="E706" s="22"/>
      <c r="F706" s="26"/>
      <c r="G706" s="26"/>
      <c r="H706" s="26"/>
      <c r="I706" s="26"/>
      <c r="J706" s="22"/>
      <c r="K706" s="20" t="n">
        <f aca="false">IF($D706="",0,$C706*$D706)</f>
        <v>0</v>
      </c>
      <c r="L706" s="20" t="n">
        <f aca="false">IF($D706="",0,$F706*$K706)</f>
        <v>0</v>
      </c>
      <c r="M706" s="20" t="n">
        <f aca="false">IF($D706="",0,$G706*$K706)</f>
        <v>0</v>
      </c>
      <c r="N706" s="20" t="n">
        <f aca="false">IF($D706="",0,$H706*$K706)</f>
        <v>0</v>
      </c>
      <c r="O706" s="20" t="n">
        <f aca="false">IF($D706="",0,$I706*$K706*(1-$F706))</f>
        <v>0</v>
      </c>
      <c r="P706" s="20" t="n">
        <f aca="false">IF($D706="",0,$E706*$D706+$L706+$M706+$N706+$O706+$J706*$D706)</f>
        <v>0</v>
      </c>
      <c r="Q706" s="20" t="n">
        <f aca="false">IF($D706="",0,$K706-$P706)</f>
        <v>0</v>
      </c>
      <c r="R706" s="21" t="n">
        <f aca="false">IF($K706=0,0,$Q706/$K706)</f>
        <v>0</v>
      </c>
      <c r="S706" s="20" t="n">
        <f aca="false">IF($D706="",0,$K706-$L706-$M706-$N706)</f>
        <v>0</v>
      </c>
      <c r="T706" s="22"/>
      <c r="U706" s="20" t="n">
        <f aca="false">IF($T706="",0,MAX(0,$S706-$T706))</f>
        <v>0</v>
      </c>
      <c r="V706" s="21" t="n">
        <f aca="false">IF($S706=0,0,$U706/$S706)</f>
        <v>0</v>
      </c>
      <c r="W706" s="23" t="str">
        <f aca="false">IF($D706="","",IF($T706="","BEKLİYOR",IF(OR($U706=0,$S706=0),"DOĞRU",IF(AND($V706&gt;PazaryeriEksikHakedisEsik,$U706&gt;PazaryeriEksikHakedisTutarEsik),"EKSİK HAKEDİŞ","DOĞRU"))))</f>
        <v/>
      </c>
      <c r="X706" s="23" t="str">
        <f aca="false">IF($B706="","",CONCATENATE("Ürün: ",$B706," | Kâr: ",TEXT($Q706,"₺ #,##0")," | Durum: ",$W706))</f>
        <v/>
      </c>
      <c r="Y706" s="24"/>
    </row>
    <row r="707" customFormat="false" ht="15" hidden="false" customHeight="false" outlineLevel="0" collapsed="false">
      <c r="A707" s="24"/>
      <c r="B707" s="24"/>
      <c r="C707" s="22"/>
      <c r="D707" s="25"/>
      <c r="E707" s="22"/>
      <c r="F707" s="26"/>
      <c r="G707" s="26"/>
      <c r="H707" s="26"/>
      <c r="I707" s="26"/>
      <c r="J707" s="22"/>
      <c r="K707" s="20" t="n">
        <f aca="false">IF($D707="",0,$C707*$D707)</f>
        <v>0</v>
      </c>
      <c r="L707" s="20" t="n">
        <f aca="false">IF($D707="",0,$F707*$K707)</f>
        <v>0</v>
      </c>
      <c r="M707" s="20" t="n">
        <f aca="false">IF($D707="",0,$G707*$K707)</f>
        <v>0</v>
      </c>
      <c r="N707" s="20" t="n">
        <f aca="false">IF($D707="",0,$H707*$K707)</f>
        <v>0</v>
      </c>
      <c r="O707" s="20" t="n">
        <f aca="false">IF($D707="",0,$I707*$K707*(1-$F707))</f>
        <v>0</v>
      </c>
      <c r="P707" s="20" t="n">
        <f aca="false">IF($D707="",0,$E707*$D707+$L707+$M707+$N707+$O707+$J707*$D707)</f>
        <v>0</v>
      </c>
      <c r="Q707" s="20" t="n">
        <f aca="false">IF($D707="",0,$K707-$P707)</f>
        <v>0</v>
      </c>
      <c r="R707" s="21" t="n">
        <f aca="false">IF($K707=0,0,$Q707/$K707)</f>
        <v>0</v>
      </c>
      <c r="S707" s="20" t="n">
        <f aca="false">IF($D707="",0,$K707-$L707-$M707-$N707)</f>
        <v>0</v>
      </c>
      <c r="T707" s="22"/>
      <c r="U707" s="20" t="n">
        <f aca="false">IF($T707="",0,MAX(0,$S707-$T707))</f>
        <v>0</v>
      </c>
      <c r="V707" s="21" t="n">
        <f aca="false">IF($S707=0,0,$U707/$S707)</f>
        <v>0</v>
      </c>
      <c r="W707" s="23" t="str">
        <f aca="false">IF($D707="","",IF($T707="","BEKLİYOR",IF(OR($U707=0,$S707=0),"DOĞRU",IF(AND($V707&gt;PazaryeriEksikHakedisEsik,$U707&gt;PazaryeriEksikHakedisTutarEsik),"EKSİK HAKEDİŞ","DOĞRU"))))</f>
        <v/>
      </c>
      <c r="X707" s="23" t="str">
        <f aca="false">IF($B707="","",CONCATENATE("Ürün: ",$B707," | Kâr: ",TEXT($Q707,"₺ #,##0")," | Durum: ",$W707))</f>
        <v/>
      </c>
      <c r="Y707" s="24"/>
    </row>
    <row r="708" customFormat="false" ht="15" hidden="false" customHeight="false" outlineLevel="0" collapsed="false">
      <c r="A708" s="24"/>
      <c r="B708" s="24"/>
      <c r="C708" s="22"/>
      <c r="D708" s="25"/>
      <c r="E708" s="22"/>
      <c r="F708" s="26"/>
      <c r="G708" s="26"/>
      <c r="H708" s="26"/>
      <c r="I708" s="26"/>
      <c r="J708" s="22"/>
      <c r="K708" s="20" t="n">
        <f aca="false">IF($D708="",0,$C708*$D708)</f>
        <v>0</v>
      </c>
      <c r="L708" s="20" t="n">
        <f aca="false">IF($D708="",0,$F708*$K708)</f>
        <v>0</v>
      </c>
      <c r="M708" s="20" t="n">
        <f aca="false">IF($D708="",0,$G708*$K708)</f>
        <v>0</v>
      </c>
      <c r="N708" s="20" t="n">
        <f aca="false">IF($D708="",0,$H708*$K708)</f>
        <v>0</v>
      </c>
      <c r="O708" s="20" t="n">
        <f aca="false">IF($D708="",0,$I708*$K708*(1-$F708))</f>
        <v>0</v>
      </c>
      <c r="P708" s="20" t="n">
        <f aca="false">IF($D708="",0,$E708*$D708+$L708+$M708+$N708+$O708+$J708*$D708)</f>
        <v>0</v>
      </c>
      <c r="Q708" s="20" t="n">
        <f aca="false">IF($D708="",0,$K708-$P708)</f>
        <v>0</v>
      </c>
      <c r="R708" s="21" t="n">
        <f aca="false">IF($K708=0,0,$Q708/$K708)</f>
        <v>0</v>
      </c>
      <c r="S708" s="20" t="n">
        <f aca="false">IF($D708="",0,$K708-$L708-$M708-$N708)</f>
        <v>0</v>
      </c>
      <c r="T708" s="22"/>
      <c r="U708" s="20" t="n">
        <f aca="false">IF($T708="",0,MAX(0,$S708-$T708))</f>
        <v>0</v>
      </c>
      <c r="V708" s="21" t="n">
        <f aca="false">IF($S708=0,0,$U708/$S708)</f>
        <v>0</v>
      </c>
      <c r="W708" s="23" t="str">
        <f aca="false">IF($D708="","",IF($T708="","BEKLİYOR",IF(OR($U708=0,$S708=0),"DOĞRU",IF(AND($V708&gt;PazaryeriEksikHakedisEsik,$U708&gt;PazaryeriEksikHakedisTutarEsik),"EKSİK HAKEDİŞ","DOĞRU"))))</f>
        <v/>
      </c>
      <c r="X708" s="23" t="str">
        <f aca="false">IF($B708="","",CONCATENATE("Ürün: ",$B708," | Kâr: ",TEXT($Q708,"₺ #,##0")," | Durum: ",$W708))</f>
        <v/>
      </c>
      <c r="Y708" s="24"/>
    </row>
    <row r="709" customFormat="false" ht="15" hidden="false" customHeight="false" outlineLevel="0" collapsed="false">
      <c r="A709" s="24"/>
      <c r="B709" s="24"/>
      <c r="C709" s="22"/>
      <c r="D709" s="25"/>
      <c r="E709" s="22"/>
      <c r="F709" s="26"/>
      <c r="G709" s="26"/>
      <c r="H709" s="26"/>
      <c r="I709" s="26"/>
      <c r="J709" s="22"/>
      <c r="K709" s="20" t="n">
        <f aca="false">IF($D709="",0,$C709*$D709)</f>
        <v>0</v>
      </c>
      <c r="L709" s="20" t="n">
        <f aca="false">IF($D709="",0,$F709*$K709)</f>
        <v>0</v>
      </c>
      <c r="M709" s="20" t="n">
        <f aca="false">IF($D709="",0,$G709*$K709)</f>
        <v>0</v>
      </c>
      <c r="N709" s="20" t="n">
        <f aca="false">IF($D709="",0,$H709*$K709)</f>
        <v>0</v>
      </c>
      <c r="O709" s="20" t="n">
        <f aca="false">IF($D709="",0,$I709*$K709*(1-$F709))</f>
        <v>0</v>
      </c>
      <c r="P709" s="20" t="n">
        <f aca="false">IF($D709="",0,$E709*$D709+$L709+$M709+$N709+$O709+$J709*$D709)</f>
        <v>0</v>
      </c>
      <c r="Q709" s="20" t="n">
        <f aca="false">IF($D709="",0,$K709-$P709)</f>
        <v>0</v>
      </c>
      <c r="R709" s="21" t="n">
        <f aca="false">IF($K709=0,0,$Q709/$K709)</f>
        <v>0</v>
      </c>
      <c r="S709" s="20" t="n">
        <f aca="false">IF($D709="",0,$K709-$L709-$M709-$N709)</f>
        <v>0</v>
      </c>
      <c r="T709" s="22"/>
      <c r="U709" s="20" t="n">
        <f aca="false">IF($T709="",0,MAX(0,$S709-$T709))</f>
        <v>0</v>
      </c>
      <c r="V709" s="21" t="n">
        <f aca="false">IF($S709=0,0,$U709/$S709)</f>
        <v>0</v>
      </c>
      <c r="W709" s="23" t="str">
        <f aca="false">IF($D709="","",IF($T709="","BEKLİYOR",IF(OR($U709=0,$S709=0),"DOĞRU",IF(AND($V709&gt;PazaryeriEksikHakedisEsik,$U709&gt;PazaryeriEksikHakedisTutarEsik),"EKSİK HAKEDİŞ","DOĞRU"))))</f>
        <v/>
      </c>
      <c r="X709" s="23" t="str">
        <f aca="false">IF($B709="","",CONCATENATE("Ürün: ",$B709," | Kâr: ",TEXT($Q709,"₺ #,##0")," | Durum: ",$W709))</f>
        <v/>
      </c>
      <c r="Y709" s="24"/>
    </row>
    <row r="710" customFormat="false" ht="15" hidden="false" customHeight="false" outlineLevel="0" collapsed="false">
      <c r="A710" s="24"/>
      <c r="B710" s="24"/>
      <c r="C710" s="22"/>
      <c r="D710" s="25"/>
      <c r="E710" s="22"/>
      <c r="F710" s="26"/>
      <c r="G710" s="26"/>
      <c r="H710" s="26"/>
      <c r="I710" s="26"/>
      <c r="J710" s="22"/>
      <c r="K710" s="20" t="n">
        <f aca="false">IF($D710="",0,$C710*$D710)</f>
        <v>0</v>
      </c>
      <c r="L710" s="20" t="n">
        <f aca="false">IF($D710="",0,$F710*$K710)</f>
        <v>0</v>
      </c>
      <c r="M710" s="20" t="n">
        <f aca="false">IF($D710="",0,$G710*$K710)</f>
        <v>0</v>
      </c>
      <c r="N710" s="20" t="n">
        <f aca="false">IF($D710="",0,$H710*$K710)</f>
        <v>0</v>
      </c>
      <c r="O710" s="20" t="n">
        <f aca="false">IF($D710="",0,$I710*$K710*(1-$F710))</f>
        <v>0</v>
      </c>
      <c r="P710" s="20" t="n">
        <f aca="false">IF($D710="",0,$E710*$D710+$L710+$M710+$N710+$O710+$J710*$D710)</f>
        <v>0</v>
      </c>
      <c r="Q710" s="20" t="n">
        <f aca="false">IF($D710="",0,$K710-$P710)</f>
        <v>0</v>
      </c>
      <c r="R710" s="21" t="n">
        <f aca="false">IF($K710=0,0,$Q710/$K710)</f>
        <v>0</v>
      </c>
      <c r="S710" s="20" t="n">
        <f aca="false">IF($D710="",0,$K710-$L710-$M710-$N710)</f>
        <v>0</v>
      </c>
      <c r="T710" s="22"/>
      <c r="U710" s="20" t="n">
        <f aca="false">IF($T710="",0,MAX(0,$S710-$T710))</f>
        <v>0</v>
      </c>
      <c r="V710" s="21" t="n">
        <f aca="false">IF($S710=0,0,$U710/$S710)</f>
        <v>0</v>
      </c>
      <c r="W710" s="23" t="str">
        <f aca="false">IF($D710="","",IF($T710="","BEKLİYOR",IF(OR($U710=0,$S710=0),"DOĞRU",IF(AND($V710&gt;PazaryeriEksikHakedisEsik,$U710&gt;PazaryeriEksikHakedisTutarEsik),"EKSİK HAKEDİŞ","DOĞRU"))))</f>
        <v/>
      </c>
      <c r="X710" s="23" t="str">
        <f aca="false">IF($B710="","",CONCATENATE("Ürün: ",$B710," | Kâr: ",TEXT($Q710,"₺ #,##0")," | Durum: ",$W710))</f>
        <v/>
      </c>
      <c r="Y710" s="24"/>
    </row>
    <row r="711" customFormat="false" ht="15" hidden="false" customHeight="false" outlineLevel="0" collapsed="false">
      <c r="A711" s="24"/>
      <c r="B711" s="24"/>
      <c r="C711" s="22"/>
      <c r="D711" s="25"/>
      <c r="E711" s="22"/>
      <c r="F711" s="26"/>
      <c r="G711" s="26"/>
      <c r="H711" s="26"/>
      <c r="I711" s="26"/>
      <c r="J711" s="22"/>
      <c r="K711" s="20" t="n">
        <f aca="false">IF($D711="",0,$C711*$D711)</f>
        <v>0</v>
      </c>
      <c r="L711" s="20" t="n">
        <f aca="false">IF($D711="",0,$F711*$K711)</f>
        <v>0</v>
      </c>
      <c r="M711" s="20" t="n">
        <f aca="false">IF($D711="",0,$G711*$K711)</f>
        <v>0</v>
      </c>
      <c r="N711" s="20" t="n">
        <f aca="false">IF($D711="",0,$H711*$K711)</f>
        <v>0</v>
      </c>
      <c r="O711" s="20" t="n">
        <f aca="false">IF($D711="",0,$I711*$K711*(1-$F711))</f>
        <v>0</v>
      </c>
      <c r="P711" s="20" t="n">
        <f aca="false">IF($D711="",0,$E711*$D711+$L711+$M711+$N711+$O711+$J711*$D711)</f>
        <v>0</v>
      </c>
      <c r="Q711" s="20" t="n">
        <f aca="false">IF($D711="",0,$K711-$P711)</f>
        <v>0</v>
      </c>
      <c r="R711" s="21" t="n">
        <f aca="false">IF($K711=0,0,$Q711/$K711)</f>
        <v>0</v>
      </c>
      <c r="S711" s="20" t="n">
        <f aca="false">IF($D711="",0,$K711-$L711-$M711-$N711)</f>
        <v>0</v>
      </c>
      <c r="T711" s="22"/>
      <c r="U711" s="20" t="n">
        <f aca="false">IF($T711="",0,MAX(0,$S711-$T711))</f>
        <v>0</v>
      </c>
      <c r="V711" s="21" t="n">
        <f aca="false">IF($S711=0,0,$U711/$S711)</f>
        <v>0</v>
      </c>
      <c r="W711" s="23" t="str">
        <f aca="false">IF($D711="","",IF($T711="","BEKLİYOR",IF(OR($U711=0,$S711=0),"DOĞRU",IF(AND($V711&gt;PazaryeriEksikHakedisEsik,$U711&gt;PazaryeriEksikHakedisTutarEsik),"EKSİK HAKEDİŞ","DOĞRU"))))</f>
        <v/>
      </c>
      <c r="X711" s="23" t="str">
        <f aca="false">IF($B711="","",CONCATENATE("Ürün: ",$B711," | Kâr: ",TEXT($Q711,"₺ #,##0")," | Durum: ",$W711))</f>
        <v/>
      </c>
      <c r="Y711" s="24"/>
    </row>
    <row r="712" customFormat="false" ht="15" hidden="false" customHeight="false" outlineLevel="0" collapsed="false">
      <c r="A712" s="24"/>
      <c r="B712" s="24"/>
      <c r="C712" s="22"/>
      <c r="D712" s="25"/>
      <c r="E712" s="22"/>
      <c r="F712" s="26"/>
      <c r="G712" s="26"/>
      <c r="H712" s="26"/>
      <c r="I712" s="26"/>
      <c r="J712" s="22"/>
      <c r="K712" s="20" t="n">
        <f aca="false">IF($D712="",0,$C712*$D712)</f>
        <v>0</v>
      </c>
      <c r="L712" s="20" t="n">
        <f aca="false">IF($D712="",0,$F712*$K712)</f>
        <v>0</v>
      </c>
      <c r="M712" s="20" t="n">
        <f aca="false">IF($D712="",0,$G712*$K712)</f>
        <v>0</v>
      </c>
      <c r="N712" s="20" t="n">
        <f aca="false">IF($D712="",0,$H712*$K712)</f>
        <v>0</v>
      </c>
      <c r="O712" s="20" t="n">
        <f aca="false">IF($D712="",0,$I712*$K712*(1-$F712))</f>
        <v>0</v>
      </c>
      <c r="P712" s="20" t="n">
        <f aca="false">IF($D712="",0,$E712*$D712+$L712+$M712+$N712+$O712+$J712*$D712)</f>
        <v>0</v>
      </c>
      <c r="Q712" s="20" t="n">
        <f aca="false">IF($D712="",0,$K712-$P712)</f>
        <v>0</v>
      </c>
      <c r="R712" s="21" t="n">
        <f aca="false">IF($K712=0,0,$Q712/$K712)</f>
        <v>0</v>
      </c>
      <c r="S712" s="20" t="n">
        <f aca="false">IF($D712="",0,$K712-$L712-$M712-$N712)</f>
        <v>0</v>
      </c>
      <c r="T712" s="22"/>
      <c r="U712" s="20" t="n">
        <f aca="false">IF($T712="",0,MAX(0,$S712-$T712))</f>
        <v>0</v>
      </c>
      <c r="V712" s="21" t="n">
        <f aca="false">IF($S712=0,0,$U712/$S712)</f>
        <v>0</v>
      </c>
      <c r="W712" s="23" t="str">
        <f aca="false">IF($D712="","",IF($T712="","BEKLİYOR",IF(OR($U712=0,$S712=0),"DOĞRU",IF(AND($V712&gt;PazaryeriEksikHakedisEsik,$U712&gt;PazaryeriEksikHakedisTutarEsik),"EKSİK HAKEDİŞ","DOĞRU"))))</f>
        <v/>
      </c>
      <c r="X712" s="23" t="str">
        <f aca="false">IF($B712="","",CONCATENATE("Ürün: ",$B712," | Kâr: ",TEXT($Q712,"₺ #,##0")," | Durum: ",$W712))</f>
        <v/>
      </c>
      <c r="Y712" s="24"/>
    </row>
    <row r="713" customFormat="false" ht="15" hidden="false" customHeight="false" outlineLevel="0" collapsed="false">
      <c r="A713" s="24"/>
      <c r="B713" s="24"/>
      <c r="C713" s="22"/>
      <c r="D713" s="25"/>
      <c r="E713" s="22"/>
      <c r="F713" s="26"/>
      <c r="G713" s="26"/>
      <c r="H713" s="26"/>
      <c r="I713" s="26"/>
      <c r="J713" s="22"/>
      <c r="K713" s="20" t="n">
        <f aca="false">IF($D713="",0,$C713*$D713)</f>
        <v>0</v>
      </c>
      <c r="L713" s="20" t="n">
        <f aca="false">IF($D713="",0,$F713*$K713)</f>
        <v>0</v>
      </c>
      <c r="M713" s="20" t="n">
        <f aca="false">IF($D713="",0,$G713*$K713)</f>
        <v>0</v>
      </c>
      <c r="N713" s="20" t="n">
        <f aca="false">IF($D713="",0,$H713*$K713)</f>
        <v>0</v>
      </c>
      <c r="O713" s="20" t="n">
        <f aca="false">IF($D713="",0,$I713*$K713*(1-$F713))</f>
        <v>0</v>
      </c>
      <c r="P713" s="20" t="n">
        <f aca="false">IF($D713="",0,$E713*$D713+$L713+$M713+$N713+$O713+$J713*$D713)</f>
        <v>0</v>
      </c>
      <c r="Q713" s="20" t="n">
        <f aca="false">IF($D713="",0,$K713-$P713)</f>
        <v>0</v>
      </c>
      <c r="R713" s="21" t="n">
        <f aca="false">IF($K713=0,0,$Q713/$K713)</f>
        <v>0</v>
      </c>
      <c r="S713" s="20" t="n">
        <f aca="false">IF($D713="",0,$K713-$L713-$M713-$N713)</f>
        <v>0</v>
      </c>
      <c r="T713" s="22"/>
      <c r="U713" s="20" t="n">
        <f aca="false">IF($T713="",0,MAX(0,$S713-$T713))</f>
        <v>0</v>
      </c>
      <c r="V713" s="21" t="n">
        <f aca="false">IF($S713=0,0,$U713/$S713)</f>
        <v>0</v>
      </c>
      <c r="W713" s="23" t="str">
        <f aca="false">IF($D713="","",IF($T713="","BEKLİYOR",IF(OR($U713=0,$S713=0),"DOĞRU",IF(AND($V713&gt;PazaryeriEksikHakedisEsik,$U713&gt;PazaryeriEksikHakedisTutarEsik),"EKSİK HAKEDİŞ","DOĞRU"))))</f>
        <v/>
      </c>
      <c r="X713" s="23" t="str">
        <f aca="false">IF($B713="","",CONCATENATE("Ürün: ",$B713," | Kâr: ",TEXT($Q713,"₺ #,##0")," | Durum: ",$W713))</f>
        <v/>
      </c>
      <c r="Y713" s="24"/>
    </row>
    <row r="714" customFormat="false" ht="15" hidden="false" customHeight="false" outlineLevel="0" collapsed="false">
      <c r="A714" s="24"/>
      <c r="B714" s="24"/>
      <c r="C714" s="22"/>
      <c r="D714" s="25"/>
      <c r="E714" s="22"/>
      <c r="F714" s="26"/>
      <c r="G714" s="26"/>
      <c r="H714" s="26"/>
      <c r="I714" s="26"/>
      <c r="J714" s="22"/>
      <c r="K714" s="20" t="n">
        <f aca="false">IF($D714="",0,$C714*$D714)</f>
        <v>0</v>
      </c>
      <c r="L714" s="20" t="n">
        <f aca="false">IF($D714="",0,$F714*$K714)</f>
        <v>0</v>
      </c>
      <c r="M714" s="20" t="n">
        <f aca="false">IF($D714="",0,$G714*$K714)</f>
        <v>0</v>
      </c>
      <c r="N714" s="20" t="n">
        <f aca="false">IF($D714="",0,$H714*$K714)</f>
        <v>0</v>
      </c>
      <c r="O714" s="20" t="n">
        <f aca="false">IF($D714="",0,$I714*$K714*(1-$F714))</f>
        <v>0</v>
      </c>
      <c r="P714" s="20" t="n">
        <f aca="false">IF($D714="",0,$E714*$D714+$L714+$M714+$N714+$O714+$J714*$D714)</f>
        <v>0</v>
      </c>
      <c r="Q714" s="20" t="n">
        <f aca="false">IF($D714="",0,$K714-$P714)</f>
        <v>0</v>
      </c>
      <c r="R714" s="21" t="n">
        <f aca="false">IF($K714=0,0,$Q714/$K714)</f>
        <v>0</v>
      </c>
      <c r="S714" s="20" t="n">
        <f aca="false">IF($D714="",0,$K714-$L714-$M714-$N714)</f>
        <v>0</v>
      </c>
      <c r="T714" s="22"/>
      <c r="U714" s="20" t="n">
        <f aca="false">IF($T714="",0,MAX(0,$S714-$T714))</f>
        <v>0</v>
      </c>
      <c r="V714" s="21" t="n">
        <f aca="false">IF($S714=0,0,$U714/$S714)</f>
        <v>0</v>
      </c>
      <c r="W714" s="23" t="str">
        <f aca="false">IF($D714="","",IF($T714="","BEKLİYOR",IF(OR($U714=0,$S714=0),"DOĞRU",IF(AND($V714&gt;PazaryeriEksikHakedisEsik,$U714&gt;PazaryeriEksikHakedisTutarEsik),"EKSİK HAKEDİŞ","DOĞRU"))))</f>
        <v/>
      </c>
      <c r="X714" s="23" t="str">
        <f aca="false">IF($B714="","",CONCATENATE("Ürün: ",$B714," | Kâr: ",TEXT($Q714,"₺ #,##0")," | Durum: ",$W714))</f>
        <v/>
      </c>
      <c r="Y714" s="24"/>
    </row>
    <row r="715" customFormat="false" ht="15" hidden="false" customHeight="false" outlineLevel="0" collapsed="false">
      <c r="A715" s="24"/>
      <c r="B715" s="24"/>
      <c r="C715" s="22"/>
      <c r="D715" s="25"/>
      <c r="E715" s="22"/>
      <c r="F715" s="26"/>
      <c r="G715" s="26"/>
      <c r="H715" s="26"/>
      <c r="I715" s="26"/>
      <c r="J715" s="22"/>
      <c r="K715" s="20" t="n">
        <f aca="false">IF($D715="",0,$C715*$D715)</f>
        <v>0</v>
      </c>
      <c r="L715" s="20" t="n">
        <f aca="false">IF($D715="",0,$F715*$K715)</f>
        <v>0</v>
      </c>
      <c r="M715" s="20" t="n">
        <f aca="false">IF($D715="",0,$G715*$K715)</f>
        <v>0</v>
      </c>
      <c r="N715" s="20" t="n">
        <f aca="false">IF($D715="",0,$H715*$K715)</f>
        <v>0</v>
      </c>
      <c r="O715" s="20" t="n">
        <f aca="false">IF($D715="",0,$I715*$K715*(1-$F715))</f>
        <v>0</v>
      </c>
      <c r="P715" s="20" t="n">
        <f aca="false">IF($D715="",0,$E715*$D715+$L715+$M715+$N715+$O715+$J715*$D715)</f>
        <v>0</v>
      </c>
      <c r="Q715" s="20" t="n">
        <f aca="false">IF($D715="",0,$K715-$P715)</f>
        <v>0</v>
      </c>
      <c r="R715" s="21" t="n">
        <f aca="false">IF($K715=0,0,$Q715/$K715)</f>
        <v>0</v>
      </c>
      <c r="S715" s="20" t="n">
        <f aca="false">IF($D715="",0,$K715-$L715-$M715-$N715)</f>
        <v>0</v>
      </c>
      <c r="T715" s="22"/>
      <c r="U715" s="20" t="n">
        <f aca="false">IF($T715="",0,MAX(0,$S715-$T715))</f>
        <v>0</v>
      </c>
      <c r="V715" s="21" t="n">
        <f aca="false">IF($S715=0,0,$U715/$S715)</f>
        <v>0</v>
      </c>
      <c r="W715" s="23" t="str">
        <f aca="false">IF($D715="","",IF($T715="","BEKLİYOR",IF(OR($U715=0,$S715=0),"DOĞRU",IF(AND($V715&gt;PazaryeriEksikHakedisEsik,$U715&gt;PazaryeriEksikHakedisTutarEsik),"EKSİK HAKEDİŞ","DOĞRU"))))</f>
        <v/>
      </c>
      <c r="X715" s="23" t="str">
        <f aca="false">IF($B715="","",CONCATENATE("Ürün: ",$B715," | Kâr: ",TEXT($Q715,"₺ #,##0")," | Durum: ",$W715))</f>
        <v/>
      </c>
      <c r="Y715" s="24"/>
    </row>
    <row r="716" customFormat="false" ht="15" hidden="false" customHeight="false" outlineLevel="0" collapsed="false">
      <c r="A716" s="24"/>
      <c r="B716" s="24"/>
      <c r="C716" s="22"/>
      <c r="D716" s="25"/>
      <c r="E716" s="22"/>
      <c r="F716" s="26"/>
      <c r="G716" s="26"/>
      <c r="H716" s="26"/>
      <c r="I716" s="26"/>
      <c r="J716" s="22"/>
      <c r="K716" s="20" t="n">
        <f aca="false">IF($D716="",0,$C716*$D716)</f>
        <v>0</v>
      </c>
      <c r="L716" s="20" t="n">
        <f aca="false">IF($D716="",0,$F716*$K716)</f>
        <v>0</v>
      </c>
      <c r="M716" s="20" t="n">
        <f aca="false">IF($D716="",0,$G716*$K716)</f>
        <v>0</v>
      </c>
      <c r="N716" s="20" t="n">
        <f aca="false">IF($D716="",0,$H716*$K716)</f>
        <v>0</v>
      </c>
      <c r="O716" s="20" t="n">
        <f aca="false">IF($D716="",0,$I716*$K716*(1-$F716))</f>
        <v>0</v>
      </c>
      <c r="P716" s="20" t="n">
        <f aca="false">IF($D716="",0,$E716*$D716+$L716+$M716+$N716+$O716+$J716*$D716)</f>
        <v>0</v>
      </c>
      <c r="Q716" s="20" t="n">
        <f aca="false">IF($D716="",0,$K716-$P716)</f>
        <v>0</v>
      </c>
      <c r="R716" s="21" t="n">
        <f aca="false">IF($K716=0,0,$Q716/$K716)</f>
        <v>0</v>
      </c>
      <c r="S716" s="20" t="n">
        <f aca="false">IF($D716="",0,$K716-$L716-$M716-$N716)</f>
        <v>0</v>
      </c>
      <c r="T716" s="22"/>
      <c r="U716" s="20" t="n">
        <f aca="false">IF($T716="",0,MAX(0,$S716-$T716))</f>
        <v>0</v>
      </c>
      <c r="V716" s="21" t="n">
        <f aca="false">IF($S716=0,0,$U716/$S716)</f>
        <v>0</v>
      </c>
      <c r="W716" s="23" t="str">
        <f aca="false">IF($D716="","",IF($T716="","BEKLİYOR",IF(OR($U716=0,$S716=0),"DOĞRU",IF(AND($V716&gt;PazaryeriEksikHakedisEsik,$U716&gt;PazaryeriEksikHakedisTutarEsik),"EKSİK HAKEDİŞ","DOĞRU"))))</f>
        <v/>
      </c>
      <c r="X716" s="23" t="str">
        <f aca="false">IF($B716="","",CONCATENATE("Ürün: ",$B716," | Kâr: ",TEXT($Q716,"₺ #,##0")," | Durum: ",$W716))</f>
        <v/>
      </c>
      <c r="Y716" s="24"/>
    </row>
    <row r="717" customFormat="false" ht="15" hidden="false" customHeight="false" outlineLevel="0" collapsed="false">
      <c r="A717" s="24"/>
      <c r="B717" s="24"/>
      <c r="C717" s="22"/>
      <c r="D717" s="25"/>
      <c r="E717" s="22"/>
      <c r="F717" s="26"/>
      <c r="G717" s="26"/>
      <c r="H717" s="26"/>
      <c r="I717" s="26"/>
      <c r="J717" s="22"/>
      <c r="K717" s="20" t="n">
        <f aca="false">IF($D717="",0,$C717*$D717)</f>
        <v>0</v>
      </c>
      <c r="L717" s="20" t="n">
        <f aca="false">IF($D717="",0,$F717*$K717)</f>
        <v>0</v>
      </c>
      <c r="M717" s="20" t="n">
        <f aca="false">IF($D717="",0,$G717*$K717)</f>
        <v>0</v>
      </c>
      <c r="N717" s="20" t="n">
        <f aca="false">IF($D717="",0,$H717*$K717)</f>
        <v>0</v>
      </c>
      <c r="O717" s="20" t="n">
        <f aca="false">IF($D717="",0,$I717*$K717*(1-$F717))</f>
        <v>0</v>
      </c>
      <c r="P717" s="20" t="n">
        <f aca="false">IF($D717="",0,$E717*$D717+$L717+$M717+$N717+$O717+$J717*$D717)</f>
        <v>0</v>
      </c>
      <c r="Q717" s="20" t="n">
        <f aca="false">IF($D717="",0,$K717-$P717)</f>
        <v>0</v>
      </c>
      <c r="R717" s="21" t="n">
        <f aca="false">IF($K717=0,0,$Q717/$K717)</f>
        <v>0</v>
      </c>
      <c r="S717" s="20" t="n">
        <f aca="false">IF($D717="",0,$K717-$L717-$M717-$N717)</f>
        <v>0</v>
      </c>
      <c r="T717" s="22"/>
      <c r="U717" s="20" t="n">
        <f aca="false">IF($T717="",0,MAX(0,$S717-$T717))</f>
        <v>0</v>
      </c>
      <c r="V717" s="21" t="n">
        <f aca="false">IF($S717=0,0,$U717/$S717)</f>
        <v>0</v>
      </c>
      <c r="W717" s="23" t="str">
        <f aca="false">IF($D717="","",IF($T717="","BEKLİYOR",IF(OR($U717=0,$S717=0),"DOĞRU",IF(AND($V717&gt;PazaryeriEksikHakedisEsik,$U717&gt;PazaryeriEksikHakedisTutarEsik),"EKSİK HAKEDİŞ","DOĞRU"))))</f>
        <v/>
      </c>
      <c r="X717" s="23" t="str">
        <f aca="false">IF($B717="","",CONCATENATE("Ürün: ",$B717," | Kâr: ",TEXT($Q717,"₺ #,##0")," | Durum: ",$W717))</f>
        <v/>
      </c>
      <c r="Y717" s="24"/>
    </row>
    <row r="718" customFormat="false" ht="15" hidden="false" customHeight="false" outlineLevel="0" collapsed="false">
      <c r="A718" s="24"/>
      <c r="B718" s="24"/>
      <c r="C718" s="22"/>
      <c r="D718" s="25"/>
      <c r="E718" s="22"/>
      <c r="F718" s="26"/>
      <c r="G718" s="26"/>
      <c r="H718" s="26"/>
      <c r="I718" s="26"/>
      <c r="J718" s="22"/>
      <c r="K718" s="20" t="n">
        <f aca="false">IF($D718="",0,$C718*$D718)</f>
        <v>0</v>
      </c>
      <c r="L718" s="20" t="n">
        <f aca="false">IF($D718="",0,$F718*$K718)</f>
        <v>0</v>
      </c>
      <c r="M718" s="20" t="n">
        <f aca="false">IF($D718="",0,$G718*$K718)</f>
        <v>0</v>
      </c>
      <c r="N718" s="20" t="n">
        <f aca="false">IF($D718="",0,$H718*$K718)</f>
        <v>0</v>
      </c>
      <c r="O718" s="20" t="n">
        <f aca="false">IF($D718="",0,$I718*$K718*(1-$F718))</f>
        <v>0</v>
      </c>
      <c r="P718" s="20" t="n">
        <f aca="false">IF($D718="",0,$E718*$D718+$L718+$M718+$N718+$O718+$J718*$D718)</f>
        <v>0</v>
      </c>
      <c r="Q718" s="20" t="n">
        <f aca="false">IF($D718="",0,$K718-$P718)</f>
        <v>0</v>
      </c>
      <c r="R718" s="21" t="n">
        <f aca="false">IF($K718=0,0,$Q718/$K718)</f>
        <v>0</v>
      </c>
      <c r="S718" s="20" t="n">
        <f aca="false">IF($D718="",0,$K718-$L718-$M718-$N718)</f>
        <v>0</v>
      </c>
      <c r="T718" s="22"/>
      <c r="U718" s="20" t="n">
        <f aca="false">IF($T718="",0,MAX(0,$S718-$T718))</f>
        <v>0</v>
      </c>
      <c r="V718" s="21" t="n">
        <f aca="false">IF($S718=0,0,$U718/$S718)</f>
        <v>0</v>
      </c>
      <c r="W718" s="23" t="str">
        <f aca="false">IF($D718="","",IF($T718="","BEKLİYOR",IF(OR($U718=0,$S718=0),"DOĞRU",IF(AND($V718&gt;PazaryeriEksikHakedisEsik,$U718&gt;PazaryeriEksikHakedisTutarEsik),"EKSİK HAKEDİŞ","DOĞRU"))))</f>
        <v/>
      </c>
      <c r="X718" s="23" t="str">
        <f aca="false">IF($B718="","",CONCATENATE("Ürün: ",$B718," | Kâr: ",TEXT($Q718,"₺ #,##0")," | Durum: ",$W718))</f>
        <v/>
      </c>
      <c r="Y718" s="24"/>
    </row>
    <row r="719" customFormat="false" ht="15" hidden="false" customHeight="false" outlineLevel="0" collapsed="false">
      <c r="A719" s="24"/>
      <c r="B719" s="24"/>
      <c r="C719" s="22"/>
      <c r="D719" s="25"/>
      <c r="E719" s="22"/>
      <c r="F719" s="26"/>
      <c r="G719" s="26"/>
      <c r="H719" s="26"/>
      <c r="I719" s="26"/>
      <c r="J719" s="22"/>
      <c r="K719" s="20" t="n">
        <f aca="false">IF($D719="",0,$C719*$D719)</f>
        <v>0</v>
      </c>
      <c r="L719" s="20" t="n">
        <f aca="false">IF($D719="",0,$F719*$K719)</f>
        <v>0</v>
      </c>
      <c r="M719" s="20" t="n">
        <f aca="false">IF($D719="",0,$G719*$K719)</f>
        <v>0</v>
      </c>
      <c r="N719" s="20" t="n">
        <f aca="false">IF($D719="",0,$H719*$K719)</f>
        <v>0</v>
      </c>
      <c r="O719" s="20" t="n">
        <f aca="false">IF($D719="",0,$I719*$K719*(1-$F719))</f>
        <v>0</v>
      </c>
      <c r="P719" s="20" t="n">
        <f aca="false">IF($D719="",0,$E719*$D719+$L719+$M719+$N719+$O719+$J719*$D719)</f>
        <v>0</v>
      </c>
      <c r="Q719" s="20" t="n">
        <f aca="false">IF($D719="",0,$K719-$P719)</f>
        <v>0</v>
      </c>
      <c r="R719" s="21" t="n">
        <f aca="false">IF($K719=0,0,$Q719/$K719)</f>
        <v>0</v>
      </c>
      <c r="S719" s="20" t="n">
        <f aca="false">IF($D719="",0,$K719-$L719-$M719-$N719)</f>
        <v>0</v>
      </c>
      <c r="T719" s="22"/>
      <c r="U719" s="20" t="n">
        <f aca="false">IF($T719="",0,MAX(0,$S719-$T719))</f>
        <v>0</v>
      </c>
      <c r="V719" s="21" t="n">
        <f aca="false">IF($S719=0,0,$U719/$S719)</f>
        <v>0</v>
      </c>
      <c r="W719" s="23" t="str">
        <f aca="false">IF($D719="","",IF($T719="","BEKLİYOR",IF(OR($U719=0,$S719=0),"DOĞRU",IF(AND($V719&gt;PazaryeriEksikHakedisEsik,$U719&gt;PazaryeriEksikHakedisTutarEsik),"EKSİK HAKEDİŞ","DOĞRU"))))</f>
        <v/>
      </c>
      <c r="X719" s="23" t="str">
        <f aca="false">IF($B719="","",CONCATENATE("Ürün: ",$B719," | Kâr: ",TEXT($Q719,"₺ #,##0")," | Durum: ",$W719))</f>
        <v/>
      </c>
      <c r="Y719" s="24"/>
    </row>
    <row r="720" customFormat="false" ht="15" hidden="false" customHeight="false" outlineLevel="0" collapsed="false">
      <c r="A720" s="24"/>
      <c r="B720" s="24"/>
      <c r="C720" s="22"/>
      <c r="D720" s="25"/>
      <c r="E720" s="22"/>
      <c r="F720" s="26"/>
      <c r="G720" s="26"/>
      <c r="H720" s="26"/>
      <c r="I720" s="26"/>
      <c r="J720" s="22"/>
      <c r="K720" s="20" t="n">
        <f aca="false">IF($D720="",0,$C720*$D720)</f>
        <v>0</v>
      </c>
      <c r="L720" s="20" t="n">
        <f aca="false">IF($D720="",0,$F720*$K720)</f>
        <v>0</v>
      </c>
      <c r="M720" s="20" t="n">
        <f aca="false">IF($D720="",0,$G720*$K720)</f>
        <v>0</v>
      </c>
      <c r="N720" s="20" t="n">
        <f aca="false">IF($D720="",0,$H720*$K720)</f>
        <v>0</v>
      </c>
      <c r="O720" s="20" t="n">
        <f aca="false">IF($D720="",0,$I720*$K720*(1-$F720))</f>
        <v>0</v>
      </c>
      <c r="P720" s="20" t="n">
        <f aca="false">IF($D720="",0,$E720*$D720+$L720+$M720+$N720+$O720+$J720*$D720)</f>
        <v>0</v>
      </c>
      <c r="Q720" s="20" t="n">
        <f aca="false">IF($D720="",0,$K720-$P720)</f>
        <v>0</v>
      </c>
      <c r="R720" s="21" t="n">
        <f aca="false">IF($K720=0,0,$Q720/$K720)</f>
        <v>0</v>
      </c>
      <c r="S720" s="20" t="n">
        <f aca="false">IF($D720="",0,$K720-$L720-$M720-$N720)</f>
        <v>0</v>
      </c>
      <c r="T720" s="22"/>
      <c r="U720" s="20" t="n">
        <f aca="false">IF($T720="",0,MAX(0,$S720-$T720))</f>
        <v>0</v>
      </c>
      <c r="V720" s="21" t="n">
        <f aca="false">IF($S720=0,0,$U720/$S720)</f>
        <v>0</v>
      </c>
      <c r="W720" s="23" t="str">
        <f aca="false">IF($D720="","",IF($T720="","BEKLİYOR",IF(OR($U720=0,$S720=0),"DOĞRU",IF(AND($V720&gt;PazaryeriEksikHakedisEsik,$U720&gt;PazaryeriEksikHakedisTutarEsik),"EKSİK HAKEDİŞ","DOĞRU"))))</f>
        <v/>
      </c>
      <c r="X720" s="23" t="str">
        <f aca="false">IF($B720="","",CONCATENATE("Ürün: ",$B720," | Kâr: ",TEXT($Q720,"₺ #,##0")," | Durum: ",$W720))</f>
        <v/>
      </c>
      <c r="Y720" s="24"/>
    </row>
    <row r="721" customFormat="false" ht="15" hidden="false" customHeight="false" outlineLevel="0" collapsed="false">
      <c r="A721" s="24"/>
      <c r="B721" s="24"/>
      <c r="C721" s="22"/>
      <c r="D721" s="25"/>
      <c r="E721" s="22"/>
      <c r="F721" s="26"/>
      <c r="G721" s="26"/>
      <c r="H721" s="26"/>
      <c r="I721" s="26"/>
      <c r="J721" s="22"/>
      <c r="K721" s="20" t="n">
        <f aca="false">IF($D721="",0,$C721*$D721)</f>
        <v>0</v>
      </c>
      <c r="L721" s="20" t="n">
        <f aca="false">IF($D721="",0,$F721*$K721)</f>
        <v>0</v>
      </c>
      <c r="M721" s="20" t="n">
        <f aca="false">IF($D721="",0,$G721*$K721)</f>
        <v>0</v>
      </c>
      <c r="N721" s="20" t="n">
        <f aca="false">IF($D721="",0,$H721*$K721)</f>
        <v>0</v>
      </c>
      <c r="O721" s="20" t="n">
        <f aca="false">IF($D721="",0,$I721*$K721*(1-$F721))</f>
        <v>0</v>
      </c>
      <c r="P721" s="20" t="n">
        <f aca="false">IF($D721="",0,$E721*$D721+$L721+$M721+$N721+$O721+$J721*$D721)</f>
        <v>0</v>
      </c>
      <c r="Q721" s="20" t="n">
        <f aca="false">IF($D721="",0,$K721-$P721)</f>
        <v>0</v>
      </c>
      <c r="R721" s="21" t="n">
        <f aca="false">IF($K721=0,0,$Q721/$K721)</f>
        <v>0</v>
      </c>
      <c r="S721" s="20" t="n">
        <f aca="false">IF($D721="",0,$K721-$L721-$M721-$N721)</f>
        <v>0</v>
      </c>
      <c r="T721" s="22"/>
      <c r="U721" s="20" t="n">
        <f aca="false">IF($T721="",0,MAX(0,$S721-$T721))</f>
        <v>0</v>
      </c>
      <c r="V721" s="21" t="n">
        <f aca="false">IF($S721=0,0,$U721/$S721)</f>
        <v>0</v>
      </c>
      <c r="W721" s="23" t="str">
        <f aca="false">IF($D721="","",IF($T721="","BEKLİYOR",IF(OR($U721=0,$S721=0),"DOĞRU",IF(AND($V721&gt;PazaryeriEksikHakedisEsik,$U721&gt;PazaryeriEksikHakedisTutarEsik),"EKSİK HAKEDİŞ","DOĞRU"))))</f>
        <v/>
      </c>
      <c r="X721" s="23" t="str">
        <f aca="false">IF($B721="","",CONCATENATE("Ürün: ",$B721," | Kâr: ",TEXT($Q721,"₺ #,##0")," | Durum: ",$W721))</f>
        <v/>
      </c>
      <c r="Y721" s="24"/>
    </row>
    <row r="722" customFormat="false" ht="15" hidden="false" customHeight="false" outlineLevel="0" collapsed="false">
      <c r="A722" s="24"/>
      <c r="B722" s="24"/>
      <c r="C722" s="22"/>
      <c r="D722" s="25"/>
      <c r="E722" s="22"/>
      <c r="F722" s="26"/>
      <c r="G722" s="26"/>
      <c r="H722" s="26"/>
      <c r="I722" s="26"/>
      <c r="J722" s="22"/>
      <c r="K722" s="20" t="n">
        <f aca="false">IF($D722="",0,$C722*$D722)</f>
        <v>0</v>
      </c>
      <c r="L722" s="20" t="n">
        <f aca="false">IF($D722="",0,$F722*$K722)</f>
        <v>0</v>
      </c>
      <c r="M722" s="20" t="n">
        <f aca="false">IF($D722="",0,$G722*$K722)</f>
        <v>0</v>
      </c>
      <c r="N722" s="20" t="n">
        <f aca="false">IF($D722="",0,$H722*$K722)</f>
        <v>0</v>
      </c>
      <c r="O722" s="20" t="n">
        <f aca="false">IF($D722="",0,$I722*$K722*(1-$F722))</f>
        <v>0</v>
      </c>
      <c r="P722" s="20" t="n">
        <f aca="false">IF($D722="",0,$E722*$D722+$L722+$M722+$N722+$O722+$J722*$D722)</f>
        <v>0</v>
      </c>
      <c r="Q722" s="20" t="n">
        <f aca="false">IF($D722="",0,$K722-$P722)</f>
        <v>0</v>
      </c>
      <c r="R722" s="21" t="n">
        <f aca="false">IF($K722=0,0,$Q722/$K722)</f>
        <v>0</v>
      </c>
      <c r="S722" s="20" t="n">
        <f aca="false">IF($D722="",0,$K722-$L722-$M722-$N722)</f>
        <v>0</v>
      </c>
      <c r="T722" s="22"/>
      <c r="U722" s="20" t="n">
        <f aca="false">IF($T722="",0,MAX(0,$S722-$T722))</f>
        <v>0</v>
      </c>
      <c r="V722" s="21" t="n">
        <f aca="false">IF($S722=0,0,$U722/$S722)</f>
        <v>0</v>
      </c>
      <c r="W722" s="23" t="str">
        <f aca="false">IF($D722="","",IF($T722="","BEKLİYOR",IF(OR($U722=0,$S722=0),"DOĞRU",IF(AND($V722&gt;PazaryeriEksikHakedisEsik,$U722&gt;PazaryeriEksikHakedisTutarEsik),"EKSİK HAKEDİŞ","DOĞRU"))))</f>
        <v/>
      </c>
      <c r="X722" s="23" t="str">
        <f aca="false">IF($B722="","",CONCATENATE("Ürün: ",$B722," | Kâr: ",TEXT($Q722,"₺ #,##0")," | Durum: ",$W722))</f>
        <v/>
      </c>
      <c r="Y722" s="24"/>
    </row>
    <row r="723" customFormat="false" ht="15" hidden="false" customHeight="false" outlineLevel="0" collapsed="false">
      <c r="A723" s="24"/>
      <c r="B723" s="24"/>
      <c r="C723" s="22"/>
      <c r="D723" s="25"/>
      <c r="E723" s="22"/>
      <c r="F723" s="26"/>
      <c r="G723" s="26"/>
      <c r="H723" s="26"/>
      <c r="I723" s="26"/>
      <c r="J723" s="22"/>
      <c r="K723" s="20" t="n">
        <f aca="false">IF($D723="",0,$C723*$D723)</f>
        <v>0</v>
      </c>
      <c r="L723" s="20" t="n">
        <f aca="false">IF($D723="",0,$F723*$K723)</f>
        <v>0</v>
      </c>
      <c r="M723" s="20" t="n">
        <f aca="false">IF($D723="",0,$G723*$K723)</f>
        <v>0</v>
      </c>
      <c r="N723" s="20" t="n">
        <f aca="false">IF($D723="",0,$H723*$K723)</f>
        <v>0</v>
      </c>
      <c r="O723" s="20" t="n">
        <f aca="false">IF($D723="",0,$I723*$K723*(1-$F723))</f>
        <v>0</v>
      </c>
      <c r="P723" s="20" t="n">
        <f aca="false">IF($D723="",0,$E723*$D723+$L723+$M723+$N723+$O723+$J723*$D723)</f>
        <v>0</v>
      </c>
      <c r="Q723" s="20" t="n">
        <f aca="false">IF($D723="",0,$K723-$P723)</f>
        <v>0</v>
      </c>
      <c r="R723" s="21" t="n">
        <f aca="false">IF($K723=0,0,$Q723/$K723)</f>
        <v>0</v>
      </c>
      <c r="S723" s="20" t="n">
        <f aca="false">IF($D723="",0,$K723-$L723-$M723-$N723)</f>
        <v>0</v>
      </c>
      <c r="T723" s="22"/>
      <c r="U723" s="20" t="n">
        <f aca="false">IF($T723="",0,MAX(0,$S723-$T723))</f>
        <v>0</v>
      </c>
      <c r="V723" s="21" t="n">
        <f aca="false">IF($S723=0,0,$U723/$S723)</f>
        <v>0</v>
      </c>
      <c r="W723" s="23" t="str">
        <f aca="false">IF($D723="","",IF($T723="","BEKLİYOR",IF(OR($U723=0,$S723=0),"DOĞRU",IF(AND($V723&gt;PazaryeriEksikHakedisEsik,$U723&gt;PazaryeriEksikHakedisTutarEsik),"EKSİK HAKEDİŞ","DOĞRU"))))</f>
        <v/>
      </c>
      <c r="X723" s="23" t="str">
        <f aca="false">IF($B723="","",CONCATENATE("Ürün: ",$B723," | Kâr: ",TEXT($Q723,"₺ #,##0")," | Durum: ",$W723))</f>
        <v/>
      </c>
      <c r="Y723" s="24"/>
    </row>
    <row r="724" customFormat="false" ht="15" hidden="false" customHeight="false" outlineLevel="0" collapsed="false">
      <c r="A724" s="24"/>
      <c r="B724" s="24"/>
      <c r="C724" s="22"/>
      <c r="D724" s="25"/>
      <c r="E724" s="22"/>
      <c r="F724" s="26"/>
      <c r="G724" s="26"/>
      <c r="H724" s="26"/>
      <c r="I724" s="26"/>
      <c r="J724" s="22"/>
      <c r="K724" s="20" t="n">
        <f aca="false">IF($D724="",0,$C724*$D724)</f>
        <v>0</v>
      </c>
      <c r="L724" s="20" t="n">
        <f aca="false">IF($D724="",0,$F724*$K724)</f>
        <v>0</v>
      </c>
      <c r="M724" s="20" t="n">
        <f aca="false">IF($D724="",0,$G724*$K724)</f>
        <v>0</v>
      </c>
      <c r="N724" s="20" t="n">
        <f aca="false">IF($D724="",0,$H724*$K724)</f>
        <v>0</v>
      </c>
      <c r="O724" s="20" t="n">
        <f aca="false">IF($D724="",0,$I724*$K724*(1-$F724))</f>
        <v>0</v>
      </c>
      <c r="P724" s="20" t="n">
        <f aca="false">IF($D724="",0,$E724*$D724+$L724+$M724+$N724+$O724+$J724*$D724)</f>
        <v>0</v>
      </c>
      <c r="Q724" s="20" t="n">
        <f aca="false">IF($D724="",0,$K724-$P724)</f>
        <v>0</v>
      </c>
      <c r="R724" s="21" t="n">
        <f aca="false">IF($K724=0,0,$Q724/$K724)</f>
        <v>0</v>
      </c>
      <c r="S724" s="20" t="n">
        <f aca="false">IF($D724="",0,$K724-$L724-$M724-$N724)</f>
        <v>0</v>
      </c>
      <c r="T724" s="22"/>
      <c r="U724" s="20" t="n">
        <f aca="false">IF($T724="",0,MAX(0,$S724-$T724))</f>
        <v>0</v>
      </c>
      <c r="V724" s="21" t="n">
        <f aca="false">IF($S724=0,0,$U724/$S724)</f>
        <v>0</v>
      </c>
      <c r="W724" s="23" t="str">
        <f aca="false">IF($D724="","",IF($T724="","BEKLİYOR",IF(OR($U724=0,$S724=0),"DOĞRU",IF(AND($V724&gt;PazaryeriEksikHakedisEsik,$U724&gt;PazaryeriEksikHakedisTutarEsik),"EKSİK HAKEDİŞ","DOĞRU"))))</f>
        <v/>
      </c>
      <c r="X724" s="23" t="str">
        <f aca="false">IF($B724="","",CONCATENATE("Ürün: ",$B724," | Kâr: ",TEXT($Q724,"₺ #,##0")," | Durum: ",$W724))</f>
        <v/>
      </c>
      <c r="Y724" s="24"/>
    </row>
    <row r="725" customFormat="false" ht="15" hidden="false" customHeight="false" outlineLevel="0" collapsed="false">
      <c r="A725" s="24"/>
      <c r="B725" s="24"/>
      <c r="C725" s="22"/>
      <c r="D725" s="25"/>
      <c r="E725" s="22"/>
      <c r="F725" s="26"/>
      <c r="G725" s="26"/>
      <c r="H725" s="26"/>
      <c r="I725" s="26"/>
      <c r="J725" s="22"/>
      <c r="K725" s="20" t="n">
        <f aca="false">IF($D725="",0,$C725*$D725)</f>
        <v>0</v>
      </c>
      <c r="L725" s="20" t="n">
        <f aca="false">IF($D725="",0,$F725*$K725)</f>
        <v>0</v>
      </c>
      <c r="M725" s="20" t="n">
        <f aca="false">IF($D725="",0,$G725*$K725)</f>
        <v>0</v>
      </c>
      <c r="N725" s="20" t="n">
        <f aca="false">IF($D725="",0,$H725*$K725)</f>
        <v>0</v>
      </c>
      <c r="O725" s="20" t="n">
        <f aca="false">IF($D725="",0,$I725*$K725*(1-$F725))</f>
        <v>0</v>
      </c>
      <c r="P725" s="20" t="n">
        <f aca="false">IF($D725="",0,$E725*$D725+$L725+$M725+$N725+$O725+$J725*$D725)</f>
        <v>0</v>
      </c>
      <c r="Q725" s="20" t="n">
        <f aca="false">IF($D725="",0,$K725-$P725)</f>
        <v>0</v>
      </c>
      <c r="R725" s="21" t="n">
        <f aca="false">IF($K725=0,0,$Q725/$K725)</f>
        <v>0</v>
      </c>
      <c r="S725" s="20" t="n">
        <f aca="false">IF($D725="",0,$K725-$L725-$M725-$N725)</f>
        <v>0</v>
      </c>
      <c r="T725" s="22"/>
      <c r="U725" s="20" t="n">
        <f aca="false">IF($T725="",0,MAX(0,$S725-$T725))</f>
        <v>0</v>
      </c>
      <c r="V725" s="21" t="n">
        <f aca="false">IF($S725=0,0,$U725/$S725)</f>
        <v>0</v>
      </c>
      <c r="W725" s="23" t="str">
        <f aca="false">IF($D725="","",IF($T725="","BEKLİYOR",IF(OR($U725=0,$S725=0),"DOĞRU",IF(AND($V725&gt;PazaryeriEksikHakedisEsik,$U725&gt;PazaryeriEksikHakedisTutarEsik),"EKSİK HAKEDİŞ","DOĞRU"))))</f>
        <v/>
      </c>
      <c r="X725" s="23" t="str">
        <f aca="false">IF($B725="","",CONCATENATE("Ürün: ",$B725," | Kâr: ",TEXT($Q725,"₺ #,##0")," | Durum: ",$W725))</f>
        <v/>
      </c>
      <c r="Y725" s="24"/>
    </row>
    <row r="726" customFormat="false" ht="15" hidden="false" customHeight="false" outlineLevel="0" collapsed="false">
      <c r="A726" s="24"/>
      <c r="B726" s="24"/>
      <c r="C726" s="22"/>
      <c r="D726" s="25"/>
      <c r="E726" s="22"/>
      <c r="F726" s="26"/>
      <c r="G726" s="26"/>
      <c r="H726" s="26"/>
      <c r="I726" s="26"/>
      <c r="J726" s="22"/>
      <c r="K726" s="20" t="n">
        <f aca="false">IF($D726="",0,$C726*$D726)</f>
        <v>0</v>
      </c>
      <c r="L726" s="20" t="n">
        <f aca="false">IF($D726="",0,$F726*$K726)</f>
        <v>0</v>
      </c>
      <c r="M726" s="20" t="n">
        <f aca="false">IF($D726="",0,$G726*$K726)</f>
        <v>0</v>
      </c>
      <c r="N726" s="20" t="n">
        <f aca="false">IF($D726="",0,$H726*$K726)</f>
        <v>0</v>
      </c>
      <c r="O726" s="20" t="n">
        <f aca="false">IF($D726="",0,$I726*$K726*(1-$F726))</f>
        <v>0</v>
      </c>
      <c r="P726" s="20" t="n">
        <f aca="false">IF($D726="",0,$E726*$D726+$L726+$M726+$N726+$O726+$J726*$D726)</f>
        <v>0</v>
      </c>
      <c r="Q726" s="20" t="n">
        <f aca="false">IF($D726="",0,$K726-$P726)</f>
        <v>0</v>
      </c>
      <c r="R726" s="21" t="n">
        <f aca="false">IF($K726=0,0,$Q726/$K726)</f>
        <v>0</v>
      </c>
      <c r="S726" s="20" t="n">
        <f aca="false">IF($D726="",0,$K726-$L726-$M726-$N726)</f>
        <v>0</v>
      </c>
      <c r="T726" s="22"/>
      <c r="U726" s="20" t="n">
        <f aca="false">IF($T726="",0,MAX(0,$S726-$T726))</f>
        <v>0</v>
      </c>
      <c r="V726" s="21" t="n">
        <f aca="false">IF($S726=0,0,$U726/$S726)</f>
        <v>0</v>
      </c>
      <c r="W726" s="23" t="str">
        <f aca="false">IF($D726="","",IF($T726="","BEKLİYOR",IF(OR($U726=0,$S726=0),"DOĞRU",IF(AND($V726&gt;PazaryeriEksikHakedisEsik,$U726&gt;PazaryeriEksikHakedisTutarEsik),"EKSİK HAKEDİŞ","DOĞRU"))))</f>
        <v/>
      </c>
      <c r="X726" s="23" t="str">
        <f aca="false">IF($B726="","",CONCATENATE("Ürün: ",$B726," | Kâr: ",TEXT($Q726,"₺ #,##0")," | Durum: ",$W726))</f>
        <v/>
      </c>
      <c r="Y726" s="24"/>
    </row>
    <row r="727" customFormat="false" ht="15" hidden="false" customHeight="false" outlineLevel="0" collapsed="false">
      <c r="A727" s="24"/>
      <c r="B727" s="24"/>
      <c r="C727" s="22"/>
      <c r="D727" s="25"/>
      <c r="E727" s="22"/>
      <c r="F727" s="26"/>
      <c r="G727" s="26"/>
      <c r="H727" s="26"/>
      <c r="I727" s="26"/>
      <c r="J727" s="22"/>
      <c r="K727" s="20" t="n">
        <f aca="false">IF($D727="",0,$C727*$D727)</f>
        <v>0</v>
      </c>
      <c r="L727" s="20" t="n">
        <f aca="false">IF($D727="",0,$F727*$K727)</f>
        <v>0</v>
      </c>
      <c r="M727" s="20" t="n">
        <f aca="false">IF($D727="",0,$G727*$K727)</f>
        <v>0</v>
      </c>
      <c r="N727" s="20" t="n">
        <f aca="false">IF($D727="",0,$H727*$K727)</f>
        <v>0</v>
      </c>
      <c r="O727" s="20" t="n">
        <f aca="false">IF($D727="",0,$I727*$K727*(1-$F727))</f>
        <v>0</v>
      </c>
      <c r="P727" s="20" t="n">
        <f aca="false">IF($D727="",0,$E727*$D727+$L727+$M727+$N727+$O727+$J727*$D727)</f>
        <v>0</v>
      </c>
      <c r="Q727" s="20" t="n">
        <f aca="false">IF($D727="",0,$K727-$P727)</f>
        <v>0</v>
      </c>
      <c r="R727" s="21" t="n">
        <f aca="false">IF($K727=0,0,$Q727/$K727)</f>
        <v>0</v>
      </c>
      <c r="S727" s="20" t="n">
        <f aca="false">IF($D727="",0,$K727-$L727-$M727-$N727)</f>
        <v>0</v>
      </c>
      <c r="T727" s="22"/>
      <c r="U727" s="20" t="n">
        <f aca="false">IF($T727="",0,MAX(0,$S727-$T727))</f>
        <v>0</v>
      </c>
      <c r="V727" s="21" t="n">
        <f aca="false">IF($S727=0,0,$U727/$S727)</f>
        <v>0</v>
      </c>
      <c r="W727" s="23" t="str">
        <f aca="false">IF($D727="","",IF($T727="","BEKLİYOR",IF(OR($U727=0,$S727=0),"DOĞRU",IF(AND($V727&gt;PazaryeriEksikHakedisEsik,$U727&gt;PazaryeriEksikHakedisTutarEsik),"EKSİK HAKEDİŞ","DOĞRU"))))</f>
        <v/>
      </c>
      <c r="X727" s="23" t="str">
        <f aca="false">IF($B727="","",CONCATENATE("Ürün: ",$B727," | Kâr: ",TEXT($Q727,"₺ #,##0")," | Durum: ",$W727))</f>
        <v/>
      </c>
      <c r="Y727" s="24"/>
    </row>
    <row r="728" customFormat="false" ht="15" hidden="false" customHeight="false" outlineLevel="0" collapsed="false">
      <c r="A728" s="24"/>
      <c r="B728" s="24"/>
      <c r="C728" s="22"/>
      <c r="D728" s="25"/>
      <c r="E728" s="22"/>
      <c r="F728" s="26"/>
      <c r="G728" s="26"/>
      <c r="H728" s="26"/>
      <c r="I728" s="26"/>
      <c r="J728" s="22"/>
      <c r="K728" s="20" t="n">
        <f aca="false">IF($D728="",0,$C728*$D728)</f>
        <v>0</v>
      </c>
      <c r="L728" s="20" t="n">
        <f aca="false">IF($D728="",0,$F728*$K728)</f>
        <v>0</v>
      </c>
      <c r="M728" s="20" t="n">
        <f aca="false">IF($D728="",0,$G728*$K728)</f>
        <v>0</v>
      </c>
      <c r="N728" s="20" t="n">
        <f aca="false">IF($D728="",0,$H728*$K728)</f>
        <v>0</v>
      </c>
      <c r="O728" s="20" t="n">
        <f aca="false">IF($D728="",0,$I728*$K728*(1-$F728))</f>
        <v>0</v>
      </c>
      <c r="P728" s="20" t="n">
        <f aca="false">IF($D728="",0,$E728*$D728+$L728+$M728+$N728+$O728+$J728*$D728)</f>
        <v>0</v>
      </c>
      <c r="Q728" s="20" t="n">
        <f aca="false">IF($D728="",0,$K728-$P728)</f>
        <v>0</v>
      </c>
      <c r="R728" s="21" t="n">
        <f aca="false">IF($K728=0,0,$Q728/$K728)</f>
        <v>0</v>
      </c>
      <c r="S728" s="20" t="n">
        <f aca="false">IF($D728="",0,$K728-$L728-$M728-$N728)</f>
        <v>0</v>
      </c>
      <c r="T728" s="22"/>
      <c r="U728" s="20" t="n">
        <f aca="false">IF($T728="",0,MAX(0,$S728-$T728))</f>
        <v>0</v>
      </c>
      <c r="V728" s="21" t="n">
        <f aca="false">IF($S728=0,0,$U728/$S728)</f>
        <v>0</v>
      </c>
      <c r="W728" s="23" t="str">
        <f aca="false">IF($D728="","",IF($T728="","BEKLİYOR",IF(OR($U728=0,$S728=0),"DOĞRU",IF(AND($V728&gt;PazaryeriEksikHakedisEsik,$U728&gt;PazaryeriEksikHakedisTutarEsik),"EKSİK HAKEDİŞ","DOĞRU"))))</f>
        <v/>
      </c>
      <c r="X728" s="23" t="str">
        <f aca="false">IF($B728="","",CONCATENATE("Ürün: ",$B728," | Kâr: ",TEXT($Q728,"₺ #,##0")," | Durum: ",$W728))</f>
        <v/>
      </c>
      <c r="Y728" s="24"/>
    </row>
    <row r="729" customFormat="false" ht="15" hidden="false" customHeight="false" outlineLevel="0" collapsed="false">
      <c r="A729" s="24"/>
      <c r="B729" s="24"/>
      <c r="C729" s="22"/>
      <c r="D729" s="25"/>
      <c r="E729" s="22"/>
      <c r="F729" s="26"/>
      <c r="G729" s="26"/>
      <c r="H729" s="26"/>
      <c r="I729" s="26"/>
      <c r="J729" s="22"/>
      <c r="K729" s="20" t="n">
        <f aca="false">IF($D729="",0,$C729*$D729)</f>
        <v>0</v>
      </c>
      <c r="L729" s="20" t="n">
        <f aca="false">IF($D729="",0,$F729*$K729)</f>
        <v>0</v>
      </c>
      <c r="M729" s="20" t="n">
        <f aca="false">IF($D729="",0,$G729*$K729)</f>
        <v>0</v>
      </c>
      <c r="N729" s="20" t="n">
        <f aca="false">IF($D729="",0,$H729*$K729)</f>
        <v>0</v>
      </c>
      <c r="O729" s="20" t="n">
        <f aca="false">IF($D729="",0,$I729*$K729*(1-$F729))</f>
        <v>0</v>
      </c>
      <c r="P729" s="20" t="n">
        <f aca="false">IF($D729="",0,$E729*$D729+$L729+$M729+$N729+$O729+$J729*$D729)</f>
        <v>0</v>
      </c>
      <c r="Q729" s="20" t="n">
        <f aca="false">IF($D729="",0,$K729-$P729)</f>
        <v>0</v>
      </c>
      <c r="R729" s="21" t="n">
        <f aca="false">IF($K729=0,0,$Q729/$K729)</f>
        <v>0</v>
      </c>
      <c r="S729" s="20" t="n">
        <f aca="false">IF($D729="",0,$K729-$L729-$M729-$N729)</f>
        <v>0</v>
      </c>
      <c r="T729" s="22"/>
      <c r="U729" s="20" t="n">
        <f aca="false">IF($T729="",0,MAX(0,$S729-$T729))</f>
        <v>0</v>
      </c>
      <c r="V729" s="21" t="n">
        <f aca="false">IF($S729=0,0,$U729/$S729)</f>
        <v>0</v>
      </c>
      <c r="W729" s="23" t="str">
        <f aca="false">IF($D729="","",IF($T729="","BEKLİYOR",IF(OR($U729=0,$S729=0),"DOĞRU",IF(AND($V729&gt;PazaryeriEksikHakedisEsik,$U729&gt;PazaryeriEksikHakedisTutarEsik),"EKSİK HAKEDİŞ","DOĞRU"))))</f>
        <v/>
      </c>
      <c r="X729" s="23" t="str">
        <f aca="false">IF($B729="","",CONCATENATE("Ürün: ",$B729," | Kâr: ",TEXT($Q729,"₺ #,##0")," | Durum: ",$W729))</f>
        <v/>
      </c>
      <c r="Y729" s="24"/>
    </row>
    <row r="730" customFormat="false" ht="15" hidden="false" customHeight="false" outlineLevel="0" collapsed="false">
      <c r="A730" s="24"/>
      <c r="B730" s="24"/>
      <c r="C730" s="22"/>
      <c r="D730" s="25"/>
      <c r="E730" s="22"/>
      <c r="F730" s="26"/>
      <c r="G730" s="26"/>
      <c r="H730" s="26"/>
      <c r="I730" s="26"/>
      <c r="J730" s="22"/>
      <c r="K730" s="20" t="n">
        <f aca="false">IF($D730="",0,$C730*$D730)</f>
        <v>0</v>
      </c>
      <c r="L730" s="20" t="n">
        <f aca="false">IF($D730="",0,$F730*$K730)</f>
        <v>0</v>
      </c>
      <c r="M730" s="20" t="n">
        <f aca="false">IF($D730="",0,$G730*$K730)</f>
        <v>0</v>
      </c>
      <c r="N730" s="20" t="n">
        <f aca="false">IF($D730="",0,$H730*$K730)</f>
        <v>0</v>
      </c>
      <c r="O730" s="20" t="n">
        <f aca="false">IF($D730="",0,$I730*$K730*(1-$F730))</f>
        <v>0</v>
      </c>
      <c r="P730" s="20" t="n">
        <f aca="false">IF($D730="",0,$E730*$D730+$L730+$M730+$N730+$O730+$J730*$D730)</f>
        <v>0</v>
      </c>
      <c r="Q730" s="20" t="n">
        <f aca="false">IF($D730="",0,$K730-$P730)</f>
        <v>0</v>
      </c>
      <c r="R730" s="21" t="n">
        <f aca="false">IF($K730=0,0,$Q730/$K730)</f>
        <v>0</v>
      </c>
      <c r="S730" s="20" t="n">
        <f aca="false">IF($D730="",0,$K730-$L730-$M730-$N730)</f>
        <v>0</v>
      </c>
      <c r="T730" s="22"/>
      <c r="U730" s="20" t="n">
        <f aca="false">IF($T730="",0,MAX(0,$S730-$T730))</f>
        <v>0</v>
      </c>
      <c r="V730" s="21" t="n">
        <f aca="false">IF($S730=0,0,$U730/$S730)</f>
        <v>0</v>
      </c>
      <c r="W730" s="23" t="str">
        <f aca="false">IF($D730="","",IF($T730="","BEKLİYOR",IF(OR($U730=0,$S730=0),"DOĞRU",IF(AND($V730&gt;PazaryeriEksikHakedisEsik,$U730&gt;PazaryeriEksikHakedisTutarEsik),"EKSİK HAKEDİŞ","DOĞRU"))))</f>
        <v/>
      </c>
      <c r="X730" s="23" t="str">
        <f aca="false">IF($B730="","",CONCATENATE("Ürün: ",$B730," | Kâr: ",TEXT($Q730,"₺ #,##0")," | Durum: ",$W730))</f>
        <v/>
      </c>
      <c r="Y730" s="24"/>
    </row>
    <row r="731" customFormat="false" ht="15" hidden="false" customHeight="false" outlineLevel="0" collapsed="false">
      <c r="A731" s="24"/>
      <c r="B731" s="24"/>
      <c r="C731" s="22"/>
      <c r="D731" s="25"/>
      <c r="E731" s="22"/>
      <c r="F731" s="26"/>
      <c r="G731" s="26"/>
      <c r="H731" s="26"/>
      <c r="I731" s="26"/>
      <c r="J731" s="22"/>
      <c r="K731" s="20" t="n">
        <f aca="false">IF($D731="",0,$C731*$D731)</f>
        <v>0</v>
      </c>
      <c r="L731" s="20" t="n">
        <f aca="false">IF($D731="",0,$F731*$K731)</f>
        <v>0</v>
      </c>
      <c r="M731" s="20" t="n">
        <f aca="false">IF($D731="",0,$G731*$K731)</f>
        <v>0</v>
      </c>
      <c r="N731" s="20" t="n">
        <f aca="false">IF($D731="",0,$H731*$K731)</f>
        <v>0</v>
      </c>
      <c r="O731" s="20" t="n">
        <f aca="false">IF($D731="",0,$I731*$K731*(1-$F731))</f>
        <v>0</v>
      </c>
      <c r="P731" s="20" t="n">
        <f aca="false">IF($D731="",0,$E731*$D731+$L731+$M731+$N731+$O731+$J731*$D731)</f>
        <v>0</v>
      </c>
      <c r="Q731" s="20" t="n">
        <f aca="false">IF($D731="",0,$K731-$P731)</f>
        <v>0</v>
      </c>
      <c r="R731" s="21" t="n">
        <f aca="false">IF($K731=0,0,$Q731/$K731)</f>
        <v>0</v>
      </c>
      <c r="S731" s="20" t="n">
        <f aca="false">IF($D731="",0,$K731-$L731-$M731-$N731)</f>
        <v>0</v>
      </c>
      <c r="T731" s="22"/>
      <c r="U731" s="20" t="n">
        <f aca="false">IF($T731="",0,MAX(0,$S731-$T731))</f>
        <v>0</v>
      </c>
      <c r="V731" s="21" t="n">
        <f aca="false">IF($S731=0,0,$U731/$S731)</f>
        <v>0</v>
      </c>
      <c r="W731" s="23" t="str">
        <f aca="false">IF($D731="","",IF($T731="","BEKLİYOR",IF(OR($U731=0,$S731=0),"DOĞRU",IF(AND($V731&gt;PazaryeriEksikHakedisEsik,$U731&gt;PazaryeriEksikHakedisTutarEsik),"EKSİK HAKEDİŞ","DOĞRU"))))</f>
        <v/>
      </c>
      <c r="X731" s="23" t="str">
        <f aca="false">IF($B731="","",CONCATENATE("Ürün: ",$B731," | Kâr: ",TEXT($Q731,"₺ #,##0")," | Durum: ",$W731))</f>
        <v/>
      </c>
      <c r="Y731" s="24"/>
    </row>
    <row r="732" customFormat="false" ht="15" hidden="false" customHeight="false" outlineLevel="0" collapsed="false">
      <c r="A732" s="24"/>
      <c r="B732" s="24"/>
      <c r="C732" s="22"/>
      <c r="D732" s="25"/>
      <c r="E732" s="22"/>
      <c r="F732" s="26"/>
      <c r="G732" s="26"/>
      <c r="H732" s="26"/>
      <c r="I732" s="26"/>
      <c r="J732" s="22"/>
      <c r="K732" s="20" t="n">
        <f aca="false">IF($D732="",0,$C732*$D732)</f>
        <v>0</v>
      </c>
      <c r="L732" s="20" t="n">
        <f aca="false">IF($D732="",0,$F732*$K732)</f>
        <v>0</v>
      </c>
      <c r="M732" s="20" t="n">
        <f aca="false">IF($D732="",0,$G732*$K732)</f>
        <v>0</v>
      </c>
      <c r="N732" s="20" t="n">
        <f aca="false">IF($D732="",0,$H732*$K732)</f>
        <v>0</v>
      </c>
      <c r="O732" s="20" t="n">
        <f aca="false">IF($D732="",0,$I732*$K732*(1-$F732))</f>
        <v>0</v>
      </c>
      <c r="P732" s="20" t="n">
        <f aca="false">IF($D732="",0,$E732*$D732+$L732+$M732+$N732+$O732+$J732*$D732)</f>
        <v>0</v>
      </c>
      <c r="Q732" s="20" t="n">
        <f aca="false">IF($D732="",0,$K732-$P732)</f>
        <v>0</v>
      </c>
      <c r="R732" s="21" t="n">
        <f aca="false">IF($K732=0,0,$Q732/$K732)</f>
        <v>0</v>
      </c>
      <c r="S732" s="20" t="n">
        <f aca="false">IF($D732="",0,$K732-$L732-$M732-$N732)</f>
        <v>0</v>
      </c>
      <c r="T732" s="22"/>
      <c r="U732" s="20" t="n">
        <f aca="false">IF($T732="",0,MAX(0,$S732-$T732))</f>
        <v>0</v>
      </c>
      <c r="V732" s="21" t="n">
        <f aca="false">IF($S732=0,0,$U732/$S732)</f>
        <v>0</v>
      </c>
      <c r="W732" s="23" t="str">
        <f aca="false">IF($D732="","",IF($T732="","BEKLİYOR",IF(OR($U732=0,$S732=0),"DOĞRU",IF(AND($V732&gt;PazaryeriEksikHakedisEsik,$U732&gt;PazaryeriEksikHakedisTutarEsik),"EKSİK HAKEDİŞ","DOĞRU"))))</f>
        <v/>
      </c>
      <c r="X732" s="23" t="str">
        <f aca="false">IF($B732="","",CONCATENATE("Ürün: ",$B732," | Kâr: ",TEXT($Q732,"₺ #,##0")," | Durum: ",$W732))</f>
        <v/>
      </c>
      <c r="Y732" s="24"/>
    </row>
    <row r="733" customFormat="false" ht="15" hidden="false" customHeight="false" outlineLevel="0" collapsed="false">
      <c r="A733" s="24"/>
      <c r="B733" s="24"/>
      <c r="C733" s="22"/>
      <c r="D733" s="25"/>
      <c r="E733" s="22"/>
      <c r="F733" s="26"/>
      <c r="G733" s="26"/>
      <c r="H733" s="26"/>
      <c r="I733" s="26"/>
      <c r="J733" s="22"/>
      <c r="K733" s="20" t="n">
        <f aca="false">IF($D733="",0,$C733*$D733)</f>
        <v>0</v>
      </c>
      <c r="L733" s="20" t="n">
        <f aca="false">IF($D733="",0,$F733*$K733)</f>
        <v>0</v>
      </c>
      <c r="M733" s="20" t="n">
        <f aca="false">IF($D733="",0,$G733*$K733)</f>
        <v>0</v>
      </c>
      <c r="N733" s="20" t="n">
        <f aca="false">IF($D733="",0,$H733*$K733)</f>
        <v>0</v>
      </c>
      <c r="O733" s="20" t="n">
        <f aca="false">IF($D733="",0,$I733*$K733*(1-$F733))</f>
        <v>0</v>
      </c>
      <c r="P733" s="20" t="n">
        <f aca="false">IF($D733="",0,$E733*$D733+$L733+$M733+$N733+$O733+$J733*$D733)</f>
        <v>0</v>
      </c>
      <c r="Q733" s="20" t="n">
        <f aca="false">IF($D733="",0,$K733-$P733)</f>
        <v>0</v>
      </c>
      <c r="R733" s="21" t="n">
        <f aca="false">IF($K733=0,0,$Q733/$K733)</f>
        <v>0</v>
      </c>
      <c r="S733" s="20" t="n">
        <f aca="false">IF($D733="",0,$K733-$L733-$M733-$N733)</f>
        <v>0</v>
      </c>
      <c r="T733" s="22"/>
      <c r="U733" s="20" t="n">
        <f aca="false">IF($T733="",0,MAX(0,$S733-$T733))</f>
        <v>0</v>
      </c>
      <c r="V733" s="21" t="n">
        <f aca="false">IF($S733=0,0,$U733/$S733)</f>
        <v>0</v>
      </c>
      <c r="W733" s="23" t="str">
        <f aca="false">IF($D733="","",IF($T733="","BEKLİYOR",IF(OR($U733=0,$S733=0),"DOĞRU",IF(AND($V733&gt;PazaryeriEksikHakedisEsik,$U733&gt;PazaryeriEksikHakedisTutarEsik),"EKSİK HAKEDİŞ","DOĞRU"))))</f>
        <v/>
      </c>
      <c r="X733" s="23" t="str">
        <f aca="false">IF($B733="","",CONCATENATE("Ürün: ",$B733," | Kâr: ",TEXT($Q733,"₺ #,##0")," | Durum: ",$W733))</f>
        <v/>
      </c>
      <c r="Y733" s="24"/>
    </row>
    <row r="734" customFormat="false" ht="15" hidden="false" customHeight="false" outlineLevel="0" collapsed="false">
      <c r="A734" s="24"/>
      <c r="B734" s="24"/>
      <c r="C734" s="22"/>
      <c r="D734" s="25"/>
      <c r="E734" s="22"/>
      <c r="F734" s="26"/>
      <c r="G734" s="26"/>
      <c r="H734" s="26"/>
      <c r="I734" s="26"/>
      <c r="J734" s="22"/>
      <c r="K734" s="20" t="n">
        <f aca="false">IF($D734="",0,$C734*$D734)</f>
        <v>0</v>
      </c>
      <c r="L734" s="20" t="n">
        <f aca="false">IF($D734="",0,$F734*$K734)</f>
        <v>0</v>
      </c>
      <c r="M734" s="20" t="n">
        <f aca="false">IF($D734="",0,$G734*$K734)</f>
        <v>0</v>
      </c>
      <c r="N734" s="20" t="n">
        <f aca="false">IF($D734="",0,$H734*$K734)</f>
        <v>0</v>
      </c>
      <c r="O734" s="20" t="n">
        <f aca="false">IF($D734="",0,$I734*$K734*(1-$F734))</f>
        <v>0</v>
      </c>
      <c r="P734" s="20" t="n">
        <f aca="false">IF($D734="",0,$E734*$D734+$L734+$M734+$N734+$O734+$J734*$D734)</f>
        <v>0</v>
      </c>
      <c r="Q734" s="20" t="n">
        <f aca="false">IF($D734="",0,$K734-$P734)</f>
        <v>0</v>
      </c>
      <c r="R734" s="21" t="n">
        <f aca="false">IF($K734=0,0,$Q734/$K734)</f>
        <v>0</v>
      </c>
      <c r="S734" s="20" t="n">
        <f aca="false">IF($D734="",0,$K734-$L734-$M734-$N734)</f>
        <v>0</v>
      </c>
      <c r="T734" s="22"/>
      <c r="U734" s="20" t="n">
        <f aca="false">IF($T734="",0,MAX(0,$S734-$T734))</f>
        <v>0</v>
      </c>
      <c r="V734" s="21" t="n">
        <f aca="false">IF($S734=0,0,$U734/$S734)</f>
        <v>0</v>
      </c>
      <c r="W734" s="23" t="str">
        <f aca="false">IF($D734="","",IF($T734="","BEKLİYOR",IF(OR($U734=0,$S734=0),"DOĞRU",IF(AND($V734&gt;PazaryeriEksikHakedisEsik,$U734&gt;PazaryeriEksikHakedisTutarEsik),"EKSİK HAKEDİŞ","DOĞRU"))))</f>
        <v/>
      </c>
      <c r="X734" s="23" t="str">
        <f aca="false">IF($B734="","",CONCATENATE("Ürün: ",$B734," | Kâr: ",TEXT($Q734,"₺ #,##0")," | Durum: ",$W734))</f>
        <v/>
      </c>
      <c r="Y734" s="24"/>
    </row>
    <row r="735" customFormat="false" ht="15" hidden="false" customHeight="false" outlineLevel="0" collapsed="false">
      <c r="A735" s="24"/>
      <c r="B735" s="24"/>
      <c r="C735" s="22"/>
      <c r="D735" s="25"/>
      <c r="E735" s="22"/>
      <c r="F735" s="26"/>
      <c r="G735" s="26"/>
      <c r="H735" s="26"/>
      <c r="I735" s="26"/>
      <c r="J735" s="22"/>
      <c r="K735" s="20" t="n">
        <f aca="false">IF($D735="",0,$C735*$D735)</f>
        <v>0</v>
      </c>
      <c r="L735" s="20" t="n">
        <f aca="false">IF($D735="",0,$F735*$K735)</f>
        <v>0</v>
      </c>
      <c r="M735" s="20" t="n">
        <f aca="false">IF($D735="",0,$G735*$K735)</f>
        <v>0</v>
      </c>
      <c r="N735" s="20" t="n">
        <f aca="false">IF($D735="",0,$H735*$K735)</f>
        <v>0</v>
      </c>
      <c r="O735" s="20" t="n">
        <f aca="false">IF($D735="",0,$I735*$K735*(1-$F735))</f>
        <v>0</v>
      </c>
      <c r="P735" s="20" t="n">
        <f aca="false">IF($D735="",0,$E735*$D735+$L735+$M735+$N735+$O735+$J735*$D735)</f>
        <v>0</v>
      </c>
      <c r="Q735" s="20" t="n">
        <f aca="false">IF($D735="",0,$K735-$P735)</f>
        <v>0</v>
      </c>
      <c r="R735" s="21" t="n">
        <f aca="false">IF($K735=0,0,$Q735/$K735)</f>
        <v>0</v>
      </c>
      <c r="S735" s="20" t="n">
        <f aca="false">IF($D735="",0,$K735-$L735-$M735-$N735)</f>
        <v>0</v>
      </c>
      <c r="T735" s="22"/>
      <c r="U735" s="20" t="n">
        <f aca="false">IF($T735="",0,MAX(0,$S735-$T735))</f>
        <v>0</v>
      </c>
      <c r="V735" s="21" t="n">
        <f aca="false">IF($S735=0,0,$U735/$S735)</f>
        <v>0</v>
      </c>
      <c r="W735" s="23" t="str">
        <f aca="false">IF($D735="","",IF($T735="","BEKLİYOR",IF(OR($U735=0,$S735=0),"DOĞRU",IF(AND($V735&gt;PazaryeriEksikHakedisEsik,$U735&gt;PazaryeriEksikHakedisTutarEsik),"EKSİK HAKEDİŞ","DOĞRU"))))</f>
        <v/>
      </c>
      <c r="X735" s="23" t="str">
        <f aca="false">IF($B735="","",CONCATENATE("Ürün: ",$B735," | Kâr: ",TEXT($Q735,"₺ #,##0")," | Durum: ",$W735))</f>
        <v/>
      </c>
      <c r="Y735" s="24"/>
    </row>
    <row r="736" customFormat="false" ht="15" hidden="false" customHeight="false" outlineLevel="0" collapsed="false">
      <c r="A736" s="24"/>
      <c r="B736" s="24"/>
      <c r="C736" s="22"/>
      <c r="D736" s="25"/>
      <c r="E736" s="22"/>
      <c r="F736" s="26"/>
      <c r="G736" s="26"/>
      <c r="H736" s="26"/>
      <c r="I736" s="26"/>
      <c r="J736" s="22"/>
      <c r="K736" s="20" t="n">
        <f aca="false">IF($D736="",0,$C736*$D736)</f>
        <v>0</v>
      </c>
      <c r="L736" s="20" t="n">
        <f aca="false">IF($D736="",0,$F736*$K736)</f>
        <v>0</v>
      </c>
      <c r="M736" s="20" t="n">
        <f aca="false">IF($D736="",0,$G736*$K736)</f>
        <v>0</v>
      </c>
      <c r="N736" s="20" t="n">
        <f aca="false">IF($D736="",0,$H736*$K736)</f>
        <v>0</v>
      </c>
      <c r="O736" s="20" t="n">
        <f aca="false">IF($D736="",0,$I736*$K736*(1-$F736))</f>
        <v>0</v>
      </c>
      <c r="P736" s="20" t="n">
        <f aca="false">IF($D736="",0,$E736*$D736+$L736+$M736+$N736+$O736+$J736*$D736)</f>
        <v>0</v>
      </c>
      <c r="Q736" s="20" t="n">
        <f aca="false">IF($D736="",0,$K736-$P736)</f>
        <v>0</v>
      </c>
      <c r="R736" s="21" t="n">
        <f aca="false">IF($K736=0,0,$Q736/$K736)</f>
        <v>0</v>
      </c>
      <c r="S736" s="20" t="n">
        <f aca="false">IF($D736="",0,$K736-$L736-$M736-$N736)</f>
        <v>0</v>
      </c>
      <c r="T736" s="22"/>
      <c r="U736" s="20" t="n">
        <f aca="false">IF($T736="",0,MAX(0,$S736-$T736))</f>
        <v>0</v>
      </c>
      <c r="V736" s="21" t="n">
        <f aca="false">IF($S736=0,0,$U736/$S736)</f>
        <v>0</v>
      </c>
      <c r="W736" s="23" t="str">
        <f aca="false">IF($D736="","",IF($T736="","BEKLİYOR",IF(OR($U736=0,$S736=0),"DOĞRU",IF(AND($V736&gt;PazaryeriEksikHakedisEsik,$U736&gt;PazaryeriEksikHakedisTutarEsik),"EKSİK HAKEDİŞ","DOĞRU"))))</f>
        <v/>
      </c>
      <c r="X736" s="23" t="str">
        <f aca="false">IF($B736="","",CONCATENATE("Ürün: ",$B736," | Kâr: ",TEXT($Q736,"₺ #,##0")," | Durum: ",$W736))</f>
        <v/>
      </c>
      <c r="Y736" s="24"/>
    </row>
    <row r="737" customFormat="false" ht="15" hidden="false" customHeight="false" outlineLevel="0" collapsed="false">
      <c r="A737" s="24"/>
      <c r="B737" s="24"/>
      <c r="C737" s="22"/>
      <c r="D737" s="25"/>
      <c r="E737" s="22"/>
      <c r="F737" s="26"/>
      <c r="G737" s="26"/>
      <c r="H737" s="26"/>
      <c r="I737" s="26"/>
      <c r="J737" s="22"/>
      <c r="K737" s="20" t="n">
        <f aca="false">IF($D737="",0,$C737*$D737)</f>
        <v>0</v>
      </c>
      <c r="L737" s="20" t="n">
        <f aca="false">IF($D737="",0,$F737*$K737)</f>
        <v>0</v>
      </c>
      <c r="M737" s="20" t="n">
        <f aca="false">IF($D737="",0,$G737*$K737)</f>
        <v>0</v>
      </c>
      <c r="N737" s="20" t="n">
        <f aca="false">IF($D737="",0,$H737*$K737)</f>
        <v>0</v>
      </c>
      <c r="O737" s="20" t="n">
        <f aca="false">IF($D737="",0,$I737*$K737*(1-$F737))</f>
        <v>0</v>
      </c>
      <c r="P737" s="20" t="n">
        <f aca="false">IF($D737="",0,$E737*$D737+$L737+$M737+$N737+$O737+$J737*$D737)</f>
        <v>0</v>
      </c>
      <c r="Q737" s="20" t="n">
        <f aca="false">IF($D737="",0,$K737-$P737)</f>
        <v>0</v>
      </c>
      <c r="R737" s="21" t="n">
        <f aca="false">IF($K737=0,0,$Q737/$K737)</f>
        <v>0</v>
      </c>
      <c r="S737" s="20" t="n">
        <f aca="false">IF($D737="",0,$K737-$L737-$M737-$N737)</f>
        <v>0</v>
      </c>
      <c r="T737" s="22"/>
      <c r="U737" s="20" t="n">
        <f aca="false">IF($T737="",0,MAX(0,$S737-$T737))</f>
        <v>0</v>
      </c>
      <c r="V737" s="21" t="n">
        <f aca="false">IF($S737=0,0,$U737/$S737)</f>
        <v>0</v>
      </c>
      <c r="W737" s="23" t="str">
        <f aca="false">IF($D737="","",IF($T737="","BEKLİYOR",IF(OR($U737=0,$S737=0),"DOĞRU",IF(AND($V737&gt;PazaryeriEksikHakedisEsik,$U737&gt;PazaryeriEksikHakedisTutarEsik),"EKSİK HAKEDİŞ","DOĞRU"))))</f>
        <v/>
      </c>
      <c r="X737" s="23" t="str">
        <f aca="false">IF($B737="","",CONCATENATE("Ürün: ",$B737," | Kâr: ",TEXT($Q737,"₺ #,##0")," | Durum: ",$W737))</f>
        <v/>
      </c>
      <c r="Y737" s="24"/>
    </row>
    <row r="738" customFormat="false" ht="15" hidden="false" customHeight="false" outlineLevel="0" collapsed="false">
      <c r="A738" s="24"/>
      <c r="B738" s="24"/>
      <c r="C738" s="22"/>
      <c r="D738" s="25"/>
      <c r="E738" s="22"/>
      <c r="F738" s="26"/>
      <c r="G738" s="26"/>
      <c r="H738" s="26"/>
      <c r="I738" s="26"/>
      <c r="J738" s="22"/>
      <c r="K738" s="20" t="n">
        <f aca="false">IF($D738="",0,$C738*$D738)</f>
        <v>0</v>
      </c>
      <c r="L738" s="20" t="n">
        <f aca="false">IF($D738="",0,$F738*$K738)</f>
        <v>0</v>
      </c>
      <c r="M738" s="20" t="n">
        <f aca="false">IF($D738="",0,$G738*$K738)</f>
        <v>0</v>
      </c>
      <c r="N738" s="20" t="n">
        <f aca="false">IF($D738="",0,$H738*$K738)</f>
        <v>0</v>
      </c>
      <c r="O738" s="20" t="n">
        <f aca="false">IF($D738="",0,$I738*$K738*(1-$F738))</f>
        <v>0</v>
      </c>
      <c r="P738" s="20" t="n">
        <f aca="false">IF($D738="",0,$E738*$D738+$L738+$M738+$N738+$O738+$J738*$D738)</f>
        <v>0</v>
      </c>
      <c r="Q738" s="20" t="n">
        <f aca="false">IF($D738="",0,$K738-$P738)</f>
        <v>0</v>
      </c>
      <c r="R738" s="21" t="n">
        <f aca="false">IF($K738=0,0,$Q738/$K738)</f>
        <v>0</v>
      </c>
      <c r="S738" s="20" t="n">
        <f aca="false">IF($D738="",0,$K738-$L738-$M738-$N738)</f>
        <v>0</v>
      </c>
      <c r="T738" s="22"/>
      <c r="U738" s="20" t="n">
        <f aca="false">IF($T738="",0,MAX(0,$S738-$T738))</f>
        <v>0</v>
      </c>
      <c r="V738" s="21" t="n">
        <f aca="false">IF($S738=0,0,$U738/$S738)</f>
        <v>0</v>
      </c>
      <c r="W738" s="23" t="str">
        <f aca="false">IF($D738="","",IF($T738="","BEKLİYOR",IF(OR($U738=0,$S738=0),"DOĞRU",IF(AND($V738&gt;PazaryeriEksikHakedisEsik,$U738&gt;PazaryeriEksikHakedisTutarEsik),"EKSİK HAKEDİŞ","DOĞRU"))))</f>
        <v/>
      </c>
      <c r="X738" s="23" t="str">
        <f aca="false">IF($B738="","",CONCATENATE("Ürün: ",$B738," | Kâr: ",TEXT($Q738,"₺ #,##0")," | Durum: ",$W738))</f>
        <v/>
      </c>
      <c r="Y738" s="24"/>
    </row>
    <row r="739" customFormat="false" ht="15" hidden="false" customHeight="false" outlineLevel="0" collapsed="false">
      <c r="A739" s="24"/>
      <c r="B739" s="24"/>
      <c r="C739" s="22"/>
      <c r="D739" s="25"/>
      <c r="E739" s="22"/>
      <c r="F739" s="26"/>
      <c r="G739" s="26"/>
      <c r="H739" s="26"/>
      <c r="I739" s="26"/>
      <c r="J739" s="22"/>
      <c r="K739" s="20" t="n">
        <f aca="false">IF($D739="",0,$C739*$D739)</f>
        <v>0</v>
      </c>
      <c r="L739" s="20" t="n">
        <f aca="false">IF($D739="",0,$F739*$K739)</f>
        <v>0</v>
      </c>
      <c r="M739" s="20" t="n">
        <f aca="false">IF($D739="",0,$G739*$K739)</f>
        <v>0</v>
      </c>
      <c r="N739" s="20" t="n">
        <f aca="false">IF($D739="",0,$H739*$K739)</f>
        <v>0</v>
      </c>
      <c r="O739" s="20" t="n">
        <f aca="false">IF($D739="",0,$I739*$K739*(1-$F739))</f>
        <v>0</v>
      </c>
      <c r="P739" s="20" t="n">
        <f aca="false">IF($D739="",0,$E739*$D739+$L739+$M739+$N739+$O739+$J739*$D739)</f>
        <v>0</v>
      </c>
      <c r="Q739" s="20" t="n">
        <f aca="false">IF($D739="",0,$K739-$P739)</f>
        <v>0</v>
      </c>
      <c r="R739" s="21" t="n">
        <f aca="false">IF($K739=0,0,$Q739/$K739)</f>
        <v>0</v>
      </c>
      <c r="S739" s="20" t="n">
        <f aca="false">IF($D739="",0,$K739-$L739-$M739-$N739)</f>
        <v>0</v>
      </c>
      <c r="T739" s="22"/>
      <c r="U739" s="20" t="n">
        <f aca="false">IF($T739="",0,MAX(0,$S739-$T739))</f>
        <v>0</v>
      </c>
      <c r="V739" s="21" t="n">
        <f aca="false">IF($S739=0,0,$U739/$S739)</f>
        <v>0</v>
      </c>
      <c r="W739" s="23" t="str">
        <f aca="false">IF($D739="","",IF($T739="","BEKLİYOR",IF(OR($U739=0,$S739=0),"DOĞRU",IF(AND($V739&gt;PazaryeriEksikHakedisEsik,$U739&gt;PazaryeriEksikHakedisTutarEsik),"EKSİK HAKEDİŞ","DOĞRU"))))</f>
        <v/>
      </c>
      <c r="X739" s="23" t="str">
        <f aca="false">IF($B739="","",CONCATENATE("Ürün: ",$B739," | Kâr: ",TEXT($Q739,"₺ #,##0")," | Durum: ",$W739))</f>
        <v/>
      </c>
      <c r="Y739" s="24"/>
    </row>
    <row r="740" customFormat="false" ht="15" hidden="false" customHeight="false" outlineLevel="0" collapsed="false">
      <c r="A740" s="24"/>
      <c r="B740" s="24"/>
      <c r="C740" s="22"/>
      <c r="D740" s="25"/>
      <c r="E740" s="22"/>
      <c r="F740" s="26"/>
      <c r="G740" s="26"/>
      <c r="H740" s="26"/>
      <c r="I740" s="26"/>
      <c r="J740" s="22"/>
      <c r="K740" s="20" t="n">
        <f aca="false">IF($D740="",0,$C740*$D740)</f>
        <v>0</v>
      </c>
      <c r="L740" s="20" t="n">
        <f aca="false">IF($D740="",0,$F740*$K740)</f>
        <v>0</v>
      </c>
      <c r="M740" s="20" t="n">
        <f aca="false">IF($D740="",0,$G740*$K740)</f>
        <v>0</v>
      </c>
      <c r="N740" s="20" t="n">
        <f aca="false">IF($D740="",0,$H740*$K740)</f>
        <v>0</v>
      </c>
      <c r="O740" s="20" t="n">
        <f aca="false">IF($D740="",0,$I740*$K740*(1-$F740))</f>
        <v>0</v>
      </c>
      <c r="P740" s="20" t="n">
        <f aca="false">IF($D740="",0,$E740*$D740+$L740+$M740+$N740+$O740+$J740*$D740)</f>
        <v>0</v>
      </c>
      <c r="Q740" s="20" t="n">
        <f aca="false">IF($D740="",0,$K740-$P740)</f>
        <v>0</v>
      </c>
      <c r="R740" s="21" t="n">
        <f aca="false">IF($K740=0,0,$Q740/$K740)</f>
        <v>0</v>
      </c>
      <c r="S740" s="20" t="n">
        <f aca="false">IF($D740="",0,$K740-$L740-$M740-$N740)</f>
        <v>0</v>
      </c>
      <c r="T740" s="22"/>
      <c r="U740" s="20" t="n">
        <f aca="false">IF($T740="",0,MAX(0,$S740-$T740))</f>
        <v>0</v>
      </c>
      <c r="V740" s="21" t="n">
        <f aca="false">IF($S740=0,0,$U740/$S740)</f>
        <v>0</v>
      </c>
      <c r="W740" s="23" t="str">
        <f aca="false">IF($D740="","",IF($T740="","BEKLİYOR",IF(OR($U740=0,$S740=0),"DOĞRU",IF(AND($V740&gt;PazaryeriEksikHakedisEsik,$U740&gt;PazaryeriEksikHakedisTutarEsik),"EKSİK HAKEDİŞ","DOĞRU"))))</f>
        <v/>
      </c>
      <c r="X740" s="23" t="str">
        <f aca="false">IF($B740="","",CONCATENATE("Ürün: ",$B740," | Kâr: ",TEXT($Q740,"₺ #,##0")," | Durum: ",$W740))</f>
        <v/>
      </c>
      <c r="Y740" s="24"/>
    </row>
    <row r="741" customFormat="false" ht="15" hidden="false" customHeight="false" outlineLevel="0" collapsed="false">
      <c r="A741" s="24"/>
      <c r="B741" s="24"/>
      <c r="C741" s="22"/>
      <c r="D741" s="25"/>
      <c r="E741" s="22"/>
      <c r="F741" s="26"/>
      <c r="G741" s="26"/>
      <c r="H741" s="26"/>
      <c r="I741" s="26"/>
      <c r="J741" s="22"/>
      <c r="K741" s="20" t="n">
        <f aca="false">IF($D741="",0,$C741*$D741)</f>
        <v>0</v>
      </c>
      <c r="L741" s="20" t="n">
        <f aca="false">IF($D741="",0,$F741*$K741)</f>
        <v>0</v>
      </c>
      <c r="M741" s="20" t="n">
        <f aca="false">IF($D741="",0,$G741*$K741)</f>
        <v>0</v>
      </c>
      <c r="N741" s="20" t="n">
        <f aca="false">IF($D741="",0,$H741*$K741)</f>
        <v>0</v>
      </c>
      <c r="O741" s="20" t="n">
        <f aca="false">IF($D741="",0,$I741*$K741*(1-$F741))</f>
        <v>0</v>
      </c>
      <c r="P741" s="20" t="n">
        <f aca="false">IF($D741="",0,$E741*$D741+$L741+$M741+$N741+$O741+$J741*$D741)</f>
        <v>0</v>
      </c>
      <c r="Q741" s="20" t="n">
        <f aca="false">IF($D741="",0,$K741-$P741)</f>
        <v>0</v>
      </c>
      <c r="R741" s="21" t="n">
        <f aca="false">IF($K741=0,0,$Q741/$K741)</f>
        <v>0</v>
      </c>
      <c r="S741" s="20" t="n">
        <f aca="false">IF($D741="",0,$K741-$L741-$M741-$N741)</f>
        <v>0</v>
      </c>
      <c r="T741" s="22"/>
      <c r="U741" s="20" t="n">
        <f aca="false">IF($T741="",0,MAX(0,$S741-$T741))</f>
        <v>0</v>
      </c>
      <c r="V741" s="21" t="n">
        <f aca="false">IF($S741=0,0,$U741/$S741)</f>
        <v>0</v>
      </c>
      <c r="W741" s="23" t="str">
        <f aca="false">IF($D741="","",IF($T741="","BEKLİYOR",IF(OR($U741=0,$S741=0),"DOĞRU",IF(AND($V741&gt;PazaryeriEksikHakedisEsik,$U741&gt;PazaryeriEksikHakedisTutarEsik),"EKSİK HAKEDİŞ","DOĞRU"))))</f>
        <v/>
      </c>
      <c r="X741" s="23" t="str">
        <f aca="false">IF($B741="","",CONCATENATE("Ürün: ",$B741," | Kâr: ",TEXT($Q741,"₺ #,##0")," | Durum: ",$W741))</f>
        <v/>
      </c>
      <c r="Y741" s="24"/>
    </row>
    <row r="742" customFormat="false" ht="15" hidden="false" customHeight="false" outlineLevel="0" collapsed="false">
      <c r="A742" s="24"/>
      <c r="B742" s="24"/>
      <c r="C742" s="22"/>
      <c r="D742" s="25"/>
      <c r="E742" s="22"/>
      <c r="F742" s="26"/>
      <c r="G742" s="26"/>
      <c r="H742" s="26"/>
      <c r="I742" s="26"/>
      <c r="J742" s="22"/>
      <c r="K742" s="20" t="n">
        <f aca="false">IF($D742="",0,$C742*$D742)</f>
        <v>0</v>
      </c>
      <c r="L742" s="20" t="n">
        <f aca="false">IF($D742="",0,$F742*$K742)</f>
        <v>0</v>
      </c>
      <c r="M742" s="20" t="n">
        <f aca="false">IF($D742="",0,$G742*$K742)</f>
        <v>0</v>
      </c>
      <c r="N742" s="20" t="n">
        <f aca="false">IF($D742="",0,$H742*$K742)</f>
        <v>0</v>
      </c>
      <c r="O742" s="20" t="n">
        <f aca="false">IF($D742="",0,$I742*$K742*(1-$F742))</f>
        <v>0</v>
      </c>
      <c r="P742" s="20" t="n">
        <f aca="false">IF($D742="",0,$E742*$D742+$L742+$M742+$N742+$O742+$J742*$D742)</f>
        <v>0</v>
      </c>
      <c r="Q742" s="20" t="n">
        <f aca="false">IF($D742="",0,$K742-$P742)</f>
        <v>0</v>
      </c>
      <c r="R742" s="21" t="n">
        <f aca="false">IF($K742=0,0,$Q742/$K742)</f>
        <v>0</v>
      </c>
      <c r="S742" s="20" t="n">
        <f aca="false">IF($D742="",0,$K742-$L742-$M742-$N742)</f>
        <v>0</v>
      </c>
      <c r="T742" s="22"/>
      <c r="U742" s="20" t="n">
        <f aca="false">IF($T742="",0,MAX(0,$S742-$T742))</f>
        <v>0</v>
      </c>
      <c r="V742" s="21" t="n">
        <f aca="false">IF($S742=0,0,$U742/$S742)</f>
        <v>0</v>
      </c>
      <c r="W742" s="23" t="str">
        <f aca="false">IF($D742="","",IF($T742="","BEKLİYOR",IF(OR($U742=0,$S742=0),"DOĞRU",IF(AND($V742&gt;PazaryeriEksikHakedisEsik,$U742&gt;PazaryeriEksikHakedisTutarEsik),"EKSİK HAKEDİŞ","DOĞRU"))))</f>
        <v/>
      </c>
      <c r="X742" s="23" t="str">
        <f aca="false">IF($B742="","",CONCATENATE("Ürün: ",$B742," | Kâr: ",TEXT($Q742,"₺ #,##0")," | Durum: ",$W742))</f>
        <v/>
      </c>
      <c r="Y742" s="24"/>
    </row>
    <row r="743" customFormat="false" ht="15" hidden="false" customHeight="false" outlineLevel="0" collapsed="false">
      <c r="A743" s="24"/>
      <c r="B743" s="24"/>
      <c r="C743" s="22"/>
      <c r="D743" s="25"/>
      <c r="E743" s="22"/>
      <c r="F743" s="26"/>
      <c r="G743" s="26"/>
      <c r="H743" s="26"/>
      <c r="I743" s="26"/>
      <c r="J743" s="22"/>
      <c r="K743" s="20" t="n">
        <f aca="false">IF($D743="",0,$C743*$D743)</f>
        <v>0</v>
      </c>
      <c r="L743" s="20" t="n">
        <f aca="false">IF($D743="",0,$F743*$K743)</f>
        <v>0</v>
      </c>
      <c r="M743" s="20" t="n">
        <f aca="false">IF($D743="",0,$G743*$K743)</f>
        <v>0</v>
      </c>
      <c r="N743" s="20" t="n">
        <f aca="false">IF($D743="",0,$H743*$K743)</f>
        <v>0</v>
      </c>
      <c r="O743" s="20" t="n">
        <f aca="false">IF($D743="",0,$I743*$K743*(1-$F743))</f>
        <v>0</v>
      </c>
      <c r="P743" s="20" t="n">
        <f aca="false">IF($D743="",0,$E743*$D743+$L743+$M743+$N743+$O743+$J743*$D743)</f>
        <v>0</v>
      </c>
      <c r="Q743" s="20" t="n">
        <f aca="false">IF($D743="",0,$K743-$P743)</f>
        <v>0</v>
      </c>
      <c r="R743" s="21" t="n">
        <f aca="false">IF($K743=0,0,$Q743/$K743)</f>
        <v>0</v>
      </c>
      <c r="S743" s="20" t="n">
        <f aca="false">IF($D743="",0,$K743-$L743-$M743-$N743)</f>
        <v>0</v>
      </c>
      <c r="T743" s="22"/>
      <c r="U743" s="20" t="n">
        <f aca="false">IF($T743="",0,MAX(0,$S743-$T743))</f>
        <v>0</v>
      </c>
      <c r="V743" s="21" t="n">
        <f aca="false">IF($S743=0,0,$U743/$S743)</f>
        <v>0</v>
      </c>
      <c r="W743" s="23" t="str">
        <f aca="false">IF($D743="","",IF($T743="","BEKLİYOR",IF(OR($U743=0,$S743=0),"DOĞRU",IF(AND($V743&gt;PazaryeriEksikHakedisEsik,$U743&gt;PazaryeriEksikHakedisTutarEsik),"EKSİK HAKEDİŞ","DOĞRU"))))</f>
        <v/>
      </c>
      <c r="X743" s="23" t="str">
        <f aca="false">IF($B743="","",CONCATENATE("Ürün: ",$B743," | Kâr: ",TEXT($Q743,"₺ #,##0")," | Durum: ",$W743))</f>
        <v/>
      </c>
      <c r="Y743" s="24"/>
    </row>
    <row r="744" customFormat="false" ht="15" hidden="false" customHeight="false" outlineLevel="0" collapsed="false">
      <c r="A744" s="24"/>
      <c r="B744" s="24"/>
      <c r="C744" s="22"/>
      <c r="D744" s="25"/>
      <c r="E744" s="22"/>
      <c r="F744" s="26"/>
      <c r="G744" s="26"/>
      <c r="H744" s="26"/>
      <c r="I744" s="26"/>
      <c r="J744" s="22"/>
      <c r="K744" s="20" t="n">
        <f aca="false">IF($D744="",0,$C744*$D744)</f>
        <v>0</v>
      </c>
      <c r="L744" s="20" t="n">
        <f aca="false">IF($D744="",0,$F744*$K744)</f>
        <v>0</v>
      </c>
      <c r="M744" s="20" t="n">
        <f aca="false">IF($D744="",0,$G744*$K744)</f>
        <v>0</v>
      </c>
      <c r="N744" s="20" t="n">
        <f aca="false">IF($D744="",0,$H744*$K744)</f>
        <v>0</v>
      </c>
      <c r="O744" s="20" t="n">
        <f aca="false">IF($D744="",0,$I744*$K744*(1-$F744))</f>
        <v>0</v>
      </c>
      <c r="P744" s="20" t="n">
        <f aca="false">IF($D744="",0,$E744*$D744+$L744+$M744+$N744+$O744+$J744*$D744)</f>
        <v>0</v>
      </c>
      <c r="Q744" s="20" t="n">
        <f aca="false">IF($D744="",0,$K744-$P744)</f>
        <v>0</v>
      </c>
      <c r="R744" s="21" t="n">
        <f aca="false">IF($K744=0,0,$Q744/$K744)</f>
        <v>0</v>
      </c>
      <c r="S744" s="20" t="n">
        <f aca="false">IF($D744="",0,$K744-$L744-$M744-$N744)</f>
        <v>0</v>
      </c>
      <c r="T744" s="22"/>
      <c r="U744" s="20" t="n">
        <f aca="false">IF($T744="",0,MAX(0,$S744-$T744))</f>
        <v>0</v>
      </c>
      <c r="V744" s="21" t="n">
        <f aca="false">IF($S744=0,0,$U744/$S744)</f>
        <v>0</v>
      </c>
      <c r="W744" s="23" t="str">
        <f aca="false">IF($D744="","",IF($T744="","BEKLİYOR",IF(OR($U744=0,$S744=0),"DOĞRU",IF(AND($V744&gt;PazaryeriEksikHakedisEsik,$U744&gt;PazaryeriEksikHakedisTutarEsik),"EKSİK HAKEDİŞ","DOĞRU"))))</f>
        <v/>
      </c>
      <c r="X744" s="23" t="str">
        <f aca="false">IF($B744="","",CONCATENATE("Ürün: ",$B744," | Kâr: ",TEXT($Q744,"₺ #,##0")," | Durum: ",$W744))</f>
        <v/>
      </c>
      <c r="Y744" s="24"/>
    </row>
    <row r="745" customFormat="false" ht="15" hidden="false" customHeight="false" outlineLevel="0" collapsed="false">
      <c r="A745" s="24"/>
      <c r="B745" s="24"/>
      <c r="C745" s="22"/>
      <c r="D745" s="25"/>
      <c r="E745" s="22"/>
      <c r="F745" s="26"/>
      <c r="G745" s="26"/>
      <c r="H745" s="26"/>
      <c r="I745" s="26"/>
      <c r="J745" s="22"/>
      <c r="K745" s="20" t="n">
        <f aca="false">IF($D745="",0,$C745*$D745)</f>
        <v>0</v>
      </c>
      <c r="L745" s="20" t="n">
        <f aca="false">IF($D745="",0,$F745*$K745)</f>
        <v>0</v>
      </c>
      <c r="M745" s="20" t="n">
        <f aca="false">IF($D745="",0,$G745*$K745)</f>
        <v>0</v>
      </c>
      <c r="N745" s="20" t="n">
        <f aca="false">IF($D745="",0,$H745*$K745)</f>
        <v>0</v>
      </c>
      <c r="O745" s="20" t="n">
        <f aca="false">IF($D745="",0,$I745*$K745*(1-$F745))</f>
        <v>0</v>
      </c>
      <c r="P745" s="20" t="n">
        <f aca="false">IF($D745="",0,$E745*$D745+$L745+$M745+$N745+$O745+$J745*$D745)</f>
        <v>0</v>
      </c>
      <c r="Q745" s="20" t="n">
        <f aca="false">IF($D745="",0,$K745-$P745)</f>
        <v>0</v>
      </c>
      <c r="R745" s="21" t="n">
        <f aca="false">IF($K745=0,0,$Q745/$K745)</f>
        <v>0</v>
      </c>
      <c r="S745" s="20" t="n">
        <f aca="false">IF($D745="",0,$K745-$L745-$M745-$N745)</f>
        <v>0</v>
      </c>
      <c r="T745" s="22"/>
      <c r="U745" s="20" t="n">
        <f aca="false">IF($T745="",0,MAX(0,$S745-$T745))</f>
        <v>0</v>
      </c>
      <c r="V745" s="21" t="n">
        <f aca="false">IF($S745=0,0,$U745/$S745)</f>
        <v>0</v>
      </c>
      <c r="W745" s="23" t="str">
        <f aca="false">IF($D745="","",IF($T745="","BEKLİYOR",IF(OR($U745=0,$S745=0),"DOĞRU",IF(AND($V745&gt;PazaryeriEksikHakedisEsik,$U745&gt;PazaryeriEksikHakedisTutarEsik),"EKSİK HAKEDİŞ","DOĞRU"))))</f>
        <v/>
      </c>
      <c r="X745" s="23" t="str">
        <f aca="false">IF($B745="","",CONCATENATE("Ürün: ",$B745," | Kâr: ",TEXT($Q745,"₺ #,##0")," | Durum: ",$W745))</f>
        <v/>
      </c>
      <c r="Y745" s="24"/>
    </row>
    <row r="746" customFormat="false" ht="15" hidden="false" customHeight="false" outlineLevel="0" collapsed="false">
      <c r="A746" s="24"/>
      <c r="B746" s="24"/>
      <c r="C746" s="22"/>
      <c r="D746" s="25"/>
      <c r="E746" s="22"/>
      <c r="F746" s="26"/>
      <c r="G746" s="26"/>
      <c r="H746" s="26"/>
      <c r="I746" s="26"/>
      <c r="J746" s="22"/>
      <c r="K746" s="20" t="n">
        <f aca="false">IF($D746="",0,$C746*$D746)</f>
        <v>0</v>
      </c>
      <c r="L746" s="20" t="n">
        <f aca="false">IF($D746="",0,$F746*$K746)</f>
        <v>0</v>
      </c>
      <c r="M746" s="20" t="n">
        <f aca="false">IF($D746="",0,$G746*$K746)</f>
        <v>0</v>
      </c>
      <c r="N746" s="20" t="n">
        <f aca="false">IF($D746="",0,$H746*$K746)</f>
        <v>0</v>
      </c>
      <c r="O746" s="20" t="n">
        <f aca="false">IF($D746="",0,$I746*$K746*(1-$F746))</f>
        <v>0</v>
      </c>
      <c r="P746" s="20" t="n">
        <f aca="false">IF($D746="",0,$E746*$D746+$L746+$M746+$N746+$O746+$J746*$D746)</f>
        <v>0</v>
      </c>
      <c r="Q746" s="20" t="n">
        <f aca="false">IF($D746="",0,$K746-$P746)</f>
        <v>0</v>
      </c>
      <c r="R746" s="21" t="n">
        <f aca="false">IF($K746=0,0,$Q746/$K746)</f>
        <v>0</v>
      </c>
      <c r="S746" s="20" t="n">
        <f aca="false">IF($D746="",0,$K746-$L746-$M746-$N746)</f>
        <v>0</v>
      </c>
      <c r="T746" s="22"/>
      <c r="U746" s="20" t="n">
        <f aca="false">IF($T746="",0,MAX(0,$S746-$T746))</f>
        <v>0</v>
      </c>
      <c r="V746" s="21" t="n">
        <f aca="false">IF($S746=0,0,$U746/$S746)</f>
        <v>0</v>
      </c>
      <c r="W746" s="23" t="str">
        <f aca="false">IF($D746="","",IF($T746="","BEKLİYOR",IF(OR($U746=0,$S746=0),"DOĞRU",IF(AND($V746&gt;PazaryeriEksikHakedisEsik,$U746&gt;PazaryeriEksikHakedisTutarEsik),"EKSİK HAKEDİŞ","DOĞRU"))))</f>
        <v/>
      </c>
      <c r="X746" s="23" t="str">
        <f aca="false">IF($B746="","",CONCATENATE("Ürün: ",$B746," | Kâr: ",TEXT($Q746,"₺ #,##0")," | Durum: ",$W746))</f>
        <v/>
      </c>
      <c r="Y746" s="24"/>
    </row>
    <row r="747" customFormat="false" ht="15" hidden="false" customHeight="false" outlineLevel="0" collapsed="false">
      <c r="A747" s="24"/>
      <c r="B747" s="24"/>
      <c r="C747" s="22"/>
      <c r="D747" s="25"/>
      <c r="E747" s="22"/>
      <c r="F747" s="26"/>
      <c r="G747" s="26"/>
      <c r="H747" s="26"/>
      <c r="I747" s="26"/>
      <c r="J747" s="22"/>
      <c r="K747" s="20" t="n">
        <f aca="false">IF($D747="",0,$C747*$D747)</f>
        <v>0</v>
      </c>
      <c r="L747" s="20" t="n">
        <f aca="false">IF($D747="",0,$F747*$K747)</f>
        <v>0</v>
      </c>
      <c r="M747" s="20" t="n">
        <f aca="false">IF($D747="",0,$G747*$K747)</f>
        <v>0</v>
      </c>
      <c r="N747" s="20" t="n">
        <f aca="false">IF($D747="",0,$H747*$K747)</f>
        <v>0</v>
      </c>
      <c r="O747" s="20" t="n">
        <f aca="false">IF($D747="",0,$I747*$K747*(1-$F747))</f>
        <v>0</v>
      </c>
      <c r="P747" s="20" t="n">
        <f aca="false">IF($D747="",0,$E747*$D747+$L747+$M747+$N747+$O747+$J747*$D747)</f>
        <v>0</v>
      </c>
      <c r="Q747" s="20" t="n">
        <f aca="false">IF($D747="",0,$K747-$P747)</f>
        <v>0</v>
      </c>
      <c r="R747" s="21" t="n">
        <f aca="false">IF($K747=0,0,$Q747/$K747)</f>
        <v>0</v>
      </c>
      <c r="S747" s="20" t="n">
        <f aca="false">IF($D747="",0,$K747-$L747-$M747-$N747)</f>
        <v>0</v>
      </c>
      <c r="T747" s="22"/>
      <c r="U747" s="20" t="n">
        <f aca="false">IF($T747="",0,MAX(0,$S747-$T747))</f>
        <v>0</v>
      </c>
      <c r="V747" s="21" t="n">
        <f aca="false">IF($S747=0,0,$U747/$S747)</f>
        <v>0</v>
      </c>
      <c r="W747" s="23" t="str">
        <f aca="false">IF($D747="","",IF($T747="","BEKLİYOR",IF(OR($U747=0,$S747=0),"DOĞRU",IF(AND($V747&gt;PazaryeriEksikHakedisEsik,$U747&gt;PazaryeriEksikHakedisTutarEsik),"EKSİK HAKEDİŞ","DOĞRU"))))</f>
        <v/>
      </c>
      <c r="X747" s="23" t="str">
        <f aca="false">IF($B747="","",CONCATENATE("Ürün: ",$B747," | Kâr: ",TEXT($Q747,"₺ #,##0")," | Durum: ",$W747))</f>
        <v/>
      </c>
      <c r="Y747" s="24"/>
    </row>
    <row r="748" customFormat="false" ht="15" hidden="false" customHeight="false" outlineLevel="0" collapsed="false">
      <c r="A748" s="24"/>
      <c r="B748" s="24"/>
      <c r="C748" s="22"/>
      <c r="D748" s="25"/>
      <c r="E748" s="22"/>
      <c r="F748" s="26"/>
      <c r="G748" s="26"/>
      <c r="H748" s="26"/>
      <c r="I748" s="26"/>
      <c r="J748" s="22"/>
      <c r="K748" s="20" t="n">
        <f aca="false">IF($D748="",0,$C748*$D748)</f>
        <v>0</v>
      </c>
      <c r="L748" s="20" t="n">
        <f aca="false">IF($D748="",0,$F748*$K748)</f>
        <v>0</v>
      </c>
      <c r="M748" s="20" t="n">
        <f aca="false">IF($D748="",0,$G748*$K748)</f>
        <v>0</v>
      </c>
      <c r="N748" s="20" t="n">
        <f aca="false">IF($D748="",0,$H748*$K748)</f>
        <v>0</v>
      </c>
      <c r="O748" s="20" t="n">
        <f aca="false">IF($D748="",0,$I748*$K748*(1-$F748))</f>
        <v>0</v>
      </c>
      <c r="P748" s="20" t="n">
        <f aca="false">IF($D748="",0,$E748*$D748+$L748+$M748+$N748+$O748+$J748*$D748)</f>
        <v>0</v>
      </c>
      <c r="Q748" s="20" t="n">
        <f aca="false">IF($D748="",0,$K748-$P748)</f>
        <v>0</v>
      </c>
      <c r="R748" s="21" t="n">
        <f aca="false">IF($K748=0,0,$Q748/$K748)</f>
        <v>0</v>
      </c>
      <c r="S748" s="20" t="n">
        <f aca="false">IF($D748="",0,$K748-$L748-$M748-$N748)</f>
        <v>0</v>
      </c>
      <c r="T748" s="22"/>
      <c r="U748" s="20" t="n">
        <f aca="false">IF($T748="",0,MAX(0,$S748-$T748))</f>
        <v>0</v>
      </c>
      <c r="V748" s="21" t="n">
        <f aca="false">IF($S748=0,0,$U748/$S748)</f>
        <v>0</v>
      </c>
      <c r="W748" s="23" t="str">
        <f aca="false">IF($D748="","",IF($T748="","BEKLİYOR",IF(OR($U748=0,$S748=0),"DOĞRU",IF(AND($V748&gt;PazaryeriEksikHakedisEsik,$U748&gt;PazaryeriEksikHakedisTutarEsik),"EKSİK HAKEDİŞ","DOĞRU"))))</f>
        <v/>
      </c>
      <c r="X748" s="23" t="str">
        <f aca="false">IF($B748="","",CONCATENATE("Ürün: ",$B748," | Kâr: ",TEXT($Q748,"₺ #,##0")," | Durum: ",$W748))</f>
        <v/>
      </c>
      <c r="Y748" s="24"/>
    </row>
    <row r="749" customFormat="false" ht="15" hidden="false" customHeight="false" outlineLevel="0" collapsed="false">
      <c r="A749" s="24"/>
      <c r="B749" s="24"/>
      <c r="C749" s="22"/>
      <c r="D749" s="25"/>
      <c r="E749" s="22"/>
      <c r="F749" s="26"/>
      <c r="G749" s="26"/>
      <c r="H749" s="26"/>
      <c r="I749" s="26"/>
      <c r="J749" s="22"/>
      <c r="K749" s="20" t="n">
        <f aca="false">IF($D749="",0,$C749*$D749)</f>
        <v>0</v>
      </c>
      <c r="L749" s="20" t="n">
        <f aca="false">IF($D749="",0,$F749*$K749)</f>
        <v>0</v>
      </c>
      <c r="M749" s="20" t="n">
        <f aca="false">IF($D749="",0,$G749*$K749)</f>
        <v>0</v>
      </c>
      <c r="N749" s="20" t="n">
        <f aca="false">IF($D749="",0,$H749*$K749)</f>
        <v>0</v>
      </c>
      <c r="O749" s="20" t="n">
        <f aca="false">IF($D749="",0,$I749*$K749*(1-$F749))</f>
        <v>0</v>
      </c>
      <c r="P749" s="20" t="n">
        <f aca="false">IF($D749="",0,$E749*$D749+$L749+$M749+$N749+$O749+$J749*$D749)</f>
        <v>0</v>
      </c>
      <c r="Q749" s="20" t="n">
        <f aca="false">IF($D749="",0,$K749-$P749)</f>
        <v>0</v>
      </c>
      <c r="R749" s="21" t="n">
        <f aca="false">IF($K749=0,0,$Q749/$K749)</f>
        <v>0</v>
      </c>
      <c r="S749" s="20" t="n">
        <f aca="false">IF($D749="",0,$K749-$L749-$M749-$N749)</f>
        <v>0</v>
      </c>
      <c r="T749" s="22"/>
      <c r="U749" s="20" t="n">
        <f aca="false">IF($T749="",0,MAX(0,$S749-$T749))</f>
        <v>0</v>
      </c>
      <c r="V749" s="21" t="n">
        <f aca="false">IF($S749=0,0,$U749/$S749)</f>
        <v>0</v>
      </c>
      <c r="W749" s="23" t="str">
        <f aca="false">IF($D749="","",IF($T749="","BEKLİYOR",IF(OR($U749=0,$S749=0),"DOĞRU",IF(AND($V749&gt;PazaryeriEksikHakedisEsik,$U749&gt;PazaryeriEksikHakedisTutarEsik),"EKSİK HAKEDİŞ","DOĞRU"))))</f>
        <v/>
      </c>
      <c r="X749" s="23" t="str">
        <f aca="false">IF($B749="","",CONCATENATE("Ürün: ",$B749," | Kâr: ",TEXT($Q749,"₺ #,##0")," | Durum: ",$W749))</f>
        <v/>
      </c>
      <c r="Y749" s="24"/>
    </row>
    <row r="750" customFormat="false" ht="15" hidden="false" customHeight="false" outlineLevel="0" collapsed="false">
      <c r="A750" s="24"/>
      <c r="B750" s="24"/>
      <c r="C750" s="22"/>
      <c r="D750" s="25"/>
      <c r="E750" s="22"/>
      <c r="F750" s="26"/>
      <c r="G750" s="26"/>
      <c r="H750" s="26"/>
      <c r="I750" s="26"/>
      <c r="J750" s="22"/>
      <c r="K750" s="20" t="n">
        <f aca="false">IF($D750="",0,$C750*$D750)</f>
        <v>0</v>
      </c>
      <c r="L750" s="20" t="n">
        <f aca="false">IF($D750="",0,$F750*$K750)</f>
        <v>0</v>
      </c>
      <c r="M750" s="20" t="n">
        <f aca="false">IF($D750="",0,$G750*$K750)</f>
        <v>0</v>
      </c>
      <c r="N750" s="20" t="n">
        <f aca="false">IF($D750="",0,$H750*$K750)</f>
        <v>0</v>
      </c>
      <c r="O750" s="20" t="n">
        <f aca="false">IF($D750="",0,$I750*$K750*(1-$F750))</f>
        <v>0</v>
      </c>
      <c r="P750" s="20" t="n">
        <f aca="false">IF($D750="",0,$E750*$D750+$L750+$M750+$N750+$O750+$J750*$D750)</f>
        <v>0</v>
      </c>
      <c r="Q750" s="20" t="n">
        <f aca="false">IF($D750="",0,$K750-$P750)</f>
        <v>0</v>
      </c>
      <c r="R750" s="21" t="n">
        <f aca="false">IF($K750=0,0,$Q750/$K750)</f>
        <v>0</v>
      </c>
      <c r="S750" s="20" t="n">
        <f aca="false">IF($D750="",0,$K750-$L750-$M750-$N750)</f>
        <v>0</v>
      </c>
      <c r="T750" s="22"/>
      <c r="U750" s="20" t="n">
        <f aca="false">IF($T750="",0,MAX(0,$S750-$T750))</f>
        <v>0</v>
      </c>
      <c r="V750" s="21" t="n">
        <f aca="false">IF($S750=0,0,$U750/$S750)</f>
        <v>0</v>
      </c>
      <c r="W750" s="23" t="str">
        <f aca="false">IF($D750="","",IF($T750="","BEKLİYOR",IF(OR($U750=0,$S750=0),"DOĞRU",IF(AND($V750&gt;PazaryeriEksikHakedisEsik,$U750&gt;PazaryeriEksikHakedisTutarEsik),"EKSİK HAKEDİŞ","DOĞRU"))))</f>
        <v/>
      </c>
      <c r="X750" s="23" t="str">
        <f aca="false">IF($B750="","",CONCATENATE("Ürün: ",$B750," | Kâr: ",TEXT($Q750,"₺ #,##0")," | Durum: ",$W750))</f>
        <v/>
      </c>
      <c r="Y750" s="24"/>
    </row>
    <row r="751" customFormat="false" ht="15" hidden="false" customHeight="false" outlineLevel="0" collapsed="false">
      <c r="A751" s="24"/>
      <c r="B751" s="24"/>
      <c r="C751" s="22"/>
      <c r="D751" s="25"/>
      <c r="E751" s="22"/>
      <c r="F751" s="26"/>
      <c r="G751" s="26"/>
      <c r="H751" s="26"/>
      <c r="I751" s="26"/>
      <c r="J751" s="22"/>
      <c r="K751" s="20" t="n">
        <f aca="false">IF($D751="",0,$C751*$D751)</f>
        <v>0</v>
      </c>
      <c r="L751" s="20" t="n">
        <f aca="false">IF($D751="",0,$F751*$K751)</f>
        <v>0</v>
      </c>
      <c r="M751" s="20" t="n">
        <f aca="false">IF($D751="",0,$G751*$K751)</f>
        <v>0</v>
      </c>
      <c r="N751" s="20" t="n">
        <f aca="false">IF($D751="",0,$H751*$K751)</f>
        <v>0</v>
      </c>
      <c r="O751" s="20" t="n">
        <f aca="false">IF($D751="",0,$I751*$K751*(1-$F751))</f>
        <v>0</v>
      </c>
      <c r="P751" s="20" t="n">
        <f aca="false">IF($D751="",0,$E751*$D751+$L751+$M751+$N751+$O751+$J751*$D751)</f>
        <v>0</v>
      </c>
      <c r="Q751" s="20" t="n">
        <f aca="false">IF($D751="",0,$K751-$P751)</f>
        <v>0</v>
      </c>
      <c r="R751" s="21" t="n">
        <f aca="false">IF($K751=0,0,$Q751/$K751)</f>
        <v>0</v>
      </c>
      <c r="S751" s="20" t="n">
        <f aca="false">IF($D751="",0,$K751-$L751-$M751-$N751)</f>
        <v>0</v>
      </c>
      <c r="T751" s="22"/>
      <c r="U751" s="20" t="n">
        <f aca="false">IF($T751="",0,MAX(0,$S751-$T751))</f>
        <v>0</v>
      </c>
      <c r="V751" s="21" t="n">
        <f aca="false">IF($S751=0,0,$U751/$S751)</f>
        <v>0</v>
      </c>
      <c r="W751" s="23" t="str">
        <f aca="false">IF($D751="","",IF($T751="","BEKLİYOR",IF(OR($U751=0,$S751=0),"DOĞRU",IF(AND($V751&gt;PazaryeriEksikHakedisEsik,$U751&gt;PazaryeriEksikHakedisTutarEsik),"EKSİK HAKEDİŞ","DOĞRU"))))</f>
        <v/>
      </c>
      <c r="X751" s="23" t="str">
        <f aca="false">IF($B751="","",CONCATENATE("Ürün: ",$B751," | Kâr: ",TEXT($Q751,"₺ #,##0")," | Durum: ",$W751))</f>
        <v/>
      </c>
      <c r="Y751" s="24"/>
    </row>
    <row r="752" customFormat="false" ht="15" hidden="false" customHeight="false" outlineLevel="0" collapsed="false">
      <c r="A752" s="24"/>
      <c r="B752" s="24"/>
      <c r="C752" s="22"/>
      <c r="D752" s="25"/>
      <c r="E752" s="22"/>
      <c r="F752" s="26"/>
      <c r="G752" s="26"/>
      <c r="H752" s="26"/>
      <c r="I752" s="26"/>
      <c r="J752" s="22"/>
      <c r="K752" s="20" t="n">
        <f aca="false">IF($D752="",0,$C752*$D752)</f>
        <v>0</v>
      </c>
      <c r="L752" s="20" t="n">
        <f aca="false">IF($D752="",0,$F752*$K752)</f>
        <v>0</v>
      </c>
      <c r="M752" s="20" t="n">
        <f aca="false">IF($D752="",0,$G752*$K752)</f>
        <v>0</v>
      </c>
      <c r="N752" s="20" t="n">
        <f aca="false">IF($D752="",0,$H752*$K752)</f>
        <v>0</v>
      </c>
      <c r="O752" s="20" t="n">
        <f aca="false">IF($D752="",0,$I752*$K752*(1-$F752))</f>
        <v>0</v>
      </c>
      <c r="P752" s="20" t="n">
        <f aca="false">IF($D752="",0,$E752*$D752+$L752+$M752+$N752+$O752+$J752*$D752)</f>
        <v>0</v>
      </c>
      <c r="Q752" s="20" t="n">
        <f aca="false">IF($D752="",0,$K752-$P752)</f>
        <v>0</v>
      </c>
      <c r="R752" s="21" t="n">
        <f aca="false">IF($K752=0,0,$Q752/$K752)</f>
        <v>0</v>
      </c>
      <c r="S752" s="20" t="n">
        <f aca="false">IF($D752="",0,$K752-$L752-$M752-$N752)</f>
        <v>0</v>
      </c>
      <c r="T752" s="22"/>
      <c r="U752" s="20" t="n">
        <f aca="false">IF($T752="",0,MAX(0,$S752-$T752))</f>
        <v>0</v>
      </c>
      <c r="V752" s="21" t="n">
        <f aca="false">IF($S752=0,0,$U752/$S752)</f>
        <v>0</v>
      </c>
      <c r="W752" s="23" t="str">
        <f aca="false">IF($D752="","",IF($T752="","BEKLİYOR",IF(OR($U752=0,$S752=0),"DOĞRU",IF(AND($V752&gt;PazaryeriEksikHakedisEsik,$U752&gt;PazaryeriEksikHakedisTutarEsik),"EKSİK HAKEDİŞ","DOĞRU"))))</f>
        <v/>
      </c>
      <c r="X752" s="23" t="str">
        <f aca="false">IF($B752="","",CONCATENATE("Ürün: ",$B752," | Kâr: ",TEXT($Q752,"₺ #,##0")," | Durum: ",$W752))</f>
        <v/>
      </c>
      <c r="Y752" s="24"/>
    </row>
    <row r="753" customFormat="false" ht="15" hidden="false" customHeight="false" outlineLevel="0" collapsed="false">
      <c r="A753" s="24"/>
      <c r="B753" s="24"/>
      <c r="C753" s="22"/>
      <c r="D753" s="25"/>
      <c r="E753" s="22"/>
      <c r="F753" s="26"/>
      <c r="G753" s="26"/>
      <c r="H753" s="26"/>
      <c r="I753" s="26"/>
      <c r="J753" s="22"/>
      <c r="K753" s="20" t="n">
        <f aca="false">IF($D753="",0,$C753*$D753)</f>
        <v>0</v>
      </c>
      <c r="L753" s="20" t="n">
        <f aca="false">IF($D753="",0,$F753*$K753)</f>
        <v>0</v>
      </c>
      <c r="M753" s="20" t="n">
        <f aca="false">IF($D753="",0,$G753*$K753)</f>
        <v>0</v>
      </c>
      <c r="N753" s="20" t="n">
        <f aca="false">IF($D753="",0,$H753*$K753)</f>
        <v>0</v>
      </c>
      <c r="O753" s="20" t="n">
        <f aca="false">IF($D753="",0,$I753*$K753*(1-$F753))</f>
        <v>0</v>
      </c>
      <c r="P753" s="20" t="n">
        <f aca="false">IF($D753="",0,$E753*$D753+$L753+$M753+$N753+$O753+$J753*$D753)</f>
        <v>0</v>
      </c>
      <c r="Q753" s="20" t="n">
        <f aca="false">IF($D753="",0,$K753-$P753)</f>
        <v>0</v>
      </c>
      <c r="R753" s="21" t="n">
        <f aca="false">IF($K753=0,0,$Q753/$K753)</f>
        <v>0</v>
      </c>
      <c r="S753" s="20" t="n">
        <f aca="false">IF($D753="",0,$K753-$L753-$M753-$N753)</f>
        <v>0</v>
      </c>
      <c r="T753" s="22"/>
      <c r="U753" s="20" t="n">
        <f aca="false">IF($T753="",0,MAX(0,$S753-$T753))</f>
        <v>0</v>
      </c>
      <c r="V753" s="21" t="n">
        <f aca="false">IF($S753=0,0,$U753/$S753)</f>
        <v>0</v>
      </c>
      <c r="W753" s="23" t="str">
        <f aca="false">IF($D753="","",IF($T753="","BEKLİYOR",IF(OR($U753=0,$S753=0),"DOĞRU",IF(AND($V753&gt;PazaryeriEksikHakedisEsik,$U753&gt;PazaryeriEksikHakedisTutarEsik),"EKSİK HAKEDİŞ","DOĞRU"))))</f>
        <v/>
      </c>
      <c r="X753" s="23" t="str">
        <f aca="false">IF($B753="","",CONCATENATE("Ürün: ",$B753," | Kâr: ",TEXT($Q753,"₺ #,##0")," | Durum: ",$W753))</f>
        <v/>
      </c>
      <c r="Y753" s="24"/>
    </row>
    <row r="754" customFormat="false" ht="15" hidden="false" customHeight="false" outlineLevel="0" collapsed="false">
      <c r="A754" s="24"/>
      <c r="B754" s="24"/>
      <c r="C754" s="22"/>
      <c r="D754" s="25"/>
      <c r="E754" s="22"/>
      <c r="F754" s="26"/>
      <c r="G754" s="26"/>
      <c r="H754" s="26"/>
      <c r="I754" s="26"/>
      <c r="J754" s="22"/>
      <c r="K754" s="20" t="n">
        <f aca="false">IF($D754="",0,$C754*$D754)</f>
        <v>0</v>
      </c>
      <c r="L754" s="20" t="n">
        <f aca="false">IF($D754="",0,$F754*$K754)</f>
        <v>0</v>
      </c>
      <c r="M754" s="20" t="n">
        <f aca="false">IF($D754="",0,$G754*$K754)</f>
        <v>0</v>
      </c>
      <c r="N754" s="20" t="n">
        <f aca="false">IF($D754="",0,$H754*$K754)</f>
        <v>0</v>
      </c>
      <c r="O754" s="20" t="n">
        <f aca="false">IF($D754="",0,$I754*$K754*(1-$F754))</f>
        <v>0</v>
      </c>
      <c r="P754" s="20" t="n">
        <f aca="false">IF($D754="",0,$E754*$D754+$L754+$M754+$N754+$O754+$J754*$D754)</f>
        <v>0</v>
      </c>
      <c r="Q754" s="20" t="n">
        <f aca="false">IF($D754="",0,$K754-$P754)</f>
        <v>0</v>
      </c>
      <c r="R754" s="21" t="n">
        <f aca="false">IF($K754=0,0,$Q754/$K754)</f>
        <v>0</v>
      </c>
      <c r="S754" s="20" t="n">
        <f aca="false">IF($D754="",0,$K754-$L754-$M754-$N754)</f>
        <v>0</v>
      </c>
      <c r="T754" s="22"/>
      <c r="U754" s="20" t="n">
        <f aca="false">IF($T754="",0,MAX(0,$S754-$T754))</f>
        <v>0</v>
      </c>
      <c r="V754" s="21" t="n">
        <f aca="false">IF($S754=0,0,$U754/$S754)</f>
        <v>0</v>
      </c>
      <c r="W754" s="23" t="str">
        <f aca="false">IF($D754="","",IF($T754="","BEKLİYOR",IF(OR($U754=0,$S754=0),"DOĞRU",IF(AND($V754&gt;PazaryeriEksikHakedisEsik,$U754&gt;PazaryeriEksikHakedisTutarEsik),"EKSİK HAKEDİŞ","DOĞRU"))))</f>
        <v/>
      </c>
      <c r="X754" s="23" t="str">
        <f aca="false">IF($B754="","",CONCATENATE("Ürün: ",$B754," | Kâr: ",TEXT($Q754,"₺ #,##0")," | Durum: ",$W754))</f>
        <v/>
      </c>
      <c r="Y754" s="24"/>
    </row>
    <row r="755" customFormat="false" ht="15" hidden="false" customHeight="false" outlineLevel="0" collapsed="false">
      <c r="A755" s="24"/>
      <c r="B755" s="24"/>
      <c r="C755" s="22"/>
      <c r="D755" s="25"/>
      <c r="E755" s="22"/>
      <c r="F755" s="26"/>
      <c r="G755" s="26"/>
      <c r="H755" s="26"/>
      <c r="I755" s="26"/>
      <c r="J755" s="22"/>
      <c r="K755" s="20" t="n">
        <f aca="false">IF($D755="",0,$C755*$D755)</f>
        <v>0</v>
      </c>
      <c r="L755" s="20" t="n">
        <f aca="false">IF($D755="",0,$F755*$K755)</f>
        <v>0</v>
      </c>
      <c r="M755" s="20" t="n">
        <f aca="false">IF($D755="",0,$G755*$K755)</f>
        <v>0</v>
      </c>
      <c r="N755" s="20" t="n">
        <f aca="false">IF($D755="",0,$H755*$K755)</f>
        <v>0</v>
      </c>
      <c r="O755" s="20" t="n">
        <f aca="false">IF($D755="",0,$I755*$K755*(1-$F755))</f>
        <v>0</v>
      </c>
      <c r="P755" s="20" t="n">
        <f aca="false">IF($D755="",0,$E755*$D755+$L755+$M755+$N755+$O755+$J755*$D755)</f>
        <v>0</v>
      </c>
      <c r="Q755" s="20" t="n">
        <f aca="false">IF($D755="",0,$K755-$P755)</f>
        <v>0</v>
      </c>
      <c r="R755" s="21" t="n">
        <f aca="false">IF($K755=0,0,$Q755/$K755)</f>
        <v>0</v>
      </c>
      <c r="S755" s="20" t="n">
        <f aca="false">IF($D755="",0,$K755-$L755-$M755-$N755)</f>
        <v>0</v>
      </c>
      <c r="T755" s="22"/>
      <c r="U755" s="20" t="n">
        <f aca="false">IF($T755="",0,MAX(0,$S755-$T755))</f>
        <v>0</v>
      </c>
      <c r="V755" s="21" t="n">
        <f aca="false">IF($S755=0,0,$U755/$S755)</f>
        <v>0</v>
      </c>
      <c r="W755" s="23" t="str">
        <f aca="false">IF($D755="","",IF($T755="","BEKLİYOR",IF(OR($U755=0,$S755=0),"DOĞRU",IF(AND($V755&gt;PazaryeriEksikHakedisEsik,$U755&gt;PazaryeriEksikHakedisTutarEsik),"EKSİK HAKEDİŞ","DOĞRU"))))</f>
        <v/>
      </c>
      <c r="X755" s="23" t="str">
        <f aca="false">IF($B755="","",CONCATENATE("Ürün: ",$B755," | Kâr: ",TEXT($Q755,"₺ #,##0")," | Durum: ",$W755))</f>
        <v/>
      </c>
      <c r="Y755" s="24"/>
    </row>
    <row r="756" customFormat="false" ht="15" hidden="false" customHeight="false" outlineLevel="0" collapsed="false">
      <c r="A756" s="24"/>
      <c r="B756" s="24"/>
      <c r="C756" s="22"/>
      <c r="D756" s="25"/>
      <c r="E756" s="22"/>
      <c r="F756" s="26"/>
      <c r="G756" s="26"/>
      <c r="H756" s="26"/>
      <c r="I756" s="26"/>
      <c r="J756" s="22"/>
      <c r="K756" s="20" t="n">
        <f aca="false">IF($D756="",0,$C756*$D756)</f>
        <v>0</v>
      </c>
      <c r="L756" s="20" t="n">
        <f aca="false">IF($D756="",0,$F756*$K756)</f>
        <v>0</v>
      </c>
      <c r="M756" s="20" t="n">
        <f aca="false">IF($D756="",0,$G756*$K756)</f>
        <v>0</v>
      </c>
      <c r="N756" s="20" t="n">
        <f aca="false">IF($D756="",0,$H756*$K756)</f>
        <v>0</v>
      </c>
      <c r="O756" s="20" t="n">
        <f aca="false">IF($D756="",0,$I756*$K756*(1-$F756))</f>
        <v>0</v>
      </c>
      <c r="P756" s="20" t="n">
        <f aca="false">IF($D756="",0,$E756*$D756+$L756+$M756+$N756+$O756+$J756*$D756)</f>
        <v>0</v>
      </c>
      <c r="Q756" s="20" t="n">
        <f aca="false">IF($D756="",0,$K756-$P756)</f>
        <v>0</v>
      </c>
      <c r="R756" s="21" t="n">
        <f aca="false">IF($K756=0,0,$Q756/$K756)</f>
        <v>0</v>
      </c>
      <c r="S756" s="20" t="n">
        <f aca="false">IF($D756="",0,$K756-$L756-$M756-$N756)</f>
        <v>0</v>
      </c>
      <c r="T756" s="22"/>
      <c r="U756" s="20" t="n">
        <f aca="false">IF($T756="",0,MAX(0,$S756-$T756))</f>
        <v>0</v>
      </c>
      <c r="V756" s="21" t="n">
        <f aca="false">IF($S756=0,0,$U756/$S756)</f>
        <v>0</v>
      </c>
      <c r="W756" s="23" t="str">
        <f aca="false">IF($D756="","",IF($T756="","BEKLİYOR",IF(OR($U756=0,$S756=0),"DOĞRU",IF(AND($V756&gt;PazaryeriEksikHakedisEsik,$U756&gt;PazaryeriEksikHakedisTutarEsik),"EKSİK HAKEDİŞ","DOĞRU"))))</f>
        <v/>
      </c>
      <c r="X756" s="23" t="str">
        <f aca="false">IF($B756="","",CONCATENATE("Ürün: ",$B756," | Kâr: ",TEXT($Q756,"₺ #,##0")," | Durum: ",$W756))</f>
        <v/>
      </c>
      <c r="Y756" s="24"/>
    </row>
    <row r="757" customFormat="false" ht="15" hidden="false" customHeight="false" outlineLevel="0" collapsed="false">
      <c r="A757" s="24"/>
      <c r="B757" s="24"/>
      <c r="C757" s="22"/>
      <c r="D757" s="25"/>
      <c r="E757" s="22"/>
      <c r="F757" s="26"/>
      <c r="G757" s="26"/>
      <c r="H757" s="26"/>
      <c r="I757" s="26"/>
      <c r="J757" s="22"/>
      <c r="K757" s="20" t="n">
        <f aca="false">IF($D757="",0,$C757*$D757)</f>
        <v>0</v>
      </c>
      <c r="L757" s="20" t="n">
        <f aca="false">IF($D757="",0,$F757*$K757)</f>
        <v>0</v>
      </c>
      <c r="M757" s="20" t="n">
        <f aca="false">IF($D757="",0,$G757*$K757)</f>
        <v>0</v>
      </c>
      <c r="N757" s="20" t="n">
        <f aca="false">IF($D757="",0,$H757*$K757)</f>
        <v>0</v>
      </c>
      <c r="O757" s="20" t="n">
        <f aca="false">IF($D757="",0,$I757*$K757*(1-$F757))</f>
        <v>0</v>
      </c>
      <c r="P757" s="20" t="n">
        <f aca="false">IF($D757="",0,$E757*$D757+$L757+$M757+$N757+$O757+$J757*$D757)</f>
        <v>0</v>
      </c>
      <c r="Q757" s="20" t="n">
        <f aca="false">IF($D757="",0,$K757-$P757)</f>
        <v>0</v>
      </c>
      <c r="R757" s="21" t="n">
        <f aca="false">IF($K757=0,0,$Q757/$K757)</f>
        <v>0</v>
      </c>
      <c r="S757" s="20" t="n">
        <f aca="false">IF($D757="",0,$K757-$L757-$M757-$N757)</f>
        <v>0</v>
      </c>
      <c r="T757" s="22"/>
      <c r="U757" s="20" t="n">
        <f aca="false">IF($T757="",0,MAX(0,$S757-$T757))</f>
        <v>0</v>
      </c>
      <c r="V757" s="21" t="n">
        <f aca="false">IF($S757=0,0,$U757/$S757)</f>
        <v>0</v>
      </c>
      <c r="W757" s="23" t="str">
        <f aca="false">IF($D757="","",IF($T757="","BEKLİYOR",IF(OR($U757=0,$S757=0),"DOĞRU",IF(AND($V757&gt;PazaryeriEksikHakedisEsik,$U757&gt;PazaryeriEksikHakedisTutarEsik),"EKSİK HAKEDİŞ","DOĞRU"))))</f>
        <v/>
      </c>
      <c r="X757" s="23" t="str">
        <f aca="false">IF($B757="","",CONCATENATE("Ürün: ",$B757," | Kâr: ",TEXT($Q757,"₺ #,##0")," | Durum: ",$W757))</f>
        <v/>
      </c>
      <c r="Y757" s="24"/>
    </row>
    <row r="758" customFormat="false" ht="15" hidden="false" customHeight="false" outlineLevel="0" collapsed="false">
      <c r="A758" s="24"/>
      <c r="B758" s="24"/>
      <c r="C758" s="22"/>
      <c r="D758" s="25"/>
      <c r="E758" s="22"/>
      <c r="F758" s="26"/>
      <c r="G758" s="26"/>
      <c r="H758" s="26"/>
      <c r="I758" s="26"/>
      <c r="J758" s="22"/>
      <c r="K758" s="20" t="n">
        <f aca="false">IF($D758="",0,$C758*$D758)</f>
        <v>0</v>
      </c>
      <c r="L758" s="20" t="n">
        <f aca="false">IF($D758="",0,$F758*$K758)</f>
        <v>0</v>
      </c>
      <c r="M758" s="20" t="n">
        <f aca="false">IF($D758="",0,$G758*$K758)</f>
        <v>0</v>
      </c>
      <c r="N758" s="20" t="n">
        <f aca="false">IF($D758="",0,$H758*$K758)</f>
        <v>0</v>
      </c>
      <c r="O758" s="20" t="n">
        <f aca="false">IF($D758="",0,$I758*$K758*(1-$F758))</f>
        <v>0</v>
      </c>
      <c r="P758" s="20" t="n">
        <f aca="false">IF($D758="",0,$E758*$D758+$L758+$M758+$N758+$O758+$J758*$D758)</f>
        <v>0</v>
      </c>
      <c r="Q758" s="20" t="n">
        <f aca="false">IF($D758="",0,$K758-$P758)</f>
        <v>0</v>
      </c>
      <c r="R758" s="21" t="n">
        <f aca="false">IF($K758=0,0,$Q758/$K758)</f>
        <v>0</v>
      </c>
      <c r="S758" s="20" t="n">
        <f aca="false">IF($D758="",0,$K758-$L758-$M758-$N758)</f>
        <v>0</v>
      </c>
      <c r="T758" s="22"/>
      <c r="U758" s="20" t="n">
        <f aca="false">IF($T758="",0,MAX(0,$S758-$T758))</f>
        <v>0</v>
      </c>
      <c r="V758" s="21" t="n">
        <f aca="false">IF($S758=0,0,$U758/$S758)</f>
        <v>0</v>
      </c>
      <c r="W758" s="23" t="str">
        <f aca="false">IF($D758="","",IF($T758="","BEKLİYOR",IF(OR($U758=0,$S758=0),"DOĞRU",IF(AND($V758&gt;PazaryeriEksikHakedisEsik,$U758&gt;PazaryeriEksikHakedisTutarEsik),"EKSİK HAKEDİŞ","DOĞRU"))))</f>
        <v/>
      </c>
      <c r="X758" s="23" t="str">
        <f aca="false">IF($B758="","",CONCATENATE("Ürün: ",$B758," | Kâr: ",TEXT($Q758,"₺ #,##0")," | Durum: ",$W758))</f>
        <v/>
      </c>
      <c r="Y758" s="24"/>
    </row>
    <row r="759" customFormat="false" ht="15" hidden="false" customHeight="false" outlineLevel="0" collapsed="false">
      <c r="A759" s="24"/>
      <c r="B759" s="24"/>
      <c r="C759" s="22"/>
      <c r="D759" s="25"/>
      <c r="E759" s="22"/>
      <c r="F759" s="26"/>
      <c r="G759" s="26"/>
      <c r="H759" s="26"/>
      <c r="I759" s="26"/>
      <c r="J759" s="22"/>
      <c r="K759" s="20" t="n">
        <f aca="false">IF($D759="",0,$C759*$D759)</f>
        <v>0</v>
      </c>
      <c r="L759" s="20" t="n">
        <f aca="false">IF($D759="",0,$F759*$K759)</f>
        <v>0</v>
      </c>
      <c r="M759" s="20" t="n">
        <f aca="false">IF($D759="",0,$G759*$K759)</f>
        <v>0</v>
      </c>
      <c r="N759" s="20" t="n">
        <f aca="false">IF($D759="",0,$H759*$K759)</f>
        <v>0</v>
      </c>
      <c r="O759" s="20" t="n">
        <f aca="false">IF($D759="",0,$I759*$K759*(1-$F759))</f>
        <v>0</v>
      </c>
      <c r="P759" s="20" t="n">
        <f aca="false">IF($D759="",0,$E759*$D759+$L759+$M759+$N759+$O759+$J759*$D759)</f>
        <v>0</v>
      </c>
      <c r="Q759" s="20" t="n">
        <f aca="false">IF($D759="",0,$K759-$P759)</f>
        <v>0</v>
      </c>
      <c r="R759" s="21" t="n">
        <f aca="false">IF($K759=0,0,$Q759/$K759)</f>
        <v>0</v>
      </c>
      <c r="S759" s="20" t="n">
        <f aca="false">IF($D759="",0,$K759-$L759-$M759-$N759)</f>
        <v>0</v>
      </c>
      <c r="T759" s="22"/>
      <c r="U759" s="20" t="n">
        <f aca="false">IF($T759="",0,MAX(0,$S759-$T759))</f>
        <v>0</v>
      </c>
      <c r="V759" s="21" t="n">
        <f aca="false">IF($S759=0,0,$U759/$S759)</f>
        <v>0</v>
      </c>
      <c r="W759" s="23" t="str">
        <f aca="false">IF($D759="","",IF($T759="","BEKLİYOR",IF(OR($U759=0,$S759=0),"DOĞRU",IF(AND($V759&gt;PazaryeriEksikHakedisEsik,$U759&gt;PazaryeriEksikHakedisTutarEsik),"EKSİK HAKEDİŞ","DOĞRU"))))</f>
        <v/>
      </c>
      <c r="X759" s="23" t="str">
        <f aca="false">IF($B759="","",CONCATENATE("Ürün: ",$B759," | Kâr: ",TEXT($Q759,"₺ #,##0")," | Durum: ",$W759))</f>
        <v/>
      </c>
      <c r="Y759" s="24"/>
    </row>
    <row r="760" customFormat="false" ht="15" hidden="false" customHeight="false" outlineLevel="0" collapsed="false">
      <c r="A760" s="24"/>
      <c r="B760" s="24"/>
      <c r="C760" s="22"/>
      <c r="D760" s="25"/>
      <c r="E760" s="22"/>
      <c r="F760" s="26"/>
      <c r="G760" s="26"/>
      <c r="H760" s="26"/>
      <c r="I760" s="26"/>
      <c r="J760" s="22"/>
      <c r="K760" s="20" t="n">
        <f aca="false">IF($D760="",0,$C760*$D760)</f>
        <v>0</v>
      </c>
      <c r="L760" s="20" t="n">
        <f aca="false">IF($D760="",0,$F760*$K760)</f>
        <v>0</v>
      </c>
      <c r="M760" s="20" t="n">
        <f aca="false">IF($D760="",0,$G760*$K760)</f>
        <v>0</v>
      </c>
      <c r="N760" s="20" t="n">
        <f aca="false">IF($D760="",0,$H760*$K760)</f>
        <v>0</v>
      </c>
      <c r="O760" s="20" t="n">
        <f aca="false">IF($D760="",0,$I760*$K760*(1-$F760))</f>
        <v>0</v>
      </c>
      <c r="P760" s="20" t="n">
        <f aca="false">IF($D760="",0,$E760*$D760+$L760+$M760+$N760+$O760+$J760*$D760)</f>
        <v>0</v>
      </c>
      <c r="Q760" s="20" t="n">
        <f aca="false">IF($D760="",0,$K760-$P760)</f>
        <v>0</v>
      </c>
      <c r="R760" s="21" t="n">
        <f aca="false">IF($K760=0,0,$Q760/$K760)</f>
        <v>0</v>
      </c>
      <c r="S760" s="20" t="n">
        <f aca="false">IF($D760="",0,$K760-$L760-$M760-$N760)</f>
        <v>0</v>
      </c>
      <c r="T760" s="22"/>
      <c r="U760" s="20" t="n">
        <f aca="false">IF($T760="",0,MAX(0,$S760-$T760))</f>
        <v>0</v>
      </c>
      <c r="V760" s="21" t="n">
        <f aca="false">IF($S760=0,0,$U760/$S760)</f>
        <v>0</v>
      </c>
      <c r="W760" s="23" t="str">
        <f aca="false">IF($D760="","",IF($T760="","BEKLİYOR",IF(OR($U760=0,$S760=0),"DOĞRU",IF(AND($V760&gt;PazaryeriEksikHakedisEsik,$U760&gt;PazaryeriEksikHakedisTutarEsik),"EKSİK HAKEDİŞ","DOĞRU"))))</f>
        <v/>
      </c>
      <c r="X760" s="23" t="str">
        <f aca="false">IF($B760="","",CONCATENATE("Ürün: ",$B760," | Kâr: ",TEXT($Q760,"₺ #,##0")," | Durum: ",$W760))</f>
        <v/>
      </c>
      <c r="Y760" s="24"/>
    </row>
    <row r="761" customFormat="false" ht="15" hidden="false" customHeight="false" outlineLevel="0" collapsed="false">
      <c r="A761" s="24"/>
      <c r="B761" s="24"/>
      <c r="C761" s="22"/>
      <c r="D761" s="25"/>
      <c r="E761" s="22"/>
      <c r="F761" s="26"/>
      <c r="G761" s="26"/>
      <c r="H761" s="26"/>
      <c r="I761" s="26"/>
      <c r="J761" s="22"/>
      <c r="K761" s="20" t="n">
        <f aca="false">IF($D761="",0,$C761*$D761)</f>
        <v>0</v>
      </c>
      <c r="L761" s="20" t="n">
        <f aca="false">IF($D761="",0,$F761*$K761)</f>
        <v>0</v>
      </c>
      <c r="M761" s="20" t="n">
        <f aca="false">IF($D761="",0,$G761*$K761)</f>
        <v>0</v>
      </c>
      <c r="N761" s="20" t="n">
        <f aca="false">IF($D761="",0,$H761*$K761)</f>
        <v>0</v>
      </c>
      <c r="O761" s="20" t="n">
        <f aca="false">IF($D761="",0,$I761*$K761*(1-$F761))</f>
        <v>0</v>
      </c>
      <c r="P761" s="20" t="n">
        <f aca="false">IF($D761="",0,$E761*$D761+$L761+$M761+$N761+$O761+$J761*$D761)</f>
        <v>0</v>
      </c>
      <c r="Q761" s="20" t="n">
        <f aca="false">IF($D761="",0,$K761-$P761)</f>
        <v>0</v>
      </c>
      <c r="R761" s="21" t="n">
        <f aca="false">IF($K761=0,0,$Q761/$K761)</f>
        <v>0</v>
      </c>
      <c r="S761" s="20" t="n">
        <f aca="false">IF($D761="",0,$K761-$L761-$M761-$N761)</f>
        <v>0</v>
      </c>
      <c r="T761" s="22"/>
      <c r="U761" s="20" t="n">
        <f aca="false">IF($T761="",0,MAX(0,$S761-$T761))</f>
        <v>0</v>
      </c>
      <c r="V761" s="21" t="n">
        <f aca="false">IF($S761=0,0,$U761/$S761)</f>
        <v>0</v>
      </c>
      <c r="W761" s="23" t="str">
        <f aca="false">IF($D761="","",IF($T761="","BEKLİYOR",IF(OR($U761=0,$S761=0),"DOĞRU",IF(AND($V761&gt;PazaryeriEksikHakedisEsik,$U761&gt;PazaryeriEksikHakedisTutarEsik),"EKSİK HAKEDİŞ","DOĞRU"))))</f>
        <v/>
      </c>
      <c r="X761" s="23" t="str">
        <f aca="false">IF($B761="","",CONCATENATE("Ürün: ",$B761," | Kâr: ",TEXT($Q761,"₺ #,##0")," | Durum: ",$W761))</f>
        <v/>
      </c>
      <c r="Y761" s="24"/>
    </row>
    <row r="762" customFormat="false" ht="15" hidden="false" customHeight="false" outlineLevel="0" collapsed="false">
      <c r="A762" s="24"/>
      <c r="B762" s="24"/>
      <c r="C762" s="22"/>
      <c r="D762" s="25"/>
      <c r="E762" s="22"/>
      <c r="F762" s="26"/>
      <c r="G762" s="26"/>
      <c r="H762" s="26"/>
      <c r="I762" s="26"/>
      <c r="J762" s="22"/>
      <c r="K762" s="20" t="n">
        <f aca="false">IF($D762="",0,$C762*$D762)</f>
        <v>0</v>
      </c>
      <c r="L762" s="20" t="n">
        <f aca="false">IF($D762="",0,$F762*$K762)</f>
        <v>0</v>
      </c>
      <c r="M762" s="20" t="n">
        <f aca="false">IF($D762="",0,$G762*$K762)</f>
        <v>0</v>
      </c>
      <c r="N762" s="20" t="n">
        <f aca="false">IF($D762="",0,$H762*$K762)</f>
        <v>0</v>
      </c>
      <c r="O762" s="20" t="n">
        <f aca="false">IF($D762="",0,$I762*$K762*(1-$F762))</f>
        <v>0</v>
      </c>
      <c r="P762" s="20" t="n">
        <f aca="false">IF($D762="",0,$E762*$D762+$L762+$M762+$N762+$O762+$J762*$D762)</f>
        <v>0</v>
      </c>
      <c r="Q762" s="20" t="n">
        <f aca="false">IF($D762="",0,$K762-$P762)</f>
        <v>0</v>
      </c>
      <c r="R762" s="21" t="n">
        <f aca="false">IF($K762=0,0,$Q762/$K762)</f>
        <v>0</v>
      </c>
      <c r="S762" s="20" t="n">
        <f aca="false">IF($D762="",0,$K762-$L762-$M762-$N762)</f>
        <v>0</v>
      </c>
      <c r="T762" s="22"/>
      <c r="U762" s="20" t="n">
        <f aca="false">IF($T762="",0,MAX(0,$S762-$T762))</f>
        <v>0</v>
      </c>
      <c r="V762" s="21" t="n">
        <f aca="false">IF($S762=0,0,$U762/$S762)</f>
        <v>0</v>
      </c>
      <c r="W762" s="23" t="str">
        <f aca="false">IF($D762="","",IF($T762="","BEKLİYOR",IF(OR($U762=0,$S762=0),"DOĞRU",IF(AND($V762&gt;PazaryeriEksikHakedisEsik,$U762&gt;PazaryeriEksikHakedisTutarEsik),"EKSİK HAKEDİŞ","DOĞRU"))))</f>
        <v/>
      </c>
      <c r="X762" s="23" t="str">
        <f aca="false">IF($B762="","",CONCATENATE("Ürün: ",$B762," | Kâr: ",TEXT($Q762,"₺ #,##0")," | Durum: ",$W762))</f>
        <v/>
      </c>
      <c r="Y762" s="24"/>
    </row>
    <row r="763" customFormat="false" ht="15" hidden="false" customHeight="false" outlineLevel="0" collapsed="false">
      <c r="A763" s="24"/>
      <c r="B763" s="24"/>
      <c r="C763" s="22"/>
      <c r="D763" s="25"/>
      <c r="E763" s="22"/>
      <c r="F763" s="26"/>
      <c r="G763" s="26"/>
      <c r="H763" s="26"/>
      <c r="I763" s="26"/>
      <c r="J763" s="22"/>
      <c r="K763" s="20" t="n">
        <f aca="false">IF($D763="",0,$C763*$D763)</f>
        <v>0</v>
      </c>
      <c r="L763" s="20" t="n">
        <f aca="false">IF($D763="",0,$F763*$K763)</f>
        <v>0</v>
      </c>
      <c r="M763" s="20" t="n">
        <f aca="false">IF($D763="",0,$G763*$K763)</f>
        <v>0</v>
      </c>
      <c r="N763" s="20" t="n">
        <f aca="false">IF($D763="",0,$H763*$K763)</f>
        <v>0</v>
      </c>
      <c r="O763" s="20" t="n">
        <f aca="false">IF($D763="",0,$I763*$K763*(1-$F763))</f>
        <v>0</v>
      </c>
      <c r="P763" s="20" t="n">
        <f aca="false">IF($D763="",0,$E763*$D763+$L763+$M763+$N763+$O763+$J763*$D763)</f>
        <v>0</v>
      </c>
      <c r="Q763" s="20" t="n">
        <f aca="false">IF($D763="",0,$K763-$P763)</f>
        <v>0</v>
      </c>
      <c r="R763" s="21" t="n">
        <f aca="false">IF($K763=0,0,$Q763/$K763)</f>
        <v>0</v>
      </c>
      <c r="S763" s="20" t="n">
        <f aca="false">IF($D763="",0,$K763-$L763-$M763-$N763)</f>
        <v>0</v>
      </c>
      <c r="T763" s="22"/>
      <c r="U763" s="20" t="n">
        <f aca="false">IF($T763="",0,MAX(0,$S763-$T763))</f>
        <v>0</v>
      </c>
      <c r="V763" s="21" t="n">
        <f aca="false">IF($S763=0,0,$U763/$S763)</f>
        <v>0</v>
      </c>
      <c r="W763" s="23" t="str">
        <f aca="false">IF($D763="","",IF($T763="","BEKLİYOR",IF(OR($U763=0,$S763=0),"DOĞRU",IF(AND($V763&gt;PazaryeriEksikHakedisEsik,$U763&gt;PazaryeriEksikHakedisTutarEsik),"EKSİK HAKEDİŞ","DOĞRU"))))</f>
        <v/>
      </c>
      <c r="X763" s="23" t="str">
        <f aca="false">IF($B763="","",CONCATENATE("Ürün: ",$B763," | Kâr: ",TEXT($Q763,"₺ #,##0")," | Durum: ",$W763))</f>
        <v/>
      </c>
      <c r="Y763" s="24"/>
    </row>
    <row r="764" customFormat="false" ht="15" hidden="false" customHeight="false" outlineLevel="0" collapsed="false">
      <c r="A764" s="24"/>
      <c r="B764" s="24"/>
      <c r="C764" s="22"/>
      <c r="D764" s="25"/>
      <c r="E764" s="22"/>
      <c r="F764" s="26"/>
      <c r="G764" s="26"/>
      <c r="H764" s="26"/>
      <c r="I764" s="26"/>
      <c r="J764" s="22"/>
      <c r="K764" s="20" t="n">
        <f aca="false">IF($D764="",0,$C764*$D764)</f>
        <v>0</v>
      </c>
      <c r="L764" s="20" t="n">
        <f aca="false">IF($D764="",0,$F764*$K764)</f>
        <v>0</v>
      </c>
      <c r="M764" s="20" t="n">
        <f aca="false">IF($D764="",0,$G764*$K764)</f>
        <v>0</v>
      </c>
      <c r="N764" s="20" t="n">
        <f aca="false">IF($D764="",0,$H764*$K764)</f>
        <v>0</v>
      </c>
      <c r="O764" s="20" t="n">
        <f aca="false">IF($D764="",0,$I764*$K764*(1-$F764))</f>
        <v>0</v>
      </c>
      <c r="P764" s="20" t="n">
        <f aca="false">IF($D764="",0,$E764*$D764+$L764+$M764+$N764+$O764+$J764*$D764)</f>
        <v>0</v>
      </c>
      <c r="Q764" s="20" t="n">
        <f aca="false">IF($D764="",0,$K764-$P764)</f>
        <v>0</v>
      </c>
      <c r="R764" s="21" t="n">
        <f aca="false">IF($K764=0,0,$Q764/$K764)</f>
        <v>0</v>
      </c>
      <c r="S764" s="20" t="n">
        <f aca="false">IF($D764="",0,$K764-$L764-$M764-$N764)</f>
        <v>0</v>
      </c>
      <c r="T764" s="22"/>
      <c r="U764" s="20" t="n">
        <f aca="false">IF($T764="",0,MAX(0,$S764-$T764))</f>
        <v>0</v>
      </c>
      <c r="V764" s="21" t="n">
        <f aca="false">IF($S764=0,0,$U764/$S764)</f>
        <v>0</v>
      </c>
      <c r="W764" s="23" t="str">
        <f aca="false">IF($D764="","",IF($T764="","BEKLİYOR",IF(OR($U764=0,$S764=0),"DOĞRU",IF(AND($V764&gt;PazaryeriEksikHakedisEsik,$U764&gt;PazaryeriEksikHakedisTutarEsik),"EKSİK HAKEDİŞ","DOĞRU"))))</f>
        <v/>
      </c>
      <c r="X764" s="23" t="str">
        <f aca="false">IF($B764="","",CONCATENATE("Ürün: ",$B764," | Kâr: ",TEXT($Q764,"₺ #,##0")," | Durum: ",$W764))</f>
        <v/>
      </c>
      <c r="Y764" s="24"/>
    </row>
    <row r="765" customFormat="false" ht="15" hidden="false" customHeight="false" outlineLevel="0" collapsed="false">
      <c r="A765" s="24"/>
      <c r="B765" s="24"/>
      <c r="C765" s="22"/>
      <c r="D765" s="25"/>
      <c r="E765" s="22"/>
      <c r="F765" s="26"/>
      <c r="G765" s="26"/>
      <c r="H765" s="26"/>
      <c r="I765" s="26"/>
      <c r="J765" s="22"/>
      <c r="K765" s="20" t="n">
        <f aca="false">IF($D765="",0,$C765*$D765)</f>
        <v>0</v>
      </c>
      <c r="L765" s="20" t="n">
        <f aca="false">IF($D765="",0,$F765*$K765)</f>
        <v>0</v>
      </c>
      <c r="M765" s="20" t="n">
        <f aca="false">IF($D765="",0,$G765*$K765)</f>
        <v>0</v>
      </c>
      <c r="N765" s="20" t="n">
        <f aca="false">IF($D765="",0,$H765*$K765)</f>
        <v>0</v>
      </c>
      <c r="O765" s="20" t="n">
        <f aca="false">IF($D765="",0,$I765*$K765*(1-$F765))</f>
        <v>0</v>
      </c>
      <c r="P765" s="20" t="n">
        <f aca="false">IF($D765="",0,$E765*$D765+$L765+$M765+$N765+$O765+$J765*$D765)</f>
        <v>0</v>
      </c>
      <c r="Q765" s="20" t="n">
        <f aca="false">IF($D765="",0,$K765-$P765)</f>
        <v>0</v>
      </c>
      <c r="R765" s="21" t="n">
        <f aca="false">IF($K765=0,0,$Q765/$K765)</f>
        <v>0</v>
      </c>
      <c r="S765" s="20" t="n">
        <f aca="false">IF($D765="",0,$K765-$L765-$M765-$N765)</f>
        <v>0</v>
      </c>
      <c r="T765" s="22"/>
      <c r="U765" s="20" t="n">
        <f aca="false">IF($T765="",0,MAX(0,$S765-$T765))</f>
        <v>0</v>
      </c>
      <c r="V765" s="21" t="n">
        <f aca="false">IF($S765=0,0,$U765/$S765)</f>
        <v>0</v>
      </c>
      <c r="W765" s="23" t="str">
        <f aca="false">IF($D765="","",IF($T765="","BEKLİYOR",IF(OR($U765=0,$S765=0),"DOĞRU",IF(AND($V765&gt;PazaryeriEksikHakedisEsik,$U765&gt;PazaryeriEksikHakedisTutarEsik),"EKSİK HAKEDİŞ","DOĞRU"))))</f>
        <v/>
      </c>
      <c r="X765" s="23" t="str">
        <f aca="false">IF($B765="","",CONCATENATE("Ürün: ",$B765," | Kâr: ",TEXT($Q765,"₺ #,##0")," | Durum: ",$W765))</f>
        <v/>
      </c>
      <c r="Y765" s="24"/>
    </row>
    <row r="766" customFormat="false" ht="15" hidden="false" customHeight="false" outlineLevel="0" collapsed="false">
      <c r="A766" s="24"/>
      <c r="B766" s="24"/>
      <c r="C766" s="22"/>
      <c r="D766" s="25"/>
      <c r="E766" s="22"/>
      <c r="F766" s="26"/>
      <c r="G766" s="26"/>
      <c r="H766" s="26"/>
      <c r="I766" s="26"/>
      <c r="J766" s="22"/>
      <c r="K766" s="20" t="n">
        <f aca="false">IF($D766="",0,$C766*$D766)</f>
        <v>0</v>
      </c>
      <c r="L766" s="20" t="n">
        <f aca="false">IF($D766="",0,$F766*$K766)</f>
        <v>0</v>
      </c>
      <c r="M766" s="20" t="n">
        <f aca="false">IF($D766="",0,$G766*$K766)</f>
        <v>0</v>
      </c>
      <c r="N766" s="20" t="n">
        <f aca="false">IF($D766="",0,$H766*$K766)</f>
        <v>0</v>
      </c>
      <c r="O766" s="20" t="n">
        <f aca="false">IF($D766="",0,$I766*$K766*(1-$F766))</f>
        <v>0</v>
      </c>
      <c r="P766" s="20" t="n">
        <f aca="false">IF($D766="",0,$E766*$D766+$L766+$M766+$N766+$O766+$J766*$D766)</f>
        <v>0</v>
      </c>
      <c r="Q766" s="20" t="n">
        <f aca="false">IF($D766="",0,$K766-$P766)</f>
        <v>0</v>
      </c>
      <c r="R766" s="21" t="n">
        <f aca="false">IF($K766=0,0,$Q766/$K766)</f>
        <v>0</v>
      </c>
      <c r="S766" s="20" t="n">
        <f aca="false">IF($D766="",0,$K766-$L766-$M766-$N766)</f>
        <v>0</v>
      </c>
      <c r="T766" s="22"/>
      <c r="U766" s="20" t="n">
        <f aca="false">IF($T766="",0,MAX(0,$S766-$T766))</f>
        <v>0</v>
      </c>
      <c r="V766" s="21" t="n">
        <f aca="false">IF($S766=0,0,$U766/$S766)</f>
        <v>0</v>
      </c>
      <c r="W766" s="23" t="str">
        <f aca="false">IF($D766="","",IF($T766="","BEKLİYOR",IF(OR($U766=0,$S766=0),"DOĞRU",IF(AND($V766&gt;PazaryeriEksikHakedisEsik,$U766&gt;PazaryeriEksikHakedisTutarEsik),"EKSİK HAKEDİŞ","DOĞRU"))))</f>
        <v/>
      </c>
      <c r="X766" s="23" t="str">
        <f aca="false">IF($B766="","",CONCATENATE("Ürün: ",$B766," | Kâr: ",TEXT($Q766,"₺ #,##0")," | Durum: ",$W766))</f>
        <v/>
      </c>
      <c r="Y766" s="24"/>
    </row>
    <row r="767" customFormat="false" ht="15" hidden="false" customHeight="false" outlineLevel="0" collapsed="false">
      <c r="A767" s="24"/>
      <c r="B767" s="24"/>
      <c r="C767" s="22"/>
      <c r="D767" s="25"/>
      <c r="E767" s="22"/>
      <c r="F767" s="26"/>
      <c r="G767" s="26"/>
      <c r="H767" s="26"/>
      <c r="I767" s="26"/>
      <c r="J767" s="22"/>
      <c r="K767" s="20" t="n">
        <f aca="false">IF($D767="",0,$C767*$D767)</f>
        <v>0</v>
      </c>
      <c r="L767" s="20" t="n">
        <f aca="false">IF($D767="",0,$F767*$K767)</f>
        <v>0</v>
      </c>
      <c r="M767" s="20" t="n">
        <f aca="false">IF($D767="",0,$G767*$K767)</f>
        <v>0</v>
      </c>
      <c r="N767" s="20" t="n">
        <f aca="false">IF($D767="",0,$H767*$K767)</f>
        <v>0</v>
      </c>
      <c r="O767" s="20" t="n">
        <f aca="false">IF($D767="",0,$I767*$K767*(1-$F767))</f>
        <v>0</v>
      </c>
      <c r="P767" s="20" t="n">
        <f aca="false">IF($D767="",0,$E767*$D767+$L767+$M767+$N767+$O767+$J767*$D767)</f>
        <v>0</v>
      </c>
      <c r="Q767" s="20" t="n">
        <f aca="false">IF($D767="",0,$K767-$P767)</f>
        <v>0</v>
      </c>
      <c r="R767" s="21" t="n">
        <f aca="false">IF($K767=0,0,$Q767/$K767)</f>
        <v>0</v>
      </c>
      <c r="S767" s="20" t="n">
        <f aca="false">IF($D767="",0,$K767-$L767-$M767-$N767)</f>
        <v>0</v>
      </c>
      <c r="T767" s="22"/>
      <c r="U767" s="20" t="n">
        <f aca="false">IF($T767="",0,MAX(0,$S767-$T767))</f>
        <v>0</v>
      </c>
      <c r="V767" s="21" t="n">
        <f aca="false">IF($S767=0,0,$U767/$S767)</f>
        <v>0</v>
      </c>
      <c r="W767" s="23" t="str">
        <f aca="false">IF($D767="","",IF($T767="","BEKLİYOR",IF(OR($U767=0,$S767=0),"DOĞRU",IF(AND($V767&gt;PazaryeriEksikHakedisEsik,$U767&gt;PazaryeriEksikHakedisTutarEsik),"EKSİK HAKEDİŞ","DOĞRU"))))</f>
        <v/>
      </c>
      <c r="X767" s="23" t="str">
        <f aca="false">IF($B767="","",CONCATENATE("Ürün: ",$B767," | Kâr: ",TEXT($Q767,"₺ #,##0")," | Durum: ",$W767))</f>
        <v/>
      </c>
      <c r="Y767" s="24"/>
    </row>
    <row r="768" customFormat="false" ht="15" hidden="false" customHeight="false" outlineLevel="0" collapsed="false">
      <c r="A768" s="24"/>
      <c r="B768" s="24"/>
      <c r="C768" s="22"/>
      <c r="D768" s="25"/>
      <c r="E768" s="22"/>
      <c r="F768" s="26"/>
      <c r="G768" s="26"/>
      <c r="H768" s="26"/>
      <c r="I768" s="26"/>
      <c r="J768" s="22"/>
      <c r="K768" s="20" t="n">
        <f aca="false">IF($D768="",0,$C768*$D768)</f>
        <v>0</v>
      </c>
      <c r="L768" s="20" t="n">
        <f aca="false">IF($D768="",0,$F768*$K768)</f>
        <v>0</v>
      </c>
      <c r="M768" s="20" t="n">
        <f aca="false">IF($D768="",0,$G768*$K768)</f>
        <v>0</v>
      </c>
      <c r="N768" s="20" t="n">
        <f aca="false">IF($D768="",0,$H768*$K768)</f>
        <v>0</v>
      </c>
      <c r="O768" s="20" t="n">
        <f aca="false">IF($D768="",0,$I768*$K768*(1-$F768))</f>
        <v>0</v>
      </c>
      <c r="P768" s="20" t="n">
        <f aca="false">IF($D768="",0,$E768*$D768+$L768+$M768+$N768+$O768+$J768*$D768)</f>
        <v>0</v>
      </c>
      <c r="Q768" s="20" t="n">
        <f aca="false">IF($D768="",0,$K768-$P768)</f>
        <v>0</v>
      </c>
      <c r="R768" s="21" t="n">
        <f aca="false">IF($K768=0,0,$Q768/$K768)</f>
        <v>0</v>
      </c>
      <c r="S768" s="20" t="n">
        <f aca="false">IF($D768="",0,$K768-$L768-$M768-$N768)</f>
        <v>0</v>
      </c>
      <c r="T768" s="22"/>
      <c r="U768" s="20" t="n">
        <f aca="false">IF($T768="",0,MAX(0,$S768-$T768))</f>
        <v>0</v>
      </c>
      <c r="V768" s="21" t="n">
        <f aca="false">IF($S768=0,0,$U768/$S768)</f>
        <v>0</v>
      </c>
      <c r="W768" s="23" t="str">
        <f aca="false">IF($D768="","",IF($T768="","BEKLİYOR",IF(OR($U768=0,$S768=0),"DOĞRU",IF(AND($V768&gt;PazaryeriEksikHakedisEsik,$U768&gt;PazaryeriEksikHakedisTutarEsik),"EKSİK HAKEDİŞ","DOĞRU"))))</f>
        <v/>
      </c>
      <c r="X768" s="23" t="str">
        <f aca="false">IF($B768="","",CONCATENATE("Ürün: ",$B768," | Kâr: ",TEXT($Q768,"₺ #,##0")," | Durum: ",$W768))</f>
        <v/>
      </c>
      <c r="Y768" s="24"/>
    </row>
    <row r="769" customFormat="false" ht="15" hidden="false" customHeight="false" outlineLevel="0" collapsed="false">
      <c r="A769" s="24"/>
      <c r="B769" s="24"/>
      <c r="C769" s="22"/>
      <c r="D769" s="25"/>
      <c r="E769" s="22"/>
      <c r="F769" s="26"/>
      <c r="G769" s="26"/>
      <c r="H769" s="26"/>
      <c r="I769" s="26"/>
      <c r="J769" s="22"/>
      <c r="K769" s="20" t="n">
        <f aca="false">IF($D769="",0,$C769*$D769)</f>
        <v>0</v>
      </c>
      <c r="L769" s="20" t="n">
        <f aca="false">IF($D769="",0,$F769*$K769)</f>
        <v>0</v>
      </c>
      <c r="M769" s="20" t="n">
        <f aca="false">IF($D769="",0,$G769*$K769)</f>
        <v>0</v>
      </c>
      <c r="N769" s="20" t="n">
        <f aca="false">IF($D769="",0,$H769*$K769)</f>
        <v>0</v>
      </c>
      <c r="O769" s="20" t="n">
        <f aca="false">IF($D769="",0,$I769*$K769*(1-$F769))</f>
        <v>0</v>
      </c>
      <c r="P769" s="20" t="n">
        <f aca="false">IF($D769="",0,$E769*$D769+$L769+$M769+$N769+$O769+$J769*$D769)</f>
        <v>0</v>
      </c>
      <c r="Q769" s="20" t="n">
        <f aca="false">IF($D769="",0,$K769-$P769)</f>
        <v>0</v>
      </c>
      <c r="R769" s="21" t="n">
        <f aca="false">IF($K769=0,0,$Q769/$K769)</f>
        <v>0</v>
      </c>
      <c r="S769" s="20" t="n">
        <f aca="false">IF($D769="",0,$K769-$L769-$M769-$N769)</f>
        <v>0</v>
      </c>
      <c r="T769" s="22"/>
      <c r="U769" s="20" t="n">
        <f aca="false">IF($T769="",0,MAX(0,$S769-$T769))</f>
        <v>0</v>
      </c>
      <c r="V769" s="21" t="n">
        <f aca="false">IF($S769=0,0,$U769/$S769)</f>
        <v>0</v>
      </c>
      <c r="W769" s="23" t="str">
        <f aca="false">IF($D769="","",IF($T769="","BEKLİYOR",IF(OR($U769=0,$S769=0),"DOĞRU",IF(AND($V769&gt;PazaryeriEksikHakedisEsik,$U769&gt;PazaryeriEksikHakedisTutarEsik),"EKSİK HAKEDİŞ","DOĞRU"))))</f>
        <v/>
      </c>
      <c r="X769" s="23" t="str">
        <f aca="false">IF($B769="","",CONCATENATE("Ürün: ",$B769," | Kâr: ",TEXT($Q769,"₺ #,##0")," | Durum: ",$W769))</f>
        <v/>
      </c>
      <c r="Y769" s="24"/>
    </row>
    <row r="770" customFormat="false" ht="15" hidden="false" customHeight="false" outlineLevel="0" collapsed="false">
      <c r="A770" s="24"/>
      <c r="B770" s="24"/>
      <c r="C770" s="22"/>
      <c r="D770" s="25"/>
      <c r="E770" s="22"/>
      <c r="F770" s="26"/>
      <c r="G770" s="26"/>
      <c r="H770" s="26"/>
      <c r="I770" s="26"/>
      <c r="J770" s="22"/>
      <c r="K770" s="20" t="n">
        <f aca="false">IF($D770="",0,$C770*$D770)</f>
        <v>0</v>
      </c>
      <c r="L770" s="20" t="n">
        <f aca="false">IF($D770="",0,$F770*$K770)</f>
        <v>0</v>
      </c>
      <c r="M770" s="20" t="n">
        <f aca="false">IF($D770="",0,$G770*$K770)</f>
        <v>0</v>
      </c>
      <c r="N770" s="20" t="n">
        <f aca="false">IF($D770="",0,$H770*$K770)</f>
        <v>0</v>
      </c>
      <c r="O770" s="20" t="n">
        <f aca="false">IF($D770="",0,$I770*$K770*(1-$F770))</f>
        <v>0</v>
      </c>
      <c r="P770" s="20" t="n">
        <f aca="false">IF($D770="",0,$E770*$D770+$L770+$M770+$N770+$O770+$J770*$D770)</f>
        <v>0</v>
      </c>
      <c r="Q770" s="20" t="n">
        <f aca="false">IF($D770="",0,$K770-$P770)</f>
        <v>0</v>
      </c>
      <c r="R770" s="21" t="n">
        <f aca="false">IF($K770=0,0,$Q770/$K770)</f>
        <v>0</v>
      </c>
      <c r="S770" s="20" t="n">
        <f aca="false">IF($D770="",0,$K770-$L770-$M770-$N770)</f>
        <v>0</v>
      </c>
      <c r="T770" s="22"/>
      <c r="U770" s="20" t="n">
        <f aca="false">IF($T770="",0,MAX(0,$S770-$T770))</f>
        <v>0</v>
      </c>
      <c r="V770" s="21" t="n">
        <f aca="false">IF($S770=0,0,$U770/$S770)</f>
        <v>0</v>
      </c>
      <c r="W770" s="23" t="str">
        <f aca="false">IF($D770="","",IF($T770="","BEKLİYOR",IF(OR($U770=0,$S770=0),"DOĞRU",IF(AND($V770&gt;PazaryeriEksikHakedisEsik,$U770&gt;PazaryeriEksikHakedisTutarEsik),"EKSİK HAKEDİŞ","DOĞRU"))))</f>
        <v/>
      </c>
      <c r="X770" s="23" t="str">
        <f aca="false">IF($B770="","",CONCATENATE("Ürün: ",$B770," | Kâr: ",TEXT($Q770,"₺ #,##0")," | Durum: ",$W770))</f>
        <v/>
      </c>
      <c r="Y770" s="24"/>
    </row>
    <row r="771" customFormat="false" ht="15" hidden="false" customHeight="false" outlineLevel="0" collapsed="false">
      <c r="A771" s="24"/>
      <c r="B771" s="24"/>
      <c r="C771" s="22"/>
      <c r="D771" s="25"/>
      <c r="E771" s="22"/>
      <c r="F771" s="26"/>
      <c r="G771" s="26"/>
      <c r="H771" s="26"/>
      <c r="I771" s="26"/>
      <c r="J771" s="22"/>
      <c r="K771" s="20" t="n">
        <f aca="false">IF($D771="",0,$C771*$D771)</f>
        <v>0</v>
      </c>
      <c r="L771" s="20" t="n">
        <f aca="false">IF($D771="",0,$F771*$K771)</f>
        <v>0</v>
      </c>
      <c r="M771" s="20" t="n">
        <f aca="false">IF($D771="",0,$G771*$K771)</f>
        <v>0</v>
      </c>
      <c r="N771" s="20" t="n">
        <f aca="false">IF($D771="",0,$H771*$K771)</f>
        <v>0</v>
      </c>
      <c r="O771" s="20" t="n">
        <f aca="false">IF($D771="",0,$I771*$K771*(1-$F771))</f>
        <v>0</v>
      </c>
      <c r="P771" s="20" t="n">
        <f aca="false">IF($D771="",0,$E771*$D771+$L771+$M771+$N771+$O771+$J771*$D771)</f>
        <v>0</v>
      </c>
      <c r="Q771" s="20" t="n">
        <f aca="false">IF($D771="",0,$K771-$P771)</f>
        <v>0</v>
      </c>
      <c r="R771" s="21" t="n">
        <f aca="false">IF($K771=0,0,$Q771/$K771)</f>
        <v>0</v>
      </c>
      <c r="S771" s="20" t="n">
        <f aca="false">IF($D771="",0,$K771-$L771-$M771-$N771)</f>
        <v>0</v>
      </c>
      <c r="T771" s="22"/>
      <c r="U771" s="20" t="n">
        <f aca="false">IF($T771="",0,MAX(0,$S771-$T771))</f>
        <v>0</v>
      </c>
      <c r="V771" s="21" t="n">
        <f aca="false">IF($S771=0,0,$U771/$S771)</f>
        <v>0</v>
      </c>
      <c r="W771" s="23" t="str">
        <f aca="false">IF($D771="","",IF($T771="","BEKLİYOR",IF(OR($U771=0,$S771=0),"DOĞRU",IF(AND($V771&gt;PazaryeriEksikHakedisEsik,$U771&gt;PazaryeriEksikHakedisTutarEsik),"EKSİK HAKEDİŞ","DOĞRU"))))</f>
        <v/>
      </c>
      <c r="X771" s="23" t="str">
        <f aca="false">IF($B771="","",CONCATENATE("Ürün: ",$B771," | Kâr: ",TEXT($Q771,"₺ #,##0")," | Durum: ",$W771))</f>
        <v/>
      </c>
      <c r="Y771" s="24"/>
    </row>
    <row r="772" customFormat="false" ht="15" hidden="false" customHeight="false" outlineLevel="0" collapsed="false">
      <c r="A772" s="24"/>
      <c r="B772" s="24"/>
      <c r="C772" s="22"/>
      <c r="D772" s="25"/>
      <c r="E772" s="22"/>
      <c r="F772" s="26"/>
      <c r="G772" s="26"/>
      <c r="H772" s="26"/>
      <c r="I772" s="26"/>
      <c r="J772" s="22"/>
      <c r="K772" s="20" t="n">
        <f aca="false">IF($D772="",0,$C772*$D772)</f>
        <v>0</v>
      </c>
      <c r="L772" s="20" t="n">
        <f aca="false">IF($D772="",0,$F772*$K772)</f>
        <v>0</v>
      </c>
      <c r="M772" s="20" t="n">
        <f aca="false">IF($D772="",0,$G772*$K772)</f>
        <v>0</v>
      </c>
      <c r="N772" s="20" t="n">
        <f aca="false">IF($D772="",0,$H772*$K772)</f>
        <v>0</v>
      </c>
      <c r="O772" s="20" t="n">
        <f aca="false">IF($D772="",0,$I772*$K772*(1-$F772))</f>
        <v>0</v>
      </c>
      <c r="P772" s="20" t="n">
        <f aca="false">IF($D772="",0,$E772*$D772+$L772+$M772+$N772+$O772+$J772*$D772)</f>
        <v>0</v>
      </c>
      <c r="Q772" s="20" t="n">
        <f aca="false">IF($D772="",0,$K772-$P772)</f>
        <v>0</v>
      </c>
      <c r="R772" s="21" t="n">
        <f aca="false">IF($K772=0,0,$Q772/$K772)</f>
        <v>0</v>
      </c>
      <c r="S772" s="20" t="n">
        <f aca="false">IF($D772="",0,$K772-$L772-$M772-$N772)</f>
        <v>0</v>
      </c>
      <c r="T772" s="22"/>
      <c r="U772" s="20" t="n">
        <f aca="false">IF($T772="",0,MAX(0,$S772-$T772))</f>
        <v>0</v>
      </c>
      <c r="V772" s="21" t="n">
        <f aca="false">IF($S772=0,0,$U772/$S772)</f>
        <v>0</v>
      </c>
      <c r="W772" s="23" t="str">
        <f aca="false">IF($D772="","",IF($T772="","BEKLİYOR",IF(OR($U772=0,$S772=0),"DOĞRU",IF(AND($V772&gt;PazaryeriEksikHakedisEsik,$U772&gt;PazaryeriEksikHakedisTutarEsik),"EKSİK HAKEDİŞ","DOĞRU"))))</f>
        <v/>
      </c>
      <c r="X772" s="23" t="str">
        <f aca="false">IF($B772="","",CONCATENATE("Ürün: ",$B772," | Kâr: ",TEXT($Q772,"₺ #,##0")," | Durum: ",$W772))</f>
        <v/>
      </c>
      <c r="Y772" s="24"/>
    </row>
    <row r="773" customFormat="false" ht="15" hidden="false" customHeight="false" outlineLevel="0" collapsed="false">
      <c r="A773" s="24"/>
      <c r="B773" s="24"/>
      <c r="C773" s="22"/>
      <c r="D773" s="25"/>
      <c r="E773" s="22"/>
      <c r="F773" s="26"/>
      <c r="G773" s="26"/>
      <c r="H773" s="26"/>
      <c r="I773" s="26"/>
      <c r="J773" s="22"/>
      <c r="K773" s="20" t="n">
        <f aca="false">IF($D773="",0,$C773*$D773)</f>
        <v>0</v>
      </c>
      <c r="L773" s="20" t="n">
        <f aca="false">IF($D773="",0,$F773*$K773)</f>
        <v>0</v>
      </c>
      <c r="M773" s="20" t="n">
        <f aca="false">IF($D773="",0,$G773*$K773)</f>
        <v>0</v>
      </c>
      <c r="N773" s="20" t="n">
        <f aca="false">IF($D773="",0,$H773*$K773)</f>
        <v>0</v>
      </c>
      <c r="O773" s="20" t="n">
        <f aca="false">IF($D773="",0,$I773*$K773*(1-$F773))</f>
        <v>0</v>
      </c>
      <c r="P773" s="20" t="n">
        <f aca="false">IF($D773="",0,$E773*$D773+$L773+$M773+$N773+$O773+$J773*$D773)</f>
        <v>0</v>
      </c>
      <c r="Q773" s="20" t="n">
        <f aca="false">IF($D773="",0,$K773-$P773)</f>
        <v>0</v>
      </c>
      <c r="R773" s="21" t="n">
        <f aca="false">IF($K773=0,0,$Q773/$K773)</f>
        <v>0</v>
      </c>
      <c r="S773" s="20" t="n">
        <f aca="false">IF($D773="",0,$K773-$L773-$M773-$N773)</f>
        <v>0</v>
      </c>
      <c r="T773" s="22"/>
      <c r="U773" s="20" t="n">
        <f aca="false">IF($T773="",0,MAX(0,$S773-$T773))</f>
        <v>0</v>
      </c>
      <c r="V773" s="21" t="n">
        <f aca="false">IF($S773=0,0,$U773/$S773)</f>
        <v>0</v>
      </c>
      <c r="W773" s="23" t="str">
        <f aca="false">IF($D773="","",IF($T773="","BEKLİYOR",IF(OR($U773=0,$S773=0),"DOĞRU",IF(AND($V773&gt;PazaryeriEksikHakedisEsik,$U773&gt;PazaryeriEksikHakedisTutarEsik),"EKSİK HAKEDİŞ","DOĞRU"))))</f>
        <v/>
      </c>
      <c r="X773" s="23" t="str">
        <f aca="false">IF($B773="","",CONCATENATE("Ürün: ",$B773," | Kâr: ",TEXT($Q773,"₺ #,##0")," | Durum: ",$W773))</f>
        <v/>
      </c>
      <c r="Y773" s="24"/>
    </row>
    <row r="774" customFormat="false" ht="15" hidden="false" customHeight="false" outlineLevel="0" collapsed="false">
      <c r="A774" s="24"/>
      <c r="B774" s="24"/>
      <c r="C774" s="22"/>
      <c r="D774" s="25"/>
      <c r="E774" s="22"/>
      <c r="F774" s="26"/>
      <c r="G774" s="26"/>
      <c r="H774" s="26"/>
      <c r="I774" s="26"/>
      <c r="J774" s="22"/>
      <c r="K774" s="20" t="n">
        <f aca="false">IF($D774="",0,$C774*$D774)</f>
        <v>0</v>
      </c>
      <c r="L774" s="20" t="n">
        <f aca="false">IF($D774="",0,$F774*$K774)</f>
        <v>0</v>
      </c>
      <c r="M774" s="20" t="n">
        <f aca="false">IF($D774="",0,$G774*$K774)</f>
        <v>0</v>
      </c>
      <c r="N774" s="20" t="n">
        <f aca="false">IF($D774="",0,$H774*$K774)</f>
        <v>0</v>
      </c>
      <c r="O774" s="20" t="n">
        <f aca="false">IF($D774="",0,$I774*$K774*(1-$F774))</f>
        <v>0</v>
      </c>
      <c r="P774" s="20" t="n">
        <f aca="false">IF($D774="",0,$E774*$D774+$L774+$M774+$N774+$O774+$J774*$D774)</f>
        <v>0</v>
      </c>
      <c r="Q774" s="20" t="n">
        <f aca="false">IF($D774="",0,$K774-$P774)</f>
        <v>0</v>
      </c>
      <c r="R774" s="21" t="n">
        <f aca="false">IF($K774=0,0,$Q774/$K774)</f>
        <v>0</v>
      </c>
      <c r="S774" s="20" t="n">
        <f aca="false">IF($D774="",0,$K774-$L774-$M774-$N774)</f>
        <v>0</v>
      </c>
      <c r="T774" s="22"/>
      <c r="U774" s="20" t="n">
        <f aca="false">IF($T774="",0,MAX(0,$S774-$T774))</f>
        <v>0</v>
      </c>
      <c r="V774" s="21" t="n">
        <f aca="false">IF($S774=0,0,$U774/$S774)</f>
        <v>0</v>
      </c>
      <c r="W774" s="23" t="str">
        <f aca="false">IF($D774="","",IF($T774="","BEKLİYOR",IF(OR($U774=0,$S774=0),"DOĞRU",IF(AND($V774&gt;PazaryeriEksikHakedisEsik,$U774&gt;PazaryeriEksikHakedisTutarEsik),"EKSİK HAKEDİŞ","DOĞRU"))))</f>
        <v/>
      </c>
      <c r="X774" s="23" t="str">
        <f aca="false">IF($B774="","",CONCATENATE("Ürün: ",$B774," | Kâr: ",TEXT($Q774,"₺ #,##0")," | Durum: ",$W774))</f>
        <v/>
      </c>
      <c r="Y774" s="24"/>
    </row>
    <row r="775" customFormat="false" ht="15" hidden="false" customHeight="false" outlineLevel="0" collapsed="false">
      <c r="A775" s="24"/>
      <c r="B775" s="24"/>
      <c r="C775" s="22"/>
      <c r="D775" s="25"/>
      <c r="E775" s="22"/>
      <c r="F775" s="26"/>
      <c r="G775" s="26"/>
      <c r="H775" s="26"/>
      <c r="I775" s="26"/>
      <c r="J775" s="22"/>
      <c r="K775" s="20" t="n">
        <f aca="false">IF($D775="",0,$C775*$D775)</f>
        <v>0</v>
      </c>
      <c r="L775" s="20" t="n">
        <f aca="false">IF($D775="",0,$F775*$K775)</f>
        <v>0</v>
      </c>
      <c r="M775" s="20" t="n">
        <f aca="false">IF($D775="",0,$G775*$K775)</f>
        <v>0</v>
      </c>
      <c r="N775" s="20" t="n">
        <f aca="false">IF($D775="",0,$H775*$K775)</f>
        <v>0</v>
      </c>
      <c r="O775" s="20" t="n">
        <f aca="false">IF($D775="",0,$I775*$K775*(1-$F775))</f>
        <v>0</v>
      </c>
      <c r="P775" s="20" t="n">
        <f aca="false">IF($D775="",0,$E775*$D775+$L775+$M775+$N775+$O775+$J775*$D775)</f>
        <v>0</v>
      </c>
      <c r="Q775" s="20" t="n">
        <f aca="false">IF($D775="",0,$K775-$P775)</f>
        <v>0</v>
      </c>
      <c r="R775" s="21" t="n">
        <f aca="false">IF($K775=0,0,$Q775/$K775)</f>
        <v>0</v>
      </c>
      <c r="S775" s="20" t="n">
        <f aca="false">IF($D775="",0,$K775-$L775-$M775-$N775)</f>
        <v>0</v>
      </c>
      <c r="T775" s="22"/>
      <c r="U775" s="20" t="n">
        <f aca="false">IF($T775="",0,MAX(0,$S775-$T775))</f>
        <v>0</v>
      </c>
      <c r="V775" s="21" t="n">
        <f aca="false">IF($S775=0,0,$U775/$S775)</f>
        <v>0</v>
      </c>
      <c r="W775" s="23" t="str">
        <f aca="false">IF($D775="","",IF($T775="","BEKLİYOR",IF(OR($U775=0,$S775=0),"DOĞRU",IF(AND($V775&gt;PazaryeriEksikHakedisEsik,$U775&gt;PazaryeriEksikHakedisTutarEsik),"EKSİK HAKEDİŞ","DOĞRU"))))</f>
        <v/>
      </c>
      <c r="X775" s="23" t="str">
        <f aca="false">IF($B775="","",CONCATENATE("Ürün: ",$B775," | Kâr: ",TEXT($Q775,"₺ #,##0")," | Durum: ",$W775))</f>
        <v/>
      </c>
      <c r="Y775" s="24"/>
    </row>
    <row r="776" customFormat="false" ht="15" hidden="false" customHeight="false" outlineLevel="0" collapsed="false">
      <c r="A776" s="24"/>
      <c r="B776" s="24"/>
      <c r="C776" s="22"/>
      <c r="D776" s="25"/>
      <c r="E776" s="22"/>
      <c r="F776" s="26"/>
      <c r="G776" s="26"/>
      <c r="H776" s="26"/>
      <c r="I776" s="26"/>
      <c r="J776" s="22"/>
      <c r="K776" s="20" t="n">
        <f aca="false">IF($D776="",0,$C776*$D776)</f>
        <v>0</v>
      </c>
      <c r="L776" s="20" t="n">
        <f aca="false">IF($D776="",0,$F776*$K776)</f>
        <v>0</v>
      </c>
      <c r="M776" s="20" t="n">
        <f aca="false">IF($D776="",0,$G776*$K776)</f>
        <v>0</v>
      </c>
      <c r="N776" s="20" t="n">
        <f aca="false">IF($D776="",0,$H776*$K776)</f>
        <v>0</v>
      </c>
      <c r="O776" s="20" t="n">
        <f aca="false">IF($D776="",0,$I776*$K776*(1-$F776))</f>
        <v>0</v>
      </c>
      <c r="P776" s="20" t="n">
        <f aca="false">IF($D776="",0,$E776*$D776+$L776+$M776+$N776+$O776+$J776*$D776)</f>
        <v>0</v>
      </c>
      <c r="Q776" s="20" t="n">
        <f aca="false">IF($D776="",0,$K776-$P776)</f>
        <v>0</v>
      </c>
      <c r="R776" s="21" t="n">
        <f aca="false">IF($K776=0,0,$Q776/$K776)</f>
        <v>0</v>
      </c>
      <c r="S776" s="20" t="n">
        <f aca="false">IF($D776="",0,$K776-$L776-$M776-$N776)</f>
        <v>0</v>
      </c>
      <c r="T776" s="22"/>
      <c r="U776" s="20" t="n">
        <f aca="false">IF($T776="",0,MAX(0,$S776-$T776))</f>
        <v>0</v>
      </c>
      <c r="V776" s="21" t="n">
        <f aca="false">IF($S776=0,0,$U776/$S776)</f>
        <v>0</v>
      </c>
      <c r="W776" s="23" t="str">
        <f aca="false">IF($D776="","",IF($T776="","BEKLİYOR",IF(OR($U776=0,$S776=0),"DOĞRU",IF(AND($V776&gt;PazaryeriEksikHakedisEsik,$U776&gt;PazaryeriEksikHakedisTutarEsik),"EKSİK HAKEDİŞ","DOĞRU"))))</f>
        <v/>
      </c>
      <c r="X776" s="23" t="str">
        <f aca="false">IF($B776="","",CONCATENATE("Ürün: ",$B776," | Kâr: ",TEXT($Q776,"₺ #,##0")," | Durum: ",$W776))</f>
        <v/>
      </c>
      <c r="Y776" s="24"/>
    </row>
    <row r="777" customFormat="false" ht="15" hidden="false" customHeight="false" outlineLevel="0" collapsed="false">
      <c r="A777" s="24"/>
      <c r="B777" s="24"/>
      <c r="C777" s="22"/>
      <c r="D777" s="25"/>
      <c r="E777" s="22"/>
      <c r="F777" s="26"/>
      <c r="G777" s="26"/>
      <c r="H777" s="26"/>
      <c r="I777" s="26"/>
      <c r="J777" s="22"/>
      <c r="K777" s="20" t="n">
        <f aca="false">IF($D777="",0,$C777*$D777)</f>
        <v>0</v>
      </c>
      <c r="L777" s="20" t="n">
        <f aca="false">IF($D777="",0,$F777*$K777)</f>
        <v>0</v>
      </c>
      <c r="M777" s="20" t="n">
        <f aca="false">IF($D777="",0,$G777*$K777)</f>
        <v>0</v>
      </c>
      <c r="N777" s="20" t="n">
        <f aca="false">IF($D777="",0,$H777*$K777)</f>
        <v>0</v>
      </c>
      <c r="O777" s="20" t="n">
        <f aca="false">IF($D777="",0,$I777*$K777*(1-$F777))</f>
        <v>0</v>
      </c>
      <c r="P777" s="20" t="n">
        <f aca="false">IF($D777="",0,$E777*$D777+$L777+$M777+$N777+$O777+$J777*$D777)</f>
        <v>0</v>
      </c>
      <c r="Q777" s="20" t="n">
        <f aca="false">IF($D777="",0,$K777-$P777)</f>
        <v>0</v>
      </c>
      <c r="R777" s="21" t="n">
        <f aca="false">IF($K777=0,0,$Q777/$K777)</f>
        <v>0</v>
      </c>
      <c r="S777" s="20" t="n">
        <f aca="false">IF($D777="",0,$K777-$L777-$M777-$N777)</f>
        <v>0</v>
      </c>
      <c r="T777" s="22"/>
      <c r="U777" s="20" t="n">
        <f aca="false">IF($T777="",0,MAX(0,$S777-$T777))</f>
        <v>0</v>
      </c>
      <c r="V777" s="21" t="n">
        <f aca="false">IF($S777=0,0,$U777/$S777)</f>
        <v>0</v>
      </c>
      <c r="W777" s="23" t="str">
        <f aca="false">IF($D777="","",IF($T777="","BEKLİYOR",IF(OR($U777=0,$S777=0),"DOĞRU",IF(AND($V777&gt;PazaryeriEksikHakedisEsik,$U777&gt;PazaryeriEksikHakedisTutarEsik),"EKSİK HAKEDİŞ","DOĞRU"))))</f>
        <v/>
      </c>
      <c r="X777" s="23" t="str">
        <f aca="false">IF($B777="","",CONCATENATE("Ürün: ",$B777," | Kâr: ",TEXT($Q777,"₺ #,##0")," | Durum: ",$W777))</f>
        <v/>
      </c>
      <c r="Y777" s="24"/>
    </row>
    <row r="778" customFormat="false" ht="15" hidden="false" customHeight="false" outlineLevel="0" collapsed="false">
      <c r="A778" s="24"/>
      <c r="B778" s="24"/>
      <c r="C778" s="22"/>
      <c r="D778" s="25"/>
      <c r="E778" s="22"/>
      <c r="F778" s="26"/>
      <c r="G778" s="26"/>
      <c r="H778" s="26"/>
      <c r="I778" s="26"/>
      <c r="J778" s="22"/>
      <c r="K778" s="20" t="n">
        <f aca="false">IF($D778="",0,$C778*$D778)</f>
        <v>0</v>
      </c>
      <c r="L778" s="20" t="n">
        <f aca="false">IF($D778="",0,$F778*$K778)</f>
        <v>0</v>
      </c>
      <c r="M778" s="20" t="n">
        <f aca="false">IF($D778="",0,$G778*$K778)</f>
        <v>0</v>
      </c>
      <c r="N778" s="20" t="n">
        <f aca="false">IF($D778="",0,$H778*$K778)</f>
        <v>0</v>
      </c>
      <c r="O778" s="20" t="n">
        <f aca="false">IF($D778="",0,$I778*$K778*(1-$F778))</f>
        <v>0</v>
      </c>
      <c r="P778" s="20" t="n">
        <f aca="false">IF($D778="",0,$E778*$D778+$L778+$M778+$N778+$O778+$J778*$D778)</f>
        <v>0</v>
      </c>
      <c r="Q778" s="20" t="n">
        <f aca="false">IF($D778="",0,$K778-$P778)</f>
        <v>0</v>
      </c>
      <c r="R778" s="21" t="n">
        <f aca="false">IF($K778=0,0,$Q778/$K778)</f>
        <v>0</v>
      </c>
      <c r="S778" s="20" t="n">
        <f aca="false">IF($D778="",0,$K778-$L778-$M778-$N778)</f>
        <v>0</v>
      </c>
      <c r="T778" s="22"/>
      <c r="U778" s="20" t="n">
        <f aca="false">IF($T778="",0,MAX(0,$S778-$T778))</f>
        <v>0</v>
      </c>
      <c r="V778" s="21" t="n">
        <f aca="false">IF($S778=0,0,$U778/$S778)</f>
        <v>0</v>
      </c>
      <c r="W778" s="23" t="str">
        <f aca="false">IF($D778="","",IF($T778="","BEKLİYOR",IF(OR($U778=0,$S778=0),"DOĞRU",IF(AND($V778&gt;PazaryeriEksikHakedisEsik,$U778&gt;PazaryeriEksikHakedisTutarEsik),"EKSİK HAKEDİŞ","DOĞRU"))))</f>
        <v/>
      </c>
      <c r="X778" s="23" t="str">
        <f aca="false">IF($B778="","",CONCATENATE("Ürün: ",$B778," | Kâr: ",TEXT($Q778,"₺ #,##0")," | Durum: ",$W778))</f>
        <v/>
      </c>
      <c r="Y778" s="24"/>
    </row>
    <row r="779" customFormat="false" ht="15" hidden="false" customHeight="false" outlineLevel="0" collapsed="false">
      <c r="A779" s="24"/>
      <c r="B779" s="24"/>
      <c r="C779" s="22"/>
      <c r="D779" s="25"/>
      <c r="E779" s="22"/>
      <c r="F779" s="26"/>
      <c r="G779" s="26"/>
      <c r="H779" s="26"/>
      <c r="I779" s="26"/>
      <c r="J779" s="22"/>
      <c r="K779" s="20" t="n">
        <f aca="false">IF($D779="",0,$C779*$D779)</f>
        <v>0</v>
      </c>
      <c r="L779" s="20" t="n">
        <f aca="false">IF($D779="",0,$F779*$K779)</f>
        <v>0</v>
      </c>
      <c r="M779" s="20" t="n">
        <f aca="false">IF($D779="",0,$G779*$K779)</f>
        <v>0</v>
      </c>
      <c r="N779" s="20" t="n">
        <f aca="false">IF($D779="",0,$H779*$K779)</f>
        <v>0</v>
      </c>
      <c r="O779" s="20" t="n">
        <f aca="false">IF($D779="",0,$I779*$K779*(1-$F779))</f>
        <v>0</v>
      </c>
      <c r="P779" s="20" t="n">
        <f aca="false">IF($D779="",0,$E779*$D779+$L779+$M779+$N779+$O779+$J779*$D779)</f>
        <v>0</v>
      </c>
      <c r="Q779" s="20" t="n">
        <f aca="false">IF($D779="",0,$K779-$P779)</f>
        <v>0</v>
      </c>
      <c r="R779" s="21" t="n">
        <f aca="false">IF($K779=0,0,$Q779/$K779)</f>
        <v>0</v>
      </c>
      <c r="S779" s="20" t="n">
        <f aca="false">IF($D779="",0,$K779-$L779-$M779-$N779)</f>
        <v>0</v>
      </c>
      <c r="T779" s="22"/>
      <c r="U779" s="20" t="n">
        <f aca="false">IF($T779="",0,MAX(0,$S779-$T779))</f>
        <v>0</v>
      </c>
      <c r="V779" s="21" t="n">
        <f aca="false">IF($S779=0,0,$U779/$S779)</f>
        <v>0</v>
      </c>
      <c r="W779" s="23" t="str">
        <f aca="false">IF($D779="","",IF($T779="","BEKLİYOR",IF(OR($U779=0,$S779=0),"DOĞRU",IF(AND($V779&gt;PazaryeriEksikHakedisEsik,$U779&gt;PazaryeriEksikHakedisTutarEsik),"EKSİK HAKEDİŞ","DOĞRU"))))</f>
        <v/>
      </c>
      <c r="X779" s="23" t="str">
        <f aca="false">IF($B779="","",CONCATENATE("Ürün: ",$B779," | Kâr: ",TEXT($Q779,"₺ #,##0")," | Durum: ",$W779))</f>
        <v/>
      </c>
      <c r="Y779" s="24"/>
    </row>
    <row r="780" customFormat="false" ht="15" hidden="false" customHeight="false" outlineLevel="0" collapsed="false">
      <c r="A780" s="24"/>
      <c r="B780" s="24"/>
      <c r="C780" s="22"/>
      <c r="D780" s="25"/>
      <c r="E780" s="22"/>
      <c r="F780" s="26"/>
      <c r="G780" s="26"/>
      <c r="H780" s="26"/>
      <c r="I780" s="26"/>
      <c r="J780" s="22"/>
      <c r="K780" s="20" t="n">
        <f aca="false">IF($D780="",0,$C780*$D780)</f>
        <v>0</v>
      </c>
      <c r="L780" s="20" t="n">
        <f aca="false">IF($D780="",0,$F780*$K780)</f>
        <v>0</v>
      </c>
      <c r="M780" s="20" t="n">
        <f aca="false">IF($D780="",0,$G780*$K780)</f>
        <v>0</v>
      </c>
      <c r="N780" s="20" t="n">
        <f aca="false">IF($D780="",0,$H780*$K780)</f>
        <v>0</v>
      </c>
      <c r="O780" s="20" t="n">
        <f aca="false">IF($D780="",0,$I780*$K780*(1-$F780))</f>
        <v>0</v>
      </c>
      <c r="P780" s="20" t="n">
        <f aca="false">IF($D780="",0,$E780*$D780+$L780+$M780+$N780+$O780+$J780*$D780)</f>
        <v>0</v>
      </c>
      <c r="Q780" s="20" t="n">
        <f aca="false">IF($D780="",0,$K780-$P780)</f>
        <v>0</v>
      </c>
      <c r="R780" s="21" t="n">
        <f aca="false">IF($K780=0,0,$Q780/$K780)</f>
        <v>0</v>
      </c>
      <c r="S780" s="20" t="n">
        <f aca="false">IF($D780="",0,$K780-$L780-$M780-$N780)</f>
        <v>0</v>
      </c>
      <c r="T780" s="22"/>
      <c r="U780" s="20" t="n">
        <f aca="false">IF($T780="",0,MAX(0,$S780-$T780))</f>
        <v>0</v>
      </c>
      <c r="V780" s="21" t="n">
        <f aca="false">IF($S780=0,0,$U780/$S780)</f>
        <v>0</v>
      </c>
      <c r="W780" s="23" t="str">
        <f aca="false">IF($D780="","",IF($T780="","BEKLİYOR",IF(OR($U780=0,$S780=0),"DOĞRU",IF(AND($V780&gt;PazaryeriEksikHakedisEsik,$U780&gt;PazaryeriEksikHakedisTutarEsik),"EKSİK HAKEDİŞ","DOĞRU"))))</f>
        <v/>
      </c>
      <c r="X780" s="23" t="str">
        <f aca="false">IF($B780="","",CONCATENATE("Ürün: ",$B780," | Kâr: ",TEXT($Q780,"₺ #,##0")," | Durum: ",$W780))</f>
        <v/>
      </c>
      <c r="Y780" s="24"/>
    </row>
    <row r="781" customFormat="false" ht="15" hidden="false" customHeight="false" outlineLevel="0" collapsed="false">
      <c r="A781" s="24"/>
      <c r="B781" s="24"/>
      <c r="C781" s="22"/>
      <c r="D781" s="25"/>
      <c r="E781" s="22"/>
      <c r="F781" s="26"/>
      <c r="G781" s="26"/>
      <c r="H781" s="26"/>
      <c r="I781" s="26"/>
      <c r="J781" s="22"/>
      <c r="K781" s="20" t="n">
        <f aca="false">IF($D781="",0,$C781*$D781)</f>
        <v>0</v>
      </c>
      <c r="L781" s="20" t="n">
        <f aca="false">IF($D781="",0,$F781*$K781)</f>
        <v>0</v>
      </c>
      <c r="M781" s="20" t="n">
        <f aca="false">IF($D781="",0,$G781*$K781)</f>
        <v>0</v>
      </c>
      <c r="N781" s="20" t="n">
        <f aca="false">IF($D781="",0,$H781*$K781)</f>
        <v>0</v>
      </c>
      <c r="O781" s="20" t="n">
        <f aca="false">IF($D781="",0,$I781*$K781*(1-$F781))</f>
        <v>0</v>
      </c>
      <c r="P781" s="20" t="n">
        <f aca="false">IF($D781="",0,$E781*$D781+$L781+$M781+$N781+$O781+$J781*$D781)</f>
        <v>0</v>
      </c>
      <c r="Q781" s="20" t="n">
        <f aca="false">IF($D781="",0,$K781-$P781)</f>
        <v>0</v>
      </c>
      <c r="R781" s="21" t="n">
        <f aca="false">IF($K781=0,0,$Q781/$K781)</f>
        <v>0</v>
      </c>
      <c r="S781" s="20" t="n">
        <f aca="false">IF($D781="",0,$K781-$L781-$M781-$N781)</f>
        <v>0</v>
      </c>
      <c r="T781" s="22"/>
      <c r="U781" s="20" t="n">
        <f aca="false">IF($T781="",0,MAX(0,$S781-$T781))</f>
        <v>0</v>
      </c>
      <c r="V781" s="21" t="n">
        <f aca="false">IF($S781=0,0,$U781/$S781)</f>
        <v>0</v>
      </c>
      <c r="W781" s="23" t="str">
        <f aca="false">IF($D781="","",IF($T781="","BEKLİYOR",IF(OR($U781=0,$S781=0),"DOĞRU",IF(AND($V781&gt;PazaryeriEksikHakedisEsik,$U781&gt;PazaryeriEksikHakedisTutarEsik),"EKSİK HAKEDİŞ","DOĞRU"))))</f>
        <v/>
      </c>
      <c r="X781" s="23" t="str">
        <f aca="false">IF($B781="","",CONCATENATE("Ürün: ",$B781," | Kâr: ",TEXT($Q781,"₺ #,##0")," | Durum: ",$W781))</f>
        <v/>
      </c>
      <c r="Y781" s="24"/>
    </row>
    <row r="782" customFormat="false" ht="15" hidden="false" customHeight="false" outlineLevel="0" collapsed="false">
      <c r="A782" s="24"/>
      <c r="B782" s="24"/>
      <c r="C782" s="22"/>
      <c r="D782" s="25"/>
      <c r="E782" s="22"/>
      <c r="F782" s="26"/>
      <c r="G782" s="26"/>
      <c r="H782" s="26"/>
      <c r="I782" s="26"/>
      <c r="J782" s="22"/>
      <c r="K782" s="20" t="n">
        <f aca="false">IF($D782="",0,$C782*$D782)</f>
        <v>0</v>
      </c>
      <c r="L782" s="20" t="n">
        <f aca="false">IF($D782="",0,$F782*$K782)</f>
        <v>0</v>
      </c>
      <c r="M782" s="20" t="n">
        <f aca="false">IF($D782="",0,$G782*$K782)</f>
        <v>0</v>
      </c>
      <c r="N782" s="20" t="n">
        <f aca="false">IF($D782="",0,$H782*$K782)</f>
        <v>0</v>
      </c>
      <c r="O782" s="20" t="n">
        <f aca="false">IF($D782="",0,$I782*$K782*(1-$F782))</f>
        <v>0</v>
      </c>
      <c r="P782" s="20" t="n">
        <f aca="false">IF($D782="",0,$E782*$D782+$L782+$M782+$N782+$O782+$J782*$D782)</f>
        <v>0</v>
      </c>
      <c r="Q782" s="20" t="n">
        <f aca="false">IF($D782="",0,$K782-$P782)</f>
        <v>0</v>
      </c>
      <c r="R782" s="21" t="n">
        <f aca="false">IF($K782=0,0,$Q782/$K782)</f>
        <v>0</v>
      </c>
      <c r="S782" s="20" t="n">
        <f aca="false">IF($D782="",0,$K782-$L782-$M782-$N782)</f>
        <v>0</v>
      </c>
      <c r="T782" s="22"/>
      <c r="U782" s="20" t="n">
        <f aca="false">IF($T782="",0,MAX(0,$S782-$T782))</f>
        <v>0</v>
      </c>
      <c r="V782" s="21" t="n">
        <f aca="false">IF($S782=0,0,$U782/$S782)</f>
        <v>0</v>
      </c>
      <c r="W782" s="23" t="str">
        <f aca="false">IF($D782="","",IF($T782="","BEKLİYOR",IF(OR($U782=0,$S782=0),"DOĞRU",IF(AND($V782&gt;PazaryeriEksikHakedisEsik,$U782&gt;PazaryeriEksikHakedisTutarEsik),"EKSİK HAKEDİŞ","DOĞRU"))))</f>
        <v/>
      </c>
      <c r="X782" s="23" t="str">
        <f aca="false">IF($B782="","",CONCATENATE("Ürün: ",$B782," | Kâr: ",TEXT($Q782,"₺ #,##0")," | Durum: ",$W782))</f>
        <v/>
      </c>
      <c r="Y782" s="24"/>
    </row>
    <row r="783" customFormat="false" ht="15" hidden="false" customHeight="false" outlineLevel="0" collapsed="false">
      <c r="A783" s="24"/>
      <c r="B783" s="24"/>
      <c r="C783" s="22"/>
      <c r="D783" s="25"/>
      <c r="E783" s="22"/>
      <c r="F783" s="26"/>
      <c r="G783" s="26"/>
      <c r="H783" s="26"/>
      <c r="I783" s="26"/>
      <c r="J783" s="22"/>
      <c r="K783" s="20" t="n">
        <f aca="false">IF($D783="",0,$C783*$D783)</f>
        <v>0</v>
      </c>
      <c r="L783" s="20" t="n">
        <f aca="false">IF($D783="",0,$F783*$K783)</f>
        <v>0</v>
      </c>
      <c r="M783" s="20" t="n">
        <f aca="false">IF($D783="",0,$G783*$K783)</f>
        <v>0</v>
      </c>
      <c r="N783" s="20" t="n">
        <f aca="false">IF($D783="",0,$H783*$K783)</f>
        <v>0</v>
      </c>
      <c r="O783" s="20" t="n">
        <f aca="false">IF($D783="",0,$I783*$K783*(1-$F783))</f>
        <v>0</v>
      </c>
      <c r="P783" s="20" t="n">
        <f aca="false">IF($D783="",0,$E783*$D783+$L783+$M783+$N783+$O783+$J783*$D783)</f>
        <v>0</v>
      </c>
      <c r="Q783" s="20" t="n">
        <f aca="false">IF($D783="",0,$K783-$P783)</f>
        <v>0</v>
      </c>
      <c r="R783" s="21" t="n">
        <f aca="false">IF($K783=0,0,$Q783/$K783)</f>
        <v>0</v>
      </c>
      <c r="S783" s="20" t="n">
        <f aca="false">IF($D783="",0,$K783-$L783-$M783-$N783)</f>
        <v>0</v>
      </c>
      <c r="T783" s="22"/>
      <c r="U783" s="20" t="n">
        <f aca="false">IF($T783="",0,MAX(0,$S783-$T783))</f>
        <v>0</v>
      </c>
      <c r="V783" s="21" t="n">
        <f aca="false">IF($S783=0,0,$U783/$S783)</f>
        <v>0</v>
      </c>
      <c r="W783" s="23" t="str">
        <f aca="false">IF($D783="","",IF($T783="","BEKLİYOR",IF(OR($U783=0,$S783=0),"DOĞRU",IF(AND($V783&gt;PazaryeriEksikHakedisEsik,$U783&gt;PazaryeriEksikHakedisTutarEsik),"EKSİK HAKEDİŞ","DOĞRU"))))</f>
        <v/>
      </c>
      <c r="X783" s="23" t="str">
        <f aca="false">IF($B783="","",CONCATENATE("Ürün: ",$B783," | Kâr: ",TEXT($Q783,"₺ #,##0")," | Durum: ",$W783))</f>
        <v/>
      </c>
      <c r="Y783" s="24"/>
    </row>
    <row r="784" customFormat="false" ht="15" hidden="false" customHeight="false" outlineLevel="0" collapsed="false">
      <c r="A784" s="24"/>
      <c r="B784" s="24"/>
      <c r="C784" s="22"/>
      <c r="D784" s="25"/>
      <c r="E784" s="22"/>
      <c r="F784" s="26"/>
      <c r="G784" s="26"/>
      <c r="H784" s="26"/>
      <c r="I784" s="26"/>
      <c r="J784" s="22"/>
      <c r="K784" s="20" t="n">
        <f aca="false">IF($D784="",0,$C784*$D784)</f>
        <v>0</v>
      </c>
      <c r="L784" s="20" t="n">
        <f aca="false">IF($D784="",0,$F784*$K784)</f>
        <v>0</v>
      </c>
      <c r="M784" s="20" t="n">
        <f aca="false">IF($D784="",0,$G784*$K784)</f>
        <v>0</v>
      </c>
      <c r="N784" s="20" t="n">
        <f aca="false">IF($D784="",0,$H784*$K784)</f>
        <v>0</v>
      </c>
      <c r="O784" s="20" t="n">
        <f aca="false">IF($D784="",0,$I784*$K784*(1-$F784))</f>
        <v>0</v>
      </c>
      <c r="P784" s="20" t="n">
        <f aca="false">IF($D784="",0,$E784*$D784+$L784+$M784+$N784+$O784+$J784*$D784)</f>
        <v>0</v>
      </c>
      <c r="Q784" s="20" t="n">
        <f aca="false">IF($D784="",0,$K784-$P784)</f>
        <v>0</v>
      </c>
      <c r="R784" s="21" t="n">
        <f aca="false">IF($K784=0,0,$Q784/$K784)</f>
        <v>0</v>
      </c>
      <c r="S784" s="20" t="n">
        <f aca="false">IF($D784="",0,$K784-$L784-$M784-$N784)</f>
        <v>0</v>
      </c>
      <c r="T784" s="22"/>
      <c r="U784" s="20" t="n">
        <f aca="false">IF($T784="",0,MAX(0,$S784-$T784))</f>
        <v>0</v>
      </c>
      <c r="V784" s="21" t="n">
        <f aca="false">IF($S784=0,0,$U784/$S784)</f>
        <v>0</v>
      </c>
      <c r="W784" s="23" t="str">
        <f aca="false">IF($D784="","",IF($T784="","BEKLİYOR",IF(OR($U784=0,$S784=0),"DOĞRU",IF(AND($V784&gt;PazaryeriEksikHakedisEsik,$U784&gt;PazaryeriEksikHakedisTutarEsik),"EKSİK HAKEDİŞ","DOĞRU"))))</f>
        <v/>
      </c>
      <c r="X784" s="23" t="str">
        <f aca="false">IF($B784="","",CONCATENATE("Ürün: ",$B784," | Kâr: ",TEXT($Q784,"₺ #,##0")," | Durum: ",$W784))</f>
        <v/>
      </c>
      <c r="Y784" s="24"/>
    </row>
    <row r="785" customFormat="false" ht="15" hidden="false" customHeight="false" outlineLevel="0" collapsed="false">
      <c r="A785" s="24"/>
      <c r="B785" s="24"/>
      <c r="C785" s="22"/>
      <c r="D785" s="25"/>
      <c r="E785" s="22"/>
      <c r="F785" s="26"/>
      <c r="G785" s="26"/>
      <c r="H785" s="26"/>
      <c r="I785" s="26"/>
      <c r="J785" s="22"/>
      <c r="K785" s="20" t="n">
        <f aca="false">IF($D785="",0,$C785*$D785)</f>
        <v>0</v>
      </c>
      <c r="L785" s="20" t="n">
        <f aca="false">IF($D785="",0,$F785*$K785)</f>
        <v>0</v>
      </c>
      <c r="M785" s="20" t="n">
        <f aca="false">IF($D785="",0,$G785*$K785)</f>
        <v>0</v>
      </c>
      <c r="N785" s="20" t="n">
        <f aca="false">IF($D785="",0,$H785*$K785)</f>
        <v>0</v>
      </c>
      <c r="O785" s="20" t="n">
        <f aca="false">IF($D785="",0,$I785*$K785*(1-$F785))</f>
        <v>0</v>
      </c>
      <c r="P785" s="20" t="n">
        <f aca="false">IF($D785="",0,$E785*$D785+$L785+$M785+$N785+$O785+$J785*$D785)</f>
        <v>0</v>
      </c>
      <c r="Q785" s="20" t="n">
        <f aca="false">IF($D785="",0,$K785-$P785)</f>
        <v>0</v>
      </c>
      <c r="R785" s="21" t="n">
        <f aca="false">IF($K785=0,0,$Q785/$K785)</f>
        <v>0</v>
      </c>
      <c r="S785" s="20" t="n">
        <f aca="false">IF($D785="",0,$K785-$L785-$M785-$N785)</f>
        <v>0</v>
      </c>
      <c r="T785" s="22"/>
      <c r="U785" s="20" t="n">
        <f aca="false">IF($T785="",0,MAX(0,$S785-$T785))</f>
        <v>0</v>
      </c>
      <c r="V785" s="21" t="n">
        <f aca="false">IF($S785=0,0,$U785/$S785)</f>
        <v>0</v>
      </c>
      <c r="W785" s="23" t="str">
        <f aca="false">IF($D785="","",IF($T785="","BEKLİYOR",IF(OR($U785=0,$S785=0),"DOĞRU",IF(AND($V785&gt;PazaryeriEksikHakedisEsik,$U785&gt;PazaryeriEksikHakedisTutarEsik),"EKSİK HAKEDİŞ","DOĞRU"))))</f>
        <v/>
      </c>
      <c r="X785" s="23" t="str">
        <f aca="false">IF($B785="","",CONCATENATE("Ürün: ",$B785," | Kâr: ",TEXT($Q785,"₺ #,##0")," | Durum: ",$W785))</f>
        <v/>
      </c>
      <c r="Y785" s="24"/>
    </row>
    <row r="786" customFormat="false" ht="15" hidden="false" customHeight="false" outlineLevel="0" collapsed="false">
      <c r="A786" s="24"/>
      <c r="B786" s="24"/>
      <c r="C786" s="22"/>
      <c r="D786" s="25"/>
      <c r="E786" s="22"/>
      <c r="F786" s="26"/>
      <c r="G786" s="26"/>
      <c r="H786" s="26"/>
      <c r="I786" s="26"/>
      <c r="J786" s="22"/>
      <c r="K786" s="20" t="n">
        <f aca="false">IF($D786="",0,$C786*$D786)</f>
        <v>0</v>
      </c>
      <c r="L786" s="20" t="n">
        <f aca="false">IF($D786="",0,$F786*$K786)</f>
        <v>0</v>
      </c>
      <c r="M786" s="20" t="n">
        <f aca="false">IF($D786="",0,$G786*$K786)</f>
        <v>0</v>
      </c>
      <c r="N786" s="20" t="n">
        <f aca="false">IF($D786="",0,$H786*$K786)</f>
        <v>0</v>
      </c>
      <c r="O786" s="20" t="n">
        <f aca="false">IF($D786="",0,$I786*$K786*(1-$F786))</f>
        <v>0</v>
      </c>
      <c r="P786" s="20" t="n">
        <f aca="false">IF($D786="",0,$E786*$D786+$L786+$M786+$N786+$O786+$J786*$D786)</f>
        <v>0</v>
      </c>
      <c r="Q786" s="20" t="n">
        <f aca="false">IF($D786="",0,$K786-$P786)</f>
        <v>0</v>
      </c>
      <c r="R786" s="21" t="n">
        <f aca="false">IF($K786=0,0,$Q786/$K786)</f>
        <v>0</v>
      </c>
      <c r="S786" s="20" t="n">
        <f aca="false">IF($D786="",0,$K786-$L786-$M786-$N786)</f>
        <v>0</v>
      </c>
      <c r="T786" s="22"/>
      <c r="U786" s="20" t="n">
        <f aca="false">IF($T786="",0,MAX(0,$S786-$T786))</f>
        <v>0</v>
      </c>
      <c r="V786" s="21" t="n">
        <f aca="false">IF($S786=0,0,$U786/$S786)</f>
        <v>0</v>
      </c>
      <c r="W786" s="23" t="str">
        <f aca="false">IF($D786="","",IF($T786="","BEKLİYOR",IF(OR($U786=0,$S786=0),"DOĞRU",IF(AND($V786&gt;PazaryeriEksikHakedisEsik,$U786&gt;PazaryeriEksikHakedisTutarEsik),"EKSİK HAKEDİŞ","DOĞRU"))))</f>
        <v/>
      </c>
      <c r="X786" s="23" t="str">
        <f aca="false">IF($B786="","",CONCATENATE("Ürün: ",$B786," | Kâr: ",TEXT($Q786,"₺ #,##0")," | Durum: ",$W786))</f>
        <v/>
      </c>
      <c r="Y786" s="24"/>
    </row>
    <row r="787" customFormat="false" ht="15" hidden="false" customHeight="false" outlineLevel="0" collapsed="false">
      <c r="A787" s="24"/>
      <c r="B787" s="24"/>
      <c r="C787" s="22"/>
      <c r="D787" s="25"/>
      <c r="E787" s="22"/>
      <c r="F787" s="26"/>
      <c r="G787" s="26"/>
      <c r="H787" s="26"/>
      <c r="I787" s="26"/>
      <c r="J787" s="22"/>
      <c r="K787" s="20" t="n">
        <f aca="false">IF($D787="",0,$C787*$D787)</f>
        <v>0</v>
      </c>
      <c r="L787" s="20" t="n">
        <f aca="false">IF($D787="",0,$F787*$K787)</f>
        <v>0</v>
      </c>
      <c r="M787" s="20" t="n">
        <f aca="false">IF($D787="",0,$G787*$K787)</f>
        <v>0</v>
      </c>
      <c r="N787" s="20" t="n">
        <f aca="false">IF($D787="",0,$H787*$K787)</f>
        <v>0</v>
      </c>
      <c r="O787" s="20" t="n">
        <f aca="false">IF($D787="",0,$I787*$K787*(1-$F787))</f>
        <v>0</v>
      </c>
      <c r="P787" s="20" t="n">
        <f aca="false">IF($D787="",0,$E787*$D787+$L787+$M787+$N787+$O787+$J787*$D787)</f>
        <v>0</v>
      </c>
      <c r="Q787" s="20" t="n">
        <f aca="false">IF($D787="",0,$K787-$P787)</f>
        <v>0</v>
      </c>
      <c r="R787" s="21" t="n">
        <f aca="false">IF($K787=0,0,$Q787/$K787)</f>
        <v>0</v>
      </c>
      <c r="S787" s="20" t="n">
        <f aca="false">IF($D787="",0,$K787-$L787-$M787-$N787)</f>
        <v>0</v>
      </c>
      <c r="T787" s="22"/>
      <c r="U787" s="20" t="n">
        <f aca="false">IF($T787="",0,MAX(0,$S787-$T787))</f>
        <v>0</v>
      </c>
      <c r="V787" s="21" t="n">
        <f aca="false">IF($S787=0,0,$U787/$S787)</f>
        <v>0</v>
      </c>
      <c r="W787" s="23" t="str">
        <f aca="false">IF($D787="","",IF($T787="","BEKLİYOR",IF(OR($U787=0,$S787=0),"DOĞRU",IF(AND($V787&gt;PazaryeriEksikHakedisEsik,$U787&gt;PazaryeriEksikHakedisTutarEsik),"EKSİK HAKEDİŞ","DOĞRU"))))</f>
        <v/>
      </c>
      <c r="X787" s="23" t="str">
        <f aca="false">IF($B787="","",CONCATENATE("Ürün: ",$B787," | Kâr: ",TEXT($Q787,"₺ #,##0")," | Durum: ",$W787))</f>
        <v/>
      </c>
      <c r="Y787" s="24"/>
    </row>
    <row r="788" customFormat="false" ht="15" hidden="false" customHeight="false" outlineLevel="0" collapsed="false">
      <c r="A788" s="24"/>
      <c r="B788" s="24"/>
      <c r="C788" s="22"/>
      <c r="D788" s="25"/>
      <c r="E788" s="22"/>
      <c r="F788" s="26"/>
      <c r="G788" s="26"/>
      <c r="H788" s="26"/>
      <c r="I788" s="26"/>
      <c r="J788" s="22"/>
      <c r="K788" s="20" t="n">
        <f aca="false">IF($D788="",0,$C788*$D788)</f>
        <v>0</v>
      </c>
      <c r="L788" s="20" t="n">
        <f aca="false">IF($D788="",0,$F788*$K788)</f>
        <v>0</v>
      </c>
      <c r="M788" s="20" t="n">
        <f aca="false">IF($D788="",0,$G788*$K788)</f>
        <v>0</v>
      </c>
      <c r="N788" s="20" t="n">
        <f aca="false">IF($D788="",0,$H788*$K788)</f>
        <v>0</v>
      </c>
      <c r="O788" s="20" t="n">
        <f aca="false">IF($D788="",0,$I788*$K788*(1-$F788))</f>
        <v>0</v>
      </c>
      <c r="P788" s="20" t="n">
        <f aca="false">IF($D788="",0,$E788*$D788+$L788+$M788+$N788+$O788+$J788*$D788)</f>
        <v>0</v>
      </c>
      <c r="Q788" s="20" t="n">
        <f aca="false">IF($D788="",0,$K788-$P788)</f>
        <v>0</v>
      </c>
      <c r="R788" s="21" t="n">
        <f aca="false">IF($K788=0,0,$Q788/$K788)</f>
        <v>0</v>
      </c>
      <c r="S788" s="20" t="n">
        <f aca="false">IF($D788="",0,$K788-$L788-$M788-$N788)</f>
        <v>0</v>
      </c>
      <c r="T788" s="22"/>
      <c r="U788" s="20" t="n">
        <f aca="false">IF($T788="",0,MAX(0,$S788-$T788))</f>
        <v>0</v>
      </c>
      <c r="V788" s="21" t="n">
        <f aca="false">IF($S788=0,0,$U788/$S788)</f>
        <v>0</v>
      </c>
      <c r="W788" s="23" t="str">
        <f aca="false">IF($D788="","",IF($T788="","BEKLİYOR",IF(OR($U788=0,$S788=0),"DOĞRU",IF(AND($V788&gt;PazaryeriEksikHakedisEsik,$U788&gt;PazaryeriEksikHakedisTutarEsik),"EKSİK HAKEDİŞ","DOĞRU"))))</f>
        <v/>
      </c>
      <c r="X788" s="23" t="str">
        <f aca="false">IF($B788="","",CONCATENATE("Ürün: ",$B788," | Kâr: ",TEXT($Q788,"₺ #,##0")," | Durum: ",$W788))</f>
        <v/>
      </c>
      <c r="Y788" s="24"/>
    </row>
    <row r="789" customFormat="false" ht="15" hidden="false" customHeight="false" outlineLevel="0" collapsed="false">
      <c r="A789" s="24"/>
      <c r="B789" s="24"/>
      <c r="C789" s="22"/>
      <c r="D789" s="25"/>
      <c r="E789" s="22"/>
      <c r="F789" s="26"/>
      <c r="G789" s="26"/>
      <c r="H789" s="26"/>
      <c r="I789" s="26"/>
      <c r="J789" s="22"/>
      <c r="K789" s="20" t="n">
        <f aca="false">IF($D789="",0,$C789*$D789)</f>
        <v>0</v>
      </c>
      <c r="L789" s="20" t="n">
        <f aca="false">IF($D789="",0,$F789*$K789)</f>
        <v>0</v>
      </c>
      <c r="M789" s="20" t="n">
        <f aca="false">IF($D789="",0,$G789*$K789)</f>
        <v>0</v>
      </c>
      <c r="N789" s="20" t="n">
        <f aca="false">IF($D789="",0,$H789*$K789)</f>
        <v>0</v>
      </c>
      <c r="O789" s="20" t="n">
        <f aca="false">IF($D789="",0,$I789*$K789*(1-$F789))</f>
        <v>0</v>
      </c>
      <c r="P789" s="20" t="n">
        <f aca="false">IF($D789="",0,$E789*$D789+$L789+$M789+$N789+$O789+$J789*$D789)</f>
        <v>0</v>
      </c>
      <c r="Q789" s="20" t="n">
        <f aca="false">IF($D789="",0,$K789-$P789)</f>
        <v>0</v>
      </c>
      <c r="R789" s="21" t="n">
        <f aca="false">IF($K789=0,0,$Q789/$K789)</f>
        <v>0</v>
      </c>
      <c r="S789" s="20" t="n">
        <f aca="false">IF($D789="",0,$K789-$L789-$M789-$N789)</f>
        <v>0</v>
      </c>
      <c r="T789" s="22"/>
      <c r="U789" s="20" t="n">
        <f aca="false">IF($T789="",0,MAX(0,$S789-$T789))</f>
        <v>0</v>
      </c>
      <c r="V789" s="21" t="n">
        <f aca="false">IF($S789=0,0,$U789/$S789)</f>
        <v>0</v>
      </c>
      <c r="W789" s="23" t="str">
        <f aca="false">IF($D789="","",IF($T789="","BEKLİYOR",IF(OR($U789=0,$S789=0),"DOĞRU",IF(AND($V789&gt;PazaryeriEksikHakedisEsik,$U789&gt;PazaryeriEksikHakedisTutarEsik),"EKSİK HAKEDİŞ","DOĞRU"))))</f>
        <v/>
      </c>
      <c r="X789" s="23" t="str">
        <f aca="false">IF($B789="","",CONCATENATE("Ürün: ",$B789," | Kâr: ",TEXT($Q789,"₺ #,##0")," | Durum: ",$W789))</f>
        <v/>
      </c>
      <c r="Y789" s="24"/>
    </row>
    <row r="790" customFormat="false" ht="15" hidden="false" customHeight="false" outlineLevel="0" collapsed="false">
      <c r="A790" s="24"/>
      <c r="B790" s="24"/>
      <c r="C790" s="22"/>
      <c r="D790" s="25"/>
      <c r="E790" s="22"/>
      <c r="F790" s="26"/>
      <c r="G790" s="26"/>
      <c r="H790" s="26"/>
      <c r="I790" s="26"/>
      <c r="J790" s="22"/>
      <c r="K790" s="20" t="n">
        <f aca="false">IF($D790="",0,$C790*$D790)</f>
        <v>0</v>
      </c>
      <c r="L790" s="20" t="n">
        <f aca="false">IF($D790="",0,$F790*$K790)</f>
        <v>0</v>
      </c>
      <c r="M790" s="20" t="n">
        <f aca="false">IF($D790="",0,$G790*$K790)</f>
        <v>0</v>
      </c>
      <c r="N790" s="20" t="n">
        <f aca="false">IF($D790="",0,$H790*$K790)</f>
        <v>0</v>
      </c>
      <c r="O790" s="20" t="n">
        <f aca="false">IF($D790="",0,$I790*$K790*(1-$F790))</f>
        <v>0</v>
      </c>
      <c r="P790" s="20" t="n">
        <f aca="false">IF($D790="",0,$E790*$D790+$L790+$M790+$N790+$O790+$J790*$D790)</f>
        <v>0</v>
      </c>
      <c r="Q790" s="20" t="n">
        <f aca="false">IF($D790="",0,$K790-$P790)</f>
        <v>0</v>
      </c>
      <c r="R790" s="21" t="n">
        <f aca="false">IF($K790=0,0,$Q790/$K790)</f>
        <v>0</v>
      </c>
      <c r="S790" s="20" t="n">
        <f aca="false">IF($D790="",0,$K790-$L790-$M790-$N790)</f>
        <v>0</v>
      </c>
      <c r="T790" s="22"/>
      <c r="U790" s="20" t="n">
        <f aca="false">IF($T790="",0,MAX(0,$S790-$T790))</f>
        <v>0</v>
      </c>
      <c r="V790" s="21" t="n">
        <f aca="false">IF($S790=0,0,$U790/$S790)</f>
        <v>0</v>
      </c>
      <c r="W790" s="23" t="str">
        <f aca="false">IF($D790="","",IF($T790="","BEKLİYOR",IF(OR($U790=0,$S790=0),"DOĞRU",IF(AND($V790&gt;PazaryeriEksikHakedisEsik,$U790&gt;PazaryeriEksikHakedisTutarEsik),"EKSİK HAKEDİŞ","DOĞRU"))))</f>
        <v/>
      </c>
      <c r="X790" s="23" t="str">
        <f aca="false">IF($B790="","",CONCATENATE("Ürün: ",$B790," | Kâr: ",TEXT($Q790,"₺ #,##0")," | Durum: ",$W790))</f>
        <v/>
      </c>
      <c r="Y790" s="24"/>
    </row>
    <row r="791" customFormat="false" ht="15" hidden="false" customHeight="false" outlineLevel="0" collapsed="false">
      <c r="A791" s="24"/>
      <c r="B791" s="24"/>
      <c r="C791" s="22"/>
      <c r="D791" s="25"/>
      <c r="E791" s="22"/>
      <c r="F791" s="26"/>
      <c r="G791" s="26"/>
      <c r="H791" s="26"/>
      <c r="I791" s="26"/>
      <c r="J791" s="22"/>
      <c r="K791" s="20" t="n">
        <f aca="false">IF($D791="",0,$C791*$D791)</f>
        <v>0</v>
      </c>
      <c r="L791" s="20" t="n">
        <f aca="false">IF($D791="",0,$F791*$K791)</f>
        <v>0</v>
      </c>
      <c r="M791" s="20" t="n">
        <f aca="false">IF($D791="",0,$G791*$K791)</f>
        <v>0</v>
      </c>
      <c r="N791" s="20" t="n">
        <f aca="false">IF($D791="",0,$H791*$K791)</f>
        <v>0</v>
      </c>
      <c r="O791" s="20" t="n">
        <f aca="false">IF($D791="",0,$I791*$K791*(1-$F791))</f>
        <v>0</v>
      </c>
      <c r="P791" s="20" t="n">
        <f aca="false">IF($D791="",0,$E791*$D791+$L791+$M791+$N791+$O791+$J791*$D791)</f>
        <v>0</v>
      </c>
      <c r="Q791" s="20" t="n">
        <f aca="false">IF($D791="",0,$K791-$P791)</f>
        <v>0</v>
      </c>
      <c r="R791" s="21" t="n">
        <f aca="false">IF($K791=0,0,$Q791/$K791)</f>
        <v>0</v>
      </c>
      <c r="S791" s="20" t="n">
        <f aca="false">IF($D791="",0,$K791-$L791-$M791-$N791)</f>
        <v>0</v>
      </c>
      <c r="T791" s="22"/>
      <c r="U791" s="20" t="n">
        <f aca="false">IF($T791="",0,MAX(0,$S791-$T791))</f>
        <v>0</v>
      </c>
      <c r="V791" s="21" t="n">
        <f aca="false">IF($S791=0,0,$U791/$S791)</f>
        <v>0</v>
      </c>
      <c r="W791" s="23" t="str">
        <f aca="false">IF($D791="","",IF($T791="","BEKLİYOR",IF(OR($U791=0,$S791=0),"DOĞRU",IF(AND($V791&gt;PazaryeriEksikHakedisEsik,$U791&gt;PazaryeriEksikHakedisTutarEsik),"EKSİK HAKEDİŞ","DOĞRU"))))</f>
        <v/>
      </c>
      <c r="X791" s="23" t="str">
        <f aca="false">IF($B791="","",CONCATENATE("Ürün: ",$B791," | Kâr: ",TEXT($Q791,"₺ #,##0")," | Durum: ",$W791))</f>
        <v/>
      </c>
      <c r="Y791" s="24"/>
    </row>
    <row r="792" customFormat="false" ht="15" hidden="false" customHeight="false" outlineLevel="0" collapsed="false">
      <c r="A792" s="24"/>
      <c r="B792" s="24"/>
      <c r="C792" s="22"/>
      <c r="D792" s="25"/>
      <c r="E792" s="22"/>
      <c r="F792" s="26"/>
      <c r="G792" s="26"/>
      <c r="H792" s="26"/>
      <c r="I792" s="26"/>
      <c r="J792" s="22"/>
      <c r="K792" s="20" t="n">
        <f aca="false">IF($D792="",0,$C792*$D792)</f>
        <v>0</v>
      </c>
      <c r="L792" s="20" t="n">
        <f aca="false">IF($D792="",0,$F792*$K792)</f>
        <v>0</v>
      </c>
      <c r="M792" s="20" t="n">
        <f aca="false">IF($D792="",0,$G792*$K792)</f>
        <v>0</v>
      </c>
      <c r="N792" s="20" t="n">
        <f aca="false">IF($D792="",0,$H792*$K792)</f>
        <v>0</v>
      </c>
      <c r="O792" s="20" t="n">
        <f aca="false">IF($D792="",0,$I792*$K792*(1-$F792))</f>
        <v>0</v>
      </c>
      <c r="P792" s="20" t="n">
        <f aca="false">IF($D792="",0,$E792*$D792+$L792+$M792+$N792+$O792+$J792*$D792)</f>
        <v>0</v>
      </c>
      <c r="Q792" s="20" t="n">
        <f aca="false">IF($D792="",0,$K792-$P792)</f>
        <v>0</v>
      </c>
      <c r="R792" s="21" t="n">
        <f aca="false">IF($K792=0,0,$Q792/$K792)</f>
        <v>0</v>
      </c>
      <c r="S792" s="20" t="n">
        <f aca="false">IF($D792="",0,$K792-$L792-$M792-$N792)</f>
        <v>0</v>
      </c>
      <c r="T792" s="22"/>
      <c r="U792" s="20" t="n">
        <f aca="false">IF($T792="",0,MAX(0,$S792-$T792))</f>
        <v>0</v>
      </c>
      <c r="V792" s="21" t="n">
        <f aca="false">IF($S792=0,0,$U792/$S792)</f>
        <v>0</v>
      </c>
      <c r="W792" s="23" t="str">
        <f aca="false">IF($D792="","",IF($T792="","BEKLİYOR",IF(OR($U792=0,$S792=0),"DOĞRU",IF(AND($V792&gt;PazaryeriEksikHakedisEsik,$U792&gt;PazaryeriEksikHakedisTutarEsik),"EKSİK HAKEDİŞ","DOĞRU"))))</f>
        <v/>
      </c>
      <c r="X792" s="23" t="str">
        <f aca="false">IF($B792="","",CONCATENATE("Ürün: ",$B792," | Kâr: ",TEXT($Q792,"₺ #,##0")," | Durum: ",$W792))</f>
        <v/>
      </c>
      <c r="Y792" s="24"/>
    </row>
    <row r="793" customFormat="false" ht="15" hidden="false" customHeight="false" outlineLevel="0" collapsed="false">
      <c r="A793" s="24"/>
      <c r="B793" s="24"/>
      <c r="C793" s="22"/>
      <c r="D793" s="25"/>
      <c r="E793" s="22"/>
      <c r="F793" s="26"/>
      <c r="G793" s="26"/>
      <c r="H793" s="26"/>
      <c r="I793" s="26"/>
      <c r="J793" s="22"/>
      <c r="K793" s="20" t="n">
        <f aca="false">IF($D793="",0,$C793*$D793)</f>
        <v>0</v>
      </c>
      <c r="L793" s="20" t="n">
        <f aca="false">IF($D793="",0,$F793*$K793)</f>
        <v>0</v>
      </c>
      <c r="M793" s="20" t="n">
        <f aca="false">IF($D793="",0,$G793*$K793)</f>
        <v>0</v>
      </c>
      <c r="N793" s="20" t="n">
        <f aca="false">IF($D793="",0,$H793*$K793)</f>
        <v>0</v>
      </c>
      <c r="O793" s="20" t="n">
        <f aca="false">IF($D793="",0,$I793*$K793*(1-$F793))</f>
        <v>0</v>
      </c>
      <c r="P793" s="20" t="n">
        <f aca="false">IF($D793="",0,$E793*$D793+$L793+$M793+$N793+$O793+$J793*$D793)</f>
        <v>0</v>
      </c>
      <c r="Q793" s="20" t="n">
        <f aca="false">IF($D793="",0,$K793-$P793)</f>
        <v>0</v>
      </c>
      <c r="R793" s="21" t="n">
        <f aca="false">IF($K793=0,0,$Q793/$K793)</f>
        <v>0</v>
      </c>
      <c r="S793" s="20" t="n">
        <f aca="false">IF($D793="",0,$K793-$L793-$M793-$N793)</f>
        <v>0</v>
      </c>
      <c r="T793" s="22"/>
      <c r="U793" s="20" t="n">
        <f aca="false">IF($T793="",0,MAX(0,$S793-$T793))</f>
        <v>0</v>
      </c>
      <c r="V793" s="21" t="n">
        <f aca="false">IF($S793=0,0,$U793/$S793)</f>
        <v>0</v>
      </c>
      <c r="W793" s="23" t="str">
        <f aca="false">IF($D793="","",IF($T793="","BEKLİYOR",IF(OR($U793=0,$S793=0),"DOĞRU",IF(AND($V793&gt;PazaryeriEksikHakedisEsik,$U793&gt;PazaryeriEksikHakedisTutarEsik),"EKSİK HAKEDİŞ","DOĞRU"))))</f>
        <v/>
      </c>
      <c r="X793" s="23" t="str">
        <f aca="false">IF($B793="","",CONCATENATE("Ürün: ",$B793," | Kâr: ",TEXT($Q793,"₺ #,##0")," | Durum: ",$W793))</f>
        <v/>
      </c>
      <c r="Y793" s="24"/>
    </row>
    <row r="794" customFormat="false" ht="15" hidden="false" customHeight="false" outlineLevel="0" collapsed="false">
      <c r="A794" s="24"/>
      <c r="B794" s="24"/>
      <c r="C794" s="22"/>
      <c r="D794" s="25"/>
      <c r="E794" s="22"/>
      <c r="F794" s="26"/>
      <c r="G794" s="26"/>
      <c r="H794" s="26"/>
      <c r="I794" s="26"/>
      <c r="J794" s="22"/>
      <c r="K794" s="20" t="n">
        <f aca="false">IF($D794="",0,$C794*$D794)</f>
        <v>0</v>
      </c>
      <c r="L794" s="20" t="n">
        <f aca="false">IF($D794="",0,$F794*$K794)</f>
        <v>0</v>
      </c>
      <c r="M794" s="20" t="n">
        <f aca="false">IF($D794="",0,$G794*$K794)</f>
        <v>0</v>
      </c>
      <c r="N794" s="20" t="n">
        <f aca="false">IF($D794="",0,$H794*$K794)</f>
        <v>0</v>
      </c>
      <c r="O794" s="20" t="n">
        <f aca="false">IF($D794="",0,$I794*$K794*(1-$F794))</f>
        <v>0</v>
      </c>
      <c r="P794" s="20" t="n">
        <f aca="false">IF($D794="",0,$E794*$D794+$L794+$M794+$N794+$O794+$J794*$D794)</f>
        <v>0</v>
      </c>
      <c r="Q794" s="20" t="n">
        <f aca="false">IF($D794="",0,$K794-$P794)</f>
        <v>0</v>
      </c>
      <c r="R794" s="21" t="n">
        <f aca="false">IF($K794=0,0,$Q794/$K794)</f>
        <v>0</v>
      </c>
      <c r="S794" s="20" t="n">
        <f aca="false">IF($D794="",0,$K794-$L794-$M794-$N794)</f>
        <v>0</v>
      </c>
      <c r="T794" s="22"/>
      <c r="U794" s="20" t="n">
        <f aca="false">IF($T794="",0,MAX(0,$S794-$T794))</f>
        <v>0</v>
      </c>
      <c r="V794" s="21" t="n">
        <f aca="false">IF($S794=0,0,$U794/$S794)</f>
        <v>0</v>
      </c>
      <c r="W794" s="23" t="str">
        <f aca="false">IF($D794="","",IF($T794="","BEKLİYOR",IF(OR($U794=0,$S794=0),"DOĞRU",IF(AND($V794&gt;PazaryeriEksikHakedisEsik,$U794&gt;PazaryeriEksikHakedisTutarEsik),"EKSİK HAKEDİŞ","DOĞRU"))))</f>
        <v/>
      </c>
      <c r="X794" s="23" t="str">
        <f aca="false">IF($B794="","",CONCATENATE("Ürün: ",$B794," | Kâr: ",TEXT($Q794,"₺ #,##0")," | Durum: ",$W794))</f>
        <v/>
      </c>
      <c r="Y794" s="24"/>
    </row>
    <row r="795" customFormat="false" ht="15" hidden="false" customHeight="false" outlineLevel="0" collapsed="false">
      <c r="A795" s="24"/>
      <c r="B795" s="24"/>
      <c r="C795" s="22"/>
      <c r="D795" s="25"/>
      <c r="E795" s="22"/>
      <c r="F795" s="26"/>
      <c r="G795" s="26"/>
      <c r="H795" s="26"/>
      <c r="I795" s="26"/>
      <c r="J795" s="22"/>
      <c r="K795" s="20" t="n">
        <f aca="false">IF($D795="",0,$C795*$D795)</f>
        <v>0</v>
      </c>
      <c r="L795" s="20" t="n">
        <f aca="false">IF($D795="",0,$F795*$K795)</f>
        <v>0</v>
      </c>
      <c r="M795" s="20" t="n">
        <f aca="false">IF($D795="",0,$G795*$K795)</f>
        <v>0</v>
      </c>
      <c r="N795" s="20" t="n">
        <f aca="false">IF($D795="",0,$H795*$K795)</f>
        <v>0</v>
      </c>
      <c r="O795" s="20" t="n">
        <f aca="false">IF($D795="",0,$I795*$K795*(1-$F795))</f>
        <v>0</v>
      </c>
      <c r="P795" s="20" t="n">
        <f aca="false">IF($D795="",0,$E795*$D795+$L795+$M795+$N795+$O795+$J795*$D795)</f>
        <v>0</v>
      </c>
      <c r="Q795" s="20" t="n">
        <f aca="false">IF($D795="",0,$K795-$P795)</f>
        <v>0</v>
      </c>
      <c r="R795" s="21" t="n">
        <f aca="false">IF($K795=0,0,$Q795/$K795)</f>
        <v>0</v>
      </c>
      <c r="S795" s="20" t="n">
        <f aca="false">IF($D795="",0,$K795-$L795-$M795-$N795)</f>
        <v>0</v>
      </c>
      <c r="T795" s="22"/>
      <c r="U795" s="20" t="n">
        <f aca="false">IF($T795="",0,MAX(0,$S795-$T795))</f>
        <v>0</v>
      </c>
      <c r="V795" s="21" t="n">
        <f aca="false">IF($S795=0,0,$U795/$S795)</f>
        <v>0</v>
      </c>
      <c r="W795" s="23" t="str">
        <f aca="false">IF($D795="","",IF($T795="","BEKLİYOR",IF(OR($U795=0,$S795=0),"DOĞRU",IF(AND($V795&gt;PazaryeriEksikHakedisEsik,$U795&gt;PazaryeriEksikHakedisTutarEsik),"EKSİK HAKEDİŞ","DOĞRU"))))</f>
        <v/>
      </c>
      <c r="X795" s="23" t="str">
        <f aca="false">IF($B795="","",CONCATENATE("Ürün: ",$B795," | Kâr: ",TEXT($Q795,"₺ #,##0")," | Durum: ",$W795))</f>
        <v/>
      </c>
      <c r="Y795" s="24"/>
    </row>
    <row r="796" customFormat="false" ht="15" hidden="false" customHeight="false" outlineLevel="0" collapsed="false">
      <c r="A796" s="24"/>
      <c r="B796" s="24"/>
      <c r="C796" s="22"/>
      <c r="D796" s="25"/>
      <c r="E796" s="22"/>
      <c r="F796" s="26"/>
      <c r="G796" s="26"/>
      <c r="H796" s="26"/>
      <c r="I796" s="26"/>
      <c r="J796" s="22"/>
      <c r="K796" s="20" t="n">
        <f aca="false">IF($D796="",0,$C796*$D796)</f>
        <v>0</v>
      </c>
      <c r="L796" s="20" t="n">
        <f aca="false">IF($D796="",0,$F796*$K796)</f>
        <v>0</v>
      </c>
      <c r="M796" s="20" t="n">
        <f aca="false">IF($D796="",0,$G796*$K796)</f>
        <v>0</v>
      </c>
      <c r="N796" s="20" t="n">
        <f aca="false">IF($D796="",0,$H796*$K796)</f>
        <v>0</v>
      </c>
      <c r="O796" s="20" t="n">
        <f aca="false">IF($D796="",0,$I796*$K796*(1-$F796))</f>
        <v>0</v>
      </c>
      <c r="P796" s="20" t="n">
        <f aca="false">IF($D796="",0,$E796*$D796+$L796+$M796+$N796+$O796+$J796*$D796)</f>
        <v>0</v>
      </c>
      <c r="Q796" s="20" t="n">
        <f aca="false">IF($D796="",0,$K796-$P796)</f>
        <v>0</v>
      </c>
      <c r="R796" s="21" t="n">
        <f aca="false">IF($K796=0,0,$Q796/$K796)</f>
        <v>0</v>
      </c>
      <c r="S796" s="20" t="n">
        <f aca="false">IF($D796="",0,$K796-$L796-$M796-$N796)</f>
        <v>0</v>
      </c>
      <c r="T796" s="22"/>
      <c r="U796" s="20" t="n">
        <f aca="false">IF($T796="",0,MAX(0,$S796-$T796))</f>
        <v>0</v>
      </c>
      <c r="V796" s="21" t="n">
        <f aca="false">IF($S796=0,0,$U796/$S796)</f>
        <v>0</v>
      </c>
      <c r="W796" s="23" t="str">
        <f aca="false">IF($D796="","",IF($T796="","BEKLİYOR",IF(OR($U796=0,$S796=0),"DOĞRU",IF(AND($V796&gt;PazaryeriEksikHakedisEsik,$U796&gt;PazaryeriEksikHakedisTutarEsik),"EKSİK HAKEDİŞ","DOĞRU"))))</f>
        <v/>
      </c>
      <c r="X796" s="23" t="str">
        <f aca="false">IF($B796="","",CONCATENATE("Ürün: ",$B796," | Kâr: ",TEXT($Q796,"₺ #,##0")," | Durum: ",$W796))</f>
        <v/>
      </c>
      <c r="Y796" s="24"/>
    </row>
    <row r="797" customFormat="false" ht="15" hidden="false" customHeight="false" outlineLevel="0" collapsed="false">
      <c r="A797" s="24"/>
      <c r="B797" s="24"/>
      <c r="C797" s="22"/>
      <c r="D797" s="25"/>
      <c r="E797" s="22"/>
      <c r="F797" s="26"/>
      <c r="G797" s="26"/>
      <c r="H797" s="26"/>
      <c r="I797" s="26"/>
      <c r="J797" s="22"/>
      <c r="K797" s="20" t="n">
        <f aca="false">IF($D797="",0,$C797*$D797)</f>
        <v>0</v>
      </c>
      <c r="L797" s="20" t="n">
        <f aca="false">IF($D797="",0,$F797*$K797)</f>
        <v>0</v>
      </c>
      <c r="M797" s="20" t="n">
        <f aca="false">IF($D797="",0,$G797*$K797)</f>
        <v>0</v>
      </c>
      <c r="N797" s="20" t="n">
        <f aca="false">IF($D797="",0,$H797*$K797)</f>
        <v>0</v>
      </c>
      <c r="O797" s="20" t="n">
        <f aca="false">IF($D797="",0,$I797*$K797*(1-$F797))</f>
        <v>0</v>
      </c>
      <c r="P797" s="20" t="n">
        <f aca="false">IF($D797="",0,$E797*$D797+$L797+$M797+$N797+$O797+$J797*$D797)</f>
        <v>0</v>
      </c>
      <c r="Q797" s="20" t="n">
        <f aca="false">IF($D797="",0,$K797-$P797)</f>
        <v>0</v>
      </c>
      <c r="R797" s="21" t="n">
        <f aca="false">IF($K797=0,0,$Q797/$K797)</f>
        <v>0</v>
      </c>
      <c r="S797" s="20" t="n">
        <f aca="false">IF($D797="",0,$K797-$L797-$M797-$N797)</f>
        <v>0</v>
      </c>
      <c r="T797" s="22"/>
      <c r="U797" s="20" t="n">
        <f aca="false">IF($T797="",0,MAX(0,$S797-$T797))</f>
        <v>0</v>
      </c>
      <c r="V797" s="21" t="n">
        <f aca="false">IF($S797=0,0,$U797/$S797)</f>
        <v>0</v>
      </c>
      <c r="W797" s="23" t="str">
        <f aca="false">IF($D797="","",IF($T797="","BEKLİYOR",IF(OR($U797=0,$S797=0),"DOĞRU",IF(AND($V797&gt;PazaryeriEksikHakedisEsik,$U797&gt;PazaryeriEksikHakedisTutarEsik),"EKSİK HAKEDİŞ","DOĞRU"))))</f>
        <v/>
      </c>
      <c r="X797" s="23" t="str">
        <f aca="false">IF($B797="","",CONCATENATE("Ürün: ",$B797," | Kâr: ",TEXT($Q797,"₺ #,##0")," | Durum: ",$W797))</f>
        <v/>
      </c>
      <c r="Y797" s="24"/>
    </row>
    <row r="798" customFormat="false" ht="15" hidden="false" customHeight="false" outlineLevel="0" collapsed="false">
      <c r="A798" s="24"/>
      <c r="B798" s="24"/>
      <c r="C798" s="22"/>
      <c r="D798" s="25"/>
      <c r="E798" s="22"/>
      <c r="F798" s="26"/>
      <c r="G798" s="26"/>
      <c r="H798" s="26"/>
      <c r="I798" s="26"/>
      <c r="J798" s="22"/>
      <c r="K798" s="20" t="n">
        <f aca="false">IF($D798="",0,$C798*$D798)</f>
        <v>0</v>
      </c>
      <c r="L798" s="20" t="n">
        <f aca="false">IF($D798="",0,$F798*$K798)</f>
        <v>0</v>
      </c>
      <c r="M798" s="20" t="n">
        <f aca="false">IF($D798="",0,$G798*$K798)</f>
        <v>0</v>
      </c>
      <c r="N798" s="20" t="n">
        <f aca="false">IF($D798="",0,$H798*$K798)</f>
        <v>0</v>
      </c>
      <c r="O798" s="20" t="n">
        <f aca="false">IF($D798="",0,$I798*$K798*(1-$F798))</f>
        <v>0</v>
      </c>
      <c r="P798" s="20" t="n">
        <f aca="false">IF($D798="",0,$E798*$D798+$L798+$M798+$N798+$O798+$J798*$D798)</f>
        <v>0</v>
      </c>
      <c r="Q798" s="20" t="n">
        <f aca="false">IF($D798="",0,$K798-$P798)</f>
        <v>0</v>
      </c>
      <c r="R798" s="21" t="n">
        <f aca="false">IF($K798=0,0,$Q798/$K798)</f>
        <v>0</v>
      </c>
      <c r="S798" s="20" t="n">
        <f aca="false">IF($D798="",0,$K798-$L798-$M798-$N798)</f>
        <v>0</v>
      </c>
      <c r="T798" s="22"/>
      <c r="U798" s="20" t="n">
        <f aca="false">IF($T798="",0,MAX(0,$S798-$T798))</f>
        <v>0</v>
      </c>
      <c r="V798" s="21" t="n">
        <f aca="false">IF($S798=0,0,$U798/$S798)</f>
        <v>0</v>
      </c>
      <c r="W798" s="23" t="str">
        <f aca="false">IF($D798="","",IF($T798="","BEKLİYOR",IF(OR($U798=0,$S798=0),"DOĞRU",IF(AND($V798&gt;PazaryeriEksikHakedisEsik,$U798&gt;PazaryeriEksikHakedisTutarEsik),"EKSİK HAKEDİŞ","DOĞRU"))))</f>
        <v/>
      </c>
      <c r="X798" s="23" t="str">
        <f aca="false">IF($B798="","",CONCATENATE("Ürün: ",$B798," | Kâr: ",TEXT($Q798,"₺ #,##0")," | Durum: ",$W798))</f>
        <v/>
      </c>
      <c r="Y798" s="24"/>
    </row>
    <row r="799" customFormat="false" ht="15" hidden="false" customHeight="false" outlineLevel="0" collapsed="false">
      <c r="A799" s="24"/>
      <c r="B799" s="24"/>
      <c r="C799" s="22"/>
      <c r="D799" s="25"/>
      <c r="E799" s="22"/>
      <c r="F799" s="26"/>
      <c r="G799" s="26"/>
      <c r="H799" s="26"/>
      <c r="I799" s="26"/>
      <c r="J799" s="22"/>
      <c r="K799" s="20" t="n">
        <f aca="false">IF($D799="",0,$C799*$D799)</f>
        <v>0</v>
      </c>
      <c r="L799" s="20" t="n">
        <f aca="false">IF($D799="",0,$F799*$K799)</f>
        <v>0</v>
      </c>
      <c r="M799" s="20" t="n">
        <f aca="false">IF($D799="",0,$G799*$K799)</f>
        <v>0</v>
      </c>
      <c r="N799" s="20" t="n">
        <f aca="false">IF($D799="",0,$H799*$K799)</f>
        <v>0</v>
      </c>
      <c r="O799" s="20" t="n">
        <f aca="false">IF($D799="",0,$I799*$K799*(1-$F799))</f>
        <v>0</v>
      </c>
      <c r="P799" s="20" t="n">
        <f aca="false">IF($D799="",0,$E799*$D799+$L799+$M799+$N799+$O799+$J799*$D799)</f>
        <v>0</v>
      </c>
      <c r="Q799" s="20" t="n">
        <f aca="false">IF($D799="",0,$K799-$P799)</f>
        <v>0</v>
      </c>
      <c r="R799" s="21" t="n">
        <f aca="false">IF($K799=0,0,$Q799/$K799)</f>
        <v>0</v>
      </c>
      <c r="S799" s="20" t="n">
        <f aca="false">IF($D799="",0,$K799-$L799-$M799-$N799)</f>
        <v>0</v>
      </c>
      <c r="T799" s="22"/>
      <c r="U799" s="20" t="n">
        <f aca="false">IF($T799="",0,MAX(0,$S799-$T799))</f>
        <v>0</v>
      </c>
      <c r="V799" s="21" t="n">
        <f aca="false">IF($S799=0,0,$U799/$S799)</f>
        <v>0</v>
      </c>
      <c r="W799" s="23" t="str">
        <f aca="false">IF($D799="","",IF($T799="","BEKLİYOR",IF(OR($U799=0,$S799=0),"DOĞRU",IF(AND($V799&gt;PazaryeriEksikHakedisEsik,$U799&gt;PazaryeriEksikHakedisTutarEsik),"EKSİK HAKEDİŞ","DOĞRU"))))</f>
        <v/>
      </c>
      <c r="X799" s="23" t="str">
        <f aca="false">IF($B799="","",CONCATENATE("Ürün: ",$B799," | Kâr: ",TEXT($Q799,"₺ #,##0")," | Durum: ",$W799))</f>
        <v/>
      </c>
      <c r="Y799" s="24"/>
    </row>
    <row r="800" customFormat="false" ht="15" hidden="false" customHeight="false" outlineLevel="0" collapsed="false">
      <c r="A800" s="24"/>
      <c r="B800" s="24"/>
      <c r="C800" s="22"/>
      <c r="D800" s="25"/>
      <c r="E800" s="22"/>
      <c r="F800" s="26"/>
      <c r="G800" s="26"/>
      <c r="H800" s="26"/>
      <c r="I800" s="26"/>
      <c r="J800" s="22"/>
      <c r="K800" s="20" t="n">
        <f aca="false">IF($D800="",0,$C800*$D800)</f>
        <v>0</v>
      </c>
      <c r="L800" s="20" t="n">
        <f aca="false">IF($D800="",0,$F800*$K800)</f>
        <v>0</v>
      </c>
      <c r="M800" s="20" t="n">
        <f aca="false">IF($D800="",0,$G800*$K800)</f>
        <v>0</v>
      </c>
      <c r="N800" s="20" t="n">
        <f aca="false">IF($D800="",0,$H800*$K800)</f>
        <v>0</v>
      </c>
      <c r="O800" s="20" t="n">
        <f aca="false">IF($D800="",0,$I800*$K800*(1-$F800))</f>
        <v>0</v>
      </c>
      <c r="P800" s="20" t="n">
        <f aca="false">IF($D800="",0,$E800*$D800+$L800+$M800+$N800+$O800+$J800*$D800)</f>
        <v>0</v>
      </c>
      <c r="Q800" s="20" t="n">
        <f aca="false">IF($D800="",0,$K800-$P800)</f>
        <v>0</v>
      </c>
      <c r="R800" s="21" t="n">
        <f aca="false">IF($K800=0,0,$Q800/$K800)</f>
        <v>0</v>
      </c>
      <c r="S800" s="20" t="n">
        <f aca="false">IF($D800="",0,$K800-$L800-$M800-$N800)</f>
        <v>0</v>
      </c>
      <c r="T800" s="22"/>
      <c r="U800" s="20" t="n">
        <f aca="false">IF($T800="",0,MAX(0,$S800-$T800))</f>
        <v>0</v>
      </c>
      <c r="V800" s="21" t="n">
        <f aca="false">IF($S800=0,0,$U800/$S800)</f>
        <v>0</v>
      </c>
      <c r="W800" s="23" t="str">
        <f aca="false">IF($D800="","",IF($T800="","BEKLİYOR",IF(OR($U800=0,$S800=0),"DOĞRU",IF(AND($V800&gt;PazaryeriEksikHakedisEsik,$U800&gt;PazaryeriEksikHakedisTutarEsik),"EKSİK HAKEDİŞ","DOĞRU"))))</f>
        <v/>
      </c>
      <c r="X800" s="23" t="str">
        <f aca="false">IF($B800="","",CONCATENATE("Ürün: ",$B800," | Kâr: ",TEXT($Q800,"₺ #,##0")," | Durum: ",$W800))</f>
        <v/>
      </c>
      <c r="Y800" s="24"/>
    </row>
    <row r="801" customFormat="false" ht="15" hidden="false" customHeight="false" outlineLevel="0" collapsed="false">
      <c r="A801" s="24"/>
      <c r="B801" s="24"/>
      <c r="C801" s="22"/>
      <c r="D801" s="25"/>
      <c r="E801" s="22"/>
      <c r="F801" s="26"/>
      <c r="G801" s="26"/>
      <c r="H801" s="26"/>
      <c r="I801" s="26"/>
      <c r="J801" s="22"/>
      <c r="K801" s="20" t="n">
        <f aca="false">IF($D801="",0,$C801*$D801)</f>
        <v>0</v>
      </c>
      <c r="L801" s="20" t="n">
        <f aca="false">IF($D801="",0,$F801*$K801)</f>
        <v>0</v>
      </c>
      <c r="M801" s="20" t="n">
        <f aca="false">IF($D801="",0,$G801*$K801)</f>
        <v>0</v>
      </c>
      <c r="N801" s="20" t="n">
        <f aca="false">IF($D801="",0,$H801*$K801)</f>
        <v>0</v>
      </c>
      <c r="O801" s="20" t="n">
        <f aca="false">IF($D801="",0,$I801*$K801*(1-$F801))</f>
        <v>0</v>
      </c>
      <c r="P801" s="20" t="n">
        <f aca="false">IF($D801="",0,$E801*$D801+$L801+$M801+$N801+$O801+$J801*$D801)</f>
        <v>0</v>
      </c>
      <c r="Q801" s="20" t="n">
        <f aca="false">IF($D801="",0,$K801-$P801)</f>
        <v>0</v>
      </c>
      <c r="R801" s="21" t="n">
        <f aca="false">IF($K801=0,0,$Q801/$K801)</f>
        <v>0</v>
      </c>
      <c r="S801" s="20" t="n">
        <f aca="false">IF($D801="",0,$K801-$L801-$M801-$N801)</f>
        <v>0</v>
      </c>
      <c r="T801" s="22"/>
      <c r="U801" s="20" t="n">
        <f aca="false">IF($T801="",0,MAX(0,$S801-$T801))</f>
        <v>0</v>
      </c>
      <c r="V801" s="21" t="n">
        <f aca="false">IF($S801=0,0,$U801/$S801)</f>
        <v>0</v>
      </c>
      <c r="W801" s="23" t="str">
        <f aca="false">IF($D801="","",IF($T801="","BEKLİYOR",IF(OR($U801=0,$S801=0),"DOĞRU",IF(AND($V801&gt;PazaryeriEksikHakedisEsik,$U801&gt;PazaryeriEksikHakedisTutarEsik),"EKSİK HAKEDİŞ","DOĞRU"))))</f>
        <v/>
      </c>
      <c r="X801" s="23" t="str">
        <f aca="false">IF($B801="","",CONCATENATE("Ürün: ",$B801," | Kâr: ",TEXT($Q801,"₺ #,##0")," | Durum: ",$W801))</f>
        <v/>
      </c>
      <c r="Y801" s="24"/>
    </row>
    <row r="802" customFormat="false" ht="15" hidden="false" customHeight="false" outlineLevel="0" collapsed="false">
      <c r="A802" s="24"/>
      <c r="B802" s="24"/>
      <c r="C802" s="22"/>
      <c r="D802" s="25"/>
      <c r="E802" s="22"/>
      <c r="F802" s="26"/>
      <c r="G802" s="26"/>
      <c r="H802" s="26"/>
      <c r="I802" s="26"/>
      <c r="J802" s="22"/>
      <c r="K802" s="20" t="n">
        <f aca="false">IF($D802="",0,$C802*$D802)</f>
        <v>0</v>
      </c>
      <c r="L802" s="20" t="n">
        <f aca="false">IF($D802="",0,$F802*$K802)</f>
        <v>0</v>
      </c>
      <c r="M802" s="20" t="n">
        <f aca="false">IF($D802="",0,$G802*$K802)</f>
        <v>0</v>
      </c>
      <c r="N802" s="20" t="n">
        <f aca="false">IF($D802="",0,$H802*$K802)</f>
        <v>0</v>
      </c>
      <c r="O802" s="20" t="n">
        <f aca="false">IF($D802="",0,$I802*$K802*(1-$F802))</f>
        <v>0</v>
      </c>
      <c r="P802" s="20" t="n">
        <f aca="false">IF($D802="",0,$E802*$D802+$L802+$M802+$N802+$O802+$J802*$D802)</f>
        <v>0</v>
      </c>
      <c r="Q802" s="20" t="n">
        <f aca="false">IF($D802="",0,$K802-$P802)</f>
        <v>0</v>
      </c>
      <c r="R802" s="21" t="n">
        <f aca="false">IF($K802=0,0,$Q802/$K802)</f>
        <v>0</v>
      </c>
      <c r="S802" s="20" t="n">
        <f aca="false">IF($D802="",0,$K802-$L802-$M802-$N802)</f>
        <v>0</v>
      </c>
      <c r="T802" s="22"/>
      <c r="U802" s="20" t="n">
        <f aca="false">IF($T802="",0,MAX(0,$S802-$T802))</f>
        <v>0</v>
      </c>
      <c r="V802" s="21" t="n">
        <f aca="false">IF($S802=0,0,$U802/$S802)</f>
        <v>0</v>
      </c>
      <c r="W802" s="23" t="str">
        <f aca="false">IF($D802="","",IF($T802="","BEKLİYOR",IF(OR($U802=0,$S802=0),"DOĞRU",IF(AND($V802&gt;PazaryeriEksikHakedisEsik,$U802&gt;PazaryeriEksikHakedisTutarEsik),"EKSİK HAKEDİŞ","DOĞRU"))))</f>
        <v/>
      </c>
      <c r="X802" s="23" t="str">
        <f aca="false">IF($B802="","",CONCATENATE("Ürün: ",$B802," | Kâr: ",TEXT($Q802,"₺ #,##0")," | Durum: ",$W802))</f>
        <v/>
      </c>
      <c r="Y802" s="24"/>
    </row>
    <row r="803" customFormat="false" ht="15" hidden="false" customHeight="false" outlineLevel="0" collapsed="false">
      <c r="A803" s="24"/>
      <c r="B803" s="24"/>
      <c r="C803" s="22"/>
      <c r="D803" s="25"/>
      <c r="E803" s="22"/>
      <c r="F803" s="26"/>
      <c r="G803" s="26"/>
      <c r="H803" s="26"/>
      <c r="I803" s="26"/>
      <c r="J803" s="22"/>
      <c r="K803" s="20" t="n">
        <f aca="false">IF($D803="",0,$C803*$D803)</f>
        <v>0</v>
      </c>
      <c r="L803" s="20" t="n">
        <f aca="false">IF($D803="",0,$F803*$K803)</f>
        <v>0</v>
      </c>
      <c r="M803" s="20" t="n">
        <f aca="false">IF($D803="",0,$G803*$K803)</f>
        <v>0</v>
      </c>
      <c r="N803" s="20" t="n">
        <f aca="false">IF($D803="",0,$H803*$K803)</f>
        <v>0</v>
      </c>
      <c r="O803" s="20" t="n">
        <f aca="false">IF($D803="",0,$I803*$K803*(1-$F803))</f>
        <v>0</v>
      </c>
      <c r="P803" s="20" t="n">
        <f aca="false">IF($D803="",0,$E803*$D803+$L803+$M803+$N803+$O803+$J803*$D803)</f>
        <v>0</v>
      </c>
      <c r="Q803" s="20" t="n">
        <f aca="false">IF($D803="",0,$K803-$P803)</f>
        <v>0</v>
      </c>
      <c r="R803" s="21" t="n">
        <f aca="false">IF($K803=0,0,$Q803/$K803)</f>
        <v>0</v>
      </c>
      <c r="S803" s="20" t="n">
        <f aca="false">IF($D803="",0,$K803-$L803-$M803-$N803)</f>
        <v>0</v>
      </c>
      <c r="T803" s="22"/>
      <c r="U803" s="20" t="n">
        <f aca="false">IF($T803="",0,MAX(0,$S803-$T803))</f>
        <v>0</v>
      </c>
      <c r="V803" s="21" t="n">
        <f aca="false">IF($S803=0,0,$U803/$S803)</f>
        <v>0</v>
      </c>
      <c r="W803" s="23" t="str">
        <f aca="false">IF($D803="","",IF($T803="","BEKLİYOR",IF(OR($U803=0,$S803=0),"DOĞRU",IF(AND($V803&gt;PazaryeriEksikHakedisEsik,$U803&gt;PazaryeriEksikHakedisTutarEsik),"EKSİK HAKEDİŞ","DOĞRU"))))</f>
        <v/>
      </c>
      <c r="X803" s="23" t="str">
        <f aca="false">IF($B803="","",CONCATENATE("Ürün: ",$B803," | Kâr: ",TEXT($Q803,"₺ #,##0")," | Durum: ",$W803))</f>
        <v/>
      </c>
      <c r="Y803" s="24"/>
    </row>
    <row r="804" customFormat="false" ht="15" hidden="false" customHeight="false" outlineLevel="0" collapsed="false">
      <c r="A804" s="24"/>
      <c r="B804" s="24"/>
      <c r="C804" s="22"/>
      <c r="D804" s="25"/>
      <c r="E804" s="22"/>
      <c r="F804" s="26"/>
      <c r="G804" s="26"/>
      <c r="H804" s="26"/>
      <c r="I804" s="26"/>
      <c r="J804" s="22"/>
      <c r="K804" s="20" t="n">
        <f aca="false">IF($D804="",0,$C804*$D804)</f>
        <v>0</v>
      </c>
      <c r="L804" s="20" t="n">
        <f aca="false">IF($D804="",0,$F804*$K804)</f>
        <v>0</v>
      </c>
      <c r="M804" s="20" t="n">
        <f aca="false">IF($D804="",0,$G804*$K804)</f>
        <v>0</v>
      </c>
      <c r="N804" s="20" t="n">
        <f aca="false">IF($D804="",0,$H804*$K804)</f>
        <v>0</v>
      </c>
      <c r="O804" s="20" t="n">
        <f aca="false">IF($D804="",0,$I804*$K804*(1-$F804))</f>
        <v>0</v>
      </c>
      <c r="P804" s="20" t="n">
        <f aca="false">IF($D804="",0,$E804*$D804+$L804+$M804+$N804+$O804+$J804*$D804)</f>
        <v>0</v>
      </c>
      <c r="Q804" s="20" t="n">
        <f aca="false">IF($D804="",0,$K804-$P804)</f>
        <v>0</v>
      </c>
      <c r="R804" s="21" t="n">
        <f aca="false">IF($K804=0,0,$Q804/$K804)</f>
        <v>0</v>
      </c>
      <c r="S804" s="20" t="n">
        <f aca="false">IF($D804="",0,$K804-$L804-$M804-$N804)</f>
        <v>0</v>
      </c>
      <c r="T804" s="22"/>
      <c r="U804" s="20" t="n">
        <f aca="false">IF($T804="",0,MAX(0,$S804-$T804))</f>
        <v>0</v>
      </c>
      <c r="V804" s="21" t="n">
        <f aca="false">IF($S804=0,0,$U804/$S804)</f>
        <v>0</v>
      </c>
      <c r="W804" s="23" t="str">
        <f aca="false">IF($D804="","",IF($T804="","BEKLİYOR",IF(OR($U804=0,$S804=0),"DOĞRU",IF(AND($V804&gt;PazaryeriEksikHakedisEsik,$U804&gt;PazaryeriEksikHakedisTutarEsik),"EKSİK HAKEDİŞ","DOĞRU"))))</f>
        <v/>
      </c>
      <c r="X804" s="23" t="str">
        <f aca="false">IF($B804="","",CONCATENATE("Ürün: ",$B804," | Kâr: ",TEXT($Q804,"₺ #,##0")," | Durum: ",$W804))</f>
        <v/>
      </c>
      <c r="Y804" s="24"/>
    </row>
    <row r="805" customFormat="false" ht="15" hidden="false" customHeight="false" outlineLevel="0" collapsed="false">
      <c r="A805" s="24"/>
      <c r="B805" s="24"/>
      <c r="C805" s="22"/>
      <c r="D805" s="25"/>
      <c r="E805" s="22"/>
      <c r="F805" s="26"/>
      <c r="G805" s="26"/>
      <c r="H805" s="26"/>
      <c r="I805" s="26"/>
      <c r="J805" s="22"/>
      <c r="K805" s="20" t="n">
        <f aca="false">IF($D805="",0,$C805*$D805)</f>
        <v>0</v>
      </c>
      <c r="L805" s="20" t="n">
        <f aca="false">IF($D805="",0,$F805*$K805)</f>
        <v>0</v>
      </c>
      <c r="M805" s="20" t="n">
        <f aca="false">IF($D805="",0,$G805*$K805)</f>
        <v>0</v>
      </c>
      <c r="N805" s="20" t="n">
        <f aca="false">IF($D805="",0,$H805*$K805)</f>
        <v>0</v>
      </c>
      <c r="O805" s="20" t="n">
        <f aca="false">IF($D805="",0,$I805*$K805*(1-$F805))</f>
        <v>0</v>
      </c>
      <c r="P805" s="20" t="n">
        <f aca="false">IF($D805="",0,$E805*$D805+$L805+$M805+$N805+$O805+$J805*$D805)</f>
        <v>0</v>
      </c>
      <c r="Q805" s="20" t="n">
        <f aca="false">IF($D805="",0,$K805-$P805)</f>
        <v>0</v>
      </c>
      <c r="R805" s="21" t="n">
        <f aca="false">IF($K805=0,0,$Q805/$K805)</f>
        <v>0</v>
      </c>
      <c r="S805" s="20" t="n">
        <f aca="false">IF($D805="",0,$K805-$L805-$M805-$N805)</f>
        <v>0</v>
      </c>
      <c r="T805" s="22"/>
      <c r="U805" s="20" t="n">
        <f aca="false">IF($T805="",0,MAX(0,$S805-$T805))</f>
        <v>0</v>
      </c>
      <c r="V805" s="21" t="n">
        <f aca="false">IF($S805=0,0,$U805/$S805)</f>
        <v>0</v>
      </c>
      <c r="W805" s="23" t="str">
        <f aca="false">IF($D805="","",IF($T805="","BEKLİYOR",IF(OR($U805=0,$S805=0),"DOĞRU",IF(AND($V805&gt;PazaryeriEksikHakedisEsik,$U805&gt;PazaryeriEksikHakedisTutarEsik),"EKSİK HAKEDİŞ","DOĞRU"))))</f>
        <v/>
      </c>
      <c r="X805" s="23" t="str">
        <f aca="false">IF($B805="","",CONCATENATE("Ürün: ",$B805," | Kâr: ",TEXT($Q805,"₺ #,##0")," | Durum: ",$W805))</f>
        <v/>
      </c>
      <c r="Y805" s="24"/>
    </row>
    <row r="806" customFormat="false" ht="15" hidden="false" customHeight="false" outlineLevel="0" collapsed="false">
      <c r="A806" s="24"/>
      <c r="B806" s="24"/>
      <c r="C806" s="22"/>
      <c r="D806" s="25"/>
      <c r="E806" s="22"/>
      <c r="F806" s="26"/>
      <c r="G806" s="26"/>
      <c r="H806" s="26"/>
      <c r="I806" s="26"/>
      <c r="J806" s="22"/>
      <c r="K806" s="20" t="n">
        <f aca="false">IF($D806="",0,$C806*$D806)</f>
        <v>0</v>
      </c>
      <c r="L806" s="20" t="n">
        <f aca="false">IF($D806="",0,$F806*$K806)</f>
        <v>0</v>
      </c>
      <c r="M806" s="20" t="n">
        <f aca="false">IF($D806="",0,$G806*$K806)</f>
        <v>0</v>
      </c>
      <c r="N806" s="20" t="n">
        <f aca="false">IF($D806="",0,$H806*$K806)</f>
        <v>0</v>
      </c>
      <c r="O806" s="20" t="n">
        <f aca="false">IF($D806="",0,$I806*$K806*(1-$F806))</f>
        <v>0</v>
      </c>
      <c r="P806" s="20" t="n">
        <f aca="false">IF($D806="",0,$E806*$D806+$L806+$M806+$N806+$O806+$J806*$D806)</f>
        <v>0</v>
      </c>
      <c r="Q806" s="20" t="n">
        <f aca="false">IF($D806="",0,$K806-$P806)</f>
        <v>0</v>
      </c>
      <c r="R806" s="21" t="n">
        <f aca="false">IF($K806=0,0,$Q806/$K806)</f>
        <v>0</v>
      </c>
      <c r="S806" s="20" t="n">
        <f aca="false">IF($D806="",0,$K806-$L806-$M806-$N806)</f>
        <v>0</v>
      </c>
      <c r="T806" s="22"/>
      <c r="U806" s="20" t="n">
        <f aca="false">IF($T806="",0,MAX(0,$S806-$T806))</f>
        <v>0</v>
      </c>
      <c r="V806" s="21" t="n">
        <f aca="false">IF($S806=0,0,$U806/$S806)</f>
        <v>0</v>
      </c>
      <c r="W806" s="23" t="str">
        <f aca="false">IF($D806="","",IF($T806="","BEKLİYOR",IF(OR($U806=0,$S806=0),"DOĞRU",IF(AND($V806&gt;PazaryeriEksikHakedisEsik,$U806&gt;PazaryeriEksikHakedisTutarEsik),"EKSİK HAKEDİŞ","DOĞRU"))))</f>
        <v/>
      </c>
      <c r="X806" s="23" t="str">
        <f aca="false">IF($B806="","",CONCATENATE("Ürün: ",$B806," | Kâr: ",TEXT($Q806,"₺ #,##0")," | Durum: ",$W806))</f>
        <v/>
      </c>
      <c r="Y806" s="24"/>
    </row>
    <row r="807" customFormat="false" ht="15" hidden="false" customHeight="false" outlineLevel="0" collapsed="false">
      <c r="A807" s="24"/>
      <c r="B807" s="24"/>
      <c r="C807" s="22"/>
      <c r="D807" s="25"/>
      <c r="E807" s="22"/>
      <c r="F807" s="26"/>
      <c r="G807" s="26"/>
      <c r="H807" s="26"/>
      <c r="I807" s="26"/>
      <c r="J807" s="22"/>
      <c r="K807" s="20" t="n">
        <f aca="false">IF($D807="",0,$C807*$D807)</f>
        <v>0</v>
      </c>
      <c r="L807" s="20" t="n">
        <f aca="false">IF($D807="",0,$F807*$K807)</f>
        <v>0</v>
      </c>
      <c r="M807" s="20" t="n">
        <f aca="false">IF($D807="",0,$G807*$K807)</f>
        <v>0</v>
      </c>
      <c r="N807" s="20" t="n">
        <f aca="false">IF($D807="",0,$H807*$K807)</f>
        <v>0</v>
      </c>
      <c r="O807" s="20" t="n">
        <f aca="false">IF($D807="",0,$I807*$K807*(1-$F807))</f>
        <v>0</v>
      </c>
      <c r="P807" s="20" t="n">
        <f aca="false">IF($D807="",0,$E807*$D807+$L807+$M807+$N807+$O807+$J807*$D807)</f>
        <v>0</v>
      </c>
      <c r="Q807" s="20" t="n">
        <f aca="false">IF($D807="",0,$K807-$P807)</f>
        <v>0</v>
      </c>
      <c r="R807" s="21" t="n">
        <f aca="false">IF($K807=0,0,$Q807/$K807)</f>
        <v>0</v>
      </c>
      <c r="S807" s="20" t="n">
        <f aca="false">IF($D807="",0,$K807-$L807-$M807-$N807)</f>
        <v>0</v>
      </c>
      <c r="T807" s="22"/>
      <c r="U807" s="20" t="n">
        <f aca="false">IF($T807="",0,MAX(0,$S807-$T807))</f>
        <v>0</v>
      </c>
      <c r="V807" s="21" t="n">
        <f aca="false">IF($S807=0,0,$U807/$S807)</f>
        <v>0</v>
      </c>
      <c r="W807" s="23" t="str">
        <f aca="false">IF($D807="","",IF($T807="","BEKLİYOR",IF(OR($U807=0,$S807=0),"DOĞRU",IF(AND($V807&gt;PazaryeriEksikHakedisEsik,$U807&gt;PazaryeriEksikHakedisTutarEsik),"EKSİK HAKEDİŞ","DOĞRU"))))</f>
        <v/>
      </c>
      <c r="X807" s="23" t="str">
        <f aca="false">IF($B807="","",CONCATENATE("Ürün: ",$B807," | Kâr: ",TEXT($Q807,"₺ #,##0")," | Durum: ",$W807))</f>
        <v/>
      </c>
      <c r="Y807" s="24"/>
    </row>
    <row r="808" customFormat="false" ht="15" hidden="false" customHeight="false" outlineLevel="0" collapsed="false">
      <c r="A808" s="24"/>
      <c r="B808" s="24"/>
      <c r="C808" s="22"/>
      <c r="D808" s="25"/>
      <c r="E808" s="22"/>
      <c r="F808" s="26"/>
      <c r="G808" s="26"/>
      <c r="H808" s="26"/>
      <c r="I808" s="26"/>
      <c r="J808" s="22"/>
      <c r="K808" s="20" t="n">
        <f aca="false">IF($D808="",0,$C808*$D808)</f>
        <v>0</v>
      </c>
      <c r="L808" s="20" t="n">
        <f aca="false">IF($D808="",0,$F808*$K808)</f>
        <v>0</v>
      </c>
      <c r="M808" s="20" t="n">
        <f aca="false">IF($D808="",0,$G808*$K808)</f>
        <v>0</v>
      </c>
      <c r="N808" s="20" t="n">
        <f aca="false">IF($D808="",0,$H808*$K808)</f>
        <v>0</v>
      </c>
      <c r="O808" s="20" t="n">
        <f aca="false">IF($D808="",0,$I808*$K808*(1-$F808))</f>
        <v>0</v>
      </c>
      <c r="P808" s="20" t="n">
        <f aca="false">IF($D808="",0,$E808*$D808+$L808+$M808+$N808+$O808+$J808*$D808)</f>
        <v>0</v>
      </c>
      <c r="Q808" s="20" t="n">
        <f aca="false">IF($D808="",0,$K808-$P808)</f>
        <v>0</v>
      </c>
      <c r="R808" s="21" t="n">
        <f aca="false">IF($K808=0,0,$Q808/$K808)</f>
        <v>0</v>
      </c>
      <c r="S808" s="20" t="n">
        <f aca="false">IF($D808="",0,$K808-$L808-$M808-$N808)</f>
        <v>0</v>
      </c>
      <c r="T808" s="22"/>
      <c r="U808" s="20" t="n">
        <f aca="false">IF($T808="",0,MAX(0,$S808-$T808))</f>
        <v>0</v>
      </c>
      <c r="V808" s="21" t="n">
        <f aca="false">IF($S808=0,0,$U808/$S808)</f>
        <v>0</v>
      </c>
      <c r="W808" s="23" t="str">
        <f aca="false">IF($D808="","",IF($T808="","BEKLİYOR",IF(OR($U808=0,$S808=0),"DOĞRU",IF(AND($V808&gt;PazaryeriEksikHakedisEsik,$U808&gt;PazaryeriEksikHakedisTutarEsik),"EKSİK HAKEDİŞ","DOĞRU"))))</f>
        <v/>
      </c>
      <c r="X808" s="23" t="str">
        <f aca="false">IF($B808="","",CONCATENATE("Ürün: ",$B808," | Kâr: ",TEXT($Q808,"₺ #,##0")," | Durum: ",$W808))</f>
        <v/>
      </c>
      <c r="Y808" s="24"/>
    </row>
    <row r="809" customFormat="false" ht="15" hidden="false" customHeight="false" outlineLevel="0" collapsed="false">
      <c r="A809" s="24"/>
      <c r="B809" s="24"/>
      <c r="C809" s="22"/>
      <c r="D809" s="25"/>
      <c r="E809" s="22"/>
      <c r="F809" s="26"/>
      <c r="G809" s="26"/>
      <c r="H809" s="26"/>
      <c r="I809" s="26"/>
      <c r="J809" s="22"/>
      <c r="K809" s="20" t="n">
        <f aca="false">IF($D809="",0,$C809*$D809)</f>
        <v>0</v>
      </c>
      <c r="L809" s="20" t="n">
        <f aca="false">IF($D809="",0,$F809*$K809)</f>
        <v>0</v>
      </c>
      <c r="M809" s="20" t="n">
        <f aca="false">IF($D809="",0,$G809*$K809)</f>
        <v>0</v>
      </c>
      <c r="N809" s="20" t="n">
        <f aca="false">IF($D809="",0,$H809*$K809)</f>
        <v>0</v>
      </c>
      <c r="O809" s="20" t="n">
        <f aca="false">IF($D809="",0,$I809*$K809*(1-$F809))</f>
        <v>0</v>
      </c>
      <c r="P809" s="20" t="n">
        <f aca="false">IF($D809="",0,$E809*$D809+$L809+$M809+$N809+$O809+$J809*$D809)</f>
        <v>0</v>
      </c>
      <c r="Q809" s="20" t="n">
        <f aca="false">IF($D809="",0,$K809-$P809)</f>
        <v>0</v>
      </c>
      <c r="R809" s="21" t="n">
        <f aca="false">IF($K809=0,0,$Q809/$K809)</f>
        <v>0</v>
      </c>
      <c r="S809" s="20" t="n">
        <f aca="false">IF($D809="",0,$K809-$L809-$M809-$N809)</f>
        <v>0</v>
      </c>
      <c r="T809" s="22"/>
      <c r="U809" s="20" t="n">
        <f aca="false">IF($T809="",0,MAX(0,$S809-$T809))</f>
        <v>0</v>
      </c>
      <c r="V809" s="21" t="n">
        <f aca="false">IF($S809=0,0,$U809/$S809)</f>
        <v>0</v>
      </c>
      <c r="W809" s="23" t="str">
        <f aca="false">IF($D809="","",IF($T809="","BEKLİYOR",IF(OR($U809=0,$S809=0),"DOĞRU",IF(AND($V809&gt;PazaryeriEksikHakedisEsik,$U809&gt;PazaryeriEksikHakedisTutarEsik),"EKSİK HAKEDİŞ","DOĞRU"))))</f>
        <v/>
      </c>
      <c r="X809" s="23" t="str">
        <f aca="false">IF($B809="","",CONCATENATE("Ürün: ",$B809," | Kâr: ",TEXT($Q809,"₺ #,##0")," | Durum: ",$W809))</f>
        <v/>
      </c>
      <c r="Y809" s="24"/>
    </row>
    <row r="810" customFormat="false" ht="15" hidden="false" customHeight="false" outlineLevel="0" collapsed="false">
      <c r="A810" s="24"/>
      <c r="B810" s="24"/>
      <c r="C810" s="22"/>
      <c r="D810" s="25"/>
      <c r="E810" s="22"/>
      <c r="F810" s="26"/>
      <c r="G810" s="26"/>
      <c r="H810" s="26"/>
      <c r="I810" s="26"/>
      <c r="J810" s="22"/>
      <c r="K810" s="20" t="n">
        <f aca="false">IF($D810="",0,$C810*$D810)</f>
        <v>0</v>
      </c>
      <c r="L810" s="20" t="n">
        <f aca="false">IF($D810="",0,$F810*$K810)</f>
        <v>0</v>
      </c>
      <c r="M810" s="20" t="n">
        <f aca="false">IF($D810="",0,$G810*$K810)</f>
        <v>0</v>
      </c>
      <c r="N810" s="20" t="n">
        <f aca="false">IF($D810="",0,$H810*$K810)</f>
        <v>0</v>
      </c>
      <c r="O810" s="20" t="n">
        <f aca="false">IF($D810="",0,$I810*$K810*(1-$F810))</f>
        <v>0</v>
      </c>
      <c r="P810" s="20" t="n">
        <f aca="false">IF($D810="",0,$E810*$D810+$L810+$M810+$N810+$O810+$J810*$D810)</f>
        <v>0</v>
      </c>
      <c r="Q810" s="20" t="n">
        <f aca="false">IF($D810="",0,$K810-$P810)</f>
        <v>0</v>
      </c>
      <c r="R810" s="21" t="n">
        <f aca="false">IF($K810=0,0,$Q810/$K810)</f>
        <v>0</v>
      </c>
      <c r="S810" s="20" t="n">
        <f aca="false">IF($D810="",0,$K810-$L810-$M810-$N810)</f>
        <v>0</v>
      </c>
      <c r="T810" s="22"/>
      <c r="U810" s="20" t="n">
        <f aca="false">IF($T810="",0,MAX(0,$S810-$T810))</f>
        <v>0</v>
      </c>
      <c r="V810" s="21" t="n">
        <f aca="false">IF($S810=0,0,$U810/$S810)</f>
        <v>0</v>
      </c>
      <c r="W810" s="23" t="str">
        <f aca="false">IF($D810="","",IF($T810="","BEKLİYOR",IF(OR($U810=0,$S810=0),"DOĞRU",IF(AND($V810&gt;PazaryeriEksikHakedisEsik,$U810&gt;PazaryeriEksikHakedisTutarEsik),"EKSİK HAKEDİŞ","DOĞRU"))))</f>
        <v/>
      </c>
      <c r="X810" s="23" t="str">
        <f aca="false">IF($B810="","",CONCATENATE("Ürün: ",$B810," | Kâr: ",TEXT($Q810,"₺ #,##0")," | Durum: ",$W810))</f>
        <v/>
      </c>
      <c r="Y810" s="24"/>
    </row>
    <row r="811" customFormat="false" ht="15" hidden="false" customHeight="false" outlineLevel="0" collapsed="false">
      <c r="A811" s="24"/>
      <c r="B811" s="24"/>
      <c r="C811" s="22"/>
      <c r="D811" s="25"/>
      <c r="E811" s="22"/>
      <c r="F811" s="26"/>
      <c r="G811" s="26"/>
      <c r="H811" s="26"/>
      <c r="I811" s="26"/>
      <c r="J811" s="22"/>
      <c r="K811" s="20" t="n">
        <f aca="false">IF($D811="",0,$C811*$D811)</f>
        <v>0</v>
      </c>
      <c r="L811" s="20" t="n">
        <f aca="false">IF($D811="",0,$F811*$K811)</f>
        <v>0</v>
      </c>
      <c r="M811" s="20" t="n">
        <f aca="false">IF($D811="",0,$G811*$K811)</f>
        <v>0</v>
      </c>
      <c r="N811" s="20" t="n">
        <f aca="false">IF($D811="",0,$H811*$K811)</f>
        <v>0</v>
      </c>
      <c r="O811" s="20" t="n">
        <f aca="false">IF($D811="",0,$I811*$K811*(1-$F811))</f>
        <v>0</v>
      </c>
      <c r="P811" s="20" t="n">
        <f aca="false">IF($D811="",0,$E811*$D811+$L811+$M811+$N811+$O811+$J811*$D811)</f>
        <v>0</v>
      </c>
      <c r="Q811" s="20" t="n">
        <f aca="false">IF($D811="",0,$K811-$P811)</f>
        <v>0</v>
      </c>
      <c r="R811" s="21" t="n">
        <f aca="false">IF($K811=0,0,$Q811/$K811)</f>
        <v>0</v>
      </c>
      <c r="S811" s="20" t="n">
        <f aca="false">IF($D811="",0,$K811-$L811-$M811-$N811)</f>
        <v>0</v>
      </c>
      <c r="T811" s="22"/>
      <c r="U811" s="20" t="n">
        <f aca="false">IF($T811="",0,MAX(0,$S811-$T811))</f>
        <v>0</v>
      </c>
      <c r="V811" s="21" t="n">
        <f aca="false">IF($S811=0,0,$U811/$S811)</f>
        <v>0</v>
      </c>
      <c r="W811" s="23" t="str">
        <f aca="false">IF($D811="","",IF($T811="","BEKLİYOR",IF(OR($U811=0,$S811=0),"DOĞRU",IF(AND($V811&gt;PazaryeriEksikHakedisEsik,$U811&gt;PazaryeriEksikHakedisTutarEsik),"EKSİK HAKEDİŞ","DOĞRU"))))</f>
        <v/>
      </c>
      <c r="X811" s="23" t="str">
        <f aca="false">IF($B811="","",CONCATENATE("Ürün: ",$B811," | Kâr: ",TEXT($Q811,"₺ #,##0")," | Durum: ",$W811))</f>
        <v/>
      </c>
      <c r="Y811" s="24"/>
    </row>
    <row r="812" customFormat="false" ht="15" hidden="false" customHeight="false" outlineLevel="0" collapsed="false">
      <c r="A812" s="24"/>
      <c r="B812" s="24"/>
      <c r="C812" s="22"/>
      <c r="D812" s="25"/>
      <c r="E812" s="22"/>
      <c r="F812" s="26"/>
      <c r="G812" s="26"/>
      <c r="H812" s="26"/>
      <c r="I812" s="26"/>
      <c r="J812" s="22"/>
      <c r="K812" s="20" t="n">
        <f aca="false">IF($D812="",0,$C812*$D812)</f>
        <v>0</v>
      </c>
      <c r="L812" s="20" t="n">
        <f aca="false">IF($D812="",0,$F812*$K812)</f>
        <v>0</v>
      </c>
      <c r="M812" s="20" t="n">
        <f aca="false">IF($D812="",0,$G812*$K812)</f>
        <v>0</v>
      </c>
      <c r="N812" s="20" t="n">
        <f aca="false">IF($D812="",0,$H812*$K812)</f>
        <v>0</v>
      </c>
      <c r="O812" s="20" t="n">
        <f aca="false">IF($D812="",0,$I812*$K812*(1-$F812))</f>
        <v>0</v>
      </c>
      <c r="P812" s="20" t="n">
        <f aca="false">IF($D812="",0,$E812*$D812+$L812+$M812+$N812+$O812+$J812*$D812)</f>
        <v>0</v>
      </c>
      <c r="Q812" s="20" t="n">
        <f aca="false">IF($D812="",0,$K812-$P812)</f>
        <v>0</v>
      </c>
      <c r="R812" s="21" t="n">
        <f aca="false">IF($K812=0,0,$Q812/$K812)</f>
        <v>0</v>
      </c>
      <c r="S812" s="20" t="n">
        <f aca="false">IF($D812="",0,$K812-$L812-$M812-$N812)</f>
        <v>0</v>
      </c>
      <c r="T812" s="22"/>
      <c r="U812" s="20" t="n">
        <f aca="false">IF($T812="",0,MAX(0,$S812-$T812))</f>
        <v>0</v>
      </c>
      <c r="V812" s="21" t="n">
        <f aca="false">IF($S812=0,0,$U812/$S812)</f>
        <v>0</v>
      </c>
      <c r="W812" s="23" t="str">
        <f aca="false">IF($D812="","",IF($T812="","BEKLİYOR",IF(OR($U812=0,$S812=0),"DOĞRU",IF(AND($V812&gt;PazaryeriEksikHakedisEsik,$U812&gt;PazaryeriEksikHakedisTutarEsik),"EKSİK HAKEDİŞ","DOĞRU"))))</f>
        <v/>
      </c>
      <c r="X812" s="23" t="str">
        <f aca="false">IF($B812="","",CONCATENATE("Ürün: ",$B812," | Kâr: ",TEXT($Q812,"₺ #,##0")," | Durum: ",$W812))</f>
        <v/>
      </c>
      <c r="Y812" s="24"/>
    </row>
    <row r="813" customFormat="false" ht="15" hidden="false" customHeight="false" outlineLevel="0" collapsed="false">
      <c r="A813" s="24"/>
      <c r="B813" s="24"/>
      <c r="C813" s="22"/>
      <c r="D813" s="25"/>
      <c r="E813" s="22"/>
      <c r="F813" s="26"/>
      <c r="G813" s="26"/>
      <c r="H813" s="26"/>
      <c r="I813" s="26"/>
      <c r="J813" s="22"/>
      <c r="K813" s="20" t="n">
        <f aca="false">IF($D813="",0,$C813*$D813)</f>
        <v>0</v>
      </c>
      <c r="L813" s="20" t="n">
        <f aca="false">IF($D813="",0,$F813*$K813)</f>
        <v>0</v>
      </c>
      <c r="M813" s="20" t="n">
        <f aca="false">IF($D813="",0,$G813*$K813)</f>
        <v>0</v>
      </c>
      <c r="N813" s="20" t="n">
        <f aca="false">IF($D813="",0,$H813*$K813)</f>
        <v>0</v>
      </c>
      <c r="O813" s="20" t="n">
        <f aca="false">IF($D813="",0,$I813*$K813*(1-$F813))</f>
        <v>0</v>
      </c>
      <c r="P813" s="20" t="n">
        <f aca="false">IF($D813="",0,$E813*$D813+$L813+$M813+$N813+$O813+$J813*$D813)</f>
        <v>0</v>
      </c>
      <c r="Q813" s="20" t="n">
        <f aca="false">IF($D813="",0,$K813-$P813)</f>
        <v>0</v>
      </c>
      <c r="R813" s="21" t="n">
        <f aca="false">IF($K813=0,0,$Q813/$K813)</f>
        <v>0</v>
      </c>
      <c r="S813" s="20" t="n">
        <f aca="false">IF($D813="",0,$K813-$L813-$M813-$N813)</f>
        <v>0</v>
      </c>
      <c r="T813" s="22"/>
      <c r="U813" s="20" t="n">
        <f aca="false">IF($T813="",0,MAX(0,$S813-$T813))</f>
        <v>0</v>
      </c>
      <c r="V813" s="21" t="n">
        <f aca="false">IF($S813=0,0,$U813/$S813)</f>
        <v>0</v>
      </c>
      <c r="W813" s="23" t="str">
        <f aca="false">IF($D813="","",IF($T813="","BEKLİYOR",IF(OR($U813=0,$S813=0),"DOĞRU",IF(AND($V813&gt;PazaryeriEksikHakedisEsik,$U813&gt;PazaryeriEksikHakedisTutarEsik),"EKSİK HAKEDİŞ","DOĞRU"))))</f>
        <v/>
      </c>
      <c r="X813" s="23" t="str">
        <f aca="false">IF($B813="","",CONCATENATE("Ürün: ",$B813," | Kâr: ",TEXT($Q813,"₺ #,##0")," | Durum: ",$W813))</f>
        <v/>
      </c>
      <c r="Y813" s="24"/>
    </row>
    <row r="814" customFormat="false" ht="15" hidden="false" customHeight="false" outlineLevel="0" collapsed="false">
      <c r="A814" s="24"/>
      <c r="B814" s="24"/>
      <c r="C814" s="22"/>
      <c r="D814" s="25"/>
      <c r="E814" s="22"/>
      <c r="F814" s="26"/>
      <c r="G814" s="26"/>
      <c r="H814" s="26"/>
      <c r="I814" s="26"/>
      <c r="J814" s="22"/>
      <c r="K814" s="20" t="n">
        <f aca="false">IF($D814="",0,$C814*$D814)</f>
        <v>0</v>
      </c>
      <c r="L814" s="20" t="n">
        <f aca="false">IF($D814="",0,$F814*$K814)</f>
        <v>0</v>
      </c>
      <c r="M814" s="20" t="n">
        <f aca="false">IF($D814="",0,$G814*$K814)</f>
        <v>0</v>
      </c>
      <c r="N814" s="20" t="n">
        <f aca="false">IF($D814="",0,$H814*$K814)</f>
        <v>0</v>
      </c>
      <c r="O814" s="20" t="n">
        <f aca="false">IF($D814="",0,$I814*$K814*(1-$F814))</f>
        <v>0</v>
      </c>
      <c r="P814" s="20" t="n">
        <f aca="false">IF($D814="",0,$E814*$D814+$L814+$M814+$N814+$O814+$J814*$D814)</f>
        <v>0</v>
      </c>
      <c r="Q814" s="20" t="n">
        <f aca="false">IF($D814="",0,$K814-$P814)</f>
        <v>0</v>
      </c>
      <c r="R814" s="21" t="n">
        <f aca="false">IF($K814=0,0,$Q814/$K814)</f>
        <v>0</v>
      </c>
      <c r="S814" s="20" t="n">
        <f aca="false">IF($D814="",0,$K814-$L814-$M814-$N814)</f>
        <v>0</v>
      </c>
      <c r="T814" s="22"/>
      <c r="U814" s="20" t="n">
        <f aca="false">IF($T814="",0,MAX(0,$S814-$T814))</f>
        <v>0</v>
      </c>
      <c r="V814" s="21" t="n">
        <f aca="false">IF($S814=0,0,$U814/$S814)</f>
        <v>0</v>
      </c>
      <c r="W814" s="23" t="str">
        <f aca="false">IF($D814="","",IF($T814="","BEKLİYOR",IF(OR($U814=0,$S814=0),"DOĞRU",IF(AND($V814&gt;PazaryeriEksikHakedisEsik,$U814&gt;PazaryeriEksikHakedisTutarEsik),"EKSİK HAKEDİŞ","DOĞRU"))))</f>
        <v/>
      </c>
      <c r="X814" s="23" t="str">
        <f aca="false">IF($B814="","",CONCATENATE("Ürün: ",$B814," | Kâr: ",TEXT($Q814,"₺ #,##0")," | Durum: ",$W814))</f>
        <v/>
      </c>
      <c r="Y814" s="24"/>
    </row>
    <row r="815" customFormat="false" ht="15" hidden="false" customHeight="false" outlineLevel="0" collapsed="false">
      <c r="A815" s="24"/>
      <c r="B815" s="24"/>
      <c r="C815" s="22"/>
      <c r="D815" s="25"/>
      <c r="E815" s="22"/>
      <c r="F815" s="26"/>
      <c r="G815" s="26"/>
      <c r="H815" s="26"/>
      <c r="I815" s="26"/>
      <c r="J815" s="22"/>
      <c r="K815" s="20" t="n">
        <f aca="false">IF($D815="",0,$C815*$D815)</f>
        <v>0</v>
      </c>
      <c r="L815" s="20" t="n">
        <f aca="false">IF($D815="",0,$F815*$K815)</f>
        <v>0</v>
      </c>
      <c r="M815" s="20" t="n">
        <f aca="false">IF($D815="",0,$G815*$K815)</f>
        <v>0</v>
      </c>
      <c r="N815" s="20" t="n">
        <f aca="false">IF($D815="",0,$H815*$K815)</f>
        <v>0</v>
      </c>
      <c r="O815" s="20" t="n">
        <f aca="false">IF($D815="",0,$I815*$K815*(1-$F815))</f>
        <v>0</v>
      </c>
      <c r="P815" s="20" t="n">
        <f aca="false">IF($D815="",0,$E815*$D815+$L815+$M815+$N815+$O815+$J815*$D815)</f>
        <v>0</v>
      </c>
      <c r="Q815" s="20" t="n">
        <f aca="false">IF($D815="",0,$K815-$P815)</f>
        <v>0</v>
      </c>
      <c r="R815" s="21" t="n">
        <f aca="false">IF($K815=0,0,$Q815/$K815)</f>
        <v>0</v>
      </c>
      <c r="S815" s="20" t="n">
        <f aca="false">IF($D815="",0,$K815-$L815-$M815-$N815)</f>
        <v>0</v>
      </c>
      <c r="T815" s="22"/>
      <c r="U815" s="20" t="n">
        <f aca="false">IF($T815="",0,MAX(0,$S815-$T815))</f>
        <v>0</v>
      </c>
      <c r="V815" s="21" t="n">
        <f aca="false">IF($S815=0,0,$U815/$S815)</f>
        <v>0</v>
      </c>
      <c r="W815" s="23" t="str">
        <f aca="false">IF($D815="","",IF($T815="","BEKLİYOR",IF(OR($U815=0,$S815=0),"DOĞRU",IF(AND($V815&gt;PazaryeriEksikHakedisEsik,$U815&gt;PazaryeriEksikHakedisTutarEsik),"EKSİK HAKEDİŞ","DOĞRU"))))</f>
        <v/>
      </c>
      <c r="X815" s="23" t="str">
        <f aca="false">IF($B815="","",CONCATENATE("Ürün: ",$B815," | Kâr: ",TEXT($Q815,"₺ #,##0")," | Durum: ",$W815))</f>
        <v/>
      </c>
      <c r="Y815" s="24"/>
    </row>
    <row r="816" customFormat="false" ht="15" hidden="false" customHeight="false" outlineLevel="0" collapsed="false">
      <c r="A816" s="24"/>
      <c r="B816" s="24"/>
      <c r="C816" s="22"/>
      <c r="D816" s="25"/>
      <c r="E816" s="22"/>
      <c r="F816" s="26"/>
      <c r="G816" s="26"/>
      <c r="H816" s="26"/>
      <c r="I816" s="26"/>
      <c r="J816" s="22"/>
      <c r="K816" s="20" t="n">
        <f aca="false">IF($D816="",0,$C816*$D816)</f>
        <v>0</v>
      </c>
      <c r="L816" s="20" t="n">
        <f aca="false">IF($D816="",0,$F816*$K816)</f>
        <v>0</v>
      </c>
      <c r="M816" s="20" t="n">
        <f aca="false">IF($D816="",0,$G816*$K816)</f>
        <v>0</v>
      </c>
      <c r="N816" s="20" t="n">
        <f aca="false">IF($D816="",0,$H816*$K816)</f>
        <v>0</v>
      </c>
      <c r="O816" s="20" t="n">
        <f aca="false">IF($D816="",0,$I816*$K816*(1-$F816))</f>
        <v>0</v>
      </c>
      <c r="P816" s="20" t="n">
        <f aca="false">IF($D816="",0,$E816*$D816+$L816+$M816+$N816+$O816+$J816*$D816)</f>
        <v>0</v>
      </c>
      <c r="Q816" s="20" t="n">
        <f aca="false">IF($D816="",0,$K816-$P816)</f>
        <v>0</v>
      </c>
      <c r="R816" s="21" t="n">
        <f aca="false">IF($K816=0,0,$Q816/$K816)</f>
        <v>0</v>
      </c>
      <c r="S816" s="20" t="n">
        <f aca="false">IF($D816="",0,$K816-$L816-$M816-$N816)</f>
        <v>0</v>
      </c>
      <c r="T816" s="22"/>
      <c r="U816" s="20" t="n">
        <f aca="false">IF($T816="",0,MAX(0,$S816-$T816))</f>
        <v>0</v>
      </c>
      <c r="V816" s="21" t="n">
        <f aca="false">IF($S816=0,0,$U816/$S816)</f>
        <v>0</v>
      </c>
      <c r="W816" s="23" t="str">
        <f aca="false">IF($D816="","",IF($T816="","BEKLİYOR",IF(OR($U816=0,$S816=0),"DOĞRU",IF(AND($V816&gt;PazaryeriEksikHakedisEsik,$U816&gt;PazaryeriEksikHakedisTutarEsik),"EKSİK HAKEDİŞ","DOĞRU"))))</f>
        <v/>
      </c>
      <c r="X816" s="23" t="str">
        <f aca="false">IF($B816="","",CONCATENATE("Ürün: ",$B816," | Kâr: ",TEXT($Q816,"₺ #,##0")," | Durum: ",$W816))</f>
        <v/>
      </c>
      <c r="Y816" s="24"/>
    </row>
    <row r="817" customFormat="false" ht="15" hidden="false" customHeight="false" outlineLevel="0" collapsed="false">
      <c r="A817" s="24"/>
      <c r="B817" s="24"/>
      <c r="C817" s="22"/>
      <c r="D817" s="25"/>
      <c r="E817" s="22"/>
      <c r="F817" s="26"/>
      <c r="G817" s="26"/>
      <c r="H817" s="26"/>
      <c r="I817" s="26"/>
      <c r="J817" s="22"/>
      <c r="K817" s="20" t="n">
        <f aca="false">IF($D817="",0,$C817*$D817)</f>
        <v>0</v>
      </c>
      <c r="L817" s="20" t="n">
        <f aca="false">IF($D817="",0,$F817*$K817)</f>
        <v>0</v>
      </c>
      <c r="M817" s="20" t="n">
        <f aca="false">IF($D817="",0,$G817*$K817)</f>
        <v>0</v>
      </c>
      <c r="N817" s="20" t="n">
        <f aca="false">IF($D817="",0,$H817*$K817)</f>
        <v>0</v>
      </c>
      <c r="O817" s="20" t="n">
        <f aca="false">IF($D817="",0,$I817*$K817*(1-$F817))</f>
        <v>0</v>
      </c>
      <c r="P817" s="20" t="n">
        <f aca="false">IF($D817="",0,$E817*$D817+$L817+$M817+$N817+$O817+$J817*$D817)</f>
        <v>0</v>
      </c>
      <c r="Q817" s="20" t="n">
        <f aca="false">IF($D817="",0,$K817-$P817)</f>
        <v>0</v>
      </c>
      <c r="R817" s="21" t="n">
        <f aca="false">IF($K817=0,0,$Q817/$K817)</f>
        <v>0</v>
      </c>
      <c r="S817" s="20" t="n">
        <f aca="false">IF($D817="",0,$K817-$L817-$M817-$N817)</f>
        <v>0</v>
      </c>
      <c r="T817" s="22"/>
      <c r="U817" s="20" t="n">
        <f aca="false">IF($T817="",0,MAX(0,$S817-$T817))</f>
        <v>0</v>
      </c>
      <c r="V817" s="21" t="n">
        <f aca="false">IF($S817=0,0,$U817/$S817)</f>
        <v>0</v>
      </c>
      <c r="W817" s="23" t="str">
        <f aca="false">IF($D817="","",IF($T817="","BEKLİYOR",IF(OR($U817=0,$S817=0),"DOĞRU",IF(AND($V817&gt;PazaryeriEksikHakedisEsik,$U817&gt;PazaryeriEksikHakedisTutarEsik),"EKSİK HAKEDİŞ","DOĞRU"))))</f>
        <v/>
      </c>
      <c r="X817" s="23" t="str">
        <f aca="false">IF($B817="","",CONCATENATE("Ürün: ",$B817," | Kâr: ",TEXT($Q817,"₺ #,##0")," | Durum: ",$W817))</f>
        <v/>
      </c>
      <c r="Y817" s="24"/>
    </row>
    <row r="818" customFormat="false" ht="15" hidden="false" customHeight="false" outlineLevel="0" collapsed="false">
      <c r="A818" s="24"/>
      <c r="B818" s="24"/>
      <c r="C818" s="22"/>
      <c r="D818" s="25"/>
      <c r="E818" s="22"/>
      <c r="F818" s="26"/>
      <c r="G818" s="26"/>
      <c r="H818" s="26"/>
      <c r="I818" s="26"/>
      <c r="J818" s="22"/>
      <c r="K818" s="20" t="n">
        <f aca="false">IF($D818="",0,$C818*$D818)</f>
        <v>0</v>
      </c>
      <c r="L818" s="20" t="n">
        <f aca="false">IF($D818="",0,$F818*$K818)</f>
        <v>0</v>
      </c>
      <c r="M818" s="20" t="n">
        <f aca="false">IF($D818="",0,$G818*$K818)</f>
        <v>0</v>
      </c>
      <c r="N818" s="20" t="n">
        <f aca="false">IF($D818="",0,$H818*$K818)</f>
        <v>0</v>
      </c>
      <c r="O818" s="20" t="n">
        <f aca="false">IF($D818="",0,$I818*$K818*(1-$F818))</f>
        <v>0</v>
      </c>
      <c r="P818" s="20" t="n">
        <f aca="false">IF($D818="",0,$E818*$D818+$L818+$M818+$N818+$O818+$J818*$D818)</f>
        <v>0</v>
      </c>
      <c r="Q818" s="20" t="n">
        <f aca="false">IF($D818="",0,$K818-$P818)</f>
        <v>0</v>
      </c>
      <c r="R818" s="21" t="n">
        <f aca="false">IF($K818=0,0,$Q818/$K818)</f>
        <v>0</v>
      </c>
      <c r="S818" s="20" t="n">
        <f aca="false">IF($D818="",0,$K818-$L818-$M818-$N818)</f>
        <v>0</v>
      </c>
      <c r="T818" s="22"/>
      <c r="U818" s="20" t="n">
        <f aca="false">IF($T818="",0,MAX(0,$S818-$T818))</f>
        <v>0</v>
      </c>
      <c r="V818" s="21" t="n">
        <f aca="false">IF($S818=0,0,$U818/$S818)</f>
        <v>0</v>
      </c>
      <c r="W818" s="23" t="str">
        <f aca="false">IF($D818="","",IF($T818="","BEKLİYOR",IF(OR($U818=0,$S818=0),"DOĞRU",IF(AND($V818&gt;PazaryeriEksikHakedisEsik,$U818&gt;PazaryeriEksikHakedisTutarEsik),"EKSİK HAKEDİŞ","DOĞRU"))))</f>
        <v/>
      </c>
      <c r="X818" s="23" t="str">
        <f aca="false">IF($B818="","",CONCATENATE("Ürün: ",$B818," | Kâr: ",TEXT($Q818,"₺ #,##0")," | Durum: ",$W818))</f>
        <v/>
      </c>
      <c r="Y818" s="24"/>
    </row>
    <row r="819" customFormat="false" ht="15" hidden="false" customHeight="false" outlineLevel="0" collapsed="false">
      <c r="A819" s="24"/>
      <c r="B819" s="24"/>
      <c r="C819" s="22"/>
      <c r="D819" s="25"/>
      <c r="E819" s="22"/>
      <c r="F819" s="26"/>
      <c r="G819" s="26"/>
      <c r="H819" s="26"/>
      <c r="I819" s="26"/>
      <c r="J819" s="22"/>
      <c r="K819" s="20" t="n">
        <f aca="false">IF($D819="",0,$C819*$D819)</f>
        <v>0</v>
      </c>
      <c r="L819" s="20" t="n">
        <f aca="false">IF($D819="",0,$F819*$K819)</f>
        <v>0</v>
      </c>
      <c r="M819" s="20" t="n">
        <f aca="false">IF($D819="",0,$G819*$K819)</f>
        <v>0</v>
      </c>
      <c r="N819" s="20" t="n">
        <f aca="false">IF($D819="",0,$H819*$K819)</f>
        <v>0</v>
      </c>
      <c r="O819" s="20" t="n">
        <f aca="false">IF($D819="",0,$I819*$K819*(1-$F819))</f>
        <v>0</v>
      </c>
      <c r="P819" s="20" t="n">
        <f aca="false">IF($D819="",0,$E819*$D819+$L819+$M819+$N819+$O819+$J819*$D819)</f>
        <v>0</v>
      </c>
      <c r="Q819" s="20" t="n">
        <f aca="false">IF($D819="",0,$K819-$P819)</f>
        <v>0</v>
      </c>
      <c r="R819" s="21" t="n">
        <f aca="false">IF($K819=0,0,$Q819/$K819)</f>
        <v>0</v>
      </c>
      <c r="S819" s="20" t="n">
        <f aca="false">IF($D819="",0,$K819-$L819-$M819-$N819)</f>
        <v>0</v>
      </c>
      <c r="T819" s="22"/>
      <c r="U819" s="20" t="n">
        <f aca="false">IF($T819="",0,MAX(0,$S819-$T819))</f>
        <v>0</v>
      </c>
      <c r="V819" s="21" t="n">
        <f aca="false">IF($S819=0,0,$U819/$S819)</f>
        <v>0</v>
      </c>
      <c r="W819" s="23" t="str">
        <f aca="false">IF($D819="","",IF($T819="","BEKLİYOR",IF(OR($U819=0,$S819=0),"DOĞRU",IF(AND($V819&gt;PazaryeriEksikHakedisEsik,$U819&gt;PazaryeriEksikHakedisTutarEsik),"EKSİK HAKEDİŞ","DOĞRU"))))</f>
        <v/>
      </c>
      <c r="X819" s="23" t="str">
        <f aca="false">IF($B819="","",CONCATENATE("Ürün: ",$B819," | Kâr: ",TEXT($Q819,"₺ #,##0")," | Durum: ",$W819))</f>
        <v/>
      </c>
      <c r="Y819" s="24"/>
    </row>
    <row r="820" customFormat="false" ht="15" hidden="false" customHeight="false" outlineLevel="0" collapsed="false">
      <c r="A820" s="24"/>
      <c r="B820" s="24"/>
      <c r="C820" s="22"/>
      <c r="D820" s="25"/>
      <c r="E820" s="22"/>
      <c r="F820" s="26"/>
      <c r="G820" s="26"/>
      <c r="H820" s="26"/>
      <c r="I820" s="26"/>
      <c r="J820" s="22"/>
      <c r="K820" s="20" t="n">
        <f aca="false">IF($D820="",0,$C820*$D820)</f>
        <v>0</v>
      </c>
      <c r="L820" s="20" t="n">
        <f aca="false">IF($D820="",0,$F820*$K820)</f>
        <v>0</v>
      </c>
      <c r="M820" s="20" t="n">
        <f aca="false">IF($D820="",0,$G820*$K820)</f>
        <v>0</v>
      </c>
      <c r="N820" s="20" t="n">
        <f aca="false">IF($D820="",0,$H820*$K820)</f>
        <v>0</v>
      </c>
      <c r="O820" s="20" t="n">
        <f aca="false">IF($D820="",0,$I820*$K820*(1-$F820))</f>
        <v>0</v>
      </c>
      <c r="P820" s="20" t="n">
        <f aca="false">IF($D820="",0,$E820*$D820+$L820+$M820+$N820+$O820+$J820*$D820)</f>
        <v>0</v>
      </c>
      <c r="Q820" s="20" t="n">
        <f aca="false">IF($D820="",0,$K820-$P820)</f>
        <v>0</v>
      </c>
      <c r="R820" s="21" t="n">
        <f aca="false">IF($K820=0,0,$Q820/$K820)</f>
        <v>0</v>
      </c>
      <c r="S820" s="20" t="n">
        <f aca="false">IF($D820="",0,$K820-$L820-$M820-$N820)</f>
        <v>0</v>
      </c>
      <c r="T820" s="22"/>
      <c r="U820" s="20" t="n">
        <f aca="false">IF($T820="",0,MAX(0,$S820-$T820))</f>
        <v>0</v>
      </c>
      <c r="V820" s="21" t="n">
        <f aca="false">IF($S820=0,0,$U820/$S820)</f>
        <v>0</v>
      </c>
      <c r="W820" s="23" t="str">
        <f aca="false">IF($D820="","",IF($T820="","BEKLİYOR",IF(OR($U820=0,$S820=0),"DOĞRU",IF(AND($V820&gt;PazaryeriEksikHakedisEsik,$U820&gt;PazaryeriEksikHakedisTutarEsik),"EKSİK HAKEDİŞ","DOĞRU"))))</f>
        <v/>
      </c>
      <c r="X820" s="23" t="str">
        <f aca="false">IF($B820="","",CONCATENATE("Ürün: ",$B820," | Kâr: ",TEXT($Q820,"₺ #,##0")," | Durum: ",$W820))</f>
        <v/>
      </c>
      <c r="Y820" s="24"/>
    </row>
    <row r="821" customFormat="false" ht="15" hidden="false" customHeight="false" outlineLevel="0" collapsed="false">
      <c r="A821" s="24"/>
      <c r="B821" s="24"/>
      <c r="C821" s="22"/>
      <c r="D821" s="25"/>
      <c r="E821" s="22"/>
      <c r="F821" s="26"/>
      <c r="G821" s="26"/>
      <c r="H821" s="26"/>
      <c r="I821" s="26"/>
      <c r="J821" s="22"/>
      <c r="K821" s="20" t="n">
        <f aca="false">IF($D821="",0,$C821*$D821)</f>
        <v>0</v>
      </c>
      <c r="L821" s="20" t="n">
        <f aca="false">IF($D821="",0,$F821*$K821)</f>
        <v>0</v>
      </c>
      <c r="M821" s="20" t="n">
        <f aca="false">IF($D821="",0,$G821*$K821)</f>
        <v>0</v>
      </c>
      <c r="N821" s="20" t="n">
        <f aca="false">IF($D821="",0,$H821*$K821)</f>
        <v>0</v>
      </c>
      <c r="O821" s="20" t="n">
        <f aca="false">IF($D821="",0,$I821*$K821*(1-$F821))</f>
        <v>0</v>
      </c>
      <c r="P821" s="20" t="n">
        <f aca="false">IF($D821="",0,$E821*$D821+$L821+$M821+$N821+$O821+$J821*$D821)</f>
        <v>0</v>
      </c>
      <c r="Q821" s="20" t="n">
        <f aca="false">IF($D821="",0,$K821-$P821)</f>
        <v>0</v>
      </c>
      <c r="R821" s="21" t="n">
        <f aca="false">IF($K821=0,0,$Q821/$K821)</f>
        <v>0</v>
      </c>
      <c r="S821" s="20" t="n">
        <f aca="false">IF($D821="",0,$K821-$L821-$M821-$N821)</f>
        <v>0</v>
      </c>
      <c r="T821" s="22"/>
      <c r="U821" s="20" t="n">
        <f aca="false">IF($T821="",0,MAX(0,$S821-$T821))</f>
        <v>0</v>
      </c>
      <c r="V821" s="21" t="n">
        <f aca="false">IF($S821=0,0,$U821/$S821)</f>
        <v>0</v>
      </c>
      <c r="W821" s="23" t="str">
        <f aca="false">IF($D821="","",IF($T821="","BEKLİYOR",IF(OR($U821=0,$S821=0),"DOĞRU",IF(AND($V821&gt;PazaryeriEksikHakedisEsik,$U821&gt;PazaryeriEksikHakedisTutarEsik),"EKSİK HAKEDİŞ","DOĞRU"))))</f>
        <v/>
      </c>
      <c r="X821" s="23" t="str">
        <f aca="false">IF($B821="","",CONCATENATE("Ürün: ",$B821," | Kâr: ",TEXT($Q821,"₺ #,##0")," | Durum: ",$W821))</f>
        <v/>
      </c>
      <c r="Y821" s="24"/>
    </row>
    <row r="822" customFormat="false" ht="15" hidden="false" customHeight="false" outlineLevel="0" collapsed="false">
      <c r="A822" s="24"/>
      <c r="B822" s="24"/>
      <c r="C822" s="22"/>
      <c r="D822" s="25"/>
      <c r="E822" s="22"/>
      <c r="F822" s="26"/>
      <c r="G822" s="26"/>
      <c r="H822" s="26"/>
      <c r="I822" s="26"/>
      <c r="J822" s="22"/>
      <c r="K822" s="20" t="n">
        <f aca="false">IF($D822="",0,$C822*$D822)</f>
        <v>0</v>
      </c>
      <c r="L822" s="20" t="n">
        <f aca="false">IF($D822="",0,$F822*$K822)</f>
        <v>0</v>
      </c>
      <c r="M822" s="20" t="n">
        <f aca="false">IF($D822="",0,$G822*$K822)</f>
        <v>0</v>
      </c>
      <c r="N822" s="20" t="n">
        <f aca="false">IF($D822="",0,$H822*$K822)</f>
        <v>0</v>
      </c>
      <c r="O822" s="20" t="n">
        <f aca="false">IF($D822="",0,$I822*$K822*(1-$F822))</f>
        <v>0</v>
      </c>
      <c r="P822" s="20" t="n">
        <f aca="false">IF($D822="",0,$E822*$D822+$L822+$M822+$N822+$O822+$J822*$D822)</f>
        <v>0</v>
      </c>
      <c r="Q822" s="20" t="n">
        <f aca="false">IF($D822="",0,$K822-$P822)</f>
        <v>0</v>
      </c>
      <c r="R822" s="21" t="n">
        <f aca="false">IF($K822=0,0,$Q822/$K822)</f>
        <v>0</v>
      </c>
      <c r="S822" s="20" t="n">
        <f aca="false">IF($D822="",0,$K822-$L822-$M822-$N822)</f>
        <v>0</v>
      </c>
      <c r="T822" s="22"/>
      <c r="U822" s="20" t="n">
        <f aca="false">IF($T822="",0,MAX(0,$S822-$T822))</f>
        <v>0</v>
      </c>
      <c r="V822" s="21" t="n">
        <f aca="false">IF($S822=0,0,$U822/$S822)</f>
        <v>0</v>
      </c>
      <c r="W822" s="23" t="str">
        <f aca="false">IF($D822="","",IF($T822="","BEKLİYOR",IF(OR($U822=0,$S822=0),"DOĞRU",IF(AND($V822&gt;PazaryeriEksikHakedisEsik,$U822&gt;PazaryeriEksikHakedisTutarEsik),"EKSİK HAKEDİŞ","DOĞRU"))))</f>
        <v/>
      </c>
      <c r="X822" s="23" t="str">
        <f aca="false">IF($B822="","",CONCATENATE("Ürün: ",$B822," | Kâr: ",TEXT($Q822,"₺ #,##0")," | Durum: ",$W822))</f>
        <v/>
      </c>
      <c r="Y822" s="24"/>
    </row>
    <row r="823" customFormat="false" ht="15" hidden="false" customHeight="false" outlineLevel="0" collapsed="false">
      <c r="A823" s="24"/>
      <c r="B823" s="24"/>
      <c r="C823" s="22"/>
      <c r="D823" s="25"/>
      <c r="E823" s="22"/>
      <c r="F823" s="26"/>
      <c r="G823" s="26"/>
      <c r="H823" s="26"/>
      <c r="I823" s="26"/>
      <c r="J823" s="22"/>
      <c r="K823" s="20" t="n">
        <f aca="false">IF($D823="",0,$C823*$D823)</f>
        <v>0</v>
      </c>
      <c r="L823" s="20" t="n">
        <f aca="false">IF($D823="",0,$F823*$K823)</f>
        <v>0</v>
      </c>
      <c r="M823" s="20" t="n">
        <f aca="false">IF($D823="",0,$G823*$K823)</f>
        <v>0</v>
      </c>
      <c r="N823" s="20" t="n">
        <f aca="false">IF($D823="",0,$H823*$K823)</f>
        <v>0</v>
      </c>
      <c r="O823" s="20" t="n">
        <f aca="false">IF($D823="",0,$I823*$K823*(1-$F823))</f>
        <v>0</v>
      </c>
      <c r="P823" s="20" t="n">
        <f aca="false">IF($D823="",0,$E823*$D823+$L823+$M823+$N823+$O823+$J823*$D823)</f>
        <v>0</v>
      </c>
      <c r="Q823" s="20" t="n">
        <f aca="false">IF($D823="",0,$K823-$P823)</f>
        <v>0</v>
      </c>
      <c r="R823" s="21" t="n">
        <f aca="false">IF($K823=0,0,$Q823/$K823)</f>
        <v>0</v>
      </c>
      <c r="S823" s="20" t="n">
        <f aca="false">IF($D823="",0,$K823-$L823-$M823-$N823)</f>
        <v>0</v>
      </c>
      <c r="T823" s="22"/>
      <c r="U823" s="20" t="n">
        <f aca="false">IF($T823="",0,MAX(0,$S823-$T823))</f>
        <v>0</v>
      </c>
      <c r="V823" s="21" t="n">
        <f aca="false">IF($S823=0,0,$U823/$S823)</f>
        <v>0</v>
      </c>
      <c r="W823" s="23" t="str">
        <f aca="false">IF($D823="","",IF($T823="","BEKLİYOR",IF(OR($U823=0,$S823=0),"DOĞRU",IF(AND($V823&gt;PazaryeriEksikHakedisEsik,$U823&gt;PazaryeriEksikHakedisTutarEsik),"EKSİK HAKEDİŞ","DOĞRU"))))</f>
        <v/>
      </c>
      <c r="X823" s="23" t="str">
        <f aca="false">IF($B823="","",CONCATENATE("Ürün: ",$B823," | Kâr: ",TEXT($Q823,"₺ #,##0")," | Durum: ",$W823))</f>
        <v/>
      </c>
      <c r="Y823" s="24"/>
    </row>
    <row r="824" customFormat="false" ht="15" hidden="false" customHeight="false" outlineLevel="0" collapsed="false">
      <c r="A824" s="24"/>
      <c r="B824" s="24"/>
      <c r="C824" s="22"/>
      <c r="D824" s="25"/>
      <c r="E824" s="22"/>
      <c r="F824" s="26"/>
      <c r="G824" s="26"/>
      <c r="H824" s="26"/>
      <c r="I824" s="26"/>
      <c r="J824" s="22"/>
      <c r="K824" s="20" t="n">
        <f aca="false">IF($D824="",0,$C824*$D824)</f>
        <v>0</v>
      </c>
      <c r="L824" s="20" t="n">
        <f aca="false">IF($D824="",0,$F824*$K824)</f>
        <v>0</v>
      </c>
      <c r="M824" s="20" t="n">
        <f aca="false">IF($D824="",0,$G824*$K824)</f>
        <v>0</v>
      </c>
      <c r="N824" s="20" t="n">
        <f aca="false">IF($D824="",0,$H824*$K824)</f>
        <v>0</v>
      </c>
      <c r="O824" s="20" t="n">
        <f aca="false">IF($D824="",0,$I824*$K824*(1-$F824))</f>
        <v>0</v>
      </c>
      <c r="P824" s="20" t="n">
        <f aca="false">IF($D824="",0,$E824*$D824+$L824+$M824+$N824+$O824+$J824*$D824)</f>
        <v>0</v>
      </c>
      <c r="Q824" s="20" t="n">
        <f aca="false">IF($D824="",0,$K824-$P824)</f>
        <v>0</v>
      </c>
      <c r="R824" s="21" t="n">
        <f aca="false">IF($K824=0,0,$Q824/$K824)</f>
        <v>0</v>
      </c>
      <c r="S824" s="20" t="n">
        <f aca="false">IF($D824="",0,$K824-$L824-$M824-$N824)</f>
        <v>0</v>
      </c>
      <c r="T824" s="22"/>
      <c r="U824" s="20" t="n">
        <f aca="false">IF($T824="",0,MAX(0,$S824-$T824))</f>
        <v>0</v>
      </c>
      <c r="V824" s="21" t="n">
        <f aca="false">IF($S824=0,0,$U824/$S824)</f>
        <v>0</v>
      </c>
      <c r="W824" s="23" t="str">
        <f aca="false">IF($D824="","",IF($T824="","BEKLİYOR",IF(OR($U824=0,$S824=0),"DOĞRU",IF(AND($V824&gt;PazaryeriEksikHakedisEsik,$U824&gt;PazaryeriEksikHakedisTutarEsik),"EKSİK HAKEDİŞ","DOĞRU"))))</f>
        <v/>
      </c>
      <c r="X824" s="23" t="str">
        <f aca="false">IF($B824="","",CONCATENATE("Ürün: ",$B824," | Kâr: ",TEXT($Q824,"₺ #,##0")," | Durum: ",$W824))</f>
        <v/>
      </c>
      <c r="Y824" s="24"/>
    </row>
    <row r="825" customFormat="false" ht="15" hidden="false" customHeight="false" outlineLevel="0" collapsed="false">
      <c r="A825" s="24"/>
      <c r="B825" s="24"/>
      <c r="C825" s="22"/>
      <c r="D825" s="25"/>
      <c r="E825" s="22"/>
      <c r="F825" s="26"/>
      <c r="G825" s="26"/>
      <c r="H825" s="26"/>
      <c r="I825" s="26"/>
      <c r="J825" s="22"/>
      <c r="K825" s="20" t="n">
        <f aca="false">IF($D825="",0,$C825*$D825)</f>
        <v>0</v>
      </c>
      <c r="L825" s="20" t="n">
        <f aca="false">IF($D825="",0,$F825*$K825)</f>
        <v>0</v>
      </c>
      <c r="M825" s="20" t="n">
        <f aca="false">IF($D825="",0,$G825*$K825)</f>
        <v>0</v>
      </c>
      <c r="N825" s="20" t="n">
        <f aca="false">IF($D825="",0,$H825*$K825)</f>
        <v>0</v>
      </c>
      <c r="O825" s="20" t="n">
        <f aca="false">IF($D825="",0,$I825*$K825*(1-$F825))</f>
        <v>0</v>
      </c>
      <c r="P825" s="20" t="n">
        <f aca="false">IF($D825="",0,$E825*$D825+$L825+$M825+$N825+$O825+$J825*$D825)</f>
        <v>0</v>
      </c>
      <c r="Q825" s="20" t="n">
        <f aca="false">IF($D825="",0,$K825-$P825)</f>
        <v>0</v>
      </c>
      <c r="R825" s="21" t="n">
        <f aca="false">IF($K825=0,0,$Q825/$K825)</f>
        <v>0</v>
      </c>
      <c r="S825" s="20" t="n">
        <f aca="false">IF($D825="",0,$K825-$L825-$M825-$N825)</f>
        <v>0</v>
      </c>
      <c r="T825" s="22"/>
      <c r="U825" s="20" t="n">
        <f aca="false">IF($T825="",0,MAX(0,$S825-$T825))</f>
        <v>0</v>
      </c>
      <c r="V825" s="21" t="n">
        <f aca="false">IF($S825=0,0,$U825/$S825)</f>
        <v>0</v>
      </c>
      <c r="W825" s="23" t="str">
        <f aca="false">IF($D825="","",IF($T825="","BEKLİYOR",IF(OR($U825=0,$S825=0),"DOĞRU",IF(AND($V825&gt;PazaryeriEksikHakedisEsik,$U825&gt;PazaryeriEksikHakedisTutarEsik),"EKSİK HAKEDİŞ","DOĞRU"))))</f>
        <v/>
      </c>
      <c r="X825" s="23" t="str">
        <f aca="false">IF($B825="","",CONCATENATE("Ürün: ",$B825," | Kâr: ",TEXT($Q825,"₺ #,##0")," | Durum: ",$W825))</f>
        <v/>
      </c>
      <c r="Y825" s="24"/>
    </row>
    <row r="826" customFormat="false" ht="15" hidden="false" customHeight="false" outlineLevel="0" collapsed="false">
      <c r="A826" s="24"/>
      <c r="B826" s="24"/>
      <c r="C826" s="22"/>
      <c r="D826" s="25"/>
      <c r="E826" s="22"/>
      <c r="F826" s="26"/>
      <c r="G826" s="26"/>
      <c r="H826" s="26"/>
      <c r="I826" s="26"/>
      <c r="J826" s="22"/>
      <c r="K826" s="20" t="n">
        <f aca="false">IF($D826="",0,$C826*$D826)</f>
        <v>0</v>
      </c>
      <c r="L826" s="20" t="n">
        <f aca="false">IF($D826="",0,$F826*$K826)</f>
        <v>0</v>
      </c>
      <c r="M826" s="20" t="n">
        <f aca="false">IF($D826="",0,$G826*$K826)</f>
        <v>0</v>
      </c>
      <c r="N826" s="20" t="n">
        <f aca="false">IF($D826="",0,$H826*$K826)</f>
        <v>0</v>
      </c>
      <c r="O826" s="20" t="n">
        <f aca="false">IF($D826="",0,$I826*$K826*(1-$F826))</f>
        <v>0</v>
      </c>
      <c r="P826" s="20" t="n">
        <f aca="false">IF($D826="",0,$E826*$D826+$L826+$M826+$N826+$O826+$J826*$D826)</f>
        <v>0</v>
      </c>
      <c r="Q826" s="20" t="n">
        <f aca="false">IF($D826="",0,$K826-$P826)</f>
        <v>0</v>
      </c>
      <c r="R826" s="21" t="n">
        <f aca="false">IF($K826=0,0,$Q826/$K826)</f>
        <v>0</v>
      </c>
      <c r="S826" s="20" t="n">
        <f aca="false">IF($D826="",0,$K826-$L826-$M826-$N826)</f>
        <v>0</v>
      </c>
      <c r="T826" s="22"/>
      <c r="U826" s="20" t="n">
        <f aca="false">IF($T826="",0,MAX(0,$S826-$T826))</f>
        <v>0</v>
      </c>
      <c r="V826" s="21" t="n">
        <f aca="false">IF($S826=0,0,$U826/$S826)</f>
        <v>0</v>
      </c>
      <c r="W826" s="23" t="str">
        <f aca="false">IF($D826="","",IF($T826="","BEKLİYOR",IF(OR($U826=0,$S826=0),"DOĞRU",IF(AND($V826&gt;PazaryeriEksikHakedisEsik,$U826&gt;PazaryeriEksikHakedisTutarEsik),"EKSİK HAKEDİŞ","DOĞRU"))))</f>
        <v/>
      </c>
      <c r="X826" s="23" t="str">
        <f aca="false">IF($B826="","",CONCATENATE("Ürün: ",$B826," | Kâr: ",TEXT($Q826,"₺ #,##0")," | Durum: ",$W826))</f>
        <v/>
      </c>
      <c r="Y826" s="24"/>
    </row>
    <row r="827" customFormat="false" ht="15" hidden="false" customHeight="false" outlineLevel="0" collapsed="false">
      <c r="A827" s="24"/>
      <c r="B827" s="24"/>
      <c r="C827" s="22"/>
      <c r="D827" s="25"/>
      <c r="E827" s="22"/>
      <c r="F827" s="26"/>
      <c r="G827" s="26"/>
      <c r="H827" s="26"/>
      <c r="I827" s="26"/>
      <c r="J827" s="22"/>
      <c r="K827" s="20" t="n">
        <f aca="false">IF($D827="",0,$C827*$D827)</f>
        <v>0</v>
      </c>
      <c r="L827" s="20" t="n">
        <f aca="false">IF($D827="",0,$F827*$K827)</f>
        <v>0</v>
      </c>
      <c r="M827" s="20" t="n">
        <f aca="false">IF($D827="",0,$G827*$K827)</f>
        <v>0</v>
      </c>
      <c r="N827" s="20" t="n">
        <f aca="false">IF($D827="",0,$H827*$K827)</f>
        <v>0</v>
      </c>
      <c r="O827" s="20" t="n">
        <f aca="false">IF($D827="",0,$I827*$K827*(1-$F827))</f>
        <v>0</v>
      </c>
      <c r="P827" s="20" t="n">
        <f aca="false">IF($D827="",0,$E827*$D827+$L827+$M827+$N827+$O827+$J827*$D827)</f>
        <v>0</v>
      </c>
      <c r="Q827" s="20" t="n">
        <f aca="false">IF($D827="",0,$K827-$P827)</f>
        <v>0</v>
      </c>
      <c r="R827" s="21" t="n">
        <f aca="false">IF($K827=0,0,$Q827/$K827)</f>
        <v>0</v>
      </c>
      <c r="S827" s="20" t="n">
        <f aca="false">IF($D827="",0,$K827-$L827-$M827-$N827)</f>
        <v>0</v>
      </c>
      <c r="T827" s="22"/>
      <c r="U827" s="20" t="n">
        <f aca="false">IF($T827="",0,MAX(0,$S827-$T827))</f>
        <v>0</v>
      </c>
      <c r="V827" s="21" t="n">
        <f aca="false">IF($S827=0,0,$U827/$S827)</f>
        <v>0</v>
      </c>
      <c r="W827" s="23" t="str">
        <f aca="false">IF($D827="","",IF($T827="","BEKLİYOR",IF(OR($U827=0,$S827=0),"DOĞRU",IF(AND($V827&gt;PazaryeriEksikHakedisEsik,$U827&gt;PazaryeriEksikHakedisTutarEsik),"EKSİK HAKEDİŞ","DOĞRU"))))</f>
        <v/>
      </c>
      <c r="X827" s="23" t="str">
        <f aca="false">IF($B827="","",CONCATENATE("Ürün: ",$B827," | Kâr: ",TEXT($Q827,"₺ #,##0")," | Durum: ",$W827))</f>
        <v/>
      </c>
      <c r="Y827" s="24"/>
    </row>
    <row r="828" customFormat="false" ht="15" hidden="false" customHeight="false" outlineLevel="0" collapsed="false">
      <c r="A828" s="24"/>
      <c r="B828" s="24"/>
      <c r="C828" s="22"/>
      <c r="D828" s="25"/>
      <c r="E828" s="22"/>
      <c r="F828" s="26"/>
      <c r="G828" s="26"/>
      <c r="H828" s="26"/>
      <c r="I828" s="26"/>
      <c r="J828" s="22"/>
      <c r="K828" s="20" t="n">
        <f aca="false">IF($D828="",0,$C828*$D828)</f>
        <v>0</v>
      </c>
      <c r="L828" s="20" t="n">
        <f aca="false">IF($D828="",0,$F828*$K828)</f>
        <v>0</v>
      </c>
      <c r="M828" s="20" t="n">
        <f aca="false">IF($D828="",0,$G828*$K828)</f>
        <v>0</v>
      </c>
      <c r="N828" s="20" t="n">
        <f aca="false">IF($D828="",0,$H828*$K828)</f>
        <v>0</v>
      </c>
      <c r="O828" s="20" t="n">
        <f aca="false">IF($D828="",0,$I828*$K828*(1-$F828))</f>
        <v>0</v>
      </c>
      <c r="P828" s="20" t="n">
        <f aca="false">IF($D828="",0,$E828*$D828+$L828+$M828+$N828+$O828+$J828*$D828)</f>
        <v>0</v>
      </c>
      <c r="Q828" s="20" t="n">
        <f aca="false">IF($D828="",0,$K828-$P828)</f>
        <v>0</v>
      </c>
      <c r="R828" s="21" t="n">
        <f aca="false">IF($K828=0,0,$Q828/$K828)</f>
        <v>0</v>
      </c>
      <c r="S828" s="20" t="n">
        <f aca="false">IF($D828="",0,$K828-$L828-$M828-$N828)</f>
        <v>0</v>
      </c>
      <c r="T828" s="22"/>
      <c r="U828" s="20" t="n">
        <f aca="false">IF($T828="",0,MAX(0,$S828-$T828))</f>
        <v>0</v>
      </c>
      <c r="V828" s="21" t="n">
        <f aca="false">IF($S828=0,0,$U828/$S828)</f>
        <v>0</v>
      </c>
      <c r="W828" s="23" t="str">
        <f aca="false">IF($D828="","",IF($T828="","BEKLİYOR",IF(OR($U828=0,$S828=0),"DOĞRU",IF(AND($V828&gt;PazaryeriEksikHakedisEsik,$U828&gt;PazaryeriEksikHakedisTutarEsik),"EKSİK HAKEDİŞ","DOĞRU"))))</f>
        <v/>
      </c>
      <c r="X828" s="23" t="str">
        <f aca="false">IF($B828="","",CONCATENATE("Ürün: ",$B828," | Kâr: ",TEXT($Q828,"₺ #,##0")," | Durum: ",$W828))</f>
        <v/>
      </c>
      <c r="Y828" s="24"/>
    </row>
    <row r="829" customFormat="false" ht="15" hidden="false" customHeight="false" outlineLevel="0" collapsed="false">
      <c r="A829" s="24"/>
      <c r="B829" s="24"/>
      <c r="C829" s="22"/>
      <c r="D829" s="25"/>
      <c r="E829" s="22"/>
      <c r="F829" s="26"/>
      <c r="G829" s="26"/>
      <c r="H829" s="26"/>
      <c r="I829" s="26"/>
      <c r="J829" s="22"/>
      <c r="K829" s="20" t="n">
        <f aca="false">IF($D829="",0,$C829*$D829)</f>
        <v>0</v>
      </c>
      <c r="L829" s="20" t="n">
        <f aca="false">IF($D829="",0,$F829*$K829)</f>
        <v>0</v>
      </c>
      <c r="M829" s="20" t="n">
        <f aca="false">IF($D829="",0,$G829*$K829)</f>
        <v>0</v>
      </c>
      <c r="N829" s="20" t="n">
        <f aca="false">IF($D829="",0,$H829*$K829)</f>
        <v>0</v>
      </c>
      <c r="O829" s="20" t="n">
        <f aca="false">IF($D829="",0,$I829*$K829*(1-$F829))</f>
        <v>0</v>
      </c>
      <c r="P829" s="20" t="n">
        <f aca="false">IF($D829="",0,$E829*$D829+$L829+$M829+$N829+$O829+$J829*$D829)</f>
        <v>0</v>
      </c>
      <c r="Q829" s="20" t="n">
        <f aca="false">IF($D829="",0,$K829-$P829)</f>
        <v>0</v>
      </c>
      <c r="R829" s="21" t="n">
        <f aca="false">IF($K829=0,0,$Q829/$K829)</f>
        <v>0</v>
      </c>
      <c r="S829" s="20" t="n">
        <f aca="false">IF($D829="",0,$K829-$L829-$M829-$N829)</f>
        <v>0</v>
      </c>
      <c r="T829" s="22"/>
      <c r="U829" s="20" t="n">
        <f aca="false">IF($T829="",0,MAX(0,$S829-$T829))</f>
        <v>0</v>
      </c>
      <c r="V829" s="21" t="n">
        <f aca="false">IF($S829=0,0,$U829/$S829)</f>
        <v>0</v>
      </c>
      <c r="W829" s="23" t="str">
        <f aca="false">IF($D829="","",IF($T829="","BEKLİYOR",IF(OR($U829=0,$S829=0),"DOĞRU",IF(AND($V829&gt;PazaryeriEksikHakedisEsik,$U829&gt;PazaryeriEksikHakedisTutarEsik),"EKSİK HAKEDİŞ","DOĞRU"))))</f>
        <v/>
      </c>
      <c r="X829" s="23" t="str">
        <f aca="false">IF($B829="","",CONCATENATE("Ürün: ",$B829," | Kâr: ",TEXT($Q829,"₺ #,##0")," | Durum: ",$W829))</f>
        <v/>
      </c>
      <c r="Y829" s="24"/>
    </row>
    <row r="830" customFormat="false" ht="15" hidden="false" customHeight="false" outlineLevel="0" collapsed="false">
      <c r="A830" s="24"/>
      <c r="B830" s="24"/>
      <c r="C830" s="22"/>
      <c r="D830" s="25"/>
      <c r="E830" s="22"/>
      <c r="F830" s="26"/>
      <c r="G830" s="26"/>
      <c r="H830" s="26"/>
      <c r="I830" s="26"/>
      <c r="J830" s="22"/>
      <c r="K830" s="20" t="n">
        <f aca="false">IF($D830="",0,$C830*$D830)</f>
        <v>0</v>
      </c>
      <c r="L830" s="20" t="n">
        <f aca="false">IF($D830="",0,$F830*$K830)</f>
        <v>0</v>
      </c>
      <c r="M830" s="20" t="n">
        <f aca="false">IF($D830="",0,$G830*$K830)</f>
        <v>0</v>
      </c>
      <c r="N830" s="20" t="n">
        <f aca="false">IF($D830="",0,$H830*$K830)</f>
        <v>0</v>
      </c>
      <c r="O830" s="20" t="n">
        <f aca="false">IF($D830="",0,$I830*$K830*(1-$F830))</f>
        <v>0</v>
      </c>
      <c r="P830" s="20" t="n">
        <f aca="false">IF($D830="",0,$E830*$D830+$L830+$M830+$N830+$O830+$J830*$D830)</f>
        <v>0</v>
      </c>
      <c r="Q830" s="20" t="n">
        <f aca="false">IF($D830="",0,$K830-$P830)</f>
        <v>0</v>
      </c>
      <c r="R830" s="21" t="n">
        <f aca="false">IF($K830=0,0,$Q830/$K830)</f>
        <v>0</v>
      </c>
      <c r="S830" s="20" t="n">
        <f aca="false">IF($D830="",0,$K830-$L830-$M830-$N830)</f>
        <v>0</v>
      </c>
      <c r="T830" s="22"/>
      <c r="U830" s="20" t="n">
        <f aca="false">IF($T830="",0,MAX(0,$S830-$T830))</f>
        <v>0</v>
      </c>
      <c r="V830" s="21" t="n">
        <f aca="false">IF($S830=0,0,$U830/$S830)</f>
        <v>0</v>
      </c>
      <c r="W830" s="23" t="str">
        <f aca="false">IF($D830="","",IF($T830="","BEKLİYOR",IF(OR($U830=0,$S830=0),"DOĞRU",IF(AND($V830&gt;PazaryeriEksikHakedisEsik,$U830&gt;PazaryeriEksikHakedisTutarEsik),"EKSİK HAKEDİŞ","DOĞRU"))))</f>
        <v/>
      </c>
      <c r="X830" s="23" t="str">
        <f aca="false">IF($B830="","",CONCATENATE("Ürün: ",$B830," | Kâr: ",TEXT($Q830,"₺ #,##0")," | Durum: ",$W830))</f>
        <v/>
      </c>
      <c r="Y830" s="24"/>
    </row>
    <row r="831" customFormat="false" ht="15" hidden="false" customHeight="false" outlineLevel="0" collapsed="false">
      <c r="A831" s="24"/>
      <c r="B831" s="24"/>
      <c r="C831" s="22"/>
      <c r="D831" s="25"/>
      <c r="E831" s="22"/>
      <c r="F831" s="26"/>
      <c r="G831" s="26"/>
      <c r="H831" s="26"/>
      <c r="I831" s="26"/>
      <c r="J831" s="22"/>
      <c r="K831" s="20" t="n">
        <f aca="false">IF($D831="",0,$C831*$D831)</f>
        <v>0</v>
      </c>
      <c r="L831" s="20" t="n">
        <f aca="false">IF($D831="",0,$F831*$K831)</f>
        <v>0</v>
      </c>
      <c r="M831" s="20" t="n">
        <f aca="false">IF($D831="",0,$G831*$K831)</f>
        <v>0</v>
      </c>
      <c r="N831" s="20" t="n">
        <f aca="false">IF($D831="",0,$H831*$K831)</f>
        <v>0</v>
      </c>
      <c r="O831" s="20" t="n">
        <f aca="false">IF($D831="",0,$I831*$K831*(1-$F831))</f>
        <v>0</v>
      </c>
      <c r="P831" s="20" t="n">
        <f aca="false">IF($D831="",0,$E831*$D831+$L831+$M831+$N831+$O831+$J831*$D831)</f>
        <v>0</v>
      </c>
      <c r="Q831" s="20" t="n">
        <f aca="false">IF($D831="",0,$K831-$P831)</f>
        <v>0</v>
      </c>
      <c r="R831" s="21" t="n">
        <f aca="false">IF($K831=0,0,$Q831/$K831)</f>
        <v>0</v>
      </c>
      <c r="S831" s="20" t="n">
        <f aca="false">IF($D831="",0,$K831-$L831-$M831-$N831)</f>
        <v>0</v>
      </c>
      <c r="T831" s="22"/>
      <c r="U831" s="20" t="n">
        <f aca="false">IF($T831="",0,MAX(0,$S831-$T831))</f>
        <v>0</v>
      </c>
      <c r="V831" s="21" t="n">
        <f aca="false">IF($S831=0,0,$U831/$S831)</f>
        <v>0</v>
      </c>
      <c r="W831" s="23" t="str">
        <f aca="false">IF($D831="","",IF($T831="","BEKLİYOR",IF(OR($U831=0,$S831=0),"DOĞRU",IF(AND($V831&gt;PazaryeriEksikHakedisEsik,$U831&gt;PazaryeriEksikHakedisTutarEsik),"EKSİK HAKEDİŞ","DOĞRU"))))</f>
        <v/>
      </c>
      <c r="X831" s="23" t="str">
        <f aca="false">IF($B831="","",CONCATENATE("Ürün: ",$B831," | Kâr: ",TEXT($Q831,"₺ #,##0")," | Durum: ",$W831))</f>
        <v/>
      </c>
      <c r="Y831" s="24"/>
    </row>
    <row r="832" customFormat="false" ht="15" hidden="false" customHeight="false" outlineLevel="0" collapsed="false">
      <c r="A832" s="24"/>
      <c r="B832" s="24"/>
      <c r="C832" s="22"/>
      <c r="D832" s="25"/>
      <c r="E832" s="22"/>
      <c r="F832" s="26"/>
      <c r="G832" s="26"/>
      <c r="H832" s="26"/>
      <c r="I832" s="26"/>
      <c r="J832" s="22"/>
      <c r="K832" s="20" t="n">
        <f aca="false">IF($D832="",0,$C832*$D832)</f>
        <v>0</v>
      </c>
      <c r="L832" s="20" t="n">
        <f aca="false">IF($D832="",0,$F832*$K832)</f>
        <v>0</v>
      </c>
      <c r="M832" s="20" t="n">
        <f aca="false">IF($D832="",0,$G832*$K832)</f>
        <v>0</v>
      </c>
      <c r="N832" s="20" t="n">
        <f aca="false">IF($D832="",0,$H832*$K832)</f>
        <v>0</v>
      </c>
      <c r="O832" s="20" t="n">
        <f aca="false">IF($D832="",0,$I832*$K832*(1-$F832))</f>
        <v>0</v>
      </c>
      <c r="P832" s="20" t="n">
        <f aca="false">IF($D832="",0,$E832*$D832+$L832+$M832+$N832+$O832+$J832*$D832)</f>
        <v>0</v>
      </c>
      <c r="Q832" s="20" t="n">
        <f aca="false">IF($D832="",0,$K832-$P832)</f>
        <v>0</v>
      </c>
      <c r="R832" s="21" t="n">
        <f aca="false">IF($K832=0,0,$Q832/$K832)</f>
        <v>0</v>
      </c>
      <c r="S832" s="20" t="n">
        <f aca="false">IF($D832="",0,$K832-$L832-$M832-$N832)</f>
        <v>0</v>
      </c>
      <c r="T832" s="22"/>
      <c r="U832" s="20" t="n">
        <f aca="false">IF($T832="",0,MAX(0,$S832-$T832))</f>
        <v>0</v>
      </c>
      <c r="V832" s="21" t="n">
        <f aca="false">IF($S832=0,0,$U832/$S832)</f>
        <v>0</v>
      </c>
      <c r="W832" s="23" t="str">
        <f aca="false">IF($D832="","",IF($T832="","BEKLİYOR",IF(OR($U832=0,$S832=0),"DOĞRU",IF(AND($V832&gt;PazaryeriEksikHakedisEsik,$U832&gt;PazaryeriEksikHakedisTutarEsik),"EKSİK HAKEDİŞ","DOĞRU"))))</f>
        <v/>
      </c>
      <c r="X832" s="23" t="str">
        <f aca="false">IF($B832="","",CONCATENATE("Ürün: ",$B832," | Kâr: ",TEXT($Q832,"₺ #,##0")," | Durum: ",$W832))</f>
        <v/>
      </c>
      <c r="Y832" s="24"/>
    </row>
    <row r="833" customFormat="false" ht="15" hidden="false" customHeight="false" outlineLevel="0" collapsed="false">
      <c r="A833" s="24"/>
      <c r="B833" s="24"/>
      <c r="C833" s="22"/>
      <c r="D833" s="25"/>
      <c r="E833" s="22"/>
      <c r="F833" s="26"/>
      <c r="G833" s="26"/>
      <c r="H833" s="26"/>
      <c r="I833" s="26"/>
      <c r="J833" s="22"/>
      <c r="K833" s="20" t="n">
        <f aca="false">IF($D833="",0,$C833*$D833)</f>
        <v>0</v>
      </c>
      <c r="L833" s="20" t="n">
        <f aca="false">IF($D833="",0,$F833*$K833)</f>
        <v>0</v>
      </c>
      <c r="M833" s="20" t="n">
        <f aca="false">IF($D833="",0,$G833*$K833)</f>
        <v>0</v>
      </c>
      <c r="N833" s="20" t="n">
        <f aca="false">IF($D833="",0,$H833*$K833)</f>
        <v>0</v>
      </c>
      <c r="O833" s="20" t="n">
        <f aca="false">IF($D833="",0,$I833*$K833*(1-$F833))</f>
        <v>0</v>
      </c>
      <c r="P833" s="20" t="n">
        <f aca="false">IF($D833="",0,$E833*$D833+$L833+$M833+$N833+$O833+$J833*$D833)</f>
        <v>0</v>
      </c>
      <c r="Q833" s="20" t="n">
        <f aca="false">IF($D833="",0,$K833-$P833)</f>
        <v>0</v>
      </c>
      <c r="R833" s="21" t="n">
        <f aca="false">IF($K833=0,0,$Q833/$K833)</f>
        <v>0</v>
      </c>
      <c r="S833" s="20" t="n">
        <f aca="false">IF($D833="",0,$K833-$L833-$M833-$N833)</f>
        <v>0</v>
      </c>
      <c r="T833" s="22"/>
      <c r="U833" s="20" t="n">
        <f aca="false">IF($T833="",0,MAX(0,$S833-$T833))</f>
        <v>0</v>
      </c>
      <c r="V833" s="21" t="n">
        <f aca="false">IF($S833=0,0,$U833/$S833)</f>
        <v>0</v>
      </c>
      <c r="W833" s="23" t="str">
        <f aca="false">IF($D833="","",IF($T833="","BEKLİYOR",IF(OR($U833=0,$S833=0),"DOĞRU",IF(AND($V833&gt;PazaryeriEksikHakedisEsik,$U833&gt;PazaryeriEksikHakedisTutarEsik),"EKSİK HAKEDİŞ","DOĞRU"))))</f>
        <v/>
      </c>
      <c r="X833" s="23" t="str">
        <f aca="false">IF($B833="","",CONCATENATE("Ürün: ",$B833," | Kâr: ",TEXT($Q833,"₺ #,##0")," | Durum: ",$W833))</f>
        <v/>
      </c>
      <c r="Y833" s="24"/>
    </row>
    <row r="834" customFormat="false" ht="15" hidden="false" customHeight="false" outlineLevel="0" collapsed="false">
      <c r="A834" s="24"/>
      <c r="B834" s="24"/>
      <c r="C834" s="22"/>
      <c r="D834" s="25"/>
      <c r="E834" s="22"/>
      <c r="F834" s="26"/>
      <c r="G834" s="26"/>
      <c r="H834" s="26"/>
      <c r="I834" s="26"/>
      <c r="J834" s="22"/>
      <c r="K834" s="20" t="n">
        <f aca="false">IF($D834="",0,$C834*$D834)</f>
        <v>0</v>
      </c>
      <c r="L834" s="20" t="n">
        <f aca="false">IF($D834="",0,$F834*$K834)</f>
        <v>0</v>
      </c>
      <c r="M834" s="20" t="n">
        <f aca="false">IF($D834="",0,$G834*$K834)</f>
        <v>0</v>
      </c>
      <c r="N834" s="20" t="n">
        <f aca="false">IF($D834="",0,$H834*$K834)</f>
        <v>0</v>
      </c>
      <c r="O834" s="20" t="n">
        <f aca="false">IF($D834="",0,$I834*$K834*(1-$F834))</f>
        <v>0</v>
      </c>
      <c r="P834" s="20" t="n">
        <f aca="false">IF($D834="",0,$E834*$D834+$L834+$M834+$N834+$O834+$J834*$D834)</f>
        <v>0</v>
      </c>
      <c r="Q834" s="20" t="n">
        <f aca="false">IF($D834="",0,$K834-$P834)</f>
        <v>0</v>
      </c>
      <c r="R834" s="21" t="n">
        <f aca="false">IF($K834=0,0,$Q834/$K834)</f>
        <v>0</v>
      </c>
      <c r="S834" s="20" t="n">
        <f aca="false">IF($D834="",0,$K834-$L834-$M834-$N834)</f>
        <v>0</v>
      </c>
      <c r="T834" s="22"/>
      <c r="U834" s="20" t="n">
        <f aca="false">IF($T834="",0,MAX(0,$S834-$T834))</f>
        <v>0</v>
      </c>
      <c r="V834" s="21" t="n">
        <f aca="false">IF($S834=0,0,$U834/$S834)</f>
        <v>0</v>
      </c>
      <c r="W834" s="23" t="str">
        <f aca="false">IF($D834="","",IF($T834="","BEKLİYOR",IF(OR($U834=0,$S834=0),"DOĞRU",IF(AND($V834&gt;PazaryeriEksikHakedisEsik,$U834&gt;PazaryeriEksikHakedisTutarEsik),"EKSİK HAKEDİŞ","DOĞRU"))))</f>
        <v/>
      </c>
      <c r="X834" s="23" t="str">
        <f aca="false">IF($B834="","",CONCATENATE("Ürün: ",$B834," | Kâr: ",TEXT($Q834,"₺ #,##0")," | Durum: ",$W834))</f>
        <v/>
      </c>
      <c r="Y834" s="24"/>
    </row>
    <row r="835" customFormat="false" ht="15" hidden="false" customHeight="false" outlineLevel="0" collapsed="false">
      <c r="A835" s="24"/>
      <c r="B835" s="24"/>
      <c r="C835" s="22"/>
      <c r="D835" s="25"/>
      <c r="E835" s="22"/>
      <c r="F835" s="26"/>
      <c r="G835" s="26"/>
      <c r="H835" s="26"/>
      <c r="I835" s="26"/>
      <c r="J835" s="22"/>
      <c r="K835" s="20" t="n">
        <f aca="false">IF($D835="",0,$C835*$D835)</f>
        <v>0</v>
      </c>
      <c r="L835" s="20" t="n">
        <f aca="false">IF($D835="",0,$F835*$K835)</f>
        <v>0</v>
      </c>
      <c r="M835" s="20" t="n">
        <f aca="false">IF($D835="",0,$G835*$K835)</f>
        <v>0</v>
      </c>
      <c r="N835" s="20" t="n">
        <f aca="false">IF($D835="",0,$H835*$K835)</f>
        <v>0</v>
      </c>
      <c r="O835" s="20" t="n">
        <f aca="false">IF($D835="",0,$I835*$K835*(1-$F835))</f>
        <v>0</v>
      </c>
      <c r="P835" s="20" t="n">
        <f aca="false">IF($D835="",0,$E835*$D835+$L835+$M835+$N835+$O835+$J835*$D835)</f>
        <v>0</v>
      </c>
      <c r="Q835" s="20" t="n">
        <f aca="false">IF($D835="",0,$K835-$P835)</f>
        <v>0</v>
      </c>
      <c r="R835" s="21" t="n">
        <f aca="false">IF($K835=0,0,$Q835/$K835)</f>
        <v>0</v>
      </c>
      <c r="S835" s="20" t="n">
        <f aca="false">IF($D835="",0,$K835-$L835-$M835-$N835)</f>
        <v>0</v>
      </c>
      <c r="T835" s="22"/>
      <c r="U835" s="20" t="n">
        <f aca="false">IF($T835="",0,MAX(0,$S835-$T835))</f>
        <v>0</v>
      </c>
      <c r="V835" s="21" t="n">
        <f aca="false">IF($S835=0,0,$U835/$S835)</f>
        <v>0</v>
      </c>
      <c r="W835" s="23" t="str">
        <f aca="false">IF($D835="","",IF($T835="","BEKLİYOR",IF(OR($U835=0,$S835=0),"DOĞRU",IF(AND($V835&gt;PazaryeriEksikHakedisEsik,$U835&gt;PazaryeriEksikHakedisTutarEsik),"EKSİK HAKEDİŞ","DOĞRU"))))</f>
        <v/>
      </c>
      <c r="X835" s="23" t="str">
        <f aca="false">IF($B835="","",CONCATENATE("Ürün: ",$B835," | Kâr: ",TEXT($Q835,"₺ #,##0")," | Durum: ",$W835))</f>
        <v/>
      </c>
      <c r="Y835" s="24"/>
    </row>
    <row r="836" customFormat="false" ht="15" hidden="false" customHeight="false" outlineLevel="0" collapsed="false">
      <c r="A836" s="24"/>
      <c r="B836" s="24"/>
      <c r="C836" s="22"/>
      <c r="D836" s="25"/>
      <c r="E836" s="22"/>
      <c r="F836" s="26"/>
      <c r="G836" s="26"/>
      <c r="H836" s="26"/>
      <c r="I836" s="26"/>
      <c r="J836" s="22"/>
      <c r="K836" s="20" t="n">
        <f aca="false">IF($D836="",0,$C836*$D836)</f>
        <v>0</v>
      </c>
      <c r="L836" s="20" t="n">
        <f aca="false">IF($D836="",0,$F836*$K836)</f>
        <v>0</v>
      </c>
      <c r="M836" s="20" t="n">
        <f aca="false">IF($D836="",0,$G836*$K836)</f>
        <v>0</v>
      </c>
      <c r="N836" s="20" t="n">
        <f aca="false">IF($D836="",0,$H836*$K836)</f>
        <v>0</v>
      </c>
      <c r="O836" s="20" t="n">
        <f aca="false">IF($D836="",0,$I836*$K836*(1-$F836))</f>
        <v>0</v>
      </c>
      <c r="P836" s="20" t="n">
        <f aca="false">IF($D836="",0,$E836*$D836+$L836+$M836+$N836+$O836+$J836*$D836)</f>
        <v>0</v>
      </c>
      <c r="Q836" s="20" t="n">
        <f aca="false">IF($D836="",0,$K836-$P836)</f>
        <v>0</v>
      </c>
      <c r="R836" s="21" t="n">
        <f aca="false">IF($K836=0,0,$Q836/$K836)</f>
        <v>0</v>
      </c>
      <c r="S836" s="20" t="n">
        <f aca="false">IF($D836="",0,$K836-$L836-$M836-$N836)</f>
        <v>0</v>
      </c>
      <c r="T836" s="22"/>
      <c r="U836" s="20" t="n">
        <f aca="false">IF($T836="",0,MAX(0,$S836-$T836))</f>
        <v>0</v>
      </c>
      <c r="V836" s="21" t="n">
        <f aca="false">IF($S836=0,0,$U836/$S836)</f>
        <v>0</v>
      </c>
      <c r="W836" s="23" t="str">
        <f aca="false">IF($D836="","",IF($T836="","BEKLİYOR",IF(OR($U836=0,$S836=0),"DOĞRU",IF(AND($V836&gt;PazaryeriEksikHakedisEsik,$U836&gt;PazaryeriEksikHakedisTutarEsik),"EKSİK HAKEDİŞ","DOĞRU"))))</f>
        <v/>
      </c>
      <c r="X836" s="23" t="str">
        <f aca="false">IF($B836="","",CONCATENATE("Ürün: ",$B836," | Kâr: ",TEXT($Q836,"₺ #,##0")," | Durum: ",$W836))</f>
        <v/>
      </c>
      <c r="Y836" s="24"/>
    </row>
    <row r="837" customFormat="false" ht="15" hidden="false" customHeight="false" outlineLevel="0" collapsed="false">
      <c r="A837" s="24"/>
      <c r="B837" s="24"/>
      <c r="C837" s="22"/>
      <c r="D837" s="25"/>
      <c r="E837" s="22"/>
      <c r="F837" s="26"/>
      <c r="G837" s="26"/>
      <c r="H837" s="26"/>
      <c r="I837" s="26"/>
      <c r="J837" s="22"/>
      <c r="K837" s="20" t="n">
        <f aca="false">IF($D837="",0,$C837*$D837)</f>
        <v>0</v>
      </c>
      <c r="L837" s="20" t="n">
        <f aca="false">IF($D837="",0,$F837*$K837)</f>
        <v>0</v>
      </c>
      <c r="M837" s="20" t="n">
        <f aca="false">IF($D837="",0,$G837*$K837)</f>
        <v>0</v>
      </c>
      <c r="N837" s="20" t="n">
        <f aca="false">IF($D837="",0,$H837*$K837)</f>
        <v>0</v>
      </c>
      <c r="O837" s="20" t="n">
        <f aca="false">IF($D837="",0,$I837*$K837*(1-$F837))</f>
        <v>0</v>
      </c>
      <c r="P837" s="20" t="n">
        <f aca="false">IF($D837="",0,$E837*$D837+$L837+$M837+$N837+$O837+$J837*$D837)</f>
        <v>0</v>
      </c>
      <c r="Q837" s="20" t="n">
        <f aca="false">IF($D837="",0,$K837-$P837)</f>
        <v>0</v>
      </c>
      <c r="R837" s="21" t="n">
        <f aca="false">IF($K837=0,0,$Q837/$K837)</f>
        <v>0</v>
      </c>
      <c r="S837" s="20" t="n">
        <f aca="false">IF($D837="",0,$K837-$L837-$M837-$N837)</f>
        <v>0</v>
      </c>
      <c r="T837" s="22"/>
      <c r="U837" s="20" t="n">
        <f aca="false">IF($T837="",0,MAX(0,$S837-$T837))</f>
        <v>0</v>
      </c>
      <c r="V837" s="21" t="n">
        <f aca="false">IF($S837=0,0,$U837/$S837)</f>
        <v>0</v>
      </c>
      <c r="W837" s="23" t="str">
        <f aca="false">IF($D837="","",IF($T837="","BEKLİYOR",IF(OR($U837=0,$S837=0),"DOĞRU",IF(AND($V837&gt;PazaryeriEksikHakedisEsik,$U837&gt;PazaryeriEksikHakedisTutarEsik),"EKSİK HAKEDİŞ","DOĞRU"))))</f>
        <v/>
      </c>
      <c r="X837" s="23" t="str">
        <f aca="false">IF($B837="","",CONCATENATE("Ürün: ",$B837," | Kâr: ",TEXT($Q837,"₺ #,##0")," | Durum: ",$W837))</f>
        <v/>
      </c>
      <c r="Y837" s="24"/>
    </row>
    <row r="838" customFormat="false" ht="15" hidden="false" customHeight="false" outlineLevel="0" collapsed="false">
      <c r="A838" s="24"/>
      <c r="B838" s="24"/>
      <c r="C838" s="22"/>
      <c r="D838" s="25"/>
      <c r="E838" s="22"/>
      <c r="F838" s="26"/>
      <c r="G838" s="26"/>
      <c r="H838" s="26"/>
      <c r="I838" s="26"/>
      <c r="J838" s="22"/>
      <c r="K838" s="20" t="n">
        <f aca="false">IF($D838="",0,$C838*$D838)</f>
        <v>0</v>
      </c>
      <c r="L838" s="20" t="n">
        <f aca="false">IF($D838="",0,$F838*$K838)</f>
        <v>0</v>
      </c>
      <c r="M838" s="20" t="n">
        <f aca="false">IF($D838="",0,$G838*$K838)</f>
        <v>0</v>
      </c>
      <c r="N838" s="20" t="n">
        <f aca="false">IF($D838="",0,$H838*$K838)</f>
        <v>0</v>
      </c>
      <c r="O838" s="20" t="n">
        <f aca="false">IF($D838="",0,$I838*$K838*(1-$F838))</f>
        <v>0</v>
      </c>
      <c r="P838" s="20" t="n">
        <f aca="false">IF($D838="",0,$E838*$D838+$L838+$M838+$N838+$O838+$J838*$D838)</f>
        <v>0</v>
      </c>
      <c r="Q838" s="20" t="n">
        <f aca="false">IF($D838="",0,$K838-$P838)</f>
        <v>0</v>
      </c>
      <c r="R838" s="21" t="n">
        <f aca="false">IF($K838=0,0,$Q838/$K838)</f>
        <v>0</v>
      </c>
      <c r="S838" s="20" t="n">
        <f aca="false">IF($D838="",0,$K838-$L838-$M838-$N838)</f>
        <v>0</v>
      </c>
      <c r="T838" s="22"/>
      <c r="U838" s="20" t="n">
        <f aca="false">IF($T838="",0,MAX(0,$S838-$T838))</f>
        <v>0</v>
      </c>
      <c r="V838" s="21" t="n">
        <f aca="false">IF($S838=0,0,$U838/$S838)</f>
        <v>0</v>
      </c>
      <c r="W838" s="23" t="str">
        <f aca="false">IF($D838="","",IF($T838="","BEKLİYOR",IF(OR($U838=0,$S838=0),"DOĞRU",IF(AND($V838&gt;PazaryeriEksikHakedisEsik,$U838&gt;PazaryeriEksikHakedisTutarEsik),"EKSİK HAKEDİŞ","DOĞRU"))))</f>
        <v/>
      </c>
      <c r="X838" s="23" t="str">
        <f aca="false">IF($B838="","",CONCATENATE("Ürün: ",$B838," | Kâr: ",TEXT($Q838,"₺ #,##0")," | Durum: ",$W838))</f>
        <v/>
      </c>
      <c r="Y838" s="24"/>
    </row>
    <row r="839" customFormat="false" ht="15" hidden="false" customHeight="false" outlineLevel="0" collapsed="false">
      <c r="A839" s="24"/>
      <c r="B839" s="24"/>
      <c r="C839" s="22"/>
      <c r="D839" s="25"/>
      <c r="E839" s="22"/>
      <c r="F839" s="26"/>
      <c r="G839" s="26"/>
      <c r="H839" s="26"/>
      <c r="I839" s="26"/>
      <c r="J839" s="22"/>
      <c r="K839" s="20" t="n">
        <f aca="false">IF($D839="",0,$C839*$D839)</f>
        <v>0</v>
      </c>
      <c r="L839" s="20" t="n">
        <f aca="false">IF($D839="",0,$F839*$K839)</f>
        <v>0</v>
      </c>
      <c r="M839" s="20" t="n">
        <f aca="false">IF($D839="",0,$G839*$K839)</f>
        <v>0</v>
      </c>
      <c r="N839" s="20" t="n">
        <f aca="false">IF($D839="",0,$H839*$K839)</f>
        <v>0</v>
      </c>
      <c r="O839" s="20" t="n">
        <f aca="false">IF($D839="",0,$I839*$K839*(1-$F839))</f>
        <v>0</v>
      </c>
      <c r="P839" s="20" t="n">
        <f aca="false">IF($D839="",0,$E839*$D839+$L839+$M839+$N839+$O839+$J839*$D839)</f>
        <v>0</v>
      </c>
      <c r="Q839" s="20" t="n">
        <f aca="false">IF($D839="",0,$K839-$P839)</f>
        <v>0</v>
      </c>
      <c r="R839" s="21" t="n">
        <f aca="false">IF($K839=0,0,$Q839/$K839)</f>
        <v>0</v>
      </c>
      <c r="S839" s="20" t="n">
        <f aca="false">IF($D839="",0,$K839-$L839-$M839-$N839)</f>
        <v>0</v>
      </c>
      <c r="T839" s="22"/>
      <c r="U839" s="20" t="n">
        <f aca="false">IF($T839="",0,MAX(0,$S839-$T839))</f>
        <v>0</v>
      </c>
      <c r="V839" s="21" t="n">
        <f aca="false">IF($S839=0,0,$U839/$S839)</f>
        <v>0</v>
      </c>
      <c r="W839" s="23" t="str">
        <f aca="false">IF($D839="","",IF($T839="","BEKLİYOR",IF(OR($U839=0,$S839=0),"DOĞRU",IF(AND($V839&gt;PazaryeriEksikHakedisEsik,$U839&gt;PazaryeriEksikHakedisTutarEsik),"EKSİK HAKEDİŞ","DOĞRU"))))</f>
        <v/>
      </c>
      <c r="X839" s="23" t="str">
        <f aca="false">IF($B839="","",CONCATENATE("Ürün: ",$B839," | Kâr: ",TEXT($Q839,"₺ #,##0")," | Durum: ",$W839))</f>
        <v/>
      </c>
      <c r="Y839" s="24"/>
    </row>
    <row r="840" customFormat="false" ht="15" hidden="false" customHeight="false" outlineLevel="0" collapsed="false">
      <c r="A840" s="24"/>
      <c r="B840" s="24"/>
      <c r="C840" s="22"/>
      <c r="D840" s="25"/>
      <c r="E840" s="22"/>
      <c r="F840" s="26"/>
      <c r="G840" s="26"/>
      <c r="H840" s="26"/>
      <c r="I840" s="26"/>
      <c r="J840" s="22"/>
      <c r="K840" s="20" t="n">
        <f aca="false">IF($D840="",0,$C840*$D840)</f>
        <v>0</v>
      </c>
      <c r="L840" s="20" t="n">
        <f aca="false">IF($D840="",0,$F840*$K840)</f>
        <v>0</v>
      </c>
      <c r="M840" s="20" t="n">
        <f aca="false">IF($D840="",0,$G840*$K840)</f>
        <v>0</v>
      </c>
      <c r="N840" s="20" t="n">
        <f aca="false">IF($D840="",0,$H840*$K840)</f>
        <v>0</v>
      </c>
      <c r="O840" s="20" t="n">
        <f aca="false">IF($D840="",0,$I840*$K840*(1-$F840))</f>
        <v>0</v>
      </c>
      <c r="P840" s="20" t="n">
        <f aca="false">IF($D840="",0,$E840*$D840+$L840+$M840+$N840+$O840+$J840*$D840)</f>
        <v>0</v>
      </c>
      <c r="Q840" s="20" t="n">
        <f aca="false">IF($D840="",0,$K840-$P840)</f>
        <v>0</v>
      </c>
      <c r="R840" s="21" t="n">
        <f aca="false">IF($K840=0,0,$Q840/$K840)</f>
        <v>0</v>
      </c>
      <c r="S840" s="20" t="n">
        <f aca="false">IF($D840="",0,$K840-$L840-$M840-$N840)</f>
        <v>0</v>
      </c>
      <c r="T840" s="22"/>
      <c r="U840" s="20" t="n">
        <f aca="false">IF($T840="",0,MAX(0,$S840-$T840))</f>
        <v>0</v>
      </c>
      <c r="V840" s="21" t="n">
        <f aca="false">IF($S840=0,0,$U840/$S840)</f>
        <v>0</v>
      </c>
      <c r="W840" s="23" t="str">
        <f aca="false">IF($D840="","",IF($T840="","BEKLİYOR",IF(OR($U840=0,$S840=0),"DOĞRU",IF(AND($V840&gt;PazaryeriEksikHakedisEsik,$U840&gt;PazaryeriEksikHakedisTutarEsik),"EKSİK HAKEDİŞ","DOĞRU"))))</f>
        <v/>
      </c>
      <c r="X840" s="23" t="str">
        <f aca="false">IF($B840="","",CONCATENATE("Ürün: ",$B840," | Kâr: ",TEXT($Q840,"₺ #,##0")," | Durum: ",$W840))</f>
        <v/>
      </c>
      <c r="Y840" s="24"/>
    </row>
    <row r="841" customFormat="false" ht="15" hidden="false" customHeight="false" outlineLevel="0" collapsed="false">
      <c r="A841" s="24"/>
      <c r="B841" s="24"/>
      <c r="C841" s="22"/>
      <c r="D841" s="25"/>
      <c r="E841" s="22"/>
      <c r="F841" s="26"/>
      <c r="G841" s="26"/>
      <c r="H841" s="26"/>
      <c r="I841" s="26"/>
      <c r="J841" s="22"/>
      <c r="K841" s="20" t="n">
        <f aca="false">IF($D841="",0,$C841*$D841)</f>
        <v>0</v>
      </c>
      <c r="L841" s="20" t="n">
        <f aca="false">IF($D841="",0,$F841*$K841)</f>
        <v>0</v>
      </c>
      <c r="M841" s="20" t="n">
        <f aca="false">IF($D841="",0,$G841*$K841)</f>
        <v>0</v>
      </c>
      <c r="N841" s="20" t="n">
        <f aca="false">IF($D841="",0,$H841*$K841)</f>
        <v>0</v>
      </c>
      <c r="O841" s="20" t="n">
        <f aca="false">IF($D841="",0,$I841*$K841*(1-$F841))</f>
        <v>0</v>
      </c>
      <c r="P841" s="20" t="n">
        <f aca="false">IF($D841="",0,$E841*$D841+$L841+$M841+$N841+$O841+$J841*$D841)</f>
        <v>0</v>
      </c>
      <c r="Q841" s="20" t="n">
        <f aca="false">IF($D841="",0,$K841-$P841)</f>
        <v>0</v>
      </c>
      <c r="R841" s="21" t="n">
        <f aca="false">IF($K841=0,0,$Q841/$K841)</f>
        <v>0</v>
      </c>
      <c r="S841" s="20" t="n">
        <f aca="false">IF($D841="",0,$K841-$L841-$M841-$N841)</f>
        <v>0</v>
      </c>
      <c r="T841" s="22"/>
      <c r="U841" s="20" t="n">
        <f aca="false">IF($T841="",0,MAX(0,$S841-$T841))</f>
        <v>0</v>
      </c>
      <c r="V841" s="21" t="n">
        <f aca="false">IF($S841=0,0,$U841/$S841)</f>
        <v>0</v>
      </c>
      <c r="W841" s="23" t="str">
        <f aca="false">IF($D841="","",IF($T841="","BEKLİYOR",IF(OR($U841=0,$S841=0),"DOĞRU",IF(AND($V841&gt;PazaryeriEksikHakedisEsik,$U841&gt;PazaryeriEksikHakedisTutarEsik),"EKSİK HAKEDİŞ","DOĞRU"))))</f>
        <v/>
      </c>
      <c r="X841" s="23" t="str">
        <f aca="false">IF($B841="","",CONCATENATE("Ürün: ",$B841," | Kâr: ",TEXT($Q841,"₺ #,##0")," | Durum: ",$W841))</f>
        <v/>
      </c>
      <c r="Y841" s="24"/>
    </row>
    <row r="842" customFormat="false" ht="15" hidden="false" customHeight="false" outlineLevel="0" collapsed="false">
      <c r="A842" s="24"/>
      <c r="B842" s="24"/>
      <c r="C842" s="22"/>
      <c r="D842" s="25"/>
      <c r="E842" s="22"/>
      <c r="F842" s="26"/>
      <c r="G842" s="26"/>
      <c r="H842" s="26"/>
      <c r="I842" s="26"/>
      <c r="J842" s="22"/>
      <c r="K842" s="20" t="n">
        <f aca="false">IF($D842="",0,$C842*$D842)</f>
        <v>0</v>
      </c>
      <c r="L842" s="20" t="n">
        <f aca="false">IF($D842="",0,$F842*$K842)</f>
        <v>0</v>
      </c>
      <c r="M842" s="20" t="n">
        <f aca="false">IF($D842="",0,$G842*$K842)</f>
        <v>0</v>
      </c>
      <c r="N842" s="20" t="n">
        <f aca="false">IF($D842="",0,$H842*$K842)</f>
        <v>0</v>
      </c>
      <c r="O842" s="20" t="n">
        <f aca="false">IF($D842="",0,$I842*$K842*(1-$F842))</f>
        <v>0</v>
      </c>
      <c r="P842" s="20" t="n">
        <f aca="false">IF($D842="",0,$E842*$D842+$L842+$M842+$N842+$O842+$J842*$D842)</f>
        <v>0</v>
      </c>
      <c r="Q842" s="20" t="n">
        <f aca="false">IF($D842="",0,$K842-$P842)</f>
        <v>0</v>
      </c>
      <c r="R842" s="21" t="n">
        <f aca="false">IF($K842=0,0,$Q842/$K842)</f>
        <v>0</v>
      </c>
      <c r="S842" s="20" t="n">
        <f aca="false">IF($D842="",0,$K842-$L842-$M842-$N842)</f>
        <v>0</v>
      </c>
      <c r="T842" s="22"/>
      <c r="U842" s="20" t="n">
        <f aca="false">IF($T842="",0,MAX(0,$S842-$T842))</f>
        <v>0</v>
      </c>
      <c r="V842" s="21" t="n">
        <f aca="false">IF($S842=0,0,$U842/$S842)</f>
        <v>0</v>
      </c>
      <c r="W842" s="23" t="str">
        <f aca="false">IF($D842="","",IF($T842="","BEKLİYOR",IF(OR($U842=0,$S842=0),"DOĞRU",IF(AND($V842&gt;PazaryeriEksikHakedisEsik,$U842&gt;PazaryeriEksikHakedisTutarEsik),"EKSİK HAKEDİŞ","DOĞRU"))))</f>
        <v/>
      </c>
      <c r="X842" s="23" t="str">
        <f aca="false">IF($B842="","",CONCATENATE("Ürün: ",$B842," | Kâr: ",TEXT($Q842,"₺ #,##0")," | Durum: ",$W842))</f>
        <v/>
      </c>
      <c r="Y842" s="24"/>
    </row>
    <row r="843" customFormat="false" ht="15" hidden="false" customHeight="false" outlineLevel="0" collapsed="false">
      <c r="A843" s="24"/>
      <c r="B843" s="24"/>
      <c r="C843" s="22"/>
      <c r="D843" s="25"/>
      <c r="E843" s="22"/>
      <c r="F843" s="26"/>
      <c r="G843" s="26"/>
      <c r="H843" s="26"/>
      <c r="I843" s="26"/>
      <c r="J843" s="22"/>
      <c r="K843" s="20" t="n">
        <f aca="false">IF($D843="",0,$C843*$D843)</f>
        <v>0</v>
      </c>
      <c r="L843" s="20" t="n">
        <f aca="false">IF($D843="",0,$F843*$K843)</f>
        <v>0</v>
      </c>
      <c r="M843" s="20" t="n">
        <f aca="false">IF($D843="",0,$G843*$K843)</f>
        <v>0</v>
      </c>
      <c r="N843" s="20" t="n">
        <f aca="false">IF($D843="",0,$H843*$K843)</f>
        <v>0</v>
      </c>
      <c r="O843" s="20" t="n">
        <f aca="false">IF($D843="",0,$I843*$K843*(1-$F843))</f>
        <v>0</v>
      </c>
      <c r="P843" s="20" t="n">
        <f aca="false">IF($D843="",0,$E843*$D843+$L843+$M843+$N843+$O843+$J843*$D843)</f>
        <v>0</v>
      </c>
      <c r="Q843" s="20" t="n">
        <f aca="false">IF($D843="",0,$K843-$P843)</f>
        <v>0</v>
      </c>
      <c r="R843" s="21" t="n">
        <f aca="false">IF($K843=0,0,$Q843/$K843)</f>
        <v>0</v>
      </c>
      <c r="S843" s="20" t="n">
        <f aca="false">IF($D843="",0,$K843-$L843-$M843-$N843)</f>
        <v>0</v>
      </c>
      <c r="T843" s="22"/>
      <c r="U843" s="20" t="n">
        <f aca="false">IF($T843="",0,MAX(0,$S843-$T843))</f>
        <v>0</v>
      </c>
      <c r="V843" s="21" t="n">
        <f aca="false">IF($S843=0,0,$U843/$S843)</f>
        <v>0</v>
      </c>
      <c r="W843" s="23" t="str">
        <f aca="false">IF($D843="","",IF($T843="","BEKLİYOR",IF(OR($U843=0,$S843=0),"DOĞRU",IF(AND($V843&gt;PazaryeriEksikHakedisEsik,$U843&gt;PazaryeriEksikHakedisTutarEsik),"EKSİK HAKEDİŞ","DOĞRU"))))</f>
        <v/>
      </c>
      <c r="X843" s="23" t="str">
        <f aca="false">IF($B843="","",CONCATENATE("Ürün: ",$B843," | Kâr: ",TEXT($Q843,"₺ #,##0")," | Durum: ",$W843))</f>
        <v/>
      </c>
      <c r="Y843" s="24"/>
    </row>
    <row r="844" customFormat="false" ht="15" hidden="false" customHeight="false" outlineLevel="0" collapsed="false">
      <c r="A844" s="24"/>
      <c r="B844" s="24"/>
      <c r="C844" s="22"/>
      <c r="D844" s="25"/>
      <c r="E844" s="22"/>
      <c r="F844" s="26"/>
      <c r="G844" s="26"/>
      <c r="H844" s="26"/>
      <c r="I844" s="26"/>
      <c r="J844" s="22"/>
      <c r="K844" s="20" t="n">
        <f aca="false">IF($D844="",0,$C844*$D844)</f>
        <v>0</v>
      </c>
      <c r="L844" s="20" t="n">
        <f aca="false">IF($D844="",0,$F844*$K844)</f>
        <v>0</v>
      </c>
      <c r="M844" s="20" t="n">
        <f aca="false">IF($D844="",0,$G844*$K844)</f>
        <v>0</v>
      </c>
      <c r="N844" s="20" t="n">
        <f aca="false">IF($D844="",0,$H844*$K844)</f>
        <v>0</v>
      </c>
      <c r="O844" s="20" t="n">
        <f aca="false">IF($D844="",0,$I844*$K844*(1-$F844))</f>
        <v>0</v>
      </c>
      <c r="P844" s="20" t="n">
        <f aca="false">IF($D844="",0,$E844*$D844+$L844+$M844+$N844+$O844+$J844*$D844)</f>
        <v>0</v>
      </c>
      <c r="Q844" s="20" t="n">
        <f aca="false">IF($D844="",0,$K844-$P844)</f>
        <v>0</v>
      </c>
      <c r="R844" s="21" t="n">
        <f aca="false">IF($K844=0,0,$Q844/$K844)</f>
        <v>0</v>
      </c>
      <c r="S844" s="20" t="n">
        <f aca="false">IF($D844="",0,$K844-$L844-$M844-$N844)</f>
        <v>0</v>
      </c>
      <c r="T844" s="22"/>
      <c r="U844" s="20" t="n">
        <f aca="false">IF($T844="",0,MAX(0,$S844-$T844))</f>
        <v>0</v>
      </c>
      <c r="V844" s="21" t="n">
        <f aca="false">IF($S844=0,0,$U844/$S844)</f>
        <v>0</v>
      </c>
      <c r="W844" s="23" t="str">
        <f aca="false">IF($D844="","",IF($T844="","BEKLİYOR",IF(OR($U844=0,$S844=0),"DOĞRU",IF(AND($V844&gt;PazaryeriEksikHakedisEsik,$U844&gt;PazaryeriEksikHakedisTutarEsik),"EKSİK HAKEDİŞ","DOĞRU"))))</f>
        <v/>
      </c>
      <c r="X844" s="23" t="str">
        <f aca="false">IF($B844="","",CONCATENATE("Ürün: ",$B844," | Kâr: ",TEXT($Q844,"₺ #,##0")," | Durum: ",$W844))</f>
        <v/>
      </c>
      <c r="Y844" s="24"/>
    </row>
    <row r="845" customFormat="false" ht="15" hidden="false" customHeight="false" outlineLevel="0" collapsed="false">
      <c r="A845" s="24"/>
      <c r="B845" s="24"/>
      <c r="C845" s="22"/>
      <c r="D845" s="25"/>
      <c r="E845" s="22"/>
      <c r="F845" s="26"/>
      <c r="G845" s="26"/>
      <c r="H845" s="26"/>
      <c r="I845" s="26"/>
      <c r="J845" s="22"/>
      <c r="K845" s="20" t="n">
        <f aca="false">IF($D845="",0,$C845*$D845)</f>
        <v>0</v>
      </c>
      <c r="L845" s="20" t="n">
        <f aca="false">IF($D845="",0,$F845*$K845)</f>
        <v>0</v>
      </c>
      <c r="M845" s="20" t="n">
        <f aca="false">IF($D845="",0,$G845*$K845)</f>
        <v>0</v>
      </c>
      <c r="N845" s="20" t="n">
        <f aca="false">IF($D845="",0,$H845*$K845)</f>
        <v>0</v>
      </c>
      <c r="O845" s="20" t="n">
        <f aca="false">IF($D845="",0,$I845*$K845*(1-$F845))</f>
        <v>0</v>
      </c>
      <c r="P845" s="20" t="n">
        <f aca="false">IF($D845="",0,$E845*$D845+$L845+$M845+$N845+$O845+$J845*$D845)</f>
        <v>0</v>
      </c>
      <c r="Q845" s="20" t="n">
        <f aca="false">IF($D845="",0,$K845-$P845)</f>
        <v>0</v>
      </c>
      <c r="R845" s="21" t="n">
        <f aca="false">IF($K845=0,0,$Q845/$K845)</f>
        <v>0</v>
      </c>
      <c r="S845" s="20" t="n">
        <f aca="false">IF($D845="",0,$K845-$L845-$M845-$N845)</f>
        <v>0</v>
      </c>
      <c r="T845" s="22"/>
      <c r="U845" s="20" t="n">
        <f aca="false">IF($T845="",0,MAX(0,$S845-$T845))</f>
        <v>0</v>
      </c>
      <c r="V845" s="21" t="n">
        <f aca="false">IF($S845=0,0,$U845/$S845)</f>
        <v>0</v>
      </c>
      <c r="W845" s="23" t="str">
        <f aca="false">IF($D845="","",IF($T845="","BEKLİYOR",IF(OR($U845=0,$S845=0),"DOĞRU",IF(AND($V845&gt;PazaryeriEksikHakedisEsik,$U845&gt;PazaryeriEksikHakedisTutarEsik),"EKSİK HAKEDİŞ","DOĞRU"))))</f>
        <v/>
      </c>
      <c r="X845" s="23" t="str">
        <f aca="false">IF($B845="","",CONCATENATE("Ürün: ",$B845," | Kâr: ",TEXT($Q845,"₺ #,##0")," | Durum: ",$W845))</f>
        <v/>
      </c>
      <c r="Y845" s="24"/>
    </row>
    <row r="846" customFormat="false" ht="15" hidden="false" customHeight="false" outlineLevel="0" collapsed="false">
      <c r="A846" s="24"/>
      <c r="B846" s="24"/>
      <c r="C846" s="22"/>
      <c r="D846" s="25"/>
      <c r="E846" s="22"/>
      <c r="F846" s="26"/>
      <c r="G846" s="26"/>
      <c r="H846" s="26"/>
      <c r="I846" s="26"/>
      <c r="J846" s="22"/>
      <c r="K846" s="20" t="n">
        <f aca="false">IF($D846="",0,$C846*$D846)</f>
        <v>0</v>
      </c>
      <c r="L846" s="20" t="n">
        <f aca="false">IF($D846="",0,$F846*$K846)</f>
        <v>0</v>
      </c>
      <c r="M846" s="20" t="n">
        <f aca="false">IF($D846="",0,$G846*$K846)</f>
        <v>0</v>
      </c>
      <c r="N846" s="20" t="n">
        <f aca="false">IF($D846="",0,$H846*$K846)</f>
        <v>0</v>
      </c>
      <c r="O846" s="20" t="n">
        <f aca="false">IF($D846="",0,$I846*$K846*(1-$F846))</f>
        <v>0</v>
      </c>
      <c r="P846" s="20" t="n">
        <f aca="false">IF($D846="",0,$E846*$D846+$L846+$M846+$N846+$O846+$J846*$D846)</f>
        <v>0</v>
      </c>
      <c r="Q846" s="20" t="n">
        <f aca="false">IF($D846="",0,$K846-$P846)</f>
        <v>0</v>
      </c>
      <c r="R846" s="21" t="n">
        <f aca="false">IF($K846=0,0,$Q846/$K846)</f>
        <v>0</v>
      </c>
      <c r="S846" s="20" t="n">
        <f aca="false">IF($D846="",0,$K846-$L846-$M846-$N846)</f>
        <v>0</v>
      </c>
      <c r="T846" s="22"/>
      <c r="U846" s="20" t="n">
        <f aca="false">IF($T846="",0,MAX(0,$S846-$T846))</f>
        <v>0</v>
      </c>
      <c r="V846" s="21" t="n">
        <f aca="false">IF($S846=0,0,$U846/$S846)</f>
        <v>0</v>
      </c>
      <c r="W846" s="23" t="str">
        <f aca="false">IF($D846="","",IF($T846="","BEKLİYOR",IF(OR($U846=0,$S846=0),"DOĞRU",IF(AND($V846&gt;PazaryeriEksikHakedisEsik,$U846&gt;PazaryeriEksikHakedisTutarEsik),"EKSİK HAKEDİŞ","DOĞRU"))))</f>
        <v/>
      </c>
      <c r="X846" s="23" t="str">
        <f aca="false">IF($B846="","",CONCATENATE("Ürün: ",$B846," | Kâr: ",TEXT($Q846,"₺ #,##0")," | Durum: ",$W846))</f>
        <v/>
      </c>
      <c r="Y846" s="24"/>
    </row>
    <row r="847" customFormat="false" ht="15" hidden="false" customHeight="false" outlineLevel="0" collapsed="false">
      <c r="A847" s="24"/>
      <c r="B847" s="24"/>
      <c r="C847" s="22"/>
      <c r="D847" s="25"/>
      <c r="E847" s="22"/>
      <c r="F847" s="26"/>
      <c r="G847" s="26"/>
      <c r="H847" s="26"/>
      <c r="I847" s="26"/>
      <c r="J847" s="22"/>
      <c r="K847" s="20" t="n">
        <f aca="false">IF($D847="",0,$C847*$D847)</f>
        <v>0</v>
      </c>
      <c r="L847" s="20" t="n">
        <f aca="false">IF($D847="",0,$F847*$K847)</f>
        <v>0</v>
      </c>
      <c r="M847" s="20" t="n">
        <f aca="false">IF($D847="",0,$G847*$K847)</f>
        <v>0</v>
      </c>
      <c r="N847" s="20" t="n">
        <f aca="false">IF($D847="",0,$H847*$K847)</f>
        <v>0</v>
      </c>
      <c r="O847" s="20" t="n">
        <f aca="false">IF($D847="",0,$I847*$K847*(1-$F847))</f>
        <v>0</v>
      </c>
      <c r="P847" s="20" t="n">
        <f aca="false">IF($D847="",0,$E847*$D847+$L847+$M847+$N847+$O847+$J847*$D847)</f>
        <v>0</v>
      </c>
      <c r="Q847" s="20" t="n">
        <f aca="false">IF($D847="",0,$K847-$P847)</f>
        <v>0</v>
      </c>
      <c r="R847" s="21" t="n">
        <f aca="false">IF($K847=0,0,$Q847/$K847)</f>
        <v>0</v>
      </c>
      <c r="S847" s="20" t="n">
        <f aca="false">IF($D847="",0,$K847-$L847-$M847-$N847)</f>
        <v>0</v>
      </c>
      <c r="T847" s="22"/>
      <c r="U847" s="20" t="n">
        <f aca="false">IF($T847="",0,MAX(0,$S847-$T847))</f>
        <v>0</v>
      </c>
      <c r="V847" s="21" t="n">
        <f aca="false">IF($S847=0,0,$U847/$S847)</f>
        <v>0</v>
      </c>
      <c r="W847" s="23" t="str">
        <f aca="false">IF($D847="","",IF($T847="","BEKLİYOR",IF(OR($U847=0,$S847=0),"DOĞRU",IF(AND($V847&gt;PazaryeriEksikHakedisEsik,$U847&gt;PazaryeriEksikHakedisTutarEsik),"EKSİK HAKEDİŞ","DOĞRU"))))</f>
        <v/>
      </c>
      <c r="X847" s="23" t="str">
        <f aca="false">IF($B847="","",CONCATENATE("Ürün: ",$B847," | Kâr: ",TEXT($Q847,"₺ #,##0")," | Durum: ",$W847))</f>
        <v/>
      </c>
      <c r="Y847" s="24"/>
    </row>
    <row r="848" customFormat="false" ht="15" hidden="false" customHeight="false" outlineLevel="0" collapsed="false">
      <c r="A848" s="24"/>
      <c r="B848" s="24"/>
      <c r="C848" s="22"/>
      <c r="D848" s="25"/>
      <c r="E848" s="22"/>
      <c r="F848" s="26"/>
      <c r="G848" s="26"/>
      <c r="H848" s="26"/>
      <c r="I848" s="26"/>
      <c r="J848" s="22"/>
      <c r="K848" s="20" t="n">
        <f aca="false">IF($D848="",0,$C848*$D848)</f>
        <v>0</v>
      </c>
      <c r="L848" s="20" t="n">
        <f aca="false">IF($D848="",0,$F848*$K848)</f>
        <v>0</v>
      </c>
      <c r="M848" s="20" t="n">
        <f aca="false">IF($D848="",0,$G848*$K848)</f>
        <v>0</v>
      </c>
      <c r="N848" s="20" t="n">
        <f aca="false">IF($D848="",0,$H848*$K848)</f>
        <v>0</v>
      </c>
      <c r="O848" s="20" t="n">
        <f aca="false">IF($D848="",0,$I848*$K848*(1-$F848))</f>
        <v>0</v>
      </c>
      <c r="P848" s="20" t="n">
        <f aca="false">IF($D848="",0,$E848*$D848+$L848+$M848+$N848+$O848+$J848*$D848)</f>
        <v>0</v>
      </c>
      <c r="Q848" s="20" t="n">
        <f aca="false">IF($D848="",0,$K848-$P848)</f>
        <v>0</v>
      </c>
      <c r="R848" s="21" t="n">
        <f aca="false">IF($K848=0,0,$Q848/$K848)</f>
        <v>0</v>
      </c>
      <c r="S848" s="20" t="n">
        <f aca="false">IF($D848="",0,$K848-$L848-$M848-$N848)</f>
        <v>0</v>
      </c>
      <c r="T848" s="22"/>
      <c r="U848" s="20" t="n">
        <f aca="false">IF($T848="",0,MAX(0,$S848-$T848))</f>
        <v>0</v>
      </c>
      <c r="V848" s="21" t="n">
        <f aca="false">IF($S848=0,0,$U848/$S848)</f>
        <v>0</v>
      </c>
      <c r="W848" s="23" t="str">
        <f aca="false">IF($D848="","",IF($T848="","BEKLİYOR",IF(OR($U848=0,$S848=0),"DOĞRU",IF(AND($V848&gt;PazaryeriEksikHakedisEsik,$U848&gt;PazaryeriEksikHakedisTutarEsik),"EKSİK HAKEDİŞ","DOĞRU"))))</f>
        <v/>
      </c>
      <c r="X848" s="23" t="str">
        <f aca="false">IF($B848="","",CONCATENATE("Ürün: ",$B848," | Kâr: ",TEXT($Q848,"₺ #,##0")," | Durum: ",$W848))</f>
        <v/>
      </c>
      <c r="Y848" s="24"/>
    </row>
    <row r="849" customFormat="false" ht="15" hidden="false" customHeight="false" outlineLevel="0" collapsed="false">
      <c r="A849" s="24"/>
      <c r="B849" s="24"/>
      <c r="C849" s="22"/>
      <c r="D849" s="25"/>
      <c r="E849" s="22"/>
      <c r="F849" s="26"/>
      <c r="G849" s="26"/>
      <c r="H849" s="26"/>
      <c r="I849" s="26"/>
      <c r="J849" s="22"/>
      <c r="K849" s="20" t="n">
        <f aca="false">IF($D849="",0,$C849*$D849)</f>
        <v>0</v>
      </c>
      <c r="L849" s="20" t="n">
        <f aca="false">IF($D849="",0,$F849*$K849)</f>
        <v>0</v>
      </c>
      <c r="M849" s="20" t="n">
        <f aca="false">IF($D849="",0,$G849*$K849)</f>
        <v>0</v>
      </c>
      <c r="N849" s="20" t="n">
        <f aca="false">IF($D849="",0,$H849*$K849)</f>
        <v>0</v>
      </c>
      <c r="O849" s="20" t="n">
        <f aca="false">IF($D849="",0,$I849*$K849*(1-$F849))</f>
        <v>0</v>
      </c>
      <c r="P849" s="20" t="n">
        <f aca="false">IF($D849="",0,$E849*$D849+$L849+$M849+$N849+$O849+$J849*$D849)</f>
        <v>0</v>
      </c>
      <c r="Q849" s="20" t="n">
        <f aca="false">IF($D849="",0,$K849-$P849)</f>
        <v>0</v>
      </c>
      <c r="R849" s="21" t="n">
        <f aca="false">IF($K849=0,0,$Q849/$K849)</f>
        <v>0</v>
      </c>
      <c r="S849" s="20" t="n">
        <f aca="false">IF($D849="",0,$K849-$L849-$M849-$N849)</f>
        <v>0</v>
      </c>
      <c r="T849" s="22"/>
      <c r="U849" s="20" t="n">
        <f aca="false">IF($T849="",0,MAX(0,$S849-$T849))</f>
        <v>0</v>
      </c>
      <c r="V849" s="21" t="n">
        <f aca="false">IF($S849=0,0,$U849/$S849)</f>
        <v>0</v>
      </c>
      <c r="W849" s="23" t="str">
        <f aca="false">IF($D849="","",IF($T849="","BEKLİYOR",IF(OR($U849=0,$S849=0),"DOĞRU",IF(AND($V849&gt;PazaryeriEksikHakedisEsik,$U849&gt;PazaryeriEksikHakedisTutarEsik),"EKSİK HAKEDİŞ","DOĞRU"))))</f>
        <v/>
      </c>
      <c r="X849" s="23" t="str">
        <f aca="false">IF($B849="","",CONCATENATE("Ürün: ",$B849," | Kâr: ",TEXT($Q849,"₺ #,##0")," | Durum: ",$W849))</f>
        <v/>
      </c>
      <c r="Y849" s="24"/>
    </row>
    <row r="850" customFormat="false" ht="15" hidden="false" customHeight="false" outlineLevel="0" collapsed="false">
      <c r="A850" s="24"/>
      <c r="B850" s="24"/>
      <c r="C850" s="22"/>
      <c r="D850" s="25"/>
      <c r="E850" s="22"/>
      <c r="F850" s="26"/>
      <c r="G850" s="26"/>
      <c r="H850" s="26"/>
      <c r="I850" s="26"/>
      <c r="J850" s="22"/>
      <c r="K850" s="20" t="n">
        <f aca="false">IF($D850="",0,$C850*$D850)</f>
        <v>0</v>
      </c>
      <c r="L850" s="20" t="n">
        <f aca="false">IF($D850="",0,$F850*$K850)</f>
        <v>0</v>
      </c>
      <c r="M850" s="20" t="n">
        <f aca="false">IF($D850="",0,$G850*$K850)</f>
        <v>0</v>
      </c>
      <c r="N850" s="20" t="n">
        <f aca="false">IF($D850="",0,$H850*$K850)</f>
        <v>0</v>
      </c>
      <c r="O850" s="20" t="n">
        <f aca="false">IF($D850="",0,$I850*$K850*(1-$F850))</f>
        <v>0</v>
      </c>
      <c r="P850" s="20" t="n">
        <f aca="false">IF($D850="",0,$E850*$D850+$L850+$M850+$N850+$O850+$J850*$D850)</f>
        <v>0</v>
      </c>
      <c r="Q850" s="20" t="n">
        <f aca="false">IF($D850="",0,$K850-$P850)</f>
        <v>0</v>
      </c>
      <c r="R850" s="21" t="n">
        <f aca="false">IF($K850=0,0,$Q850/$K850)</f>
        <v>0</v>
      </c>
      <c r="S850" s="20" t="n">
        <f aca="false">IF($D850="",0,$K850-$L850-$M850-$N850)</f>
        <v>0</v>
      </c>
      <c r="T850" s="22"/>
      <c r="U850" s="20" t="n">
        <f aca="false">IF($T850="",0,MAX(0,$S850-$T850))</f>
        <v>0</v>
      </c>
      <c r="V850" s="21" t="n">
        <f aca="false">IF($S850=0,0,$U850/$S850)</f>
        <v>0</v>
      </c>
      <c r="W850" s="23" t="str">
        <f aca="false">IF($D850="","",IF($T850="","BEKLİYOR",IF(OR($U850=0,$S850=0),"DOĞRU",IF(AND($V850&gt;PazaryeriEksikHakedisEsik,$U850&gt;PazaryeriEksikHakedisTutarEsik),"EKSİK HAKEDİŞ","DOĞRU"))))</f>
        <v/>
      </c>
      <c r="X850" s="23" t="str">
        <f aca="false">IF($B850="","",CONCATENATE("Ürün: ",$B850," | Kâr: ",TEXT($Q850,"₺ #,##0")," | Durum: ",$W850))</f>
        <v/>
      </c>
      <c r="Y850" s="24"/>
    </row>
    <row r="851" customFormat="false" ht="15" hidden="false" customHeight="false" outlineLevel="0" collapsed="false">
      <c r="A851" s="24"/>
      <c r="B851" s="24"/>
      <c r="C851" s="22"/>
      <c r="D851" s="25"/>
      <c r="E851" s="22"/>
      <c r="F851" s="26"/>
      <c r="G851" s="26"/>
      <c r="H851" s="26"/>
      <c r="I851" s="26"/>
      <c r="J851" s="22"/>
      <c r="K851" s="20" t="n">
        <f aca="false">IF($D851="",0,$C851*$D851)</f>
        <v>0</v>
      </c>
      <c r="L851" s="20" t="n">
        <f aca="false">IF($D851="",0,$F851*$K851)</f>
        <v>0</v>
      </c>
      <c r="M851" s="20" t="n">
        <f aca="false">IF($D851="",0,$G851*$K851)</f>
        <v>0</v>
      </c>
      <c r="N851" s="20" t="n">
        <f aca="false">IF($D851="",0,$H851*$K851)</f>
        <v>0</v>
      </c>
      <c r="O851" s="20" t="n">
        <f aca="false">IF($D851="",0,$I851*$K851*(1-$F851))</f>
        <v>0</v>
      </c>
      <c r="P851" s="20" t="n">
        <f aca="false">IF($D851="",0,$E851*$D851+$L851+$M851+$N851+$O851+$J851*$D851)</f>
        <v>0</v>
      </c>
      <c r="Q851" s="20" t="n">
        <f aca="false">IF($D851="",0,$K851-$P851)</f>
        <v>0</v>
      </c>
      <c r="R851" s="21" t="n">
        <f aca="false">IF($K851=0,0,$Q851/$K851)</f>
        <v>0</v>
      </c>
      <c r="S851" s="20" t="n">
        <f aca="false">IF($D851="",0,$K851-$L851-$M851-$N851)</f>
        <v>0</v>
      </c>
      <c r="T851" s="22"/>
      <c r="U851" s="20" t="n">
        <f aca="false">IF($T851="",0,MAX(0,$S851-$T851))</f>
        <v>0</v>
      </c>
      <c r="V851" s="21" t="n">
        <f aca="false">IF($S851=0,0,$U851/$S851)</f>
        <v>0</v>
      </c>
      <c r="W851" s="23" t="str">
        <f aca="false">IF($D851="","",IF($T851="","BEKLİYOR",IF(OR($U851=0,$S851=0),"DOĞRU",IF(AND($V851&gt;PazaryeriEksikHakedisEsik,$U851&gt;PazaryeriEksikHakedisTutarEsik),"EKSİK HAKEDİŞ","DOĞRU"))))</f>
        <v/>
      </c>
      <c r="X851" s="23" t="str">
        <f aca="false">IF($B851="","",CONCATENATE("Ürün: ",$B851," | Kâr: ",TEXT($Q851,"₺ #,##0")," | Durum: ",$W851))</f>
        <v/>
      </c>
      <c r="Y851" s="24"/>
    </row>
    <row r="852" customFormat="false" ht="15" hidden="false" customHeight="false" outlineLevel="0" collapsed="false">
      <c r="A852" s="24"/>
      <c r="B852" s="24"/>
      <c r="C852" s="22"/>
      <c r="D852" s="25"/>
      <c r="E852" s="22"/>
      <c r="F852" s="26"/>
      <c r="G852" s="26"/>
      <c r="H852" s="26"/>
      <c r="I852" s="26"/>
      <c r="J852" s="22"/>
      <c r="K852" s="20" t="n">
        <f aca="false">IF($D852="",0,$C852*$D852)</f>
        <v>0</v>
      </c>
      <c r="L852" s="20" t="n">
        <f aca="false">IF($D852="",0,$F852*$K852)</f>
        <v>0</v>
      </c>
      <c r="M852" s="20" t="n">
        <f aca="false">IF($D852="",0,$G852*$K852)</f>
        <v>0</v>
      </c>
      <c r="N852" s="20" t="n">
        <f aca="false">IF($D852="",0,$H852*$K852)</f>
        <v>0</v>
      </c>
      <c r="O852" s="20" t="n">
        <f aca="false">IF($D852="",0,$I852*$K852*(1-$F852))</f>
        <v>0</v>
      </c>
      <c r="P852" s="20" t="n">
        <f aca="false">IF($D852="",0,$E852*$D852+$L852+$M852+$N852+$O852+$J852*$D852)</f>
        <v>0</v>
      </c>
      <c r="Q852" s="20" t="n">
        <f aca="false">IF($D852="",0,$K852-$P852)</f>
        <v>0</v>
      </c>
      <c r="R852" s="21" t="n">
        <f aca="false">IF($K852=0,0,$Q852/$K852)</f>
        <v>0</v>
      </c>
      <c r="S852" s="20" t="n">
        <f aca="false">IF($D852="",0,$K852-$L852-$M852-$N852)</f>
        <v>0</v>
      </c>
      <c r="T852" s="22"/>
      <c r="U852" s="20" t="n">
        <f aca="false">IF($T852="",0,MAX(0,$S852-$T852))</f>
        <v>0</v>
      </c>
      <c r="V852" s="21" t="n">
        <f aca="false">IF($S852=0,0,$U852/$S852)</f>
        <v>0</v>
      </c>
      <c r="W852" s="23" t="str">
        <f aca="false">IF($D852="","",IF($T852="","BEKLİYOR",IF(OR($U852=0,$S852=0),"DOĞRU",IF(AND($V852&gt;PazaryeriEksikHakedisEsik,$U852&gt;PazaryeriEksikHakedisTutarEsik),"EKSİK HAKEDİŞ","DOĞRU"))))</f>
        <v/>
      </c>
      <c r="X852" s="23" t="str">
        <f aca="false">IF($B852="","",CONCATENATE("Ürün: ",$B852," | Kâr: ",TEXT($Q852,"₺ #,##0")," | Durum: ",$W852))</f>
        <v/>
      </c>
      <c r="Y852" s="24"/>
    </row>
    <row r="853" customFormat="false" ht="15" hidden="false" customHeight="false" outlineLevel="0" collapsed="false">
      <c r="A853" s="24"/>
      <c r="B853" s="24"/>
      <c r="C853" s="22"/>
      <c r="D853" s="25"/>
      <c r="E853" s="22"/>
      <c r="F853" s="26"/>
      <c r="G853" s="26"/>
      <c r="H853" s="26"/>
      <c r="I853" s="26"/>
      <c r="J853" s="22"/>
      <c r="K853" s="20" t="n">
        <f aca="false">IF($D853="",0,$C853*$D853)</f>
        <v>0</v>
      </c>
      <c r="L853" s="20" t="n">
        <f aca="false">IF($D853="",0,$F853*$K853)</f>
        <v>0</v>
      </c>
      <c r="M853" s="20" t="n">
        <f aca="false">IF($D853="",0,$G853*$K853)</f>
        <v>0</v>
      </c>
      <c r="N853" s="20" t="n">
        <f aca="false">IF($D853="",0,$H853*$K853)</f>
        <v>0</v>
      </c>
      <c r="O853" s="20" t="n">
        <f aca="false">IF($D853="",0,$I853*$K853*(1-$F853))</f>
        <v>0</v>
      </c>
      <c r="P853" s="20" t="n">
        <f aca="false">IF($D853="",0,$E853*$D853+$L853+$M853+$N853+$O853+$J853*$D853)</f>
        <v>0</v>
      </c>
      <c r="Q853" s="20" t="n">
        <f aca="false">IF($D853="",0,$K853-$P853)</f>
        <v>0</v>
      </c>
      <c r="R853" s="21" t="n">
        <f aca="false">IF($K853=0,0,$Q853/$K853)</f>
        <v>0</v>
      </c>
      <c r="S853" s="20" t="n">
        <f aca="false">IF($D853="",0,$K853-$L853-$M853-$N853)</f>
        <v>0</v>
      </c>
      <c r="T853" s="22"/>
      <c r="U853" s="20" t="n">
        <f aca="false">IF($T853="",0,MAX(0,$S853-$T853))</f>
        <v>0</v>
      </c>
      <c r="V853" s="21" t="n">
        <f aca="false">IF($S853=0,0,$U853/$S853)</f>
        <v>0</v>
      </c>
      <c r="W853" s="23" t="str">
        <f aca="false">IF($D853="","",IF($T853="","BEKLİYOR",IF(OR($U853=0,$S853=0),"DOĞRU",IF(AND($V853&gt;PazaryeriEksikHakedisEsik,$U853&gt;PazaryeriEksikHakedisTutarEsik),"EKSİK HAKEDİŞ","DOĞRU"))))</f>
        <v/>
      </c>
      <c r="X853" s="23" t="str">
        <f aca="false">IF($B853="","",CONCATENATE("Ürün: ",$B853," | Kâr: ",TEXT($Q853,"₺ #,##0")," | Durum: ",$W853))</f>
        <v/>
      </c>
      <c r="Y853" s="24"/>
    </row>
    <row r="854" customFormat="false" ht="15" hidden="false" customHeight="false" outlineLevel="0" collapsed="false">
      <c r="A854" s="24"/>
      <c r="B854" s="24"/>
      <c r="C854" s="22"/>
      <c r="D854" s="25"/>
      <c r="E854" s="22"/>
      <c r="F854" s="26"/>
      <c r="G854" s="26"/>
      <c r="H854" s="26"/>
      <c r="I854" s="26"/>
      <c r="J854" s="22"/>
      <c r="K854" s="20" t="n">
        <f aca="false">IF($D854="",0,$C854*$D854)</f>
        <v>0</v>
      </c>
      <c r="L854" s="20" t="n">
        <f aca="false">IF($D854="",0,$F854*$K854)</f>
        <v>0</v>
      </c>
      <c r="M854" s="20" t="n">
        <f aca="false">IF($D854="",0,$G854*$K854)</f>
        <v>0</v>
      </c>
      <c r="N854" s="20" t="n">
        <f aca="false">IF($D854="",0,$H854*$K854)</f>
        <v>0</v>
      </c>
      <c r="O854" s="20" t="n">
        <f aca="false">IF($D854="",0,$I854*$K854*(1-$F854))</f>
        <v>0</v>
      </c>
      <c r="P854" s="20" t="n">
        <f aca="false">IF($D854="",0,$E854*$D854+$L854+$M854+$N854+$O854+$J854*$D854)</f>
        <v>0</v>
      </c>
      <c r="Q854" s="20" t="n">
        <f aca="false">IF($D854="",0,$K854-$P854)</f>
        <v>0</v>
      </c>
      <c r="R854" s="21" t="n">
        <f aca="false">IF($K854=0,0,$Q854/$K854)</f>
        <v>0</v>
      </c>
      <c r="S854" s="20" t="n">
        <f aca="false">IF($D854="",0,$K854-$L854-$M854-$N854)</f>
        <v>0</v>
      </c>
      <c r="T854" s="22"/>
      <c r="U854" s="20" t="n">
        <f aca="false">IF($T854="",0,MAX(0,$S854-$T854))</f>
        <v>0</v>
      </c>
      <c r="V854" s="21" t="n">
        <f aca="false">IF($S854=0,0,$U854/$S854)</f>
        <v>0</v>
      </c>
      <c r="W854" s="23" t="str">
        <f aca="false">IF($D854="","",IF($T854="","BEKLİYOR",IF(OR($U854=0,$S854=0),"DOĞRU",IF(AND($V854&gt;PazaryeriEksikHakedisEsik,$U854&gt;PazaryeriEksikHakedisTutarEsik),"EKSİK HAKEDİŞ","DOĞRU"))))</f>
        <v/>
      </c>
      <c r="X854" s="23" t="str">
        <f aca="false">IF($B854="","",CONCATENATE("Ürün: ",$B854," | Kâr: ",TEXT($Q854,"₺ #,##0")," | Durum: ",$W854))</f>
        <v/>
      </c>
      <c r="Y854" s="24"/>
    </row>
    <row r="855" customFormat="false" ht="15" hidden="false" customHeight="false" outlineLevel="0" collapsed="false">
      <c r="A855" s="24"/>
      <c r="B855" s="24"/>
      <c r="C855" s="22"/>
      <c r="D855" s="25"/>
      <c r="E855" s="22"/>
      <c r="F855" s="26"/>
      <c r="G855" s="26"/>
      <c r="H855" s="26"/>
      <c r="I855" s="26"/>
      <c r="J855" s="22"/>
      <c r="K855" s="20" t="n">
        <f aca="false">IF($D855="",0,$C855*$D855)</f>
        <v>0</v>
      </c>
      <c r="L855" s="20" t="n">
        <f aca="false">IF($D855="",0,$F855*$K855)</f>
        <v>0</v>
      </c>
      <c r="M855" s="20" t="n">
        <f aca="false">IF($D855="",0,$G855*$K855)</f>
        <v>0</v>
      </c>
      <c r="N855" s="20" t="n">
        <f aca="false">IF($D855="",0,$H855*$K855)</f>
        <v>0</v>
      </c>
      <c r="O855" s="20" t="n">
        <f aca="false">IF($D855="",0,$I855*$K855*(1-$F855))</f>
        <v>0</v>
      </c>
      <c r="P855" s="20" t="n">
        <f aca="false">IF($D855="",0,$E855*$D855+$L855+$M855+$N855+$O855+$J855*$D855)</f>
        <v>0</v>
      </c>
      <c r="Q855" s="20" t="n">
        <f aca="false">IF($D855="",0,$K855-$P855)</f>
        <v>0</v>
      </c>
      <c r="R855" s="21" t="n">
        <f aca="false">IF($K855=0,0,$Q855/$K855)</f>
        <v>0</v>
      </c>
      <c r="S855" s="20" t="n">
        <f aca="false">IF($D855="",0,$K855-$L855-$M855-$N855)</f>
        <v>0</v>
      </c>
      <c r="T855" s="22"/>
      <c r="U855" s="20" t="n">
        <f aca="false">IF($T855="",0,MAX(0,$S855-$T855))</f>
        <v>0</v>
      </c>
      <c r="V855" s="21" t="n">
        <f aca="false">IF($S855=0,0,$U855/$S855)</f>
        <v>0</v>
      </c>
      <c r="W855" s="23" t="str">
        <f aca="false">IF($D855="","",IF($T855="","BEKLİYOR",IF(OR($U855=0,$S855=0),"DOĞRU",IF(AND($V855&gt;PazaryeriEksikHakedisEsik,$U855&gt;PazaryeriEksikHakedisTutarEsik),"EKSİK HAKEDİŞ","DOĞRU"))))</f>
        <v/>
      </c>
      <c r="X855" s="23" t="str">
        <f aca="false">IF($B855="","",CONCATENATE("Ürün: ",$B855," | Kâr: ",TEXT($Q855,"₺ #,##0")," | Durum: ",$W855))</f>
        <v/>
      </c>
      <c r="Y855" s="24"/>
    </row>
    <row r="856" customFormat="false" ht="15" hidden="false" customHeight="false" outlineLevel="0" collapsed="false">
      <c r="A856" s="24"/>
      <c r="B856" s="24"/>
      <c r="C856" s="22"/>
      <c r="D856" s="25"/>
      <c r="E856" s="22"/>
      <c r="F856" s="26"/>
      <c r="G856" s="26"/>
      <c r="H856" s="26"/>
      <c r="I856" s="26"/>
      <c r="J856" s="22"/>
      <c r="K856" s="20" t="n">
        <f aca="false">IF($D856="",0,$C856*$D856)</f>
        <v>0</v>
      </c>
      <c r="L856" s="20" t="n">
        <f aca="false">IF($D856="",0,$F856*$K856)</f>
        <v>0</v>
      </c>
      <c r="M856" s="20" t="n">
        <f aca="false">IF($D856="",0,$G856*$K856)</f>
        <v>0</v>
      </c>
      <c r="N856" s="20" t="n">
        <f aca="false">IF($D856="",0,$H856*$K856)</f>
        <v>0</v>
      </c>
      <c r="O856" s="20" t="n">
        <f aca="false">IF($D856="",0,$I856*$K856*(1-$F856))</f>
        <v>0</v>
      </c>
      <c r="P856" s="20" t="n">
        <f aca="false">IF($D856="",0,$E856*$D856+$L856+$M856+$N856+$O856+$J856*$D856)</f>
        <v>0</v>
      </c>
      <c r="Q856" s="20" t="n">
        <f aca="false">IF($D856="",0,$K856-$P856)</f>
        <v>0</v>
      </c>
      <c r="R856" s="21" t="n">
        <f aca="false">IF($K856=0,0,$Q856/$K856)</f>
        <v>0</v>
      </c>
      <c r="S856" s="20" t="n">
        <f aca="false">IF($D856="",0,$K856-$L856-$M856-$N856)</f>
        <v>0</v>
      </c>
      <c r="T856" s="22"/>
      <c r="U856" s="20" t="n">
        <f aca="false">IF($T856="",0,MAX(0,$S856-$T856))</f>
        <v>0</v>
      </c>
      <c r="V856" s="21" t="n">
        <f aca="false">IF($S856=0,0,$U856/$S856)</f>
        <v>0</v>
      </c>
      <c r="W856" s="23" t="str">
        <f aca="false">IF($D856="","",IF($T856="","BEKLİYOR",IF(OR($U856=0,$S856=0),"DOĞRU",IF(AND($V856&gt;PazaryeriEksikHakedisEsik,$U856&gt;PazaryeriEksikHakedisTutarEsik),"EKSİK HAKEDİŞ","DOĞRU"))))</f>
        <v/>
      </c>
      <c r="X856" s="23" t="str">
        <f aca="false">IF($B856="","",CONCATENATE("Ürün: ",$B856," | Kâr: ",TEXT($Q856,"₺ #,##0")," | Durum: ",$W856))</f>
        <v/>
      </c>
      <c r="Y856" s="24"/>
    </row>
    <row r="857" customFormat="false" ht="15" hidden="false" customHeight="false" outlineLevel="0" collapsed="false">
      <c r="A857" s="24"/>
      <c r="B857" s="24"/>
      <c r="C857" s="22"/>
      <c r="D857" s="25"/>
      <c r="E857" s="22"/>
      <c r="F857" s="26"/>
      <c r="G857" s="26"/>
      <c r="H857" s="26"/>
      <c r="I857" s="26"/>
      <c r="J857" s="22"/>
      <c r="K857" s="20" t="n">
        <f aca="false">IF($D857="",0,$C857*$D857)</f>
        <v>0</v>
      </c>
      <c r="L857" s="20" t="n">
        <f aca="false">IF($D857="",0,$F857*$K857)</f>
        <v>0</v>
      </c>
      <c r="M857" s="20" t="n">
        <f aca="false">IF($D857="",0,$G857*$K857)</f>
        <v>0</v>
      </c>
      <c r="N857" s="20" t="n">
        <f aca="false">IF($D857="",0,$H857*$K857)</f>
        <v>0</v>
      </c>
      <c r="O857" s="20" t="n">
        <f aca="false">IF($D857="",0,$I857*$K857*(1-$F857))</f>
        <v>0</v>
      </c>
      <c r="P857" s="20" t="n">
        <f aca="false">IF($D857="",0,$E857*$D857+$L857+$M857+$N857+$O857+$J857*$D857)</f>
        <v>0</v>
      </c>
      <c r="Q857" s="20" t="n">
        <f aca="false">IF($D857="",0,$K857-$P857)</f>
        <v>0</v>
      </c>
      <c r="R857" s="21" t="n">
        <f aca="false">IF($K857=0,0,$Q857/$K857)</f>
        <v>0</v>
      </c>
      <c r="S857" s="20" t="n">
        <f aca="false">IF($D857="",0,$K857-$L857-$M857-$N857)</f>
        <v>0</v>
      </c>
      <c r="T857" s="22"/>
      <c r="U857" s="20" t="n">
        <f aca="false">IF($T857="",0,MAX(0,$S857-$T857))</f>
        <v>0</v>
      </c>
      <c r="V857" s="21" t="n">
        <f aca="false">IF($S857=0,0,$U857/$S857)</f>
        <v>0</v>
      </c>
      <c r="W857" s="23" t="str">
        <f aca="false">IF($D857="","",IF($T857="","BEKLİYOR",IF(OR($U857=0,$S857=0),"DOĞRU",IF(AND($V857&gt;PazaryeriEksikHakedisEsik,$U857&gt;PazaryeriEksikHakedisTutarEsik),"EKSİK HAKEDİŞ","DOĞRU"))))</f>
        <v/>
      </c>
      <c r="X857" s="23" t="str">
        <f aca="false">IF($B857="","",CONCATENATE("Ürün: ",$B857," | Kâr: ",TEXT($Q857,"₺ #,##0")," | Durum: ",$W857))</f>
        <v/>
      </c>
      <c r="Y857" s="24"/>
    </row>
    <row r="858" customFormat="false" ht="15" hidden="false" customHeight="false" outlineLevel="0" collapsed="false">
      <c r="A858" s="24"/>
      <c r="B858" s="24"/>
      <c r="C858" s="22"/>
      <c r="D858" s="25"/>
      <c r="E858" s="22"/>
      <c r="F858" s="26"/>
      <c r="G858" s="26"/>
      <c r="H858" s="26"/>
      <c r="I858" s="26"/>
      <c r="J858" s="22"/>
      <c r="K858" s="20" t="n">
        <f aca="false">IF($D858="",0,$C858*$D858)</f>
        <v>0</v>
      </c>
      <c r="L858" s="20" t="n">
        <f aca="false">IF($D858="",0,$F858*$K858)</f>
        <v>0</v>
      </c>
      <c r="M858" s="20" t="n">
        <f aca="false">IF($D858="",0,$G858*$K858)</f>
        <v>0</v>
      </c>
      <c r="N858" s="20" t="n">
        <f aca="false">IF($D858="",0,$H858*$K858)</f>
        <v>0</v>
      </c>
      <c r="O858" s="20" t="n">
        <f aca="false">IF($D858="",0,$I858*$K858*(1-$F858))</f>
        <v>0</v>
      </c>
      <c r="P858" s="20" t="n">
        <f aca="false">IF($D858="",0,$E858*$D858+$L858+$M858+$N858+$O858+$J858*$D858)</f>
        <v>0</v>
      </c>
      <c r="Q858" s="20" t="n">
        <f aca="false">IF($D858="",0,$K858-$P858)</f>
        <v>0</v>
      </c>
      <c r="R858" s="21" t="n">
        <f aca="false">IF($K858=0,0,$Q858/$K858)</f>
        <v>0</v>
      </c>
      <c r="S858" s="20" t="n">
        <f aca="false">IF($D858="",0,$K858-$L858-$M858-$N858)</f>
        <v>0</v>
      </c>
      <c r="T858" s="22"/>
      <c r="U858" s="20" t="n">
        <f aca="false">IF($T858="",0,MAX(0,$S858-$T858))</f>
        <v>0</v>
      </c>
      <c r="V858" s="21" t="n">
        <f aca="false">IF($S858=0,0,$U858/$S858)</f>
        <v>0</v>
      </c>
      <c r="W858" s="23" t="str">
        <f aca="false">IF($D858="","",IF($T858="","BEKLİYOR",IF(OR($U858=0,$S858=0),"DOĞRU",IF(AND($V858&gt;PazaryeriEksikHakedisEsik,$U858&gt;PazaryeriEksikHakedisTutarEsik),"EKSİK HAKEDİŞ","DOĞRU"))))</f>
        <v/>
      </c>
      <c r="X858" s="23" t="str">
        <f aca="false">IF($B858="","",CONCATENATE("Ürün: ",$B858," | Kâr: ",TEXT($Q858,"₺ #,##0")," | Durum: ",$W858))</f>
        <v/>
      </c>
      <c r="Y858" s="24"/>
    </row>
    <row r="859" customFormat="false" ht="15" hidden="false" customHeight="false" outlineLevel="0" collapsed="false">
      <c r="A859" s="24"/>
      <c r="B859" s="24"/>
      <c r="C859" s="22"/>
      <c r="D859" s="25"/>
      <c r="E859" s="22"/>
      <c r="F859" s="26"/>
      <c r="G859" s="26"/>
      <c r="H859" s="26"/>
      <c r="I859" s="26"/>
      <c r="J859" s="22"/>
      <c r="K859" s="20" t="n">
        <f aca="false">IF($D859="",0,$C859*$D859)</f>
        <v>0</v>
      </c>
      <c r="L859" s="20" t="n">
        <f aca="false">IF($D859="",0,$F859*$K859)</f>
        <v>0</v>
      </c>
      <c r="M859" s="20" t="n">
        <f aca="false">IF($D859="",0,$G859*$K859)</f>
        <v>0</v>
      </c>
      <c r="N859" s="20" t="n">
        <f aca="false">IF($D859="",0,$H859*$K859)</f>
        <v>0</v>
      </c>
      <c r="O859" s="20" t="n">
        <f aca="false">IF($D859="",0,$I859*$K859*(1-$F859))</f>
        <v>0</v>
      </c>
      <c r="P859" s="20" t="n">
        <f aca="false">IF($D859="",0,$E859*$D859+$L859+$M859+$N859+$O859+$J859*$D859)</f>
        <v>0</v>
      </c>
      <c r="Q859" s="20" t="n">
        <f aca="false">IF($D859="",0,$K859-$P859)</f>
        <v>0</v>
      </c>
      <c r="R859" s="21" t="n">
        <f aca="false">IF($K859=0,0,$Q859/$K859)</f>
        <v>0</v>
      </c>
      <c r="S859" s="20" t="n">
        <f aca="false">IF($D859="",0,$K859-$L859-$M859-$N859)</f>
        <v>0</v>
      </c>
      <c r="T859" s="22"/>
      <c r="U859" s="20" t="n">
        <f aca="false">IF($T859="",0,MAX(0,$S859-$T859))</f>
        <v>0</v>
      </c>
      <c r="V859" s="21" t="n">
        <f aca="false">IF($S859=0,0,$U859/$S859)</f>
        <v>0</v>
      </c>
      <c r="W859" s="23" t="str">
        <f aca="false">IF($D859="","",IF($T859="","BEKLİYOR",IF(OR($U859=0,$S859=0),"DOĞRU",IF(AND($V859&gt;PazaryeriEksikHakedisEsik,$U859&gt;PazaryeriEksikHakedisTutarEsik),"EKSİK HAKEDİŞ","DOĞRU"))))</f>
        <v/>
      </c>
      <c r="X859" s="23" t="str">
        <f aca="false">IF($B859="","",CONCATENATE("Ürün: ",$B859," | Kâr: ",TEXT($Q859,"₺ #,##0")," | Durum: ",$W859))</f>
        <v/>
      </c>
      <c r="Y859" s="24"/>
    </row>
    <row r="860" customFormat="false" ht="15" hidden="false" customHeight="false" outlineLevel="0" collapsed="false">
      <c r="A860" s="24"/>
      <c r="B860" s="24"/>
      <c r="C860" s="22"/>
      <c r="D860" s="25"/>
      <c r="E860" s="22"/>
      <c r="F860" s="26"/>
      <c r="G860" s="26"/>
      <c r="H860" s="26"/>
      <c r="I860" s="26"/>
      <c r="J860" s="22"/>
      <c r="K860" s="20" t="n">
        <f aca="false">IF($D860="",0,$C860*$D860)</f>
        <v>0</v>
      </c>
      <c r="L860" s="20" t="n">
        <f aca="false">IF($D860="",0,$F860*$K860)</f>
        <v>0</v>
      </c>
      <c r="M860" s="20" t="n">
        <f aca="false">IF($D860="",0,$G860*$K860)</f>
        <v>0</v>
      </c>
      <c r="N860" s="20" t="n">
        <f aca="false">IF($D860="",0,$H860*$K860)</f>
        <v>0</v>
      </c>
      <c r="O860" s="20" t="n">
        <f aca="false">IF($D860="",0,$I860*$K860*(1-$F860))</f>
        <v>0</v>
      </c>
      <c r="P860" s="20" t="n">
        <f aca="false">IF($D860="",0,$E860*$D860+$L860+$M860+$N860+$O860+$J860*$D860)</f>
        <v>0</v>
      </c>
      <c r="Q860" s="20" t="n">
        <f aca="false">IF($D860="",0,$K860-$P860)</f>
        <v>0</v>
      </c>
      <c r="R860" s="21" t="n">
        <f aca="false">IF($K860=0,0,$Q860/$K860)</f>
        <v>0</v>
      </c>
      <c r="S860" s="20" t="n">
        <f aca="false">IF($D860="",0,$K860-$L860-$M860-$N860)</f>
        <v>0</v>
      </c>
      <c r="T860" s="22"/>
      <c r="U860" s="20" t="n">
        <f aca="false">IF($T860="",0,MAX(0,$S860-$T860))</f>
        <v>0</v>
      </c>
      <c r="V860" s="21" t="n">
        <f aca="false">IF($S860=0,0,$U860/$S860)</f>
        <v>0</v>
      </c>
      <c r="W860" s="23" t="str">
        <f aca="false">IF($D860="","",IF($T860="","BEKLİYOR",IF(OR($U860=0,$S860=0),"DOĞRU",IF(AND($V860&gt;PazaryeriEksikHakedisEsik,$U860&gt;PazaryeriEksikHakedisTutarEsik),"EKSİK HAKEDİŞ","DOĞRU"))))</f>
        <v/>
      </c>
      <c r="X860" s="23" t="str">
        <f aca="false">IF($B860="","",CONCATENATE("Ürün: ",$B860," | Kâr: ",TEXT($Q860,"₺ #,##0")," | Durum: ",$W860))</f>
        <v/>
      </c>
      <c r="Y860" s="24"/>
    </row>
    <row r="861" customFormat="false" ht="15" hidden="false" customHeight="false" outlineLevel="0" collapsed="false">
      <c r="A861" s="24"/>
      <c r="B861" s="24"/>
      <c r="C861" s="22"/>
      <c r="D861" s="25"/>
      <c r="E861" s="22"/>
      <c r="F861" s="26"/>
      <c r="G861" s="26"/>
      <c r="H861" s="26"/>
      <c r="I861" s="26"/>
      <c r="J861" s="22"/>
      <c r="K861" s="20" t="n">
        <f aca="false">IF($D861="",0,$C861*$D861)</f>
        <v>0</v>
      </c>
      <c r="L861" s="20" t="n">
        <f aca="false">IF($D861="",0,$F861*$K861)</f>
        <v>0</v>
      </c>
      <c r="M861" s="20" t="n">
        <f aca="false">IF($D861="",0,$G861*$K861)</f>
        <v>0</v>
      </c>
      <c r="N861" s="20" t="n">
        <f aca="false">IF($D861="",0,$H861*$K861)</f>
        <v>0</v>
      </c>
      <c r="O861" s="20" t="n">
        <f aca="false">IF($D861="",0,$I861*$K861*(1-$F861))</f>
        <v>0</v>
      </c>
      <c r="P861" s="20" t="n">
        <f aca="false">IF($D861="",0,$E861*$D861+$L861+$M861+$N861+$O861+$J861*$D861)</f>
        <v>0</v>
      </c>
      <c r="Q861" s="20" t="n">
        <f aca="false">IF($D861="",0,$K861-$P861)</f>
        <v>0</v>
      </c>
      <c r="R861" s="21" t="n">
        <f aca="false">IF($K861=0,0,$Q861/$K861)</f>
        <v>0</v>
      </c>
      <c r="S861" s="20" t="n">
        <f aca="false">IF($D861="",0,$K861-$L861-$M861-$N861)</f>
        <v>0</v>
      </c>
      <c r="T861" s="22"/>
      <c r="U861" s="20" t="n">
        <f aca="false">IF($T861="",0,MAX(0,$S861-$T861))</f>
        <v>0</v>
      </c>
      <c r="V861" s="21" t="n">
        <f aca="false">IF($S861=0,0,$U861/$S861)</f>
        <v>0</v>
      </c>
      <c r="W861" s="23" t="str">
        <f aca="false">IF($D861="","",IF($T861="","BEKLİYOR",IF(OR($U861=0,$S861=0),"DOĞRU",IF(AND($V861&gt;PazaryeriEksikHakedisEsik,$U861&gt;PazaryeriEksikHakedisTutarEsik),"EKSİK HAKEDİŞ","DOĞRU"))))</f>
        <v/>
      </c>
      <c r="X861" s="23" t="str">
        <f aca="false">IF($B861="","",CONCATENATE("Ürün: ",$B861," | Kâr: ",TEXT($Q861,"₺ #,##0")," | Durum: ",$W861))</f>
        <v/>
      </c>
      <c r="Y861" s="24"/>
    </row>
    <row r="862" customFormat="false" ht="15" hidden="false" customHeight="false" outlineLevel="0" collapsed="false">
      <c r="A862" s="24"/>
      <c r="B862" s="24"/>
      <c r="C862" s="22"/>
      <c r="D862" s="25"/>
      <c r="E862" s="22"/>
      <c r="F862" s="26"/>
      <c r="G862" s="26"/>
      <c r="H862" s="26"/>
      <c r="I862" s="26"/>
      <c r="J862" s="22"/>
      <c r="K862" s="20" t="n">
        <f aca="false">IF($D862="",0,$C862*$D862)</f>
        <v>0</v>
      </c>
      <c r="L862" s="20" t="n">
        <f aca="false">IF($D862="",0,$F862*$K862)</f>
        <v>0</v>
      </c>
      <c r="M862" s="20" t="n">
        <f aca="false">IF($D862="",0,$G862*$K862)</f>
        <v>0</v>
      </c>
      <c r="N862" s="20" t="n">
        <f aca="false">IF($D862="",0,$H862*$K862)</f>
        <v>0</v>
      </c>
      <c r="O862" s="20" t="n">
        <f aca="false">IF($D862="",0,$I862*$K862*(1-$F862))</f>
        <v>0</v>
      </c>
      <c r="P862" s="20" t="n">
        <f aca="false">IF($D862="",0,$E862*$D862+$L862+$M862+$N862+$O862+$J862*$D862)</f>
        <v>0</v>
      </c>
      <c r="Q862" s="20" t="n">
        <f aca="false">IF($D862="",0,$K862-$P862)</f>
        <v>0</v>
      </c>
      <c r="R862" s="21" t="n">
        <f aca="false">IF($K862=0,0,$Q862/$K862)</f>
        <v>0</v>
      </c>
      <c r="S862" s="20" t="n">
        <f aca="false">IF($D862="",0,$K862-$L862-$M862-$N862)</f>
        <v>0</v>
      </c>
      <c r="T862" s="22"/>
      <c r="U862" s="20" t="n">
        <f aca="false">IF($T862="",0,MAX(0,$S862-$T862))</f>
        <v>0</v>
      </c>
      <c r="V862" s="21" t="n">
        <f aca="false">IF($S862=0,0,$U862/$S862)</f>
        <v>0</v>
      </c>
      <c r="W862" s="23" t="str">
        <f aca="false">IF($D862="","",IF($T862="","BEKLİYOR",IF(OR($U862=0,$S862=0),"DOĞRU",IF(AND($V862&gt;PazaryeriEksikHakedisEsik,$U862&gt;PazaryeriEksikHakedisTutarEsik),"EKSİK HAKEDİŞ","DOĞRU"))))</f>
        <v/>
      </c>
      <c r="X862" s="23" t="str">
        <f aca="false">IF($B862="","",CONCATENATE("Ürün: ",$B862," | Kâr: ",TEXT($Q862,"₺ #,##0")," | Durum: ",$W862))</f>
        <v/>
      </c>
      <c r="Y862" s="24"/>
    </row>
    <row r="863" customFormat="false" ht="15" hidden="false" customHeight="false" outlineLevel="0" collapsed="false">
      <c r="A863" s="24"/>
      <c r="B863" s="24"/>
      <c r="C863" s="22"/>
      <c r="D863" s="25"/>
      <c r="E863" s="22"/>
      <c r="F863" s="26"/>
      <c r="G863" s="26"/>
      <c r="H863" s="26"/>
      <c r="I863" s="26"/>
      <c r="J863" s="22"/>
      <c r="K863" s="20" t="n">
        <f aca="false">IF($D863="",0,$C863*$D863)</f>
        <v>0</v>
      </c>
      <c r="L863" s="20" t="n">
        <f aca="false">IF($D863="",0,$F863*$K863)</f>
        <v>0</v>
      </c>
      <c r="M863" s="20" t="n">
        <f aca="false">IF($D863="",0,$G863*$K863)</f>
        <v>0</v>
      </c>
      <c r="N863" s="20" t="n">
        <f aca="false">IF($D863="",0,$H863*$K863)</f>
        <v>0</v>
      </c>
      <c r="O863" s="20" t="n">
        <f aca="false">IF($D863="",0,$I863*$K863*(1-$F863))</f>
        <v>0</v>
      </c>
      <c r="P863" s="20" t="n">
        <f aca="false">IF($D863="",0,$E863*$D863+$L863+$M863+$N863+$O863+$J863*$D863)</f>
        <v>0</v>
      </c>
      <c r="Q863" s="20" t="n">
        <f aca="false">IF($D863="",0,$K863-$P863)</f>
        <v>0</v>
      </c>
      <c r="R863" s="21" t="n">
        <f aca="false">IF($K863=0,0,$Q863/$K863)</f>
        <v>0</v>
      </c>
      <c r="S863" s="20" t="n">
        <f aca="false">IF($D863="",0,$K863-$L863-$M863-$N863)</f>
        <v>0</v>
      </c>
      <c r="T863" s="22"/>
      <c r="U863" s="20" t="n">
        <f aca="false">IF($T863="",0,MAX(0,$S863-$T863))</f>
        <v>0</v>
      </c>
      <c r="V863" s="21" t="n">
        <f aca="false">IF($S863=0,0,$U863/$S863)</f>
        <v>0</v>
      </c>
      <c r="W863" s="23" t="str">
        <f aca="false">IF($D863="","",IF($T863="","BEKLİYOR",IF(OR($U863=0,$S863=0),"DOĞRU",IF(AND($V863&gt;PazaryeriEksikHakedisEsik,$U863&gt;PazaryeriEksikHakedisTutarEsik),"EKSİK HAKEDİŞ","DOĞRU"))))</f>
        <v/>
      </c>
      <c r="X863" s="23" t="str">
        <f aca="false">IF($B863="","",CONCATENATE("Ürün: ",$B863," | Kâr: ",TEXT($Q863,"₺ #,##0")," | Durum: ",$W863))</f>
        <v/>
      </c>
      <c r="Y863" s="24"/>
    </row>
    <row r="864" customFormat="false" ht="15" hidden="false" customHeight="false" outlineLevel="0" collapsed="false">
      <c r="A864" s="24"/>
      <c r="B864" s="24"/>
      <c r="C864" s="22"/>
      <c r="D864" s="25"/>
      <c r="E864" s="22"/>
      <c r="F864" s="26"/>
      <c r="G864" s="26"/>
      <c r="H864" s="26"/>
      <c r="I864" s="26"/>
      <c r="J864" s="22"/>
      <c r="K864" s="20" t="n">
        <f aca="false">IF($D864="",0,$C864*$D864)</f>
        <v>0</v>
      </c>
      <c r="L864" s="20" t="n">
        <f aca="false">IF($D864="",0,$F864*$K864)</f>
        <v>0</v>
      </c>
      <c r="M864" s="20" t="n">
        <f aca="false">IF($D864="",0,$G864*$K864)</f>
        <v>0</v>
      </c>
      <c r="N864" s="20" t="n">
        <f aca="false">IF($D864="",0,$H864*$K864)</f>
        <v>0</v>
      </c>
      <c r="O864" s="20" t="n">
        <f aca="false">IF($D864="",0,$I864*$K864*(1-$F864))</f>
        <v>0</v>
      </c>
      <c r="P864" s="20" t="n">
        <f aca="false">IF($D864="",0,$E864*$D864+$L864+$M864+$N864+$O864+$J864*$D864)</f>
        <v>0</v>
      </c>
      <c r="Q864" s="20" t="n">
        <f aca="false">IF($D864="",0,$K864-$P864)</f>
        <v>0</v>
      </c>
      <c r="R864" s="21" t="n">
        <f aca="false">IF($K864=0,0,$Q864/$K864)</f>
        <v>0</v>
      </c>
      <c r="S864" s="20" t="n">
        <f aca="false">IF($D864="",0,$K864-$L864-$M864-$N864)</f>
        <v>0</v>
      </c>
      <c r="T864" s="22"/>
      <c r="U864" s="20" t="n">
        <f aca="false">IF($T864="",0,MAX(0,$S864-$T864))</f>
        <v>0</v>
      </c>
      <c r="V864" s="21" t="n">
        <f aca="false">IF($S864=0,0,$U864/$S864)</f>
        <v>0</v>
      </c>
      <c r="W864" s="23" t="str">
        <f aca="false">IF($D864="","",IF($T864="","BEKLİYOR",IF(OR($U864=0,$S864=0),"DOĞRU",IF(AND($V864&gt;PazaryeriEksikHakedisEsik,$U864&gt;PazaryeriEksikHakedisTutarEsik),"EKSİK HAKEDİŞ","DOĞRU"))))</f>
        <v/>
      </c>
      <c r="X864" s="23" t="str">
        <f aca="false">IF($B864="","",CONCATENATE("Ürün: ",$B864," | Kâr: ",TEXT($Q864,"₺ #,##0")," | Durum: ",$W864))</f>
        <v/>
      </c>
      <c r="Y864" s="24"/>
    </row>
    <row r="865" customFormat="false" ht="15" hidden="false" customHeight="false" outlineLevel="0" collapsed="false">
      <c r="A865" s="24"/>
      <c r="B865" s="24"/>
      <c r="C865" s="22"/>
      <c r="D865" s="25"/>
      <c r="E865" s="22"/>
      <c r="F865" s="26"/>
      <c r="G865" s="26"/>
      <c r="H865" s="26"/>
      <c r="I865" s="26"/>
      <c r="J865" s="22"/>
      <c r="K865" s="20" t="n">
        <f aca="false">IF($D865="",0,$C865*$D865)</f>
        <v>0</v>
      </c>
      <c r="L865" s="20" t="n">
        <f aca="false">IF($D865="",0,$F865*$K865)</f>
        <v>0</v>
      </c>
      <c r="M865" s="20" t="n">
        <f aca="false">IF($D865="",0,$G865*$K865)</f>
        <v>0</v>
      </c>
      <c r="N865" s="20" t="n">
        <f aca="false">IF($D865="",0,$H865*$K865)</f>
        <v>0</v>
      </c>
      <c r="O865" s="20" t="n">
        <f aca="false">IF($D865="",0,$I865*$K865*(1-$F865))</f>
        <v>0</v>
      </c>
      <c r="P865" s="20" t="n">
        <f aca="false">IF($D865="",0,$E865*$D865+$L865+$M865+$N865+$O865+$J865*$D865)</f>
        <v>0</v>
      </c>
      <c r="Q865" s="20" t="n">
        <f aca="false">IF($D865="",0,$K865-$P865)</f>
        <v>0</v>
      </c>
      <c r="R865" s="21" t="n">
        <f aca="false">IF($K865=0,0,$Q865/$K865)</f>
        <v>0</v>
      </c>
      <c r="S865" s="20" t="n">
        <f aca="false">IF($D865="",0,$K865-$L865-$M865-$N865)</f>
        <v>0</v>
      </c>
      <c r="T865" s="22"/>
      <c r="U865" s="20" t="n">
        <f aca="false">IF($T865="",0,MAX(0,$S865-$T865))</f>
        <v>0</v>
      </c>
      <c r="V865" s="21" t="n">
        <f aca="false">IF($S865=0,0,$U865/$S865)</f>
        <v>0</v>
      </c>
      <c r="W865" s="23" t="str">
        <f aca="false">IF($D865="","",IF($T865="","BEKLİYOR",IF(OR($U865=0,$S865=0),"DOĞRU",IF(AND($V865&gt;PazaryeriEksikHakedisEsik,$U865&gt;PazaryeriEksikHakedisTutarEsik),"EKSİK HAKEDİŞ","DOĞRU"))))</f>
        <v/>
      </c>
      <c r="X865" s="23" t="str">
        <f aca="false">IF($B865="","",CONCATENATE("Ürün: ",$B865," | Kâr: ",TEXT($Q865,"₺ #,##0")," | Durum: ",$W865))</f>
        <v/>
      </c>
      <c r="Y865" s="24"/>
    </row>
    <row r="866" customFormat="false" ht="15" hidden="false" customHeight="false" outlineLevel="0" collapsed="false">
      <c r="A866" s="24"/>
      <c r="B866" s="24"/>
      <c r="C866" s="22"/>
      <c r="D866" s="25"/>
      <c r="E866" s="22"/>
      <c r="F866" s="26"/>
      <c r="G866" s="26"/>
      <c r="H866" s="26"/>
      <c r="I866" s="26"/>
      <c r="J866" s="22"/>
      <c r="K866" s="20" t="n">
        <f aca="false">IF($D866="",0,$C866*$D866)</f>
        <v>0</v>
      </c>
      <c r="L866" s="20" t="n">
        <f aca="false">IF($D866="",0,$F866*$K866)</f>
        <v>0</v>
      </c>
      <c r="M866" s="20" t="n">
        <f aca="false">IF($D866="",0,$G866*$K866)</f>
        <v>0</v>
      </c>
      <c r="N866" s="20" t="n">
        <f aca="false">IF($D866="",0,$H866*$K866)</f>
        <v>0</v>
      </c>
      <c r="O866" s="20" t="n">
        <f aca="false">IF($D866="",0,$I866*$K866*(1-$F866))</f>
        <v>0</v>
      </c>
      <c r="P866" s="20" t="n">
        <f aca="false">IF($D866="",0,$E866*$D866+$L866+$M866+$N866+$O866+$J866*$D866)</f>
        <v>0</v>
      </c>
      <c r="Q866" s="20" t="n">
        <f aca="false">IF($D866="",0,$K866-$P866)</f>
        <v>0</v>
      </c>
      <c r="R866" s="21" t="n">
        <f aca="false">IF($K866=0,0,$Q866/$K866)</f>
        <v>0</v>
      </c>
      <c r="S866" s="20" t="n">
        <f aca="false">IF($D866="",0,$K866-$L866-$M866-$N866)</f>
        <v>0</v>
      </c>
      <c r="T866" s="22"/>
      <c r="U866" s="20" t="n">
        <f aca="false">IF($T866="",0,MAX(0,$S866-$T866))</f>
        <v>0</v>
      </c>
      <c r="V866" s="21" t="n">
        <f aca="false">IF($S866=0,0,$U866/$S866)</f>
        <v>0</v>
      </c>
      <c r="W866" s="23" t="str">
        <f aca="false">IF($D866="","",IF($T866="","BEKLİYOR",IF(OR($U866=0,$S866=0),"DOĞRU",IF(AND($V866&gt;PazaryeriEksikHakedisEsik,$U866&gt;PazaryeriEksikHakedisTutarEsik),"EKSİK HAKEDİŞ","DOĞRU"))))</f>
        <v/>
      </c>
      <c r="X866" s="23" t="str">
        <f aca="false">IF($B866="","",CONCATENATE("Ürün: ",$B866," | Kâr: ",TEXT($Q866,"₺ #,##0")," | Durum: ",$W866))</f>
        <v/>
      </c>
      <c r="Y866" s="24"/>
    </row>
    <row r="867" customFormat="false" ht="15" hidden="false" customHeight="false" outlineLevel="0" collapsed="false">
      <c r="A867" s="24"/>
      <c r="B867" s="24"/>
      <c r="C867" s="22"/>
      <c r="D867" s="25"/>
      <c r="E867" s="22"/>
      <c r="F867" s="26"/>
      <c r="G867" s="26"/>
      <c r="H867" s="26"/>
      <c r="I867" s="26"/>
      <c r="J867" s="22"/>
      <c r="K867" s="20" t="n">
        <f aca="false">IF($D867="",0,$C867*$D867)</f>
        <v>0</v>
      </c>
      <c r="L867" s="20" t="n">
        <f aca="false">IF($D867="",0,$F867*$K867)</f>
        <v>0</v>
      </c>
      <c r="M867" s="20" t="n">
        <f aca="false">IF($D867="",0,$G867*$K867)</f>
        <v>0</v>
      </c>
      <c r="N867" s="20" t="n">
        <f aca="false">IF($D867="",0,$H867*$K867)</f>
        <v>0</v>
      </c>
      <c r="O867" s="20" t="n">
        <f aca="false">IF($D867="",0,$I867*$K867*(1-$F867))</f>
        <v>0</v>
      </c>
      <c r="P867" s="20" t="n">
        <f aca="false">IF($D867="",0,$E867*$D867+$L867+$M867+$N867+$O867+$J867*$D867)</f>
        <v>0</v>
      </c>
      <c r="Q867" s="20" t="n">
        <f aca="false">IF($D867="",0,$K867-$P867)</f>
        <v>0</v>
      </c>
      <c r="R867" s="21" t="n">
        <f aca="false">IF($K867=0,0,$Q867/$K867)</f>
        <v>0</v>
      </c>
      <c r="S867" s="20" t="n">
        <f aca="false">IF($D867="",0,$K867-$L867-$M867-$N867)</f>
        <v>0</v>
      </c>
      <c r="T867" s="22"/>
      <c r="U867" s="20" t="n">
        <f aca="false">IF($T867="",0,MAX(0,$S867-$T867))</f>
        <v>0</v>
      </c>
      <c r="V867" s="21" t="n">
        <f aca="false">IF($S867=0,0,$U867/$S867)</f>
        <v>0</v>
      </c>
      <c r="W867" s="23" t="str">
        <f aca="false">IF($D867="","",IF($T867="","BEKLİYOR",IF(OR($U867=0,$S867=0),"DOĞRU",IF(AND($V867&gt;PazaryeriEksikHakedisEsik,$U867&gt;PazaryeriEksikHakedisTutarEsik),"EKSİK HAKEDİŞ","DOĞRU"))))</f>
        <v/>
      </c>
      <c r="X867" s="23" t="str">
        <f aca="false">IF($B867="","",CONCATENATE("Ürün: ",$B867," | Kâr: ",TEXT($Q867,"₺ #,##0")," | Durum: ",$W867))</f>
        <v/>
      </c>
      <c r="Y867" s="24"/>
    </row>
    <row r="868" customFormat="false" ht="15" hidden="false" customHeight="false" outlineLevel="0" collapsed="false">
      <c r="A868" s="24"/>
      <c r="B868" s="24"/>
      <c r="C868" s="22"/>
      <c r="D868" s="25"/>
      <c r="E868" s="22"/>
      <c r="F868" s="26"/>
      <c r="G868" s="26"/>
      <c r="H868" s="26"/>
      <c r="I868" s="26"/>
      <c r="J868" s="22"/>
      <c r="K868" s="20" t="n">
        <f aca="false">IF($D868="",0,$C868*$D868)</f>
        <v>0</v>
      </c>
      <c r="L868" s="20" t="n">
        <f aca="false">IF($D868="",0,$F868*$K868)</f>
        <v>0</v>
      </c>
      <c r="M868" s="20" t="n">
        <f aca="false">IF($D868="",0,$G868*$K868)</f>
        <v>0</v>
      </c>
      <c r="N868" s="20" t="n">
        <f aca="false">IF($D868="",0,$H868*$K868)</f>
        <v>0</v>
      </c>
      <c r="O868" s="20" t="n">
        <f aca="false">IF($D868="",0,$I868*$K868*(1-$F868))</f>
        <v>0</v>
      </c>
      <c r="P868" s="20" t="n">
        <f aca="false">IF($D868="",0,$E868*$D868+$L868+$M868+$N868+$O868+$J868*$D868)</f>
        <v>0</v>
      </c>
      <c r="Q868" s="20" t="n">
        <f aca="false">IF($D868="",0,$K868-$P868)</f>
        <v>0</v>
      </c>
      <c r="R868" s="21" t="n">
        <f aca="false">IF($K868=0,0,$Q868/$K868)</f>
        <v>0</v>
      </c>
      <c r="S868" s="20" t="n">
        <f aca="false">IF($D868="",0,$K868-$L868-$M868-$N868)</f>
        <v>0</v>
      </c>
      <c r="T868" s="22"/>
      <c r="U868" s="20" t="n">
        <f aca="false">IF($T868="",0,MAX(0,$S868-$T868))</f>
        <v>0</v>
      </c>
      <c r="V868" s="21" t="n">
        <f aca="false">IF($S868=0,0,$U868/$S868)</f>
        <v>0</v>
      </c>
      <c r="W868" s="23" t="str">
        <f aca="false">IF($D868="","",IF($T868="","BEKLİYOR",IF(OR($U868=0,$S868=0),"DOĞRU",IF(AND($V868&gt;PazaryeriEksikHakedisEsik,$U868&gt;PazaryeriEksikHakedisTutarEsik),"EKSİK HAKEDİŞ","DOĞRU"))))</f>
        <v/>
      </c>
      <c r="X868" s="23" t="str">
        <f aca="false">IF($B868="","",CONCATENATE("Ürün: ",$B868," | Kâr: ",TEXT($Q868,"₺ #,##0")," | Durum: ",$W868))</f>
        <v/>
      </c>
      <c r="Y868" s="24"/>
    </row>
    <row r="869" customFormat="false" ht="15" hidden="false" customHeight="false" outlineLevel="0" collapsed="false">
      <c r="A869" s="24"/>
      <c r="B869" s="24"/>
      <c r="C869" s="22"/>
      <c r="D869" s="25"/>
      <c r="E869" s="22"/>
      <c r="F869" s="26"/>
      <c r="G869" s="26"/>
      <c r="H869" s="26"/>
      <c r="I869" s="26"/>
      <c r="J869" s="22"/>
      <c r="K869" s="20" t="n">
        <f aca="false">IF($D869="",0,$C869*$D869)</f>
        <v>0</v>
      </c>
      <c r="L869" s="20" t="n">
        <f aca="false">IF($D869="",0,$F869*$K869)</f>
        <v>0</v>
      </c>
      <c r="M869" s="20" t="n">
        <f aca="false">IF($D869="",0,$G869*$K869)</f>
        <v>0</v>
      </c>
      <c r="N869" s="20" t="n">
        <f aca="false">IF($D869="",0,$H869*$K869)</f>
        <v>0</v>
      </c>
      <c r="O869" s="20" t="n">
        <f aca="false">IF($D869="",0,$I869*$K869*(1-$F869))</f>
        <v>0</v>
      </c>
      <c r="P869" s="20" t="n">
        <f aca="false">IF($D869="",0,$E869*$D869+$L869+$M869+$N869+$O869+$J869*$D869)</f>
        <v>0</v>
      </c>
      <c r="Q869" s="20" t="n">
        <f aca="false">IF($D869="",0,$K869-$P869)</f>
        <v>0</v>
      </c>
      <c r="R869" s="21" t="n">
        <f aca="false">IF($K869=0,0,$Q869/$K869)</f>
        <v>0</v>
      </c>
      <c r="S869" s="20" t="n">
        <f aca="false">IF($D869="",0,$K869-$L869-$M869-$N869)</f>
        <v>0</v>
      </c>
      <c r="T869" s="22"/>
      <c r="U869" s="20" t="n">
        <f aca="false">IF($T869="",0,MAX(0,$S869-$T869))</f>
        <v>0</v>
      </c>
      <c r="V869" s="21" t="n">
        <f aca="false">IF($S869=0,0,$U869/$S869)</f>
        <v>0</v>
      </c>
      <c r="W869" s="23" t="str">
        <f aca="false">IF($D869="","",IF($T869="","BEKLİYOR",IF(OR($U869=0,$S869=0),"DOĞRU",IF(AND($V869&gt;PazaryeriEksikHakedisEsik,$U869&gt;PazaryeriEksikHakedisTutarEsik),"EKSİK HAKEDİŞ","DOĞRU"))))</f>
        <v/>
      </c>
      <c r="X869" s="23" t="str">
        <f aca="false">IF($B869="","",CONCATENATE("Ürün: ",$B869," | Kâr: ",TEXT($Q869,"₺ #,##0")," | Durum: ",$W869))</f>
        <v/>
      </c>
      <c r="Y869" s="24"/>
    </row>
    <row r="870" customFormat="false" ht="15" hidden="false" customHeight="false" outlineLevel="0" collapsed="false">
      <c r="A870" s="24"/>
      <c r="B870" s="24"/>
      <c r="C870" s="22"/>
      <c r="D870" s="25"/>
      <c r="E870" s="22"/>
      <c r="F870" s="26"/>
      <c r="G870" s="26"/>
      <c r="H870" s="26"/>
      <c r="I870" s="26"/>
      <c r="J870" s="22"/>
      <c r="K870" s="20" t="n">
        <f aca="false">IF($D870="",0,$C870*$D870)</f>
        <v>0</v>
      </c>
      <c r="L870" s="20" t="n">
        <f aca="false">IF($D870="",0,$F870*$K870)</f>
        <v>0</v>
      </c>
      <c r="M870" s="20" t="n">
        <f aca="false">IF($D870="",0,$G870*$K870)</f>
        <v>0</v>
      </c>
      <c r="N870" s="20" t="n">
        <f aca="false">IF($D870="",0,$H870*$K870)</f>
        <v>0</v>
      </c>
      <c r="O870" s="20" t="n">
        <f aca="false">IF($D870="",0,$I870*$K870*(1-$F870))</f>
        <v>0</v>
      </c>
      <c r="P870" s="20" t="n">
        <f aca="false">IF($D870="",0,$E870*$D870+$L870+$M870+$N870+$O870+$J870*$D870)</f>
        <v>0</v>
      </c>
      <c r="Q870" s="20" t="n">
        <f aca="false">IF($D870="",0,$K870-$P870)</f>
        <v>0</v>
      </c>
      <c r="R870" s="21" t="n">
        <f aca="false">IF($K870=0,0,$Q870/$K870)</f>
        <v>0</v>
      </c>
      <c r="S870" s="20" t="n">
        <f aca="false">IF($D870="",0,$K870-$L870-$M870-$N870)</f>
        <v>0</v>
      </c>
      <c r="T870" s="22"/>
      <c r="U870" s="20" t="n">
        <f aca="false">IF($T870="",0,MAX(0,$S870-$T870))</f>
        <v>0</v>
      </c>
      <c r="V870" s="21" t="n">
        <f aca="false">IF($S870=0,0,$U870/$S870)</f>
        <v>0</v>
      </c>
      <c r="W870" s="23" t="str">
        <f aca="false">IF($D870="","",IF($T870="","BEKLİYOR",IF(OR($U870=0,$S870=0),"DOĞRU",IF(AND($V870&gt;PazaryeriEksikHakedisEsik,$U870&gt;PazaryeriEksikHakedisTutarEsik),"EKSİK HAKEDİŞ","DOĞRU"))))</f>
        <v/>
      </c>
      <c r="X870" s="23" t="str">
        <f aca="false">IF($B870="","",CONCATENATE("Ürün: ",$B870," | Kâr: ",TEXT($Q870,"₺ #,##0")," | Durum: ",$W870))</f>
        <v/>
      </c>
      <c r="Y870" s="24"/>
    </row>
    <row r="871" customFormat="false" ht="15" hidden="false" customHeight="false" outlineLevel="0" collapsed="false">
      <c r="A871" s="24"/>
      <c r="B871" s="24"/>
      <c r="C871" s="22"/>
      <c r="D871" s="25"/>
      <c r="E871" s="22"/>
      <c r="F871" s="26"/>
      <c r="G871" s="26"/>
      <c r="H871" s="26"/>
      <c r="I871" s="26"/>
      <c r="J871" s="22"/>
      <c r="K871" s="20" t="n">
        <f aca="false">IF($D871="",0,$C871*$D871)</f>
        <v>0</v>
      </c>
      <c r="L871" s="20" t="n">
        <f aca="false">IF($D871="",0,$F871*$K871)</f>
        <v>0</v>
      </c>
      <c r="M871" s="20" t="n">
        <f aca="false">IF($D871="",0,$G871*$K871)</f>
        <v>0</v>
      </c>
      <c r="N871" s="20" t="n">
        <f aca="false">IF($D871="",0,$H871*$K871)</f>
        <v>0</v>
      </c>
      <c r="O871" s="20" t="n">
        <f aca="false">IF($D871="",0,$I871*$K871*(1-$F871))</f>
        <v>0</v>
      </c>
      <c r="P871" s="20" t="n">
        <f aca="false">IF($D871="",0,$E871*$D871+$L871+$M871+$N871+$O871+$J871*$D871)</f>
        <v>0</v>
      </c>
      <c r="Q871" s="20" t="n">
        <f aca="false">IF($D871="",0,$K871-$P871)</f>
        <v>0</v>
      </c>
      <c r="R871" s="21" t="n">
        <f aca="false">IF($K871=0,0,$Q871/$K871)</f>
        <v>0</v>
      </c>
      <c r="S871" s="20" t="n">
        <f aca="false">IF($D871="",0,$K871-$L871-$M871-$N871)</f>
        <v>0</v>
      </c>
      <c r="T871" s="22"/>
      <c r="U871" s="20" t="n">
        <f aca="false">IF($T871="",0,MAX(0,$S871-$T871))</f>
        <v>0</v>
      </c>
      <c r="V871" s="21" t="n">
        <f aca="false">IF($S871=0,0,$U871/$S871)</f>
        <v>0</v>
      </c>
      <c r="W871" s="23" t="str">
        <f aca="false">IF($D871="","",IF($T871="","BEKLİYOR",IF(OR($U871=0,$S871=0),"DOĞRU",IF(AND($V871&gt;PazaryeriEksikHakedisEsik,$U871&gt;PazaryeriEksikHakedisTutarEsik),"EKSİK HAKEDİŞ","DOĞRU"))))</f>
        <v/>
      </c>
      <c r="X871" s="23" t="str">
        <f aca="false">IF($B871="","",CONCATENATE("Ürün: ",$B871," | Kâr: ",TEXT($Q871,"₺ #,##0")," | Durum: ",$W871))</f>
        <v/>
      </c>
      <c r="Y871" s="24"/>
    </row>
    <row r="872" customFormat="false" ht="15" hidden="false" customHeight="false" outlineLevel="0" collapsed="false">
      <c r="A872" s="24"/>
      <c r="B872" s="24"/>
      <c r="C872" s="22"/>
      <c r="D872" s="25"/>
      <c r="E872" s="22"/>
      <c r="F872" s="26"/>
      <c r="G872" s="26"/>
      <c r="H872" s="26"/>
      <c r="I872" s="26"/>
      <c r="J872" s="22"/>
      <c r="K872" s="20" t="n">
        <f aca="false">IF($D872="",0,$C872*$D872)</f>
        <v>0</v>
      </c>
      <c r="L872" s="20" t="n">
        <f aca="false">IF($D872="",0,$F872*$K872)</f>
        <v>0</v>
      </c>
      <c r="M872" s="20" t="n">
        <f aca="false">IF($D872="",0,$G872*$K872)</f>
        <v>0</v>
      </c>
      <c r="N872" s="20" t="n">
        <f aca="false">IF($D872="",0,$H872*$K872)</f>
        <v>0</v>
      </c>
      <c r="O872" s="20" t="n">
        <f aca="false">IF($D872="",0,$I872*$K872*(1-$F872))</f>
        <v>0</v>
      </c>
      <c r="P872" s="20" t="n">
        <f aca="false">IF($D872="",0,$E872*$D872+$L872+$M872+$N872+$O872+$J872*$D872)</f>
        <v>0</v>
      </c>
      <c r="Q872" s="20" t="n">
        <f aca="false">IF($D872="",0,$K872-$P872)</f>
        <v>0</v>
      </c>
      <c r="R872" s="21" t="n">
        <f aca="false">IF($K872=0,0,$Q872/$K872)</f>
        <v>0</v>
      </c>
      <c r="S872" s="20" t="n">
        <f aca="false">IF($D872="",0,$K872-$L872-$M872-$N872)</f>
        <v>0</v>
      </c>
      <c r="T872" s="22"/>
      <c r="U872" s="20" t="n">
        <f aca="false">IF($T872="",0,MAX(0,$S872-$T872))</f>
        <v>0</v>
      </c>
      <c r="V872" s="21" t="n">
        <f aca="false">IF($S872=0,0,$U872/$S872)</f>
        <v>0</v>
      </c>
      <c r="W872" s="23" t="str">
        <f aca="false">IF($D872="","",IF($T872="","BEKLİYOR",IF(OR($U872=0,$S872=0),"DOĞRU",IF(AND($V872&gt;PazaryeriEksikHakedisEsik,$U872&gt;PazaryeriEksikHakedisTutarEsik),"EKSİK HAKEDİŞ","DOĞRU"))))</f>
        <v/>
      </c>
      <c r="X872" s="23" t="str">
        <f aca="false">IF($B872="","",CONCATENATE("Ürün: ",$B872," | Kâr: ",TEXT($Q872,"₺ #,##0")," | Durum: ",$W872))</f>
        <v/>
      </c>
      <c r="Y872" s="24"/>
    </row>
    <row r="873" customFormat="false" ht="15" hidden="false" customHeight="false" outlineLevel="0" collapsed="false">
      <c r="A873" s="24"/>
      <c r="B873" s="24"/>
      <c r="C873" s="22"/>
      <c r="D873" s="25"/>
      <c r="E873" s="22"/>
      <c r="F873" s="26"/>
      <c r="G873" s="26"/>
      <c r="H873" s="26"/>
      <c r="I873" s="26"/>
      <c r="J873" s="22"/>
      <c r="K873" s="20" t="n">
        <f aca="false">IF($D873="",0,$C873*$D873)</f>
        <v>0</v>
      </c>
      <c r="L873" s="20" t="n">
        <f aca="false">IF($D873="",0,$F873*$K873)</f>
        <v>0</v>
      </c>
      <c r="M873" s="20" t="n">
        <f aca="false">IF($D873="",0,$G873*$K873)</f>
        <v>0</v>
      </c>
      <c r="N873" s="20" t="n">
        <f aca="false">IF($D873="",0,$H873*$K873)</f>
        <v>0</v>
      </c>
      <c r="O873" s="20" t="n">
        <f aca="false">IF($D873="",0,$I873*$K873*(1-$F873))</f>
        <v>0</v>
      </c>
      <c r="P873" s="20" t="n">
        <f aca="false">IF($D873="",0,$E873*$D873+$L873+$M873+$N873+$O873+$J873*$D873)</f>
        <v>0</v>
      </c>
      <c r="Q873" s="20" t="n">
        <f aca="false">IF($D873="",0,$K873-$P873)</f>
        <v>0</v>
      </c>
      <c r="R873" s="21" t="n">
        <f aca="false">IF($K873=0,0,$Q873/$K873)</f>
        <v>0</v>
      </c>
      <c r="S873" s="20" t="n">
        <f aca="false">IF($D873="",0,$K873-$L873-$M873-$N873)</f>
        <v>0</v>
      </c>
      <c r="T873" s="22"/>
      <c r="U873" s="20" t="n">
        <f aca="false">IF($T873="",0,MAX(0,$S873-$T873))</f>
        <v>0</v>
      </c>
      <c r="V873" s="21" t="n">
        <f aca="false">IF($S873=0,0,$U873/$S873)</f>
        <v>0</v>
      </c>
      <c r="W873" s="23" t="str">
        <f aca="false">IF($D873="","",IF($T873="","BEKLİYOR",IF(OR($U873=0,$S873=0),"DOĞRU",IF(AND($V873&gt;PazaryeriEksikHakedisEsik,$U873&gt;PazaryeriEksikHakedisTutarEsik),"EKSİK HAKEDİŞ","DOĞRU"))))</f>
        <v/>
      </c>
      <c r="X873" s="23" t="str">
        <f aca="false">IF($B873="","",CONCATENATE("Ürün: ",$B873," | Kâr: ",TEXT($Q873,"₺ #,##0")," | Durum: ",$W873))</f>
        <v/>
      </c>
      <c r="Y873" s="24"/>
    </row>
    <row r="874" customFormat="false" ht="15" hidden="false" customHeight="false" outlineLevel="0" collapsed="false">
      <c r="A874" s="24"/>
      <c r="B874" s="24"/>
      <c r="C874" s="22"/>
      <c r="D874" s="25"/>
      <c r="E874" s="22"/>
      <c r="F874" s="26"/>
      <c r="G874" s="26"/>
      <c r="H874" s="26"/>
      <c r="I874" s="26"/>
      <c r="J874" s="22"/>
      <c r="K874" s="20" t="n">
        <f aca="false">IF($D874="",0,$C874*$D874)</f>
        <v>0</v>
      </c>
      <c r="L874" s="20" t="n">
        <f aca="false">IF($D874="",0,$F874*$K874)</f>
        <v>0</v>
      </c>
      <c r="M874" s="20" t="n">
        <f aca="false">IF($D874="",0,$G874*$K874)</f>
        <v>0</v>
      </c>
      <c r="N874" s="20" t="n">
        <f aca="false">IF($D874="",0,$H874*$K874)</f>
        <v>0</v>
      </c>
      <c r="O874" s="20" t="n">
        <f aca="false">IF($D874="",0,$I874*$K874*(1-$F874))</f>
        <v>0</v>
      </c>
      <c r="P874" s="20" t="n">
        <f aca="false">IF($D874="",0,$E874*$D874+$L874+$M874+$N874+$O874+$J874*$D874)</f>
        <v>0</v>
      </c>
      <c r="Q874" s="20" t="n">
        <f aca="false">IF($D874="",0,$K874-$P874)</f>
        <v>0</v>
      </c>
      <c r="R874" s="21" t="n">
        <f aca="false">IF($K874=0,0,$Q874/$K874)</f>
        <v>0</v>
      </c>
      <c r="S874" s="20" t="n">
        <f aca="false">IF($D874="",0,$K874-$L874-$M874-$N874)</f>
        <v>0</v>
      </c>
      <c r="T874" s="22"/>
      <c r="U874" s="20" t="n">
        <f aca="false">IF($T874="",0,MAX(0,$S874-$T874))</f>
        <v>0</v>
      </c>
      <c r="V874" s="21" t="n">
        <f aca="false">IF($S874=0,0,$U874/$S874)</f>
        <v>0</v>
      </c>
      <c r="W874" s="23" t="str">
        <f aca="false">IF($D874="","",IF($T874="","BEKLİYOR",IF(OR($U874=0,$S874=0),"DOĞRU",IF(AND($V874&gt;PazaryeriEksikHakedisEsik,$U874&gt;PazaryeriEksikHakedisTutarEsik),"EKSİK HAKEDİŞ","DOĞRU"))))</f>
        <v/>
      </c>
      <c r="X874" s="23" t="str">
        <f aca="false">IF($B874="","",CONCATENATE("Ürün: ",$B874," | Kâr: ",TEXT($Q874,"₺ #,##0")," | Durum: ",$W874))</f>
        <v/>
      </c>
      <c r="Y874" s="24"/>
    </row>
    <row r="875" customFormat="false" ht="15" hidden="false" customHeight="false" outlineLevel="0" collapsed="false">
      <c r="A875" s="24"/>
      <c r="B875" s="24"/>
      <c r="C875" s="22"/>
      <c r="D875" s="25"/>
      <c r="E875" s="22"/>
      <c r="F875" s="26"/>
      <c r="G875" s="26"/>
      <c r="H875" s="26"/>
      <c r="I875" s="26"/>
      <c r="J875" s="22"/>
      <c r="K875" s="20" t="n">
        <f aca="false">IF($D875="",0,$C875*$D875)</f>
        <v>0</v>
      </c>
      <c r="L875" s="20" t="n">
        <f aca="false">IF($D875="",0,$F875*$K875)</f>
        <v>0</v>
      </c>
      <c r="M875" s="20" t="n">
        <f aca="false">IF($D875="",0,$G875*$K875)</f>
        <v>0</v>
      </c>
      <c r="N875" s="20" t="n">
        <f aca="false">IF($D875="",0,$H875*$K875)</f>
        <v>0</v>
      </c>
      <c r="O875" s="20" t="n">
        <f aca="false">IF($D875="",0,$I875*$K875*(1-$F875))</f>
        <v>0</v>
      </c>
      <c r="P875" s="20" t="n">
        <f aca="false">IF($D875="",0,$E875*$D875+$L875+$M875+$N875+$O875+$J875*$D875)</f>
        <v>0</v>
      </c>
      <c r="Q875" s="20" t="n">
        <f aca="false">IF($D875="",0,$K875-$P875)</f>
        <v>0</v>
      </c>
      <c r="R875" s="21" t="n">
        <f aca="false">IF($K875=0,0,$Q875/$K875)</f>
        <v>0</v>
      </c>
      <c r="S875" s="20" t="n">
        <f aca="false">IF($D875="",0,$K875-$L875-$M875-$N875)</f>
        <v>0</v>
      </c>
      <c r="T875" s="22"/>
      <c r="U875" s="20" t="n">
        <f aca="false">IF($T875="",0,MAX(0,$S875-$T875))</f>
        <v>0</v>
      </c>
      <c r="V875" s="21" t="n">
        <f aca="false">IF($S875=0,0,$U875/$S875)</f>
        <v>0</v>
      </c>
      <c r="W875" s="23" t="str">
        <f aca="false">IF($D875="","",IF($T875="","BEKLİYOR",IF(OR($U875=0,$S875=0),"DOĞRU",IF(AND($V875&gt;PazaryeriEksikHakedisEsik,$U875&gt;PazaryeriEksikHakedisTutarEsik),"EKSİK HAKEDİŞ","DOĞRU"))))</f>
        <v/>
      </c>
      <c r="X875" s="23" t="str">
        <f aca="false">IF($B875="","",CONCATENATE("Ürün: ",$B875," | Kâr: ",TEXT($Q875,"₺ #,##0")," | Durum: ",$W875))</f>
        <v/>
      </c>
      <c r="Y875" s="24"/>
    </row>
    <row r="876" customFormat="false" ht="15" hidden="false" customHeight="false" outlineLevel="0" collapsed="false">
      <c r="A876" s="24"/>
      <c r="B876" s="24"/>
      <c r="C876" s="22"/>
      <c r="D876" s="25"/>
      <c r="E876" s="22"/>
      <c r="F876" s="26"/>
      <c r="G876" s="26"/>
      <c r="H876" s="26"/>
      <c r="I876" s="26"/>
      <c r="J876" s="22"/>
      <c r="K876" s="20" t="n">
        <f aca="false">IF($D876="",0,$C876*$D876)</f>
        <v>0</v>
      </c>
      <c r="L876" s="20" t="n">
        <f aca="false">IF($D876="",0,$F876*$K876)</f>
        <v>0</v>
      </c>
      <c r="M876" s="20" t="n">
        <f aca="false">IF($D876="",0,$G876*$K876)</f>
        <v>0</v>
      </c>
      <c r="N876" s="20" t="n">
        <f aca="false">IF($D876="",0,$H876*$K876)</f>
        <v>0</v>
      </c>
      <c r="O876" s="20" t="n">
        <f aca="false">IF($D876="",0,$I876*$K876*(1-$F876))</f>
        <v>0</v>
      </c>
      <c r="P876" s="20" t="n">
        <f aca="false">IF($D876="",0,$E876*$D876+$L876+$M876+$N876+$O876+$J876*$D876)</f>
        <v>0</v>
      </c>
      <c r="Q876" s="20" t="n">
        <f aca="false">IF($D876="",0,$K876-$P876)</f>
        <v>0</v>
      </c>
      <c r="R876" s="21" t="n">
        <f aca="false">IF($K876=0,0,$Q876/$K876)</f>
        <v>0</v>
      </c>
      <c r="S876" s="20" t="n">
        <f aca="false">IF($D876="",0,$K876-$L876-$M876-$N876)</f>
        <v>0</v>
      </c>
      <c r="T876" s="22"/>
      <c r="U876" s="20" t="n">
        <f aca="false">IF($T876="",0,MAX(0,$S876-$T876))</f>
        <v>0</v>
      </c>
      <c r="V876" s="21" t="n">
        <f aca="false">IF($S876=0,0,$U876/$S876)</f>
        <v>0</v>
      </c>
      <c r="W876" s="23" t="str">
        <f aca="false">IF($D876="","",IF($T876="","BEKLİYOR",IF(OR($U876=0,$S876=0),"DOĞRU",IF(AND($V876&gt;PazaryeriEksikHakedisEsik,$U876&gt;PazaryeriEksikHakedisTutarEsik),"EKSİK HAKEDİŞ","DOĞRU"))))</f>
        <v/>
      </c>
      <c r="X876" s="23" t="str">
        <f aca="false">IF($B876="","",CONCATENATE("Ürün: ",$B876," | Kâr: ",TEXT($Q876,"₺ #,##0")," | Durum: ",$W876))</f>
        <v/>
      </c>
      <c r="Y876" s="24"/>
    </row>
    <row r="877" customFormat="false" ht="15" hidden="false" customHeight="false" outlineLevel="0" collapsed="false">
      <c r="A877" s="24"/>
      <c r="B877" s="24"/>
      <c r="C877" s="22"/>
      <c r="D877" s="25"/>
      <c r="E877" s="22"/>
      <c r="F877" s="26"/>
      <c r="G877" s="26"/>
      <c r="H877" s="26"/>
      <c r="I877" s="26"/>
      <c r="J877" s="22"/>
      <c r="K877" s="20" t="n">
        <f aca="false">IF($D877="",0,$C877*$D877)</f>
        <v>0</v>
      </c>
      <c r="L877" s="20" t="n">
        <f aca="false">IF($D877="",0,$F877*$K877)</f>
        <v>0</v>
      </c>
      <c r="M877" s="20" t="n">
        <f aca="false">IF($D877="",0,$G877*$K877)</f>
        <v>0</v>
      </c>
      <c r="N877" s="20" t="n">
        <f aca="false">IF($D877="",0,$H877*$K877)</f>
        <v>0</v>
      </c>
      <c r="O877" s="20" t="n">
        <f aca="false">IF($D877="",0,$I877*$K877*(1-$F877))</f>
        <v>0</v>
      </c>
      <c r="P877" s="20" t="n">
        <f aca="false">IF($D877="",0,$E877*$D877+$L877+$M877+$N877+$O877+$J877*$D877)</f>
        <v>0</v>
      </c>
      <c r="Q877" s="20" t="n">
        <f aca="false">IF($D877="",0,$K877-$P877)</f>
        <v>0</v>
      </c>
      <c r="R877" s="21" t="n">
        <f aca="false">IF($K877=0,0,$Q877/$K877)</f>
        <v>0</v>
      </c>
      <c r="S877" s="20" t="n">
        <f aca="false">IF($D877="",0,$K877-$L877-$M877-$N877)</f>
        <v>0</v>
      </c>
      <c r="T877" s="22"/>
      <c r="U877" s="20" t="n">
        <f aca="false">IF($T877="",0,MAX(0,$S877-$T877))</f>
        <v>0</v>
      </c>
      <c r="V877" s="21" t="n">
        <f aca="false">IF($S877=0,0,$U877/$S877)</f>
        <v>0</v>
      </c>
      <c r="W877" s="23" t="str">
        <f aca="false">IF($D877="","",IF($T877="","BEKLİYOR",IF(OR($U877=0,$S877=0),"DOĞRU",IF(AND($V877&gt;PazaryeriEksikHakedisEsik,$U877&gt;PazaryeriEksikHakedisTutarEsik),"EKSİK HAKEDİŞ","DOĞRU"))))</f>
        <v/>
      </c>
      <c r="X877" s="23" t="str">
        <f aca="false">IF($B877="","",CONCATENATE("Ürün: ",$B877," | Kâr: ",TEXT($Q877,"₺ #,##0")," | Durum: ",$W877))</f>
        <v/>
      </c>
      <c r="Y877" s="24"/>
    </row>
    <row r="878" customFormat="false" ht="15" hidden="false" customHeight="false" outlineLevel="0" collapsed="false">
      <c r="A878" s="24"/>
      <c r="B878" s="24"/>
      <c r="C878" s="22"/>
      <c r="D878" s="25"/>
      <c r="E878" s="22"/>
      <c r="F878" s="26"/>
      <c r="G878" s="26"/>
      <c r="H878" s="26"/>
      <c r="I878" s="26"/>
      <c r="J878" s="22"/>
      <c r="K878" s="20" t="n">
        <f aca="false">IF($D878="",0,$C878*$D878)</f>
        <v>0</v>
      </c>
      <c r="L878" s="20" t="n">
        <f aca="false">IF($D878="",0,$F878*$K878)</f>
        <v>0</v>
      </c>
      <c r="M878" s="20" t="n">
        <f aca="false">IF($D878="",0,$G878*$K878)</f>
        <v>0</v>
      </c>
      <c r="N878" s="20" t="n">
        <f aca="false">IF($D878="",0,$H878*$K878)</f>
        <v>0</v>
      </c>
      <c r="O878" s="20" t="n">
        <f aca="false">IF($D878="",0,$I878*$K878*(1-$F878))</f>
        <v>0</v>
      </c>
      <c r="P878" s="20" t="n">
        <f aca="false">IF($D878="",0,$E878*$D878+$L878+$M878+$N878+$O878+$J878*$D878)</f>
        <v>0</v>
      </c>
      <c r="Q878" s="20" t="n">
        <f aca="false">IF($D878="",0,$K878-$P878)</f>
        <v>0</v>
      </c>
      <c r="R878" s="21" t="n">
        <f aca="false">IF($K878=0,0,$Q878/$K878)</f>
        <v>0</v>
      </c>
      <c r="S878" s="20" t="n">
        <f aca="false">IF($D878="",0,$K878-$L878-$M878-$N878)</f>
        <v>0</v>
      </c>
      <c r="T878" s="22"/>
      <c r="U878" s="20" t="n">
        <f aca="false">IF($T878="",0,MAX(0,$S878-$T878))</f>
        <v>0</v>
      </c>
      <c r="V878" s="21" t="n">
        <f aca="false">IF($S878=0,0,$U878/$S878)</f>
        <v>0</v>
      </c>
      <c r="W878" s="23" t="str">
        <f aca="false">IF($D878="","",IF($T878="","BEKLİYOR",IF(OR($U878=0,$S878=0),"DOĞRU",IF(AND($V878&gt;PazaryeriEksikHakedisEsik,$U878&gt;PazaryeriEksikHakedisTutarEsik),"EKSİK HAKEDİŞ","DOĞRU"))))</f>
        <v/>
      </c>
      <c r="X878" s="23" t="str">
        <f aca="false">IF($B878="","",CONCATENATE("Ürün: ",$B878," | Kâr: ",TEXT($Q878,"₺ #,##0")," | Durum: ",$W878))</f>
        <v/>
      </c>
      <c r="Y878" s="24"/>
    </row>
    <row r="879" customFormat="false" ht="15" hidden="false" customHeight="false" outlineLevel="0" collapsed="false">
      <c r="A879" s="24"/>
      <c r="B879" s="24"/>
      <c r="C879" s="22"/>
      <c r="D879" s="25"/>
      <c r="E879" s="22"/>
      <c r="F879" s="26"/>
      <c r="G879" s="26"/>
      <c r="H879" s="26"/>
      <c r="I879" s="26"/>
      <c r="J879" s="22"/>
      <c r="K879" s="20" t="n">
        <f aca="false">IF($D879="",0,$C879*$D879)</f>
        <v>0</v>
      </c>
      <c r="L879" s="20" t="n">
        <f aca="false">IF($D879="",0,$F879*$K879)</f>
        <v>0</v>
      </c>
      <c r="M879" s="20" t="n">
        <f aca="false">IF($D879="",0,$G879*$K879)</f>
        <v>0</v>
      </c>
      <c r="N879" s="20" t="n">
        <f aca="false">IF($D879="",0,$H879*$K879)</f>
        <v>0</v>
      </c>
      <c r="O879" s="20" t="n">
        <f aca="false">IF($D879="",0,$I879*$K879*(1-$F879))</f>
        <v>0</v>
      </c>
      <c r="P879" s="20" t="n">
        <f aca="false">IF($D879="",0,$E879*$D879+$L879+$M879+$N879+$O879+$J879*$D879)</f>
        <v>0</v>
      </c>
      <c r="Q879" s="20" t="n">
        <f aca="false">IF($D879="",0,$K879-$P879)</f>
        <v>0</v>
      </c>
      <c r="R879" s="21" t="n">
        <f aca="false">IF($K879=0,0,$Q879/$K879)</f>
        <v>0</v>
      </c>
      <c r="S879" s="20" t="n">
        <f aca="false">IF($D879="",0,$K879-$L879-$M879-$N879)</f>
        <v>0</v>
      </c>
      <c r="T879" s="22"/>
      <c r="U879" s="20" t="n">
        <f aca="false">IF($T879="",0,MAX(0,$S879-$T879))</f>
        <v>0</v>
      </c>
      <c r="V879" s="21" t="n">
        <f aca="false">IF($S879=0,0,$U879/$S879)</f>
        <v>0</v>
      </c>
      <c r="W879" s="23" t="str">
        <f aca="false">IF($D879="","",IF($T879="","BEKLİYOR",IF(OR($U879=0,$S879=0),"DOĞRU",IF(AND($V879&gt;PazaryeriEksikHakedisEsik,$U879&gt;PazaryeriEksikHakedisTutarEsik),"EKSİK HAKEDİŞ","DOĞRU"))))</f>
        <v/>
      </c>
      <c r="X879" s="23" t="str">
        <f aca="false">IF($B879="","",CONCATENATE("Ürün: ",$B879," | Kâr: ",TEXT($Q879,"₺ #,##0")," | Durum: ",$W879))</f>
        <v/>
      </c>
      <c r="Y879" s="24"/>
    </row>
    <row r="880" customFormat="false" ht="15" hidden="false" customHeight="false" outlineLevel="0" collapsed="false">
      <c r="A880" s="24"/>
      <c r="B880" s="24"/>
      <c r="C880" s="22"/>
      <c r="D880" s="25"/>
      <c r="E880" s="22"/>
      <c r="F880" s="26"/>
      <c r="G880" s="26"/>
      <c r="H880" s="26"/>
      <c r="I880" s="26"/>
      <c r="J880" s="22"/>
      <c r="K880" s="20" t="n">
        <f aca="false">IF($D880="",0,$C880*$D880)</f>
        <v>0</v>
      </c>
      <c r="L880" s="20" t="n">
        <f aca="false">IF($D880="",0,$F880*$K880)</f>
        <v>0</v>
      </c>
      <c r="M880" s="20" t="n">
        <f aca="false">IF($D880="",0,$G880*$K880)</f>
        <v>0</v>
      </c>
      <c r="N880" s="20" t="n">
        <f aca="false">IF($D880="",0,$H880*$K880)</f>
        <v>0</v>
      </c>
      <c r="O880" s="20" t="n">
        <f aca="false">IF($D880="",0,$I880*$K880*(1-$F880))</f>
        <v>0</v>
      </c>
      <c r="P880" s="20" t="n">
        <f aca="false">IF($D880="",0,$E880*$D880+$L880+$M880+$N880+$O880+$J880*$D880)</f>
        <v>0</v>
      </c>
      <c r="Q880" s="20" t="n">
        <f aca="false">IF($D880="",0,$K880-$P880)</f>
        <v>0</v>
      </c>
      <c r="R880" s="21" t="n">
        <f aca="false">IF($K880=0,0,$Q880/$K880)</f>
        <v>0</v>
      </c>
      <c r="S880" s="20" t="n">
        <f aca="false">IF($D880="",0,$K880-$L880-$M880-$N880)</f>
        <v>0</v>
      </c>
      <c r="T880" s="22"/>
      <c r="U880" s="20" t="n">
        <f aca="false">IF($T880="",0,MAX(0,$S880-$T880))</f>
        <v>0</v>
      </c>
      <c r="V880" s="21" t="n">
        <f aca="false">IF($S880=0,0,$U880/$S880)</f>
        <v>0</v>
      </c>
      <c r="W880" s="23" t="str">
        <f aca="false">IF($D880="","",IF($T880="","BEKLİYOR",IF(OR($U880=0,$S880=0),"DOĞRU",IF(AND($V880&gt;PazaryeriEksikHakedisEsik,$U880&gt;PazaryeriEksikHakedisTutarEsik),"EKSİK HAKEDİŞ","DOĞRU"))))</f>
        <v/>
      </c>
      <c r="X880" s="23" t="str">
        <f aca="false">IF($B880="","",CONCATENATE("Ürün: ",$B880," | Kâr: ",TEXT($Q880,"₺ #,##0")," | Durum: ",$W880))</f>
        <v/>
      </c>
      <c r="Y880" s="24"/>
    </row>
    <row r="881" customFormat="false" ht="15" hidden="false" customHeight="false" outlineLevel="0" collapsed="false">
      <c r="A881" s="24"/>
      <c r="B881" s="24"/>
      <c r="C881" s="22"/>
      <c r="D881" s="25"/>
      <c r="E881" s="22"/>
      <c r="F881" s="26"/>
      <c r="G881" s="26"/>
      <c r="H881" s="26"/>
      <c r="I881" s="26"/>
      <c r="J881" s="22"/>
      <c r="K881" s="20" t="n">
        <f aca="false">IF($D881="",0,$C881*$D881)</f>
        <v>0</v>
      </c>
      <c r="L881" s="20" t="n">
        <f aca="false">IF($D881="",0,$F881*$K881)</f>
        <v>0</v>
      </c>
      <c r="M881" s="20" t="n">
        <f aca="false">IF($D881="",0,$G881*$K881)</f>
        <v>0</v>
      </c>
      <c r="N881" s="20" t="n">
        <f aca="false">IF($D881="",0,$H881*$K881)</f>
        <v>0</v>
      </c>
      <c r="O881" s="20" t="n">
        <f aca="false">IF($D881="",0,$I881*$K881*(1-$F881))</f>
        <v>0</v>
      </c>
      <c r="P881" s="20" t="n">
        <f aca="false">IF($D881="",0,$E881*$D881+$L881+$M881+$N881+$O881+$J881*$D881)</f>
        <v>0</v>
      </c>
      <c r="Q881" s="20" t="n">
        <f aca="false">IF($D881="",0,$K881-$P881)</f>
        <v>0</v>
      </c>
      <c r="R881" s="21" t="n">
        <f aca="false">IF($K881=0,0,$Q881/$K881)</f>
        <v>0</v>
      </c>
      <c r="S881" s="20" t="n">
        <f aca="false">IF($D881="",0,$K881-$L881-$M881-$N881)</f>
        <v>0</v>
      </c>
      <c r="T881" s="22"/>
      <c r="U881" s="20" t="n">
        <f aca="false">IF($T881="",0,MAX(0,$S881-$T881))</f>
        <v>0</v>
      </c>
      <c r="V881" s="21" t="n">
        <f aca="false">IF($S881=0,0,$U881/$S881)</f>
        <v>0</v>
      </c>
      <c r="W881" s="23" t="str">
        <f aca="false">IF($D881="","",IF($T881="","BEKLİYOR",IF(OR($U881=0,$S881=0),"DOĞRU",IF(AND($V881&gt;PazaryeriEksikHakedisEsik,$U881&gt;PazaryeriEksikHakedisTutarEsik),"EKSİK HAKEDİŞ","DOĞRU"))))</f>
        <v/>
      </c>
      <c r="X881" s="23" t="str">
        <f aca="false">IF($B881="","",CONCATENATE("Ürün: ",$B881," | Kâr: ",TEXT($Q881,"₺ #,##0")," | Durum: ",$W881))</f>
        <v/>
      </c>
      <c r="Y881" s="24"/>
    </row>
    <row r="882" customFormat="false" ht="15" hidden="false" customHeight="false" outlineLevel="0" collapsed="false">
      <c r="A882" s="24"/>
      <c r="B882" s="24"/>
      <c r="C882" s="22"/>
      <c r="D882" s="25"/>
      <c r="E882" s="22"/>
      <c r="F882" s="26"/>
      <c r="G882" s="26"/>
      <c r="H882" s="26"/>
      <c r="I882" s="26"/>
      <c r="J882" s="22"/>
      <c r="K882" s="20" t="n">
        <f aca="false">IF($D882="",0,$C882*$D882)</f>
        <v>0</v>
      </c>
      <c r="L882" s="20" t="n">
        <f aca="false">IF($D882="",0,$F882*$K882)</f>
        <v>0</v>
      </c>
      <c r="M882" s="20" t="n">
        <f aca="false">IF($D882="",0,$G882*$K882)</f>
        <v>0</v>
      </c>
      <c r="N882" s="20" t="n">
        <f aca="false">IF($D882="",0,$H882*$K882)</f>
        <v>0</v>
      </c>
      <c r="O882" s="20" t="n">
        <f aca="false">IF($D882="",0,$I882*$K882*(1-$F882))</f>
        <v>0</v>
      </c>
      <c r="P882" s="20" t="n">
        <f aca="false">IF($D882="",0,$E882*$D882+$L882+$M882+$N882+$O882+$J882*$D882)</f>
        <v>0</v>
      </c>
      <c r="Q882" s="20" t="n">
        <f aca="false">IF($D882="",0,$K882-$P882)</f>
        <v>0</v>
      </c>
      <c r="R882" s="21" t="n">
        <f aca="false">IF($K882=0,0,$Q882/$K882)</f>
        <v>0</v>
      </c>
      <c r="S882" s="20" t="n">
        <f aca="false">IF($D882="",0,$K882-$L882-$M882-$N882)</f>
        <v>0</v>
      </c>
      <c r="T882" s="22"/>
      <c r="U882" s="20" t="n">
        <f aca="false">IF($T882="",0,MAX(0,$S882-$T882))</f>
        <v>0</v>
      </c>
      <c r="V882" s="21" t="n">
        <f aca="false">IF($S882=0,0,$U882/$S882)</f>
        <v>0</v>
      </c>
      <c r="W882" s="23" t="str">
        <f aca="false">IF($D882="","",IF($T882="","BEKLİYOR",IF(OR($U882=0,$S882=0),"DOĞRU",IF(AND($V882&gt;PazaryeriEksikHakedisEsik,$U882&gt;PazaryeriEksikHakedisTutarEsik),"EKSİK HAKEDİŞ","DOĞRU"))))</f>
        <v/>
      </c>
      <c r="X882" s="23" t="str">
        <f aca="false">IF($B882="","",CONCATENATE("Ürün: ",$B882," | Kâr: ",TEXT($Q882,"₺ #,##0")," | Durum: ",$W882))</f>
        <v/>
      </c>
      <c r="Y882" s="24"/>
    </row>
    <row r="883" customFormat="false" ht="15" hidden="false" customHeight="false" outlineLevel="0" collapsed="false">
      <c r="A883" s="24"/>
      <c r="B883" s="24"/>
      <c r="C883" s="22"/>
      <c r="D883" s="25"/>
      <c r="E883" s="22"/>
      <c r="F883" s="26"/>
      <c r="G883" s="26"/>
      <c r="H883" s="26"/>
      <c r="I883" s="26"/>
      <c r="J883" s="22"/>
      <c r="K883" s="20" t="n">
        <f aca="false">IF($D883="",0,$C883*$D883)</f>
        <v>0</v>
      </c>
      <c r="L883" s="20" t="n">
        <f aca="false">IF($D883="",0,$F883*$K883)</f>
        <v>0</v>
      </c>
      <c r="M883" s="20" t="n">
        <f aca="false">IF($D883="",0,$G883*$K883)</f>
        <v>0</v>
      </c>
      <c r="N883" s="20" t="n">
        <f aca="false">IF($D883="",0,$H883*$K883)</f>
        <v>0</v>
      </c>
      <c r="O883" s="20" t="n">
        <f aca="false">IF($D883="",0,$I883*$K883*(1-$F883))</f>
        <v>0</v>
      </c>
      <c r="P883" s="20" t="n">
        <f aca="false">IF($D883="",0,$E883*$D883+$L883+$M883+$N883+$O883+$J883*$D883)</f>
        <v>0</v>
      </c>
      <c r="Q883" s="20" t="n">
        <f aca="false">IF($D883="",0,$K883-$P883)</f>
        <v>0</v>
      </c>
      <c r="R883" s="21" t="n">
        <f aca="false">IF($K883=0,0,$Q883/$K883)</f>
        <v>0</v>
      </c>
      <c r="S883" s="20" t="n">
        <f aca="false">IF($D883="",0,$K883-$L883-$M883-$N883)</f>
        <v>0</v>
      </c>
      <c r="T883" s="22"/>
      <c r="U883" s="20" t="n">
        <f aca="false">IF($T883="",0,MAX(0,$S883-$T883))</f>
        <v>0</v>
      </c>
      <c r="V883" s="21" t="n">
        <f aca="false">IF($S883=0,0,$U883/$S883)</f>
        <v>0</v>
      </c>
      <c r="W883" s="23" t="str">
        <f aca="false">IF($D883="","",IF($T883="","BEKLİYOR",IF(OR($U883=0,$S883=0),"DOĞRU",IF(AND($V883&gt;PazaryeriEksikHakedisEsik,$U883&gt;PazaryeriEksikHakedisTutarEsik),"EKSİK HAKEDİŞ","DOĞRU"))))</f>
        <v/>
      </c>
      <c r="X883" s="23" t="str">
        <f aca="false">IF($B883="","",CONCATENATE("Ürün: ",$B883," | Kâr: ",TEXT($Q883,"₺ #,##0")," | Durum: ",$W883))</f>
        <v/>
      </c>
      <c r="Y883" s="24"/>
    </row>
    <row r="884" customFormat="false" ht="15" hidden="false" customHeight="false" outlineLevel="0" collapsed="false">
      <c r="A884" s="24"/>
      <c r="B884" s="24"/>
      <c r="C884" s="22"/>
      <c r="D884" s="25"/>
      <c r="E884" s="22"/>
      <c r="F884" s="26"/>
      <c r="G884" s="26"/>
      <c r="H884" s="26"/>
      <c r="I884" s="26"/>
      <c r="J884" s="22"/>
      <c r="K884" s="20" t="n">
        <f aca="false">IF($D884="",0,$C884*$D884)</f>
        <v>0</v>
      </c>
      <c r="L884" s="20" t="n">
        <f aca="false">IF($D884="",0,$F884*$K884)</f>
        <v>0</v>
      </c>
      <c r="M884" s="20" t="n">
        <f aca="false">IF($D884="",0,$G884*$K884)</f>
        <v>0</v>
      </c>
      <c r="N884" s="20" t="n">
        <f aca="false">IF($D884="",0,$H884*$K884)</f>
        <v>0</v>
      </c>
      <c r="O884" s="20" t="n">
        <f aca="false">IF($D884="",0,$I884*$K884*(1-$F884))</f>
        <v>0</v>
      </c>
      <c r="P884" s="20" t="n">
        <f aca="false">IF($D884="",0,$E884*$D884+$L884+$M884+$N884+$O884+$J884*$D884)</f>
        <v>0</v>
      </c>
      <c r="Q884" s="20" t="n">
        <f aca="false">IF($D884="",0,$K884-$P884)</f>
        <v>0</v>
      </c>
      <c r="R884" s="21" t="n">
        <f aca="false">IF($K884=0,0,$Q884/$K884)</f>
        <v>0</v>
      </c>
      <c r="S884" s="20" t="n">
        <f aca="false">IF($D884="",0,$K884-$L884-$M884-$N884)</f>
        <v>0</v>
      </c>
      <c r="T884" s="22"/>
      <c r="U884" s="20" t="n">
        <f aca="false">IF($T884="",0,MAX(0,$S884-$T884))</f>
        <v>0</v>
      </c>
      <c r="V884" s="21" t="n">
        <f aca="false">IF($S884=0,0,$U884/$S884)</f>
        <v>0</v>
      </c>
      <c r="W884" s="23" t="str">
        <f aca="false">IF($D884="","",IF($T884="","BEKLİYOR",IF(OR($U884=0,$S884=0),"DOĞRU",IF(AND($V884&gt;PazaryeriEksikHakedisEsik,$U884&gt;PazaryeriEksikHakedisTutarEsik),"EKSİK HAKEDİŞ","DOĞRU"))))</f>
        <v/>
      </c>
      <c r="X884" s="23" t="str">
        <f aca="false">IF($B884="","",CONCATENATE("Ürün: ",$B884," | Kâr: ",TEXT($Q884,"₺ #,##0")," | Durum: ",$W884))</f>
        <v/>
      </c>
      <c r="Y884" s="24"/>
    </row>
    <row r="885" customFormat="false" ht="15" hidden="false" customHeight="false" outlineLevel="0" collapsed="false">
      <c r="A885" s="24"/>
      <c r="B885" s="24"/>
      <c r="C885" s="22"/>
      <c r="D885" s="25"/>
      <c r="E885" s="22"/>
      <c r="F885" s="26"/>
      <c r="G885" s="26"/>
      <c r="H885" s="26"/>
      <c r="I885" s="26"/>
      <c r="J885" s="22"/>
      <c r="K885" s="20" t="n">
        <f aca="false">IF($D885="",0,$C885*$D885)</f>
        <v>0</v>
      </c>
      <c r="L885" s="20" t="n">
        <f aca="false">IF($D885="",0,$F885*$K885)</f>
        <v>0</v>
      </c>
      <c r="M885" s="20" t="n">
        <f aca="false">IF($D885="",0,$G885*$K885)</f>
        <v>0</v>
      </c>
      <c r="N885" s="20" t="n">
        <f aca="false">IF($D885="",0,$H885*$K885)</f>
        <v>0</v>
      </c>
      <c r="O885" s="20" t="n">
        <f aca="false">IF($D885="",0,$I885*$K885*(1-$F885))</f>
        <v>0</v>
      </c>
      <c r="P885" s="20" t="n">
        <f aca="false">IF($D885="",0,$E885*$D885+$L885+$M885+$N885+$O885+$J885*$D885)</f>
        <v>0</v>
      </c>
      <c r="Q885" s="20" t="n">
        <f aca="false">IF($D885="",0,$K885-$P885)</f>
        <v>0</v>
      </c>
      <c r="R885" s="21" t="n">
        <f aca="false">IF($K885=0,0,$Q885/$K885)</f>
        <v>0</v>
      </c>
      <c r="S885" s="20" t="n">
        <f aca="false">IF($D885="",0,$K885-$L885-$M885-$N885)</f>
        <v>0</v>
      </c>
      <c r="T885" s="22"/>
      <c r="U885" s="20" t="n">
        <f aca="false">IF($T885="",0,MAX(0,$S885-$T885))</f>
        <v>0</v>
      </c>
      <c r="V885" s="21" t="n">
        <f aca="false">IF($S885=0,0,$U885/$S885)</f>
        <v>0</v>
      </c>
      <c r="W885" s="23" t="str">
        <f aca="false">IF($D885="","",IF($T885="","BEKLİYOR",IF(OR($U885=0,$S885=0),"DOĞRU",IF(AND($V885&gt;PazaryeriEksikHakedisEsik,$U885&gt;PazaryeriEksikHakedisTutarEsik),"EKSİK HAKEDİŞ","DOĞRU"))))</f>
        <v/>
      </c>
      <c r="X885" s="23" t="str">
        <f aca="false">IF($B885="","",CONCATENATE("Ürün: ",$B885," | Kâr: ",TEXT($Q885,"₺ #,##0")," | Durum: ",$W885))</f>
        <v/>
      </c>
      <c r="Y885" s="24"/>
    </row>
    <row r="886" customFormat="false" ht="15" hidden="false" customHeight="false" outlineLevel="0" collapsed="false">
      <c r="A886" s="24"/>
      <c r="B886" s="24"/>
      <c r="C886" s="22"/>
      <c r="D886" s="25"/>
      <c r="E886" s="22"/>
      <c r="F886" s="26"/>
      <c r="G886" s="26"/>
      <c r="H886" s="26"/>
      <c r="I886" s="26"/>
      <c r="J886" s="22"/>
      <c r="K886" s="20" t="n">
        <f aca="false">IF($D886="",0,$C886*$D886)</f>
        <v>0</v>
      </c>
      <c r="L886" s="20" t="n">
        <f aca="false">IF($D886="",0,$F886*$K886)</f>
        <v>0</v>
      </c>
      <c r="M886" s="20" t="n">
        <f aca="false">IF($D886="",0,$G886*$K886)</f>
        <v>0</v>
      </c>
      <c r="N886" s="20" t="n">
        <f aca="false">IF($D886="",0,$H886*$K886)</f>
        <v>0</v>
      </c>
      <c r="O886" s="20" t="n">
        <f aca="false">IF($D886="",0,$I886*$K886*(1-$F886))</f>
        <v>0</v>
      </c>
      <c r="P886" s="20" t="n">
        <f aca="false">IF($D886="",0,$E886*$D886+$L886+$M886+$N886+$O886+$J886*$D886)</f>
        <v>0</v>
      </c>
      <c r="Q886" s="20" t="n">
        <f aca="false">IF($D886="",0,$K886-$P886)</f>
        <v>0</v>
      </c>
      <c r="R886" s="21" t="n">
        <f aca="false">IF($K886=0,0,$Q886/$K886)</f>
        <v>0</v>
      </c>
      <c r="S886" s="20" t="n">
        <f aca="false">IF($D886="",0,$K886-$L886-$M886-$N886)</f>
        <v>0</v>
      </c>
      <c r="T886" s="22"/>
      <c r="U886" s="20" t="n">
        <f aca="false">IF($T886="",0,MAX(0,$S886-$T886))</f>
        <v>0</v>
      </c>
      <c r="V886" s="21" t="n">
        <f aca="false">IF($S886=0,0,$U886/$S886)</f>
        <v>0</v>
      </c>
      <c r="W886" s="23" t="str">
        <f aca="false">IF($D886="","",IF($T886="","BEKLİYOR",IF(OR($U886=0,$S886=0),"DOĞRU",IF(AND($V886&gt;PazaryeriEksikHakedisEsik,$U886&gt;PazaryeriEksikHakedisTutarEsik),"EKSİK HAKEDİŞ","DOĞRU"))))</f>
        <v/>
      </c>
      <c r="X886" s="23" t="str">
        <f aca="false">IF($B886="","",CONCATENATE("Ürün: ",$B886," | Kâr: ",TEXT($Q886,"₺ #,##0")," | Durum: ",$W886))</f>
        <v/>
      </c>
      <c r="Y886" s="24"/>
    </row>
    <row r="887" customFormat="false" ht="15" hidden="false" customHeight="false" outlineLevel="0" collapsed="false">
      <c r="A887" s="24"/>
      <c r="B887" s="24"/>
      <c r="C887" s="22"/>
      <c r="D887" s="25"/>
      <c r="E887" s="22"/>
      <c r="F887" s="26"/>
      <c r="G887" s="26"/>
      <c r="H887" s="26"/>
      <c r="I887" s="26"/>
      <c r="J887" s="22"/>
      <c r="K887" s="20" t="n">
        <f aca="false">IF($D887="",0,$C887*$D887)</f>
        <v>0</v>
      </c>
      <c r="L887" s="20" t="n">
        <f aca="false">IF($D887="",0,$F887*$K887)</f>
        <v>0</v>
      </c>
      <c r="M887" s="20" t="n">
        <f aca="false">IF($D887="",0,$G887*$K887)</f>
        <v>0</v>
      </c>
      <c r="N887" s="20" t="n">
        <f aca="false">IF($D887="",0,$H887*$K887)</f>
        <v>0</v>
      </c>
      <c r="O887" s="20" t="n">
        <f aca="false">IF($D887="",0,$I887*$K887*(1-$F887))</f>
        <v>0</v>
      </c>
      <c r="P887" s="20" t="n">
        <f aca="false">IF($D887="",0,$E887*$D887+$L887+$M887+$N887+$O887+$J887*$D887)</f>
        <v>0</v>
      </c>
      <c r="Q887" s="20" t="n">
        <f aca="false">IF($D887="",0,$K887-$P887)</f>
        <v>0</v>
      </c>
      <c r="R887" s="21" t="n">
        <f aca="false">IF($K887=0,0,$Q887/$K887)</f>
        <v>0</v>
      </c>
      <c r="S887" s="20" t="n">
        <f aca="false">IF($D887="",0,$K887-$L887-$M887-$N887)</f>
        <v>0</v>
      </c>
      <c r="T887" s="22"/>
      <c r="U887" s="20" t="n">
        <f aca="false">IF($T887="",0,MAX(0,$S887-$T887))</f>
        <v>0</v>
      </c>
      <c r="V887" s="21" t="n">
        <f aca="false">IF($S887=0,0,$U887/$S887)</f>
        <v>0</v>
      </c>
      <c r="W887" s="23" t="str">
        <f aca="false">IF($D887="","",IF($T887="","BEKLİYOR",IF(OR($U887=0,$S887=0),"DOĞRU",IF(AND($V887&gt;PazaryeriEksikHakedisEsik,$U887&gt;PazaryeriEksikHakedisTutarEsik),"EKSİK HAKEDİŞ","DOĞRU"))))</f>
        <v/>
      </c>
      <c r="X887" s="23" t="str">
        <f aca="false">IF($B887="","",CONCATENATE("Ürün: ",$B887," | Kâr: ",TEXT($Q887,"₺ #,##0")," | Durum: ",$W887))</f>
        <v/>
      </c>
      <c r="Y887" s="24"/>
    </row>
    <row r="888" customFormat="false" ht="15" hidden="false" customHeight="false" outlineLevel="0" collapsed="false">
      <c r="A888" s="24"/>
      <c r="B888" s="24"/>
      <c r="C888" s="22"/>
      <c r="D888" s="25"/>
      <c r="E888" s="22"/>
      <c r="F888" s="26"/>
      <c r="G888" s="26"/>
      <c r="H888" s="26"/>
      <c r="I888" s="26"/>
      <c r="J888" s="22"/>
      <c r="K888" s="20" t="n">
        <f aca="false">IF($D888="",0,$C888*$D888)</f>
        <v>0</v>
      </c>
      <c r="L888" s="20" t="n">
        <f aca="false">IF($D888="",0,$F888*$K888)</f>
        <v>0</v>
      </c>
      <c r="M888" s="20" t="n">
        <f aca="false">IF($D888="",0,$G888*$K888)</f>
        <v>0</v>
      </c>
      <c r="N888" s="20" t="n">
        <f aca="false">IF($D888="",0,$H888*$K888)</f>
        <v>0</v>
      </c>
      <c r="O888" s="20" t="n">
        <f aca="false">IF($D888="",0,$I888*$K888*(1-$F888))</f>
        <v>0</v>
      </c>
      <c r="P888" s="20" t="n">
        <f aca="false">IF($D888="",0,$E888*$D888+$L888+$M888+$N888+$O888+$J888*$D888)</f>
        <v>0</v>
      </c>
      <c r="Q888" s="20" t="n">
        <f aca="false">IF($D888="",0,$K888-$P888)</f>
        <v>0</v>
      </c>
      <c r="R888" s="21" t="n">
        <f aca="false">IF($K888=0,0,$Q888/$K888)</f>
        <v>0</v>
      </c>
      <c r="S888" s="20" t="n">
        <f aca="false">IF($D888="",0,$K888-$L888-$M888-$N888)</f>
        <v>0</v>
      </c>
      <c r="T888" s="22"/>
      <c r="U888" s="20" t="n">
        <f aca="false">IF($T888="",0,MAX(0,$S888-$T888))</f>
        <v>0</v>
      </c>
      <c r="V888" s="21" t="n">
        <f aca="false">IF($S888=0,0,$U888/$S888)</f>
        <v>0</v>
      </c>
      <c r="W888" s="23" t="str">
        <f aca="false">IF($D888="","",IF($T888="","BEKLİYOR",IF(OR($U888=0,$S888=0),"DOĞRU",IF(AND($V888&gt;PazaryeriEksikHakedisEsik,$U888&gt;PazaryeriEksikHakedisTutarEsik),"EKSİK HAKEDİŞ","DOĞRU"))))</f>
        <v/>
      </c>
      <c r="X888" s="23" t="str">
        <f aca="false">IF($B888="","",CONCATENATE("Ürün: ",$B888," | Kâr: ",TEXT($Q888,"₺ #,##0")," | Durum: ",$W888))</f>
        <v/>
      </c>
      <c r="Y888" s="24"/>
    </row>
    <row r="889" customFormat="false" ht="15" hidden="false" customHeight="false" outlineLevel="0" collapsed="false">
      <c r="A889" s="24"/>
      <c r="B889" s="24"/>
      <c r="C889" s="22"/>
      <c r="D889" s="25"/>
      <c r="E889" s="22"/>
      <c r="F889" s="26"/>
      <c r="G889" s="26"/>
      <c r="H889" s="26"/>
      <c r="I889" s="26"/>
      <c r="J889" s="22"/>
      <c r="K889" s="20" t="n">
        <f aca="false">IF($D889="",0,$C889*$D889)</f>
        <v>0</v>
      </c>
      <c r="L889" s="20" t="n">
        <f aca="false">IF($D889="",0,$F889*$K889)</f>
        <v>0</v>
      </c>
      <c r="M889" s="20" t="n">
        <f aca="false">IF($D889="",0,$G889*$K889)</f>
        <v>0</v>
      </c>
      <c r="N889" s="20" t="n">
        <f aca="false">IF($D889="",0,$H889*$K889)</f>
        <v>0</v>
      </c>
      <c r="O889" s="20" t="n">
        <f aca="false">IF($D889="",0,$I889*$K889*(1-$F889))</f>
        <v>0</v>
      </c>
      <c r="P889" s="20" t="n">
        <f aca="false">IF($D889="",0,$E889*$D889+$L889+$M889+$N889+$O889+$J889*$D889)</f>
        <v>0</v>
      </c>
      <c r="Q889" s="20" t="n">
        <f aca="false">IF($D889="",0,$K889-$P889)</f>
        <v>0</v>
      </c>
      <c r="R889" s="21" t="n">
        <f aca="false">IF($K889=0,0,$Q889/$K889)</f>
        <v>0</v>
      </c>
      <c r="S889" s="20" t="n">
        <f aca="false">IF($D889="",0,$K889-$L889-$M889-$N889)</f>
        <v>0</v>
      </c>
      <c r="T889" s="22"/>
      <c r="U889" s="20" t="n">
        <f aca="false">IF($T889="",0,MAX(0,$S889-$T889))</f>
        <v>0</v>
      </c>
      <c r="V889" s="21" t="n">
        <f aca="false">IF($S889=0,0,$U889/$S889)</f>
        <v>0</v>
      </c>
      <c r="W889" s="23" t="str">
        <f aca="false">IF($D889="","",IF($T889="","BEKLİYOR",IF(OR($U889=0,$S889=0),"DOĞRU",IF(AND($V889&gt;PazaryeriEksikHakedisEsik,$U889&gt;PazaryeriEksikHakedisTutarEsik),"EKSİK HAKEDİŞ","DOĞRU"))))</f>
        <v/>
      </c>
      <c r="X889" s="23" t="str">
        <f aca="false">IF($B889="","",CONCATENATE("Ürün: ",$B889," | Kâr: ",TEXT($Q889,"₺ #,##0")," | Durum: ",$W889))</f>
        <v/>
      </c>
      <c r="Y889" s="24"/>
    </row>
    <row r="890" customFormat="false" ht="15" hidden="false" customHeight="false" outlineLevel="0" collapsed="false">
      <c r="A890" s="24"/>
      <c r="B890" s="24"/>
      <c r="C890" s="22"/>
      <c r="D890" s="25"/>
      <c r="E890" s="22"/>
      <c r="F890" s="26"/>
      <c r="G890" s="26"/>
      <c r="H890" s="26"/>
      <c r="I890" s="26"/>
      <c r="J890" s="22"/>
      <c r="K890" s="20" t="n">
        <f aca="false">IF($D890="",0,$C890*$D890)</f>
        <v>0</v>
      </c>
      <c r="L890" s="20" t="n">
        <f aca="false">IF($D890="",0,$F890*$K890)</f>
        <v>0</v>
      </c>
      <c r="M890" s="20" t="n">
        <f aca="false">IF($D890="",0,$G890*$K890)</f>
        <v>0</v>
      </c>
      <c r="N890" s="20" t="n">
        <f aca="false">IF($D890="",0,$H890*$K890)</f>
        <v>0</v>
      </c>
      <c r="O890" s="20" t="n">
        <f aca="false">IF($D890="",0,$I890*$K890*(1-$F890))</f>
        <v>0</v>
      </c>
      <c r="P890" s="20" t="n">
        <f aca="false">IF($D890="",0,$E890*$D890+$L890+$M890+$N890+$O890+$J890*$D890)</f>
        <v>0</v>
      </c>
      <c r="Q890" s="20" t="n">
        <f aca="false">IF($D890="",0,$K890-$P890)</f>
        <v>0</v>
      </c>
      <c r="R890" s="21" t="n">
        <f aca="false">IF($K890=0,0,$Q890/$K890)</f>
        <v>0</v>
      </c>
      <c r="S890" s="20" t="n">
        <f aca="false">IF($D890="",0,$K890-$L890-$M890-$N890)</f>
        <v>0</v>
      </c>
      <c r="T890" s="22"/>
      <c r="U890" s="20" t="n">
        <f aca="false">IF($T890="",0,MAX(0,$S890-$T890))</f>
        <v>0</v>
      </c>
      <c r="V890" s="21" t="n">
        <f aca="false">IF($S890=0,0,$U890/$S890)</f>
        <v>0</v>
      </c>
      <c r="W890" s="23" t="str">
        <f aca="false">IF($D890="","",IF($T890="","BEKLİYOR",IF(OR($U890=0,$S890=0),"DOĞRU",IF(AND($V890&gt;PazaryeriEksikHakedisEsik,$U890&gt;PazaryeriEksikHakedisTutarEsik),"EKSİK HAKEDİŞ","DOĞRU"))))</f>
        <v/>
      </c>
      <c r="X890" s="23" t="str">
        <f aca="false">IF($B890="","",CONCATENATE("Ürün: ",$B890," | Kâr: ",TEXT($Q890,"₺ #,##0")," | Durum: ",$W890))</f>
        <v/>
      </c>
      <c r="Y890" s="24"/>
    </row>
    <row r="891" customFormat="false" ht="15" hidden="false" customHeight="false" outlineLevel="0" collapsed="false">
      <c r="A891" s="24"/>
      <c r="B891" s="24"/>
      <c r="C891" s="22"/>
      <c r="D891" s="25"/>
      <c r="E891" s="22"/>
      <c r="F891" s="26"/>
      <c r="G891" s="26"/>
      <c r="H891" s="26"/>
      <c r="I891" s="26"/>
      <c r="J891" s="22"/>
      <c r="K891" s="20" t="n">
        <f aca="false">IF($D891="",0,$C891*$D891)</f>
        <v>0</v>
      </c>
      <c r="L891" s="20" t="n">
        <f aca="false">IF($D891="",0,$F891*$K891)</f>
        <v>0</v>
      </c>
      <c r="M891" s="20" t="n">
        <f aca="false">IF($D891="",0,$G891*$K891)</f>
        <v>0</v>
      </c>
      <c r="N891" s="20" t="n">
        <f aca="false">IF($D891="",0,$H891*$K891)</f>
        <v>0</v>
      </c>
      <c r="O891" s="20" t="n">
        <f aca="false">IF($D891="",0,$I891*$K891*(1-$F891))</f>
        <v>0</v>
      </c>
      <c r="P891" s="20" t="n">
        <f aca="false">IF($D891="",0,$E891*$D891+$L891+$M891+$N891+$O891+$J891*$D891)</f>
        <v>0</v>
      </c>
      <c r="Q891" s="20" t="n">
        <f aca="false">IF($D891="",0,$K891-$P891)</f>
        <v>0</v>
      </c>
      <c r="R891" s="21" t="n">
        <f aca="false">IF($K891=0,0,$Q891/$K891)</f>
        <v>0</v>
      </c>
      <c r="S891" s="20" t="n">
        <f aca="false">IF($D891="",0,$K891-$L891-$M891-$N891)</f>
        <v>0</v>
      </c>
      <c r="T891" s="22"/>
      <c r="U891" s="20" t="n">
        <f aca="false">IF($T891="",0,MAX(0,$S891-$T891))</f>
        <v>0</v>
      </c>
      <c r="V891" s="21" t="n">
        <f aca="false">IF($S891=0,0,$U891/$S891)</f>
        <v>0</v>
      </c>
      <c r="W891" s="23" t="str">
        <f aca="false">IF($D891="","",IF($T891="","BEKLİYOR",IF(OR($U891=0,$S891=0),"DOĞRU",IF(AND($V891&gt;PazaryeriEksikHakedisEsik,$U891&gt;PazaryeriEksikHakedisTutarEsik),"EKSİK HAKEDİŞ","DOĞRU"))))</f>
        <v/>
      </c>
      <c r="X891" s="23" t="str">
        <f aca="false">IF($B891="","",CONCATENATE("Ürün: ",$B891," | Kâr: ",TEXT($Q891,"₺ #,##0")," | Durum: ",$W891))</f>
        <v/>
      </c>
      <c r="Y891" s="24"/>
    </row>
    <row r="892" customFormat="false" ht="15" hidden="false" customHeight="false" outlineLevel="0" collapsed="false">
      <c r="A892" s="24"/>
      <c r="B892" s="24"/>
      <c r="C892" s="22"/>
      <c r="D892" s="25"/>
      <c r="E892" s="22"/>
      <c r="F892" s="26"/>
      <c r="G892" s="26"/>
      <c r="H892" s="26"/>
      <c r="I892" s="26"/>
      <c r="J892" s="22"/>
      <c r="K892" s="20" t="n">
        <f aca="false">IF($D892="",0,$C892*$D892)</f>
        <v>0</v>
      </c>
      <c r="L892" s="20" t="n">
        <f aca="false">IF($D892="",0,$F892*$K892)</f>
        <v>0</v>
      </c>
      <c r="M892" s="20" t="n">
        <f aca="false">IF($D892="",0,$G892*$K892)</f>
        <v>0</v>
      </c>
      <c r="N892" s="20" t="n">
        <f aca="false">IF($D892="",0,$H892*$K892)</f>
        <v>0</v>
      </c>
      <c r="O892" s="20" t="n">
        <f aca="false">IF($D892="",0,$I892*$K892*(1-$F892))</f>
        <v>0</v>
      </c>
      <c r="P892" s="20" t="n">
        <f aca="false">IF($D892="",0,$E892*$D892+$L892+$M892+$N892+$O892+$J892*$D892)</f>
        <v>0</v>
      </c>
      <c r="Q892" s="20" t="n">
        <f aca="false">IF($D892="",0,$K892-$P892)</f>
        <v>0</v>
      </c>
      <c r="R892" s="21" t="n">
        <f aca="false">IF($K892=0,0,$Q892/$K892)</f>
        <v>0</v>
      </c>
      <c r="S892" s="20" t="n">
        <f aca="false">IF($D892="",0,$K892-$L892-$M892-$N892)</f>
        <v>0</v>
      </c>
      <c r="T892" s="22"/>
      <c r="U892" s="20" t="n">
        <f aca="false">IF($T892="",0,MAX(0,$S892-$T892))</f>
        <v>0</v>
      </c>
      <c r="V892" s="21" t="n">
        <f aca="false">IF($S892=0,0,$U892/$S892)</f>
        <v>0</v>
      </c>
      <c r="W892" s="23" t="str">
        <f aca="false">IF($D892="","",IF($T892="","BEKLİYOR",IF(OR($U892=0,$S892=0),"DOĞRU",IF(AND($V892&gt;PazaryeriEksikHakedisEsik,$U892&gt;PazaryeriEksikHakedisTutarEsik),"EKSİK HAKEDİŞ","DOĞRU"))))</f>
        <v/>
      </c>
      <c r="X892" s="23" t="str">
        <f aca="false">IF($B892="","",CONCATENATE("Ürün: ",$B892," | Kâr: ",TEXT($Q892,"₺ #,##0")," | Durum: ",$W892))</f>
        <v/>
      </c>
      <c r="Y892" s="24"/>
    </row>
    <row r="893" customFormat="false" ht="15" hidden="false" customHeight="false" outlineLevel="0" collapsed="false">
      <c r="A893" s="24"/>
      <c r="B893" s="24"/>
      <c r="C893" s="22"/>
      <c r="D893" s="25"/>
      <c r="E893" s="22"/>
      <c r="F893" s="26"/>
      <c r="G893" s="26"/>
      <c r="H893" s="26"/>
      <c r="I893" s="26"/>
      <c r="J893" s="22"/>
      <c r="K893" s="20" t="n">
        <f aca="false">IF($D893="",0,$C893*$D893)</f>
        <v>0</v>
      </c>
      <c r="L893" s="20" t="n">
        <f aca="false">IF($D893="",0,$F893*$K893)</f>
        <v>0</v>
      </c>
      <c r="M893" s="20" t="n">
        <f aca="false">IF($D893="",0,$G893*$K893)</f>
        <v>0</v>
      </c>
      <c r="N893" s="20" t="n">
        <f aca="false">IF($D893="",0,$H893*$K893)</f>
        <v>0</v>
      </c>
      <c r="O893" s="20" t="n">
        <f aca="false">IF($D893="",0,$I893*$K893*(1-$F893))</f>
        <v>0</v>
      </c>
      <c r="P893" s="20" t="n">
        <f aca="false">IF($D893="",0,$E893*$D893+$L893+$M893+$N893+$O893+$J893*$D893)</f>
        <v>0</v>
      </c>
      <c r="Q893" s="20" t="n">
        <f aca="false">IF($D893="",0,$K893-$P893)</f>
        <v>0</v>
      </c>
      <c r="R893" s="21" t="n">
        <f aca="false">IF($K893=0,0,$Q893/$K893)</f>
        <v>0</v>
      </c>
      <c r="S893" s="20" t="n">
        <f aca="false">IF($D893="",0,$K893-$L893-$M893-$N893)</f>
        <v>0</v>
      </c>
      <c r="T893" s="22"/>
      <c r="U893" s="20" t="n">
        <f aca="false">IF($T893="",0,MAX(0,$S893-$T893))</f>
        <v>0</v>
      </c>
      <c r="V893" s="21" t="n">
        <f aca="false">IF($S893=0,0,$U893/$S893)</f>
        <v>0</v>
      </c>
      <c r="W893" s="23" t="str">
        <f aca="false">IF($D893="","",IF($T893="","BEKLİYOR",IF(OR($U893=0,$S893=0),"DOĞRU",IF(AND($V893&gt;PazaryeriEksikHakedisEsik,$U893&gt;PazaryeriEksikHakedisTutarEsik),"EKSİK HAKEDİŞ","DOĞRU"))))</f>
        <v/>
      </c>
      <c r="X893" s="23" t="str">
        <f aca="false">IF($B893="","",CONCATENATE("Ürün: ",$B893," | Kâr: ",TEXT($Q893,"₺ #,##0")," | Durum: ",$W893))</f>
        <v/>
      </c>
      <c r="Y893" s="24"/>
    </row>
    <row r="894" customFormat="false" ht="15" hidden="false" customHeight="false" outlineLevel="0" collapsed="false">
      <c r="A894" s="24"/>
      <c r="B894" s="24"/>
      <c r="C894" s="22"/>
      <c r="D894" s="25"/>
      <c r="E894" s="22"/>
      <c r="F894" s="26"/>
      <c r="G894" s="26"/>
      <c r="H894" s="26"/>
      <c r="I894" s="26"/>
      <c r="J894" s="22"/>
      <c r="K894" s="20" t="n">
        <f aca="false">IF($D894="",0,$C894*$D894)</f>
        <v>0</v>
      </c>
      <c r="L894" s="20" t="n">
        <f aca="false">IF($D894="",0,$F894*$K894)</f>
        <v>0</v>
      </c>
      <c r="M894" s="20" t="n">
        <f aca="false">IF($D894="",0,$G894*$K894)</f>
        <v>0</v>
      </c>
      <c r="N894" s="20" t="n">
        <f aca="false">IF($D894="",0,$H894*$K894)</f>
        <v>0</v>
      </c>
      <c r="O894" s="20" t="n">
        <f aca="false">IF($D894="",0,$I894*$K894*(1-$F894))</f>
        <v>0</v>
      </c>
      <c r="P894" s="20" t="n">
        <f aca="false">IF($D894="",0,$E894*$D894+$L894+$M894+$N894+$O894+$J894*$D894)</f>
        <v>0</v>
      </c>
      <c r="Q894" s="20" t="n">
        <f aca="false">IF($D894="",0,$K894-$P894)</f>
        <v>0</v>
      </c>
      <c r="R894" s="21" t="n">
        <f aca="false">IF($K894=0,0,$Q894/$K894)</f>
        <v>0</v>
      </c>
      <c r="S894" s="20" t="n">
        <f aca="false">IF($D894="",0,$K894-$L894-$M894-$N894)</f>
        <v>0</v>
      </c>
      <c r="T894" s="22"/>
      <c r="U894" s="20" t="n">
        <f aca="false">IF($T894="",0,MAX(0,$S894-$T894))</f>
        <v>0</v>
      </c>
      <c r="V894" s="21" t="n">
        <f aca="false">IF($S894=0,0,$U894/$S894)</f>
        <v>0</v>
      </c>
      <c r="W894" s="23" t="str">
        <f aca="false">IF($D894="","",IF($T894="","BEKLİYOR",IF(OR($U894=0,$S894=0),"DOĞRU",IF(AND($V894&gt;PazaryeriEksikHakedisEsik,$U894&gt;PazaryeriEksikHakedisTutarEsik),"EKSİK HAKEDİŞ","DOĞRU"))))</f>
        <v/>
      </c>
      <c r="X894" s="23" t="str">
        <f aca="false">IF($B894="","",CONCATENATE("Ürün: ",$B894," | Kâr: ",TEXT($Q894,"₺ #,##0")," | Durum: ",$W894))</f>
        <v/>
      </c>
      <c r="Y894" s="24"/>
    </row>
    <row r="895" customFormat="false" ht="15" hidden="false" customHeight="false" outlineLevel="0" collapsed="false">
      <c r="A895" s="24"/>
      <c r="B895" s="24"/>
      <c r="C895" s="22"/>
      <c r="D895" s="25"/>
      <c r="E895" s="22"/>
      <c r="F895" s="26"/>
      <c r="G895" s="26"/>
      <c r="H895" s="26"/>
      <c r="I895" s="26"/>
      <c r="J895" s="22"/>
      <c r="K895" s="20" t="n">
        <f aca="false">IF($D895="",0,$C895*$D895)</f>
        <v>0</v>
      </c>
      <c r="L895" s="20" t="n">
        <f aca="false">IF($D895="",0,$F895*$K895)</f>
        <v>0</v>
      </c>
      <c r="M895" s="20" t="n">
        <f aca="false">IF($D895="",0,$G895*$K895)</f>
        <v>0</v>
      </c>
      <c r="N895" s="20" t="n">
        <f aca="false">IF($D895="",0,$H895*$K895)</f>
        <v>0</v>
      </c>
      <c r="O895" s="20" t="n">
        <f aca="false">IF($D895="",0,$I895*$K895*(1-$F895))</f>
        <v>0</v>
      </c>
      <c r="P895" s="20" t="n">
        <f aca="false">IF($D895="",0,$E895*$D895+$L895+$M895+$N895+$O895+$J895*$D895)</f>
        <v>0</v>
      </c>
      <c r="Q895" s="20" t="n">
        <f aca="false">IF($D895="",0,$K895-$P895)</f>
        <v>0</v>
      </c>
      <c r="R895" s="21" t="n">
        <f aca="false">IF($K895=0,0,$Q895/$K895)</f>
        <v>0</v>
      </c>
      <c r="S895" s="20" t="n">
        <f aca="false">IF($D895="",0,$K895-$L895-$M895-$N895)</f>
        <v>0</v>
      </c>
      <c r="T895" s="22"/>
      <c r="U895" s="20" t="n">
        <f aca="false">IF($T895="",0,MAX(0,$S895-$T895))</f>
        <v>0</v>
      </c>
      <c r="V895" s="21" t="n">
        <f aca="false">IF($S895=0,0,$U895/$S895)</f>
        <v>0</v>
      </c>
      <c r="W895" s="23" t="str">
        <f aca="false">IF($D895="","",IF($T895="","BEKLİYOR",IF(OR($U895=0,$S895=0),"DOĞRU",IF(AND($V895&gt;PazaryeriEksikHakedisEsik,$U895&gt;PazaryeriEksikHakedisTutarEsik),"EKSİK HAKEDİŞ","DOĞRU"))))</f>
        <v/>
      </c>
      <c r="X895" s="23" t="str">
        <f aca="false">IF($B895="","",CONCATENATE("Ürün: ",$B895," | Kâr: ",TEXT($Q895,"₺ #,##0")," | Durum: ",$W895))</f>
        <v/>
      </c>
      <c r="Y895" s="24"/>
    </row>
    <row r="896" customFormat="false" ht="15" hidden="false" customHeight="false" outlineLevel="0" collapsed="false">
      <c r="A896" s="24"/>
      <c r="B896" s="24"/>
      <c r="C896" s="22"/>
      <c r="D896" s="25"/>
      <c r="E896" s="22"/>
      <c r="F896" s="26"/>
      <c r="G896" s="26"/>
      <c r="H896" s="26"/>
      <c r="I896" s="26"/>
      <c r="J896" s="22"/>
      <c r="K896" s="20" t="n">
        <f aca="false">IF($D896="",0,$C896*$D896)</f>
        <v>0</v>
      </c>
      <c r="L896" s="20" t="n">
        <f aca="false">IF($D896="",0,$F896*$K896)</f>
        <v>0</v>
      </c>
      <c r="M896" s="20" t="n">
        <f aca="false">IF($D896="",0,$G896*$K896)</f>
        <v>0</v>
      </c>
      <c r="N896" s="20" t="n">
        <f aca="false">IF($D896="",0,$H896*$K896)</f>
        <v>0</v>
      </c>
      <c r="O896" s="20" t="n">
        <f aca="false">IF($D896="",0,$I896*$K896*(1-$F896))</f>
        <v>0</v>
      </c>
      <c r="P896" s="20" t="n">
        <f aca="false">IF($D896="",0,$E896*$D896+$L896+$M896+$N896+$O896+$J896*$D896)</f>
        <v>0</v>
      </c>
      <c r="Q896" s="20" t="n">
        <f aca="false">IF($D896="",0,$K896-$P896)</f>
        <v>0</v>
      </c>
      <c r="R896" s="21" t="n">
        <f aca="false">IF($K896=0,0,$Q896/$K896)</f>
        <v>0</v>
      </c>
      <c r="S896" s="20" t="n">
        <f aca="false">IF($D896="",0,$K896-$L896-$M896-$N896)</f>
        <v>0</v>
      </c>
      <c r="T896" s="22"/>
      <c r="U896" s="20" t="n">
        <f aca="false">IF($T896="",0,MAX(0,$S896-$T896))</f>
        <v>0</v>
      </c>
      <c r="V896" s="21" t="n">
        <f aca="false">IF($S896=0,0,$U896/$S896)</f>
        <v>0</v>
      </c>
      <c r="W896" s="23" t="str">
        <f aca="false">IF($D896="","",IF($T896="","BEKLİYOR",IF(OR($U896=0,$S896=0),"DOĞRU",IF(AND($V896&gt;PazaryeriEksikHakedisEsik,$U896&gt;PazaryeriEksikHakedisTutarEsik),"EKSİK HAKEDİŞ","DOĞRU"))))</f>
        <v/>
      </c>
      <c r="X896" s="23" t="str">
        <f aca="false">IF($B896="","",CONCATENATE("Ürün: ",$B896," | Kâr: ",TEXT($Q896,"₺ #,##0")," | Durum: ",$W896))</f>
        <v/>
      </c>
      <c r="Y896" s="24"/>
    </row>
    <row r="897" customFormat="false" ht="15" hidden="false" customHeight="false" outlineLevel="0" collapsed="false">
      <c r="A897" s="24"/>
      <c r="B897" s="24"/>
      <c r="C897" s="22"/>
      <c r="D897" s="25"/>
      <c r="E897" s="22"/>
      <c r="F897" s="26"/>
      <c r="G897" s="26"/>
      <c r="H897" s="26"/>
      <c r="I897" s="26"/>
      <c r="J897" s="22"/>
      <c r="K897" s="20" t="n">
        <f aca="false">IF($D897="",0,$C897*$D897)</f>
        <v>0</v>
      </c>
      <c r="L897" s="20" t="n">
        <f aca="false">IF($D897="",0,$F897*$K897)</f>
        <v>0</v>
      </c>
      <c r="M897" s="20" t="n">
        <f aca="false">IF($D897="",0,$G897*$K897)</f>
        <v>0</v>
      </c>
      <c r="N897" s="20" t="n">
        <f aca="false">IF($D897="",0,$H897*$K897)</f>
        <v>0</v>
      </c>
      <c r="O897" s="20" t="n">
        <f aca="false">IF($D897="",0,$I897*$K897*(1-$F897))</f>
        <v>0</v>
      </c>
      <c r="P897" s="20" t="n">
        <f aca="false">IF($D897="",0,$E897*$D897+$L897+$M897+$N897+$O897+$J897*$D897)</f>
        <v>0</v>
      </c>
      <c r="Q897" s="20" t="n">
        <f aca="false">IF($D897="",0,$K897-$P897)</f>
        <v>0</v>
      </c>
      <c r="R897" s="21" t="n">
        <f aca="false">IF($K897=0,0,$Q897/$K897)</f>
        <v>0</v>
      </c>
      <c r="S897" s="20" t="n">
        <f aca="false">IF($D897="",0,$K897-$L897-$M897-$N897)</f>
        <v>0</v>
      </c>
      <c r="T897" s="22"/>
      <c r="U897" s="20" t="n">
        <f aca="false">IF($T897="",0,MAX(0,$S897-$T897))</f>
        <v>0</v>
      </c>
      <c r="V897" s="21" t="n">
        <f aca="false">IF($S897=0,0,$U897/$S897)</f>
        <v>0</v>
      </c>
      <c r="W897" s="23" t="str">
        <f aca="false">IF($D897="","",IF($T897="","BEKLİYOR",IF(OR($U897=0,$S897=0),"DOĞRU",IF(AND($V897&gt;PazaryeriEksikHakedisEsik,$U897&gt;PazaryeriEksikHakedisTutarEsik),"EKSİK HAKEDİŞ","DOĞRU"))))</f>
        <v/>
      </c>
      <c r="X897" s="23" t="str">
        <f aca="false">IF($B897="","",CONCATENATE("Ürün: ",$B897," | Kâr: ",TEXT($Q897,"₺ #,##0")," | Durum: ",$W897))</f>
        <v/>
      </c>
      <c r="Y897" s="24"/>
    </row>
    <row r="898" customFormat="false" ht="15" hidden="false" customHeight="false" outlineLevel="0" collapsed="false">
      <c r="A898" s="24"/>
      <c r="B898" s="24"/>
      <c r="C898" s="22"/>
      <c r="D898" s="25"/>
      <c r="E898" s="22"/>
      <c r="F898" s="26"/>
      <c r="G898" s="26"/>
      <c r="H898" s="26"/>
      <c r="I898" s="26"/>
      <c r="J898" s="22"/>
      <c r="K898" s="20" t="n">
        <f aca="false">IF($D898="",0,$C898*$D898)</f>
        <v>0</v>
      </c>
      <c r="L898" s="20" t="n">
        <f aca="false">IF($D898="",0,$F898*$K898)</f>
        <v>0</v>
      </c>
      <c r="M898" s="20" t="n">
        <f aca="false">IF($D898="",0,$G898*$K898)</f>
        <v>0</v>
      </c>
      <c r="N898" s="20" t="n">
        <f aca="false">IF($D898="",0,$H898*$K898)</f>
        <v>0</v>
      </c>
      <c r="O898" s="20" t="n">
        <f aca="false">IF($D898="",0,$I898*$K898*(1-$F898))</f>
        <v>0</v>
      </c>
      <c r="P898" s="20" t="n">
        <f aca="false">IF($D898="",0,$E898*$D898+$L898+$M898+$N898+$O898+$J898*$D898)</f>
        <v>0</v>
      </c>
      <c r="Q898" s="20" t="n">
        <f aca="false">IF($D898="",0,$K898-$P898)</f>
        <v>0</v>
      </c>
      <c r="R898" s="21" t="n">
        <f aca="false">IF($K898=0,0,$Q898/$K898)</f>
        <v>0</v>
      </c>
      <c r="S898" s="20" t="n">
        <f aca="false">IF($D898="",0,$K898-$L898-$M898-$N898)</f>
        <v>0</v>
      </c>
      <c r="T898" s="22"/>
      <c r="U898" s="20" t="n">
        <f aca="false">IF($T898="",0,MAX(0,$S898-$T898))</f>
        <v>0</v>
      </c>
      <c r="V898" s="21" t="n">
        <f aca="false">IF($S898=0,0,$U898/$S898)</f>
        <v>0</v>
      </c>
      <c r="W898" s="23" t="str">
        <f aca="false">IF($D898="","",IF($T898="","BEKLİYOR",IF(OR($U898=0,$S898=0),"DOĞRU",IF(AND($V898&gt;PazaryeriEksikHakedisEsik,$U898&gt;PazaryeriEksikHakedisTutarEsik),"EKSİK HAKEDİŞ","DOĞRU"))))</f>
        <v/>
      </c>
      <c r="X898" s="23" t="str">
        <f aca="false">IF($B898="","",CONCATENATE("Ürün: ",$B898," | Kâr: ",TEXT($Q898,"₺ #,##0")," | Durum: ",$W898))</f>
        <v/>
      </c>
      <c r="Y898" s="24"/>
    </row>
    <row r="899" customFormat="false" ht="15" hidden="false" customHeight="false" outlineLevel="0" collapsed="false">
      <c r="A899" s="24"/>
      <c r="B899" s="24"/>
      <c r="C899" s="22"/>
      <c r="D899" s="25"/>
      <c r="E899" s="22"/>
      <c r="F899" s="26"/>
      <c r="G899" s="26"/>
      <c r="H899" s="26"/>
      <c r="I899" s="26"/>
      <c r="J899" s="22"/>
      <c r="K899" s="20" t="n">
        <f aca="false">IF($D899="",0,$C899*$D899)</f>
        <v>0</v>
      </c>
      <c r="L899" s="20" t="n">
        <f aca="false">IF($D899="",0,$F899*$K899)</f>
        <v>0</v>
      </c>
      <c r="M899" s="20" t="n">
        <f aca="false">IF($D899="",0,$G899*$K899)</f>
        <v>0</v>
      </c>
      <c r="N899" s="20" t="n">
        <f aca="false">IF($D899="",0,$H899*$K899)</f>
        <v>0</v>
      </c>
      <c r="O899" s="20" t="n">
        <f aca="false">IF($D899="",0,$I899*$K899*(1-$F899))</f>
        <v>0</v>
      </c>
      <c r="P899" s="20" t="n">
        <f aca="false">IF($D899="",0,$E899*$D899+$L899+$M899+$N899+$O899+$J899*$D899)</f>
        <v>0</v>
      </c>
      <c r="Q899" s="20" t="n">
        <f aca="false">IF($D899="",0,$K899-$P899)</f>
        <v>0</v>
      </c>
      <c r="R899" s="21" t="n">
        <f aca="false">IF($K899=0,0,$Q899/$K899)</f>
        <v>0</v>
      </c>
      <c r="S899" s="20" t="n">
        <f aca="false">IF($D899="",0,$K899-$L899-$M899-$N899)</f>
        <v>0</v>
      </c>
      <c r="T899" s="22"/>
      <c r="U899" s="20" t="n">
        <f aca="false">IF($T899="",0,MAX(0,$S899-$T899))</f>
        <v>0</v>
      </c>
      <c r="V899" s="21" t="n">
        <f aca="false">IF($S899=0,0,$U899/$S899)</f>
        <v>0</v>
      </c>
      <c r="W899" s="23" t="str">
        <f aca="false">IF($D899="","",IF($T899="","BEKLİYOR",IF(OR($U899=0,$S899=0),"DOĞRU",IF(AND($V899&gt;PazaryeriEksikHakedisEsik,$U899&gt;PazaryeriEksikHakedisTutarEsik),"EKSİK HAKEDİŞ","DOĞRU"))))</f>
        <v/>
      </c>
      <c r="X899" s="23" t="str">
        <f aca="false">IF($B899="","",CONCATENATE("Ürün: ",$B899," | Kâr: ",TEXT($Q899,"₺ #,##0")," | Durum: ",$W899))</f>
        <v/>
      </c>
      <c r="Y899" s="24"/>
    </row>
    <row r="900" customFormat="false" ht="15" hidden="false" customHeight="false" outlineLevel="0" collapsed="false">
      <c r="A900" s="24"/>
      <c r="B900" s="24"/>
      <c r="C900" s="22"/>
      <c r="D900" s="25"/>
      <c r="E900" s="22"/>
      <c r="F900" s="26"/>
      <c r="G900" s="26"/>
      <c r="H900" s="26"/>
      <c r="I900" s="26"/>
      <c r="J900" s="22"/>
      <c r="K900" s="20" t="n">
        <f aca="false">IF($D900="",0,$C900*$D900)</f>
        <v>0</v>
      </c>
      <c r="L900" s="20" t="n">
        <f aca="false">IF($D900="",0,$F900*$K900)</f>
        <v>0</v>
      </c>
      <c r="M900" s="20" t="n">
        <f aca="false">IF($D900="",0,$G900*$K900)</f>
        <v>0</v>
      </c>
      <c r="N900" s="20" t="n">
        <f aca="false">IF($D900="",0,$H900*$K900)</f>
        <v>0</v>
      </c>
      <c r="O900" s="20" t="n">
        <f aca="false">IF($D900="",0,$I900*$K900*(1-$F900))</f>
        <v>0</v>
      </c>
      <c r="P900" s="20" t="n">
        <f aca="false">IF($D900="",0,$E900*$D900+$L900+$M900+$N900+$O900+$J900*$D900)</f>
        <v>0</v>
      </c>
      <c r="Q900" s="20" t="n">
        <f aca="false">IF($D900="",0,$K900-$P900)</f>
        <v>0</v>
      </c>
      <c r="R900" s="21" t="n">
        <f aca="false">IF($K900=0,0,$Q900/$K900)</f>
        <v>0</v>
      </c>
      <c r="S900" s="20" t="n">
        <f aca="false">IF($D900="",0,$K900-$L900-$M900-$N900)</f>
        <v>0</v>
      </c>
      <c r="T900" s="22"/>
      <c r="U900" s="20" t="n">
        <f aca="false">IF($T900="",0,MAX(0,$S900-$T900))</f>
        <v>0</v>
      </c>
      <c r="V900" s="21" t="n">
        <f aca="false">IF($S900=0,0,$U900/$S900)</f>
        <v>0</v>
      </c>
      <c r="W900" s="23" t="str">
        <f aca="false">IF($D900="","",IF($T900="","BEKLİYOR",IF(OR($U900=0,$S900=0),"DOĞRU",IF(AND($V900&gt;PazaryeriEksikHakedisEsik,$U900&gt;PazaryeriEksikHakedisTutarEsik),"EKSİK HAKEDİŞ","DOĞRU"))))</f>
        <v/>
      </c>
      <c r="X900" s="23" t="str">
        <f aca="false">IF($B900="","",CONCATENATE("Ürün: ",$B900," | Kâr: ",TEXT($Q900,"₺ #,##0")," | Durum: ",$W900))</f>
        <v/>
      </c>
      <c r="Y900" s="24"/>
    </row>
    <row r="901" customFormat="false" ht="15" hidden="false" customHeight="false" outlineLevel="0" collapsed="false">
      <c r="A901" s="24"/>
      <c r="B901" s="24"/>
      <c r="C901" s="22"/>
      <c r="D901" s="25"/>
      <c r="E901" s="22"/>
      <c r="F901" s="26"/>
      <c r="G901" s="26"/>
      <c r="H901" s="26"/>
      <c r="I901" s="26"/>
      <c r="J901" s="22"/>
      <c r="K901" s="20" t="n">
        <f aca="false">IF($D901="",0,$C901*$D901)</f>
        <v>0</v>
      </c>
      <c r="L901" s="20" t="n">
        <f aca="false">IF($D901="",0,$F901*$K901)</f>
        <v>0</v>
      </c>
      <c r="M901" s="20" t="n">
        <f aca="false">IF($D901="",0,$G901*$K901)</f>
        <v>0</v>
      </c>
      <c r="N901" s="20" t="n">
        <f aca="false">IF($D901="",0,$H901*$K901)</f>
        <v>0</v>
      </c>
      <c r="O901" s="20" t="n">
        <f aca="false">IF($D901="",0,$I901*$K901*(1-$F901))</f>
        <v>0</v>
      </c>
      <c r="P901" s="20" t="n">
        <f aca="false">IF($D901="",0,$E901*$D901+$L901+$M901+$N901+$O901+$J901*$D901)</f>
        <v>0</v>
      </c>
      <c r="Q901" s="20" t="n">
        <f aca="false">IF($D901="",0,$K901-$P901)</f>
        <v>0</v>
      </c>
      <c r="R901" s="21" t="n">
        <f aca="false">IF($K901=0,0,$Q901/$K901)</f>
        <v>0</v>
      </c>
      <c r="S901" s="20" t="n">
        <f aca="false">IF($D901="",0,$K901-$L901-$M901-$N901)</f>
        <v>0</v>
      </c>
      <c r="T901" s="22"/>
      <c r="U901" s="20" t="n">
        <f aca="false">IF($T901="",0,MAX(0,$S901-$T901))</f>
        <v>0</v>
      </c>
      <c r="V901" s="21" t="n">
        <f aca="false">IF($S901=0,0,$U901/$S901)</f>
        <v>0</v>
      </c>
      <c r="W901" s="23" t="str">
        <f aca="false">IF($D901="","",IF($T901="","BEKLİYOR",IF(OR($U901=0,$S901=0),"DOĞRU",IF(AND($V901&gt;PazaryeriEksikHakedisEsik,$U901&gt;PazaryeriEksikHakedisTutarEsik),"EKSİK HAKEDİŞ","DOĞRU"))))</f>
        <v/>
      </c>
      <c r="X901" s="23" t="str">
        <f aca="false">IF($B901="","",CONCATENATE("Ürün: ",$B901," | Kâr: ",TEXT($Q901,"₺ #,##0")," | Durum: ",$W901))</f>
        <v/>
      </c>
      <c r="Y901" s="24"/>
    </row>
    <row r="902" customFormat="false" ht="15" hidden="false" customHeight="false" outlineLevel="0" collapsed="false">
      <c r="A902" s="24"/>
      <c r="B902" s="24"/>
      <c r="C902" s="22"/>
      <c r="D902" s="25"/>
      <c r="E902" s="22"/>
      <c r="F902" s="26"/>
      <c r="G902" s="26"/>
      <c r="H902" s="26"/>
      <c r="I902" s="26"/>
      <c r="J902" s="22"/>
      <c r="K902" s="20" t="n">
        <f aca="false">IF($D902="",0,$C902*$D902)</f>
        <v>0</v>
      </c>
      <c r="L902" s="20" t="n">
        <f aca="false">IF($D902="",0,$F902*$K902)</f>
        <v>0</v>
      </c>
      <c r="M902" s="20" t="n">
        <f aca="false">IF($D902="",0,$G902*$K902)</f>
        <v>0</v>
      </c>
      <c r="N902" s="20" t="n">
        <f aca="false">IF($D902="",0,$H902*$K902)</f>
        <v>0</v>
      </c>
      <c r="O902" s="20" t="n">
        <f aca="false">IF($D902="",0,$I902*$K902*(1-$F902))</f>
        <v>0</v>
      </c>
      <c r="P902" s="20" t="n">
        <f aca="false">IF($D902="",0,$E902*$D902+$L902+$M902+$N902+$O902+$J902*$D902)</f>
        <v>0</v>
      </c>
      <c r="Q902" s="20" t="n">
        <f aca="false">IF($D902="",0,$K902-$P902)</f>
        <v>0</v>
      </c>
      <c r="R902" s="21" t="n">
        <f aca="false">IF($K902=0,0,$Q902/$K902)</f>
        <v>0</v>
      </c>
      <c r="S902" s="20" t="n">
        <f aca="false">IF($D902="",0,$K902-$L902-$M902-$N902)</f>
        <v>0</v>
      </c>
      <c r="T902" s="22"/>
      <c r="U902" s="20" t="n">
        <f aca="false">IF($T902="",0,MAX(0,$S902-$T902))</f>
        <v>0</v>
      </c>
      <c r="V902" s="21" t="n">
        <f aca="false">IF($S902=0,0,$U902/$S902)</f>
        <v>0</v>
      </c>
      <c r="W902" s="23" t="str">
        <f aca="false">IF($D902="","",IF($T902="","BEKLİYOR",IF(OR($U902=0,$S902=0),"DOĞRU",IF(AND($V902&gt;PazaryeriEksikHakedisEsik,$U902&gt;PazaryeriEksikHakedisTutarEsik),"EKSİK HAKEDİŞ","DOĞRU"))))</f>
        <v/>
      </c>
      <c r="X902" s="23" t="str">
        <f aca="false">IF($B902="","",CONCATENATE("Ürün: ",$B902," | Kâr: ",TEXT($Q902,"₺ #,##0")," | Durum: ",$W902))</f>
        <v/>
      </c>
      <c r="Y902" s="24"/>
    </row>
    <row r="903" customFormat="false" ht="15" hidden="false" customHeight="false" outlineLevel="0" collapsed="false">
      <c r="A903" s="24"/>
      <c r="B903" s="24"/>
      <c r="C903" s="22"/>
      <c r="D903" s="25"/>
      <c r="E903" s="22"/>
      <c r="F903" s="26"/>
      <c r="G903" s="26"/>
      <c r="H903" s="26"/>
      <c r="I903" s="26"/>
      <c r="J903" s="22"/>
      <c r="K903" s="20" t="n">
        <f aca="false">IF($D903="",0,$C903*$D903)</f>
        <v>0</v>
      </c>
      <c r="L903" s="20" t="n">
        <f aca="false">IF($D903="",0,$F903*$K903)</f>
        <v>0</v>
      </c>
      <c r="M903" s="20" t="n">
        <f aca="false">IF($D903="",0,$G903*$K903)</f>
        <v>0</v>
      </c>
      <c r="N903" s="20" t="n">
        <f aca="false">IF($D903="",0,$H903*$K903)</f>
        <v>0</v>
      </c>
      <c r="O903" s="20" t="n">
        <f aca="false">IF($D903="",0,$I903*$K903*(1-$F903))</f>
        <v>0</v>
      </c>
      <c r="P903" s="20" t="n">
        <f aca="false">IF($D903="",0,$E903*$D903+$L903+$M903+$N903+$O903+$J903*$D903)</f>
        <v>0</v>
      </c>
      <c r="Q903" s="20" t="n">
        <f aca="false">IF($D903="",0,$K903-$P903)</f>
        <v>0</v>
      </c>
      <c r="R903" s="21" t="n">
        <f aca="false">IF($K903=0,0,$Q903/$K903)</f>
        <v>0</v>
      </c>
      <c r="S903" s="20" t="n">
        <f aca="false">IF($D903="",0,$K903-$L903-$M903-$N903)</f>
        <v>0</v>
      </c>
      <c r="T903" s="22"/>
      <c r="U903" s="20" t="n">
        <f aca="false">IF($T903="",0,MAX(0,$S903-$T903))</f>
        <v>0</v>
      </c>
      <c r="V903" s="21" t="n">
        <f aca="false">IF($S903=0,0,$U903/$S903)</f>
        <v>0</v>
      </c>
      <c r="W903" s="23" t="str">
        <f aca="false">IF($D903="","",IF($T903="","BEKLİYOR",IF(OR($U903=0,$S903=0),"DOĞRU",IF(AND($V903&gt;PazaryeriEksikHakedisEsik,$U903&gt;PazaryeriEksikHakedisTutarEsik),"EKSİK HAKEDİŞ","DOĞRU"))))</f>
        <v/>
      </c>
      <c r="X903" s="23" t="str">
        <f aca="false">IF($B903="","",CONCATENATE("Ürün: ",$B903," | Kâr: ",TEXT($Q903,"₺ #,##0")," | Durum: ",$W903))</f>
        <v/>
      </c>
      <c r="Y903" s="24"/>
    </row>
    <row r="904" customFormat="false" ht="15" hidden="false" customHeight="false" outlineLevel="0" collapsed="false">
      <c r="A904" s="24"/>
      <c r="B904" s="24"/>
      <c r="C904" s="22"/>
      <c r="D904" s="25"/>
      <c r="E904" s="22"/>
      <c r="F904" s="26"/>
      <c r="G904" s="26"/>
      <c r="H904" s="26"/>
      <c r="I904" s="26"/>
      <c r="J904" s="22"/>
      <c r="K904" s="20" t="n">
        <f aca="false">IF($D904="",0,$C904*$D904)</f>
        <v>0</v>
      </c>
      <c r="L904" s="20" t="n">
        <f aca="false">IF($D904="",0,$F904*$K904)</f>
        <v>0</v>
      </c>
      <c r="M904" s="20" t="n">
        <f aca="false">IF($D904="",0,$G904*$K904)</f>
        <v>0</v>
      </c>
      <c r="N904" s="20" t="n">
        <f aca="false">IF($D904="",0,$H904*$K904)</f>
        <v>0</v>
      </c>
      <c r="O904" s="20" t="n">
        <f aca="false">IF($D904="",0,$I904*$K904*(1-$F904))</f>
        <v>0</v>
      </c>
      <c r="P904" s="20" t="n">
        <f aca="false">IF($D904="",0,$E904*$D904+$L904+$M904+$N904+$O904+$J904*$D904)</f>
        <v>0</v>
      </c>
      <c r="Q904" s="20" t="n">
        <f aca="false">IF($D904="",0,$K904-$P904)</f>
        <v>0</v>
      </c>
      <c r="R904" s="21" t="n">
        <f aca="false">IF($K904=0,0,$Q904/$K904)</f>
        <v>0</v>
      </c>
      <c r="S904" s="20" t="n">
        <f aca="false">IF($D904="",0,$K904-$L904-$M904-$N904)</f>
        <v>0</v>
      </c>
      <c r="T904" s="22"/>
      <c r="U904" s="20" t="n">
        <f aca="false">IF($T904="",0,MAX(0,$S904-$T904))</f>
        <v>0</v>
      </c>
      <c r="V904" s="21" t="n">
        <f aca="false">IF($S904=0,0,$U904/$S904)</f>
        <v>0</v>
      </c>
      <c r="W904" s="23" t="str">
        <f aca="false">IF($D904="","",IF($T904="","BEKLİYOR",IF(OR($U904=0,$S904=0),"DOĞRU",IF(AND($V904&gt;PazaryeriEksikHakedisEsik,$U904&gt;PazaryeriEksikHakedisTutarEsik),"EKSİK HAKEDİŞ","DOĞRU"))))</f>
        <v/>
      </c>
      <c r="X904" s="23" t="str">
        <f aca="false">IF($B904="","",CONCATENATE("Ürün: ",$B904," | Kâr: ",TEXT($Q904,"₺ #,##0")," | Durum: ",$W904))</f>
        <v/>
      </c>
      <c r="Y904" s="24"/>
    </row>
    <row r="905" customFormat="false" ht="15" hidden="false" customHeight="false" outlineLevel="0" collapsed="false">
      <c r="A905" s="24"/>
      <c r="B905" s="24"/>
      <c r="C905" s="22"/>
      <c r="D905" s="25"/>
      <c r="E905" s="22"/>
      <c r="F905" s="26"/>
      <c r="G905" s="26"/>
      <c r="H905" s="26"/>
      <c r="I905" s="26"/>
      <c r="J905" s="22"/>
      <c r="K905" s="20" t="n">
        <f aca="false">IF($D905="",0,$C905*$D905)</f>
        <v>0</v>
      </c>
      <c r="L905" s="20" t="n">
        <f aca="false">IF($D905="",0,$F905*$K905)</f>
        <v>0</v>
      </c>
      <c r="M905" s="20" t="n">
        <f aca="false">IF($D905="",0,$G905*$K905)</f>
        <v>0</v>
      </c>
      <c r="N905" s="20" t="n">
        <f aca="false">IF($D905="",0,$H905*$K905)</f>
        <v>0</v>
      </c>
      <c r="O905" s="20" t="n">
        <f aca="false">IF($D905="",0,$I905*$K905*(1-$F905))</f>
        <v>0</v>
      </c>
      <c r="P905" s="20" t="n">
        <f aca="false">IF($D905="",0,$E905*$D905+$L905+$M905+$N905+$O905+$J905*$D905)</f>
        <v>0</v>
      </c>
      <c r="Q905" s="20" t="n">
        <f aca="false">IF($D905="",0,$K905-$P905)</f>
        <v>0</v>
      </c>
      <c r="R905" s="21" t="n">
        <f aca="false">IF($K905=0,0,$Q905/$K905)</f>
        <v>0</v>
      </c>
      <c r="S905" s="20" t="n">
        <f aca="false">IF($D905="",0,$K905-$L905-$M905-$N905)</f>
        <v>0</v>
      </c>
      <c r="T905" s="22"/>
      <c r="U905" s="20" t="n">
        <f aca="false">IF($T905="",0,MAX(0,$S905-$T905))</f>
        <v>0</v>
      </c>
      <c r="V905" s="21" t="n">
        <f aca="false">IF($S905=0,0,$U905/$S905)</f>
        <v>0</v>
      </c>
      <c r="W905" s="23" t="str">
        <f aca="false">IF($D905="","",IF($T905="","BEKLİYOR",IF(OR($U905=0,$S905=0),"DOĞRU",IF(AND($V905&gt;PazaryeriEksikHakedisEsik,$U905&gt;PazaryeriEksikHakedisTutarEsik),"EKSİK HAKEDİŞ","DOĞRU"))))</f>
        <v/>
      </c>
      <c r="X905" s="23" t="str">
        <f aca="false">IF($B905="","",CONCATENATE("Ürün: ",$B905," | Kâr: ",TEXT($Q905,"₺ #,##0")," | Durum: ",$W905))</f>
        <v/>
      </c>
      <c r="Y905" s="24"/>
    </row>
    <row r="906" customFormat="false" ht="15" hidden="false" customHeight="false" outlineLevel="0" collapsed="false">
      <c r="A906" s="24"/>
      <c r="B906" s="24"/>
      <c r="C906" s="22"/>
      <c r="D906" s="25"/>
      <c r="E906" s="22"/>
      <c r="F906" s="26"/>
      <c r="G906" s="26"/>
      <c r="H906" s="26"/>
      <c r="I906" s="26"/>
      <c r="J906" s="22"/>
      <c r="K906" s="20" t="n">
        <f aca="false">IF($D906="",0,$C906*$D906)</f>
        <v>0</v>
      </c>
      <c r="L906" s="20" t="n">
        <f aca="false">IF($D906="",0,$F906*$K906)</f>
        <v>0</v>
      </c>
      <c r="M906" s="20" t="n">
        <f aca="false">IF($D906="",0,$G906*$K906)</f>
        <v>0</v>
      </c>
      <c r="N906" s="20" t="n">
        <f aca="false">IF($D906="",0,$H906*$K906)</f>
        <v>0</v>
      </c>
      <c r="O906" s="20" t="n">
        <f aca="false">IF($D906="",0,$I906*$K906*(1-$F906))</f>
        <v>0</v>
      </c>
      <c r="P906" s="20" t="n">
        <f aca="false">IF($D906="",0,$E906*$D906+$L906+$M906+$N906+$O906+$J906*$D906)</f>
        <v>0</v>
      </c>
      <c r="Q906" s="20" t="n">
        <f aca="false">IF($D906="",0,$K906-$P906)</f>
        <v>0</v>
      </c>
      <c r="R906" s="21" t="n">
        <f aca="false">IF($K906=0,0,$Q906/$K906)</f>
        <v>0</v>
      </c>
      <c r="S906" s="20" t="n">
        <f aca="false">IF($D906="",0,$K906-$L906-$M906-$N906)</f>
        <v>0</v>
      </c>
      <c r="T906" s="22"/>
      <c r="U906" s="20" t="n">
        <f aca="false">IF($T906="",0,MAX(0,$S906-$T906))</f>
        <v>0</v>
      </c>
      <c r="V906" s="21" t="n">
        <f aca="false">IF($S906=0,0,$U906/$S906)</f>
        <v>0</v>
      </c>
      <c r="W906" s="23" t="str">
        <f aca="false">IF($D906="","",IF($T906="","BEKLİYOR",IF(OR($U906=0,$S906=0),"DOĞRU",IF(AND($V906&gt;PazaryeriEksikHakedisEsik,$U906&gt;PazaryeriEksikHakedisTutarEsik),"EKSİK HAKEDİŞ","DOĞRU"))))</f>
        <v/>
      </c>
      <c r="X906" s="23" t="str">
        <f aca="false">IF($B906="","",CONCATENATE("Ürün: ",$B906," | Kâr: ",TEXT($Q906,"₺ #,##0")," | Durum: ",$W906))</f>
        <v/>
      </c>
      <c r="Y906" s="24"/>
    </row>
    <row r="907" customFormat="false" ht="15" hidden="false" customHeight="false" outlineLevel="0" collapsed="false">
      <c r="A907" s="24"/>
      <c r="B907" s="24"/>
      <c r="C907" s="22"/>
      <c r="D907" s="25"/>
      <c r="E907" s="22"/>
      <c r="F907" s="26"/>
      <c r="G907" s="26"/>
      <c r="H907" s="26"/>
      <c r="I907" s="26"/>
      <c r="J907" s="22"/>
      <c r="K907" s="20" t="n">
        <f aca="false">IF($D907="",0,$C907*$D907)</f>
        <v>0</v>
      </c>
      <c r="L907" s="20" t="n">
        <f aca="false">IF($D907="",0,$F907*$K907)</f>
        <v>0</v>
      </c>
      <c r="M907" s="20" t="n">
        <f aca="false">IF($D907="",0,$G907*$K907)</f>
        <v>0</v>
      </c>
      <c r="N907" s="20" t="n">
        <f aca="false">IF($D907="",0,$H907*$K907)</f>
        <v>0</v>
      </c>
      <c r="O907" s="20" t="n">
        <f aca="false">IF($D907="",0,$I907*$K907*(1-$F907))</f>
        <v>0</v>
      </c>
      <c r="P907" s="20" t="n">
        <f aca="false">IF($D907="",0,$E907*$D907+$L907+$M907+$N907+$O907+$J907*$D907)</f>
        <v>0</v>
      </c>
      <c r="Q907" s="20" t="n">
        <f aca="false">IF($D907="",0,$K907-$P907)</f>
        <v>0</v>
      </c>
      <c r="R907" s="21" t="n">
        <f aca="false">IF($K907=0,0,$Q907/$K907)</f>
        <v>0</v>
      </c>
      <c r="S907" s="20" t="n">
        <f aca="false">IF($D907="",0,$K907-$L907-$M907-$N907)</f>
        <v>0</v>
      </c>
      <c r="T907" s="22"/>
      <c r="U907" s="20" t="n">
        <f aca="false">IF($T907="",0,MAX(0,$S907-$T907))</f>
        <v>0</v>
      </c>
      <c r="V907" s="21" t="n">
        <f aca="false">IF($S907=0,0,$U907/$S907)</f>
        <v>0</v>
      </c>
      <c r="W907" s="23" t="str">
        <f aca="false">IF($D907="","",IF($T907="","BEKLİYOR",IF(OR($U907=0,$S907=0),"DOĞRU",IF(AND($V907&gt;PazaryeriEksikHakedisEsik,$U907&gt;PazaryeriEksikHakedisTutarEsik),"EKSİK HAKEDİŞ","DOĞRU"))))</f>
        <v/>
      </c>
      <c r="X907" s="23" t="str">
        <f aca="false">IF($B907="","",CONCATENATE("Ürün: ",$B907," | Kâr: ",TEXT($Q907,"₺ #,##0")," | Durum: ",$W907))</f>
        <v/>
      </c>
      <c r="Y907" s="24"/>
    </row>
    <row r="908" customFormat="false" ht="15" hidden="false" customHeight="false" outlineLevel="0" collapsed="false">
      <c r="A908" s="24"/>
      <c r="B908" s="24"/>
      <c r="C908" s="22"/>
      <c r="D908" s="25"/>
      <c r="E908" s="22"/>
      <c r="F908" s="26"/>
      <c r="G908" s="26"/>
      <c r="H908" s="26"/>
      <c r="I908" s="26"/>
      <c r="J908" s="22"/>
      <c r="K908" s="20" t="n">
        <f aca="false">IF($D908="",0,$C908*$D908)</f>
        <v>0</v>
      </c>
      <c r="L908" s="20" t="n">
        <f aca="false">IF($D908="",0,$F908*$K908)</f>
        <v>0</v>
      </c>
      <c r="M908" s="20" t="n">
        <f aca="false">IF($D908="",0,$G908*$K908)</f>
        <v>0</v>
      </c>
      <c r="N908" s="20" t="n">
        <f aca="false">IF($D908="",0,$H908*$K908)</f>
        <v>0</v>
      </c>
      <c r="O908" s="20" t="n">
        <f aca="false">IF($D908="",0,$I908*$K908*(1-$F908))</f>
        <v>0</v>
      </c>
      <c r="P908" s="20" t="n">
        <f aca="false">IF($D908="",0,$E908*$D908+$L908+$M908+$N908+$O908+$J908*$D908)</f>
        <v>0</v>
      </c>
      <c r="Q908" s="20" t="n">
        <f aca="false">IF($D908="",0,$K908-$P908)</f>
        <v>0</v>
      </c>
      <c r="R908" s="21" t="n">
        <f aca="false">IF($K908=0,0,$Q908/$K908)</f>
        <v>0</v>
      </c>
      <c r="S908" s="20" t="n">
        <f aca="false">IF($D908="",0,$K908-$L908-$M908-$N908)</f>
        <v>0</v>
      </c>
      <c r="T908" s="22"/>
      <c r="U908" s="20" t="n">
        <f aca="false">IF($T908="",0,MAX(0,$S908-$T908))</f>
        <v>0</v>
      </c>
      <c r="V908" s="21" t="n">
        <f aca="false">IF($S908=0,0,$U908/$S908)</f>
        <v>0</v>
      </c>
      <c r="W908" s="23" t="str">
        <f aca="false">IF($D908="","",IF($T908="","BEKLİYOR",IF(OR($U908=0,$S908=0),"DOĞRU",IF(AND($V908&gt;PazaryeriEksikHakedisEsik,$U908&gt;PazaryeriEksikHakedisTutarEsik),"EKSİK HAKEDİŞ","DOĞRU"))))</f>
        <v/>
      </c>
      <c r="X908" s="23" t="str">
        <f aca="false">IF($B908="","",CONCATENATE("Ürün: ",$B908," | Kâr: ",TEXT($Q908,"₺ #,##0")," | Durum: ",$W908))</f>
        <v/>
      </c>
      <c r="Y908" s="24"/>
    </row>
    <row r="909" customFormat="false" ht="15" hidden="false" customHeight="false" outlineLevel="0" collapsed="false">
      <c r="A909" s="24"/>
      <c r="B909" s="24"/>
      <c r="C909" s="22"/>
      <c r="D909" s="25"/>
      <c r="E909" s="22"/>
      <c r="F909" s="26"/>
      <c r="G909" s="26"/>
      <c r="H909" s="26"/>
      <c r="I909" s="26"/>
      <c r="J909" s="22"/>
      <c r="K909" s="20" t="n">
        <f aca="false">IF($D909="",0,$C909*$D909)</f>
        <v>0</v>
      </c>
      <c r="L909" s="20" t="n">
        <f aca="false">IF($D909="",0,$F909*$K909)</f>
        <v>0</v>
      </c>
      <c r="M909" s="20" t="n">
        <f aca="false">IF($D909="",0,$G909*$K909)</f>
        <v>0</v>
      </c>
      <c r="N909" s="20" t="n">
        <f aca="false">IF($D909="",0,$H909*$K909)</f>
        <v>0</v>
      </c>
      <c r="O909" s="20" t="n">
        <f aca="false">IF($D909="",0,$I909*$K909*(1-$F909))</f>
        <v>0</v>
      </c>
      <c r="P909" s="20" t="n">
        <f aca="false">IF($D909="",0,$E909*$D909+$L909+$M909+$N909+$O909+$J909*$D909)</f>
        <v>0</v>
      </c>
      <c r="Q909" s="20" t="n">
        <f aca="false">IF($D909="",0,$K909-$P909)</f>
        <v>0</v>
      </c>
      <c r="R909" s="21" t="n">
        <f aca="false">IF($K909=0,0,$Q909/$K909)</f>
        <v>0</v>
      </c>
      <c r="S909" s="20" t="n">
        <f aca="false">IF($D909="",0,$K909-$L909-$M909-$N909)</f>
        <v>0</v>
      </c>
      <c r="T909" s="22"/>
      <c r="U909" s="20" t="n">
        <f aca="false">IF($T909="",0,MAX(0,$S909-$T909))</f>
        <v>0</v>
      </c>
      <c r="V909" s="21" t="n">
        <f aca="false">IF($S909=0,0,$U909/$S909)</f>
        <v>0</v>
      </c>
      <c r="W909" s="23" t="str">
        <f aca="false">IF($D909="","",IF($T909="","BEKLİYOR",IF(OR($U909=0,$S909=0),"DOĞRU",IF(AND($V909&gt;PazaryeriEksikHakedisEsik,$U909&gt;PazaryeriEksikHakedisTutarEsik),"EKSİK HAKEDİŞ","DOĞRU"))))</f>
        <v/>
      </c>
      <c r="X909" s="23" t="str">
        <f aca="false">IF($B909="","",CONCATENATE("Ürün: ",$B909," | Kâr: ",TEXT($Q909,"₺ #,##0")," | Durum: ",$W909))</f>
        <v/>
      </c>
      <c r="Y909" s="24"/>
    </row>
    <row r="910" customFormat="false" ht="15" hidden="false" customHeight="false" outlineLevel="0" collapsed="false">
      <c r="A910" s="24"/>
      <c r="B910" s="24"/>
      <c r="C910" s="22"/>
      <c r="D910" s="25"/>
      <c r="E910" s="22"/>
      <c r="F910" s="26"/>
      <c r="G910" s="26"/>
      <c r="H910" s="26"/>
      <c r="I910" s="26"/>
      <c r="J910" s="22"/>
      <c r="K910" s="20" t="n">
        <f aca="false">IF($D910="",0,$C910*$D910)</f>
        <v>0</v>
      </c>
      <c r="L910" s="20" t="n">
        <f aca="false">IF($D910="",0,$F910*$K910)</f>
        <v>0</v>
      </c>
      <c r="M910" s="20" t="n">
        <f aca="false">IF($D910="",0,$G910*$K910)</f>
        <v>0</v>
      </c>
      <c r="N910" s="20" t="n">
        <f aca="false">IF($D910="",0,$H910*$K910)</f>
        <v>0</v>
      </c>
      <c r="O910" s="20" t="n">
        <f aca="false">IF($D910="",0,$I910*$K910*(1-$F910))</f>
        <v>0</v>
      </c>
      <c r="P910" s="20" t="n">
        <f aca="false">IF($D910="",0,$E910*$D910+$L910+$M910+$N910+$O910+$J910*$D910)</f>
        <v>0</v>
      </c>
      <c r="Q910" s="20" t="n">
        <f aca="false">IF($D910="",0,$K910-$P910)</f>
        <v>0</v>
      </c>
      <c r="R910" s="21" t="n">
        <f aca="false">IF($K910=0,0,$Q910/$K910)</f>
        <v>0</v>
      </c>
      <c r="S910" s="20" t="n">
        <f aca="false">IF($D910="",0,$K910-$L910-$M910-$N910)</f>
        <v>0</v>
      </c>
      <c r="T910" s="22"/>
      <c r="U910" s="20" t="n">
        <f aca="false">IF($T910="",0,MAX(0,$S910-$T910))</f>
        <v>0</v>
      </c>
      <c r="V910" s="21" t="n">
        <f aca="false">IF($S910=0,0,$U910/$S910)</f>
        <v>0</v>
      </c>
      <c r="W910" s="23" t="str">
        <f aca="false">IF($D910="","",IF($T910="","BEKLİYOR",IF(OR($U910=0,$S910=0),"DOĞRU",IF(AND($V910&gt;PazaryeriEksikHakedisEsik,$U910&gt;PazaryeriEksikHakedisTutarEsik),"EKSİK HAKEDİŞ","DOĞRU"))))</f>
        <v/>
      </c>
      <c r="X910" s="23" t="str">
        <f aca="false">IF($B910="","",CONCATENATE("Ürün: ",$B910," | Kâr: ",TEXT($Q910,"₺ #,##0")," | Durum: ",$W910))</f>
        <v/>
      </c>
      <c r="Y910" s="24"/>
    </row>
    <row r="911" customFormat="false" ht="15" hidden="false" customHeight="false" outlineLevel="0" collapsed="false">
      <c r="A911" s="24"/>
      <c r="B911" s="24"/>
      <c r="C911" s="22"/>
      <c r="D911" s="25"/>
      <c r="E911" s="22"/>
      <c r="F911" s="26"/>
      <c r="G911" s="26"/>
      <c r="H911" s="26"/>
      <c r="I911" s="26"/>
      <c r="J911" s="22"/>
      <c r="K911" s="20" t="n">
        <f aca="false">IF($D911="",0,$C911*$D911)</f>
        <v>0</v>
      </c>
      <c r="L911" s="20" t="n">
        <f aca="false">IF($D911="",0,$F911*$K911)</f>
        <v>0</v>
      </c>
      <c r="M911" s="20" t="n">
        <f aca="false">IF($D911="",0,$G911*$K911)</f>
        <v>0</v>
      </c>
      <c r="N911" s="20" t="n">
        <f aca="false">IF($D911="",0,$H911*$K911)</f>
        <v>0</v>
      </c>
      <c r="O911" s="20" t="n">
        <f aca="false">IF($D911="",0,$I911*$K911*(1-$F911))</f>
        <v>0</v>
      </c>
      <c r="P911" s="20" t="n">
        <f aca="false">IF($D911="",0,$E911*$D911+$L911+$M911+$N911+$O911+$J911*$D911)</f>
        <v>0</v>
      </c>
      <c r="Q911" s="20" t="n">
        <f aca="false">IF($D911="",0,$K911-$P911)</f>
        <v>0</v>
      </c>
      <c r="R911" s="21" t="n">
        <f aca="false">IF($K911=0,0,$Q911/$K911)</f>
        <v>0</v>
      </c>
      <c r="S911" s="20" t="n">
        <f aca="false">IF($D911="",0,$K911-$L911-$M911-$N911)</f>
        <v>0</v>
      </c>
      <c r="T911" s="22"/>
      <c r="U911" s="20" t="n">
        <f aca="false">IF($T911="",0,MAX(0,$S911-$T911))</f>
        <v>0</v>
      </c>
      <c r="V911" s="21" t="n">
        <f aca="false">IF($S911=0,0,$U911/$S911)</f>
        <v>0</v>
      </c>
      <c r="W911" s="23" t="str">
        <f aca="false">IF($D911="","",IF($T911="","BEKLİYOR",IF(OR($U911=0,$S911=0),"DOĞRU",IF(AND($V911&gt;PazaryeriEksikHakedisEsik,$U911&gt;PazaryeriEksikHakedisTutarEsik),"EKSİK HAKEDİŞ","DOĞRU"))))</f>
        <v/>
      </c>
      <c r="X911" s="23" t="str">
        <f aca="false">IF($B911="","",CONCATENATE("Ürün: ",$B911," | Kâr: ",TEXT($Q911,"₺ #,##0")," | Durum: ",$W911))</f>
        <v/>
      </c>
      <c r="Y911" s="24"/>
    </row>
    <row r="912" customFormat="false" ht="15" hidden="false" customHeight="false" outlineLevel="0" collapsed="false">
      <c r="A912" s="24"/>
      <c r="B912" s="24"/>
      <c r="C912" s="22"/>
      <c r="D912" s="25"/>
      <c r="E912" s="22"/>
      <c r="F912" s="26"/>
      <c r="G912" s="26"/>
      <c r="H912" s="26"/>
      <c r="I912" s="26"/>
      <c r="J912" s="22"/>
      <c r="K912" s="20" t="n">
        <f aca="false">IF($D912="",0,$C912*$D912)</f>
        <v>0</v>
      </c>
      <c r="L912" s="20" t="n">
        <f aca="false">IF($D912="",0,$F912*$K912)</f>
        <v>0</v>
      </c>
      <c r="M912" s="20" t="n">
        <f aca="false">IF($D912="",0,$G912*$K912)</f>
        <v>0</v>
      </c>
      <c r="N912" s="20" t="n">
        <f aca="false">IF($D912="",0,$H912*$K912)</f>
        <v>0</v>
      </c>
      <c r="O912" s="20" t="n">
        <f aca="false">IF($D912="",0,$I912*$K912*(1-$F912))</f>
        <v>0</v>
      </c>
      <c r="P912" s="20" t="n">
        <f aca="false">IF($D912="",0,$E912*$D912+$L912+$M912+$N912+$O912+$J912*$D912)</f>
        <v>0</v>
      </c>
      <c r="Q912" s="20" t="n">
        <f aca="false">IF($D912="",0,$K912-$P912)</f>
        <v>0</v>
      </c>
      <c r="R912" s="21" t="n">
        <f aca="false">IF($K912=0,0,$Q912/$K912)</f>
        <v>0</v>
      </c>
      <c r="S912" s="20" t="n">
        <f aca="false">IF($D912="",0,$K912-$L912-$M912-$N912)</f>
        <v>0</v>
      </c>
      <c r="T912" s="22"/>
      <c r="U912" s="20" t="n">
        <f aca="false">IF($T912="",0,MAX(0,$S912-$T912))</f>
        <v>0</v>
      </c>
      <c r="V912" s="21" t="n">
        <f aca="false">IF($S912=0,0,$U912/$S912)</f>
        <v>0</v>
      </c>
      <c r="W912" s="23" t="str">
        <f aca="false">IF($D912="","",IF($T912="","BEKLİYOR",IF(OR($U912=0,$S912=0),"DOĞRU",IF(AND($V912&gt;PazaryeriEksikHakedisEsik,$U912&gt;PazaryeriEksikHakedisTutarEsik),"EKSİK HAKEDİŞ","DOĞRU"))))</f>
        <v/>
      </c>
      <c r="X912" s="23" t="str">
        <f aca="false">IF($B912="","",CONCATENATE("Ürün: ",$B912," | Kâr: ",TEXT($Q912,"₺ #,##0")," | Durum: ",$W912))</f>
        <v/>
      </c>
      <c r="Y912" s="24"/>
    </row>
    <row r="913" customFormat="false" ht="15" hidden="false" customHeight="false" outlineLevel="0" collapsed="false">
      <c r="A913" s="24"/>
      <c r="B913" s="24"/>
      <c r="C913" s="22"/>
      <c r="D913" s="25"/>
      <c r="E913" s="22"/>
      <c r="F913" s="26"/>
      <c r="G913" s="26"/>
      <c r="H913" s="26"/>
      <c r="I913" s="26"/>
      <c r="J913" s="22"/>
      <c r="K913" s="20" t="n">
        <f aca="false">IF($D913="",0,$C913*$D913)</f>
        <v>0</v>
      </c>
      <c r="L913" s="20" t="n">
        <f aca="false">IF($D913="",0,$F913*$K913)</f>
        <v>0</v>
      </c>
      <c r="M913" s="20" t="n">
        <f aca="false">IF($D913="",0,$G913*$K913)</f>
        <v>0</v>
      </c>
      <c r="N913" s="20" t="n">
        <f aca="false">IF($D913="",0,$H913*$K913)</f>
        <v>0</v>
      </c>
      <c r="O913" s="20" t="n">
        <f aca="false">IF($D913="",0,$I913*$K913*(1-$F913))</f>
        <v>0</v>
      </c>
      <c r="P913" s="20" t="n">
        <f aca="false">IF($D913="",0,$E913*$D913+$L913+$M913+$N913+$O913+$J913*$D913)</f>
        <v>0</v>
      </c>
      <c r="Q913" s="20" t="n">
        <f aca="false">IF($D913="",0,$K913-$P913)</f>
        <v>0</v>
      </c>
      <c r="R913" s="21" t="n">
        <f aca="false">IF($K913=0,0,$Q913/$K913)</f>
        <v>0</v>
      </c>
      <c r="S913" s="20" t="n">
        <f aca="false">IF($D913="",0,$K913-$L913-$M913-$N913)</f>
        <v>0</v>
      </c>
      <c r="T913" s="22"/>
      <c r="U913" s="20" t="n">
        <f aca="false">IF($T913="",0,MAX(0,$S913-$T913))</f>
        <v>0</v>
      </c>
      <c r="V913" s="21" t="n">
        <f aca="false">IF($S913=0,0,$U913/$S913)</f>
        <v>0</v>
      </c>
      <c r="W913" s="23" t="str">
        <f aca="false">IF($D913="","",IF($T913="","BEKLİYOR",IF(OR($U913=0,$S913=0),"DOĞRU",IF(AND($V913&gt;PazaryeriEksikHakedisEsik,$U913&gt;PazaryeriEksikHakedisTutarEsik),"EKSİK HAKEDİŞ","DOĞRU"))))</f>
        <v/>
      </c>
      <c r="X913" s="23" t="str">
        <f aca="false">IF($B913="","",CONCATENATE("Ürün: ",$B913," | Kâr: ",TEXT($Q913,"₺ #,##0")," | Durum: ",$W913))</f>
        <v/>
      </c>
      <c r="Y913" s="24"/>
    </row>
    <row r="914" customFormat="false" ht="15" hidden="false" customHeight="false" outlineLevel="0" collapsed="false">
      <c r="A914" s="24"/>
      <c r="B914" s="24"/>
      <c r="C914" s="22"/>
      <c r="D914" s="25"/>
      <c r="E914" s="22"/>
      <c r="F914" s="26"/>
      <c r="G914" s="26"/>
      <c r="H914" s="26"/>
      <c r="I914" s="26"/>
      <c r="J914" s="22"/>
      <c r="K914" s="20" t="n">
        <f aca="false">IF($D914="",0,$C914*$D914)</f>
        <v>0</v>
      </c>
      <c r="L914" s="20" t="n">
        <f aca="false">IF($D914="",0,$F914*$K914)</f>
        <v>0</v>
      </c>
      <c r="M914" s="20" t="n">
        <f aca="false">IF($D914="",0,$G914*$K914)</f>
        <v>0</v>
      </c>
      <c r="N914" s="20" t="n">
        <f aca="false">IF($D914="",0,$H914*$K914)</f>
        <v>0</v>
      </c>
      <c r="O914" s="20" t="n">
        <f aca="false">IF($D914="",0,$I914*$K914*(1-$F914))</f>
        <v>0</v>
      </c>
      <c r="P914" s="20" t="n">
        <f aca="false">IF($D914="",0,$E914*$D914+$L914+$M914+$N914+$O914+$J914*$D914)</f>
        <v>0</v>
      </c>
      <c r="Q914" s="20" t="n">
        <f aca="false">IF($D914="",0,$K914-$P914)</f>
        <v>0</v>
      </c>
      <c r="R914" s="21" t="n">
        <f aca="false">IF($K914=0,0,$Q914/$K914)</f>
        <v>0</v>
      </c>
      <c r="S914" s="20" t="n">
        <f aca="false">IF($D914="",0,$K914-$L914-$M914-$N914)</f>
        <v>0</v>
      </c>
      <c r="T914" s="22"/>
      <c r="U914" s="20" t="n">
        <f aca="false">IF($T914="",0,MAX(0,$S914-$T914))</f>
        <v>0</v>
      </c>
      <c r="V914" s="21" t="n">
        <f aca="false">IF($S914=0,0,$U914/$S914)</f>
        <v>0</v>
      </c>
      <c r="W914" s="23" t="str">
        <f aca="false">IF($D914="","",IF($T914="","BEKLİYOR",IF(OR($U914=0,$S914=0),"DOĞRU",IF(AND($V914&gt;PazaryeriEksikHakedisEsik,$U914&gt;PazaryeriEksikHakedisTutarEsik),"EKSİK HAKEDİŞ","DOĞRU"))))</f>
        <v/>
      </c>
      <c r="X914" s="23" t="str">
        <f aca="false">IF($B914="","",CONCATENATE("Ürün: ",$B914," | Kâr: ",TEXT($Q914,"₺ #,##0")," | Durum: ",$W914))</f>
        <v/>
      </c>
      <c r="Y914" s="24"/>
    </row>
    <row r="915" customFormat="false" ht="15" hidden="false" customHeight="false" outlineLevel="0" collapsed="false">
      <c r="A915" s="24"/>
      <c r="B915" s="24"/>
      <c r="C915" s="22"/>
      <c r="D915" s="25"/>
      <c r="E915" s="22"/>
      <c r="F915" s="26"/>
      <c r="G915" s="26"/>
      <c r="H915" s="26"/>
      <c r="I915" s="26"/>
      <c r="J915" s="22"/>
      <c r="K915" s="20" t="n">
        <f aca="false">IF($D915="",0,$C915*$D915)</f>
        <v>0</v>
      </c>
      <c r="L915" s="20" t="n">
        <f aca="false">IF($D915="",0,$F915*$K915)</f>
        <v>0</v>
      </c>
      <c r="M915" s="20" t="n">
        <f aca="false">IF($D915="",0,$G915*$K915)</f>
        <v>0</v>
      </c>
      <c r="N915" s="20" t="n">
        <f aca="false">IF($D915="",0,$H915*$K915)</f>
        <v>0</v>
      </c>
      <c r="O915" s="20" t="n">
        <f aca="false">IF($D915="",0,$I915*$K915*(1-$F915))</f>
        <v>0</v>
      </c>
      <c r="P915" s="20" t="n">
        <f aca="false">IF($D915="",0,$E915*$D915+$L915+$M915+$N915+$O915+$J915*$D915)</f>
        <v>0</v>
      </c>
      <c r="Q915" s="20" t="n">
        <f aca="false">IF($D915="",0,$K915-$P915)</f>
        <v>0</v>
      </c>
      <c r="R915" s="21" t="n">
        <f aca="false">IF($K915=0,0,$Q915/$K915)</f>
        <v>0</v>
      </c>
      <c r="S915" s="20" t="n">
        <f aca="false">IF($D915="",0,$K915-$L915-$M915-$N915)</f>
        <v>0</v>
      </c>
      <c r="T915" s="22"/>
      <c r="U915" s="20" t="n">
        <f aca="false">IF($T915="",0,MAX(0,$S915-$T915))</f>
        <v>0</v>
      </c>
      <c r="V915" s="21" t="n">
        <f aca="false">IF($S915=0,0,$U915/$S915)</f>
        <v>0</v>
      </c>
      <c r="W915" s="23" t="str">
        <f aca="false">IF($D915="","",IF($T915="","BEKLİYOR",IF(OR($U915=0,$S915=0),"DOĞRU",IF(AND($V915&gt;PazaryeriEksikHakedisEsik,$U915&gt;PazaryeriEksikHakedisTutarEsik),"EKSİK HAKEDİŞ","DOĞRU"))))</f>
        <v/>
      </c>
      <c r="X915" s="23" t="str">
        <f aca="false">IF($B915="","",CONCATENATE("Ürün: ",$B915," | Kâr: ",TEXT($Q915,"₺ #,##0")," | Durum: ",$W915))</f>
        <v/>
      </c>
      <c r="Y915" s="24"/>
    </row>
    <row r="916" customFormat="false" ht="15" hidden="false" customHeight="false" outlineLevel="0" collapsed="false">
      <c r="A916" s="24"/>
      <c r="B916" s="24"/>
      <c r="C916" s="22"/>
      <c r="D916" s="25"/>
      <c r="E916" s="22"/>
      <c r="F916" s="26"/>
      <c r="G916" s="26"/>
      <c r="H916" s="26"/>
      <c r="I916" s="26"/>
      <c r="J916" s="22"/>
      <c r="K916" s="20" t="n">
        <f aca="false">IF($D916="",0,$C916*$D916)</f>
        <v>0</v>
      </c>
      <c r="L916" s="20" t="n">
        <f aca="false">IF($D916="",0,$F916*$K916)</f>
        <v>0</v>
      </c>
      <c r="M916" s="20" t="n">
        <f aca="false">IF($D916="",0,$G916*$K916)</f>
        <v>0</v>
      </c>
      <c r="N916" s="20" t="n">
        <f aca="false">IF($D916="",0,$H916*$K916)</f>
        <v>0</v>
      </c>
      <c r="O916" s="20" t="n">
        <f aca="false">IF($D916="",0,$I916*$K916*(1-$F916))</f>
        <v>0</v>
      </c>
      <c r="P916" s="20" t="n">
        <f aca="false">IF($D916="",0,$E916*$D916+$L916+$M916+$N916+$O916+$J916*$D916)</f>
        <v>0</v>
      </c>
      <c r="Q916" s="20" t="n">
        <f aca="false">IF($D916="",0,$K916-$P916)</f>
        <v>0</v>
      </c>
      <c r="R916" s="21" t="n">
        <f aca="false">IF($K916=0,0,$Q916/$K916)</f>
        <v>0</v>
      </c>
      <c r="S916" s="20" t="n">
        <f aca="false">IF($D916="",0,$K916-$L916-$M916-$N916)</f>
        <v>0</v>
      </c>
      <c r="T916" s="22"/>
      <c r="U916" s="20" t="n">
        <f aca="false">IF($T916="",0,MAX(0,$S916-$T916))</f>
        <v>0</v>
      </c>
      <c r="V916" s="21" t="n">
        <f aca="false">IF($S916=0,0,$U916/$S916)</f>
        <v>0</v>
      </c>
      <c r="W916" s="23" t="str">
        <f aca="false">IF($D916="","",IF($T916="","BEKLİYOR",IF(OR($U916=0,$S916=0),"DOĞRU",IF(AND($V916&gt;PazaryeriEksikHakedisEsik,$U916&gt;PazaryeriEksikHakedisTutarEsik),"EKSİK HAKEDİŞ","DOĞRU"))))</f>
        <v/>
      </c>
      <c r="X916" s="23" t="str">
        <f aca="false">IF($B916="","",CONCATENATE("Ürün: ",$B916," | Kâr: ",TEXT($Q916,"₺ #,##0")," | Durum: ",$W916))</f>
        <v/>
      </c>
      <c r="Y916" s="24"/>
    </row>
    <row r="917" customFormat="false" ht="15" hidden="false" customHeight="false" outlineLevel="0" collapsed="false">
      <c r="A917" s="24"/>
      <c r="B917" s="24"/>
      <c r="C917" s="22"/>
      <c r="D917" s="25"/>
      <c r="E917" s="22"/>
      <c r="F917" s="26"/>
      <c r="G917" s="26"/>
      <c r="H917" s="26"/>
      <c r="I917" s="26"/>
      <c r="J917" s="22"/>
      <c r="K917" s="20" t="n">
        <f aca="false">IF($D917="",0,$C917*$D917)</f>
        <v>0</v>
      </c>
      <c r="L917" s="20" t="n">
        <f aca="false">IF($D917="",0,$F917*$K917)</f>
        <v>0</v>
      </c>
      <c r="M917" s="20" t="n">
        <f aca="false">IF($D917="",0,$G917*$K917)</f>
        <v>0</v>
      </c>
      <c r="N917" s="20" t="n">
        <f aca="false">IF($D917="",0,$H917*$K917)</f>
        <v>0</v>
      </c>
      <c r="O917" s="20" t="n">
        <f aca="false">IF($D917="",0,$I917*$K917*(1-$F917))</f>
        <v>0</v>
      </c>
      <c r="P917" s="20" t="n">
        <f aca="false">IF($D917="",0,$E917*$D917+$L917+$M917+$N917+$O917+$J917*$D917)</f>
        <v>0</v>
      </c>
      <c r="Q917" s="20" t="n">
        <f aca="false">IF($D917="",0,$K917-$P917)</f>
        <v>0</v>
      </c>
      <c r="R917" s="21" t="n">
        <f aca="false">IF($K917=0,0,$Q917/$K917)</f>
        <v>0</v>
      </c>
      <c r="S917" s="20" t="n">
        <f aca="false">IF($D917="",0,$K917-$L917-$M917-$N917)</f>
        <v>0</v>
      </c>
      <c r="T917" s="22"/>
      <c r="U917" s="20" t="n">
        <f aca="false">IF($T917="",0,MAX(0,$S917-$T917))</f>
        <v>0</v>
      </c>
      <c r="V917" s="21" t="n">
        <f aca="false">IF($S917=0,0,$U917/$S917)</f>
        <v>0</v>
      </c>
      <c r="W917" s="23" t="str">
        <f aca="false">IF($D917="","",IF($T917="","BEKLİYOR",IF(OR($U917=0,$S917=0),"DOĞRU",IF(AND($V917&gt;PazaryeriEksikHakedisEsik,$U917&gt;PazaryeriEksikHakedisTutarEsik),"EKSİK HAKEDİŞ","DOĞRU"))))</f>
        <v/>
      </c>
      <c r="X917" s="23" t="str">
        <f aca="false">IF($B917="","",CONCATENATE("Ürün: ",$B917," | Kâr: ",TEXT($Q917,"₺ #,##0")," | Durum: ",$W917))</f>
        <v/>
      </c>
      <c r="Y917" s="24"/>
    </row>
    <row r="918" customFormat="false" ht="15" hidden="false" customHeight="false" outlineLevel="0" collapsed="false">
      <c r="A918" s="24"/>
      <c r="B918" s="24"/>
      <c r="C918" s="22"/>
      <c r="D918" s="25"/>
      <c r="E918" s="22"/>
      <c r="F918" s="26"/>
      <c r="G918" s="26"/>
      <c r="H918" s="26"/>
      <c r="I918" s="26"/>
      <c r="J918" s="22"/>
      <c r="K918" s="20" t="n">
        <f aca="false">IF($D918="",0,$C918*$D918)</f>
        <v>0</v>
      </c>
      <c r="L918" s="20" t="n">
        <f aca="false">IF($D918="",0,$F918*$K918)</f>
        <v>0</v>
      </c>
      <c r="M918" s="20" t="n">
        <f aca="false">IF($D918="",0,$G918*$K918)</f>
        <v>0</v>
      </c>
      <c r="N918" s="20" t="n">
        <f aca="false">IF($D918="",0,$H918*$K918)</f>
        <v>0</v>
      </c>
      <c r="O918" s="20" t="n">
        <f aca="false">IF($D918="",0,$I918*$K918*(1-$F918))</f>
        <v>0</v>
      </c>
      <c r="P918" s="20" t="n">
        <f aca="false">IF($D918="",0,$E918*$D918+$L918+$M918+$N918+$O918+$J918*$D918)</f>
        <v>0</v>
      </c>
      <c r="Q918" s="20" t="n">
        <f aca="false">IF($D918="",0,$K918-$P918)</f>
        <v>0</v>
      </c>
      <c r="R918" s="21" t="n">
        <f aca="false">IF($K918=0,0,$Q918/$K918)</f>
        <v>0</v>
      </c>
      <c r="S918" s="20" t="n">
        <f aca="false">IF($D918="",0,$K918-$L918-$M918-$N918)</f>
        <v>0</v>
      </c>
      <c r="T918" s="22"/>
      <c r="U918" s="20" t="n">
        <f aca="false">IF($T918="",0,MAX(0,$S918-$T918))</f>
        <v>0</v>
      </c>
      <c r="V918" s="21" t="n">
        <f aca="false">IF($S918=0,0,$U918/$S918)</f>
        <v>0</v>
      </c>
      <c r="W918" s="23" t="str">
        <f aca="false">IF($D918="","",IF($T918="","BEKLİYOR",IF(OR($U918=0,$S918=0),"DOĞRU",IF(AND($V918&gt;PazaryeriEksikHakedisEsik,$U918&gt;PazaryeriEksikHakedisTutarEsik),"EKSİK HAKEDİŞ","DOĞRU"))))</f>
        <v/>
      </c>
      <c r="X918" s="23" t="str">
        <f aca="false">IF($B918="","",CONCATENATE("Ürün: ",$B918," | Kâr: ",TEXT($Q918,"₺ #,##0")," | Durum: ",$W918))</f>
        <v/>
      </c>
      <c r="Y918" s="24"/>
    </row>
    <row r="919" customFormat="false" ht="15" hidden="false" customHeight="false" outlineLevel="0" collapsed="false">
      <c r="A919" s="24"/>
      <c r="B919" s="24"/>
      <c r="C919" s="22"/>
      <c r="D919" s="25"/>
      <c r="E919" s="22"/>
      <c r="F919" s="26"/>
      <c r="G919" s="26"/>
      <c r="H919" s="26"/>
      <c r="I919" s="26"/>
      <c r="J919" s="22"/>
      <c r="K919" s="20" t="n">
        <f aca="false">IF($D919="",0,$C919*$D919)</f>
        <v>0</v>
      </c>
      <c r="L919" s="20" t="n">
        <f aca="false">IF($D919="",0,$F919*$K919)</f>
        <v>0</v>
      </c>
      <c r="M919" s="20" t="n">
        <f aca="false">IF($D919="",0,$G919*$K919)</f>
        <v>0</v>
      </c>
      <c r="N919" s="20" t="n">
        <f aca="false">IF($D919="",0,$H919*$K919)</f>
        <v>0</v>
      </c>
      <c r="O919" s="20" t="n">
        <f aca="false">IF($D919="",0,$I919*$K919*(1-$F919))</f>
        <v>0</v>
      </c>
      <c r="P919" s="20" t="n">
        <f aca="false">IF($D919="",0,$E919*$D919+$L919+$M919+$N919+$O919+$J919*$D919)</f>
        <v>0</v>
      </c>
      <c r="Q919" s="20" t="n">
        <f aca="false">IF($D919="",0,$K919-$P919)</f>
        <v>0</v>
      </c>
      <c r="R919" s="21" t="n">
        <f aca="false">IF($K919=0,0,$Q919/$K919)</f>
        <v>0</v>
      </c>
      <c r="S919" s="20" t="n">
        <f aca="false">IF($D919="",0,$K919-$L919-$M919-$N919)</f>
        <v>0</v>
      </c>
      <c r="T919" s="22"/>
      <c r="U919" s="20" t="n">
        <f aca="false">IF($T919="",0,MAX(0,$S919-$T919))</f>
        <v>0</v>
      </c>
      <c r="V919" s="21" t="n">
        <f aca="false">IF($S919=0,0,$U919/$S919)</f>
        <v>0</v>
      </c>
      <c r="W919" s="23" t="str">
        <f aca="false">IF($D919="","",IF($T919="","BEKLİYOR",IF(OR($U919=0,$S919=0),"DOĞRU",IF(AND($V919&gt;PazaryeriEksikHakedisEsik,$U919&gt;PazaryeriEksikHakedisTutarEsik),"EKSİK HAKEDİŞ","DOĞRU"))))</f>
        <v/>
      </c>
      <c r="X919" s="23" t="str">
        <f aca="false">IF($B919="","",CONCATENATE("Ürün: ",$B919," | Kâr: ",TEXT($Q919,"₺ #,##0")," | Durum: ",$W919))</f>
        <v/>
      </c>
      <c r="Y919" s="24"/>
    </row>
    <row r="920" customFormat="false" ht="15" hidden="false" customHeight="false" outlineLevel="0" collapsed="false">
      <c r="A920" s="24"/>
      <c r="B920" s="24"/>
      <c r="C920" s="22"/>
      <c r="D920" s="25"/>
      <c r="E920" s="22"/>
      <c r="F920" s="26"/>
      <c r="G920" s="26"/>
      <c r="H920" s="26"/>
      <c r="I920" s="26"/>
      <c r="J920" s="22"/>
      <c r="K920" s="20" t="n">
        <f aca="false">IF($D920="",0,$C920*$D920)</f>
        <v>0</v>
      </c>
      <c r="L920" s="20" t="n">
        <f aca="false">IF($D920="",0,$F920*$K920)</f>
        <v>0</v>
      </c>
      <c r="M920" s="20" t="n">
        <f aca="false">IF($D920="",0,$G920*$K920)</f>
        <v>0</v>
      </c>
      <c r="N920" s="20" t="n">
        <f aca="false">IF($D920="",0,$H920*$K920)</f>
        <v>0</v>
      </c>
      <c r="O920" s="20" t="n">
        <f aca="false">IF($D920="",0,$I920*$K920*(1-$F920))</f>
        <v>0</v>
      </c>
      <c r="P920" s="20" t="n">
        <f aca="false">IF($D920="",0,$E920*$D920+$L920+$M920+$N920+$O920+$J920*$D920)</f>
        <v>0</v>
      </c>
      <c r="Q920" s="20" t="n">
        <f aca="false">IF($D920="",0,$K920-$P920)</f>
        <v>0</v>
      </c>
      <c r="R920" s="21" t="n">
        <f aca="false">IF($K920=0,0,$Q920/$K920)</f>
        <v>0</v>
      </c>
      <c r="S920" s="20" t="n">
        <f aca="false">IF($D920="",0,$K920-$L920-$M920-$N920)</f>
        <v>0</v>
      </c>
      <c r="T920" s="22"/>
      <c r="U920" s="20" t="n">
        <f aca="false">IF($T920="",0,MAX(0,$S920-$T920))</f>
        <v>0</v>
      </c>
      <c r="V920" s="21" t="n">
        <f aca="false">IF($S920=0,0,$U920/$S920)</f>
        <v>0</v>
      </c>
      <c r="W920" s="23" t="str">
        <f aca="false">IF($D920="","",IF($T920="","BEKLİYOR",IF(OR($U920=0,$S920=0),"DOĞRU",IF(AND($V920&gt;PazaryeriEksikHakedisEsik,$U920&gt;PazaryeriEksikHakedisTutarEsik),"EKSİK HAKEDİŞ","DOĞRU"))))</f>
        <v/>
      </c>
      <c r="X920" s="23" t="str">
        <f aca="false">IF($B920="","",CONCATENATE("Ürün: ",$B920," | Kâr: ",TEXT($Q920,"₺ #,##0")," | Durum: ",$W920))</f>
        <v/>
      </c>
      <c r="Y920" s="24"/>
    </row>
    <row r="921" customFormat="false" ht="15" hidden="false" customHeight="false" outlineLevel="0" collapsed="false">
      <c r="A921" s="24"/>
      <c r="B921" s="24"/>
      <c r="C921" s="22"/>
      <c r="D921" s="25"/>
      <c r="E921" s="22"/>
      <c r="F921" s="26"/>
      <c r="G921" s="26"/>
      <c r="H921" s="26"/>
      <c r="I921" s="26"/>
      <c r="J921" s="22"/>
      <c r="K921" s="20" t="n">
        <f aca="false">IF($D921="",0,$C921*$D921)</f>
        <v>0</v>
      </c>
      <c r="L921" s="20" t="n">
        <f aca="false">IF($D921="",0,$F921*$K921)</f>
        <v>0</v>
      </c>
      <c r="M921" s="20" t="n">
        <f aca="false">IF($D921="",0,$G921*$K921)</f>
        <v>0</v>
      </c>
      <c r="N921" s="20" t="n">
        <f aca="false">IF($D921="",0,$H921*$K921)</f>
        <v>0</v>
      </c>
      <c r="O921" s="20" t="n">
        <f aca="false">IF($D921="",0,$I921*$K921*(1-$F921))</f>
        <v>0</v>
      </c>
      <c r="P921" s="20" t="n">
        <f aca="false">IF($D921="",0,$E921*$D921+$L921+$M921+$N921+$O921+$J921*$D921)</f>
        <v>0</v>
      </c>
      <c r="Q921" s="20" t="n">
        <f aca="false">IF($D921="",0,$K921-$P921)</f>
        <v>0</v>
      </c>
      <c r="R921" s="21" t="n">
        <f aca="false">IF($K921=0,0,$Q921/$K921)</f>
        <v>0</v>
      </c>
      <c r="S921" s="20" t="n">
        <f aca="false">IF($D921="",0,$K921-$L921-$M921-$N921)</f>
        <v>0</v>
      </c>
      <c r="T921" s="22"/>
      <c r="U921" s="20" t="n">
        <f aca="false">IF($T921="",0,MAX(0,$S921-$T921))</f>
        <v>0</v>
      </c>
      <c r="V921" s="21" t="n">
        <f aca="false">IF($S921=0,0,$U921/$S921)</f>
        <v>0</v>
      </c>
      <c r="W921" s="23" t="str">
        <f aca="false">IF($D921="","",IF($T921="","BEKLİYOR",IF(OR($U921=0,$S921=0),"DOĞRU",IF(AND($V921&gt;PazaryeriEksikHakedisEsik,$U921&gt;PazaryeriEksikHakedisTutarEsik),"EKSİK HAKEDİŞ","DOĞRU"))))</f>
        <v/>
      </c>
      <c r="X921" s="23" t="str">
        <f aca="false">IF($B921="","",CONCATENATE("Ürün: ",$B921," | Kâr: ",TEXT($Q921,"₺ #,##0")," | Durum: ",$W921))</f>
        <v/>
      </c>
      <c r="Y921" s="24"/>
    </row>
    <row r="922" customFormat="false" ht="15" hidden="false" customHeight="false" outlineLevel="0" collapsed="false">
      <c r="A922" s="24"/>
      <c r="B922" s="24"/>
      <c r="C922" s="22"/>
      <c r="D922" s="25"/>
      <c r="E922" s="22"/>
      <c r="F922" s="26"/>
      <c r="G922" s="26"/>
      <c r="H922" s="26"/>
      <c r="I922" s="26"/>
      <c r="J922" s="22"/>
      <c r="K922" s="20" t="n">
        <f aca="false">IF($D922="",0,$C922*$D922)</f>
        <v>0</v>
      </c>
      <c r="L922" s="20" t="n">
        <f aca="false">IF($D922="",0,$F922*$K922)</f>
        <v>0</v>
      </c>
      <c r="M922" s="20" t="n">
        <f aca="false">IF($D922="",0,$G922*$K922)</f>
        <v>0</v>
      </c>
      <c r="N922" s="20" t="n">
        <f aca="false">IF($D922="",0,$H922*$K922)</f>
        <v>0</v>
      </c>
      <c r="O922" s="20" t="n">
        <f aca="false">IF($D922="",0,$I922*$K922*(1-$F922))</f>
        <v>0</v>
      </c>
      <c r="P922" s="20" t="n">
        <f aca="false">IF($D922="",0,$E922*$D922+$L922+$M922+$N922+$O922+$J922*$D922)</f>
        <v>0</v>
      </c>
      <c r="Q922" s="20" t="n">
        <f aca="false">IF($D922="",0,$K922-$P922)</f>
        <v>0</v>
      </c>
      <c r="R922" s="21" t="n">
        <f aca="false">IF($K922=0,0,$Q922/$K922)</f>
        <v>0</v>
      </c>
      <c r="S922" s="20" t="n">
        <f aca="false">IF($D922="",0,$K922-$L922-$M922-$N922)</f>
        <v>0</v>
      </c>
      <c r="T922" s="22"/>
      <c r="U922" s="20" t="n">
        <f aca="false">IF($T922="",0,MAX(0,$S922-$T922))</f>
        <v>0</v>
      </c>
      <c r="V922" s="21" t="n">
        <f aca="false">IF($S922=0,0,$U922/$S922)</f>
        <v>0</v>
      </c>
      <c r="W922" s="23" t="str">
        <f aca="false">IF($D922="","",IF($T922="","BEKLİYOR",IF(OR($U922=0,$S922=0),"DOĞRU",IF(AND($V922&gt;PazaryeriEksikHakedisEsik,$U922&gt;PazaryeriEksikHakedisTutarEsik),"EKSİK HAKEDİŞ","DOĞRU"))))</f>
        <v/>
      </c>
      <c r="X922" s="23" t="str">
        <f aca="false">IF($B922="","",CONCATENATE("Ürün: ",$B922," | Kâr: ",TEXT($Q922,"₺ #,##0")," | Durum: ",$W922))</f>
        <v/>
      </c>
      <c r="Y922" s="24"/>
    </row>
    <row r="923" customFormat="false" ht="15" hidden="false" customHeight="false" outlineLevel="0" collapsed="false">
      <c r="A923" s="24"/>
      <c r="B923" s="24"/>
      <c r="C923" s="22"/>
      <c r="D923" s="25"/>
      <c r="E923" s="22"/>
      <c r="F923" s="26"/>
      <c r="G923" s="26"/>
      <c r="H923" s="26"/>
      <c r="I923" s="26"/>
      <c r="J923" s="22"/>
      <c r="K923" s="20" t="n">
        <f aca="false">IF($D923="",0,$C923*$D923)</f>
        <v>0</v>
      </c>
      <c r="L923" s="20" t="n">
        <f aca="false">IF($D923="",0,$F923*$K923)</f>
        <v>0</v>
      </c>
      <c r="M923" s="20" t="n">
        <f aca="false">IF($D923="",0,$G923*$K923)</f>
        <v>0</v>
      </c>
      <c r="N923" s="20" t="n">
        <f aca="false">IF($D923="",0,$H923*$K923)</f>
        <v>0</v>
      </c>
      <c r="O923" s="20" t="n">
        <f aca="false">IF($D923="",0,$I923*$K923*(1-$F923))</f>
        <v>0</v>
      </c>
      <c r="P923" s="20" t="n">
        <f aca="false">IF($D923="",0,$E923*$D923+$L923+$M923+$N923+$O923+$J923*$D923)</f>
        <v>0</v>
      </c>
      <c r="Q923" s="20" t="n">
        <f aca="false">IF($D923="",0,$K923-$P923)</f>
        <v>0</v>
      </c>
      <c r="R923" s="21" t="n">
        <f aca="false">IF($K923=0,0,$Q923/$K923)</f>
        <v>0</v>
      </c>
      <c r="S923" s="20" t="n">
        <f aca="false">IF($D923="",0,$K923-$L923-$M923-$N923)</f>
        <v>0</v>
      </c>
      <c r="T923" s="22"/>
      <c r="U923" s="20" t="n">
        <f aca="false">IF($T923="",0,MAX(0,$S923-$T923))</f>
        <v>0</v>
      </c>
      <c r="V923" s="21" t="n">
        <f aca="false">IF($S923=0,0,$U923/$S923)</f>
        <v>0</v>
      </c>
      <c r="W923" s="23" t="str">
        <f aca="false">IF($D923="","",IF($T923="","BEKLİYOR",IF(OR($U923=0,$S923=0),"DOĞRU",IF(AND($V923&gt;PazaryeriEksikHakedisEsik,$U923&gt;PazaryeriEksikHakedisTutarEsik),"EKSİK HAKEDİŞ","DOĞRU"))))</f>
        <v/>
      </c>
      <c r="X923" s="23" t="str">
        <f aca="false">IF($B923="","",CONCATENATE("Ürün: ",$B923," | Kâr: ",TEXT($Q923,"₺ #,##0")," | Durum: ",$W923))</f>
        <v/>
      </c>
      <c r="Y923" s="24"/>
    </row>
    <row r="924" customFormat="false" ht="15" hidden="false" customHeight="false" outlineLevel="0" collapsed="false">
      <c r="A924" s="24"/>
      <c r="B924" s="24"/>
      <c r="C924" s="22"/>
      <c r="D924" s="25"/>
      <c r="E924" s="22"/>
      <c r="F924" s="26"/>
      <c r="G924" s="26"/>
      <c r="H924" s="26"/>
      <c r="I924" s="26"/>
      <c r="J924" s="22"/>
      <c r="K924" s="20" t="n">
        <f aca="false">IF($D924="",0,$C924*$D924)</f>
        <v>0</v>
      </c>
      <c r="L924" s="20" t="n">
        <f aca="false">IF($D924="",0,$F924*$K924)</f>
        <v>0</v>
      </c>
      <c r="M924" s="20" t="n">
        <f aca="false">IF($D924="",0,$G924*$K924)</f>
        <v>0</v>
      </c>
      <c r="N924" s="20" t="n">
        <f aca="false">IF($D924="",0,$H924*$K924)</f>
        <v>0</v>
      </c>
      <c r="O924" s="20" t="n">
        <f aca="false">IF($D924="",0,$I924*$K924*(1-$F924))</f>
        <v>0</v>
      </c>
      <c r="P924" s="20" t="n">
        <f aca="false">IF($D924="",0,$E924*$D924+$L924+$M924+$N924+$O924+$J924*$D924)</f>
        <v>0</v>
      </c>
      <c r="Q924" s="20" t="n">
        <f aca="false">IF($D924="",0,$K924-$P924)</f>
        <v>0</v>
      </c>
      <c r="R924" s="21" t="n">
        <f aca="false">IF($K924=0,0,$Q924/$K924)</f>
        <v>0</v>
      </c>
      <c r="S924" s="20" t="n">
        <f aca="false">IF($D924="",0,$K924-$L924-$M924-$N924)</f>
        <v>0</v>
      </c>
      <c r="T924" s="22"/>
      <c r="U924" s="20" t="n">
        <f aca="false">IF($T924="",0,MAX(0,$S924-$T924))</f>
        <v>0</v>
      </c>
      <c r="V924" s="21" t="n">
        <f aca="false">IF($S924=0,0,$U924/$S924)</f>
        <v>0</v>
      </c>
      <c r="W924" s="23" t="str">
        <f aca="false">IF($D924="","",IF($T924="","BEKLİYOR",IF(OR($U924=0,$S924=0),"DOĞRU",IF(AND($V924&gt;PazaryeriEksikHakedisEsik,$U924&gt;PazaryeriEksikHakedisTutarEsik),"EKSİK HAKEDİŞ","DOĞRU"))))</f>
        <v/>
      </c>
      <c r="X924" s="23" t="str">
        <f aca="false">IF($B924="","",CONCATENATE("Ürün: ",$B924," | Kâr: ",TEXT($Q924,"₺ #,##0")," | Durum: ",$W924))</f>
        <v/>
      </c>
      <c r="Y924" s="24"/>
    </row>
    <row r="925" customFormat="false" ht="15" hidden="false" customHeight="false" outlineLevel="0" collapsed="false">
      <c r="A925" s="24"/>
      <c r="B925" s="24"/>
      <c r="C925" s="22"/>
      <c r="D925" s="25"/>
      <c r="E925" s="22"/>
      <c r="F925" s="26"/>
      <c r="G925" s="26"/>
      <c r="H925" s="26"/>
      <c r="I925" s="26"/>
      <c r="J925" s="22"/>
      <c r="K925" s="20" t="n">
        <f aca="false">IF($D925="",0,$C925*$D925)</f>
        <v>0</v>
      </c>
      <c r="L925" s="20" t="n">
        <f aca="false">IF($D925="",0,$F925*$K925)</f>
        <v>0</v>
      </c>
      <c r="M925" s="20" t="n">
        <f aca="false">IF($D925="",0,$G925*$K925)</f>
        <v>0</v>
      </c>
      <c r="N925" s="20" t="n">
        <f aca="false">IF($D925="",0,$H925*$K925)</f>
        <v>0</v>
      </c>
      <c r="O925" s="20" t="n">
        <f aca="false">IF($D925="",0,$I925*$K925*(1-$F925))</f>
        <v>0</v>
      </c>
      <c r="P925" s="20" t="n">
        <f aca="false">IF($D925="",0,$E925*$D925+$L925+$M925+$N925+$O925+$J925*$D925)</f>
        <v>0</v>
      </c>
      <c r="Q925" s="20" t="n">
        <f aca="false">IF($D925="",0,$K925-$P925)</f>
        <v>0</v>
      </c>
      <c r="R925" s="21" t="n">
        <f aca="false">IF($K925=0,0,$Q925/$K925)</f>
        <v>0</v>
      </c>
      <c r="S925" s="20" t="n">
        <f aca="false">IF($D925="",0,$K925-$L925-$M925-$N925)</f>
        <v>0</v>
      </c>
      <c r="T925" s="22"/>
      <c r="U925" s="20" t="n">
        <f aca="false">IF($T925="",0,MAX(0,$S925-$T925))</f>
        <v>0</v>
      </c>
      <c r="V925" s="21" t="n">
        <f aca="false">IF($S925=0,0,$U925/$S925)</f>
        <v>0</v>
      </c>
      <c r="W925" s="23" t="str">
        <f aca="false">IF($D925="","",IF($T925="","BEKLİYOR",IF(OR($U925=0,$S925=0),"DOĞRU",IF(AND($V925&gt;PazaryeriEksikHakedisEsik,$U925&gt;PazaryeriEksikHakedisTutarEsik),"EKSİK HAKEDİŞ","DOĞRU"))))</f>
        <v/>
      </c>
      <c r="X925" s="23" t="str">
        <f aca="false">IF($B925="","",CONCATENATE("Ürün: ",$B925," | Kâr: ",TEXT($Q925,"₺ #,##0")," | Durum: ",$W925))</f>
        <v/>
      </c>
      <c r="Y925" s="24"/>
    </row>
    <row r="926" customFormat="false" ht="15" hidden="false" customHeight="false" outlineLevel="0" collapsed="false">
      <c r="A926" s="24"/>
      <c r="B926" s="24"/>
      <c r="C926" s="22"/>
      <c r="D926" s="25"/>
      <c r="E926" s="22"/>
      <c r="F926" s="26"/>
      <c r="G926" s="26"/>
      <c r="H926" s="26"/>
      <c r="I926" s="26"/>
      <c r="J926" s="22"/>
      <c r="K926" s="20" t="n">
        <f aca="false">IF($D926="",0,$C926*$D926)</f>
        <v>0</v>
      </c>
      <c r="L926" s="20" t="n">
        <f aca="false">IF($D926="",0,$F926*$K926)</f>
        <v>0</v>
      </c>
      <c r="M926" s="20" t="n">
        <f aca="false">IF($D926="",0,$G926*$K926)</f>
        <v>0</v>
      </c>
      <c r="N926" s="20" t="n">
        <f aca="false">IF($D926="",0,$H926*$K926)</f>
        <v>0</v>
      </c>
      <c r="O926" s="20" t="n">
        <f aca="false">IF($D926="",0,$I926*$K926*(1-$F926))</f>
        <v>0</v>
      </c>
      <c r="P926" s="20" t="n">
        <f aca="false">IF($D926="",0,$E926*$D926+$L926+$M926+$N926+$O926+$J926*$D926)</f>
        <v>0</v>
      </c>
      <c r="Q926" s="20" t="n">
        <f aca="false">IF($D926="",0,$K926-$P926)</f>
        <v>0</v>
      </c>
      <c r="R926" s="21" t="n">
        <f aca="false">IF($K926=0,0,$Q926/$K926)</f>
        <v>0</v>
      </c>
      <c r="S926" s="20" t="n">
        <f aca="false">IF($D926="",0,$K926-$L926-$M926-$N926)</f>
        <v>0</v>
      </c>
      <c r="T926" s="22"/>
      <c r="U926" s="20" t="n">
        <f aca="false">IF($T926="",0,MAX(0,$S926-$T926))</f>
        <v>0</v>
      </c>
      <c r="V926" s="21" t="n">
        <f aca="false">IF($S926=0,0,$U926/$S926)</f>
        <v>0</v>
      </c>
      <c r="W926" s="23" t="str">
        <f aca="false">IF($D926="","",IF($T926="","BEKLİYOR",IF(OR($U926=0,$S926=0),"DOĞRU",IF(AND($V926&gt;PazaryeriEksikHakedisEsik,$U926&gt;PazaryeriEksikHakedisTutarEsik),"EKSİK HAKEDİŞ","DOĞRU"))))</f>
        <v/>
      </c>
      <c r="X926" s="23" t="str">
        <f aca="false">IF($B926="","",CONCATENATE("Ürün: ",$B926," | Kâr: ",TEXT($Q926,"₺ #,##0")," | Durum: ",$W926))</f>
        <v/>
      </c>
      <c r="Y926" s="24"/>
    </row>
    <row r="927" customFormat="false" ht="15" hidden="false" customHeight="false" outlineLevel="0" collapsed="false">
      <c r="A927" s="24"/>
      <c r="B927" s="24"/>
      <c r="C927" s="22"/>
      <c r="D927" s="25"/>
      <c r="E927" s="22"/>
      <c r="F927" s="26"/>
      <c r="G927" s="26"/>
      <c r="H927" s="26"/>
      <c r="I927" s="26"/>
      <c r="J927" s="22"/>
      <c r="K927" s="20" t="n">
        <f aca="false">IF($D927="",0,$C927*$D927)</f>
        <v>0</v>
      </c>
      <c r="L927" s="20" t="n">
        <f aca="false">IF($D927="",0,$F927*$K927)</f>
        <v>0</v>
      </c>
      <c r="M927" s="20" t="n">
        <f aca="false">IF($D927="",0,$G927*$K927)</f>
        <v>0</v>
      </c>
      <c r="N927" s="20" t="n">
        <f aca="false">IF($D927="",0,$H927*$K927)</f>
        <v>0</v>
      </c>
      <c r="O927" s="20" t="n">
        <f aca="false">IF($D927="",0,$I927*$K927*(1-$F927))</f>
        <v>0</v>
      </c>
      <c r="P927" s="20" t="n">
        <f aca="false">IF($D927="",0,$E927*$D927+$L927+$M927+$N927+$O927+$J927*$D927)</f>
        <v>0</v>
      </c>
      <c r="Q927" s="20" t="n">
        <f aca="false">IF($D927="",0,$K927-$P927)</f>
        <v>0</v>
      </c>
      <c r="R927" s="21" t="n">
        <f aca="false">IF($K927=0,0,$Q927/$K927)</f>
        <v>0</v>
      </c>
      <c r="S927" s="20" t="n">
        <f aca="false">IF($D927="",0,$K927-$L927-$M927-$N927)</f>
        <v>0</v>
      </c>
      <c r="T927" s="22"/>
      <c r="U927" s="20" t="n">
        <f aca="false">IF($T927="",0,MAX(0,$S927-$T927))</f>
        <v>0</v>
      </c>
      <c r="V927" s="21" t="n">
        <f aca="false">IF($S927=0,0,$U927/$S927)</f>
        <v>0</v>
      </c>
      <c r="W927" s="23" t="str">
        <f aca="false">IF($D927="","",IF($T927="","BEKLİYOR",IF(OR($U927=0,$S927=0),"DOĞRU",IF(AND($V927&gt;PazaryeriEksikHakedisEsik,$U927&gt;PazaryeriEksikHakedisTutarEsik),"EKSİK HAKEDİŞ","DOĞRU"))))</f>
        <v/>
      </c>
      <c r="X927" s="23" t="str">
        <f aca="false">IF($B927="","",CONCATENATE("Ürün: ",$B927," | Kâr: ",TEXT($Q927,"₺ #,##0")," | Durum: ",$W927))</f>
        <v/>
      </c>
      <c r="Y927" s="24"/>
    </row>
    <row r="928" customFormat="false" ht="15" hidden="false" customHeight="false" outlineLevel="0" collapsed="false">
      <c r="A928" s="24"/>
      <c r="B928" s="24"/>
      <c r="C928" s="22"/>
      <c r="D928" s="25"/>
      <c r="E928" s="22"/>
      <c r="F928" s="26"/>
      <c r="G928" s="26"/>
      <c r="H928" s="26"/>
      <c r="I928" s="26"/>
      <c r="J928" s="22"/>
      <c r="K928" s="20" t="n">
        <f aca="false">IF($D928="",0,$C928*$D928)</f>
        <v>0</v>
      </c>
      <c r="L928" s="20" t="n">
        <f aca="false">IF($D928="",0,$F928*$K928)</f>
        <v>0</v>
      </c>
      <c r="M928" s="20" t="n">
        <f aca="false">IF($D928="",0,$G928*$K928)</f>
        <v>0</v>
      </c>
      <c r="N928" s="20" t="n">
        <f aca="false">IF($D928="",0,$H928*$K928)</f>
        <v>0</v>
      </c>
      <c r="O928" s="20" t="n">
        <f aca="false">IF($D928="",0,$I928*$K928*(1-$F928))</f>
        <v>0</v>
      </c>
      <c r="P928" s="20" t="n">
        <f aca="false">IF($D928="",0,$E928*$D928+$L928+$M928+$N928+$O928+$J928*$D928)</f>
        <v>0</v>
      </c>
      <c r="Q928" s="20" t="n">
        <f aca="false">IF($D928="",0,$K928-$P928)</f>
        <v>0</v>
      </c>
      <c r="R928" s="21" t="n">
        <f aca="false">IF($K928=0,0,$Q928/$K928)</f>
        <v>0</v>
      </c>
      <c r="S928" s="20" t="n">
        <f aca="false">IF($D928="",0,$K928-$L928-$M928-$N928)</f>
        <v>0</v>
      </c>
      <c r="T928" s="22"/>
      <c r="U928" s="20" t="n">
        <f aca="false">IF($T928="",0,MAX(0,$S928-$T928))</f>
        <v>0</v>
      </c>
      <c r="V928" s="21" t="n">
        <f aca="false">IF($S928=0,0,$U928/$S928)</f>
        <v>0</v>
      </c>
      <c r="W928" s="23" t="str">
        <f aca="false">IF($D928="","",IF($T928="","BEKLİYOR",IF(OR($U928=0,$S928=0),"DOĞRU",IF(AND($V928&gt;PazaryeriEksikHakedisEsik,$U928&gt;PazaryeriEksikHakedisTutarEsik),"EKSİK HAKEDİŞ","DOĞRU"))))</f>
        <v/>
      </c>
      <c r="X928" s="23" t="str">
        <f aca="false">IF($B928="","",CONCATENATE("Ürün: ",$B928," | Kâr: ",TEXT($Q928,"₺ #,##0")," | Durum: ",$W928))</f>
        <v/>
      </c>
      <c r="Y928" s="24"/>
    </row>
    <row r="929" customFormat="false" ht="15" hidden="false" customHeight="false" outlineLevel="0" collapsed="false">
      <c r="A929" s="24"/>
      <c r="B929" s="24"/>
      <c r="C929" s="22"/>
      <c r="D929" s="25"/>
      <c r="E929" s="22"/>
      <c r="F929" s="26"/>
      <c r="G929" s="26"/>
      <c r="H929" s="26"/>
      <c r="I929" s="26"/>
      <c r="J929" s="22"/>
      <c r="K929" s="20" t="n">
        <f aca="false">IF($D929="",0,$C929*$D929)</f>
        <v>0</v>
      </c>
      <c r="L929" s="20" t="n">
        <f aca="false">IF($D929="",0,$F929*$K929)</f>
        <v>0</v>
      </c>
      <c r="M929" s="20" t="n">
        <f aca="false">IF($D929="",0,$G929*$K929)</f>
        <v>0</v>
      </c>
      <c r="N929" s="20" t="n">
        <f aca="false">IF($D929="",0,$H929*$K929)</f>
        <v>0</v>
      </c>
      <c r="O929" s="20" t="n">
        <f aca="false">IF($D929="",0,$I929*$K929*(1-$F929))</f>
        <v>0</v>
      </c>
      <c r="P929" s="20" t="n">
        <f aca="false">IF($D929="",0,$E929*$D929+$L929+$M929+$N929+$O929+$J929*$D929)</f>
        <v>0</v>
      </c>
      <c r="Q929" s="20" t="n">
        <f aca="false">IF($D929="",0,$K929-$P929)</f>
        <v>0</v>
      </c>
      <c r="R929" s="21" t="n">
        <f aca="false">IF($K929=0,0,$Q929/$K929)</f>
        <v>0</v>
      </c>
      <c r="S929" s="20" t="n">
        <f aca="false">IF($D929="",0,$K929-$L929-$M929-$N929)</f>
        <v>0</v>
      </c>
      <c r="T929" s="22"/>
      <c r="U929" s="20" t="n">
        <f aca="false">IF($T929="",0,MAX(0,$S929-$T929))</f>
        <v>0</v>
      </c>
      <c r="V929" s="21" t="n">
        <f aca="false">IF($S929=0,0,$U929/$S929)</f>
        <v>0</v>
      </c>
      <c r="W929" s="23" t="str">
        <f aca="false">IF($D929="","",IF($T929="","BEKLİYOR",IF(OR($U929=0,$S929=0),"DOĞRU",IF(AND($V929&gt;PazaryeriEksikHakedisEsik,$U929&gt;PazaryeriEksikHakedisTutarEsik),"EKSİK HAKEDİŞ","DOĞRU"))))</f>
        <v/>
      </c>
      <c r="X929" s="23" t="str">
        <f aca="false">IF($B929="","",CONCATENATE("Ürün: ",$B929," | Kâr: ",TEXT($Q929,"₺ #,##0")," | Durum: ",$W929))</f>
        <v/>
      </c>
      <c r="Y929" s="24"/>
    </row>
    <row r="930" customFormat="false" ht="15" hidden="false" customHeight="false" outlineLevel="0" collapsed="false">
      <c r="A930" s="24"/>
      <c r="B930" s="24"/>
      <c r="C930" s="22"/>
      <c r="D930" s="25"/>
      <c r="E930" s="22"/>
      <c r="F930" s="26"/>
      <c r="G930" s="26"/>
      <c r="H930" s="26"/>
      <c r="I930" s="26"/>
      <c r="J930" s="22"/>
      <c r="K930" s="20" t="n">
        <f aca="false">IF($D930="",0,$C930*$D930)</f>
        <v>0</v>
      </c>
      <c r="L930" s="20" t="n">
        <f aca="false">IF($D930="",0,$F930*$K930)</f>
        <v>0</v>
      </c>
      <c r="M930" s="20" t="n">
        <f aca="false">IF($D930="",0,$G930*$K930)</f>
        <v>0</v>
      </c>
      <c r="N930" s="20" t="n">
        <f aca="false">IF($D930="",0,$H930*$K930)</f>
        <v>0</v>
      </c>
      <c r="O930" s="20" t="n">
        <f aca="false">IF($D930="",0,$I930*$K930*(1-$F930))</f>
        <v>0</v>
      </c>
      <c r="P930" s="20" t="n">
        <f aca="false">IF($D930="",0,$E930*$D930+$L930+$M930+$N930+$O930+$J930*$D930)</f>
        <v>0</v>
      </c>
      <c r="Q930" s="20" t="n">
        <f aca="false">IF($D930="",0,$K930-$P930)</f>
        <v>0</v>
      </c>
      <c r="R930" s="21" t="n">
        <f aca="false">IF($K930=0,0,$Q930/$K930)</f>
        <v>0</v>
      </c>
      <c r="S930" s="20" t="n">
        <f aca="false">IF($D930="",0,$K930-$L930-$M930-$N930)</f>
        <v>0</v>
      </c>
      <c r="T930" s="22"/>
      <c r="U930" s="20" t="n">
        <f aca="false">IF($T930="",0,MAX(0,$S930-$T930))</f>
        <v>0</v>
      </c>
      <c r="V930" s="21" t="n">
        <f aca="false">IF($S930=0,0,$U930/$S930)</f>
        <v>0</v>
      </c>
      <c r="W930" s="23" t="str">
        <f aca="false">IF($D930="","",IF($T930="","BEKLİYOR",IF(OR($U930=0,$S930=0),"DOĞRU",IF(AND($V930&gt;PazaryeriEksikHakedisEsik,$U930&gt;PazaryeriEksikHakedisTutarEsik),"EKSİK HAKEDİŞ","DOĞRU"))))</f>
        <v/>
      </c>
      <c r="X930" s="23" t="str">
        <f aca="false">IF($B930="","",CONCATENATE("Ürün: ",$B930," | Kâr: ",TEXT($Q930,"₺ #,##0")," | Durum: ",$W930))</f>
        <v/>
      </c>
      <c r="Y930" s="24"/>
    </row>
    <row r="931" customFormat="false" ht="15" hidden="false" customHeight="false" outlineLevel="0" collapsed="false">
      <c r="A931" s="24"/>
      <c r="B931" s="24"/>
      <c r="C931" s="22"/>
      <c r="D931" s="25"/>
      <c r="E931" s="22"/>
      <c r="F931" s="26"/>
      <c r="G931" s="26"/>
      <c r="H931" s="26"/>
      <c r="I931" s="26"/>
      <c r="J931" s="22"/>
      <c r="K931" s="20" t="n">
        <f aca="false">IF($D931="",0,$C931*$D931)</f>
        <v>0</v>
      </c>
      <c r="L931" s="20" t="n">
        <f aca="false">IF($D931="",0,$F931*$K931)</f>
        <v>0</v>
      </c>
      <c r="M931" s="20" t="n">
        <f aca="false">IF($D931="",0,$G931*$K931)</f>
        <v>0</v>
      </c>
      <c r="N931" s="20" t="n">
        <f aca="false">IF($D931="",0,$H931*$K931)</f>
        <v>0</v>
      </c>
      <c r="O931" s="20" t="n">
        <f aca="false">IF($D931="",0,$I931*$K931*(1-$F931))</f>
        <v>0</v>
      </c>
      <c r="P931" s="20" t="n">
        <f aca="false">IF($D931="",0,$E931*$D931+$L931+$M931+$N931+$O931+$J931*$D931)</f>
        <v>0</v>
      </c>
      <c r="Q931" s="20" t="n">
        <f aca="false">IF($D931="",0,$K931-$P931)</f>
        <v>0</v>
      </c>
      <c r="R931" s="21" t="n">
        <f aca="false">IF($K931=0,0,$Q931/$K931)</f>
        <v>0</v>
      </c>
      <c r="S931" s="20" t="n">
        <f aca="false">IF($D931="",0,$K931-$L931-$M931-$N931)</f>
        <v>0</v>
      </c>
      <c r="T931" s="22"/>
      <c r="U931" s="20" t="n">
        <f aca="false">IF($T931="",0,MAX(0,$S931-$T931))</f>
        <v>0</v>
      </c>
      <c r="V931" s="21" t="n">
        <f aca="false">IF($S931=0,0,$U931/$S931)</f>
        <v>0</v>
      </c>
      <c r="W931" s="23" t="str">
        <f aca="false">IF($D931="","",IF($T931="","BEKLİYOR",IF(OR($U931=0,$S931=0),"DOĞRU",IF(AND($V931&gt;PazaryeriEksikHakedisEsik,$U931&gt;PazaryeriEksikHakedisTutarEsik),"EKSİK HAKEDİŞ","DOĞRU"))))</f>
        <v/>
      </c>
      <c r="X931" s="23" t="str">
        <f aca="false">IF($B931="","",CONCATENATE("Ürün: ",$B931," | Kâr: ",TEXT($Q931,"₺ #,##0")," | Durum: ",$W931))</f>
        <v/>
      </c>
      <c r="Y931" s="24"/>
    </row>
    <row r="932" customFormat="false" ht="15" hidden="false" customHeight="false" outlineLevel="0" collapsed="false">
      <c r="A932" s="24"/>
      <c r="B932" s="24"/>
      <c r="C932" s="22"/>
      <c r="D932" s="25"/>
      <c r="E932" s="22"/>
      <c r="F932" s="26"/>
      <c r="G932" s="26"/>
      <c r="H932" s="26"/>
      <c r="I932" s="26"/>
      <c r="J932" s="22"/>
      <c r="K932" s="20" t="n">
        <f aca="false">IF($D932="",0,$C932*$D932)</f>
        <v>0</v>
      </c>
      <c r="L932" s="20" t="n">
        <f aca="false">IF($D932="",0,$F932*$K932)</f>
        <v>0</v>
      </c>
      <c r="M932" s="20" t="n">
        <f aca="false">IF($D932="",0,$G932*$K932)</f>
        <v>0</v>
      </c>
      <c r="N932" s="20" t="n">
        <f aca="false">IF($D932="",0,$H932*$K932)</f>
        <v>0</v>
      </c>
      <c r="O932" s="20" t="n">
        <f aca="false">IF($D932="",0,$I932*$K932*(1-$F932))</f>
        <v>0</v>
      </c>
      <c r="P932" s="20" t="n">
        <f aca="false">IF($D932="",0,$E932*$D932+$L932+$M932+$N932+$O932+$J932*$D932)</f>
        <v>0</v>
      </c>
      <c r="Q932" s="20" t="n">
        <f aca="false">IF($D932="",0,$K932-$P932)</f>
        <v>0</v>
      </c>
      <c r="R932" s="21" t="n">
        <f aca="false">IF($K932=0,0,$Q932/$K932)</f>
        <v>0</v>
      </c>
      <c r="S932" s="20" t="n">
        <f aca="false">IF($D932="",0,$K932-$L932-$M932-$N932)</f>
        <v>0</v>
      </c>
      <c r="T932" s="22"/>
      <c r="U932" s="20" t="n">
        <f aca="false">IF($T932="",0,MAX(0,$S932-$T932))</f>
        <v>0</v>
      </c>
      <c r="V932" s="21" t="n">
        <f aca="false">IF($S932=0,0,$U932/$S932)</f>
        <v>0</v>
      </c>
      <c r="W932" s="23" t="str">
        <f aca="false">IF($D932="","",IF($T932="","BEKLİYOR",IF(OR($U932=0,$S932=0),"DOĞRU",IF(AND($V932&gt;PazaryeriEksikHakedisEsik,$U932&gt;PazaryeriEksikHakedisTutarEsik),"EKSİK HAKEDİŞ","DOĞRU"))))</f>
        <v/>
      </c>
      <c r="X932" s="23" t="str">
        <f aca="false">IF($B932="","",CONCATENATE("Ürün: ",$B932," | Kâr: ",TEXT($Q932,"₺ #,##0")," | Durum: ",$W932))</f>
        <v/>
      </c>
      <c r="Y932" s="24"/>
    </row>
    <row r="933" customFormat="false" ht="15" hidden="false" customHeight="false" outlineLevel="0" collapsed="false">
      <c r="A933" s="24"/>
      <c r="B933" s="24"/>
      <c r="C933" s="22"/>
      <c r="D933" s="25"/>
      <c r="E933" s="22"/>
      <c r="F933" s="26"/>
      <c r="G933" s="26"/>
      <c r="H933" s="26"/>
      <c r="I933" s="26"/>
      <c r="J933" s="22"/>
      <c r="K933" s="20" t="n">
        <f aca="false">IF($D933="",0,$C933*$D933)</f>
        <v>0</v>
      </c>
      <c r="L933" s="20" t="n">
        <f aca="false">IF($D933="",0,$F933*$K933)</f>
        <v>0</v>
      </c>
      <c r="M933" s="20" t="n">
        <f aca="false">IF($D933="",0,$G933*$K933)</f>
        <v>0</v>
      </c>
      <c r="N933" s="20" t="n">
        <f aca="false">IF($D933="",0,$H933*$K933)</f>
        <v>0</v>
      </c>
      <c r="O933" s="20" t="n">
        <f aca="false">IF($D933="",0,$I933*$K933*(1-$F933))</f>
        <v>0</v>
      </c>
      <c r="P933" s="20" t="n">
        <f aca="false">IF($D933="",0,$E933*$D933+$L933+$M933+$N933+$O933+$J933*$D933)</f>
        <v>0</v>
      </c>
      <c r="Q933" s="20" t="n">
        <f aca="false">IF($D933="",0,$K933-$P933)</f>
        <v>0</v>
      </c>
      <c r="R933" s="21" t="n">
        <f aca="false">IF($K933=0,0,$Q933/$K933)</f>
        <v>0</v>
      </c>
      <c r="S933" s="20" t="n">
        <f aca="false">IF($D933="",0,$K933-$L933-$M933-$N933)</f>
        <v>0</v>
      </c>
      <c r="T933" s="22"/>
      <c r="U933" s="20" t="n">
        <f aca="false">IF($T933="",0,MAX(0,$S933-$T933))</f>
        <v>0</v>
      </c>
      <c r="V933" s="21" t="n">
        <f aca="false">IF($S933=0,0,$U933/$S933)</f>
        <v>0</v>
      </c>
      <c r="W933" s="23" t="str">
        <f aca="false">IF($D933="","",IF($T933="","BEKLİYOR",IF(OR($U933=0,$S933=0),"DOĞRU",IF(AND($V933&gt;PazaryeriEksikHakedisEsik,$U933&gt;PazaryeriEksikHakedisTutarEsik),"EKSİK HAKEDİŞ","DOĞRU"))))</f>
        <v/>
      </c>
      <c r="X933" s="23" t="str">
        <f aca="false">IF($B933="","",CONCATENATE("Ürün: ",$B933," | Kâr: ",TEXT($Q933,"₺ #,##0")," | Durum: ",$W933))</f>
        <v/>
      </c>
      <c r="Y933" s="24"/>
    </row>
    <row r="934" customFormat="false" ht="15" hidden="false" customHeight="false" outlineLevel="0" collapsed="false">
      <c r="A934" s="24"/>
      <c r="B934" s="24"/>
      <c r="C934" s="22"/>
      <c r="D934" s="25"/>
      <c r="E934" s="22"/>
      <c r="F934" s="26"/>
      <c r="G934" s="26"/>
      <c r="H934" s="26"/>
      <c r="I934" s="26"/>
      <c r="J934" s="22"/>
      <c r="K934" s="20" t="n">
        <f aca="false">IF($D934="",0,$C934*$D934)</f>
        <v>0</v>
      </c>
      <c r="L934" s="20" t="n">
        <f aca="false">IF($D934="",0,$F934*$K934)</f>
        <v>0</v>
      </c>
      <c r="M934" s="20" t="n">
        <f aca="false">IF($D934="",0,$G934*$K934)</f>
        <v>0</v>
      </c>
      <c r="N934" s="20" t="n">
        <f aca="false">IF($D934="",0,$H934*$K934)</f>
        <v>0</v>
      </c>
      <c r="O934" s="20" t="n">
        <f aca="false">IF($D934="",0,$I934*$K934*(1-$F934))</f>
        <v>0</v>
      </c>
      <c r="P934" s="20" t="n">
        <f aca="false">IF($D934="",0,$E934*$D934+$L934+$M934+$N934+$O934+$J934*$D934)</f>
        <v>0</v>
      </c>
      <c r="Q934" s="20" t="n">
        <f aca="false">IF($D934="",0,$K934-$P934)</f>
        <v>0</v>
      </c>
      <c r="R934" s="21" t="n">
        <f aca="false">IF($K934=0,0,$Q934/$K934)</f>
        <v>0</v>
      </c>
      <c r="S934" s="20" t="n">
        <f aca="false">IF($D934="",0,$K934-$L934-$M934-$N934)</f>
        <v>0</v>
      </c>
      <c r="T934" s="22"/>
      <c r="U934" s="20" t="n">
        <f aca="false">IF($T934="",0,MAX(0,$S934-$T934))</f>
        <v>0</v>
      </c>
      <c r="V934" s="21" t="n">
        <f aca="false">IF($S934=0,0,$U934/$S934)</f>
        <v>0</v>
      </c>
      <c r="W934" s="23" t="str">
        <f aca="false">IF($D934="","",IF($T934="","BEKLİYOR",IF(OR($U934=0,$S934=0),"DOĞRU",IF(AND($V934&gt;PazaryeriEksikHakedisEsik,$U934&gt;PazaryeriEksikHakedisTutarEsik),"EKSİK HAKEDİŞ","DOĞRU"))))</f>
        <v/>
      </c>
      <c r="X934" s="23" t="str">
        <f aca="false">IF($B934="","",CONCATENATE("Ürün: ",$B934," | Kâr: ",TEXT($Q934,"₺ #,##0")," | Durum: ",$W934))</f>
        <v/>
      </c>
      <c r="Y934" s="24"/>
    </row>
    <row r="935" customFormat="false" ht="15" hidden="false" customHeight="false" outlineLevel="0" collapsed="false">
      <c r="A935" s="24"/>
      <c r="B935" s="24"/>
      <c r="C935" s="22"/>
      <c r="D935" s="25"/>
      <c r="E935" s="22"/>
      <c r="F935" s="26"/>
      <c r="G935" s="26"/>
      <c r="H935" s="26"/>
      <c r="I935" s="26"/>
      <c r="J935" s="22"/>
      <c r="K935" s="20" t="n">
        <f aca="false">IF($D935="",0,$C935*$D935)</f>
        <v>0</v>
      </c>
      <c r="L935" s="20" t="n">
        <f aca="false">IF($D935="",0,$F935*$K935)</f>
        <v>0</v>
      </c>
      <c r="M935" s="20" t="n">
        <f aca="false">IF($D935="",0,$G935*$K935)</f>
        <v>0</v>
      </c>
      <c r="N935" s="20" t="n">
        <f aca="false">IF($D935="",0,$H935*$K935)</f>
        <v>0</v>
      </c>
      <c r="O935" s="20" t="n">
        <f aca="false">IF($D935="",0,$I935*$K935*(1-$F935))</f>
        <v>0</v>
      </c>
      <c r="P935" s="20" t="n">
        <f aca="false">IF($D935="",0,$E935*$D935+$L935+$M935+$N935+$O935+$J935*$D935)</f>
        <v>0</v>
      </c>
      <c r="Q935" s="20" t="n">
        <f aca="false">IF($D935="",0,$K935-$P935)</f>
        <v>0</v>
      </c>
      <c r="R935" s="21" t="n">
        <f aca="false">IF($K935=0,0,$Q935/$K935)</f>
        <v>0</v>
      </c>
      <c r="S935" s="20" t="n">
        <f aca="false">IF($D935="",0,$K935-$L935-$M935-$N935)</f>
        <v>0</v>
      </c>
      <c r="T935" s="22"/>
      <c r="U935" s="20" t="n">
        <f aca="false">IF($T935="",0,MAX(0,$S935-$T935))</f>
        <v>0</v>
      </c>
      <c r="V935" s="21" t="n">
        <f aca="false">IF($S935=0,0,$U935/$S935)</f>
        <v>0</v>
      </c>
      <c r="W935" s="23" t="str">
        <f aca="false">IF($D935="","",IF($T935="","BEKLİYOR",IF(OR($U935=0,$S935=0),"DOĞRU",IF(AND($V935&gt;PazaryeriEksikHakedisEsik,$U935&gt;PazaryeriEksikHakedisTutarEsik),"EKSİK HAKEDİŞ","DOĞRU"))))</f>
        <v/>
      </c>
      <c r="X935" s="23" t="str">
        <f aca="false">IF($B935="","",CONCATENATE("Ürün: ",$B935," | Kâr: ",TEXT($Q935,"₺ #,##0")," | Durum: ",$W935))</f>
        <v/>
      </c>
      <c r="Y935" s="24"/>
    </row>
    <row r="936" customFormat="false" ht="15" hidden="false" customHeight="false" outlineLevel="0" collapsed="false">
      <c r="A936" s="24"/>
      <c r="B936" s="24"/>
      <c r="C936" s="22"/>
      <c r="D936" s="25"/>
      <c r="E936" s="22"/>
      <c r="F936" s="26"/>
      <c r="G936" s="26"/>
      <c r="H936" s="26"/>
      <c r="I936" s="26"/>
      <c r="J936" s="22"/>
      <c r="K936" s="20" t="n">
        <f aca="false">IF($D936="",0,$C936*$D936)</f>
        <v>0</v>
      </c>
      <c r="L936" s="20" t="n">
        <f aca="false">IF($D936="",0,$F936*$K936)</f>
        <v>0</v>
      </c>
      <c r="M936" s="20" t="n">
        <f aca="false">IF($D936="",0,$G936*$K936)</f>
        <v>0</v>
      </c>
      <c r="N936" s="20" t="n">
        <f aca="false">IF($D936="",0,$H936*$K936)</f>
        <v>0</v>
      </c>
      <c r="O936" s="20" t="n">
        <f aca="false">IF($D936="",0,$I936*$K936*(1-$F936))</f>
        <v>0</v>
      </c>
      <c r="P936" s="20" t="n">
        <f aca="false">IF($D936="",0,$E936*$D936+$L936+$M936+$N936+$O936+$J936*$D936)</f>
        <v>0</v>
      </c>
      <c r="Q936" s="20" t="n">
        <f aca="false">IF($D936="",0,$K936-$P936)</f>
        <v>0</v>
      </c>
      <c r="R936" s="21" t="n">
        <f aca="false">IF($K936=0,0,$Q936/$K936)</f>
        <v>0</v>
      </c>
      <c r="S936" s="20" t="n">
        <f aca="false">IF($D936="",0,$K936-$L936-$M936-$N936)</f>
        <v>0</v>
      </c>
      <c r="T936" s="22"/>
      <c r="U936" s="20" t="n">
        <f aca="false">IF($T936="",0,MAX(0,$S936-$T936))</f>
        <v>0</v>
      </c>
      <c r="V936" s="21" t="n">
        <f aca="false">IF($S936=0,0,$U936/$S936)</f>
        <v>0</v>
      </c>
      <c r="W936" s="23" t="str">
        <f aca="false">IF($D936="","",IF($T936="","BEKLİYOR",IF(OR($U936=0,$S936=0),"DOĞRU",IF(AND($V936&gt;PazaryeriEksikHakedisEsik,$U936&gt;PazaryeriEksikHakedisTutarEsik),"EKSİK HAKEDİŞ","DOĞRU"))))</f>
        <v/>
      </c>
      <c r="X936" s="23" t="str">
        <f aca="false">IF($B936="","",CONCATENATE("Ürün: ",$B936," | Kâr: ",TEXT($Q936,"₺ #,##0")," | Durum: ",$W936))</f>
        <v/>
      </c>
      <c r="Y936" s="24"/>
    </row>
    <row r="937" customFormat="false" ht="15" hidden="false" customHeight="false" outlineLevel="0" collapsed="false">
      <c r="A937" s="24"/>
      <c r="B937" s="24"/>
      <c r="C937" s="22"/>
      <c r="D937" s="25"/>
      <c r="E937" s="22"/>
      <c r="F937" s="26"/>
      <c r="G937" s="26"/>
      <c r="H937" s="26"/>
      <c r="I937" s="26"/>
      <c r="J937" s="22"/>
      <c r="K937" s="20" t="n">
        <f aca="false">IF($D937="",0,$C937*$D937)</f>
        <v>0</v>
      </c>
      <c r="L937" s="20" t="n">
        <f aca="false">IF($D937="",0,$F937*$K937)</f>
        <v>0</v>
      </c>
      <c r="M937" s="20" t="n">
        <f aca="false">IF($D937="",0,$G937*$K937)</f>
        <v>0</v>
      </c>
      <c r="N937" s="20" t="n">
        <f aca="false">IF($D937="",0,$H937*$K937)</f>
        <v>0</v>
      </c>
      <c r="O937" s="20" t="n">
        <f aca="false">IF($D937="",0,$I937*$K937*(1-$F937))</f>
        <v>0</v>
      </c>
      <c r="P937" s="20" t="n">
        <f aca="false">IF($D937="",0,$E937*$D937+$L937+$M937+$N937+$O937+$J937*$D937)</f>
        <v>0</v>
      </c>
      <c r="Q937" s="20" t="n">
        <f aca="false">IF($D937="",0,$K937-$P937)</f>
        <v>0</v>
      </c>
      <c r="R937" s="21" t="n">
        <f aca="false">IF($K937=0,0,$Q937/$K937)</f>
        <v>0</v>
      </c>
      <c r="S937" s="20" t="n">
        <f aca="false">IF($D937="",0,$K937-$L937-$M937-$N937)</f>
        <v>0</v>
      </c>
      <c r="T937" s="22"/>
      <c r="U937" s="20" t="n">
        <f aca="false">IF($T937="",0,MAX(0,$S937-$T937))</f>
        <v>0</v>
      </c>
      <c r="V937" s="21" t="n">
        <f aca="false">IF($S937=0,0,$U937/$S937)</f>
        <v>0</v>
      </c>
      <c r="W937" s="23" t="str">
        <f aca="false">IF($D937="","",IF($T937="","BEKLİYOR",IF(OR($U937=0,$S937=0),"DOĞRU",IF(AND($V937&gt;PazaryeriEksikHakedisEsik,$U937&gt;PazaryeriEksikHakedisTutarEsik),"EKSİK HAKEDİŞ","DOĞRU"))))</f>
        <v/>
      </c>
      <c r="X937" s="23" t="str">
        <f aca="false">IF($B937="","",CONCATENATE("Ürün: ",$B937," | Kâr: ",TEXT($Q937,"₺ #,##0")," | Durum: ",$W937))</f>
        <v/>
      </c>
      <c r="Y937" s="24"/>
    </row>
    <row r="938" customFormat="false" ht="15" hidden="false" customHeight="false" outlineLevel="0" collapsed="false">
      <c r="A938" s="24"/>
      <c r="B938" s="24"/>
      <c r="C938" s="22"/>
      <c r="D938" s="25"/>
      <c r="E938" s="22"/>
      <c r="F938" s="26"/>
      <c r="G938" s="26"/>
      <c r="H938" s="26"/>
      <c r="I938" s="26"/>
      <c r="J938" s="22"/>
      <c r="K938" s="20" t="n">
        <f aca="false">IF($D938="",0,$C938*$D938)</f>
        <v>0</v>
      </c>
      <c r="L938" s="20" t="n">
        <f aca="false">IF($D938="",0,$F938*$K938)</f>
        <v>0</v>
      </c>
      <c r="M938" s="20" t="n">
        <f aca="false">IF($D938="",0,$G938*$K938)</f>
        <v>0</v>
      </c>
      <c r="N938" s="20" t="n">
        <f aca="false">IF($D938="",0,$H938*$K938)</f>
        <v>0</v>
      </c>
      <c r="O938" s="20" t="n">
        <f aca="false">IF($D938="",0,$I938*$K938*(1-$F938))</f>
        <v>0</v>
      </c>
      <c r="P938" s="20" t="n">
        <f aca="false">IF($D938="",0,$E938*$D938+$L938+$M938+$N938+$O938+$J938*$D938)</f>
        <v>0</v>
      </c>
      <c r="Q938" s="20" t="n">
        <f aca="false">IF($D938="",0,$K938-$P938)</f>
        <v>0</v>
      </c>
      <c r="R938" s="21" t="n">
        <f aca="false">IF($K938=0,0,$Q938/$K938)</f>
        <v>0</v>
      </c>
      <c r="S938" s="20" t="n">
        <f aca="false">IF($D938="",0,$K938-$L938-$M938-$N938)</f>
        <v>0</v>
      </c>
      <c r="T938" s="22"/>
      <c r="U938" s="20" t="n">
        <f aca="false">IF($T938="",0,MAX(0,$S938-$T938))</f>
        <v>0</v>
      </c>
      <c r="V938" s="21" t="n">
        <f aca="false">IF($S938=0,0,$U938/$S938)</f>
        <v>0</v>
      </c>
      <c r="W938" s="23" t="str">
        <f aca="false">IF($D938="","",IF($T938="","BEKLİYOR",IF(OR($U938=0,$S938=0),"DOĞRU",IF(AND($V938&gt;PazaryeriEksikHakedisEsik,$U938&gt;PazaryeriEksikHakedisTutarEsik),"EKSİK HAKEDİŞ","DOĞRU"))))</f>
        <v/>
      </c>
      <c r="X938" s="23" t="str">
        <f aca="false">IF($B938="","",CONCATENATE("Ürün: ",$B938," | Kâr: ",TEXT($Q938,"₺ #,##0")," | Durum: ",$W938))</f>
        <v/>
      </c>
      <c r="Y938" s="24"/>
    </row>
    <row r="939" customFormat="false" ht="15" hidden="false" customHeight="false" outlineLevel="0" collapsed="false">
      <c r="A939" s="24"/>
      <c r="B939" s="24"/>
      <c r="C939" s="22"/>
      <c r="D939" s="25"/>
      <c r="E939" s="22"/>
      <c r="F939" s="26"/>
      <c r="G939" s="26"/>
      <c r="H939" s="26"/>
      <c r="I939" s="26"/>
      <c r="J939" s="22"/>
      <c r="K939" s="20" t="n">
        <f aca="false">IF($D939="",0,$C939*$D939)</f>
        <v>0</v>
      </c>
      <c r="L939" s="20" t="n">
        <f aca="false">IF($D939="",0,$F939*$K939)</f>
        <v>0</v>
      </c>
      <c r="M939" s="20" t="n">
        <f aca="false">IF($D939="",0,$G939*$K939)</f>
        <v>0</v>
      </c>
      <c r="N939" s="20" t="n">
        <f aca="false">IF($D939="",0,$H939*$K939)</f>
        <v>0</v>
      </c>
      <c r="O939" s="20" t="n">
        <f aca="false">IF($D939="",0,$I939*$K939*(1-$F939))</f>
        <v>0</v>
      </c>
      <c r="P939" s="20" t="n">
        <f aca="false">IF($D939="",0,$E939*$D939+$L939+$M939+$N939+$O939+$J939*$D939)</f>
        <v>0</v>
      </c>
      <c r="Q939" s="20" t="n">
        <f aca="false">IF($D939="",0,$K939-$P939)</f>
        <v>0</v>
      </c>
      <c r="R939" s="21" t="n">
        <f aca="false">IF($K939=0,0,$Q939/$K939)</f>
        <v>0</v>
      </c>
      <c r="S939" s="20" t="n">
        <f aca="false">IF($D939="",0,$K939-$L939-$M939-$N939)</f>
        <v>0</v>
      </c>
      <c r="T939" s="22"/>
      <c r="U939" s="20" t="n">
        <f aca="false">IF($T939="",0,MAX(0,$S939-$T939))</f>
        <v>0</v>
      </c>
      <c r="V939" s="21" t="n">
        <f aca="false">IF($S939=0,0,$U939/$S939)</f>
        <v>0</v>
      </c>
      <c r="W939" s="23" t="str">
        <f aca="false">IF($D939="","",IF($T939="","BEKLİYOR",IF(OR($U939=0,$S939=0),"DOĞRU",IF(AND($V939&gt;PazaryeriEksikHakedisEsik,$U939&gt;PazaryeriEksikHakedisTutarEsik),"EKSİK HAKEDİŞ","DOĞRU"))))</f>
        <v/>
      </c>
      <c r="X939" s="23" t="str">
        <f aca="false">IF($B939="","",CONCATENATE("Ürün: ",$B939," | Kâr: ",TEXT($Q939,"₺ #,##0")," | Durum: ",$W939))</f>
        <v/>
      </c>
      <c r="Y939" s="24"/>
    </row>
    <row r="940" customFormat="false" ht="15" hidden="false" customHeight="false" outlineLevel="0" collapsed="false">
      <c r="A940" s="24"/>
      <c r="B940" s="24"/>
      <c r="C940" s="22"/>
      <c r="D940" s="25"/>
      <c r="E940" s="22"/>
      <c r="F940" s="26"/>
      <c r="G940" s="26"/>
      <c r="H940" s="26"/>
      <c r="I940" s="26"/>
      <c r="J940" s="22"/>
      <c r="K940" s="20" t="n">
        <f aca="false">IF($D940="",0,$C940*$D940)</f>
        <v>0</v>
      </c>
      <c r="L940" s="20" t="n">
        <f aca="false">IF($D940="",0,$F940*$K940)</f>
        <v>0</v>
      </c>
      <c r="M940" s="20" t="n">
        <f aca="false">IF($D940="",0,$G940*$K940)</f>
        <v>0</v>
      </c>
      <c r="N940" s="20" t="n">
        <f aca="false">IF($D940="",0,$H940*$K940)</f>
        <v>0</v>
      </c>
      <c r="O940" s="20" t="n">
        <f aca="false">IF($D940="",0,$I940*$K940*(1-$F940))</f>
        <v>0</v>
      </c>
      <c r="P940" s="20" t="n">
        <f aca="false">IF($D940="",0,$E940*$D940+$L940+$M940+$N940+$O940+$J940*$D940)</f>
        <v>0</v>
      </c>
      <c r="Q940" s="20" t="n">
        <f aca="false">IF($D940="",0,$K940-$P940)</f>
        <v>0</v>
      </c>
      <c r="R940" s="21" t="n">
        <f aca="false">IF($K940=0,0,$Q940/$K940)</f>
        <v>0</v>
      </c>
      <c r="S940" s="20" t="n">
        <f aca="false">IF($D940="",0,$K940-$L940-$M940-$N940)</f>
        <v>0</v>
      </c>
      <c r="T940" s="22"/>
      <c r="U940" s="20" t="n">
        <f aca="false">IF($T940="",0,MAX(0,$S940-$T940))</f>
        <v>0</v>
      </c>
      <c r="V940" s="21" t="n">
        <f aca="false">IF($S940=0,0,$U940/$S940)</f>
        <v>0</v>
      </c>
      <c r="W940" s="23" t="str">
        <f aca="false">IF($D940="","",IF($T940="","BEKLİYOR",IF(OR($U940=0,$S940=0),"DOĞRU",IF(AND($V940&gt;PazaryeriEksikHakedisEsik,$U940&gt;PazaryeriEksikHakedisTutarEsik),"EKSİK HAKEDİŞ","DOĞRU"))))</f>
        <v/>
      </c>
      <c r="X940" s="23" t="str">
        <f aca="false">IF($B940="","",CONCATENATE("Ürün: ",$B940," | Kâr: ",TEXT($Q940,"₺ #,##0")," | Durum: ",$W940))</f>
        <v/>
      </c>
      <c r="Y940" s="24"/>
    </row>
    <row r="941" customFormat="false" ht="15" hidden="false" customHeight="false" outlineLevel="0" collapsed="false">
      <c r="A941" s="24"/>
      <c r="B941" s="24"/>
      <c r="C941" s="22"/>
      <c r="D941" s="25"/>
      <c r="E941" s="22"/>
      <c r="F941" s="26"/>
      <c r="G941" s="26"/>
      <c r="H941" s="26"/>
      <c r="I941" s="26"/>
      <c r="J941" s="22"/>
      <c r="K941" s="20" t="n">
        <f aca="false">IF($D941="",0,$C941*$D941)</f>
        <v>0</v>
      </c>
      <c r="L941" s="20" t="n">
        <f aca="false">IF($D941="",0,$F941*$K941)</f>
        <v>0</v>
      </c>
      <c r="M941" s="20" t="n">
        <f aca="false">IF($D941="",0,$G941*$K941)</f>
        <v>0</v>
      </c>
      <c r="N941" s="20" t="n">
        <f aca="false">IF($D941="",0,$H941*$K941)</f>
        <v>0</v>
      </c>
      <c r="O941" s="20" t="n">
        <f aca="false">IF($D941="",0,$I941*$K941*(1-$F941))</f>
        <v>0</v>
      </c>
      <c r="P941" s="20" t="n">
        <f aca="false">IF($D941="",0,$E941*$D941+$L941+$M941+$N941+$O941+$J941*$D941)</f>
        <v>0</v>
      </c>
      <c r="Q941" s="20" t="n">
        <f aca="false">IF($D941="",0,$K941-$P941)</f>
        <v>0</v>
      </c>
      <c r="R941" s="21" t="n">
        <f aca="false">IF($K941=0,0,$Q941/$K941)</f>
        <v>0</v>
      </c>
      <c r="S941" s="20" t="n">
        <f aca="false">IF($D941="",0,$K941-$L941-$M941-$N941)</f>
        <v>0</v>
      </c>
      <c r="T941" s="22"/>
      <c r="U941" s="20" t="n">
        <f aca="false">IF($T941="",0,MAX(0,$S941-$T941))</f>
        <v>0</v>
      </c>
      <c r="V941" s="21" t="n">
        <f aca="false">IF($S941=0,0,$U941/$S941)</f>
        <v>0</v>
      </c>
      <c r="W941" s="23" t="str">
        <f aca="false">IF($D941="","",IF($T941="","BEKLİYOR",IF(OR($U941=0,$S941=0),"DOĞRU",IF(AND($V941&gt;PazaryeriEksikHakedisEsik,$U941&gt;PazaryeriEksikHakedisTutarEsik),"EKSİK HAKEDİŞ","DOĞRU"))))</f>
        <v/>
      </c>
      <c r="X941" s="23" t="str">
        <f aca="false">IF($B941="","",CONCATENATE("Ürün: ",$B941," | Kâr: ",TEXT($Q941,"₺ #,##0")," | Durum: ",$W941))</f>
        <v/>
      </c>
      <c r="Y941" s="24"/>
    </row>
    <row r="942" customFormat="false" ht="15" hidden="false" customHeight="false" outlineLevel="0" collapsed="false">
      <c r="A942" s="24"/>
      <c r="B942" s="24"/>
      <c r="C942" s="22"/>
      <c r="D942" s="25"/>
      <c r="E942" s="22"/>
      <c r="F942" s="26"/>
      <c r="G942" s="26"/>
      <c r="H942" s="26"/>
      <c r="I942" s="26"/>
      <c r="J942" s="22"/>
      <c r="K942" s="20" t="n">
        <f aca="false">IF($D942="",0,$C942*$D942)</f>
        <v>0</v>
      </c>
      <c r="L942" s="20" t="n">
        <f aca="false">IF($D942="",0,$F942*$K942)</f>
        <v>0</v>
      </c>
      <c r="M942" s="20" t="n">
        <f aca="false">IF($D942="",0,$G942*$K942)</f>
        <v>0</v>
      </c>
      <c r="N942" s="20" t="n">
        <f aca="false">IF($D942="",0,$H942*$K942)</f>
        <v>0</v>
      </c>
      <c r="O942" s="20" t="n">
        <f aca="false">IF($D942="",0,$I942*$K942*(1-$F942))</f>
        <v>0</v>
      </c>
      <c r="P942" s="20" t="n">
        <f aca="false">IF($D942="",0,$E942*$D942+$L942+$M942+$N942+$O942+$J942*$D942)</f>
        <v>0</v>
      </c>
      <c r="Q942" s="20" t="n">
        <f aca="false">IF($D942="",0,$K942-$P942)</f>
        <v>0</v>
      </c>
      <c r="R942" s="21" t="n">
        <f aca="false">IF($K942=0,0,$Q942/$K942)</f>
        <v>0</v>
      </c>
      <c r="S942" s="20" t="n">
        <f aca="false">IF($D942="",0,$K942-$L942-$M942-$N942)</f>
        <v>0</v>
      </c>
      <c r="T942" s="22"/>
      <c r="U942" s="20" t="n">
        <f aca="false">IF($T942="",0,MAX(0,$S942-$T942))</f>
        <v>0</v>
      </c>
      <c r="V942" s="21" t="n">
        <f aca="false">IF($S942=0,0,$U942/$S942)</f>
        <v>0</v>
      </c>
      <c r="W942" s="23" t="str">
        <f aca="false">IF($D942="","",IF($T942="","BEKLİYOR",IF(OR($U942=0,$S942=0),"DOĞRU",IF(AND($V942&gt;PazaryeriEksikHakedisEsik,$U942&gt;PazaryeriEksikHakedisTutarEsik),"EKSİK HAKEDİŞ","DOĞRU"))))</f>
        <v/>
      </c>
      <c r="X942" s="23" t="str">
        <f aca="false">IF($B942="","",CONCATENATE("Ürün: ",$B942," | Kâr: ",TEXT($Q942,"₺ #,##0")," | Durum: ",$W942))</f>
        <v/>
      </c>
      <c r="Y942" s="24"/>
    </row>
    <row r="943" customFormat="false" ht="15" hidden="false" customHeight="false" outlineLevel="0" collapsed="false">
      <c r="A943" s="24"/>
      <c r="B943" s="24"/>
      <c r="C943" s="22"/>
      <c r="D943" s="25"/>
      <c r="E943" s="22"/>
      <c r="F943" s="26"/>
      <c r="G943" s="26"/>
      <c r="H943" s="26"/>
      <c r="I943" s="26"/>
      <c r="J943" s="22"/>
      <c r="K943" s="20" t="n">
        <f aca="false">IF($D943="",0,$C943*$D943)</f>
        <v>0</v>
      </c>
      <c r="L943" s="20" t="n">
        <f aca="false">IF($D943="",0,$F943*$K943)</f>
        <v>0</v>
      </c>
      <c r="M943" s="20" t="n">
        <f aca="false">IF($D943="",0,$G943*$K943)</f>
        <v>0</v>
      </c>
      <c r="N943" s="20" t="n">
        <f aca="false">IF($D943="",0,$H943*$K943)</f>
        <v>0</v>
      </c>
      <c r="O943" s="20" t="n">
        <f aca="false">IF($D943="",0,$I943*$K943*(1-$F943))</f>
        <v>0</v>
      </c>
      <c r="P943" s="20" t="n">
        <f aca="false">IF($D943="",0,$E943*$D943+$L943+$M943+$N943+$O943+$J943*$D943)</f>
        <v>0</v>
      </c>
      <c r="Q943" s="20" t="n">
        <f aca="false">IF($D943="",0,$K943-$P943)</f>
        <v>0</v>
      </c>
      <c r="R943" s="21" t="n">
        <f aca="false">IF($K943=0,0,$Q943/$K943)</f>
        <v>0</v>
      </c>
      <c r="S943" s="20" t="n">
        <f aca="false">IF($D943="",0,$K943-$L943-$M943-$N943)</f>
        <v>0</v>
      </c>
      <c r="T943" s="22"/>
      <c r="U943" s="20" t="n">
        <f aca="false">IF($T943="",0,MAX(0,$S943-$T943))</f>
        <v>0</v>
      </c>
      <c r="V943" s="21" t="n">
        <f aca="false">IF($S943=0,0,$U943/$S943)</f>
        <v>0</v>
      </c>
      <c r="W943" s="23" t="str">
        <f aca="false">IF($D943="","",IF($T943="","BEKLİYOR",IF(OR($U943=0,$S943=0),"DOĞRU",IF(AND($V943&gt;PazaryeriEksikHakedisEsik,$U943&gt;PazaryeriEksikHakedisTutarEsik),"EKSİK HAKEDİŞ","DOĞRU"))))</f>
        <v/>
      </c>
      <c r="X943" s="23" t="str">
        <f aca="false">IF($B943="","",CONCATENATE("Ürün: ",$B943," | Kâr: ",TEXT($Q943,"₺ #,##0")," | Durum: ",$W943))</f>
        <v/>
      </c>
      <c r="Y943" s="24"/>
    </row>
    <row r="944" customFormat="false" ht="15" hidden="false" customHeight="false" outlineLevel="0" collapsed="false">
      <c r="A944" s="24"/>
      <c r="B944" s="24"/>
      <c r="C944" s="22"/>
      <c r="D944" s="25"/>
      <c r="E944" s="22"/>
      <c r="F944" s="26"/>
      <c r="G944" s="26"/>
      <c r="H944" s="26"/>
      <c r="I944" s="26"/>
      <c r="J944" s="22"/>
      <c r="K944" s="20" t="n">
        <f aca="false">IF($D944="",0,$C944*$D944)</f>
        <v>0</v>
      </c>
      <c r="L944" s="20" t="n">
        <f aca="false">IF($D944="",0,$F944*$K944)</f>
        <v>0</v>
      </c>
      <c r="M944" s="20" t="n">
        <f aca="false">IF($D944="",0,$G944*$K944)</f>
        <v>0</v>
      </c>
      <c r="N944" s="20" t="n">
        <f aca="false">IF($D944="",0,$H944*$K944)</f>
        <v>0</v>
      </c>
      <c r="O944" s="20" t="n">
        <f aca="false">IF($D944="",0,$I944*$K944*(1-$F944))</f>
        <v>0</v>
      </c>
      <c r="P944" s="20" t="n">
        <f aca="false">IF($D944="",0,$E944*$D944+$L944+$M944+$N944+$O944+$J944*$D944)</f>
        <v>0</v>
      </c>
      <c r="Q944" s="20" t="n">
        <f aca="false">IF($D944="",0,$K944-$P944)</f>
        <v>0</v>
      </c>
      <c r="R944" s="21" t="n">
        <f aca="false">IF($K944=0,0,$Q944/$K944)</f>
        <v>0</v>
      </c>
      <c r="S944" s="20" t="n">
        <f aca="false">IF($D944="",0,$K944-$L944-$M944-$N944)</f>
        <v>0</v>
      </c>
      <c r="T944" s="22"/>
      <c r="U944" s="20" t="n">
        <f aca="false">IF($T944="",0,MAX(0,$S944-$T944))</f>
        <v>0</v>
      </c>
      <c r="V944" s="21" t="n">
        <f aca="false">IF($S944=0,0,$U944/$S944)</f>
        <v>0</v>
      </c>
      <c r="W944" s="23" t="str">
        <f aca="false">IF($D944="","",IF($T944="","BEKLİYOR",IF(OR($U944=0,$S944=0),"DOĞRU",IF(AND($V944&gt;PazaryeriEksikHakedisEsik,$U944&gt;PazaryeriEksikHakedisTutarEsik),"EKSİK HAKEDİŞ","DOĞRU"))))</f>
        <v/>
      </c>
      <c r="X944" s="23" t="str">
        <f aca="false">IF($B944="","",CONCATENATE("Ürün: ",$B944," | Kâr: ",TEXT($Q944,"₺ #,##0")," | Durum: ",$W944))</f>
        <v/>
      </c>
      <c r="Y944" s="24"/>
    </row>
    <row r="945" customFormat="false" ht="15" hidden="false" customHeight="false" outlineLevel="0" collapsed="false">
      <c r="A945" s="24"/>
      <c r="B945" s="24"/>
      <c r="C945" s="22"/>
      <c r="D945" s="25"/>
      <c r="E945" s="22"/>
      <c r="F945" s="26"/>
      <c r="G945" s="26"/>
      <c r="H945" s="26"/>
      <c r="I945" s="26"/>
      <c r="J945" s="22"/>
      <c r="K945" s="20" t="n">
        <f aca="false">IF($D945="",0,$C945*$D945)</f>
        <v>0</v>
      </c>
      <c r="L945" s="20" t="n">
        <f aca="false">IF($D945="",0,$F945*$K945)</f>
        <v>0</v>
      </c>
      <c r="M945" s="20" t="n">
        <f aca="false">IF($D945="",0,$G945*$K945)</f>
        <v>0</v>
      </c>
      <c r="N945" s="20" t="n">
        <f aca="false">IF($D945="",0,$H945*$K945)</f>
        <v>0</v>
      </c>
      <c r="O945" s="20" t="n">
        <f aca="false">IF($D945="",0,$I945*$K945*(1-$F945))</f>
        <v>0</v>
      </c>
      <c r="P945" s="20" t="n">
        <f aca="false">IF($D945="",0,$E945*$D945+$L945+$M945+$N945+$O945+$J945*$D945)</f>
        <v>0</v>
      </c>
      <c r="Q945" s="20" t="n">
        <f aca="false">IF($D945="",0,$K945-$P945)</f>
        <v>0</v>
      </c>
      <c r="R945" s="21" t="n">
        <f aca="false">IF($K945=0,0,$Q945/$K945)</f>
        <v>0</v>
      </c>
      <c r="S945" s="20" t="n">
        <f aca="false">IF($D945="",0,$K945-$L945-$M945-$N945)</f>
        <v>0</v>
      </c>
      <c r="T945" s="22"/>
      <c r="U945" s="20" t="n">
        <f aca="false">IF($T945="",0,MAX(0,$S945-$T945))</f>
        <v>0</v>
      </c>
      <c r="V945" s="21" t="n">
        <f aca="false">IF($S945=0,0,$U945/$S945)</f>
        <v>0</v>
      </c>
      <c r="W945" s="23" t="str">
        <f aca="false">IF($D945="","",IF($T945="","BEKLİYOR",IF(OR($U945=0,$S945=0),"DOĞRU",IF(AND($V945&gt;PazaryeriEksikHakedisEsik,$U945&gt;PazaryeriEksikHakedisTutarEsik),"EKSİK HAKEDİŞ","DOĞRU"))))</f>
        <v/>
      </c>
      <c r="X945" s="23" t="str">
        <f aca="false">IF($B945="","",CONCATENATE("Ürün: ",$B945," | Kâr: ",TEXT($Q945,"₺ #,##0")," | Durum: ",$W945))</f>
        <v/>
      </c>
      <c r="Y945" s="24"/>
    </row>
    <row r="946" customFormat="false" ht="15" hidden="false" customHeight="false" outlineLevel="0" collapsed="false">
      <c r="A946" s="24"/>
      <c r="B946" s="24"/>
      <c r="C946" s="22"/>
      <c r="D946" s="25"/>
      <c r="E946" s="22"/>
      <c r="F946" s="26"/>
      <c r="G946" s="26"/>
      <c r="H946" s="26"/>
      <c r="I946" s="26"/>
      <c r="J946" s="22"/>
      <c r="K946" s="20" t="n">
        <f aca="false">IF($D946="",0,$C946*$D946)</f>
        <v>0</v>
      </c>
      <c r="L946" s="20" t="n">
        <f aca="false">IF($D946="",0,$F946*$K946)</f>
        <v>0</v>
      </c>
      <c r="M946" s="20" t="n">
        <f aca="false">IF($D946="",0,$G946*$K946)</f>
        <v>0</v>
      </c>
      <c r="N946" s="20" t="n">
        <f aca="false">IF($D946="",0,$H946*$K946)</f>
        <v>0</v>
      </c>
      <c r="O946" s="20" t="n">
        <f aca="false">IF($D946="",0,$I946*$K946*(1-$F946))</f>
        <v>0</v>
      </c>
      <c r="P946" s="20" t="n">
        <f aca="false">IF($D946="",0,$E946*$D946+$L946+$M946+$N946+$O946+$J946*$D946)</f>
        <v>0</v>
      </c>
      <c r="Q946" s="20" t="n">
        <f aca="false">IF($D946="",0,$K946-$P946)</f>
        <v>0</v>
      </c>
      <c r="R946" s="21" t="n">
        <f aca="false">IF($K946=0,0,$Q946/$K946)</f>
        <v>0</v>
      </c>
      <c r="S946" s="20" t="n">
        <f aca="false">IF($D946="",0,$K946-$L946-$M946-$N946)</f>
        <v>0</v>
      </c>
      <c r="T946" s="22"/>
      <c r="U946" s="20" t="n">
        <f aca="false">IF($T946="",0,MAX(0,$S946-$T946))</f>
        <v>0</v>
      </c>
      <c r="V946" s="21" t="n">
        <f aca="false">IF($S946=0,0,$U946/$S946)</f>
        <v>0</v>
      </c>
      <c r="W946" s="23" t="str">
        <f aca="false">IF($D946="","",IF($T946="","BEKLİYOR",IF(OR($U946=0,$S946=0),"DOĞRU",IF(AND($V946&gt;PazaryeriEksikHakedisEsik,$U946&gt;PazaryeriEksikHakedisTutarEsik),"EKSİK HAKEDİŞ","DOĞRU"))))</f>
        <v/>
      </c>
      <c r="X946" s="23" t="str">
        <f aca="false">IF($B946="","",CONCATENATE("Ürün: ",$B946," | Kâr: ",TEXT($Q946,"₺ #,##0")," | Durum: ",$W946))</f>
        <v/>
      </c>
      <c r="Y946" s="24"/>
    </row>
    <row r="947" customFormat="false" ht="15" hidden="false" customHeight="false" outlineLevel="0" collapsed="false">
      <c r="A947" s="24"/>
      <c r="B947" s="24"/>
      <c r="C947" s="22"/>
      <c r="D947" s="25"/>
      <c r="E947" s="22"/>
      <c r="F947" s="26"/>
      <c r="G947" s="26"/>
      <c r="H947" s="26"/>
      <c r="I947" s="26"/>
      <c r="J947" s="22"/>
      <c r="K947" s="20" t="n">
        <f aca="false">IF($D947="",0,$C947*$D947)</f>
        <v>0</v>
      </c>
      <c r="L947" s="20" t="n">
        <f aca="false">IF($D947="",0,$F947*$K947)</f>
        <v>0</v>
      </c>
      <c r="M947" s="20" t="n">
        <f aca="false">IF($D947="",0,$G947*$K947)</f>
        <v>0</v>
      </c>
      <c r="N947" s="20" t="n">
        <f aca="false">IF($D947="",0,$H947*$K947)</f>
        <v>0</v>
      </c>
      <c r="O947" s="20" t="n">
        <f aca="false">IF($D947="",0,$I947*$K947*(1-$F947))</f>
        <v>0</v>
      </c>
      <c r="P947" s="20" t="n">
        <f aca="false">IF($D947="",0,$E947*$D947+$L947+$M947+$N947+$O947+$J947*$D947)</f>
        <v>0</v>
      </c>
      <c r="Q947" s="20" t="n">
        <f aca="false">IF($D947="",0,$K947-$P947)</f>
        <v>0</v>
      </c>
      <c r="R947" s="21" t="n">
        <f aca="false">IF($K947=0,0,$Q947/$K947)</f>
        <v>0</v>
      </c>
      <c r="S947" s="20" t="n">
        <f aca="false">IF($D947="",0,$K947-$L947-$M947-$N947)</f>
        <v>0</v>
      </c>
      <c r="T947" s="22"/>
      <c r="U947" s="20" t="n">
        <f aca="false">IF($T947="",0,MAX(0,$S947-$T947))</f>
        <v>0</v>
      </c>
      <c r="V947" s="21" t="n">
        <f aca="false">IF($S947=0,0,$U947/$S947)</f>
        <v>0</v>
      </c>
      <c r="W947" s="23" t="str">
        <f aca="false">IF($D947="","",IF($T947="","BEKLİYOR",IF(OR($U947=0,$S947=0),"DOĞRU",IF(AND($V947&gt;PazaryeriEksikHakedisEsik,$U947&gt;PazaryeriEksikHakedisTutarEsik),"EKSİK HAKEDİŞ","DOĞRU"))))</f>
        <v/>
      </c>
      <c r="X947" s="23" t="str">
        <f aca="false">IF($B947="","",CONCATENATE("Ürün: ",$B947," | Kâr: ",TEXT($Q947,"₺ #,##0")," | Durum: ",$W947))</f>
        <v/>
      </c>
      <c r="Y947" s="24"/>
    </row>
    <row r="948" customFormat="false" ht="15" hidden="false" customHeight="false" outlineLevel="0" collapsed="false">
      <c r="A948" s="24"/>
      <c r="B948" s="24"/>
      <c r="C948" s="22"/>
      <c r="D948" s="25"/>
      <c r="E948" s="22"/>
      <c r="F948" s="26"/>
      <c r="G948" s="26"/>
      <c r="H948" s="26"/>
      <c r="I948" s="26"/>
      <c r="J948" s="22"/>
      <c r="K948" s="20" t="n">
        <f aca="false">IF($D948="",0,$C948*$D948)</f>
        <v>0</v>
      </c>
      <c r="L948" s="20" t="n">
        <f aca="false">IF($D948="",0,$F948*$K948)</f>
        <v>0</v>
      </c>
      <c r="M948" s="20" t="n">
        <f aca="false">IF($D948="",0,$G948*$K948)</f>
        <v>0</v>
      </c>
      <c r="N948" s="20" t="n">
        <f aca="false">IF($D948="",0,$H948*$K948)</f>
        <v>0</v>
      </c>
      <c r="O948" s="20" t="n">
        <f aca="false">IF($D948="",0,$I948*$K948*(1-$F948))</f>
        <v>0</v>
      </c>
      <c r="P948" s="20" t="n">
        <f aca="false">IF($D948="",0,$E948*$D948+$L948+$M948+$N948+$O948+$J948*$D948)</f>
        <v>0</v>
      </c>
      <c r="Q948" s="20" t="n">
        <f aca="false">IF($D948="",0,$K948-$P948)</f>
        <v>0</v>
      </c>
      <c r="R948" s="21" t="n">
        <f aca="false">IF($K948=0,0,$Q948/$K948)</f>
        <v>0</v>
      </c>
      <c r="S948" s="20" t="n">
        <f aca="false">IF($D948="",0,$K948-$L948-$M948-$N948)</f>
        <v>0</v>
      </c>
      <c r="T948" s="22"/>
      <c r="U948" s="20" t="n">
        <f aca="false">IF($T948="",0,MAX(0,$S948-$T948))</f>
        <v>0</v>
      </c>
      <c r="V948" s="21" t="n">
        <f aca="false">IF($S948=0,0,$U948/$S948)</f>
        <v>0</v>
      </c>
      <c r="W948" s="23" t="str">
        <f aca="false">IF($D948="","",IF($T948="","BEKLİYOR",IF(OR($U948=0,$S948=0),"DOĞRU",IF(AND($V948&gt;PazaryeriEksikHakedisEsik,$U948&gt;PazaryeriEksikHakedisTutarEsik),"EKSİK HAKEDİŞ","DOĞRU"))))</f>
        <v/>
      </c>
      <c r="X948" s="23" t="str">
        <f aca="false">IF($B948="","",CONCATENATE("Ürün: ",$B948," | Kâr: ",TEXT($Q948,"₺ #,##0")," | Durum: ",$W948))</f>
        <v/>
      </c>
      <c r="Y948" s="24"/>
    </row>
    <row r="949" customFormat="false" ht="15" hidden="false" customHeight="false" outlineLevel="0" collapsed="false">
      <c r="A949" s="24"/>
      <c r="B949" s="24"/>
      <c r="C949" s="22"/>
      <c r="D949" s="25"/>
      <c r="E949" s="22"/>
      <c r="F949" s="26"/>
      <c r="G949" s="26"/>
      <c r="H949" s="26"/>
      <c r="I949" s="26"/>
      <c r="J949" s="22"/>
      <c r="K949" s="20" t="n">
        <f aca="false">IF($D949="",0,$C949*$D949)</f>
        <v>0</v>
      </c>
      <c r="L949" s="20" t="n">
        <f aca="false">IF($D949="",0,$F949*$K949)</f>
        <v>0</v>
      </c>
      <c r="M949" s="20" t="n">
        <f aca="false">IF($D949="",0,$G949*$K949)</f>
        <v>0</v>
      </c>
      <c r="N949" s="20" t="n">
        <f aca="false">IF($D949="",0,$H949*$K949)</f>
        <v>0</v>
      </c>
      <c r="O949" s="20" t="n">
        <f aca="false">IF($D949="",0,$I949*$K949*(1-$F949))</f>
        <v>0</v>
      </c>
      <c r="P949" s="20" t="n">
        <f aca="false">IF($D949="",0,$E949*$D949+$L949+$M949+$N949+$O949+$J949*$D949)</f>
        <v>0</v>
      </c>
      <c r="Q949" s="20" t="n">
        <f aca="false">IF($D949="",0,$K949-$P949)</f>
        <v>0</v>
      </c>
      <c r="R949" s="21" t="n">
        <f aca="false">IF($K949=0,0,$Q949/$K949)</f>
        <v>0</v>
      </c>
      <c r="S949" s="20" t="n">
        <f aca="false">IF($D949="",0,$K949-$L949-$M949-$N949)</f>
        <v>0</v>
      </c>
      <c r="T949" s="22"/>
      <c r="U949" s="20" t="n">
        <f aca="false">IF($T949="",0,MAX(0,$S949-$T949))</f>
        <v>0</v>
      </c>
      <c r="V949" s="21" t="n">
        <f aca="false">IF($S949=0,0,$U949/$S949)</f>
        <v>0</v>
      </c>
      <c r="W949" s="23" t="str">
        <f aca="false">IF($D949="","",IF($T949="","BEKLİYOR",IF(OR($U949=0,$S949=0),"DOĞRU",IF(AND($V949&gt;PazaryeriEksikHakedisEsik,$U949&gt;PazaryeriEksikHakedisTutarEsik),"EKSİK HAKEDİŞ","DOĞRU"))))</f>
        <v/>
      </c>
      <c r="X949" s="23" t="str">
        <f aca="false">IF($B949="","",CONCATENATE("Ürün: ",$B949," | Kâr: ",TEXT($Q949,"₺ #,##0")," | Durum: ",$W949))</f>
        <v/>
      </c>
      <c r="Y949" s="24"/>
    </row>
    <row r="950" customFormat="false" ht="15" hidden="false" customHeight="false" outlineLevel="0" collapsed="false">
      <c r="A950" s="24"/>
      <c r="B950" s="24"/>
      <c r="C950" s="22"/>
      <c r="D950" s="25"/>
      <c r="E950" s="22"/>
      <c r="F950" s="26"/>
      <c r="G950" s="26"/>
      <c r="H950" s="26"/>
      <c r="I950" s="26"/>
      <c r="J950" s="22"/>
      <c r="K950" s="20" t="n">
        <f aca="false">IF($D950="",0,$C950*$D950)</f>
        <v>0</v>
      </c>
      <c r="L950" s="20" t="n">
        <f aca="false">IF($D950="",0,$F950*$K950)</f>
        <v>0</v>
      </c>
      <c r="M950" s="20" t="n">
        <f aca="false">IF($D950="",0,$G950*$K950)</f>
        <v>0</v>
      </c>
      <c r="N950" s="20" t="n">
        <f aca="false">IF($D950="",0,$H950*$K950)</f>
        <v>0</v>
      </c>
      <c r="O950" s="20" t="n">
        <f aca="false">IF($D950="",0,$I950*$K950*(1-$F950))</f>
        <v>0</v>
      </c>
      <c r="P950" s="20" t="n">
        <f aca="false">IF($D950="",0,$E950*$D950+$L950+$M950+$N950+$O950+$J950*$D950)</f>
        <v>0</v>
      </c>
      <c r="Q950" s="20" t="n">
        <f aca="false">IF($D950="",0,$K950-$P950)</f>
        <v>0</v>
      </c>
      <c r="R950" s="21" t="n">
        <f aca="false">IF($K950=0,0,$Q950/$K950)</f>
        <v>0</v>
      </c>
      <c r="S950" s="20" t="n">
        <f aca="false">IF($D950="",0,$K950-$L950-$M950-$N950)</f>
        <v>0</v>
      </c>
      <c r="T950" s="22"/>
      <c r="U950" s="20" t="n">
        <f aca="false">IF($T950="",0,MAX(0,$S950-$T950))</f>
        <v>0</v>
      </c>
      <c r="V950" s="21" t="n">
        <f aca="false">IF($S950=0,0,$U950/$S950)</f>
        <v>0</v>
      </c>
      <c r="W950" s="23" t="str">
        <f aca="false">IF($D950="","",IF($T950="","BEKLİYOR",IF(OR($U950=0,$S950=0),"DOĞRU",IF(AND($V950&gt;PazaryeriEksikHakedisEsik,$U950&gt;PazaryeriEksikHakedisTutarEsik),"EKSİK HAKEDİŞ","DOĞRU"))))</f>
        <v/>
      </c>
      <c r="X950" s="23" t="str">
        <f aca="false">IF($B950="","",CONCATENATE("Ürün: ",$B950," | Kâr: ",TEXT($Q950,"₺ #,##0")," | Durum: ",$W950))</f>
        <v/>
      </c>
      <c r="Y950" s="24"/>
    </row>
    <row r="951" customFormat="false" ht="15" hidden="false" customHeight="false" outlineLevel="0" collapsed="false">
      <c r="A951" s="24"/>
      <c r="B951" s="24"/>
      <c r="C951" s="22"/>
      <c r="D951" s="25"/>
      <c r="E951" s="22"/>
      <c r="F951" s="26"/>
      <c r="G951" s="26"/>
      <c r="H951" s="26"/>
      <c r="I951" s="26"/>
      <c r="J951" s="22"/>
      <c r="K951" s="20" t="n">
        <f aca="false">IF($D951="",0,$C951*$D951)</f>
        <v>0</v>
      </c>
      <c r="L951" s="20" t="n">
        <f aca="false">IF($D951="",0,$F951*$K951)</f>
        <v>0</v>
      </c>
      <c r="M951" s="20" t="n">
        <f aca="false">IF($D951="",0,$G951*$K951)</f>
        <v>0</v>
      </c>
      <c r="N951" s="20" t="n">
        <f aca="false">IF($D951="",0,$H951*$K951)</f>
        <v>0</v>
      </c>
      <c r="O951" s="20" t="n">
        <f aca="false">IF($D951="",0,$I951*$K951*(1-$F951))</f>
        <v>0</v>
      </c>
      <c r="P951" s="20" t="n">
        <f aca="false">IF($D951="",0,$E951*$D951+$L951+$M951+$N951+$O951+$J951*$D951)</f>
        <v>0</v>
      </c>
      <c r="Q951" s="20" t="n">
        <f aca="false">IF($D951="",0,$K951-$P951)</f>
        <v>0</v>
      </c>
      <c r="R951" s="21" t="n">
        <f aca="false">IF($K951=0,0,$Q951/$K951)</f>
        <v>0</v>
      </c>
      <c r="S951" s="20" t="n">
        <f aca="false">IF($D951="",0,$K951-$L951-$M951-$N951)</f>
        <v>0</v>
      </c>
      <c r="T951" s="22"/>
      <c r="U951" s="20" t="n">
        <f aca="false">IF($T951="",0,MAX(0,$S951-$T951))</f>
        <v>0</v>
      </c>
      <c r="V951" s="21" t="n">
        <f aca="false">IF($S951=0,0,$U951/$S951)</f>
        <v>0</v>
      </c>
      <c r="W951" s="23" t="str">
        <f aca="false">IF($D951="","",IF($T951="","BEKLİYOR",IF(OR($U951=0,$S951=0),"DOĞRU",IF(AND($V951&gt;PazaryeriEksikHakedisEsik,$U951&gt;PazaryeriEksikHakedisTutarEsik),"EKSİK HAKEDİŞ","DOĞRU"))))</f>
        <v/>
      </c>
      <c r="X951" s="23" t="str">
        <f aca="false">IF($B951="","",CONCATENATE("Ürün: ",$B951," | Kâr: ",TEXT($Q951,"₺ #,##0")," | Durum: ",$W951))</f>
        <v/>
      </c>
      <c r="Y951" s="24"/>
    </row>
    <row r="952" customFormat="false" ht="15" hidden="false" customHeight="false" outlineLevel="0" collapsed="false">
      <c r="A952" s="24"/>
      <c r="B952" s="24"/>
      <c r="C952" s="22"/>
      <c r="D952" s="25"/>
      <c r="E952" s="22"/>
      <c r="F952" s="26"/>
      <c r="G952" s="26"/>
      <c r="H952" s="26"/>
      <c r="I952" s="26"/>
      <c r="J952" s="22"/>
      <c r="K952" s="20" t="n">
        <f aca="false">IF($D952="",0,$C952*$D952)</f>
        <v>0</v>
      </c>
      <c r="L952" s="20" t="n">
        <f aca="false">IF($D952="",0,$F952*$K952)</f>
        <v>0</v>
      </c>
      <c r="M952" s="20" t="n">
        <f aca="false">IF($D952="",0,$G952*$K952)</f>
        <v>0</v>
      </c>
      <c r="N952" s="20" t="n">
        <f aca="false">IF($D952="",0,$H952*$K952)</f>
        <v>0</v>
      </c>
      <c r="O952" s="20" t="n">
        <f aca="false">IF($D952="",0,$I952*$K952*(1-$F952))</f>
        <v>0</v>
      </c>
      <c r="P952" s="20" t="n">
        <f aca="false">IF($D952="",0,$E952*$D952+$L952+$M952+$N952+$O952+$J952*$D952)</f>
        <v>0</v>
      </c>
      <c r="Q952" s="20" t="n">
        <f aca="false">IF($D952="",0,$K952-$P952)</f>
        <v>0</v>
      </c>
      <c r="R952" s="21" t="n">
        <f aca="false">IF($K952=0,0,$Q952/$K952)</f>
        <v>0</v>
      </c>
      <c r="S952" s="20" t="n">
        <f aca="false">IF($D952="",0,$K952-$L952-$M952-$N952)</f>
        <v>0</v>
      </c>
      <c r="T952" s="22"/>
      <c r="U952" s="20" t="n">
        <f aca="false">IF($T952="",0,MAX(0,$S952-$T952))</f>
        <v>0</v>
      </c>
      <c r="V952" s="21" t="n">
        <f aca="false">IF($S952=0,0,$U952/$S952)</f>
        <v>0</v>
      </c>
      <c r="W952" s="23" t="str">
        <f aca="false">IF($D952="","",IF($T952="","BEKLİYOR",IF(OR($U952=0,$S952=0),"DOĞRU",IF(AND($V952&gt;PazaryeriEksikHakedisEsik,$U952&gt;PazaryeriEksikHakedisTutarEsik),"EKSİK HAKEDİŞ","DOĞRU"))))</f>
        <v/>
      </c>
      <c r="X952" s="23" t="str">
        <f aca="false">IF($B952="","",CONCATENATE("Ürün: ",$B952," | Kâr: ",TEXT($Q952,"₺ #,##0")," | Durum: ",$W952))</f>
        <v/>
      </c>
      <c r="Y952" s="24"/>
    </row>
    <row r="953" customFormat="false" ht="15" hidden="false" customHeight="false" outlineLevel="0" collapsed="false">
      <c r="A953" s="24"/>
      <c r="B953" s="24"/>
      <c r="C953" s="22"/>
      <c r="D953" s="25"/>
      <c r="E953" s="22"/>
      <c r="F953" s="26"/>
      <c r="G953" s="26"/>
      <c r="H953" s="26"/>
      <c r="I953" s="26"/>
      <c r="J953" s="22"/>
      <c r="K953" s="20" t="n">
        <f aca="false">IF($D953="",0,$C953*$D953)</f>
        <v>0</v>
      </c>
      <c r="L953" s="20" t="n">
        <f aca="false">IF($D953="",0,$F953*$K953)</f>
        <v>0</v>
      </c>
      <c r="M953" s="20" t="n">
        <f aca="false">IF($D953="",0,$G953*$K953)</f>
        <v>0</v>
      </c>
      <c r="N953" s="20" t="n">
        <f aca="false">IF($D953="",0,$H953*$K953)</f>
        <v>0</v>
      </c>
      <c r="O953" s="20" t="n">
        <f aca="false">IF($D953="",0,$I953*$K953*(1-$F953))</f>
        <v>0</v>
      </c>
      <c r="P953" s="20" t="n">
        <f aca="false">IF($D953="",0,$E953*$D953+$L953+$M953+$N953+$O953+$J953*$D953)</f>
        <v>0</v>
      </c>
      <c r="Q953" s="20" t="n">
        <f aca="false">IF($D953="",0,$K953-$P953)</f>
        <v>0</v>
      </c>
      <c r="R953" s="21" t="n">
        <f aca="false">IF($K953=0,0,$Q953/$K953)</f>
        <v>0</v>
      </c>
      <c r="S953" s="20" t="n">
        <f aca="false">IF($D953="",0,$K953-$L953-$M953-$N953)</f>
        <v>0</v>
      </c>
      <c r="T953" s="22"/>
      <c r="U953" s="20" t="n">
        <f aca="false">IF($T953="",0,MAX(0,$S953-$T953))</f>
        <v>0</v>
      </c>
      <c r="V953" s="21" t="n">
        <f aca="false">IF($S953=0,0,$U953/$S953)</f>
        <v>0</v>
      </c>
      <c r="W953" s="23" t="str">
        <f aca="false">IF($D953="","",IF($T953="","BEKLİYOR",IF(OR($U953=0,$S953=0),"DOĞRU",IF(AND($V953&gt;PazaryeriEksikHakedisEsik,$U953&gt;PazaryeriEksikHakedisTutarEsik),"EKSİK HAKEDİŞ","DOĞRU"))))</f>
        <v/>
      </c>
      <c r="X953" s="23" t="str">
        <f aca="false">IF($B953="","",CONCATENATE("Ürün: ",$B953," | Kâr: ",TEXT($Q953,"₺ #,##0")," | Durum: ",$W953))</f>
        <v/>
      </c>
      <c r="Y953" s="24"/>
    </row>
    <row r="954" customFormat="false" ht="15" hidden="false" customHeight="false" outlineLevel="0" collapsed="false">
      <c r="A954" s="24"/>
      <c r="B954" s="24"/>
      <c r="C954" s="22"/>
      <c r="D954" s="25"/>
      <c r="E954" s="22"/>
      <c r="F954" s="26"/>
      <c r="G954" s="26"/>
      <c r="H954" s="26"/>
      <c r="I954" s="26"/>
      <c r="J954" s="22"/>
      <c r="K954" s="20" t="n">
        <f aca="false">IF($D954="",0,$C954*$D954)</f>
        <v>0</v>
      </c>
      <c r="L954" s="20" t="n">
        <f aca="false">IF($D954="",0,$F954*$K954)</f>
        <v>0</v>
      </c>
      <c r="M954" s="20" t="n">
        <f aca="false">IF($D954="",0,$G954*$K954)</f>
        <v>0</v>
      </c>
      <c r="N954" s="20" t="n">
        <f aca="false">IF($D954="",0,$H954*$K954)</f>
        <v>0</v>
      </c>
      <c r="O954" s="20" t="n">
        <f aca="false">IF($D954="",0,$I954*$K954*(1-$F954))</f>
        <v>0</v>
      </c>
      <c r="P954" s="20" t="n">
        <f aca="false">IF($D954="",0,$E954*$D954+$L954+$M954+$N954+$O954+$J954*$D954)</f>
        <v>0</v>
      </c>
      <c r="Q954" s="20" t="n">
        <f aca="false">IF($D954="",0,$K954-$P954)</f>
        <v>0</v>
      </c>
      <c r="R954" s="21" t="n">
        <f aca="false">IF($K954=0,0,$Q954/$K954)</f>
        <v>0</v>
      </c>
      <c r="S954" s="20" t="n">
        <f aca="false">IF($D954="",0,$K954-$L954-$M954-$N954)</f>
        <v>0</v>
      </c>
      <c r="T954" s="22"/>
      <c r="U954" s="20" t="n">
        <f aca="false">IF($T954="",0,MAX(0,$S954-$T954))</f>
        <v>0</v>
      </c>
      <c r="V954" s="21" t="n">
        <f aca="false">IF($S954=0,0,$U954/$S954)</f>
        <v>0</v>
      </c>
      <c r="W954" s="23" t="str">
        <f aca="false">IF($D954="","",IF($T954="","BEKLİYOR",IF(OR($U954=0,$S954=0),"DOĞRU",IF(AND($V954&gt;PazaryeriEksikHakedisEsik,$U954&gt;PazaryeriEksikHakedisTutarEsik),"EKSİK HAKEDİŞ","DOĞRU"))))</f>
        <v/>
      </c>
      <c r="X954" s="23" t="str">
        <f aca="false">IF($B954="","",CONCATENATE("Ürün: ",$B954," | Kâr: ",TEXT($Q954,"₺ #,##0")," | Durum: ",$W954))</f>
        <v/>
      </c>
      <c r="Y954" s="24"/>
    </row>
    <row r="955" customFormat="false" ht="15" hidden="false" customHeight="false" outlineLevel="0" collapsed="false">
      <c r="A955" s="24"/>
      <c r="B955" s="24"/>
      <c r="C955" s="22"/>
      <c r="D955" s="25"/>
      <c r="E955" s="22"/>
      <c r="F955" s="26"/>
      <c r="G955" s="26"/>
      <c r="H955" s="26"/>
      <c r="I955" s="26"/>
      <c r="J955" s="22"/>
      <c r="K955" s="20" t="n">
        <f aca="false">IF($D955="",0,$C955*$D955)</f>
        <v>0</v>
      </c>
      <c r="L955" s="20" t="n">
        <f aca="false">IF($D955="",0,$F955*$K955)</f>
        <v>0</v>
      </c>
      <c r="M955" s="20" t="n">
        <f aca="false">IF($D955="",0,$G955*$K955)</f>
        <v>0</v>
      </c>
      <c r="N955" s="20" t="n">
        <f aca="false">IF($D955="",0,$H955*$K955)</f>
        <v>0</v>
      </c>
      <c r="O955" s="20" t="n">
        <f aca="false">IF($D955="",0,$I955*$K955*(1-$F955))</f>
        <v>0</v>
      </c>
      <c r="P955" s="20" t="n">
        <f aca="false">IF($D955="",0,$E955*$D955+$L955+$M955+$N955+$O955+$J955*$D955)</f>
        <v>0</v>
      </c>
      <c r="Q955" s="20" t="n">
        <f aca="false">IF($D955="",0,$K955-$P955)</f>
        <v>0</v>
      </c>
      <c r="R955" s="21" t="n">
        <f aca="false">IF($K955=0,0,$Q955/$K955)</f>
        <v>0</v>
      </c>
      <c r="S955" s="20" t="n">
        <f aca="false">IF($D955="",0,$K955-$L955-$M955-$N955)</f>
        <v>0</v>
      </c>
      <c r="T955" s="22"/>
      <c r="U955" s="20" t="n">
        <f aca="false">IF($T955="",0,MAX(0,$S955-$T955))</f>
        <v>0</v>
      </c>
      <c r="V955" s="21" t="n">
        <f aca="false">IF($S955=0,0,$U955/$S955)</f>
        <v>0</v>
      </c>
      <c r="W955" s="23" t="str">
        <f aca="false">IF($D955="","",IF($T955="","BEKLİYOR",IF(OR($U955=0,$S955=0),"DOĞRU",IF(AND($V955&gt;PazaryeriEksikHakedisEsik,$U955&gt;PazaryeriEksikHakedisTutarEsik),"EKSİK HAKEDİŞ","DOĞRU"))))</f>
        <v/>
      </c>
      <c r="X955" s="23" t="str">
        <f aca="false">IF($B955="","",CONCATENATE("Ürün: ",$B955," | Kâr: ",TEXT($Q955,"₺ #,##0")," | Durum: ",$W955))</f>
        <v/>
      </c>
      <c r="Y955" s="24"/>
    </row>
    <row r="956" customFormat="false" ht="15" hidden="false" customHeight="false" outlineLevel="0" collapsed="false">
      <c r="A956" s="24"/>
      <c r="B956" s="24"/>
      <c r="C956" s="22"/>
      <c r="D956" s="25"/>
      <c r="E956" s="22"/>
      <c r="F956" s="26"/>
      <c r="G956" s="26"/>
      <c r="H956" s="26"/>
      <c r="I956" s="26"/>
      <c r="J956" s="22"/>
      <c r="K956" s="20" t="n">
        <f aca="false">IF($D956="",0,$C956*$D956)</f>
        <v>0</v>
      </c>
      <c r="L956" s="20" t="n">
        <f aca="false">IF($D956="",0,$F956*$K956)</f>
        <v>0</v>
      </c>
      <c r="M956" s="20" t="n">
        <f aca="false">IF($D956="",0,$G956*$K956)</f>
        <v>0</v>
      </c>
      <c r="N956" s="20" t="n">
        <f aca="false">IF($D956="",0,$H956*$K956)</f>
        <v>0</v>
      </c>
      <c r="O956" s="20" t="n">
        <f aca="false">IF($D956="",0,$I956*$K956*(1-$F956))</f>
        <v>0</v>
      </c>
      <c r="P956" s="20" t="n">
        <f aca="false">IF($D956="",0,$E956*$D956+$L956+$M956+$N956+$O956+$J956*$D956)</f>
        <v>0</v>
      </c>
      <c r="Q956" s="20" t="n">
        <f aca="false">IF($D956="",0,$K956-$P956)</f>
        <v>0</v>
      </c>
      <c r="R956" s="21" t="n">
        <f aca="false">IF($K956=0,0,$Q956/$K956)</f>
        <v>0</v>
      </c>
      <c r="S956" s="20" t="n">
        <f aca="false">IF($D956="",0,$K956-$L956-$M956-$N956)</f>
        <v>0</v>
      </c>
      <c r="T956" s="22"/>
      <c r="U956" s="20" t="n">
        <f aca="false">IF($T956="",0,MAX(0,$S956-$T956))</f>
        <v>0</v>
      </c>
      <c r="V956" s="21" t="n">
        <f aca="false">IF($S956=0,0,$U956/$S956)</f>
        <v>0</v>
      </c>
      <c r="W956" s="23" t="str">
        <f aca="false">IF($D956="","",IF($T956="","BEKLİYOR",IF(OR($U956=0,$S956=0),"DOĞRU",IF(AND($V956&gt;PazaryeriEksikHakedisEsik,$U956&gt;PazaryeriEksikHakedisTutarEsik),"EKSİK HAKEDİŞ","DOĞRU"))))</f>
        <v/>
      </c>
      <c r="X956" s="23" t="str">
        <f aca="false">IF($B956="","",CONCATENATE("Ürün: ",$B956," | Kâr: ",TEXT($Q956,"₺ #,##0")," | Durum: ",$W956))</f>
        <v/>
      </c>
      <c r="Y956" s="24"/>
    </row>
    <row r="957" customFormat="false" ht="15" hidden="false" customHeight="false" outlineLevel="0" collapsed="false">
      <c r="A957" s="24"/>
      <c r="B957" s="24"/>
      <c r="C957" s="22"/>
      <c r="D957" s="25"/>
      <c r="E957" s="22"/>
      <c r="F957" s="26"/>
      <c r="G957" s="26"/>
      <c r="H957" s="26"/>
      <c r="I957" s="26"/>
      <c r="J957" s="22"/>
      <c r="K957" s="20" t="n">
        <f aca="false">IF($D957="",0,$C957*$D957)</f>
        <v>0</v>
      </c>
      <c r="L957" s="20" t="n">
        <f aca="false">IF($D957="",0,$F957*$K957)</f>
        <v>0</v>
      </c>
      <c r="M957" s="20" t="n">
        <f aca="false">IF($D957="",0,$G957*$K957)</f>
        <v>0</v>
      </c>
      <c r="N957" s="20" t="n">
        <f aca="false">IF($D957="",0,$H957*$K957)</f>
        <v>0</v>
      </c>
      <c r="O957" s="20" t="n">
        <f aca="false">IF($D957="",0,$I957*$K957*(1-$F957))</f>
        <v>0</v>
      </c>
      <c r="P957" s="20" t="n">
        <f aca="false">IF($D957="",0,$E957*$D957+$L957+$M957+$N957+$O957+$J957*$D957)</f>
        <v>0</v>
      </c>
      <c r="Q957" s="20" t="n">
        <f aca="false">IF($D957="",0,$K957-$P957)</f>
        <v>0</v>
      </c>
      <c r="R957" s="21" t="n">
        <f aca="false">IF($K957=0,0,$Q957/$K957)</f>
        <v>0</v>
      </c>
      <c r="S957" s="20" t="n">
        <f aca="false">IF($D957="",0,$K957-$L957-$M957-$N957)</f>
        <v>0</v>
      </c>
      <c r="T957" s="22"/>
      <c r="U957" s="20" t="n">
        <f aca="false">IF($T957="",0,MAX(0,$S957-$T957))</f>
        <v>0</v>
      </c>
      <c r="V957" s="21" t="n">
        <f aca="false">IF($S957=0,0,$U957/$S957)</f>
        <v>0</v>
      </c>
      <c r="W957" s="23" t="str">
        <f aca="false">IF($D957="","",IF($T957="","BEKLİYOR",IF(OR($U957=0,$S957=0),"DOĞRU",IF(AND($V957&gt;PazaryeriEksikHakedisEsik,$U957&gt;PazaryeriEksikHakedisTutarEsik),"EKSİK HAKEDİŞ","DOĞRU"))))</f>
        <v/>
      </c>
      <c r="X957" s="23" t="str">
        <f aca="false">IF($B957="","",CONCATENATE("Ürün: ",$B957," | Kâr: ",TEXT($Q957,"₺ #,##0")," | Durum: ",$W957))</f>
        <v/>
      </c>
      <c r="Y957" s="24"/>
    </row>
    <row r="958" customFormat="false" ht="15" hidden="false" customHeight="false" outlineLevel="0" collapsed="false">
      <c r="A958" s="24"/>
      <c r="B958" s="24"/>
      <c r="C958" s="22"/>
      <c r="D958" s="25"/>
      <c r="E958" s="22"/>
      <c r="F958" s="26"/>
      <c r="G958" s="26"/>
      <c r="H958" s="26"/>
      <c r="I958" s="26"/>
      <c r="J958" s="22"/>
      <c r="K958" s="20" t="n">
        <f aca="false">IF($D958="",0,$C958*$D958)</f>
        <v>0</v>
      </c>
      <c r="L958" s="20" t="n">
        <f aca="false">IF($D958="",0,$F958*$K958)</f>
        <v>0</v>
      </c>
      <c r="M958" s="20" t="n">
        <f aca="false">IF($D958="",0,$G958*$K958)</f>
        <v>0</v>
      </c>
      <c r="N958" s="20" t="n">
        <f aca="false">IF($D958="",0,$H958*$K958)</f>
        <v>0</v>
      </c>
      <c r="O958" s="20" t="n">
        <f aca="false">IF($D958="",0,$I958*$K958*(1-$F958))</f>
        <v>0</v>
      </c>
      <c r="P958" s="20" t="n">
        <f aca="false">IF($D958="",0,$E958*$D958+$L958+$M958+$N958+$O958+$J958*$D958)</f>
        <v>0</v>
      </c>
      <c r="Q958" s="20" t="n">
        <f aca="false">IF($D958="",0,$K958-$P958)</f>
        <v>0</v>
      </c>
      <c r="R958" s="21" t="n">
        <f aca="false">IF($K958=0,0,$Q958/$K958)</f>
        <v>0</v>
      </c>
      <c r="S958" s="20" t="n">
        <f aca="false">IF($D958="",0,$K958-$L958-$M958-$N958)</f>
        <v>0</v>
      </c>
      <c r="T958" s="22"/>
      <c r="U958" s="20" t="n">
        <f aca="false">IF($T958="",0,MAX(0,$S958-$T958))</f>
        <v>0</v>
      </c>
      <c r="V958" s="21" t="n">
        <f aca="false">IF($S958=0,0,$U958/$S958)</f>
        <v>0</v>
      </c>
      <c r="W958" s="23" t="str">
        <f aca="false">IF($D958="","",IF($T958="","BEKLİYOR",IF(OR($U958=0,$S958=0),"DOĞRU",IF(AND($V958&gt;PazaryeriEksikHakedisEsik,$U958&gt;PazaryeriEksikHakedisTutarEsik),"EKSİK HAKEDİŞ","DOĞRU"))))</f>
        <v/>
      </c>
      <c r="X958" s="23" t="str">
        <f aca="false">IF($B958="","",CONCATENATE("Ürün: ",$B958," | Kâr: ",TEXT($Q958,"₺ #,##0")," | Durum: ",$W958))</f>
        <v/>
      </c>
      <c r="Y958" s="24"/>
    </row>
    <row r="959" customFormat="false" ht="15" hidden="false" customHeight="false" outlineLevel="0" collapsed="false">
      <c r="A959" s="24"/>
      <c r="B959" s="24"/>
      <c r="C959" s="22"/>
      <c r="D959" s="25"/>
      <c r="E959" s="22"/>
      <c r="F959" s="26"/>
      <c r="G959" s="26"/>
      <c r="H959" s="26"/>
      <c r="I959" s="26"/>
      <c r="J959" s="22"/>
      <c r="K959" s="20" t="n">
        <f aca="false">IF($D959="",0,$C959*$D959)</f>
        <v>0</v>
      </c>
      <c r="L959" s="20" t="n">
        <f aca="false">IF($D959="",0,$F959*$K959)</f>
        <v>0</v>
      </c>
      <c r="M959" s="20" t="n">
        <f aca="false">IF($D959="",0,$G959*$K959)</f>
        <v>0</v>
      </c>
      <c r="N959" s="20" t="n">
        <f aca="false">IF($D959="",0,$H959*$K959)</f>
        <v>0</v>
      </c>
      <c r="O959" s="20" t="n">
        <f aca="false">IF($D959="",0,$I959*$K959*(1-$F959))</f>
        <v>0</v>
      </c>
      <c r="P959" s="20" t="n">
        <f aca="false">IF($D959="",0,$E959*$D959+$L959+$M959+$N959+$O959+$J959*$D959)</f>
        <v>0</v>
      </c>
      <c r="Q959" s="20" t="n">
        <f aca="false">IF($D959="",0,$K959-$P959)</f>
        <v>0</v>
      </c>
      <c r="R959" s="21" t="n">
        <f aca="false">IF($K959=0,0,$Q959/$K959)</f>
        <v>0</v>
      </c>
      <c r="S959" s="20" t="n">
        <f aca="false">IF($D959="",0,$K959-$L959-$M959-$N959)</f>
        <v>0</v>
      </c>
      <c r="T959" s="22"/>
      <c r="U959" s="20" t="n">
        <f aca="false">IF($T959="",0,MAX(0,$S959-$T959))</f>
        <v>0</v>
      </c>
      <c r="V959" s="21" t="n">
        <f aca="false">IF($S959=0,0,$U959/$S959)</f>
        <v>0</v>
      </c>
      <c r="W959" s="23" t="str">
        <f aca="false">IF($D959="","",IF($T959="","BEKLİYOR",IF(OR($U959=0,$S959=0),"DOĞRU",IF(AND($V959&gt;PazaryeriEksikHakedisEsik,$U959&gt;PazaryeriEksikHakedisTutarEsik),"EKSİK HAKEDİŞ","DOĞRU"))))</f>
        <v/>
      </c>
      <c r="X959" s="23" t="str">
        <f aca="false">IF($B959="","",CONCATENATE("Ürün: ",$B959," | Kâr: ",TEXT($Q959,"₺ #,##0")," | Durum: ",$W959))</f>
        <v/>
      </c>
      <c r="Y959" s="24"/>
    </row>
    <row r="960" customFormat="false" ht="15" hidden="false" customHeight="false" outlineLevel="0" collapsed="false">
      <c r="A960" s="24"/>
      <c r="B960" s="24"/>
      <c r="C960" s="22"/>
      <c r="D960" s="25"/>
      <c r="E960" s="22"/>
      <c r="F960" s="26"/>
      <c r="G960" s="26"/>
      <c r="H960" s="26"/>
      <c r="I960" s="26"/>
      <c r="J960" s="22"/>
      <c r="K960" s="20" t="n">
        <f aca="false">IF($D960="",0,$C960*$D960)</f>
        <v>0</v>
      </c>
      <c r="L960" s="20" t="n">
        <f aca="false">IF($D960="",0,$F960*$K960)</f>
        <v>0</v>
      </c>
      <c r="M960" s="20" t="n">
        <f aca="false">IF($D960="",0,$G960*$K960)</f>
        <v>0</v>
      </c>
      <c r="N960" s="20" t="n">
        <f aca="false">IF($D960="",0,$H960*$K960)</f>
        <v>0</v>
      </c>
      <c r="O960" s="20" t="n">
        <f aca="false">IF($D960="",0,$I960*$K960*(1-$F960))</f>
        <v>0</v>
      </c>
      <c r="P960" s="20" t="n">
        <f aca="false">IF($D960="",0,$E960*$D960+$L960+$M960+$N960+$O960+$J960*$D960)</f>
        <v>0</v>
      </c>
      <c r="Q960" s="20" t="n">
        <f aca="false">IF($D960="",0,$K960-$P960)</f>
        <v>0</v>
      </c>
      <c r="R960" s="21" t="n">
        <f aca="false">IF($K960=0,0,$Q960/$K960)</f>
        <v>0</v>
      </c>
      <c r="S960" s="20" t="n">
        <f aca="false">IF($D960="",0,$K960-$L960-$M960-$N960)</f>
        <v>0</v>
      </c>
      <c r="T960" s="22"/>
      <c r="U960" s="20" t="n">
        <f aca="false">IF($T960="",0,MAX(0,$S960-$T960))</f>
        <v>0</v>
      </c>
      <c r="V960" s="21" t="n">
        <f aca="false">IF($S960=0,0,$U960/$S960)</f>
        <v>0</v>
      </c>
      <c r="W960" s="23" t="str">
        <f aca="false">IF($D960="","",IF($T960="","BEKLİYOR",IF(OR($U960=0,$S960=0),"DOĞRU",IF(AND($V960&gt;PazaryeriEksikHakedisEsik,$U960&gt;PazaryeriEksikHakedisTutarEsik),"EKSİK HAKEDİŞ","DOĞRU"))))</f>
        <v/>
      </c>
      <c r="X960" s="23" t="str">
        <f aca="false">IF($B960="","",CONCATENATE("Ürün: ",$B960," | Kâr: ",TEXT($Q960,"₺ #,##0")," | Durum: ",$W960))</f>
        <v/>
      </c>
      <c r="Y960" s="24"/>
    </row>
    <row r="961" customFormat="false" ht="15" hidden="false" customHeight="false" outlineLevel="0" collapsed="false">
      <c r="A961" s="24"/>
      <c r="B961" s="24"/>
      <c r="C961" s="22"/>
      <c r="D961" s="25"/>
      <c r="E961" s="22"/>
      <c r="F961" s="26"/>
      <c r="G961" s="26"/>
      <c r="H961" s="26"/>
      <c r="I961" s="26"/>
      <c r="J961" s="22"/>
      <c r="K961" s="20" t="n">
        <f aca="false">IF($D961="",0,$C961*$D961)</f>
        <v>0</v>
      </c>
      <c r="L961" s="20" t="n">
        <f aca="false">IF($D961="",0,$F961*$K961)</f>
        <v>0</v>
      </c>
      <c r="M961" s="20" t="n">
        <f aca="false">IF($D961="",0,$G961*$K961)</f>
        <v>0</v>
      </c>
      <c r="N961" s="20" t="n">
        <f aca="false">IF($D961="",0,$H961*$K961)</f>
        <v>0</v>
      </c>
      <c r="O961" s="20" t="n">
        <f aca="false">IF($D961="",0,$I961*$K961*(1-$F961))</f>
        <v>0</v>
      </c>
      <c r="P961" s="20" t="n">
        <f aca="false">IF($D961="",0,$E961*$D961+$L961+$M961+$N961+$O961+$J961*$D961)</f>
        <v>0</v>
      </c>
      <c r="Q961" s="20" t="n">
        <f aca="false">IF($D961="",0,$K961-$P961)</f>
        <v>0</v>
      </c>
      <c r="R961" s="21" t="n">
        <f aca="false">IF($K961=0,0,$Q961/$K961)</f>
        <v>0</v>
      </c>
      <c r="S961" s="20" t="n">
        <f aca="false">IF($D961="",0,$K961-$L961-$M961-$N961)</f>
        <v>0</v>
      </c>
      <c r="T961" s="22"/>
      <c r="U961" s="20" t="n">
        <f aca="false">IF($T961="",0,MAX(0,$S961-$T961))</f>
        <v>0</v>
      </c>
      <c r="V961" s="21" t="n">
        <f aca="false">IF($S961=0,0,$U961/$S961)</f>
        <v>0</v>
      </c>
      <c r="W961" s="23" t="str">
        <f aca="false">IF($D961="","",IF($T961="","BEKLİYOR",IF(OR($U961=0,$S961=0),"DOĞRU",IF(AND($V961&gt;PazaryeriEksikHakedisEsik,$U961&gt;PazaryeriEksikHakedisTutarEsik),"EKSİK HAKEDİŞ","DOĞRU"))))</f>
        <v/>
      </c>
      <c r="X961" s="23" t="str">
        <f aca="false">IF($B961="","",CONCATENATE("Ürün: ",$B961," | Kâr: ",TEXT($Q961,"₺ #,##0")," | Durum: ",$W961))</f>
        <v/>
      </c>
      <c r="Y961" s="24"/>
    </row>
    <row r="962" customFormat="false" ht="15" hidden="false" customHeight="false" outlineLevel="0" collapsed="false">
      <c r="A962" s="24"/>
      <c r="B962" s="24"/>
      <c r="C962" s="22"/>
      <c r="D962" s="25"/>
      <c r="E962" s="22"/>
      <c r="F962" s="26"/>
      <c r="G962" s="26"/>
      <c r="H962" s="26"/>
      <c r="I962" s="26"/>
      <c r="J962" s="22"/>
      <c r="K962" s="20" t="n">
        <f aca="false">IF($D962="",0,$C962*$D962)</f>
        <v>0</v>
      </c>
      <c r="L962" s="20" t="n">
        <f aca="false">IF($D962="",0,$F962*$K962)</f>
        <v>0</v>
      </c>
      <c r="M962" s="20" t="n">
        <f aca="false">IF($D962="",0,$G962*$K962)</f>
        <v>0</v>
      </c>
      <c r="N962" s="20" t="n">
        <f aca="false">IF($D962="",0,$H962*$K962)</f>
        <v>0</v>
      </c>
      <c r="O962" s="20" t="n">
        <f aca="false">IF($D962="",0,$I962*$K962*(1-$F962))</f>
        <v>0</v>
      </c>
      <c r="P962" s="20" t="n">
        <f aca="false">IF($D962="",0,$E962*$D962+$L962+$M962+$N962+$O962+$J962*$D962)</f>
        <v>0</v>
      </c>
      <c r="Q962" s="20" t="n">
        <f aca="false">IF($D962="",0,$K962-$P962)</f>
        <v>0</v>
      </c>
      <c r="R962" s="21" t="n">
        <f aca="false">IF($K962=0,0,$Q962/$K962)</f>
        <v>0</v>
      </c>
      <c r="S962" s="20" t="n">
        <f aca="false">IF($D962="",0,$K962-$L962-$M962-$N962)</f>
        <v>0</v>
      </c>
      <c r="T962" s="22"/>
      <c r="U962" s="20" t="n">
        <f aca="false">IF($T962="",0,MAX(0,$S962-$T962))</f>
        <v>0</v>
      </c>
      <c r="V962" s="21" t="n">
        <f aca="false">IF($S962=0,0,$U962/$S962)</f>
        <v>0</v>
      </c>
      <c r="W962" s="23" t="str">
        <f aca="false">IF($D962="","",IF($T962="","BEKLİYOR",IF(OR($U962=0,$S962=0),"DOĞRU",IF(AND($V962&gt;PazaryeriEksikHakedisEsik,$U962&gt;PazaryeriEksikHakedisTutarEsik),"EKSİK HAKEDİŞ","DOĞRU"))))</f>
        <v/>
      </c>
      <c r="X962" s="23" t="str">
        <f aca="false">IF($B962="","",CONCATENATE("Ürün: ",$B962," | Kâr: ",TEXT($Q962,"₺ #,##0")," | Durum: ",$W962))</f>
        <v/>
      </c>
      <c r="Y962" s="24"/>
    </row>
    <row r="963" customFormat="false" ht="15" hidden="false" customHeight="false" outlineLevel="0" collapsed="false">
      <c r="A963" s="24"/>
      <c r="B963" s="24"/>
      <c r="C963" s="22"/>
      <c r="D963" s="25"/>
      <c r="E963" s="22"/>
      <c r="F963" s="26"/>
      <c r="G963" s="26"/>
      <c r="H963" s="26"/>
      <c r="I963" s="26"/>
      <c r="J963" s="22"/>
      <c r="K963" s="20" t="n">
        <f aca="false">IF($D963="",0,$C963*$D963)</f>
        <v>0</v>
      </c>
      <c r="L963" s="20" t="n">
        <f aca="false">IF($D963="",0,$F963*$K963)</f>
        <v>0</v>
      </c>
      <c r="M963" s="20" t="n">
        <f aca="false">IF($D963="",0,$G963*$K963)</f>
        <v>0</v>
      </c>
      <c r="N963" s="20" t="n">
        <f aca="false">IF($D963="",0,$H963*$K963)</f>
        <v>0</v>
      </c>
      <c r="O963" s="20" t="n">
        <f aca="false">IF($D963="",0,$I963*$K963*(1-$F963))</f>
        <v>0</v>
      </c>
      <c r="P963" s="20" t="n">
        <f aca="false">IF($D963="",0,$E963*$D963+$L963+$M963+$N963+$O963+$J963*$D963)</f>
        <v>0</v>
      </c>
      <c r="Q963" s="20" t="n">
        <f aca="false">IF($D963="",0,$K963-$P963)</f>
        <v>0</v>
      </c>
      <c r="R963" s="21" t="n">
        <f aca="false">IF($K963=0,0,$Q963/$K963)</f>
        <v>0</v>
      </c>
      <c r="S963" s="20" t="n">
        <f aca="false">IF($D963="",0,$K963-$L963-$M963-$N963)</f>
        <v>0</v>
      </c>
      <c r="T963" s="22"/>
      <c r="U963" s="20" t="n">
        <f aca="false">IF($T963="",0,MAX(0,$S963-$T963))</f>
        <v>0</v>
      </c>
      <c r="V963" s="21" t="n">
        <f aca="false">IF($S963=0,0,$U963/$S963)</f>
        <v>0</v>
      </c>
      <c r="W963" s="23" t="str">
        <f aca="false">IF($D963="","",IF($T963="","BEKLİYOR",IF(OR($U963=0,$S963=0),"DOĞRU",IF(AND($V963&gt;PazaryeriEksikHakedisEsik,$U963&gt;PazaryeriEksikHakedisTutarEsik),"EKSİK HAKEDİŞ","DOĞRU"))))</f>
        <v/>
      </c>
      <c r="X963" s="23" t="str">
        <f aca="false">IF($B963="","",CONCATENATE("Ürün: ",$B963," | Kâr: ",TEXT($Q963,"₺ #,##0")," | Durum: ",$W963))</f>
        <v/>
      </c>
      <c r="Y963" s="24"/>
    </row>
    <row r="964" customFormat="false" ht="15" hidden="false" customHeight="false" outlineLevel="0" collapsed="false">
      <c r="A964" s="24"/>
      <c r="B964" s="24"/>
      <c r="C964" s="22"/>
      <c r="D964" s="25"/>
      <c r="E964" s="22"/>
      <c r="F964" s="26"/>
      <c r="G964" s="26"/>
      <c r="H964" s="26"/>
      <c r="I964" s="26"/>
      <c r="J964" s="22"/>
      <c r="K964" s="20" t="n">
        <f aca="false">IF($D964="",0,$C964*$D964)</f>
        <v>0</v>
      </c>
      <c r="L964" s="20" t="n">
        <f aca="false">IF($D964="",0,$F964*$K964)</f>
        <v>0</v>
      </c>
      <c r="M964" s="20" t="n">
        <f aca="false">IF($D964="",0,$G964*$K964)</f>
        <v>0</v>
      </c>
      <c r="N964" s="20" t="n">
        <f aca="false">IF($D964="",0,$H964*$K964)</f>
        <v>0</v>
      </c>
      <c r="O964" s="20" t="n">
        <f aca="false">IF($D964="",0,$I964*$K964*(1-$F964))</f>
        <v>0</v>
      </c>
      <c r="P964" s="20" t="n">
        <f aca="false">IF($D964="",0,$E964*$D964+$L964+$M964+$N964+$O964+$J964*$D964)</f>
        <v>0</v>
      </c>
      <c r="Q964" s="20" t="n">
        <f aca="false">IF($D964="",0,$K964-$P964)</f>
        <v>0</v>
      </c>
      <c r="R964" s="21" t="n">
        <f aca="false">IF($K964=0,0,$Q964/$K964)</f>
        <v>0</v>
      </c>
      <c r="S964" s="20" t="n">
        <f aca="false">IF($D964="",0,$K964-$L964-$M964-$N964)</f>
        <v>0</v>
      </c>
      <c r="T964" s="22"/>
      <c r="U964" s="20" t="n">
        <f aca="false">IF($T964="",0,MAX(0,$S964-$T964))</f>
        <v>0</v>
      </c>
      <c r="V964" s="21" t="n">
        <f aca="false">IF($S964=0,0,$U964/$S964)</f>
        <v>0</v>
      </c>
      <c r="W964" s="23" t="str">
        <f aca="false">IF($D964="","",IF($T964="","BEKLİYOR",IF(OR($U964=0,$S964=0),"DOĞRU",IF(AND($V964&gt;PazaryeriEksikHakedisEsik,$U964&gt;PazaryeriEksikHakedisTutarEsik),"EKSİK HAKEDİŞ","DOĞRU"))))</f>
        <v/>
      </c>
      <c r="X964" s="23" t="str">
        <f aca="false">IF($B964="","",CONCATENATE("Ürün: ",$B964," | Kâr: ",TEXT($Q964,"₺ #,##0")," | Durum: ",$W964))</f>
        <v/>
      </c>
      <c r="Y964" s="24"/>
    </row>
    <row r="965" customFormat="false" ht="15" hidden="false" customHeight="false" outlineLevel="0" collapsed="false">
      <c r="A965" s="24"/>
      <c r="B965" s="24"/>
      <c r="C965" s="22"/>
      <c r="D965" s="25"/>
      <c r="E965" s="22"/>
      <c r="F965" s="26"/>
      <c r="G965" s="26"/>
      <c r="H965" s="26"/>
      <c r="I965" s="26"/>
      <c r="J965" s="22"/>
      <c r="K965" s="20" t="n">
        <f aca="false">IF($D965="",0,$C965*$D965)</f>
        <v>0</v>
      </c>
      <c r="L965" s="20" t="n">
        <f aca="false">IF($D965="",0,$F965*$K965)</f>
        <v>0</v>
      </c>
      <c r="M965" s="20" t="n">
        <f aca="false">IF($D965="",0,$G965*$K965)</f>
        <v>0</v>
      </c>
      <c r="N965" s="20" t="n">
        <f aca="false">IF($D965="",0,$H965*$K965)</f>
        <v>0</v>
      </c>
      <c r="O965" s="20" t="n">
        <f aca="false">IF($D965="",0,$I965*$K965*(1-$F965))</f>
        <v>0</v>
      </c>
      <c r="P965" s="20" t="n">
        <f aca="false">IF($D965="",0,$E965*$D965+$L965+$M965+$N965+$O965+$J965*$D965)</f>
        <v>0</v>
      </c>
      <c r="Q965" s="20" t="n">
        <f aca="false">IF($D965="",0,$K965-$P965)</f>
        <v>0</v>
      </c>
      <c r="R965" s="21" t="n">
        <f aca="false">IF($K965=0,0,$Q965/$K965)</f>
        <v>0</v>
      </c>
      <c r="S965" s="20" t="n">
        <f aca="false">IF($D965="",0,$K965-$L965-$M965-$N965)</f>
        <v>0</v>
      </c>
      <c r="T965" s="22"/>
      <c r="U965" s="20" t="n">
        <f aca="false">IF($T965="",0,MAX(0,$S965-$T965))</f>
        <v>0</v>
      </c>
      <c r="V965" s="21" t="n">
        <f aca="false">IF($S965=0,0,$U965/$S965)</f>
        <v>0</v>
      </c>
      <c r="W965" s="23" t="str">
        <f aca="false">IF($D965="","",IF($T965="","BEKLİYOR",IF(OR($U965=0,$S965=0),"DOĞRU",IF(AND($V965&gt;PazaryeriEksikHakedisEsik,$U965&gt;PazaryeriEksikHakedisTutarEsik),"EKSİK HAKEDİŞ","DOĞRU"))))</f>
        <v/>
      </c>
      <c r="X965" s="23" t="str">
        <f aca="false">IF($B965="","",CONCATENATE("Ürün: ",$B965," | Kâr: ",TEXT($Q965,"₺ #,##0")," | Durum: ",$W965))</f>
        <v/>
      </c>
      <c r="Y965" s="24"/>
    </row>
    <row r="966" customFormat="false" ht="15" hidden="false" customHeight="false" outlineLevel="0" collapsed="false">
      <c r="A966" s="24"/>
      <c r="B966" s="24"/>
      <c r="C966" s="22"/>
      <c r="D966" s="25"/>
      <c r="E966" s="22"/>
      <c r="F966" s="26"/>
      <c r="G966" s="26"/>
      <c r="H966" s="26"/>
      <c r="I966" s="26"/>
      <c r="J966" s="22"/>
      <c r="K966" s="20" t="n">
        <f aca="false">IF($D966="",0,$C966*$D966)</f>
        <v>0</v>
      </c>
      <c r="L966" s="20" t="n">
        <f aca="false">IF($D966="",0,$F966*$K966)</f>
        <v>0</v>
      </c>
      <c r="M966" s="20" t="n">
        <f aca="false">IF($D966="",0,$G966*$K966)</f>
        <v>0</v>
      </c>
      <c r="N966" s="20" t="n">
        <f aca="false">IF($D966="",0,$H966*$K966)</f>
        <v>0</v>
      </c>
      <c r="O966" s="20" t="n">
        <f aca="false">IF($D966="",0,$I966*$K966*(1-$F966))</f>
        <v>0</v>
      </c>
      <c r="P966" s="20" t="n">
        <f aca="false">IF($D966="",0,$E966*$D966+$L966+$M966+$N966+$O966+$J966*$D966)</f>
        <v>0</v>
      </c>
      <c r="Q966" s="20" t="n">
        <f aca="false">IF($D966="",0,$K966-$P966)</f>
        <v>0</v>
      </c>
      <c r="R966" s="21" t="n">
        <f aca="false">IF($K966=0,0,$Q966/$K966)</f>
        <v>0</v>
      </c>
      <c r="S966" s="20" t="n">
        <f aca="false">IF($D966="",0,$K966-$L966-$M966-$N966)</f>
        <v>0</v>
      </c>
      <c r="T966" s="22"/>
      <c r="U966" s="20" t="n">
        <f aca="false">IF($T966="",0,MAX(0,$S966-$T966))</f>
        <v>0</v>
      </c>
      <c r="V966" s="21" t="n">
        <f aca="false">IF($S966=0,0,$U966/$S966)</f>
        <v>0</v>
      </c>
      <c r="W966" s="23" t="str">
        <f aca="false">IF($D966="","",IF($T966="","BEKLİYOR",IF(OR($U966=0,$S966=0),"DOĞRU",IF(AND($V966&gt;PazaryeriEksikHakedisEsik,$U966&gt;PazaryeriEksikHakedisTutarEsik),"EKSİK HAKEDİŞ","DOĞRU"))))</f>
        <v/>
      </c>
      <c r="X966" s="23" t="str">
        <f aca="false">IF($B966="","",CONCATENATE("Ürün: ",$B966," | Kâr: ",TEXT($Q966,"₺ #,##0")," | Durum: ",$W966))</f>
        <v/>
      </c>
      <c r="Y966" s="24"/>
    </row>
    <row r="967" customFormat="false" ht="15" hidden="false" customHeight="false" outlineLevel="0" collapsed="false">
      <c r="A967" s="24"/>
      <c r="B967" s="24"/>
      <c r="C967" s="22"/>
      <c r="D967" s="25"/>
      <c r="E967" s="22"/>
      <c r="F967" s="26"/>
      <c r="G967" s="26"/>
      <c r="H967" s="26"/>
      <c r="I967" s="26"/>
      <c r="J967" s="22"/>
      <c r="K967" s="20" t="n">
        <f aca="false">IF($D967="",0,$C967*$D967)</f>
        <v>0</v>
      </c>
      <c r="L967" s="20" t="n">
        <f aca="false">IF($D967="",0,$F967*$K967)</f>
        <v>0</v>
      </c>
      <c r="M967" s="20" t="n">
        <f aca="false">IF($D967="",0,$G967*$K967)</f>
        <v>0</v>
      </c>
      <c r="N967" s="20" t="n">
        <f aca="false">IF($D967="",0,$H967*$K967)</f>
        <v>0</v>
      </c>
      <c r="O967" s="20" t="n">
        <f aca="false">IF($D967="",0,$I967*$K967*(1-$F967))</f>
        <v>0</v>
      </c>
      <c r="P967" s="20" t="n">
        <f aca="false">IF($D967="",0,$E967*$D967+$L967+$M967+$N967+$O967+$J967*$D967)</f>
        <v>0</v>
      </c>
      <c r="Q967" s="20" t="n">
        <f aca="false">IF($D967="",0,$K967-$P967)</f>
        <v>0</v>
      </c>
      <c r="R967" s="21" t="n">
        <f aca="false">IF($K967=0,0,$Q967/$K967)</f>
        <v>0</v>
      </c>
      <c r="S967" s="20" t="n">
        <f aca="false">IF($D967="",0,$K967-$L967-$M967-$N967)</f>
        <v>0</v>
      </c>
      <c r="T967" s="22"/>
      <c r="U967" s="20" t="n">
        <f aca="false">IF($T967="",0,MAX(0,$S967-$T967))</f>
        <v>0</v>
      </c>
      <c r="V967" s="21" t="n">
        <f aca="false">IF($S967=0,0,$U967/$S967)</f>
        <v>0</v>
      </c>
      <c r="W967" s="23" t="str">
        <f aca="false">IF($D967="","",IF($T967="","BEKLİYOR",IF(OR($U967=0,$S967=0),"DOĞRU",IF(AND($V967&gt;PazaryeriEksikHakedisEsik,$U967&gt;PazaryeriEksikHakedisTutarEsik),"EKSİK HAKEDİŞ","DOĞRU"))))</f>
        <v/>
      </c>
      <c r="X967" s="23" t="str">
        <f aca="false">IF($B967="","",CONCATENATE("Ürün: ",$B967," | Kâr: ",TEXT($Q967,"₺ #,##0")," | Durum: ",$W967))</f>
        <v/>
      </c>
      <c r="Y967" s="24"/>
    </row>
    <row r="968" customFormat="false" ht="15" hidden="false" customHeight="false" outlineLevel="0" collapsed="false">
      <c r="A968" s="24"/>
      <c r="B968" s="24"/>
      <c r="C968" s="22"/>
      <c r="D968" s="25"/>
      <c r="E968" s="22"/>
      <c r="F968" s="26"/>
      <c r="G968" s="26"/>
      <c r="H968" s="26"/>
      <c r="I968" s="26"/>
      <c r="J968" s="22"/>
      <c r="K968" s="20" t="n">
        <f aca="false">IF($D968="",0,$C968*$D968)</f>
        <v>0</v>
      </c>
      <c r="L968" s="20" t="n">
        <f aca="false">IF($D968="",0,$F968*$K968)</f>
        <v>0</v>
      </c>
      <c r="M968" s="20" t="n">
        <f aca="false">IF($D968="",0,$G968*$K968)</f>
        <v>0</v>
      </c>
      <c r="N968" s="20" t="n">
        <f aca="false">IF($D968="",0,$H968*$K968)</f>
        <v>0</v>
      </c>
      <c r="O968" s="20" t="n">
        <f aca="false">IF($D968="",0,$I968*$K968*(1-$F968))</f>
        <v>0</v>
      </c>
      <c r="P968" s="20" t="n">
        <f aca="false">IF($D968="",0,$E968*$D968+$L968+$M968+$N968+$O968+$J968*$D968)</f>
        <v>0</v>
      </c>
      <c r="Q968" s="20" t="n">
        <f aca="false">IF($D968="",0,$K968-$P968)</f>
        <v>0</v>
      </c>
      <c r="R968" s="21" t="n">
        <f aca="false">IF($K968=0,0,$Q968/$K968)</f>
        <v>0</v>
      </c>
      <c r="S968" s="20" t="n">
        <f aca="false">IF($D968="",0,$K968-$L968-$M968-$N968)</f>
        <v>0</v>
      </c>
      <c r="T968" s="22"/>
      <c r="U968" s="20" t="n">
        <f aca="false">IF($T968="",0,MAX(0,$S968-$T968))</f>
        <v>0</v>
      </c>
      <c r="V968" s="21" t="n">
        <f aca="false">IF($S968=0,0,$U968/$S968)</f>
        <v>0</v>
      </c>
      <c r="W968" s="23" t="str">
        <f aca="false">IF($D968="","",IF($T968="","BEKLİYOR",IF(OR($U968=0,$S968=0),"DOĞRU",IF(AND($V968&gt;PazaryeriEksikHakedisEsik,$U968&gt;PazaryeriEksikHakedisTutarEsik),"EKSİK HAKEDİŞ","DOĞRU"))))</f>
        <v/>
      </c>
      <c r="X968" s="23" t="str">
        <f aca="false">IF($B968="","",CONCATENATE("Ürün: ",$B968," | Kâr: ",TEXT($Q968,"₺ #,##0")," | Durum: ",$W968))</f>
        <v/>
      </c>
      <c r="Y968" s="24"/>
    </row>
    <row r="969" customFormat="false" ht="15" hidden="false" customHeight="false" outlineLevel="0" collapsed="false">
      <c r="A969" s="24"/>
      <c r="B969" s="24"/>
      <c r="C969" s="22"/>
      <c r="D969" s="25"/>
      <c r="E969" s="22"/>
      <c r="F969" s="26"/>
      <c r="G969" s="26"/>
      <c r="H969" s="26"/>
      <c r="I969" s="26"/>
      <c r="J969" s="22"/>
      <c r="K969" s="20" t="n">
        <f aca="false">IF($D969="",0,$C969*$D969)</f>
        <v>0</v>
      </c>
      <c r="L969" s="20" t="n">
        <f aca="false">IF($D969="",0,$F969*$K969)</f>
        <v>0</v>
      </c>
      <c r="M969" s="20" t="n">
        <f aca="false">IF($D969="",0,$G969*$K969)</f>
        <v>0</v>
      </c>
      <c r="N969" s="20" t="n">
        <f aca="false">IF($D969="",0,$H969*$K969)</f>
        <v>0</v>
      </c>
      <c r="O969" s="20" t="n">
        <f aca="false">IF($D969="",0,$I969*$K969*(1-$F969))</f>
        <v>0</v>
      </c>
      <c r="P969" s="20" t="n">
        <f aca="false">IF($D969="",0,$E969*$D969+$L969+$M969+$N969+$O969+$J969*$D969)</f>
        <v>0</v>
      </c>
      <c r="Q969" s="20" t="n">
        <f aca="false">IF($D969="",0,$K969-$P969)</f>
        <v>0</v>
      </c>
      <c r="R969" s="21" t="n">
        <f aca="false">IF($K969=0,0,$Q969/$K969)</f>
        <v>0</v>
      </c>
      <c r="S969" s="20" t="n">
        <f aca="false">IF($D969="",0,$K969-$L969-$M969-$N969)</f>
        <v>0</v>
      </c>
      <c r="T969" s="22"/>
      <c r="U969" s="20" t="n">
        <f aca="false">IF($T969="",0,MAX(0,$S969-$T969))</f>
        <v>0</v>
      </c>
      <c r="V969" s="21" t="n">
        <f aca="false">IF($S969=0,0,$U969/$S969)</f>
        <v>0</v>
      </c>
      <c r="W969" s="23" t="str">
        <f aca="false">IF($D969="","",IF($T969="","BEKLİYOR",IF(OR($U969=0,$S969=0),"DOĞRU",IF(AND($V969&gt;PazaryeriEksikHakedisEsik,$U969&gt;PazaryeriEksikHakedisTutarEsik),"EKSİK HAKEDİŞ","DOĞRU"))))</f>
        <v/>
      </c>
      <c r="X969" s="23" t="str">
        <f aca="false">IF($B969="","",CONCATENATE("Ürün: ",$B969," | Kâr: ",TEXT($Q969,"₺ #,##0")," | Durum: ",$W969))</f>
        <v/>
      </c>
      <c r="Y969" s="24"/>
    </row>
    <row r="970" customFormat="false" ht="15" hidden="false" customHeight="false" outlineLevel="0" collapsed="false">
      <c r="A970" s="24"/>
      <c r="B970" s="24"/>
      <c r="C970" s="22"/>
      <c r="D970" s="25"/>
      <c r="E970" s="22"/>
      <c r="F970" s="26"/>
      <c r="G970" s="26"/>
      <c r="H970" s="26"/>
      <c r="I970" s="26"/>
      <c r="J970" s="22"/>
      <c r="K970" s="20" t="n">
        <f aca="false">IF($D970="",0,$C970*$D970)</f>
        <v>0</v>
      </c>
      <c r="L970" s="20" t="n">
        <f aca="false">IF($D970="",0,$F970*$K970)</f>
        <v>0</v>
      </c>
      <c r="M970" s="20" t="n">
        <f aca="false">IF($D970="",0,$G970*$K970)</f>
        <v>0</v>
      </c>
      <c r="N970" s="20" t="n">
        <f aca="false">IF($D970="",0,$H970*$K970)</f>
        <v>0</v>
      </c>
      <c r="O970" s="20" t="n">
        <f aca="false">IF($D970="",0,$I970*$K970*(1-$F970))</f>
        <v>0</v>
      </c>
      <c r="P970" s="20" t="n">
        <f aca="false">IF($D970="",0,$E970*$D970+$L970+$M970+$N970+$O970+$J970*$D970)</f>
        <v>0</v>
      </c>
      <c r="Q970" s="20" t="n">
        <f aca="false">IF($D970="",0,$K970-$P970)</f>
        <v>0</v>
      </c>
      <c r="R970" s="21" t="n">
        <f aca="false">IF($K970=0,0,$Q970/$K970)</f>
        <v>0</v>
      </c>
      <c r="S970" s="20" t="n">
        <f aca="false">IF($D970="",0,$K970-$L970-$M970-$N970)</f>
        <v>0</v>
      </c>
      <c r="T970" s="22"/>
      <c r="U970" s="20" t="n">
        <f aca="false">IF($T970="",0,MAX(0,$S970-$T970))</f>
        <v>0</v>
      </c>
      <c r="V970" s="21" t="n">
        <f aca="false">IF($S970=0,0,$U970/$S970)</f>
        <v>0</v>
      </c>
      <c r="W970" s="23" t="str">
        <f aca="false">IF($D970="","",IF($T970="","BEKLİYOR",IF(OR($U970=0,$S970=0),"DOĞRU",IF(AND($V970&gt;PazaryeriEksikHakedisEsik,$U970&gt;PazaryeriEksikHakedisTutarEsik),"EKSİK HAKEDİŞ","DOĞRU"))))</f>
        <v/>
      </c>
      <c r="X970" s="23" t="str">
        <f aca="false">IF($B970="","",CONCATENATE("Ürün: ",$B970," | Kâr: ",TEXT($Q970,"₺ #,##0")," | Durum: ",$W970))</f>
        <v/>
      </c>
      <c r="Y970" s="24"/>
    </row>
    <row r="971" customFormat="false" ht="15" hidden="false" customHeight="false" outlineLevel="0" collapsed="false">
      <c r="A971" s="24"/>
      <c r="B971" s="24"/>
      <c r="C971" s="22"/>
      <c r="D971" s="25"/>
      <c r="E971" s="22"/>
      <c r="F971" s="26"/>
      <c r="G971" s="26"/>
      <c r="H971" s="26"/>
      <c r="I971" s="26"/>
      <c r="J971" s="22"/>
      <c r="K971" s="20" t="n">
        <f aca="false">IF($D971="",0,$C971*$D971)</f>
        <v>0</v>
      </c>
      <c r="L971" s="20" t="n">
        <f aca="false">IF($D971="",0,$F971*$K971)</f>
        <v>0</v>
      </c>
      <c r="M971" s="20" t="n">
        <f aca="false">IF($D971="",0,$G971*$K971)</f>
        <v>0</v>
      </c>
      <c r="N971" s="20" t="n">
        <f aca="false">IF($D971="",0,$H971*$K971)</f>
        <v>0</v>
      </c>
      <c r="O971" s="20" t="n">
        <f aca="false">IF($D971="",0,$I971*$K971*(1-$F971))</f>
        <v>0</v>
      </c>
      <c r="P971" s="20" t="n">
        <f aca="false">IF($D971="",0,$E971*$D971+$L971+$M971+$N971+$O971+$J971*$D971)</f>
        <v>0</v>
      </c>
      <c r="Q971" s="20" t="n">
        <f aca="false">IF($D971="",0,$K971-$P971)</f>
        <v>0</v>
      </c>
      <c r="R971" s="21" t="n">
        <f aca="false">IF($K971=0,0,$Q971/$K971)</f>
        <v>0</v>
      </c>
      <c r="S971" s="20" t="n">
        <f aca="false">IF($D971="",0,$K971-$L971-$M971-$N971)</f>
        <v>0</v>
      </c>
      <c r="T971" s="22"/>
      <c r="U971" s="20" t="n">
        <f aca="false">IF($T971="",0,MAX(0,$S971-$T971))</f>
        <v>0</v>
      </c>
      <c r="V971" s="21" t="n">
        <f aca="false">IF($S971=0,0,$U971/$S971)</f>
        <v>0</v>
      </c>
      <c r="W971" s="23" t="str">
        <f aca="false">IF($D971="","",IF($T971="","BEKLİYOR",IF(OR($U971=0,$S971=0),"DOĞRU",IF(AND($V971&gt;PazaryeriEksikHakedisEsik,$U971&gt;PazaryeriEksikHakedisTutarEsik),"EKSİK HAKEDİŞ","DOĞRU"))))</f>
        <v/>
      </c>
      <c r="X971" s="23" t="str">
        <f aca="false">IF($B971="","",CONCATENATE("Ürün: ",$B971," | Kâr: ",TEXT($Q971,"₺ #,##0")," | Durum: ",$W971))</f>
        <v/>
      </c>
      <c r="Y971" s="24"/>
    </row>
    <row r="972" customFormat="false" ht="15" hidden="false" customHeight="false" outlineLevel="0" collapsed="false">
      <c r="A972" s="24"/>
      <c r="B972" s="24"/>
      <c r="C972" s="22"/>
      <c r="D972" s="25"/>
      <c r="E972" s="22"/>
      <c r="F972" s="26"/>
      <c r="G972" s="26"/>
      <c r="H972" s="26"/>
      <c r="I972" s="26"/>
      <c r="J972" s="22"/>
      <c r="K972" s="20" t="n">
        <f aca="false">IF($D972="",0,$C972*$D972)</f>
        <v>0</v>
      </c>
      <c r="L972" s="20" t="n">
        <f aca="false">IF($D972="",0,$F972*$K972)</f>
        <v>0</v>
      </c>
      <c r="M972" s="20" t="n">
        <f aca="false">IF($D972="",0,$G972*$K972)</f>
        <v>0</v>
      </c>
      <c r="N972" s="20" t="n">
        <f aca="false">IF($D972="",0,$H972*$K972)</f>
        <v>0</v>
      </c>
      <c r="O972" s="20" t="n">
        <f aca="false">IF($D972="",0,$I972*$K972*(1-$F972))</f>
        <v>0</v>
      </c>
      <c r="P972" s="20" t="n">
        <f aca="false">IF($D972="",0,$E972*$D972+$L972+$M972+$N972+$O972+$J972*$D972)</f>
        <v>0</v>
      </c>
      <c r="Q972" s="20" t="n">
        <f aca="false">IF($D972="",0,$K972-$P972)</f>
        <v>0</v>
      </c>
      <c r="R972" s="21" t="n">
        <f aca="false">IF($K972=0,0,$Q972/$K972)</f>
        <v>0</v>
      </c>
      <c r="S972" s="20" t="n">
        <f aca="false">IF($D972="",0,$K972-$L972-$M972-$N972)</f>
        <v>0</v>
      </c>
      <c r="T972" s="22"/>
      <c r="U972" s="20" t="n">
        <f aca="false">IF($T972="",0,MAX(0,$S972-$T972))</f>
        <v>0</v>
      </c>
      <c r="V972" s="21" t="n">
        <f aca="false">IF($S972=0,0,$U972/$S972)</f>
        <v>0</v>
      </c>
      <c r="W972" s="23" t="str">
        <f aca="false">IF($D972="","",IF($T972="","BEKLİYOR",IF(OR($U972=0,$S972=0),"DOĞRU",IF(AND($V972&gt;PazaryeriEksikHakedisEsik,$U972&gt;PazaryeriEksikHakedisTutarEsik),"EKSİK HAKEDİŞ","DOĞRU"))))</f>
        <v/>
      </c>
      <c r="X972" s="23" t="str">
        <f aca="false">IF($B972="","",CONCATENATE("Ürün: ",$B972," | Kâr: ",TEXT($Q972,"₺ #,##0")," | Durum: ",$W972))</f>
        <v/>
      </c>
      <c r="Y972" s="24"/>
    </row>
    <row r="973" customFormat="false" ht="15" hidden="false" customHeight="false" outlineLevel="0" collapsed="false">
      <c r="A973" s="24"/>
      <c r="B973" s="24"/>
      <c r="C973" s="22"/>
      <c r="D973" s="25"/>
      <c r="E973" s="22"/>
      <c r="F973" s="26"/>
      <c r="G973" s="26"/>
      <c r="H973" s="26"/>
      <c r="I973" s="26"/>
      <c r="J973" s="22"/>
      <c r="K973" s="20" t="n">
        <f aca="false">IF($D973="",0,$C973*$D973)</f>
        <v>0</v>
      </c>
      <c r="L973" s="20" t="n">
        <f aca="false">IF($D973="",0,$F973*$K973)</f>
        <v>0</v>
      </c>
      <c r="M973" s="20" t="n">
        <f aca="false">IF($D973="",0,$G973*$K973)</f>
        <v>0</v>
      </c>
      <c r="N973" s="20" t="n">
        <f aca="false">IF($D973="",0,$H973*$K973)</f>
        <v>0</v>
      </c>
      <c r="O973" s="20" t="n">
        <f aca="false">IF($D973="",0,$I973*$K973*(1-$F973))</f>
        <v>0</v>
      </c>
      <c r="P973" s="20" t="n">
        <f aca="false">IF($D973="",0,$E973*$D973+$L973+$M973+$N973+$O973+$J973*$D973)</f>
        <v>0</v>
      </c>
      <c r="Q973" s="20" t="n">
        <f aca="false">IF($D973="",0,$K973-$P973)</f>
        <v>0</v>
      </c>
      <c r="R973" s="21" t="n">
        <f aca="false">IF($K973=0,0,$Q973/$K973)</f>
        <v>0</v>
      </c>
      <c r="S973" s="20" t="n">
        <f aca="false">IF($D973="",0,$K973-$L973-$M973-$N973)</f>
        <v>0</v>
      </c>
      <c r="T973" s="22"/>
      <c r="U973" s="20" t="n">
        <f aca="false">IF($T973="",0,MAX(0,$S973-$T973))</f>
        <v>0</v>
      </c>
      <c r="V973" s="21" t="n">
        <f aca="false">IF($S973=0,0,$U973/$S973)</f>
        <v>0</v>
      </c>
      <c r="W973" s="23" t="str">
        <f aca="false">IF($D973="","",IF($T973="","BEKLİYOR",IF(OR($U973=0,$S973=0),"DOĞRU",IF(AND($V973&gt;PazaryeriEksikHakedisEsik,$U973&gt;PazaryeriEksikHakedisTutarEsik),"EKSİK HAKEDİŞ","DOĞRU"))))</f>
        <v/>
      </c>
      <c r="X973" s="23" t="str">
        <f aca="false">IF($B973="","",CONCATENATE("Ürün: ",$B973," | Kâr: ",TEXT($Q973,"₺ #,##0")," | Durum: ",$W973))</f>
        <v/>
      </c>
      <c r="Y973" s="24"/>
    </row>
    <row r="974" customFormat="false" ht="15" hidden="false" customHeight="false" outlineLevel="0" collapsed="false">
      <c r="A974" s="24"/>
      <c r="B974" s="24"/>
      <c r="C974" s="22"/>
      <c r="D974" s="25"/>
      <c r="E974" s="22"/>
      <c r="F974" s="26"/>
      <c r="G974" s="26"/>
      <c r="H974" s="26"/>
      <c r="I974" s="26"/>
      <c r="J974" s="22"/>
      <c r="K974" s="20" t="n">
        <f aca="false">IF($D974="",0,$C974*$D974)</f>
        <v>0</v>
      </c>
      <c r="L974" s="20" t="n">
        <f aca="false">IF($D974="",0,$F974*$K974)</f>
        <v>0</v>
      </c>
      <c r="M974" s="20" t="n">
        <f aca="false">IF($D974="",0,$G974*$K974)</f>
        <v>0</v>
      </c>
      <c r="N974" s="20" t="n">
        <f aca="false">IF($D974="",0,$H974*$K974)</f>
        <v>0</v>
      </c>
      <c r="O974" s="20" t="n">
        <f aca="false">IF($D974="",0,$I974*$K974*(1-$F974))</f>
        <v>0</v>
      </c>
      <c r="P974" s="20" t="n">
        <f aca="false">IF($D974="",0,$E974*$D974+$L974+$M974+$N974+$O974+$J974*$D974)</f>
        <v>0</v>
      </c>
      <c r="Q974" s="20" t="n">
        <f aca="false">IF($D974="",0,$K974-$P974)</f>
        <v>0</v>
      </c>
      <c r="R974" s="21" t="n">
        <f aca="false">IF($K974=0,0,$Q974/$K974)</f>
        <v>0</v>
      </c>
      <c r="S974" s="20" t="n">
        <f aca="false">IF($D974="",0,$K974-$L974-$M974-$N974)</f>
        <v>0</v>
      </c>
      <c r="T974" s="22"/>
      <c r="U974" s="20" t="n">
        <f aca="false">IF($T974="",0,MAX(0,$S974-$T974))</f>
        <v>0</v>
      </c>
      <c r="V974" s="21" t="n">
        <f aca="false">IF($S974=0,0,$U974/$S974)</f>
        <v>0</v>
      </c>
      <c r="W974" s="23" t="str">
        <f aca="false">IF($D974="","",IF($T974="","BEKLİYOR",IF(OR($U974=0,$S974=0),"DOĞRU",IF(AND($V974&gt;PazaryeriEksikHakedisEsik,$U974&gt;PazaryeriEksikHakedisTutarEsik),"EKSİK HAKEDİŞ","DOĞRU"))))</f>
        <v/>
      </c>
      <c r="X974" s="23" t="str">
        <f aca="false">IF($B974="","",CONCATENATE("Ürün: ",$B974," | Kâr: ",TEXT($Q974,"₺ #,##0")," | Durum: ",$W974))</f>
        <v/>
      </c>
      <c r="Y974" s="24"/>
    </row>
    <row r="975" customFormat="false" ht="15" hidden="false" customHeight="false" outlineLevel="0" collapsed="false">
      <c r="A975" s="24"/>
      <c r="B975" s="24"/>
      <c r="C975" s="22"/>
      <c r="D975" s="25"/>
      <c r="E975" s="22"/>
      <c r="F975" s="26"/>
      <c r="G975" s="26"/>
      <c r="H975" s="26"/>
      <c r="I975" s="26"/>
      <c r="J975" s="22"/>
      <c r="K975" s="20" t="n">
        <f aca="false">IF($D975="",0,$C975*$D975)</f>
        <v>0</v>
      </c>
      <c r="L975" s="20" t="n">
        <f aca="false">IF($D975="",0,$F975*$K975)</f>
        <v>0</v>
      </c>
      <c r="M975" s="20" t="n">
        <f aca="false">IF($D975="",0,$G975*$K975)</f>
        <v>0</v>
      </c>
      <c r="N975" s="20" t="n">
        <f aca="false">IF($D975="",0,$H975*$K975)</f>
        <v>0</v>
      </c>
      <c r="O975" s="20" t="n">
        <f aca="false">IF($D975="",0,$I975*$K975*(1-$F975))</f>
        <v>0</v>
      </c>
      <c r="P975" s="20" t="n">
        <f aca="false">IF($D975="",0,$E975*$D975+$L975+$M975+$N975+$O975+$J975*$D975)</f>
        <v>0</v>
      </c>
      <c r="Q975" s="20" t="n">
        <f aca="false">IF($D975="",0,$K975-$P975)</f>
        <v>0</v>
      </c>
      <c r="R975" s="21" t="n">
        <f aca="false">IF($K975=0,0,$Q975/$K975)</f>
        <v>0</v>
      </c>
      <c r="S975" s="20" t="n">
        <f aca="false">IF($D975="",0,$K975-$L975-$M975-$N975)</f>
        <v>0</v>
      </c>
      <c r="T975" s="22"/>
      <c r="U975" s="20" t="n">
        <f aca="false">IF($T975="",0,MAX(0,$S975-$T975))</f>
        <v>0</v>
      </c>
      <c r="V975" s="21" t="n">
        <f aca="false">IF($S975=0,0,$U975/$S975)</f>
        <v>0</v>
      </c>
      <c r="W975" s="23" t="str">
        <f aca="false">IF($D975="","",IF($T975="","BEKLİYOR",IF(OR($U975=0,$S975=0),"DOĞRU",IF(AND($V975&gt;PazaryeriEksikHakedisEsik,$U975&gt;PazaryeriEksikHakedisTutarEsik),"EKSİK HAKEDİŞ","DOĞRU"))))</f>
        <v/>
      </c>
      <c r="X975" s="23" t="str">
        <f aca="false">IF($B975="","",CONCATENATE("Ürün: ",$B975," | Kâr: ",TEXT($Q975,"₺ #,##0")," | Durum: ",$W975))</f>
        <v/>
      </c>
      <c r="Y975" s="24"/>
    </row>
    <row r="976" customFormat="false" ht="15" hidden="false" customHeight="false" outlineLevel="0" collapsed="false">
      <c r="A976" s="24"/>
      <c r="B976" s="24"/>
      <c r="C976" s="22"/>
      <c r="D976" s="25"/>
      <c r="E976" s="22"/>
      <c r="F976" s="26"/>
      <c r="G976" s="26"/>
      <c r="H976" s="26"/>
      <c r="I976" s="26"/>
      <c r="J976" s="22"/>
      <c r="K976" s="20" t="n">
        <f aca="false">IF($D976="",0,$C976*$D976)</f>
        <v>0</v>
      </c>
      <c r="L976" s="20" t="n">
        <f aca="false">IF($D976="",0,$F976*$K976)</f>
        <v>0</v>
      </c>
      <c r="M976" s="20" t="n">
        <f aca="false">IF($D976="",0,$G976*$K976)</f>
        <v>0</v>
      </c>
      <c r="N976" s="20" t="n">
        <f aca="false">IF($D976="",0,$H976*$K976)</f>
        <v>0</v>
      </c>
      <c r="O976" s="20" t="n">
        <f aca="false">IF($D976="",0,$I976*$K976*(1-$F976))</f>
        <v>0</v>
      </c>
      <c r="P976" s="20" t="n">
        <f aca="false">IF($D976="",0,$E976*$D976+$L976+$M976+$N976+$O976+$J976*$D976)</f>
        <v>0</v>
      </c>
      <c r="Q976" s="20" t="n">
        <f aca="false">IF($D976="",0,$K976-$P976)</f>
        <v>0</v>
      </c>
      <c r="R976" s="21" t="n">
        <f aca="false">IF($K976=0,0,$Q976/$K976)</f>
        <v>0</v>
      </c>
      <c r="S976" s="20" t="n">
        <f aca="false">IF($D976="",0,$K976-$L976-$M976-$N976)</f>
        <v>0</v>
      </c>
      <c r="T976" s="22"/>
      <c r="U976" s="20" t="n">
        <f aca="false">IF($T976="",0,MAX(0,$S976-$T976))</f>
        <v>0</v>
      </c>
      <c r="V976" s="21" t="n">
        <f aca="false">IF($S976=0,0,$U976/$S976)</f>
        <v>0</v>
      </c>
      <c r="W976" s="23" t="str">
        <f aca="false">IF($D976="","",IF($T976="","BEKLİYOR",IF(OR($U976=0,$S976=0),"DOĞRU",IF(AND($V976&gt;PazaryeriEksikHakedisEsik,$U976&gt;PazaryeriEksikHakedisTutarEsik),"EKSİK HAKEDİŞ","DOĞRU"))))</f>
        <v/>
      </c>
      <c r="X976" s="23" t="str">
        <f aca="false">IF($B976="","",CONCATENATE("Ürün: ",$B976," | Kâr: ",TEXT($Q976,"₺ #,##0")," | Durum: ",$W976))</f>
        <v/>
      </c>
      <c r="Y976" s="24"/>
    </row>
    <row r="977" customFormat="false" ht="15" hidden="false" customHeight="false" outlineLevel="0" collapsed="false">
      <c r="A977" s="24"/>
      <c r="B977" s="24"/>
      <c r="C977" s="22"/>
      <c r="D977" s="25"/>
      <c r="E977" s="22"/>
      <c r="F977" s="26"/>
      <c r="G977" s="26"/>
      <c r="H977" s="26"/>
      <c r="I977" s="26"/>
      <c r="J977" s="22"/>
      <c r="K977" s="20" t="n">
        <f aca="false">IF($D977="",0,$C977*$D977)</f>
        <v>0</v>
      </c>
      <c r="L977" s="20" t="n">
        <f aca="false">IF($D977="",0,$F977*$K977)</f>
        <v>0</v>
      </c>
      <c r="M977" s="20" t="n">
        <f aca="false">IF($D977="",0,$G977*$K977)</f>
        <v>0</v>
      </c>
      <c r="N977" s="20" t="n">
        <f aca="false">IF($D977="",0,$H977*$K977)</f>
        <v>0</v>
      </c>
      <c r="O977" s="20" t="n">
        <f aca="false">IF($D977="",0,$I977*$K977*(1-$F977))</f>
        <v>0</v>
      </c>
      <c r="P977" s="20" t="n">
        <f aca="false">IF($D977="",0,$E977*$D977+$L977+$M977+$N977+$O977+$J977*$D977)</f>
        <v>0</v>
      </c>
      <c r="Q977" s="20" t="n">
        <f aca="false">IF($D977="",0,$K977-$P977)</f>
        <v>0</v>
      </c>
      <c r="R977" s="21" t="n">
        <f aca="false">IF($K977=0,0,$Q977/$K977)</f>
        <v>0</v>
      </c>
      <c r="S977" s="20" t="n">
        <f aca="false">IF($D977="",0,$K977-$L977-$M977-$N977)</f>
        <v>0</v>
      </c>
      <c r="T977" s="22"/>
      <c r="U977" s="20" t="n">
        <f aca="false">IF($T977="",0,MAX(0,$S977-$T977))</f>
        <v>0</v>
      </c>
      <c r="V977" s="21" t="n">
        <f aca="false">IF($S977=0,0,$U977/$S977)</f>
        <v>0</v>
      </c>
      <c r="W977" s="23" t="str">
        <f aca="false">IF($D977="","",IF($T977="","BEKLİYOR",IF(OR($U977=0,$S977=0),"DOĞRU",IF(AND($V977&gt;PazaryeriEksikHakedisEsik,$U977&gt;PazaryeriEksikHakedisTutarEsik),"EKSİK HAKEDİŞ","DOĞRU"))))</f>
        <v/>
      </c>
      <c r="X977" s="23" t="str">
        <f aca="false">IF($B977="","",CONCATENATE("Ürün: ",$B977," | Kâr: ",TEXT($Q977,"₺ #,##0")," | Durum: ",$W977))</f>
        <v/>
      </c>
      <c r="Y977" s="24"/>
    </row>
    <row r="978" customFormat="false" ht="15" hidden="false" customHeight="false" outlineLevel="0" collapsed="false">
      <c r="A978" s="24"/>
      <c r="B978" s="24"/>
      <c r="C978" s="22"/>
      <c r="D978" s="25"/>
      <c r="E978" s="22"/>
      <c r="F978" s="26"/>
      <c r="G978" s="26"/>
      <c r="H978" s="26"/>
      <c r="I978" s="26"/>
      <c r="J978" s="22"/>
      <c r="K978" s="20" t="n">
        <f aca="false">IF($D978="",0,$C978*$D978)</f>
        <v>0</v>
      </c>
      <c r="L978" s="20" t="n">
        <f aca="false">IF($D978="",0,$F978*$K978)</f>
        <v>0</v>
      </c>
      <c r="M978" s="20" t="n">
        <f aca="false">IF($D978="",0,$G978*$K978)</f>
        <v>0</v>
      </c>
      <c r="N978" s="20" t="n">
        <f aca="false">IF($D978="",0,$H978*$K978)</f>
        <v>0</v>
      </c>
      <c r="O978" s="20" t="n">
        <f aca="false">IF($D978="",0,$I978*$K978*(1-$F978))</f>
        <v>0</v>
      </c>
      <c r="P978" s="20" t="n">
        <f aca="false">IF($D978="",0,$E978*$D978+$L978+$M978+$N978+$O978+$J978*$D978)</f>
        <v>0</v>
      </c>
      <c r="Q978" s="20" t="n">
        <f aca="false">IF($D978="",0,$K978-$P978)</f>
        <v>0</v>
      </c>
      <c r="R978" s="21" t="n">
        <f aca="false">IF($K978=0,0,$Q978/$K978)</f>
        <v>0</v>
      </c>
      <c r="S978" s="20" t="n">
        <f aca="false">IF($D978="",0,$K978-$L978-$M978-$N978)</f>
        <v>0</v>
      </c>
      <c r="T978" s="22"/>
      <c r="U978" s="20" t="n">
        <f aca="false">IF($T978="",0,MAX(0,$S978-$T978))</f>
        <v>0</v>
      </c>
      <c r="V978" s="21" t="n">
        <f aca="false">IF($S978=0,0,$U978/$S978)</f>
        <v>0</v>
      </c>
      <c r="W978" s="23" t="str">
        <f aca="false">IF($D978="","",IF($T978="","BEKLİYOR",IF(OR($U978=0,$S978=0),"DOĞRU",IF(AND($V978&gt;PazaryeriEksikHakedisEsik,$U978&gt;PazaryeriEksikHakedisTutarEsik),"EKSİK HAKEDİŞ","DOĞRU"))))</f>
        <v/>
      </c>
      <c r="X978" s="23" t="str">
        <f aca="false">IF($B978="","",CONCATENATE("Ürün: ",$B978," | Kâr: ",TEXT($Q978,"₺ #,##0")," | Durum: ",$W978))</f>
        <v/>
      </c>
      <c r="Y978" s="24"/>
    </row>
    <row r="979" customFormat="false" ht="15" hidden="false" customHeight="false" outlineLevel="0" collapsed="false">
      <c r="A979" s="24"/>
      <c r="B979" s="24"/>
      <c r="C979" s="22"/>
      <c r="D979" s="25"/>
      <c r="E979" s="22"/>
      <c r="F979" s="26"/>
      <c r="G979" s="26"/>
      <c r="H979" s="26"/>
      <c r="I979" s="26"/>
      <c r="J979" s="22"/>
      <c r="K979" s="20" t="n">
        <f aca="false">IF($D979="",0,$C979*$D979)</f>
        <v>0</v>
      </c>
      <c r="L979" s="20" t="n">
        <f aca="false">IF($D979="",0,$F979*$K979)</f>
        <v>0</v>
      </c>
      <c r="M979" s="20" t="n">
        <f aca="false">IF($D979="",0,$G979*$K979)</f>
        <v>0</v>
      </c>
      <c r="N979" s="20" t="n">
        <f aca="false">IF($D979="",0,$H979*$K979)</f>
        <v>0</v>
      </c>
      <c r="O979" s="20" t="n">
        <f aca="false">IF($D979="",0,$I979*$K979*(1-$F979))</f>
        <v>0</v>
      </c>
      <c r="P979" s="20" t="n">
        <f aca="false">IF($D979="",0,$E979*$D979+$L979+$M979+$N979+$O979+$J979*$D979)</f>
        <v>0</v>
      </c>
      <c r="Q979" s="20" t="n">
        <f aca="false">IF($D979="",0,$K979-$P979)</f>
        <v>0</v>
      </c>
      <c r="R979" s="21" t="n">
        <f aca="false">IF($K979=0,0,$Q979/$K979)</f>
        <v>0</v>
      </c>
      <c r="S979" s="20" t="n">
        <f aca="false">IF($D979="",0,$K979-$L979-$M979-$N979)</f>
        <v>0</v>
      </c>
      <c r="T979" s="22"/>
      <c r="U979" s="20" t="n">
        <f aca="false">IF($T979="",0,MAX(0,$S979-$T979))</f>
        <v>0</v>
      </c>
      <c r="V979" s="21" t="n">
        <f aca="false">IF($S979=0,0,$U979/$S979)</f>
        <v>0</v>
      </c>
      <c r="W979" s="23" t="str">
        <f aca="false">IF($D979="","",IF($T979="","BEKLİYOR",IF(OR($U979=0,$S979=0),"DOĞRU",IF(AND($V979&gt;PazaryeriEksikHakedisEsik,$U979&gt;PazaryeriEksikHakedisTutarEsik),"EKSİK HAKEDİŞ","DOĞRU"))))</f>
        <v/>
      </c>
      <c r="X979" s="23" t="str">
        <f aca="false">IF($B979="","",CONCATENATE("Ürün: ",$B979," | Kâr: ",TEXT($Q979,"₺ #,##0")," | Durum: ",$W979))</f>
        <v/>
      </c>
      <c r="Y979" s="24"/>
    </row>
    <row r="980" customFormat="false" ht="15" hidden="false" customHeight="false" outlineLevel="0" collapsed="false">
      <c r="A980" s="24"/>
      <c r="B980" s="24"/>
      <c r="C980" s="22"/>
      <c r="D980" s="25"/>
      <c r="E980" s="22"/>
      <c r="F980" s="26"/>
      <c r="G980" s="26"/>
      <c r="H980" s="26"/>
      <c r="I980" s="26"/>
      <c r="J980" s="22"/>
      <c r="K980" s="20" t="n">
        <f aca="false">IF($D980="",0,$C980*$D980)</f>
        <v>0</v>
      </c>
      <c r="L980" s="20" t="n">
        <f aca="false">IF($D980="",0,$F980*$K980)</f>
        <v>0</v>
      </c>
      <c r="M980" s="20" t="n">
        <f aca="false">IF($D980="",0,$G980*$K980)</f>
        <v>0</v>
      </c>
      <c r="N980" s="20" t="n">
        <f aca="false">IF($D980="",0,$H980*$K980)</f>
        <v>0</v>
      </c>
      <c r="O980" s="20" t="n">
        <f aca="false">IF($D980="",0,$I980*$K980*(1-$F980))</f>
        <v>0</v>
      </c>
      <c r="P980" s="20" t="n">
        <f aca="false">IF($D980="",0,$E980*$D980+$L980+$M980+$N980+$O980+$J980*$D980)</f>
        <v>0</v>
      </c>
      <c r="Q980" s="20" t="n">
        <f aca="false">IF($D980="",0,$K980-$P980)</f>
        <v>0</v>
      </c>
      <c r="R980" s="21" t="n">
        <f aca="false">IF($K980=0,0,$Q980/$K980)</f>
        <v>0</v>
      </c>
      <c r="S980" s="20" t="n">
        <f aca="false">IF($D980="",0,$K980-$L980-$M980-$N980)</f>
        <v>0</v>
      </c>
      <c r="T980" s="22"/>
      <c r="U980" s="20" t="n">
        <f aca="false">IF($T980="",0,MAX(0,$S980-$T980))</f>
        <v>0</v>
      </c>
      <c r="V980" s="21" t="n">
        <f aca="false">IF($S980=0,0,$U980/$S980)</f>
        <v>0</v>
      </c>
      <c r="W980" s="23" t="str">
        <f aca="false">IF($D980="","",IF($T980="","BEKLİYOR",IF(OR($U980=0,$S980=0),"DOĞRU",IF(AND($V980&gt;PazaryeriEksikHakedisEsik,$U980&gt;PazaryeriEksikHakedisTutarEsik),"EKSİK HAKEDİŞ","DOĞRU"))))</f>
        <v/>
      </c>
      <c r="X980" s="23" t="str">
        <f aca="false">IF($B980="","",CONCATENATE("Ürün: ",$B980," | Kâr: ",TEXT($Q980,"₺ #,##0")," | Durum: ",$W980))</f>
        <v/>
      </c>
      <c r="Y980" s="24"/>
    </row>
    <row r="981" customFormat="false" ht="15" hidden="false" customHeight="false" outlineLevel="0" collapsed="false">
      <c r="A981" s="24"/>
      <c r="B981" s="24"/>
      <c r="C981" s="22"/>
      <c r="D981" s="25"/>
      <c r="E981" s="22"/>
      <c r="F981" s="26"/>
      <c r="G981" s="26"/>
      <c r="H981" s="26"/>
      <c r="I981" s="26"/>
      <c r="J981" s="22"/>
      <c r="K981" s="20" t="n">
        <f aca="false">IF($D981="",0,$C981*$D981)</f>
        <v>0</v>
      </c>
      <c r="L981" s="20" t="n">
        <f aca="false">IF($D981="",0,$F981*$K981)</f>
        <v>0</v>
      </c>
      <c r="M981" s="20" t="n">
        <f aca="false">IF($D981="",0,$G981*$K981)</f>
        <v>0</v>
      </c>
      <c r="N981" s="20" t="n">
        <f aca="false">IF($D981="",0,$H981*$K981)</f>
        <v>0</v>
      </c>
      <c r="O981" s="20" t="n">
        <f aca="false">IF($D981="",0,$I981*$K981*(1-$F981))</f>
        <v>0</v>
      </c>
      <c r="P981" s="20" t="n">
        <f aca="false">IF($D981="",0,$E981*$D981+$L981+$M981+$N981+$O981+$J981*$D981)</f>
        <v>0</v>
      </c>
      <c r="Q981" s="20" t="n">
        <f aca="false">IF($D981="",0,$K981-$P981)</f>
        <v>0</v>
      </c>
      <c r="R981" s="21" t="n">
        <f aca="false">IF($K981=0,0,$Q981/$K981)</f>
        <v>0</v>
      </c>
      <c r="S981" s="20" t="n">
        <f aca="false">IF($D981="",0,$K981-$L981-$M981-$N981)</f>
        <v>0</v>
      </c>
      <c r="T981" s="22"/>
      <c r="U981" s="20" t="n">
        <f aca="false">IF($T981="",0,MAX(0,$S981-$T981))</f>
        <v>0</v>
      </c>
      <c r="V981" s="21" t="n">
        <f aca="false">IF($S981=0,0,$U981/$S981)</f>
        <v>0</v>
      </c>
      <c r="W981" s="23" t="str">
        <f aca="false">IF($D981="","",IF($T981="","BEKLİYOR",IF(OR($U981=0,$S981=0),"DOĞRU",IF(AND($V981&gt;PazaryeriEksikHakedisEsik,$U981&gt;PazaryeriEksikHakedisTutarEsik),"EKSİK HAKEDİŞ","DOĞRU"))))</f>
        <v/>
      </c>
      <c r="X981" s="23" t="str">
        <f aca="false">IF($B981="","",CONCATENATE("Ürün: ",$B981," | Kâr: ",TEXT($Q981,"₺ #,##0")," | Durum: ",$W981))</f>
        <v/>
      </c>
      <c r="Y981" s="24"/>
    </row>
    <row r="982" customFormat="false" ht="15" hidden="false" customHeight="false" outlineLevel="0" collapsed="false">
      <c r="A982" s="24"/>
      <c r="B982" s="24"/>
      <c r="C982" s="22"/>
      <c r="D982" s="25"/>
      <c r="E982" s="22"/>
      <c r="F982" s="26"/>
      <c r="G982" s="26"/>
      <c r="H982" s="26"/>
      <c r="I982" s="26"/>
      <c r="J982" s="22"/>
      <c r="K982" s="20" t="n">
        <f aca="false">IF($D982="",0,$C982*$D982)</f>
        <v>0</v>
      </c>
      <c r="L982" s="20" t="n">
        <f aca="false">IF($D982="",0,$F982*$K982)</f>
        <v>0</v>
      </c>
      <c r="M982" s="20" t="n">
        <f aca="false">IF($D982="",0,$G982*$K982)</f>
        <v>0</v>
      </c>
      <c r="N982" s="20" t="n">
        <f aca="false">IF($D982="",0,$H982*$K982)</f>
        <v>0</v>
      </c>
      <c r="O982" s="20" t="n">
        <f aca="false">IF($D982="",0,$I982*$K982*(1-$F982))</f>
        <v>0</v>
      </c>
      <c r="P982" s="20" t="n">
        <f aca="false">IF($D982="",0,$E982*$D982+$L982+$M982+$N982+$O982+$J982*$D982)</f>
        <v>0</v>
      </c>
      <c r="Q982" s="20" t="n">
        <f aca="false">IF($D982="",0,$K982-$P982)</f>
        <v>0</v>
      </c>
      <c r="R982" s="21" t="n">
        <f aca="false">IF($K982=0,0,$Q982/$K982)</f>
        <v>0</v>
      </c>
      <c r="S982" s="20" t="n">
        <f aca="false">IF($D982="",0,$K982-$L982-$M982-$N982)</f>
        <v>0</v>
      </c>
      <c r="T982" s="22"/>
      <c r="U982" s="20" t="n">
        <f aca="false">IF($T982="",0,MAX(0,$S982-$T982))</f>
        <v>0</v>
      </c>
      <c r="V982" s="21" t="n">
        <f aca="false">IF($S982=0,0,$U982/$S982)</f>
        <v>0</v>
      </c>
      <c r="W982" s="23" t="str">
        <f aca="false">IF($D982="","",IF($T982="","BEKLİYOR",IF(OR($U982=0,$S982=0),"DOĞRU",IF(AND($V982&gt;PazaryeriEksikHakedisEsik,$U982&gt;PazaryeriEksikHakedisTutarEsik),"EKSİK HAKEDİŞ","DOĞRU"))))</f>
        <v/>
      </c>
      <c r="X982" s="23" t="str">
        <f aca="false">IF($B982="","",CONCATENATE("Ürün: ",$B982," | Kâr: ",TEXT($Q982,"₺ #,##0")," | Durum: ",$W982))</f>
        <v/>
      </c>
      <c r="Y982" s="24"/>
    </row>
    <row r="983" customFormat="false" ht="15" hidden="false" customHeight="false" outlineLevel="0" collapsed="false">
      <c r="A983" s="24"/>
      <c r="B983" s="24"/>
      <c r="C983" s="22"/>
      <c r="D983" s="25"/>
      <c r="E983" s="22"/>
      <c r="F983" s="26"/>
      <c r="G983" s="26"/>
      <c r="H983" s="26"/>
      <c r="I983" s="26"/>
      <c r="J983" s="22"/>
      <c r="K983" s="20" t="n">
        <f aca="false">IF($D983="",0,$C983*$D983)</f>
        <v>0</v>
      </c>
      <c r="L983" s="20" t="n">
        <f aca="false">IF($D983="",0,$F983*$K983)</f>
        <v>0</v>
      </c>
      <c r="M983" s="20" t="n">
        <f aca="false">IF($D983="",0,$G983*$K983)</f>
        <v>0</v>
      </c>
      <c r="N983" s="20" t="n">
        <f aca="false">IF($D983="",0,$H983*$K983)</f>
        <v>0</v>
      </c>
      <c r="O983" s="20" t="n">
        <f aca="false">IF($D983="",0,$I983*$K983*(1-$F983))</f>
        <v>0</v>
      </c>
      <c r="P983" s="20" t="n">
        <f aca="false">IF($D983="",0,$E983*$D983+$L983+$M983+$N983+$O983+$J983*$D983)</f>
        <v>0</v>
      </c>
      <c r="Q983" s="20" t="n">
        <f aca="false">IF($D983="",0,$K983-$P983)</f>
        <v>0</v>
      </c>
      <c r="R983" s="21" t="n">
        <f aca="false">IF($K983=0,0,$Q983/$K983)</f>
        <v>0</v>
      </c>
      <c r="S983" s="20" t="n">
        <f aca="false">IF($D983="",0,$K983-$L983-$M983-$N983)</f>
        <v>0</v>
      </c>
      <c r="T983" s="22"/>
      <c r="U983" s="20" t="n">
        <f aca="false">IF($T983="",0,MAX(0,$S983-$T983))</f>
        <v>0</v>
      </c>
      <c r="V983" s="21" t="n">
        <f aca="false">IF($S983=0,0,$U983/$S983)</f>
        <v>0</v>
      </c>
      <c r="W983" s="23" t="str">
        <f aca="false">IF($D983="","",IF($T983="","BEKLİYOR",IF(OR($U983=0,$S983=0),"DOĞRU",IF(AND($V983&gt;PazaryeriEksikHakedisEsik,$U983&gt;PazaryeriEksikHakedisTutarEsik),"EKSİK HAKEDİŞ","DOĞRU"))))</f>
        <v/>
      </c>
      <c r="X983" s="23" t="str">
        <f aca="false">IF($B983="","",CONCATENATE("Ürün: ",$B983," | Kâr: ",TEXT($Q983,"₺ #,##0")," | Durum: ",$W983))</f>
        <v/>
      </c>
      <c r="Y983" s="24"/>
    </row>
    <row r="984" customFormat="false" ht="15" hidden="false" customHeight="false" outlineLevel="0" collapsed="false">
      <c r="A984" s="24"/>
      <c r="B984" s="24"/>
      <c r="C984" s="22"/>
      <c r="D984" s="25"/>
      <c r="E984" s="22"/>
      <c r="F984" s="26"/>
      <c r="G984" s="26"/>
      <c r="H984" s="26"/>
      <c r="I984" s="26"/>
      <c r="J984" s="22"/>
      <c r="K984" s="20" t="n">
        <f aca="false">IF($D984="",0,$C984*$D984)</f>
        <v>0</v>
      </c>
      <c r="L984" s="20" t="n">
        <f aca="false">IF($D984="",0,$F984*$K984)</f>
        <v>0</v>
      </c>
      <c r="M984" s="20" t="n">
        <f aca="false">IF($D984="",0,$G984*$K984)</f>
        <v>0</v>
      </c>
      <c r="N984" s="20" t="n">
        <f aca="false">IF($D984="",0,$H984*$K984)</f>
        <v>0</v>
      </c>
      <c r="O984" s="20" t="n">
        <f aca="false">IF($D984="",0,$I984*$K984*(1-$F984))</f>
        <v>0</v>
      </c>
      <c r="P984" s="20" t="n">
        <f aca="false">IF($D984="",0,$E984*$D984+$L984+$M984+$N984+$O984+$J984*$D984)</f>
        <v>0</v>
      </c>
      <c r="Q984" s="20" t="n">
        <f aca="false">IF($D984="",0,$K984-$P984)</f>
        <v>0</v>
      </c>
      <c r="R984" s="21" t="n">
        <f aca="false">IF($K984=0,0,$Q984/$K984)</f>
        <v>0</v>
      </c>
      <c r="S984" s="20" t="n">
        <f aca="false">IF($D984="",0,$K984-$L984-$M984-$N984)</f>
        <v>0</v>
      </c>
      <c r="T984" s="22"/>
      <c r="U984" s="20" t="n">
        <f aca="false">IF($T984="",0,MAX(0,$S984-$T984))</f>
        <v>0</v>
      </c>
      <c r="V984" s="21" t="n">
        <f aca="false">IF($S984=0,0,$U984/$S984)</f>
        <v>0</v>
      </c>
      <c r="W984" s="23" t="str">
        <f aca="false">IF($D984="","",IF($T984="","BEKLİYOR",IF(OR($U984=0,$S984=0),"DOĞRU",IF(AND($V984&gt;PazaryeriEksikHakedisEsik,$U984&gt;PazaryeriEksikHakedisTutarEsik),"EKSİK HAKEDİŞ","DOĞRU"))))</f>
        <v/>
      </c>
      <c r="X984" s="23" t="str">
        <f aca="false">IF($B984="","",CONCATENATE("Ürün: ",$B984," | Kâr: ",TEXT($Q984,"₺ #,##0")," | Durum: ",$W984))</f>
        <v/>
      </c>
      <c r="Y984" s="24"/>
    </row>
    <row r="985" customFormat="false" ht="15" hidden="false" customHeight="false" outlineLevel="0" collapsed="false">
      <c r="A985" s="24"/>
      <c r="B985" s="24"/>
      <c r="C985" s="22"/>
      <c r="D985" s="25"/>
      <c r="E985" s="22"/>
      <c r="F985" s="26"/>
      <c r="G985" s="26"/>
      <c r="H985" s="26"/>
      <c r="I985" s="26"/>
      <c r="J985" s="22"/>
      <c r="K985" s="20" t="n">
        <f aca="false">IF($D985="",0,$C985*$D985)</f>
        <v>0</v>
      </c>
      <c r="L985" s="20" t="n">
        <f aca="false">IF($D985="",0,$F985*$K985)</f>
        <v>0</v>
      </c>
      <c r="M985" s="20" t="n">
        <f aca="false">IF($D985="",0,$G985*$K985)</f>
        <v>0</v>
      </c>
      <c r="N985" s="20" t="n">
        <f aca="false">IF($D985="",0,$H985*$K985)</f>
        <v>0</v>
      </c>
      <c r="O985" s="20" t="n">
        <f aca="false">IF($D985="",0,$I985*$K985*(1-$F985))</f>
        <v>0</v>
      </c>
      <c r="P985" s="20" t="n">
        <f aca="false">IF($D985="",0,$E985*$D985+$L985+$M985+$N985+$O985+$J985*$D985)</f>
        <v>0</v>
      </c>
      <c r="Q985" s="20" t="n">
        <f aca="false">IF($D985="",0,$K985-$P985)</f>
        <v>0</v>
      </c>
      <c r="R985" s="21" t="n">
        <f aca="false">IF($K985=0,0,$Q985/$K985)</f>
        <v>0</v>
      </c>
      <c r="S985" s="20" t="n">
        <f aca="false">IF($D985="",0,$K985-$L985-$M985-$N985)</f>
        <v>0</v>
      </c>
      <c r="T985" s="22"/>
      <c r="U985" s="20" t="n">
        <f aca="false">IF($T985="",0,MAX(0,$S985-$T985))</f>
        <v>0</v>
      </c>
      <c r="V985" s="21" t="n">
        <f aca="false">IF($S985=0,0,$U985/$S985)</f>
        <v>0</v>
      </c>
      <c r="W985" s="23" t="str">
        <f aca="false">IF($D985="","",IF($T985="","BEKLİYOR",IF(OR($U985=0,$S985=0),"DOĞRU",IF(AND($V985&gt;PazaryeriEksikHakedisEsik,$U985&gt;PazaryeriEksikHakedisTutarEsik),"EKSİK HAKEDİŞ","DOĞRU"))))</f>
        <v/>
      </c>
      <c r="X985" s="23" t="str">
        <f aca="false">IF($B985="","",CONCATENATE("Ürün: ",$B985," | Kâr: ",TEXT($Q985,"₺ #,##0")," | Durum: ",$W985))</f>
        <v/>
      </c>
      <c r="Y985" s="24"/>
    </row>
    <row r="986" customFormat="false" ht="15" hidden="false" customHeight="false" outlineLevel="0" collapsed="false">
      <c r="A986" s="24"/>
      <c r="B986" s="24"/>
      <c r="C986" s="22"/>
      <c r="D986" s="25"/>
      <c r="E986" s="22"/>
      <c r="F986" s="26"/>
      <c r="G986" s="26"/>
      <c r="H986" s="26"/>
      <c r="I986" s="26"/>
      <c r="J986" s="22"/>
      <c r="K986" s="20" t="n">
        <f aca="false">IF($D986="",0,$C986*$D986)</f>
        <v>0</v>
      </c>
      <c r="L986" s="20" t="n">
        <f aca="false">IF($D986="",0,$F986*$K986)</f>
        <v>0</v>
      </c>
      <c r="M986" s="20" t="n">
        <f aca="false">IF($D986="",0,$G986*$K986)</f>
        <v>0</v>
      </c>
      <c r="N986" s="20" t="n">
        <f aca="false">IF($D986="",0,$H986*$K986)</f>
        <v>0</v>
      </c>
      <c r="O986" s="20" t="n">
        <f aca="false">IF($D986="",0,$I986*$K986*(1-$F986))</f>
        <v>0</v>
      </c>
      <c r="P986" s="20" t="n">
        <f aca="false">IF($D986="",0,$E986*$D986+$L986+$M986+$N986+$O986+$J986*$D986)</f>
        <v>0</v>
      </c>
      <c r="Q986" s="20" t="n">
        <f aca="false">IF($D986="",0,$K986-$P986)</f>
        <v>0</v>
      </c>
      <c r="R986" s="21" t="n">
        <f aca="false">IF($K986=0,0,$Q986/$K986)</f>
        <v>0</v>
      </c>
      <c r="S986" s="20" t="n">
        <f aca="false">IF($D986="",0,$K986-$L986-$M986-$N986)</f>
        <v>0</v>
      </c>
      <c r="T986" s="22"/>
      <c r="U986" s="20" t="n">
        <f aca="false">IF($T986="",0,MAX(0,$S986-$T986))</f>
        <v>0</v>
      </c>
      <c r="V986" s="21" t="n">
        <f aca="false">IF($S986=0,0,$U986/$S986)</f>
        <v>0</v>
      </c>
      <c r="W986" s="23" t="str">
        <f aca="false">IF($D986="","",IF($T986="","BEKLİYOR",IF(OR($U986=0,$S986=0),"DOĞRU",IF(AND($V986&gt;PazaryeriEksikHakedisEsik,$U986&gt;PazaryeriEksikHakedisTutarEsik),"EKSİK HAKEDİŞ","DOĞRU"))))</f>
        <v/>
      </c>
      <c r="X986" s="23" t="str">
        <f aca="false">IF($B986="","",CONCATENATE("Ürün: ",$B986," | Kâr: ",TEXT($Q986,"₺ #,##0")," | Durum: ",$W986))</f>
        <v/>
      </c>
      <c r="Y986" s="24"/>
    </row>
    <row r="987" customFormat="false" ht="15" hidden="false" customHeight="false" outlineLevel="0" collapsed="false">
      <c r="A987" s="24"/>
      <c r="B987" s="24"/>
      <c r="C987" s="22"/>
      <c r="D987" s="25"/>
      <c r="E987" s="22"/>
      <c r="F987" s="26"/>
      <c r="G987" s="26"/>
      <c r="H987" s="26"/>
      <c r="I987" s="26"/>
      <c r="J987" s="22"/>
      <c r="K987" s="20" t="n">
        <f aca="false">IF($D987="",0,$C987*$D987)</f>
        <v>0</v>
      </c>
      <c r="L987" s="20" t="n">
        <f aca="false">IF($D987="",0,$F987*$K987)</f>
        <v>0</v>
      </c>
      <c r="M987" s="20" t="n">
        <f aca="false">IF($D987="",0,$G987*$K987)</f>
        <v>0</v>
      </c>
      <c r="N987" s="20" t="n">
        <f aca="false">IF($D987="",0,$H987*$K987)</f>
        <v>0</v>
      </c>
      <c r="O987" s="20" t="n">
        <f aca="false">IF($D987="",0,$I987*$K987*(1-$F987))</f>
        <v>0</v>
      </c>
      <c r="P987" s="20" t="n">
        <f aca="false">IF($D987="",0,$E987*$D987+$L987+$M987+$N987+$O987+$J987*$D987)</f>
        <v>0</v>
      </c>
      <c r="Q987" s="20" t="n">
        <f aca="false">IF($D987="",0,$K987-$P987)</f>
        <v>0</v>
      </c>
      <c r="R987" s="21" t="n">
        <f aca="false">IF($K987=0,0,$Q987/$K987)</f>
        <v>0</v>
      </c>
      <c r="S987" s="20" t="n">
        <f aca="false">IF($D987="",0,$K987-$L987-$M987-$N987)</f>
        <v>0</v>
      </c>
      <c r="T987" s="22"/>
      <c r="U987" s="20" t="n">
        <f aca="false">IF($T987="",0,MAX(0,$S987-$T987))</f>
        <v>0</v>
      </c>
      <c r="V987" s="21" t="n">
        <f aca="false">IF($S987=0,0,$U987/$S987)</f>
        <v>0</v>
      </c>
      <c r="W987" s="23" t="str">
        <f aca="false">IF($D987="","",IF($T987="","BEKLİYOR",IF(OR($U987=0,$S987=0),"DOĞRU",IF(AND($V987&gt;PazaryeriEksikHakedisEsik,$U987&gt;PazaryeriEksikHakedisTutarEsik),"EKSİK HAKEDİŞ","DOĞRU"))))</f>
        <v/>
      </c>
      <c r="X987" s="23" t="str">
        <f aca="false">IF($B987="","",CONCATENATE("Ürün: ",$B987," | Kâr: ",TEXT($Q987,"₺ #,##0")," | Durum: ",$W987))</f>
        <v/>
      </c>
      <c r="Y987" s="24"/>
    </row>
    <row r="988" customFormat="false" ht="15" hidden="false" customHeight="false" outlineLevel="0" collapsed="false">
      <c r="A988" s="24"/>
      <c r="B988" s="24"/>
      <c r="C988" s="22"/>
      <c r="D988" s="25"/>
      <c r="E988" s="22"/>
      <c r="F988" s="26"/>
      <c r="G988" s="26"/>
      <c r="H988" s="26"/>
      <c r="I988" s="26"/>
      <c r="J988" s="22"/>
      <c r="K988" s="20" t="n">
        <f aca="false">IF($D988="",0,$C988*$D988)</f>
        <v>0</v>
      </c>
      <c r="L988" s="20" t="n">
        <f aca="false">IF($D988="",0,$F988*$K988)</f>
        <v>0</v>
      </c>
      <c r="M988" s="20" t="n">
        <f aca="false">IF($D988="",0,$G988*$K988)</f>
        <v>0</v>
      </c>
      <c r="N988" s="20" t="n">
        <f aca="false">IF($D988="",0,$H988*$K988)</f>
        <v>0</v>
      </c>
      <c r="O988" s="20" t="n">
        <f aca="false">IF($D988="",0,$I988*$K988*(1-$F988))</f>
        <v>0</v>
      </c>
      <c r="P988" s="20" t="n">
        <f aca="false">IF($D988="",0,$E988*$D988+$L988+$M988+$N988+$O988+$J988*$D988)</f>
        <v>0</v>
      </c>
      <c r="Q988" s="20" t="n">
        <f aca="false">IF($D988="",0,$K988-$P988)</f>
        <v>0</v>
      </c>
      <c r="R988" s="21" t="n">
        <f aca="false">IF($K988=0,0,$Q988/$K988)</f>
        <v>0</v>
      </c>
      <c r="S988" s="20" t="n">
        <f aca="false">IF($D988="",0,$K988-$L988-$M988-$N988)</f>
        <v>0</v>
      </c>
      <c r="T988" s="22"/>
      <c r="U988" s="20" t="n">
        <f aca="false">IF($T988="",0,MAX(0,$S988-$T988))</f>
        <v>0</v>
      </c>
      <c r="V988" s="21" t="n">
        <f aca="false">IF($S988=0,0,$U988/$S988)</f>
        <v>0</v>
      </c>
      <c r="W988" s="23" t="str">
        <f aca="false">IF($D988="","",IF($T988="","BEKLİYOR",IF(OR($U988=0,$S988=0),"DOĞRU",IF(AND($V988&gt;PazaryeriEksikHakedisEsik,$U988&gt;PazaryeriEksikHakedisTutarEsik),"EKSİK HAKEDİŞ","DOĞRU"))))</f>
        <v/>
      </c>
      <c r="X988" s="23" t="str">
        <f aca="false">IF($B988="","",CONCATENATE("Ürün: ",$B988," | Kâr: ",TEXT($Q988,"₺ #,##0")," | Durum: ",$W988))</f>
        <v/>
      </c>
      <c r="Y988" s="24"/>
    </row>
    <row r="989" customFormat="false" ht="15" hidden="false" customHeight="false" outlineLevel="0" collapsed="false">
      <c r="A989" s="24"/>
      <c r="B989" s="24"/>
      <c r="C989" s="22"/>
      <c r="D989" s="25"/>
      <c r="E989" s="22"/>
      <c r="F989" s="26"/>
      <c r="G989" s="26"/>
      <c r="H989" s="26"/>
      <c r="I989" s="26"/>
      <c r="J989" s="22"/>
      <c r="K989" s="20" t="n">
        <f aca="false">IF($D989="",0,$C989*$D989)</f>
        <v>0</v>
      </c>
      <c r="L989" s="20" t="n">
        <f aca="false">IF($D989="",0,$F989*$K989)</f>
        <v>0</v>
      </c>
      <c r="M989" s="20" t="n">
        <f aca="false">IF($D989="",0,$G989*$K989)</f>
        <v>0</v>
      </c>
      <c r="N989" s="20" t="n">
        <f aca="false">IF($D989="",0,$H989*$K989)</f>
        <v>0</v>
      </c>
      <c r="O989" s="20" t="n">
        <f aca="false">IF($D989="",0,$I989*$K989*(1-$F989))</f>
        <v>0</v>
      </c>
      <c r="P989" s="20" t="n">
        <f aca="false">IF($D989="",0,$E989*$D989+$L989+$M989+$N989+$O989+$J989*$D989)</f>
        <v>0</v>
      </c>
      <c r="Q989" s="20" t="n">
        <f aca="false">IF($D989="",0,$K989-$P989)</f>
        <v>0</v>
      </c>
      <c r="R989" s="21" t="n">
        <f aca="false">IF($K989=0,0,$Q989/$K989)</f>
        <v>0</v>
      </c>
      <c r="S989" s="20" t="n">
        <f aca="false">IF($D989="",0,$K989-$L989-$M989-$N989)</f>
        <v>0</v>
      </c>
      <c r="T989" s="22"/>
      <c r="U989" s="20" t="n">
        <f aca="false">IF($T989="",0,MAX(0,$S989-$T989))</f>
        <v>0</v>
      </c>
      <c r="V989" s="21" t="n">
        <f aca="false">IF($S989=0,0,$U989/$S989)</f>
        <v>0</v>
      </c>
      <c r="W989" s="23" t="str">
        <f aca="false">IF($D989="","",IF($T989="","BEKLİYOR",IF(OR($U989=0,$S989=0),"DOĞRU",IF(AND($V989&gt;PazaryeriEksikHakedisEsik,$U989&gt;PazaryeriEksikHakedisTutarEsik),"EKSİK HAKEDİŞ","DOĞRU"))))</f>
        <v/>
      </c>
      <c r="X989" s="23" t="str">
        <f aca="false">IF($B989="","",CONCATENATE("Ürün: ",$B989," | Kâr: ",TEXT($Q989,"₺ #,##0")," | Durum: ",$W989))</f>
        <v/>
      </c>
      <c r="Y989" s="24"/>
    </row>
    <row r="990" customFormat="false" ht="15" hidden="false" customHeight="false" outlineLevel="0" collapsed="false">
      <c r="A990" s="24"/>
      <c r="B990" s="24"/>
      <c r="C990" s="22"/>
      <c r="D990" s="25"/>
      <c r="E990" s="22"/>
      <c r="F990" s="26"/>
      <c r="G990" s="26"/>
      <c r="H990" s="26"/>
      <c r="I990" s="26"/>
      <c r="J990" s="22"/>
      <c r="K990" s="20" t="n">
        <f aca="false">IF($D990="",0,$C990*$D990)</f>
        <v>0</v>
      </c>
      <c r="L990" s="20" t="n">
        <f aca="false">IF($D990="",0,$F990*$K990)</f>
        <v>0</v>
      </c>
      <c r="M990" s="20" t="n">
        <f aca="false">IF($D990="",0,$G990*$K990)</f>
        <v>0</v>
      </c>
      <c r="N990" s="20" t="n">
        <f aca="false">IF($D990="",0,$H990*$K990)</f>
        <v>0</v>
      </c>
      <c r="O990" s="20" t="n">
        <f aca="false">IF($D990="",0,$I990*$K990*(1-$F990))</f>
        <v>0</v>
      </c>
      <c r="P990" s="20" t="n">
        <f aca="false">IF($D990="",0,$E990*$D990+$L990+$M990+$N990+$O990+$J990*$D990)</f>
        <v>0</v>
      </c>
      <c r="Q990" s="20" t="n">
        <f aca="false">IF($D990="",0,$K990-$P990)</f>
        <v>0</v>
      </c>
      <c r="R990" s="21" t="n">
        <f aca="false">IF($K990=0,0,$Q990/$K990)</f>
        <v>0</v>
      </c>
      <c r="S990" s="20" t="n">
        <f aca="false">IF($D990="",0,$K990-$L990-$M990-$N990)</f>
        <v>0</v>
      </c>
      <c r="T990" s="22"/>
      <c r="U990" s="20" t="n">
        <f aca="false">IF($T990="",0,MAX(0,$S990-$T990))</f>
        <v>0</v>
      </c>
      <c r="V990" s="21" t="n">
        <f aca="false">IF($S990=0,0,$U990/$S990)</f>
        <v>0</v>
      </c>
      <c r="W990" s="23" t="str">
        <f aca="false">IF($D990="","",IF($T990="","BEKLİYOR",IF(OR($U990=0,$S990=0),"DOĞRU",IF(AND($V990&gt;PazaryeriEksikHakedisEsik,$U990&gt;PazaryeriEksikHakedisTutarEsik),"EKSİK HAKEDİŞ","DOĞRU"))))</f>
        <v/>
      </c>
      <c r="X990" s="23" t="str">
        <f aca="false">IF($B990="","",CONCATENATE("Ürün: ",$B990," | Kâr: ",TEXT($Q990,"₺ #,##0")," | Durum: ",$W990))</f>
        <v/>
      </c>
      <c r="Y990" s="24"/>
    </row>
    <row r="991" customFormat="false" ht="15" hidden="false" customHeight="false" outlineLevel="0" collapsed="false">
      <c r="A991" s="24"/>
      <c r="B991" s="24"/>
      <c r="C991" s="22"/>
      <c r="D991" s="25"/>
      <c r="E991" s="22"/>
      <c r="F991" s="26"/>
      <c r="G991" s="26"/>
      <c r="H991" s="26"/>
      <c r="I991" s="26"/>
      <c r="J991" s="22"/>
      <c r="K991" s="20" t="n">
        <f aca="false">IF($D991="",0,$C991*$D991)</f>
        <v>0</v>
      </c>
      <c r="L991" s="20" t="n">
        <f aca="false">IF($D991="",0,$F991*$K991)</f>
        <v>0</v>
      </c>
      <c r="M991" s="20" t="n">
        <f aca="false">IF($D991="",0,$G991*$K991)</f>
        <v>0</v>
      </c>
      <c r="N991" s="20" t="n">
        <f aca="false">IF($D991="",0,$H991*$K991)</f>
        <v>0</v>
      </c>
      <c r="O991" s="20" t="n">
        <f aca="false">IF($D991="",0,$I991*$K991*(1-$F991))</f>
        <v>0</v>
      </c>
      <c r="P991" s="20" t="n">
        <f aca="false">IF($D991="",0,$E991*$D991+$L991+$M991+$N991+$O991+$J991*$D991)</f>
        <v>0</v>
      </c>
      <c r="Q991" s="20" t="n">
        <f aca="false">IF($D991="",0,$K991-$P991)</f>
        <v>0</v>
      </c>
      <c r="R991" s="21" t="n">
        <f aca="false">IF($K991=0,0,$Q991/$K991)</f>
        <v>0</v>
      </c>
      <c r="S991" s="20" t="n">
        <f aca="false">IF($D991="",0,$K991-$L991-$M991-$N991)</f>
        <v>0</v>
      </c>
      <c r="T991" s="22"/>
      <c r="U991" s="20" t="n">
        <f aca="false">IF($T991="",0,MAX(0,$S991-$T991))</f>
        <v>0</v>
      </c>
      <c r="V991" s="21" t="n">
        <f aca="false">IF($S991=0,0,$U991/$S991)</f>
        <v>0</v>
      </c>
      <c r="W991" s="23" t="str">
        <f aca="false">IF($D991="","",IF($T991="","BEKLİYOR",IF(OR($U991=0,$S991=0),"DOĞRU",IF(AND($V991&gt;PazaryeriEksikHakedisEsik,$U991&gt;PazaryeriEksikHakedisTutarEsik),"EKSİK HAKEDİŞ","DOĞRU"))))</f>
        <v/>
      </c>
      <c r="X991" s="23" t="str">
        <f aca="false">IF($B991="","",CONCATENATE("Ürün: ",$B991," | Kâr: ",TEXT($Q991,"₺ #,##0")," | Durum: ",$W991))</f>
        <v/>
      </c>
      <c r="Y991" s="24"/>
    </row>
    <row r="992" customFormat="false" ht="15" hidden="false" customHeight="false" outlineLevel="0" collapsed="false">
      <c r="A992" s="24"/>
      <c r="B992" s="24"/>
      <c r="C992" s="22"/>
      <c r="D992" s="25"/>
      <c r="E992" s="22"/>
      <c r="F992" s="26"/>
      <c r="G992" s="26"/>
      <c r="H992" s="26"/>
      <c r="I992" s="26"/>
      <c r="J992" s="22"/>
      <c r="K992" s="20" t="n">
        <f aca="false">IF($D992="",0,$C992*$D992)</f>
        <v>0</v>
      </c>
      <c r="L992" s="20" t="n">
        <f aca="false">IF($D992="",0,$F992*$K992)</f>
        <v>0</v>
      </c>
      <c r="M992" s="20" t="n">
        <f aca="false">IF($D992="",0,$G992*$K992)</f>
        <v>0</v>
      </c>
      <c r="N992" s="20" t="n">
        <f aca="false">IF($D992="",0,$H992*$K992)</f>
        <v>0</v>
      </c>
      <c r="O992" s="20" t="n">
        <f aca="false">IF($D992="",0,$I992*$K992*(1-$F992))</f>
        <v>0</v>
      </c>
      <c r="P992" s="20" t="n">
        <f aca="false">IF($D992="",0,$E992*$D992+$L992+$M992+$N992+$O992+$J992*$D992)</f>
        <v>0</v>
      </c>
      <c r="Q992" s="20" t="n">
        <f aca="false">IF($D992="",0,$K992-$P992)</f>
        <v>0</v>
      </c>
      <c r="R992" s="21" t="n">
        <f aca="false">IF($K992=0,0,$Q992/$K992)</f>
        <v>0</v>
      </c>
      <c r="S992" s="20" t="n">
        <f aca="false">IF($D992="",0,$K992-$L992-$M992-$N992)</f>
        <v>0</v>
      </c>
      <c r="T992" s="22"/>
      <c r="U992" s="20" t="n">
        <f aca="false">IF($T992="",0,MAX(0,$S992-$T992))</f>
        <v>0</v>
      </c>
      <c r="V992" s="21" t="n">
        <f aca="false">IF($S992=0,0,$U992/$S992)</f>
        <v>0</v>
      </c>
      <c r="W992" s="23" t="str">
        <f aca="false">IF($D992="","",IF($T992="","BEKLİYOR",IF(OR($U992=0,$S992=0),"DOĞRU",IF(AND($V992&gt;PazaryeriEksikHakedisEsik,$U992&gt;PazaryeriEksikHakedisTutarEsik),"EKSİK HAKEDİŞ","DOĞRU"))))</f>
        <v/>
      </c>
      <c r="X992" s="23" t="str">
        <f aca="false">IF($B992="","",CONCATENATE("Ürün: ",$B992," | Kâr: ",TEXT($Q992,"₺ #,##0")," | Durum: ",$W992))</f>
        <v/>
      </c>
      <c r="Y992" s="24"/>
    </row>
    <row r="993" customFormat="false" ht="15" hidden="false" customHeight="false" outlineLevel="0" collapsed="false">
      <c r="A993" s="24"/>
      <c r="B993" s="24"/>
      <c r="C993" s="22"/>
      <c r="D993" s="25"/>
      <c r="E993" s="22"/>
      <c r="F993" s="26"/>
      <c r="G993" s="26"/>
      <c r="H993" s="26"/>
      <c r="I993" s="26"/>
      <c r="J993" s="22"/>
      <c r="K993" s="20" t="n">
        <f aca="false">IF($D993="",0,$C993*$D993)</f>
        <v>0</v>
      </c>
      <c r="L993" s="20" t="n">
        <f aca="false">IF($D993="",0,$F993*$K993)</f>
        <v>0</v>
      </c>
      <c r="M993" s="20" t="n">
        <f aca="false">IF($D993="",0,$G993*$K993)</f>
        <v>0</v>
      </c>
      <c r="N993" s="20" t="n">
        <f aca="false">IF($D993="",0,$H993*$K993)</f>
        <v>0</v>
      </c>
      <c r="O993" s="20" t="n">
        <f aca="false">IF($D993="",0,$I993*$K993*(1-$F993))</f>
        <v>0</v>
      </c>
      <c r="P993" s="20" t="n">
        <f aca="false">IF($D993="",0,$E993*$D993+$L993+$M993+$N993+$O993+$J993*$D993)</f>
        <v>0</v>
      </c>
      <c r="Q993" s="20" t="n">
        <f aca="false">IF($D993="",0,$K993-$P993)</f>
        <v>0</v>
      </c>
      <c r="R993" s="21" t="n">
        <f aca="false">IF($K993=0,0,$Q993/$K993)</f>
        <v>0</v>
      </c>
      <c r="S993" s="20" t="n">
        <f aca="false">IF($D993="",0,$K993-$L993-$M993-$N993)</f>
        <v>0</v>
      </c>
      <c r="T993" s="22"/>
      <c r="U993" s="20" t="n">
        <f aca="false">IF($T993="",0,MAX(0,$S993-$T993))</f>
        <v>0</v>
      </c>
      <c r="V993" s="21" t="n">
        <f aca="false">IF($S993=0,0,$U993/$S993)</f>
        <v>0</v>
      </c>
      <c r="W993" s="23" t="str">
        <f aca="false">IF($D993="","",IF($T993="","BEKLİYOR",IF(OR($U993=0,$S993=0),"DOĞRU",IF(AND($V993&gt;PazaryeriEksikHakedisEsik,$U993&gt;PazaryeriEksikHakedisTutarEsik),"EKSİK HAKEDİŞ","DOĞRU"))))</f>
        <v/>
      </c>
      <c r="X993" s="23" t="str">
        <f aca="false">IF($B993="","",CONCATENATE("Ürün: ",$B993," | Kâr: ",TEXT($Q993,"₺ #,##0")," | Durum: ",$W993))</f>
        <v/>
      </c>
      <c r="Y993" s="24"/>
    </row>
    <row r="994" customFormat="false" ht="15" hidden="false" customHeight="false" outlineLevel="0" collapsed="false">
      <c r="A994" s="24"/>
      <c r="B994" s="24"/>
      <c r="C994" s="22"/>
      <c r="D994" s="25"/>
      <c r="E994" s="22"/>
      <c r="F994" s="26"/>
      <c r="G994" s="26"/>
      <c r="H994" s="26"/>
      <c r="I994" s="26"/>
      <c r="J994" s="22"/>
      <c r="K994" s="20" t="n">
        <f aca="false">IF($D994="",0,$C994*$D994)</f>
        <v>0</v>
      </c>
      <c r="L994" s="20" t="n">
        <f aca="false">IF($D994="",0,$F994*$K994)</f>
        <v>0</v>
      </c>
      <c r="M994" s="20" t="n">
        <f aca="false">IF($D994="",0,$G994*$K994)</f>
        <v>0</v>
      </c>
      <c r="N994" s="20" t="n">
        <f aca="false">IF($D994="",0,$H994*$K994)</f>
        <v>0</v>
      </c>
      <c r="O994" s="20" t="n">
        <f aca="false">IF($D994="",0,$I994*$K994*(1-$F994))</f>
        <v>0</v>
      </c>
      <c r="P994" s="20" t="n">
        <f aca="false">IF($D994="",0,$E994*$D994+$L994+$M994+$N994+$O994+$J994*$D994)</f>
        <v>0</v>
      </c>
      <c r="Q994" s="20" t="n">
        <f aca="false">IF($D994="",0,$K994-$P994)</f>
        <v>0</v>
      </c>
      <c r="R994" s="21" t="n">
        <f aca="false">IF($K994=0,0,$Q994/$K994)</f>
        <v>0</v>
      </c>
      <c r="S994" s="20" t="n">
        <f aca="false">IF($D994="",0,$K994-$L994-$M994-$N994)</f>
        <v>0</v>
      </c>
      <c r="T994" s="22"/>
      <c r="U994" s="20" t="n">
        <f aca="false">IF($T994="",0,MAX(0,$S994-$T994))</f>
        <v>0</v>
      </c>
      <c r="V994" s="21" t="n">
        <f aca="false">IF($S994=0,0,$U994/$S994)</f>
        <v>0</v>
      </c>
      <c r="W994" s="23" t="str">
        <f aca="false">IF($D994="","",IF($T994="","BEKLİYOR",IF(OR($U994=0,$S994=0),"DOĞRU",IF(AND($V994&gt;PazaryeriEksikHakedisEsik,$U994&gt;PazaryeriEksikHakedisTutarEsik),"EKSİK HAKEDİŞ","DOĞRU"))))</f>
        <v/>
      </c>
      <c r="X994" s="23" t="str">
        <f aca="false">IF($B994="","",CONCATENATE("Ürün: ",$B994," | Kâr: ",TEXT($Q994,"₺ #,##0")," | Durum: ",$W994))</f>
        <v/>
      </c>
      <c r="Y994" s="24"/>
    </row>
    <row r="995" customFormat="false" ht="15" hidden="false" customHeight="false" outlineLevel="0" collapsed="false">
      <c r="A995" s="24"/>
      <c r="B995" s="24"/>
      <c r="C995" s="22"/>
      <c r="D995" s="25"/>
      <c r="E995" s="22"/>
      <c r="F995" s="26"/>
      <c r="G995" s="26"/>
      <c r="H995" s="26"/>
      <c r="I995" s="26"/>
      <c r="J995" s="22"/>
      <c r="K995" s="20" t="n">
        <f aca="false">IF($D995="",0,$C995*$D995)</f>
        <v>0</v>
      </c>
      <c r="L995" s="20" t="n">
        <f aca="false">IF($D995="",0,$F995*$K995)</f>
        <v>0</v>
      </c>
      <c r="M995" s="20" t="n">
        <f aca="false">IF($D995="",0,$G995*$K995)</f>
        <v>0</v>
      </c>
      <c r="N995" s="20" t="n">
        <f aca="false">IF($D995="",0,$H995*$K995)</f>
        <v>0</v>
      </c>
      <c r="O995" s="20" t="n">
        <f aca="false">IF($D995="",0,$I995*$K995*(1-$F995))</f>
        <v>0</v>
      </c>
      <c r="P995" s="20" t="n">
        <f aca="false">IF($D995="",0,$E995*$D995+$L995+$M995+$N995+$O995+$J995*$D995)</f>
        <v>0</v>
      </c>
      <c r="Q995" s="20" t="n">
        <f aca="false">IF($D995="",0,$K995-$P995)</f>
        <v>0</v>
      </c>
      <c r="R995" s="21" t="n">
        <f aca="false">IF($K995=0,0,$Q995/$K995)</f>
        <v>0</v>
      </c>
      <c r="S995" s="20" t="n">
        <f aca="false">IF($D995="",0,$K995-$L995-$M995-$N995)</f>
        <v>0</v>
      </c>
      <c r="T995" s="22"/>
      <c r="U995" s="20" t="n">
        <f aca="false">IF($T995="",0,MAX(0,$S995-$T995))</f>
        <v>0</v>
      </c>
      <c r="V995" s="21" t="n">
        <f aca="false">IF($S995=0,0,$U995/$S995)</f>
        <v>0</v>
      </c>
      <c r="W995" s="23" t="str">
        <f aca="false">IF($D995="","",IF($T995="","BEKLİYOR",IF(OR($U995=0,$S995=0),"DOĞRU",IF(AND($V995&gt;PazaryeriEksikHakedisEsik,$U995&gt;PazaryeriEksikHakedisTutarEsik),"EKSİK HAKEDİŞ","DOĞRU"))))</f>
        <v/>
      </c>
      <c r="X995" s="23" t="str">
        <f aca="false">IF($B995="","",CONCATENATE("Ürün: ",$B995," | Kâr: ",TEXT($Q995,"₺ #,##0")," | Durum: ",$W995))</f>
        <v/>
      </c>
      <c r="Y995" s="24"/>
    </row>
    <row r="996" customFormat="false" ht="15" hidden="false" customHeight="false" outlineLevel="0" collapsed="false">
      <c r="A996" s="24"/>
      <c r="B996" s="24"/>
      <c r="C996" s="22"/>
      <c r="D996" s="25"/>
      <c r="E996" s="22"/>
      <c r="F996" s="26"/>
      <c r="G996" s="26"/>
      <c r="H996" s="26"/>
      <c r="I996" s="26"/>
      <c r="J996" s="22"/>
      <c r="K996" s="20" t="n">
        <f aca="false">IF($D996="",0,$C996*$D996)</f>
        <v>0</v>
      </c>
      <c r="L996" s="20" t="n">
        <f aca="false">IF($D996="",0,$F996*$K996)</f>
        <v>0</v>
      </c>
      <c r="M996" s="20" t="n">
        <f aca="false">IF($D996="",0,$G996*$K996)</f>
        <v>0</v>
      </c>
      <c r="N996" s="20" t="n">
        <f aca="false">IF($D996="",0,$H996*$K996)</f>
        <v>0</v>
      </c>
      <c r="O996" s="20" t="n">
        <f aca="false">IF($D996="",0,$I996*$K996*(1-$F996))</f>
        <v>0</v>
      </c>
      <c r="P996" s="20" t="n">
        <f aca="false">IF($D996="",0,$E996*$D996+$L996+$M996+$N996+$O996+$J996*$D996)</f>
        <v>0</v>
      </c>
      <c r="Q996" s="20" t="n">
        <f aca="false">IF($D996="",0,$K996-$P996)</f>
        <v>0</v>
      </c>
      <c r="R996" s="21" t="n">
        <f aca="false">IF($K996=0,0,$Q996/$K996)</f>
        <v>0</v>
      </c>
      <c r="S996" s="20" t="n">
        <f aca="false">IF($D996="",0,$K996-$L996-$M996-$N996)</f>
        <v>0</v>
      </c>
      <c r="T996" s="22"/>
      <c r="U996" s="20" t="n">
        <f aca="false">IF($T996="",0,MAX(0,$S996-$T996))</f>
        <v>0</v>
      </c>
      <c r="V996" s="21" t="n">
        <f aca="false">IF($S996=0,0,$U996/$S996)</f>
        <v>0</v>
      </c>
      <c r="W996" s="23" t="str">
        <f aca="false">IF($D996="","",IF($T996="","BEKLİYOR",IF(OR($U996=0,$S996=0),"DOĞRU",IF(AND($V996&gt;PazaryeriEksikHakedisEsik,$U996&gt;PazaryeriEksikHakedisTutarEsik),"EKSİK HAKEDİŞ","DOĞRU"))))</f>
        <v/>
      </c>
      <c r="X996" s="23" t="str">
        <f aca="false">IF($B996="","",CONCATENATE("Ürün: ",$B996," | Kâr: ",TEXT($Q996,"₺ #,##0")," | Durum: ",$W996))</f>
        <v/>
      </c>
      <c r="Y996" s="24"/>
    </row>
    <row r="997" customFormat="false" ht="15" hidden="false" customHeight="false" outlineLevel="0" collapsed="false">
      <c r="A997" s="24"/>
      <c r="B997" s="24"/>
      <c r="C997" s="22"/>
      <c r="D997" s="25"/>
      <c r="E997" s="22"/>
      <c r="F997" s="26"/>
      <c r="G997" s="26"/>
      <c r="H997" s="26"/>
      <c r="I997" s="26"/>
      <c r="J997" s="22"/>
      <c r="K997" s="20" t="n">
        <f aca="false">IF($D997="",0,$C997*$D997)</f>
        <v>0</v>
      </c>
      <c r="L997" s="20" t="n">
        <f aca="false">IF($D997="",0,$F997*$K997)</f>
        <v>0</v>
      </c>
      <c r="M997" s="20" t="n">
        <f aca="false">IF($D997="",0,$G997*$K997)</f>
        <v>0</v>
      </c>
      <c r="N997" s="20" t="n">
        <f aca="false">IF($D997="",0,$H997*$K997)</f>
        <v>0</v>
      </c>
      <c r="O997" s="20" t="n">
        <f aca="false">IF($D997="",0,$I997*$K997*(1-$F997))</f>
        <v>0</v>
      </c>
      <c r="P997" s="20" t="n">
        <f aca="false">IF($D997="",0,$E997*$D997+$L997+$M997+$N997+$O997+$J997*$D997)</f>
        <v>0</v>
      </c>
      <c r="Q997" s="20" t="n">
        <f aca="false">IF($D997="",0,$K997-$P997)</f>
        <v>0</v>
      </c>
      <c r="R997" s="21" t="n">
        <f aca="false">IF($K997=0,0,$Q997/$K997)</f>
        <v>0</v>
      </c>
      <c r="S997" s="20" t="n">
        <f aca="false">IF($D997="",0,$K997-$L997-$M997-$N997)</f>
        <v>0</v>
      </c>
      <c r="T997" s="22"/>
      <c r="U997" s="20" t="n">
        <f aca="false">IF($T997="",0,MAX(0,$S997-$T997))</f>
        <v>0</v>
      </c>
      <c r="V997" s="21" t="n">
        <f aca="false">IF($S997=0,0,$U997/$S997)</f>
        <v>0</v>
      </c>
      <c r="W997" s="23" t="str">
        <f aca="false">IF($D997="","",IF($T997="","BEKLİYOR",IF(OR($U997=0,$S997=0),"DOĞRU",IF(AND($V997&gt;PazaryeriEksikHakedisEsik,$U997&gt;PazaryeriEksikHakedisTutarEsik),"EKSİK HAKEDİŞ","DOĞRU"))))</f>
        <v/>
      </c>
      <c r="X997" s="23" t="str">
        <f aca="false">IF($B997="","",CONCATENATE("Ürün: ",$B997," | Kâr: ",TEXT($Q997,"₺ #,##0")," | Durum: ",$W997))</f>
        <v/>
      </c>
      <c r="Y997" s="24"/>
    </row>
    <row r="998" customFormat="false" ht="15" hidden="false" customHeight="false" outlineLevel="0" collapsed="false">
      <c r="A998" s="24"/>
      <c r="B998" s="24"/>
      <c r="C998" s="22"/>
      <c r="D998" s="25"/>
      <c r="E998" s="22"/>
      <c r="F998" s="26"/>
      <c r="G998" s="26"/>
      <c r="H998" s="26"/>
      <c r="I998" s="26"/>
      <c r="J998" s="22"/>
      <c r="K998" s="20" t="n">
        <f aca="false">IF($D998="",0,$C998*$D998)</f>
        <v>0</v>
      </c>
      <c r="L998" s="20" t="n">
        <f aca="false">IF($D998="",0,$F998*$K998)</f>
        <v>0</v>
      </c>
      <c r="M998" s="20" t="n">
        <f aca="false">IF($D998="",0,$G998*$K998)</f>
        <v>0</v>
      </c>
      <c r="N998" s="20" t="n">
        <f aca="false">IF($D998="",0,$H998*$K998)</f>
        <v>0</v>
      </c>
      <c r="O998" s="20" t="n">
        <f aca="false">IF($D998="",0,$I998*$K998*(1-$F998))</f>
        <v>0</v>
      </c>
      <c r="P998" s="20" t="n">
        <f aca="false">IF($D998="",0,$E998*$D998+$L998+$M998+$N998+$O998+$J998*$D998)</f>
        <v>0</v>
      </c>
      <c r="Q998" s="20" t="n">
        <f aca="false">IF($D998="",0,$K998-$P998)</f>
        <v>0</v>
      </c>
      <c r="R998" s="21" t="n">
        <f aca="false">IF($K998=0,0,$Q998/$K998)</f>
        <v>0</v>
      </c>
      <c r="S998" s="20" t="n">
        <f aca="false">IF($D998="",0,$K998-$L998-$M998-$N998)</f>
        <v>0</v>
      </c>
      <c r="T998" s="22"/>
      <c r="U998" s="20" t="n">
        <f aca="false">IF($T998="",0,MAX(0,$S998-$T998))</f>
        <v>0</v>
      </c>
      <c r="V998" s="21" t="n">
        <f aca="false">IF($S998=0,0,$U998/$S998)</f>
        <v>0</v>
      </c>
      <c r="W998" s="23" t="str">
        <f aca="false">IF($D998="","",IF($T998="","BEKLİYOR",IF(OR($U998=0,$S998=0),"DOĞRU",IF(AND($V998&gt;PazaryeriEksikHakedisEsik,$U998&gt;PazaryeriEksikHakedisTutarEsik),"EKSİK HAKEDİŞ","DOĞRU"))))</f>
        <v/>
      </c>
      <c r="X998" s="23" t="str">
        <f aca="false">IF($B998="","",CONCATENATE("Ürün: ",$B998," | Kâr: ",TEXT($Q998,"₺ #,##0")," | Durum: ",$W998))</f>
        <v/>
      </c>
      <c r="Y998" s="24"/>
    </row>
    <row r="999" customFormat="false" ht="15" hidden="false" customHeight="false" outlineLevel="0" collapsed="false">
      <c r="A999" s="24"/>
      <c r="B999" s="24"/>
      <c r="C999" s="22"/>
      <c r="D999" s="25"/>
      <c r="E999" s="22"/>
      <c r="F999" s="26"/>
      <c r="G999" s="26"/>
      <c r="H999" s="26"/>
      <c r="I999" s="26"/>
      <c r="J999" s="22"/>
      <c r="K999" s="20" t="n">
        <f aca="false">IF($D999="",0,$C999*$D999)</f>
        <v>0</v>
      </c>
      <c r="L999" s="20" t="n">
        <f aca="false">IF($D999="",0,$F999*$K999)</f>
        <v>0</v>
      </c>
      <c r="M999" s="20" t="n">
        <f aca="false">IF($D999="",0,$G999*$K999)</f>
        <v>0</v>
      </c>
      <c r="N999" s="20" t="n">
        <f aca="false">IF($D999="",0,$H999*$K999)</f>
        <v>0</v>
      </c>
      <c r="O999" s="20" t="n">
        <f aca="false">IF($D999="",0,$I999*$K999*(1-$F999))</f>
        <v>0</v>
      </c>
      <c r="P999" s="20" t="n">
        <f aca="false">IF($D999="",0,$E999*$D999+$L999+$M999+$N999+$O999+$J999*$D999)</f>
        <v>0</v>
      </c>
      <c r="Q999" s="20" t="n">
        <f aca="false">IF($D999="",0,$K999-$P999)</f>
        <v>0</v>
      </c>
      <c r="R999" s="21" t="n">
        <f aca="false">IF($K999=0,0,$Q999/$K999)</f>
        <v>0</v>
      </c>
      <c r="S999" s="20" t="n">
        <f aca="false">IF($D999="",0,$K999-$L999-$M999-$N999)</f>
        <v>0</v>
      </c>
      <c r="T999" s="22"/>
      <c r="U999" s="20" t="n">
        <f aca="false">IF($T999="",0,MAX(0,$S999-$T999))</f>
        <v>0</v>
      </c>
      <c r="V999" s="21" t="n">
        <f aca="false">IF($S999=0,0,$U999/$S999)</f>
        <v>0</v>
      </c>
      <c r="W999" s="23" t="str">
        <f aca="false">IF($D999="","",IF($T999="","BEKLİYOR",IF(OR($U999=0,$S999=0),"DOĞRU",IF(AND($V999&gt;PazaryeriEksikHakedisEsik,$U999&gt;PazaryeriEksikHakedisTutarEsik),"EKSİK HAKEDİŞ","DOĞRU"))))</f>
        <v/>
      </c>
      <c r="X999" s="23" t="str">
        <f aca="false">IF($B999="","",CONCATENATE("Ürün: ",$B999," | Kâr: ",TEXT($Q999,"₺ #,##0")," | Durum: ",$W999))</f>
        <v/>
      </c>
      <c r="Y999" s="24"/>
    </row>
    <row r="1000" customFormat="false" ht="15" hidden="false" customHeight="false" outlineLevel="0" collapsed="false">
      <c r="A1000" s="24"/>
      <c r="B1000" s="24"/>
      <c r="C1000" s="22"/>
      <c r="D1000" s="25"/>
      <c r="E1000" s="22"/>
      <c r="F1000" s="26"/>
      <c r="G1000" s="26"/>
      <c r="H1000" s="26"/>
      <c r="I1000" s="26"/>
      <c r="J1000" s="22"/>
      <c r="K1000" s="20" t="n">
        <f aca="false">IF($D1000="",0,$C1000*$D1000)</f>
        <v>0</v>
      </c>
      <c r="L1000" s="20" t="n">
        <f aca="false">IF($D1000="",0,$F1000*$K1000)</f>
        <v>0</v>
      </c>
      <c r="M1000" s="20" t="n">
        <f aca="false">IF($D1000="",0,$G1000*$K1000)</f>
        <v>0</v>
      </c>
      <c r="N1000" s="20" t="n">
        <f aca="false">IF($D1000="",0,$H1000*$K1000)</f>
        <v>0</v>
      </c>
      <c r="O1000" s="20" t="n">
        <f aca="false">IF($D1000="",0,$I1000*$K1000*(1-$F1000))</f>
        <v>0</v>
      </c>
      <c r="P1000" s="20" t="n">
        <f aca="false">IF($D1000="",0,$E1000*$D1000+$L1000+$M1000+$N1000+$O1000+$J1000*$D1000)</f>
        <v>0</v>
      </c>
      <c r="Q1000" s="20" t="n">
        <f aca="false">IF($D1000="",0,$K1000-$P1000)</f>
        <v>0</v>
      </c>
      <c r="R1000" s="21" t="n">
        <f aca="false">IF($K1000=0,0,$Q1000/$K1000)</f>
        <v>0</v>
      </c>
      <c r="S1000" s="20" t="n">
        <f aca="false">IF($D1000="",0,$K1000-$L1000-$M1000-$N1000)</f>
        <v>0</v>
      </c>
      <c r="T1000" s="22"/>
      <c r="U1000" s="20" t="n">
        <f aca="false">IF($T1000="",0,MAX(0,$S1000-$T1000))</f>
        <v>0</v>
      </c>
      <c r="V1000" s="21" t="n">
        <f aca="false">IF($S1000=0,0,$U1000/$S1000)</f>
        <v>0</v>
      </c>
      <c r="W1000" s="23" t="str">
        <f aca="false">IF($D1000="","",IF($T1000="","BEKLİYOR",IF(OR($U1000=0,$S1000=0),"DOĞRU",IF(AND($V1000&gt;PazaryeriEksikHakedisEsik,$U1000&gt;PazaryeriEksikHakedisTutarEsik),"EKSİK HAKEDİŞ","DOĞRU"))))</f>
        <v/>
      </c>
      <c r="X1000" s="23" t="str">
        <f aca="false">IF($B1000="","",CONCATENATE("Ürün: ",$B1000," | Kâr: ",TEXT($Q1000,"₺ #,##0")," | Durum: ",$W1000))</f>
        <v/>
      </c>
      <c r="Y1000" s="24"/>
    </row>
    <row r="1001" customFormat="false" ht="15" hidden="false" customHeight="false" outlineLevel="0" collapsed="false">
      <c r="A1001" s="24"/>
      <c r="B1001" s="24"/>
      <c r="C1001" s="22"/>
      <c r="D1001" s="25"/>
      <c r="E1001" s="22"/>
      <c r="F1001" s="26"/>
      <c r="G1001" s="26"/>
      <c r="H1001" s="26"/>
      <c r="I1001" s="26"/>
      <c r="J1001" s="22"/>
      <c r="K1001" s="20" t="n">
        <f aca="false">IF($D1001="",0,$C1001*$D1001)</f>
        <v>0</v>
      </c>
      <c r="L1001" s="20" t="n">
        <f aca="false">IF($D1001="",0,$F1001*$K1001)</f>
        <v>0</v>
      </c>
      <c r="M1001" s="20" t="n">
        <f aca="false">IF($D1001="",0,$G1001*$K1001)</f>
        <v>0</v>
      </c>
      <c r="N1001" s="20" t="n">
        <f aca="false">IF($D1001="",0,$H1001*$K1001)</f>
        <v>0</v>
      </c>
      <c r="O1001" s="20" t="n">
        <f aca="false">IF($D1001="",0,$I1001*$K1001*(1-$F1001))</f>
        <v>0</v>
      </c>
      <c r="P1001" s="20" t="n">
        <f aca="false">IF($D1001="",0,$E1001*$D1001+$L1001+$M1001+$N1001+$O1001+$J1001*$D1001)</f>
        <v>0</v>
      </c>
      <c r="Q1001" s="20" t="n">
        <f aca="false">IF($D1001="",0,$K1001-$P1001)</f>
        <v>0</v>
      </c>
      <c r="R1001" s="21" t="n">
        <f aca="false">IF($K1001=0,0,$Q1001/$K1001)</f>
        <v>0</v>
      </c>
      <c r="S1001" s="20" t="n">
        <f aca="false">IF($D1001="",0,$K1001-$L1001-$M1001-$N1001)</f>
        <v>0</v>
      </c>
      <c r="T1001" s="22"/>
      <c r="U1001" s="20" t="n">
        <f aca="false">IF($T1001="",0,MAX(0,$S1001-$T1001))</f>
        <v>0</v>
      </c>
      <c r="V1001" s="21" t="n">
        <f aca="false">IF($S1001=0,0,$U1001/$S1001)</f>
        <v>0</v>
      </c>
      <c r="W1001" s="23" t="str">
        <f aca="false">IF($D1001="","",IF($T1001="","BEKLİYOR",IF(OR($U1001=0,$S1001=0),"DOĞRU",IF(AND($V1001&gt;PazaryeriEksikHakedisEsik,$U1001&gt;PazaryeriEksikHakedisTutarEsik),"EKSİK HAKEDİŞ","DOĞRU"))))</f>
        <v/>
      </c>
      <c r="X1001" s="23" t="str">
        <f aca="false">IF($B1001="","",CONCATENATE("Ürün: ",$B1001," | Kâr: ",TEXT($Q1001,"₺ #,##0")," | Durum: ",$W1001))</f>
        <v/>
      </c>
      <c r="Y1001" s="24"/>
    </row>
    <row r="1002" customFormat="false" ht="15" hidden="false" customHeight="false" outlineLevel="0" collapsed="false">
      <c r="A1002" s="24"/>
      <c r="B1002" s="24"/>
      <c r="C1002" s="22"/>
      <c r="D1002" s="25"/>
      <c r="E1002" s="22"/>
      <c r="F1002" s="26"/>
      <c r="G1002" s="26"/>
      <c r="H1002" s="26"/>
      <c r="I1002" s="26"/>
      <c r="J1002" s="22"/>
      <c r="K1002" s="20" t="n">
        <f aca="false">IF($D1002="",0,$C1002*$D1002)</f>
        <v>0</v>
      </c>
      <c r="L1002" s="20" t="n">
        <f aca="false">IF($D1002="",0,$F1002*$K1002)</f>
        <v>0</v>
      </c>
      <c r="M1002" s="20" t="n">
        <f aca="false">IF($D1002="",0,$G1002*$K1002)</f>
        <v>0</v>
      </c>
      <c r="N1002" s="20" t="n">
        <f aca="false">IF($D1002="",0,$H1002*$K1002)</f>
        <v>0</v>
      </c>
      <c r="O1002" s="20" t="n">
        <f aca="false">IF($D1002="",0,$I1002*$K1002*(1-$F1002))</f>
        <v>0</v>
      </c>
      <c r="P1002" s="20" t="n">
        <f aca="false">IF($D1002="",0,$E1002*$D1002+$L1002+$M1002+$N1002+$O1002+$J1002*$D1002)</f>
        <v>0</v>
      </c>
      <c r="Q1002" s="20" t="n">
        <f aca="false">IF($D1002="",0,$K1002-$P1002)</f>
        <v>0</v>
      </c>
      <c r="R1002" s="21" t="n">
        <f aca="false">IF($K1002=0,0,$Q1002/$K1002)</f>
        <v>0</v>
      </c>
      <c r="S1002" s="20" t="n">
        <f aca="false">IF($D1002="",0,$K1002-$L1002-$M1002-$N1002)</f>
        <v>0</v>
      </c>
      <c r="T1002" s="22"/>
      <c r="U1002" s="20" t="n">
        <f aca="false">IF($T1002="",0,MAX(0,$S1002-$T1002))</f>
        <v>0</v>
      </c>
      <c r="V1002" s="21" t="n">
        <f aca="false">IF($S1002=0,0,$U1002/$S1002)</f>
        <v>0</v>
      </c>
      <c r="W1002" s="23" t="str">
        <f aca="false">IF($D1002="","",IF($T1002="","BEKLİYOR",IF(OR($U1002=0,$S1002=0),"DOĞRU",IF(AND($V1002&gt;PazaryeriEksikHakedisEsik,$U1002&gt;PazaryeriEksikHakedisTutarEsik),"EKSİK HAKEDİŞ","DOĞRU"))))</f>
        <v/>
      </c>
      <c r="X1002" s="23" t="str">
        <f aca="false">IF($B1002="","",CONCATENATE("Ürün: ",$B1002," | Kâr: ",TEXT($Q1002,"₺ #,##0")," | Durum: ",$W1002))</f>
        <v/>
      </c>
      <c r="Y1002" s="24"/>
    </row>
    <row r="1003" customFormat="false" ht="15" hidden="false" customHeight="false" outlineLevel="0" collapsed="false">
      <c r="A1003" s="24"/>
      <c r="B1003" s="24"/>
      <c r="C1003" s="22"/>
      <c r="D1003" s="25"/>
      <c r="E1003" s="22"/>
      <c r="F1003" s="26"/>
      <c r="G1003" s="26"/>
      <c r="H1003" s="26"/>
      <c r="I1003" s="26"/>
      <c r="J1003" s="22"/>
      <c r="K1003" s="20" t="n">
        <f aca="false">IF($D1003="",0,$C1003*$D1003)</f>
        <v>0</v>
      </c>
      <c r="L1003" s="20" t="n">
        <f aca="false">IF($D1003="",0,$F1003*$K1003)</f>
        <v>0</v>
      </c>
      <c r="M1003" s="20" t="n">
        <f aca="false">IF($D1003="",0,$G1003*$K1003)</f>
        <v>0</v>
      </c>
      <c r="N1003" s="20" t="n">
        <f aca="false">IF($D1003="",0,$H1003*$K1003)</f>
        <v>0</v>
      </c>
      <c r="O1003" s="20" t="n">
        <f aca="false">IF($D1003="",0,$I1003*$K1003*(1-$F1003))</f>
        <v>0</v>
      </c>
      <c r="P1003" s="20" t="n">
        <f aca="false">IF($D1003="",0,$E1003*$D1003+$L1003+$M1003+$N1003+$O1003+$J1003*$D1003)</f>
        <v>0</v>
      </c>
      <c r="Q1003" s="20" t="n">
        <f aca="false">IF($D1003="",0,$K1003-$P1003)</f>
        <v>0</v>
      </c>
      <c r="R1003" s="21" t="n">
        <f aca="false">IF($K1003=0,0,$Q1003/$K1003)</f>
        <v>0</v>
      </c>
      <c r="S1003" s="20" t="n">
        <f aca="false">IF($D1003="",0,$K1003-$L1003-$M1003-$N1003)</f>
        <v>0</v>
      </c>
      <c r="T1003" s="22"/>
      <c r="U1003" s="20" t="n">
        <f aca="false">IF($T1003="",0,MAX(0,$S1003-$T1003))</f>
        <v>0</v>
      </c>
      <c r="V1003" s="21" t="n">
        <f aca="false">IF($S1003=0,0,$U1003/$S1003)</f>
        <v>0</v>
      </c>
      <c r="W1003" s="23" t="str">
        <f aca="false">IF($D1003="","",IF($T1003="","BEKLİYOR",IF(OR($U1003=0,$S1003=0),"DOĞRU",IF(AND($V1003&gt;PazaryeriEksikHakedisEsik,$U1003&gt;PazaryeriEksikHakedisTutarEsik),"EKSİK HAKEDİŞ","DOĞRU"))))</f>
        <v/>
      </c>
      <c r="X1003" s="23" t="str">
        <f aca="false">IF($B1003="","",CONCATENATE("Ürün: ",$B1003," | Kâr: ",TEXT($Q1003,"₺ #,##0")," | Durum: ",$W1003))</f>
        <v/>
      </c>
      <c r="Y1003" s="24"/>
    </row>
    <row r="1004" customFormat="false" ht="15" hidden="false" customHeight="false" outlineLevel="0" collapsed="false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3" t="n">
        <f aca="false">IF($D1004="",0,$C1004*$D1004)</f>
        <v>0</v>
      </c>
      <c r="L1004" s="23" t="n">
        <f aca="false">IF($D1004="",0,$F1004*$K1004)</f>
        <v>0</v>
      </c>
      <c r="M1004" s="23" t="n">
        <f aca="false">IF($D1004="",0,$G1004*$K1004)</f>
        <v>0</v>
      </c>
      <c r="N1004" s="23" t="n">
        <f aca="false">IF($D1004="",0,$H1004*$K1004)</f>
        <v>0</v>
      </c>
      <c r="O1004" s="23" t="n">
        <f aca="false">IF($D1004="",0,$I1004*$K1004*(1-$F1004))</f>
        <v>0</v>
      </c>
      <c r="P1004" s="23" t="n">
        <f aca="false">IF($D1004="",0,$E1004*$D1004+$L1004+$M1004+$N1004+$O1004+$J1004*$D1004)</f>
        <v>0</v>
      </c>
      <c r="Q1004" s="23" t="n">
        <f aca="false">IF($D1004="",0,$K1004-$P1004)</f>
        <v>0</v>
      </c>
      <c r="R1004" s="23" t="n">
        <f aca="false">IF($K1004=0,0,$Q1004/$K1004)</f>
        <v>0</v>
      </c>
      <c r="S1004" s="23" t="n">
        <f aca="false">IF($D1004="",0,$K1004-$L1004-$M1004-$N1004)</f>
        <v>0</v>
      </c>
      <c r="T1004" s="24"/>
      <c r="U1004" s="23" t="n">
        <f aca="false">IF($T1004="",0,MAX(0,$S1004-$T1004))</f>
        <v>0</v>
      </c>
      <c r="V1004" s="23" t="n">
        <f aca="false">IF($S1004=0,0,$U1004/$S1004)</f>
        <v>0</v>
      </c>
      <c r="W1004" s="23" t="str">
        <f aca="false">IF($D1004="","",IF($T1004="","BEKLİYOR",IF(OR($U1004=0,$S1004=0),"DOĞRU",IF(AND($V1004&gt;PazaryeriEksikHakedisEsik,$U1004&gt;PazaryeriEksikHakedisTutarEsik),"EKSİK HAKEDİŞ","DOĞRU"))))</f>
        <v/>
      </c>
      <c r="X1004" s="23" t="str">
        <f aca="false">IF($B1004="","",CONCATENATE("Ürün: ",$B1004," | Kâr: ",TEXT($Q1004,"₺ #,##0")," | Durum: ",$W1004))</f>
        <v/>
      </c>
      <c r="Y1004" s="24"/>
    </row>
    <row r="1006" customFormat="false" ht="19.5" hidden="false" customHeight="true" outlineLevel="0" collapsed="false">
      <c r="A1006" s="27" t="s">
        <v>80</v>
      </c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6">
      <formula>0</formula>
    </cfRule>
  </conditionalFormatting>
  <conditionalFormatting sqref="F6:F1004">
    <cfRule type="cellIs" priority="3" operator="lessThan" aboveAverage="0" equalAverage="0" bottom="0" percent="0" rank="0" text="" dxfId="6">
      <formula>0</formula>
    </cfRule>
  </conditionalFormatting>
  <conditionalFormatting sqref="R6:R1004">
    <cfRule type="cellIs" priority="4" operator="lessThan" aboveAverage="0" equalAverage="0" bottom="0" percent="0" rank="0" text="" dxfId="6">
      <formula>0</formula>
    </cfRule>
  </conditionalFormatting>
  <conditionalFormatting sqref="X6:X1004">
    <cfRule type="cellIs" priority="5" operator="equal" aboveAverage="0" equalAverage="0" bottom="0" percent="0" rank="0" text="" dxfId="6">
      <formula>"EKSİK HAKEDİŞ"</formula>
    </cfRule>
    <cfRule type="cellIs" priority="6" operator="equal" aboveAverage="0" equalAverage="0" bottom="0" percent="0" rank="0" text="" dxfId="7">
      <formula>"BEKLİYOR"</formula>
    </cfRule>
  </conditionalFormatting>
  <conditionalFormatting sqref="V6:V1004">
    <cfRule type="cellIs" priority="7" operator="greaterThan" aboveAverage="0" equalAverage="0" bottom="0" percent="0" rank="0" text="" dxfId="8">
      <formula>PazaryeriEksikHakedisTutarEsik</formula>
    </cfRule>
  </conditionalFormatting>
  <dataValidations count="10">
    <dataValidation allowBlank="true" error="Listede olmayan pazaryeri giremezsiniz." errorStyle="stop" errorTitle="Geçersiz pazaryeri" operator="between" prompt="Listeden pazaryerini seçin." promptTitle="Pazaryeri" showDropDown="false" showErrorMessage="true" showInputMessage="true" sqref="Y6:Y1004" type="list">
      <formula1>ListePazaryerleri</formula1>
      <formula2>0</formula2>
    </dataValidation>
    <dataValidation allowBlank="true" error="0 ile 1.000.000.000 arasında olmalı." errorStyle="stop" errorTitle="Geçersiz değer" operator="between" prompt="Satış fiyatını TL olarak girin." promptTitle="Birim Satış Fiyatı" showDropDown="false" showErrorMessage="true" showInputMessage="true" sqref="C6:C1004" type="decimal">
      <formula1>0</formula1>
      <formula2>1000000000</formula2>
    </dataValidation>
    <dataValidation allowBlank="true" error="1 veya daha büyük tamsayı olmalı." errorStyle="stop" errorTitle="Geçersiz miktar" operator="between" prompt="Satılan adet miktarını girin." promptTitle="Miktar" showDropDown="false" showErrorMessage="true" showInputMessage="true" sqref="D6:D1004" type="whole">
      <formula1>1</formula1>
      <formula2>0</formula2>
    </dataValidation>
    <dataValidation allowBlank="true" error="0 ile 1.000.000.000 arasında olmalı." errorStyle="stop" errorTitle="Geçersiz değer" operator="between" prompt="Birim ürün maliyetini TL olarak girin." promptTitle="Birim Ürün Maliyeti" showDropDown="false" showErrorMessage="true" showInputMessage="true" sqref="E6:E1004" type="decimal">
      <formula1>0</formula1>
      <formula2>1000000000</formula2>
    </dataValidation>
    <dataValidation allowBlank="true" error="0 ile 1 arasında olmalı." errorStyle="stop" errorTitle="Geçersiz oran" operator="between" prompt="Oranı 0-1 arasında girin (örn. %15 için 0,15)." promptTitle="Oran" showDropDown="false" showErrorMessage="true" showInputMessage="true" sqref="F6:F1004" type="decimal">
      <formula1>0</formula1>
      <formula2>1</formula2>
    </dataValidation>
    <dataValidation allowBlank="true" error="0 ile 1 arasında olmalı." errorStyle="stop" errorTitle="Geçersiz oran" operator="between" prompt="Oranı 0-1 arasında girin (örn. %15 için 0,15)." promptTitle="Oran" showDropDown="false" showErrorMessage="true" showInputMessage="true" sqref="G6:G1004" type="decimal">
      <formula1>0</formula1>
      <formula2>1</formula2>
    </dataValidation>
    <dataValidation allowBlank="true" error="0 ile 1 arasında olmalı." errorStyle="stop" errorTitle="Geçersiz oran" operator="between" prompt="Oranı 0-1 arasında girin (örn. %15 için 0,15)." promptTitle="Oran" showDropDown="false" showErrorMessage="true" showInputMessage="true" sqref="H6:H1004" type="decimal">
      <formula1>0</formula1>
      <formula2>1</formula2>
    </dataValidation>
    <dataValidation allowBlank="true" error="0 ile 1 arasında olmalı." errorStyle="stop" errorTitle="Geçersiz oran" operator="between" prompt="Oranı 0-1 arasında girin (örn. %15 için 0,15)." promptTitle="Oran" showDropDown="false" showErrorMessage="true" showInputMessage="true" sqref="I6:I1004" type="decimal">
      <formula1>0</formula1>
      <formula2>1</formula2>
    </dataValidation>
    <dataValidation allowBlank="true" error="0 ile 1.000.000 arasında olmalı." errorStyle="stop" errorTitle="Geçersiz değer" operator="between" prompt="Paketleme/işçilik gibi birim ek gideri TL olarak girin." promptTitle="Birim Ek Gider" showDropDown="false" showErrorMessage="true" showInputMessage="true" sqref="J6:J1004" type="decimal">
      <formula1>0</formula1>
      <formula2>1000000</formula2>
    </dataValidation>
    <dataValidation allowBlank="true" error="0 ile 1.000.000.000 arasında olmalı." errorStyle="stop" errorTitle="Geçersiz değer" operator="between" prompt="Pazaryerinden gelen gerçek ödemeyi TL olarak girin." promptTitle="Gerçek Hakediş" showDropDown="false" showErrorMessage="true" showInputMessage="true" sqref="T6:T1004" type="decimal">
      <formula1>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3" t="s">
        <v>82</v>
      </c>
    </row>
    <row r="4" customFormat="false" ht="55.2" hidden="false" customHeight="false" outlineLevel="0" collapsed="false">
      <c r="A4" s="14" t="s">
        <v>83</v>
      </c>
    </row>
    <row r="5" customFormat="false" ht="30" hidden="false" customHeight="true" outlineLevel="0" collapsed="false">
      <c r="A5" s="15" t="s">
        <v>63</v>
      </c>
      <c r="B5" s="15" t="s">
        <v>84</v>
      </c>
      <c r="C5" s="15" t="s">
        <v>49</v>
      </c>
      <c r="D5" s="15" t="s">
        <v>85</v>
      </c>
      <c r="E5" s="15" t="s">
        <v>86</v>
      </c>
      <c r="F5" s="15" t="s">
        <v>87</v>
      </c>
      <c r="G5" s="15" t="s">
        <v>88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59</v>
      </c>
    </row>
    <row r="6" customFormat="false" ht="15" hidden="false" customHeight="false" outlineLevel="0" collapsed="false">
      <c r="A6" s="28" t="s">
        <v>66</v>
      </c>
      <c r="B6" s="29" t="n">
        <f aca="false">IFERROR(COUNTIFS(tblKalem[Pazaryeri],$A6,tblKalem[Miktar (Adet)],"&lt;&gt;0"),0)</f>
        <v>2</v>
      </c>
      <c r="C6" s="30" t="n">
        <f aca="false">SUMIFS(tblKalem[Toplam Satış (TL)],tblKalem[Pazaryeri],$A6)</f>
        <v>49457</v>
      </c>
      <c r="D6" s="30" t="n">
        <f aca="false">SUMIFS(tblKalem[Komisyon Tutarı (TL)],tblKalem[Pazaryeri],$A6)</f>
        <v>9441.9</v>
      </c>
      <c r="E6" s="30" t="n">
        <f aca="false">SUMIFS(tblKalem[Kargo Tutarı (TL)],tblKalem[Pazaryeri],$A6)</f>
        <v>1978.28</v>
      </c>
      <c r="F6" s="30" t="n">
        <f aca="false">SUMIFS(tblKalem[Reklam Tutarı (TL)],tblKalem[Pazaryeri],$A6)</f>
        <v>3507.06</v>
      </c>
      <c r="G6" s="30" t="n">
        <f aca="false">SUMIFS(tblKalem[İade Maliyeti (TL)],tblKalem[Pazaryeri],$A6)</f>
        <v>2216.611</v>
      </c>
      <c r="H6" s="30" t="n">
        <f aca="false">SUMIFS(tblKalem[Toplam Maliyet (TL)],tblKalem[Pazaryeri],$A6)</f>
        <v>43027.851</v>
      </c>
      <c r="I6" s="30" t="n">
        <f aca="false">SUMIFS(tblKalem[NET KÂR (TL)],tblKalem[Pazaryeri],$A6)</f>
        <v>6429.149</v>
      </c>
      <c r="J6" s="31" t="n">
        <f aca="false">IFERROR(C6/B6,0)</f>
        <v>24728.5</v>
      </c>
      <c r="K6" s="30" t="n">
        <f aca="false">SUMIFS(tblKalem[Beklenen Hakediş (TL)],tblKalem[Pazaryeri],$A6)</f>
        <v>34529.76</v>
      </c>
      <c r="L6" s="30" t="n">
        <f aca="false">SUMIFS(tblKalem[Hakediş Farkı (TL)],tblKalem[Pazaryeri],$A6)</f>
        <v>0</v>
      </c>
    </row>
    <row r="7" customFormat="false" ht="15" hidden="false" customHeight="false" outlineLevel="0" collapsed="false">
      <c r="A7" s="28" t="s">
        <v>69</v>
      </c>
      <c r="B7" s="29" t="n">
        <f aca="false">IFERROR(COUNTIFS(tblKalem[Pazaryeri],$A7,tblKalem[Miktar (Adet)],"&lt;&gt;0"),0)</f>
        <v>1</v>
      </c>
      <c r="C7" s="30" t="n">
        <f aca="false">SUMIFS(tblKalem[Toplam Satış (TL)],tblKalem[Pazaryeri],$A7)</f>
        <v>32940</v>
      </c>
      <c r="D7" s="30" t="n">
        <f aca="false">SUMIFS(tblKalem[Komisyon Tutarı (TL)],tblKalem[Pazaryeri],$A7)</f>
        <v>7246.8</v>
      </c>
      <c r="E7" s="30" t="n">
        <f aca="false">SUMIFS(tblKalem[Kargo Tutarı (TL)],tblKalem[Pazaryeri],$A7)</f>
        <v>1647</v>
      </c>
      <c r="F7" s="30" t="n">
        <f aca="false">SUMIFS(tblKalem[Reklam Tutarı (TL)],tblKalem[Pazaryeri],$A7)</f>
        <v>1647</v>
      </c>
      <c r="G7" s="30" t="n">
        <f aca="false">SUMIFS(tblKalem[İade Maliyeti (TL)],tblKalem[Pazaryeri],$A7)</f>
        <v>1027.728</v>
      </c>
      <c r="H7" s="30" t="n">
        <f aca="false">SUMIFS(tblKalem[Toplam Maliyet (TL)],tblKalem[Pazaryeri],$A7)</f>
        <v>27708.528</v>
      </c>
      <c r="I7" s="30" t="n">
        <f aca="false">SUMIFS(tblKalem[NET KÂR (TL)],tblKalem[Pazaryeri],$A7)</f>
        <v>5231.472</v>
      </c>
      <c r="J7" s="31" t="n">
        <f aca="false">IFERROR(C7/B7,0)</f>
        <v>32940</v>
      </c>
      <c r="K7" s="30" t="n">
        <f aca="false">SUMIFS(tblKalem[Beklenen Hakediş (TL)],tblKalem[Pazaryeri],$A7)</f>
        <v>22399.2</v>
      </c>
      <c r="L7" s="30" t="n">
        <f aca="false">SUMIFS(tblKalem[Hakediş Farkı (TL)],tblKalem[Pazaryeri],$A7)</f>
        <v>5899.2</v>
      </c>
    </row>
    <row r="8" customFormat="false" ht="15" hidden="false" customHeight="false" outlineLevel="0" collapsed="false">
      <c r="A8" s="28" t="s">
        <v>74</v>
      </c>
      <c r="B8" s="29" t="n">
        <f aca="false">IFERROR(COUNTIFS(tblKalem[Pazaryeri],$A8,tblKalem[Miktar (Adet)],"&lt;&gt;0"),0)</f>
        <v>2</v>
      </c>
      <c r="C8" s="30" t="n">
        <f aca="false">SUMIFS(tblKalem[Toplam Satış (TL)],tblKalem[Pazaryeri],$A8)</f>
        <v>64200</v>
      </c>
      <c r="D8" s="30" t="n">
        <f aca="false">SUMIFS(tblKalem[Komisyon Tutarı (TL)],tblKalem[Pazaryeri],$A8)</f>
        <v>15631.2</v>
      </c>
      <c r="E8" s="30" t="n">
        <f aca="false">SUMIFS(tblKalem[Kargo Tutarı (TL)],tblKalem[Pazaryeri],$A8)</f>
        <v>3852</v>
      </c>
      <c r="F8" s="30" t="n">
        <f aca="false">SUMIFS(tblKalem[Reklam Tutarı (TL)],tblKalem[Pazaryeri],$A8)</f>
        <v>4940.4</v>
      </c>
      <c r="G8" s="30" t="n">
        <f aca="false">SUMIFS(tblKalem[İade Maliyeti (TL)],tblKalem[Pazaryeri],$A8)</f>
        <v>1791.864</v>
      </c>
      <c r="H8" s="30" t="n">
        <f aca="false">SUMIFS(tblKalem[Toplam Maliyet (TL)],tblKalem[Pazaryeri],$A8)</f>
        <v>56935.464</v>
      </c>
      <c r="I8" s="30" t="n">
        <f aca="false">SUMIFS(tblKalem[NET KÂR (TL)],tblKalem[Pazaryeri],$A8)</f>
        <v>7264.536</v>
      </c>
      <c r="J8" s="31" t="n">
        <f aca="false">IFERROR(C8/B8,0)</f>
        <v>32100</v>
      </c>
      <c r="K8" s="30" t="n">
        <f aca="false">SUMIFS(tblKalem[Beklenen Hakediş (TL)],tblKalem[Pazaryeri],$A8)</f>
        <v>39776.4</v>
      </c>
      <c r="L8" s="30" t="n">
        <f aca="false">SUMIFS(tblKalem[Hakediş Farkı (TL)],tblKalem[Pazaryeri],$A8)</f>
        <v>642</v>
      </c>
    </row>
    <row r="9" customFormat="false" ht="15" hidden="false" customHeight="false" outlineLevel="0" collapsed="false">
      <c r="A9" s="28" t="s">
        <v>77</v>
      </c>
      <c r="B9" s="29" t="n">
        <f aca="false">IFERROR(COUNTIFS(tblKalem[Pazaryeri],$A9,tblKalem[Miktar (Adet)],"&lt;&gt;0"),0)</f>
        <v>1</v>
      </c>
      <c r="C9" s="30" t="n">
        <f aca="false">SUMIFS(tblKalem[Toplam Satış (TL)],tblKalem[Pazaryeri],$A9)</f>
        <v>38700</v>
      </c>
      <c r="D9" s="30" t="n">
        <f aca="false">SUMIFS(tblKalem[Komisyon Tutarı (TL)],tblKalem[Pazaryeri],$A9)</f>
        <v>5805</v>
      </c>
      <c r="E9" s="30" t="n">
        <f aca="false">SUMIFS(tblKalem[Kargo Tutarı (TL)],tblKalem[Pazaryeri],$A9)</f>
        <v>3096</v>
      </c>
      <c r="F9" s="30" t="n">
        <f aca="false">SUMIFS(tblKalem[Reklam Tutarı (TL)],tblKalem[Pazaryeri],$A9)</f>
        <v>1548</v>
      </c>
      <c r="G9" s="30" t="n">
        <f aca="false">SUMIFS(tblKalem[İade Maliyeti (TL)],tblKalem[Pazaryeri],$A9)</f>
        <v>1973.7</v>
      </c>
      <c r="H9" s="30" t="n">
        <f aca="false">SUMIFS(tblKalem[Toplam Maliyet (TL)],tblKalem[Pazaryeri],$A9)</f>
        <v>29822.7</v>
      </c>
      <c r="I9" s="30" t="n">
        <f aca="false">SUMIFS(tblKalem[NET KÂR (TL)],tblKalem[Pazaryeri],$A9)</f>
        <v>8877.3</v>
      </c>
      <c r="J9" s="31" t="n">
        <f aca="false">IFERROR(C9/B9,0)</f>
        <v>38700</v>
      </c>
      <c r="K9" s="30" t="n">
        <f aca="false">SUMIFS(tblKalem[Beklenen Hakediş (TL)],tblKalem[Pazaryeri],$A9)</f>
        <v>28251</v>
      </c>
      <c r="L9" s="30" t="n">
        <f aca="false">SUMIFS(tblKalem[Hakediş Farkı (TL)],tblKalem[Pazaryeri],$A9)</f>
        <v>0</v>
      </c>
    </row>
    <row r="10" customFormat="false" ht="15" hidden="false" customHeight="false" outlineLevel="0" collapsed="false">
      <c r="A10" s="28" t="s">
        <v>89</v>
      </c>
      <c r="B10" s="29" t="n">
        <f aca="false">IFERROR(COUNTIFS(tblKalem[Pazaryeri],$A10,tblKalem[Miktar (Adet)],"&lt;&gt;0"),0)</f>
        <v>0</v>
      </c>
      <c r="C10" s="30" t="n">
        <f aca="false">SUMIFS(tblKalem[Toplam Satış (TL)],tblKalem[Pazaryeri],$A10)</f>
        <v>0</v>
      </c>
      <c r="D10" s="30" t="n">
        <f aca="false">SUMIFS(tblKalem[Komisyon Tutarı (TL)],tblKalem[Pazaryeri],$A10)</f>
        <v>0</v>
      </c>
      <c r="E10" s="30" t="n">
        <f aca="false">SUMIFS(tblKalem[Kargo Tutarı (TL)],tblKalem[Pazaryeri],$A10)</f>
        <v>0</v>
      </c>
      <c r="F10" s="30" t="n">
        <f aca="false">SUMIFS(tblKalem[Reklam Tutarı (TL)],tblKalem[Pazaryeri],$A10)</f>
        <v>0</v>
      </c>
      <c r="G10" s="30" t="n">
        <f aca="false">SUMIFS(tblKalem[İade Maliyeti (TL)],tblKalem[Pazaryeri],$A10)</f>
        <v>0</v>
      </c>
      <c r="H10" s="30" t="n">
        <f aca="false">SUMIFS(tblKalem[Toplam Maliyet (TL)],tblKalem[Pazaryeri],$A10)</f>
        <v>0</v>
      </c>
      <c r="I10" s="30" t="n">
        <f aca="false">SUMIFS(tblKalem[NET KÂR (TL)],tblKalem[Pazaryeri],$A10)</f>
        <v>0</v>
      </c>
      <c r="J10" s="31" t="n">
        <f aca="false">IFERROR(C10/B10,0)</f>
        <v>0</v>
      </c>
      <c r="K10" s="30" t="n">
        <f aca="false">SUMIFS(tblKalem[Beklenen Hakediş (TL)],tblKalem[Pazaryeri],$A10)</f>
        <v>0</v>
      </c>
      <c r="L10" s="30" t="n">
        <f aca="false">SUMIFS(tblKalem[Hakediş Farkı (TL)],tblKalem[Pazaryeri],$A10)</f>
        <v>0</v>
      </c>
    </row>
    <row r="13" customFormat="false" ht="15" hidden="false" customHeight="false" outlineLevel="0" collapsed="false">
      <c r="A13" s="32" t="s">
        <v>90</v>
      </c>
    </row>
    <row r="14" customFormat="false" ht="15" hidden="false" customHeight="false" outlineLevel="0" collapsed="false">
      <c r="A14" s="6" t="s">
        <v>49</v>
      </c>
      <c r="B14" s="30" t="n">
        <f aca="false">SUM(C6:C10)</f>
        <v>185297</v>
      </c>
    </row>
    <row r="15" customFormat="false" ht="15" hidden="false" customHeight="false" outlineLevel="0" collapsed="false">
      <c r="A15" s="6" t="s">
        <v>91</v>
      </c>
      <c r="B15" s="30" t="n">
        <f aca="false">SUM(D6:D10)</f>
        <v>38124.9</v>
      </c>
    </row>
    <row r="16" customFormat="false" ht="15" hidden="false" customHeight="false" outlineLevel="0" collapsed="false">
      <c r="A16" s="6" t="s">
        <v>92</v>
      </c>
      <c r="B16" s="30" t="n">
        <f aca="false">SUM(E6:E10)</f>
        <v>10573.28</v>
      </c>
    </row>
    <row r="17" customFormat="false" ht="15" hidden="false" customHeight="false" outlineLevel="0" collapsed="false">
      <c r="A17" s="6" t="s">
        <v>93</v>
      </c>
      <c r="B17" s="30" t="n">
        <f aca="false">SUM(F6:F10)</f>
        <v>11642.46</v>
      </c>
    </row>
    <row r="18" customFormat="false" ht="15" hidden="false" customHeight="false" outlineLevel="0" collapsed="false">
      <c r="A18" s="6" t="s">
        <v>94</v>
      </c>
      <c r="B18" s="30" t="n">
        <f aca="false">SUM(G6:G10)</f>
        <v>7009.903</v>
      </c>
    </row>
    <row r="19" customFormat="false" ht="15" hidden="false" customHeight="false" outlineLevel="0" collapsed="false">
      <c r="A19" s="6" t="s">
        <v>54</v>
      </c>
      <c r="B19" s="30" t="n">
        <f aca="false">SUM(H6:H10)</f>
        <v>157494.543</v>
      </c>
    </row>
    <row r="20" customFormat="false" ht="15" hidden="false" customHeight="false" outlineLevel="0" collapsed="false">
      <c r="A20" s="28" t="s">
        <v>95</v>
      </c>
      <c r="B20" s="33" t="n">
        <f aca="false">SUM(I6:I10)</f>
        <v>27802.457</v>
      </c>
    </row>
    <row r="21" customFormat="false" ht="15" hidden="false" customHeight="false" outlineLevel="0" collapsed="false">
      <c r="A21" s="6" t="s">
        <v>96</v>
      </c>
      <c r="B21" s="31" t="n">
        <f aca="false">IFERROR(B20/B14,0)</f>
        <v>0.150042672034626</v>
      </c>
    </row>
    <row r="22" customFormat="false" ht="15" hidden="false" customHeight="false" outlineLevel="0" collapsed="false">
      <c r="A22" s="6" t="s">
        <v>97</v>
      </c>
      <c r="B22" s="31" t="n">
        <f aca="false">IFERROR((B15+B16+B17+B18)/B14,0)</f>
        <v>0.363473466920673</v>
      </c>
    </row>
    <row r="23" customFormat="false" ht="15" hidden="false" customHeight="false" outlineLevel="0" collapsed="false">
      <c r="A23" s="6" t="s">
        <v>98</v>
      </c>
      <c r="B23" s="30" t="n">
        <f aca="false">SUM(K6:K10)</f>
        <v>124956.36</v>
      </c>
    </row>
    <row r="24" customFormat="false" ht="15" hidden="false" customHeight="false" outlineLevel="0" collapsed="false">
      <c r="A24" s="28" t="s">
        <v>99</v>
      </c>
      <c r="B24" s="33" t="n">
        <f aca="false">SUM(L6:L10)</f>
        <v>6541.2</v>
      </c>
    </row>
    <row r="25" customFormat="false" ht="15" hidden="false" customHeight="false" outlineLevel="0" collapsed="false">
      <c r="A25" s="6" t="s">
        <v>100</v>
      </c>
      <c r="B25" s="29" t="n">
        <f aca="false">COUNTIF(tblKalem[Durum],"EKSİK HAKEDİŞ")</f>
        <v>2</v>
      </c>
    </row>
    <row r="26" customFormat="false" ht="15" hidden="false" customHeight="false" outlineLevel="0" collapsed="false">
      <c r="A26" s="6" t="s">
        <v>101</v>
      </c>
      <c r="B26" s="31" t="n">
        <f aca="false">IFERROR(AVERAGE(tblKalem[KÂR MARJI]),0)</f>
        <v>0.000870687546341334</v>
      </c>
    </row>
    <row r="27" customFormat="false" ht="15" hidden="false" customHeight="false" outlineLevel="0" collapsed="false">
      <c r="A27" s="6" t="s">
        <v>102</v>
      </c>
      <c r="B27" s="34" t="str">
        <f aca="false">IFERROR(INDEX(A6:A10,MATCH(MAX(J6:J10),J6:J10,0)),"")</f>
        <v>N11</v>
      </c>
    </row>
    <row r="28" customFormat="false" ht="15" hidden="false" customHeight="false" outlineLevel="0" collapsed="false">
      <c r="A28" s="6" t="s">
        <v>103</v>
      </c>
      <c r="B28" s="31" t="n">
        <f aca="false">IFERROR(MAX(J6:J10),0)</f>
        <v>38700</v>
      </c>
    </row>
    <row r="30" customFormat="false" ht="15" hidden="false" customHeight="false" outlineLevel="0" collapsed="false">
      <c r="A30" s="35" t="s">
        <v>104</v>
      </c>
      <c r="B30" s="35" t="s">
        <v>55</v>
      </c>
      <c r="D30" s="35" t="s">
        <v>59</v>
      </c>
    </row>
    <row r="31" customFormat="false" ht="15" hidden="false" customHeight="false" outlineLevel="0" collapsed="false">
      <c r="A31" s="36" t="n">
        <v>1</v>
      </c>
      <c r="B31" s="30" t="n">
        <f aca="false">IFERROR(INDEX(tblKalem[NET KÂR (TL)],PazaryeriPanelSatir_1),0)</f>
        <v>4460.525</v>
      </c>
      <c r="D31" s="30" t="n">
        <f aca="false">IFERROR(INDEX(tblKalem[Hakediş Farkı (TL)],PazaryeriPanelSatir_1),0)</f>
        <v>0</v>
      </c>
    </row>
    <row r="32" customFormat="false" ht="15" hidden="false" customHeight="false" outlineLevel="0" collapsed="false">
      <c r="A32" s="36" t="n">
        <v>2</v>
      </c>
      <c r="B32" s="30" t="n">
        <f aca="false">IFERROR(INDEX(tblKalem[NET KÂR (TL)],PazaryeriPanelSatir_2),0)</f>
        <v>5231.472</v>
      </c>
      <c r="D32" s="30" t="n">
        <f aca="false">IFERROR(INDEX(tblKalem[Hakediş Farkı (TL)],PazaryeriPanelSatir_2),0)</f>
        <v>5899.2</v>
      </c>
    </row>
    <row r="33" customFormat="false" ht="15" hidden="false" customHeight="false" outlineLevel="0" collapsed="false">
      <c r="A33" s="36" t="n">
        <v>3</v>
      </c>
      <c r="B33" s="30" t="n">
        <f aca="false">IFERROR(INDEX(tblKalem[NET KÂR (TL)],PazaryeriPanelSatir_3),0)</f>
        <v>1968.624</v>
      </c>
      <c r="D33" s="30" t="n">
        <f aca="false">IFERROR(INDEX(tblKalem[Hakediş Farkı (TL)],PazaryeriPanelSatir_3),0)</f>
        <v>0</v>
      </c>
    </row>
    <row r="34" customFormat="false" ht="15" hidden="false" customHeight="false" outlineLevel="0" collapsed="false">
      <c r="A34" s="36" t="n">
        <v>4</v>
      </c>
      <c r="B34" s="30" t="n">
        <f aca="false">IFERROR(INDEX(tblKalem[NET KÂR (TL)],PazaryeriPanelSatir_4),0)</f>
        <v>5509.536</v>
      </c>
      <c r="D34" s="30" t="n">
        <f aca="false">IFERROR(INDEX(tblKalem[Hakediş Farkı (TL)],PazaryeriPanelSatir_4),0)</f>
        <v>0</v>
      </c>
    </row>
    <row r="35" customFormat="false" ht="15" hidden="false" customHeight="false" outlineLevel="0" collapsed="false">
      <c r="A35" s="36" t="n">
        <v>5</v>
      </c>
      <c r="B35" s="30" t="n">
        <f aca="false">IFERROR(INDEX(tblKalem[NET KÂR (TL)],PazaryeriPanelSatir_5),0)</f>
        <v>8877.3</v>
      </c>
      <c r="D35" s="30" t="n">
        <f aca="false">IFERROR(INDEX(tblKalem[Hakediş Farkı (TL)],PazaryeriPanelSatir_5),0)</f>
        <v>0</v>
      </c>
    </row>
    <row r="36" customFormat="false" ht="15" hidden="false" customHeight="false" outlineLevel="0" collapsed="false">
      <c r="A36" s="36" t="n">
        <v>6</v>
      </c>
      <c r="B36" s="30" t="n">
        <f aca="false">IFERROR(INDEX(tblKalem[NET KÂR (TL)],PazaryeriPanelSatir_6),0)</f>
        <v>1755</v>
      </c>
      <c r="D36" s="30" t="n">
        <f aca="false">IFERROR(INDEX(tblKalem[Hakediş Farkı (TL)],PazaryeriPanelSatir_6),0)</f>
        <v>642</v>
      </c>
    </row>
    <row r="37" customFormat="false" ht="15" hidden="false" customHeight="false" outlineLevel="0" collapsed="false">
      <c r="A37" s="36" t="n">
        <v>7</v>
      </c>
      <c r="B37" s="30" t="n">
        <f aca="false">IFERROR(INDEX(tblKalem[NET KÂR (TL)],PazaryeriPanelSatir_7),0)</f>
        <v>0</v>
      </c>
      <c r="D37" s="30" t="n">
        <f aca="false">IFERROR(INDEX(tblKalem[Hakediş Farkı (TL)],PazaryeriPanelSatir_7),0)</f>
        <v>0</v>
      </c>
    </row>
    <row r="38" customFormat="false" ht="15" hidden="false" customHeight="false" outlineLevel="0" collapsed="false">
      <c r="A38" s="36" t="n">
        <v>8</v>
      </c>
      <c r="B38" s="30" t="n">
        <f aca="false">IFERROR(INDEX(tblKalem[NET KÂR (TL)],PazaryeriPanelSatir_8),0)</f>
        <v>0</v>
      </c>
      <c r="D38" s="30" t="n">
        <f aca="false">IFERROR(INDEX(tblKalem[Hakediş Farkı (TL)],PazaryeriPanelSatir_8),0)</f>
        <v>0</v>
      </c>
    </row>
    <row r="39" customFormat="false" ht="15" hidden="false" customHeight="false" outlineLevel="0" collapsed="false">
      <c r="A39" s="36" t="n">
        <v>9</v>
      </c>
      <c r="B39" s="30" t="n">
        <f aca="false">IFERROR(INDEX(tblKalem[NET KÂR (TL)],PazaryeriPanelSatir_9),0)</f>
        <v>0</v>
      </c>
      <c r="D39" s="30" t="n">
        <f aca="false">IFERROR(INDEX(tblKalem[Hakediş Farkı (TL)],PazaryeriPanelSatir_9),0)</f>
        <v>0</v>
      </c>
    </row>
    <row r="40" customFormat="false" ht="15" hidden="false" customHeight="false" outlineLevel="0" collapsed="false">
      <c r="A40" s="36" t="n">
        <v>10</v>
      </c>
      <c r="B40" s="30" t="n">
        <f aca="false">IFERROR(INDEX(tblKalem[NET KÂR (TL)],PazaryeriPanelSatir_10),0)</f>
        <v>0</v>
      </c>
      <c r="D40" s="30" t="n">
        <f aca="false">IFERROR(INDEX(tblKalem[Hakediş Farkı (TL)],PazaryeriPanelSatir_10),0)</f>
        <v>0</v>
      </c>
    </row>
    <row r="41" customFormat="false" ht="15" hidden="false" customHeight="false" outlineLevel="0" collapsed="false">
      <c r="A41" s="36" t="n">
        <v>11</v>
      </c>
      <c r="B41" s="30" t="n">
        <f aca="false">IFERROR(INDEX(tblKalem[NET KÂR (TL)],PazaryeriPanelSatir_11),0)</f>
        <v>0</v>
      </c>
      <c r="D41" s="30" t="n">
        <f aca="false">IFERROR(INDEX(tblKalem[Hakediş Farkı (TL)],PazaryeriPanelSatir_11),0)</f>
        <v>0</v>
      </c>
    </row>
    <row r="42" customFormat="false" ht="15" hidden="false" customHeight="false" outlineLevel="0" collapsed="false">
      <c r="A42" s="36" t="n">
        <v>12</v>
      </c>
      <c r="B42" s="30" t="n">
        <f aca="false">IFERROR(INDEX(tblKalem[NET KÂR (TL)],PazaryeriPanelSatir_12),0)</f>
        <v>0</v>
      </c>
      <c r="D42" s="30" t="n">
        <f aca="false">IFERROR(INDEX(tblKalem[Hakediş Farkı (TL)],PazaryeriPanelSatir_12),0)</f>
        <v>0</v>
      </c>
    </row>
    <row r="44" customFormat="false" ht="15" hidden="false" customHeight="false" outlineLevel="0" collapsed="false">
      <c r="A44" s="6" t="s">
        <v>105</v>
      </c>
      <c r="B44" s="30" t="n">
        <f aca="false">ROUND(IFERROR(AVERAGE(INDEX(tblKalem[NET KÂR (TL)],PazaryeriPanelSatir_1):INDEX(tblKalem[NET KÂR (TL)],PazaryeriPanelSatir_12)),0),0)</f>
        <v>2317</v>
      </c>
    </row>
    <row r="45" customFormat="false" ht="15" hidden="false" customHeight="false" outlineLevel="0" collapsed="false">
      <c r="A45" s="37" t="s">
        <v>106</v>
      </c>
      <c r="B45" s="30" t="n">
        <f aca="false">ROUND(IFERROR(forecast.lınear(PazaryeriPanelSatir_12,tblKalem[NET KÂR (TL)],ROW(tblKalem[NET KÂR (TL)])-ROW(tblKalem[[#Headers],[NET KÂR (TL)]])),0),0)</f>
        <v>0</v>
      </c>
    </row>
    <row r="46" customFormat="false" ht="15" hidden="false" customHeight="false" outlineLevel="0" collapsed="false">
      <c r="A46" s="6" t="s">
        <v>107</v>
      </c>
      <c r="B46" s="30" t="n">
        <f aca="false">ROUND(IFERROR(stdev.p(INDEX(tblKalem[NET KÂR (TL)],PazaryeriPanelSatir_1):INDEX(tblKalem[NET KÂR (TL)],PazaryeriPanelSatir_12)),0),0)</f>
        <v>0</v>
      </c>
    </row>
    <row r="47" customFormat="false" ht="15" hidden="false" customHeight="false" outlineLevel="0" collapsed="false">
      <c r="A47" s="6" t="s">
        <v>108</v>
      </c>
      <c r="B47" s="30" t="n">
        <f aca="false">B44-B46*PazaryeriTahminCarpan</f>
        <v>2317</v>
      </c>
    </row>
    <row r="48" customFormat="false" ht="15" hidden="false" customHeight="false" outlineLevel="0" collapsed="false">
      <c r="A48" s="6" t="s">
        <v>109</v>
      </c>
      <c r="B48" s="30" t="n">
        <f aca="false">B44+B46*PazaryeriTahminCarpan</f>
        <v>2317</v>
      </c>
    </row>
    <row r="50" customFormat="false" ht="19.5" hidden="false" customHeight="true" outlineLevel="0" collapsed="false">
      <c r="A50" s="27" t="s">
        <v>110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</sheetData>
  <sheetProtection sheet="true" password="cc3d" objects="true" scenarios="true" deleteColumns="false" deleteRows="false"/>
  <mergeCells count="2">
    <mergeCell ref="A1:AD1"/>
    <mergeCell ref="A50:AN50"/>
  </mergeCells>
  <conditionalFormatting sqref="B20">
    <cfRule type="cellIs" priority="2" operator="lessThan" aboveAverage="0" equalAverage="0" bottom="0" percent="0" rank="0" text="" dxfId="6">
      <formula>0</formula>
    </cfRule>
  </conditionalFormatting>
  <conditionalFormatting sqref="B21">
    <cfRule type="cellIs" priority="3" operator="lessThan" aboveAverage="0" equalAverage="0" bottom="0" percent="0" rank="0" text="" dxfId="6">
      <formula>PazaryeriNetKarMarjiKritik</formula>
    </cfRule>
  </conditionalFormatting>
  <conditionalFormatting sqref="B24">
    <cfRule type="cellIs" priority="4" operator="greaterThan" aboveAverage="0" equalAverage="0" bottom="0" percent="0" rank="0" text="" dxfId="6">
      <formula>PazaryeriToplamFarkEsik</formula>
    </cfRule>
  </conditionalFormatting>
  <conditionalFormatting sqref="I6">
    <cfRule type="cellIs" priority="5" operator="lessThan" aboveAverage="0" equalAverage="0" bottom="0" percent="0" rank="0" text="" dxfId="6">
      <formula>0</formula>
    </cfRule>
  </conditionalFormatting>
  <conditionalFormatting sqref="I7">
    <cfRule type="cellIs" priority="6" operator="lessThan" aboveAverage="0" equalAverage="0" bottom="0" percent="0" rank="0" text="" dxfId="6">
      <formula>0</formula>
    </cfRule>
  </conditionalFormatting>
  <conditionalFormatting sqref="I8">
    <cfRule type="cellIs" priority="7" operator="lessThan" aboveAverage="0" equalAverage="0" bottom="0" percent="0" rank="0" text="" dxfId="6">
      <formula>0</formula>
    </cfRule>
  </conditionalFormatting>
  <conditionalFormatting sqref="I9">
    <cfRule type="cellIs" priority="8" operator="lessThan" aboveAverage="0" equalAverage="0" bottom="0" percent="0" rank="0" text="" dxfId="6">
      <formula>0</formula>
    </cfRule>
  </conditionalFormatting>
  <conditionalFormatting sqref="I10">
    <cfRule type="cellIs" priority="9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8" t="s">
        <v>112</v>
      </c>
      <c r="B3" s="38"/>
      <c r="C3" s="38"/>
      <c r="D3" s="38"/>
    </row>
    <row r="5" customFormat="false" ht="30" hidden="false" customHeight="true" outlineLevel="0" collapsed="false">
      <c r="A5" s="15" t="s">
        <v>113</v>
      </c>
      <c r="B5" s="15" t="s">
        <v>114</v>
      </c>
      <c r="C5" s="15" t="s">
        <v>115</v>
      </c>
      <c r="D5" s="15" t="s">
        <v>116</v>
      </c>
    </row>
    <row r="6" customFormat="false" ht="30" hidden="false" customHeight="true" outlineLevel="0" collapsed="false">
      <c r="A6" s="39" t="s">
        <v>117</v>
      </c>
      <c r="B6" s="40" t="s">
        <v>101</v>
      </c>
      <c r="C6" s="34" t="n">
        <f aca="false">IFERROR(AVERAGE(tblKalem[KÂR MARJI]),0)</f>
        <v>0.000870687546341334</v>
      </c>
      <c r="D6" s="41" t="str">
        <f aca="false">_xlfn.TEXTJOIN("; ",TRUE(),"Ortalama kâr marjı ",TEXT(C6,"0.0%")," — portföyün genel kârlılık düzeyini gösterir")</f>
        <v>Ortalama kâr marjı ; 00%;  — portföyün genel kârlılık düzeyini gösterir</v>
      </c>
    </row>
    <row r="7" customFormat="false" ht="30" hidden="false" customHeight="true" outlineLevel="0" collapsed="false">
      <c r="A7" s="39" t="s">
        <v>118</v>
      </c>
      <c r="B7" s="40" t="s">
        <v>119</v>
      </c>
      <c r="C7" s="34" t="n">
        <f aca="false">IFERROR(AVERAGE(tblKalem[Komisyon Oranı]),0)</f>
        <v>0.206666666666667</v>
      </c>
      <c r="D7" s="41" t="str">
        <f aca="false">_xlfn.TEXTJOIN("; ",TRUE(),"Ortalama komisyon oranı ",TEXT(C7,"0.0%")," — pazaryeri maliyet yükünü gösterir")</f>
        <v>Ortalama komisyon oranı ; 21%;  — pazaryeri maliyet yükünü gösterir</v>
      </c>
    </row>
    <row r="8" customFormat="false" ht="30" hidden="false" customHeight="true" outlineLevel="0" collapsed="false">
      <c r="A8" s="39" t="s">
        <v>120</v>
      </c>
      <c r="B8" s="40" t="s">
        <v>121</v>
      </c>
      <c r="C8" s="34" t="n">
        <f aca="false">IFERROR(AVEDEV(tblKalem[NET KÂR (TL)]),0)</f>
        <v>55.3262768293819</v>
      </c>
      <c r="D8" s="41" t="str">
        <f aca="false">_xlfn.TEXTJOIN("; ",TRUE(),"Net kâr ortalama mutlak sapması ",TEXT(C8,"₺ #,##0")," TL — kalemler arası kâr heterojenliğini ölçer")</f>
        <v>Net kâr ortalama mutlak sapması ; ₺ 55,326;  TL — kalemler arası kâr heterojenliğini ölçer</v>
      </c>
    </row>
    <row r="9" customFormat="false" ht="30" hidden="false" customHeight="true" outlineLevel="0" collapsed="false">
      <c r="A9" s="39" t="s">
        <v>122</v>
      </c>
      <c r="B9" s="40" t="s">
        <v>123</v>
      </c>
      <c r="C9" s="34" t="n">
        <f aca="false">IFERROR(MAX(tblKalem[NET KÂR (TL)]),0)</f>
        <v>8877.3</v>
      </c>
      <c r="D9" s="41" t="str">
        <f aca="false">_xlfn.TEXTJOIN("; ",TRUE(),"En yüksek net kâr ",TEXT(C9,"₺ #,##0")," TL — bu kalem portföyün kâr lideridir")</f>
        <v>En yüksek net kâr ; ₺ 8877,300;  TL — bu kalem portföyün kâr lideridir</v>
      </c>
    </row>
    <row r="10" customFormat="false" ht="30" hidden="false" customHeight="true" outlineLevel="0" collapsed="false">
      <c r="A10" s="39" t="s">
        <v>124</v>
      </c>
      <c r="B10" s="40" t="s">
        <v>125</v>
      </c>
      <c r="C10" s="30" t="n">
        <f aca="false">SENARYO_DUYARLILIK!C11</f>
        <v>17691.96855</v>
      </c>
      <c r="D10" s="41" t="str">
        <f aca="false">_xlfn.TEXTJOIN("; ",TRUE(),"İyimser ile kritik senaryo net kâr farkı ",TEXT(C10,"₺ #,##0")," TL — satış fiyatı belirsizliğinin etkisini gösterir")</f>
        <v>İyimser ile kritik senaryo net kâr farkı ; ₺ 17691,969;  TL — satış fiyatı belirsizliğinin etkisini gösterir</v>
      </c>
    </row>
    <row r="11" customFormat="false" ht="30" hidden="false" customHeight="true" outlineLevel="0" collapsed="false">
      <c r="A11" s="39" t="s">
        <v>126</v>
      </c>
      <c r="B11" s="40" t="s">
        <v>127</v>
      </c>
      <c r="C11" s="34" t="n">
        <f aca="false">IFERROR(IF(SUM(HESAP!$C$6:$C$10)=0,0,SUMPRODUCT((HESAP!$C$6:$C$10/SUM(HESAP!$C$6:$C$10))^2)),0)</f>
        <v>0.266502818009696</v>
      </c>
      <c r="D11" s="41" t="str">
        <f aca="false">_xlfn.TEXTJOIN("; ",TRUE(),"Pazaryeri yoğunlaşma endeksi ",TEXT(C11,"0.000")," — 1 e yaklaştıkça satış tek pazaryerinde toplanır")</f>
        <v>Pazaryeri yoğunlaşma endeksi ; 0.000;  — 1 e yaklaştıkça satış tek pazaryerinde toplanır</v>
      </c>
    </row>
    <row r="12" customFormat="false" ht="30" hidden="false" customHeight="true" outlineLevel="0" collapsed="false">
      <c r="A12" s="39" t="s">
        <v>128</v>
      </c>
      <c r="B12" s="40" t="s">
        <v>129</v>
      </c>
      <c r="C12" s="29" t="n">
        <f aca="false">KONTROLLER!B19</f>
        <v>95</v>
      </c>
      <c r="D12" s="41" t="str">
        <f aca="false">_xlfn.TEXTJOIN("; ",TRUE(),"Veri kalite skoru ",TEXT(C12,"0")," puan — ",IF(C12&gt;=PazaryeriKaliteIyi,"yüksek güven","veri girişi tamamlanmalı"))</f>
        <v>Veri kalite skoru ; 95;  puan — ; yüksek güven</v>
      </c>
    </row>
    <row r="13" customFormat="false" ht="30" hidden="false" customHeight="true" outlineLevel="0" collapsed="false">
      <c r="A13" s="39" t="s">
        <v>130</v>
      </c>
      <c r="B13" s="40" t="s">
        <v>131</v>
      </c>
      <c r="C13" s="30" t="n">
        <f aca="false">HESAP!B45</f>
        <v>0</v>
      </c>
      <c r="D13" s="41" t="str">
        <f aca="false">_xlfn.TEXTJOIN("; ",TRUE(),"Gelecek dönem net kâr tahmini ",TEXT(C13,"₺ #,##0")," TL — güven bandı için alt/üst sınır HESAP sayfasındadır")</f>
        <v>Gelecek dönem net kâr tahmini ; ₺ ,000;  TL — güven bandı için alt/üst sınır HESAP sayfasındadır</v>
      </c>
    </row>
    <row r="14" customFormat="false" ht="30" hidden="false" customHeight="true" outlineLevel="0" collapsed="false">
      <c r="A14" s="39" t="s">
        <v>132</v>
      </c>
      <c r="B14" s="40" t="s">
        <v>133</v>
      </c>
      <c r="C14" s="34" t="n">
        <f aca="false">IFERROR(_xlfn.PERCENTILE.INC(tblKalem[Birim Satış Fiyatı (TL)],PazaryeriP90Oran),0)</f>
        <v>1199</v>
      </c>
      <c r="D14" s="41" t="str">
        <f aca="false">_xlfn.TEXTJOIN("; ",TRUE(),"Kalemlerin %90 ı ",TEXT(C14,"₺ #,##0")," TL altında satış fiyatına sahiptir — fiyat dağılımı üst sınırını gösterir")</f>
        <v>Kalemlerin %90 ı ; ₺ 1199,000;  TL altında satış fiyatına sahiptir — fiyat dağılımı üst sınırını gösterir</v>
      </c>
    </row>
    <row r="15" customFormat="false" ht="30" hidden="false" customHeight="true" outlineLevel="0" collapsed="false">
      <c r="A15" s="39" t="s">
        <v>134</v>
      </c>
      <c r="B15" s="40" t="s">
        <v>135</v>
      </c>
      <c r="C15" s="30" t="n">
        <f aca="false">HESAP!B24</f>
        <v>6541.2</v>
      </c>
      <c r="D15" s="41" t="str">
        <f aca="false">_xlfn.TEXTJOIN("; ",TRUE(),"Tespit edilen toplam eksik hakediş ",TEXT(C15,"₺ #,##0")," TL — pazaryerinden talep edilmesi gereken tutar")</f>
        <v>Tespit edilen toplam eksik hakediş ; ₺ 6541,200;  TL — pazaryerinden talep edilmesi gereken tutar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137</v>
      </c>
    </row>
    <row r="4" customFormat="false" ht="28.35" hidden="false" customHeight="false" outlineLevel="0" collapsed="false">
      <c r="A4" s="14" t="s">
        <v>138</v>
      </c>
    </row>
    <row r="6" customFormat="false" ht="15" hidden="false" customHeight="false" outlineLevel="0" collapsed="false">
      <c r="A6" s="6" t="s">
        <v>139</v>
      </c>
      <c r="B6" s="34" t="str">
        <f aca="false">IF(COUNTIF(tblKalem[Birim Satış Fiyatı (TL)],"&lt;0")=0,"TEMİZ","NEGATİF VAR")</f>
        <v>TEMİZ</v>
      </c>
    </row>
    <row r="7" customFormat="false" ht="15" hidden="false" customHeight="false" outlineLevel="0" collapsed="false">
      <c r="A7" s="6" t="s">
        <v>140</v>
      </c>
      <c r="B7" s="34" t="str">
        <f aca="false">IF(COUNTIF(tblKalem[Birim Ürün Maliyeti (TL)],"&lt;0")=0,"TEMİZ","NEGATİF VAR")</f>
        <v>TEMİZ</v>
      </c>
    </row>
    <row r="8" customFormat="false" ht="15" hidden="false" customHeight="false" outlineLevel="0" collapsed="false">
      <c r="A8" s="6" t="s">
        <v>141</v>
      </c>
      <c r="B8" s="34" t="str">
        <f aca="false">IF(COUNTIF(tblKalem[Komisyon Oranı],"&gt;0.5")=0,"TEMİZ","ORAN &gt;0,5 VAR")</f>
        <v>TEMİZ</v>
      </c>
    </row>
    <row r="9" customFormat="false" ht="15" hidden="false" customHeight="false" outlineLevel="0" collapsed="false">
      <c r="A9" s="6" t="s">
        <v>142</v>
      </c>
      <c r="B9" s="34" t="str">
        <f aca="false">IF(COUNTIF(tblKalem[İade Oranı],"&gt;0.5")=0,"TEMİZ","ORAN &gt;0,5 VAR")</f>
        <v>TEMİZ</v>
      </c>
    </row>
    <row r="10" customFormat="false" ht="15" hidden="false" customHeight="false" outlineLevel="0" collapsed="false">
      <c r="A10" s="6" t="s">
        <v>143</v>
      </c>
      <c r="B10" s="34" t="str">
        <f aca="false">IF(HESAP!B24&gt;PazaryeriToplamFarkEsik,"AŞIYOR","NORMAL")</f>
        <v>AŞIYOR</v>
      </c>
    </row>
    <row r="11" customFormat="false" ht="15" hidden="false" customHeight="false" outlineLevel="0" collapsed="false">
      <c r="A11" s="6" t="s">
        <v>144</v>
      </c>
      <c r="B11" s="34" t="str">
        <f aca="false">IF(COUNTIF(tblKalem[Durum],"EKSİK HAKEDİŞ")&gt;0,"VAR","YOK")</f>
        <v>VAR</v>
      </c>
    </row>
    <row r="12" customFormat="false" ht="15" hidden="false" customHeight="false" outlineLevel="0" collapsed="false">
      <c r="A12" s="6" t="s">
        <v>145</v>
      </c>
      <c r="B12" s="34" t="str">
        <f aca="false">IF(HESAP!B21&lt;PazaryeriNetKarMarjiKritik,"KRİTİK","NORMAL")</f>
        <v>NORMAL</v>
      </c>
    </row>
    <row r="13" customFormat="false" ht="15" hidden="false" customHeight="false" outlineLevel="0" collapsed="false">
      <c r="A13" s="6" t="s">
        <v>146</v>
      </c>
      <c r="B13" s="34" t="str">
        <f aca="false">IF(COUNTA(tblKalem[Ürün Adı])&gt;=3,"YETERLİ","AZ")</f>
        <v>YETERLİ</v>
      </c>
    </row>
    <row r="15" customFormat="false" ht="15" hidden="false" customHeight="false" outlineLevel="0" collapsed="false">
      <c r="A15" s="4" t="s">
        <v>147</v>
      </c>
    </row>
    <row r="16" customFormat="false" ht="28.35" hidden="false" customHeight="false" outlineLevel="0" collapsed="false">
      <c r="A16" s="14" t="s">
        <v>148</v>
      </c>
    </row>
    <row r="17" customFormat="false" ht="15" hidden="false" customHeight="false" outlineLevel="0" collapsed="false">
      <c r="A17" s="6" t="s">
        <v>149</v>
      </c>
      <c r="B17" s="29" t="n">
        <f aca="false">COUNTA(tblKalem[Ürün Adı])*PazaryeriTemelKolonSayisi</f>
        <v>42</v>
      </c>
    </row>
    <row r="18" customFormat="false" ht="15" hidden="false" customHeight="false" outlineLevel="0" collapsed="false">
      <c r="A18" s="6" t="s">
        <v>150</v>
      </c>
      <c r="B18" s="29" t="n">
        <f aca="false">COUNTA(tblKalem[Ürün Adı])+COUNTA(tblKalem[Birim Satış Fiyatı (TL)])+COUNTA(tblKalem[Miktar (Adet)])+COUNTA(tblKalem[Birim Ürün Maliyeti (TL)])+COUNTA(tblKalem[Komisyon Oranı])+COUNTA(tblKalem[Birim Ek Gider (TL)])+COUNTA(tblKalem[Gerçek Hakediş (TL)])</f>
        <v>40</v>
      </c>
    </row>
    <row r="19" customFormat="false" ht="15" hidden="false" customHeight="false" outlineLevel="0" collapsed="false">
      <c r="A19" s="28" t="s">
        <v>151</v>
      </c>
      <c r="B19" s="42" t="n">
        <f aca="false">ROUND(IF(PazaryeriToplamGiris=0,0,PazaryeriDoluGiris/PazaryeriToplamGiris*100),0)</f>
        <v>95</v>
      </c>
    </row>
    <row r="20" customFormat="false" ht="15" hidden="false" customHeight="false" outlineLevel="0" collapsed="false">
      <c r="A20" s="6" t="s">
        <v>152</v>
      </c>
      <c r="B20" s="34" t="str">
        <f aca="false">IF(B19&gt;=PazaryeriKaliteIyi,"YÜKSEK",IF(B19&gt;=PazaryeriKaliteOrta,"ORTA","DÜŞÜK"))</f>
        <v>YÜKSEK</v>
      </c>
    </row>
    <row r="22" customFormat="false" ht="19.5" hidden="false" customHeight="true" outlineLevel="0" collapsed="false">
      <c r="A22" s="27" t="s">
        <v>153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">
    <cfRule type="cellIs" priority="2" operator="equal" aboveAverage="0" equalAverage="0" bottom="0" percent="0" rank="0" text="" dxfId="9">
      <formula>"TEMİZ"</formula>
    </cfRule>
    <cfRule type="cellIs" priority="3" operator="notEqual" aboveAverage="0" equalAverage="0" bottom="0" percent="0" rank="0" text="" dxfId="6">
      <formula>"TEMİZ"</formula>
    </cfRule>
  </conditionalFormatting>
  <conditionalFormatting sqref="B7">
    <cfRule type="cellIs" priority="4" operator="equal" aboveAverage="0" equalAverage="0" bottom="0" percent="0" rank="0" text="" dxfId="9">
      <formula>"TEMİZ"</formula>
    </cfRule>
    <cfRule type="cellIs" priority="5" operator="notEqual" aboveAverage="0" equalAverage="0" bottom="0" percent="0" rank="0" text="" dxfId="6">
      <formula>"TEMİZ"</formula>
    </cfRule>
  </conditionalFormatting>
  <conditionalFormatting sqref="B8">
    <cfRule type="cellIs" priority="6" operator="equal" aboveAverage="0" equalAverage="0" bottom="0" percent="0" rank="0" text="" dxfId="9">
      <formula>"TEMİZ"</formula>
    </cfRule>
    <cfRule type="cellIs" priority="7" operator="notEqual" aboveAverage="0" equalAverage="0" bottom="0" percent="0" rank="0" text="" dxfId="6">
      <formula>"TEMİZ"</formula>
    </cfRule>
  </conditionalFormatting>
  <conditionalFormatting sqref="B9">
    <cfRule type="cellIs" priority="8" operator="equal" aboveAverage="0" equalAverage="0" bottom="0" percent="0" rank="0" text="" dxfId="9">
      <formula>"TEMİZ"</formula>
    </cfRule>
    <cfRule type="cellIs" priority="9" operator="notEqual" aboveAverage="0" equalAverage="0" bottom="0" percent="0" rank="0" text="" dxfId="6">
      <formula>"TEMİZ"</formula>
    </cfRule>
  </conditionalFormatting>
  <conditionalFormatting sqref="B10">
    <cfRule type="cellIs" priority="10" operator="equal" aboveAverage="0" equalAverage="0" bottom="0" percent="0" rank="0" text="" dxfId="9">
      <formula>"TEMİZ"</formula>
    </cfRule>
    <cfRule type="cellIs" priority="11" operator="notEqual" aboveAverage="0" equalAverage="0" bottom="0" percent="0" rank="0" text="" dxfId="6">
      <formula>"TEMİZ"</formula>
    </cfRule>
  </conditionalFormatting>
  <conditionalFormatting sqref="B11">
    <cfRule type="cellIs" priority="12" operator="equal" aboveAverage="0" equalAverage="0" bottom="0" percent="0" rank="0" text="" dxfId="9">
      <formula>"TEMİZ"</formula>
    </cfRule>
    <cfRule type="cellIs" priority="13" operator="notEqual" aboveAverage="0" equalAverage="0" bottom="0" percent="0" rank="0" text="" dxfId="6">
      <formula>"TEMİZ"</formula>
    </cfRule>
  </conditionalFormatting>
  <conditionalFormatting sqref="B12">
    <cfRule type="cellIs" priority="14" operator="equal" aboveAverage="0" equalAverage="0" bottom="0" percent="0" rank="0" text="" dxfId="9">
      <formula>"TEMİZ"</formula>
    </cfRule>
    <cfRule type="cellIs" priority="15" operator="notEqual" aboveAverage="0" equalAverage="0" bottom="0" percent="0" rank="0" text="" dxfId="6">
      <formula>"TEMİZ"</formula>
    </cfRule>
  </conditionalFormatting>
  <conditionalFormatting sqref="B13">
    <cfRule type="cellIs" priority="16" operator="equal" aboveAverage="0" equalAverage="0" bottom="0" percent="0" rank="0" text="" dxfId="9">
      <formula>"TEMİZ"</formula>
    </cfRule>
    <cfRule type="cellIs" priority="17" operator="notEqual" aboveAverage="0" equalAverage="0" bottom="0" percent="0" rank="0" text="" dxfId="6">
      <formula>"TEMİZ"</formula>
    </cfRule>
  </conditionalFormatting>
  <conditionalFormatting sqref="B19">
    <cfRule type="cellIs" priority="18" operator="greaterThanOrEqual" aboveAverage="0" equalAverage="0" bottom="0" percent="0" rank="0" text="" dxfId="9">
      <formula>90</formula>
    </cfRule>
    <cfRule type="cellIs" priority="19" operator="between" aboveAverage="0" equalAverage="0" bottom="0" percent="0" rank="0" text="" dxfId="7">
      <formula>70</formula>
      <formula>89</formula>
    </cfRule>
    <cfRule type="cellIs" priority="20" operator="lessThan" aboveAverage="0" equalAverage="0" bottom="0" percent="0" rank="0" text="" dxfId="6">
      <formula>70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155</v>
      </c>
    </row>
    <row r="4" customFormat="false" ht="28.35" hidden="false" customHeight="false" outlineLevel="0" collapsed="false">
      <c r="A4" s="14" t="s">
        <v>156</v>
      </c>
    </row>
    <row r="6" customFormat="false" ht="15" hidden="false" customHeight="false" outlineLevel="0" collapsed="false">
      <c r="A6" s="6" t="s">
        <v>157</v>
      </c>
      <c r="B6" s="33" t="n">
        <f aca="false">HESAP!B20</f>
        <v>27802.457</v>
      </c>
    </row>
    <row r="7" customFormat="false" ht="15" hidden="false" customHeight="false" outlineLevel="0" collapsed="false">
      <c r="A7" s="6" t="s">
        <v>96</v>
      </c>
      <c r="B7" s="31" t="n">
        <f aca="false">HESAP!B21</f>
        <v>0.150042672034626</v>
      </c>
    </row>
    <row r="8" customFormat="false" ht="15" hidden="false" customHeight="false" outlineLevel="0" collapsed="false">
      <c r="A8" s="6" t="s">
        <v>158</v>
      </c>
      <c r="B8" s="30" t="n">
        <f aca="false">HESAP!B24</f>
        <v>6541.2</v>
      </c>
    </row>
    <row r="9" customFormat="false" ht="15" hidden="false" customHeight="false" outlineLevel="0" collapsed="false">
      <c r="A9" s="6" t="s">
        <v>100</v>
      </c>
      <c r="B9" s="29" t="n">
        <f aca="false">HESAP!B25</f>
        <v>2</v>
      </c>
    </row>
    <row r="11" customFormat="false" ht="17.35" hidden="false" customHeight="false" outlineLevel="0" collapsed="false">
      <c r="A11" s="43" t="s">
        <v>159</v>
      </c>
      <c r="B11" s="44" t="str">
        <f aca="false">IF(COUNTA(tblKalem[Ürün Adı])=0,"VERİ YOK",IF(OR(COUNTIF(tblKalem[Birim Satış Fiyatı (TL)],"&lt;0")&gt;0,COUNTIF(tblKalem[Birim Ürün Maliyeti (TL)],"&lt;0")&gt;0),"DURDUR",IF(HESAP!B14&lt;=0,"VERİ YOK",IF(AND(COUNTIF(tblKalem[Durum],"EKSİK HAKEDİŞ")&gt;0,HESAP!B24&gt;0),"İNCELE",IF(HESAP!B21&gt;=PazaryeriNetKarMarjiHedef,"GÜÇLÜ",IF(HESAP!B21&gt;=PazaryeriNetKarMarjiKritik,"NORMAL","İNCELE"))))))</f>
        <v>İNCELE</v>
      </c>
    </row>
    <row r="12" customFormat="false" ht="15" hidden="false" customHeight="false" outlineLevel="0" collapsed="false">
      <c r="A12" s="28" t="s">
        <v>160</v>
      </c>
      <c r="B12" s="45" t="str">
        <f aca="false">IF(COUNTIF(tblKalem[Birim Satış Fiyatı (TL)],"&lt;0")&gt;0,"Negatif satış fiyatı tespit edildi; veriler düzeltilmeli.",IF(COUNTIF(tblKalem[Birim Ürün Maliyeti (TL)],"&lt;0")&gt;0,"Negatif ürün maliyeti tespit edildi; veriler düzeltilmeli.",IF(HESAP!B14&lt;=0,"Satış kaydı bulunmuyor; portföy kararı üretilemiyor.",IF(AND(COUNTIF(tblKalem[Durum],"EKSİK HAKEDİŞ")&gt;0,HESAP!B24&gt;0),"Eksik hakediş tespit edildi; pazaryerinden fark tutarı talep edilmelidir.",IF(HESAP!B21&gt;=PazaryeriNetKarMarjiHedef,"Genel marj hedefin üzerinde; portföy güçlü, büyütmeye devam edin.",IF(HESAP!B21&gt;=PazaryeriNetKarMarjiKritik,"Genel marj sınırın üzerinde; portföy normal, maliyet kalemlerini izleyin.","Genel marj kritik altında; fiyat veya komisyon yapısı yeniden değerlendirilmeli."))))))</f>
        <v>Eksik hakediş tespit edildi; pazaryerinden fark tutarı talep edilmelidir.</v>
      </c>
      <c r="C12" s="45"/>
      <c r="D12" s="45"/>
      <c r="E12" s="45"/>
      <c r="F12" s="45"/>
      <c r="G12" s="45"/>
      <c r="H12" s="45"/>
      <c r="I12" s="45"/>
      <c r="J12" s="45"/>
    </row>
    <row r="14" customFormat="false" ht="15" hidden="false" customHeight="false" outlineLevel="0" collapsed="false">
      <c r="A14" s="4" t="s">
        <v>161</v>
      </c>
    </row>
    <row r="15" customFormat="false" ht="15" hidden="false" customHeight="false" outlineLevel="0" collapsed="false">
      <c r="A15" s="6" t="s">
        <v>162</v>
      </c>
      <c r="B15" s="45" t="str">
        <f aca="false">PazaryeriAksiyon1_ACIKLAMA</f>
        <v>Eksik hakediş tespit edildi; pazaryeri müşteri hizmetlerine fark dökümünü ileterek tutarın iadesini talep edin.</v>
      </c>
      <c r="C15" s="45"/>
      <c r="D15" s="45"/>
      <c r="E15" s="45"/>
      <c r="F15" s="45"/>
      <c r="G15" s="45"/>
      <c r="H15" s="45"/>
      <c r="I15" s="45"/>
      <c r="J15" s="45"/>
    </row>
    <row r="16" customFormat="false" ht="15" hidden="false" customHeight="false" outlineLevel="0" collapsed="false">
      <c r="A16" s="6" t="s">
        <v>163</v>
      </c>
      <c r="B16" s="45" t="str">
        <f aca="false">PazaryeriAksiyon2_ACIKLAMA</f>
        <v>Genel marj hedefin üzerinde; satışı artırmak için kâr marjı yüksek kalemlerin reklam bütçesini öne çekin.</v>
      </c>
      <c r="C16" s="45"/>
      <c r="D16" s="45"/>
      <c r="E16" s="45"/>
      <c r="F16" s="45"/>
      <c r="G16" s="45"/>
      <c r="H16" s="45"/>
      <c r="I16" s="45"/>
      <c r="J16" s="45"/>
    </row>
    <row r="17" customFormat="false" ht="15" hidden="false" customHeight="false" outlineLevel="0" collapsed="false">
      <c r="A17" s="6" t="s">
        <v>164</v>
      </c>
      <c r="B17" s="45" t="str">
        <f aca="false">PazaryeriAksiyon3_ACIKLAMA</f>
        <v>Marj kritik altında; komisyon yüksek pazaryerlerinde fiyat/komisyon yapısını yeniden müzakere edin veya portföyü gözden geçirin.</v>
      </c>
      <c r="C17" s="45"/>
      <c r="D17" s="45"/>
      <c r="E17" s="45"/>
      <c r="F17" s="45"/>
      <c r="G17" s="45"/>
      <c r="H17" s="45"/>
      <c r="I17" s="45"/>
      <c r="J17" s="45"/>
    </row>
    <row r="19" customFormat="false" ht="19.5" hidden="false" customHeight="true" outlineLevel="0" collapsed="false">
      <c r="A19" s="27" t="s">
        <v>165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9">
      <formula>"VERİ YOK"</formula>
    </cfRule>
    <cfRule type="cellIs" priority="3" operator="equal" aboveAverage="0" equalAverage="0" bottom="0" percent="0" rank="0" text="" dxfId="6">
      <formula>"DURDUR"</formula>
    </cfRule>
    <cfRule type="cellIs" priority="4" operator="equal" aboveAverage="0" equalAverage="0" bottom="0" percent="0" rank="0" text="" dxfId="6">
      <formula>"İNCELE"</formula>
    </cfRule>
    <cfRule type="cellIs" priority="5" operator="equal" aboveAverage="0" equalAverage="0" bottom="0" percent="0" rank="0" text="" dxfId="9">
      <formula>"GÜÇLÜ"</formula>
    </cfRule>
    <cfRule type="cellIs" priority="6" operator="equal" aboveAverage="0" equalAverage="0" bottom="0" percent="0" rank="0" text="" dxfId="7">
      <formula>"NORMAL"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8" min="5" style="0" width="2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28.35" hidden="false" customHeight="false" outlineLevel="0" collapsed="false">
      <c r="A3" s="43" t="s">
        <v>167</v>
      </c>
      <c r="B3" s="46" t="s">
        <v>49</v>
      </c>
      <c r="C3" s="46" t="s">
        <v>168</v>
      </c>
      <c r="D3" s="46" t="s">
        <v>96</v>
      </c>
      <c r="E3" s="46" t="s">
        <v>98</v>
      </c>
      <c r="F3" s="46" t="s">
        <v>158</v>
      </c>
      <c r="G3" s="46" t="s">
        <v>169</v>
      </c>
      <c r="H3" s="46" t="s">
        <v>151</v>
      </c>
    </row>
    <row r="4" customFormat="false" ht="15" hidden="false" customHeight="false" outlineLevel="0" collapsed="false">
      <c r="B4" s="47" t="n">
        <f aca="false">HESAP!B14</f>
        <v>185297</v>
      </c>
      <c r="C4" s="47" t="n">
        <f aca="false">HESAP!B20</f>
        <v>27802.457</v>
      </c>
      <c r="D4" s="48" t="n">
        <f aca="false">HESAP!B21</f>
        <v>0.150042672034626</v>
      </c>
      <c r="E4" s="47" t="n">
        <f aca="false">HESAP!B23</f>
        <v>124956.36</v>
      </c>
      <c r="F4" s="47" t="n">
        <f aca="false">HESAP!B24</f>
        <v>6541.2</v>
      </c>
      <c r="G4" s="49" t="n">
        <f aca="false">HESAP!B25</f>
        <v>2</v>
      </c>
      <c r="H4" s="49" t="n">
        <f aca="false">KONTROLLER!B19</f>
        <v>95</v>
      </c>
    </row>
    <row r="6" customFormat="false" ht="30" hidden="false" customHeight="true" outlineLevel="0" collapsed="false">
      <c r="A6" s="32" t="s">
        <v>170</v>
      </c>
      <c r="B6" s="50" t="str">
        <f aca="false">KARAR!B11</f>
        <v>İNCELE</v>
      </c>
      <c r="D6" s="32" t="s">
        <v>102</v>
      </c>
      <c r="E6" s="50" t="str">
        <f aca="false">HESAP!B27</f>
        <v>N11</v>
      </c>
      <c r="G6" s="51" t="s">
        <v>103</v>
      </c>
      <c r="H6" s="52" t="n">
        <f aca="false">HESAP!B28</f>
        <v>38700</v>
      </c>
    </row>
    <row r="10" customFormat="false" ht="28.35" hidden="false" customHeight="false" outlineLevel="0" collapsed="false">
      <c r="A10" s="35" t="s">
        <v>63</v>
      </c>
      <c r="B10" s="35" t="s">
        <v>49</v>
      </c>
      <c r="C10" s="35" t="s">
        <v>55</v>
      </c>
      <c r="D10" s="35" t="s">
        <v>56</v>
      </c>
      <c r="E10" s="53" t="s">
        <v>57</v>
      </c>
    </row>
    <row r="11" customFormat="false" ht="15" hidden="false" customHeight="false" outlineLevel="0" collapsed="false">
      <c r="A11" s="54" t="s">
        <v>171</v>
      </c>
      <c r="B11" s="30" t="n">
        <f aca="false">HESAP!C6</f>
        <v>49457</v>
      </c>
      <c r="C11" s="30" t="n">
        <f aca="false">HESAP!I6</f>
        <v>6429.149</v>
      </c>
      <c r="D11" s="31" t="n">
        <f aca="false">HESAP!J6</f>
        <v>24728.5</v>
      </c>
      <c r="E11" s="30" t="n">
        <f aca="false">HESAP!K6</f>
        <v>34529.76</v>
      </c>
    </row>
    <row r="12" customFormat="false" ht="15" hidden="false" customHeight="false" outlineLevel="0" collapsed="false">
      <c r="A12" s="54" t="s">
        <v>172</v>
      </c>
      <c r="B12" s="30" t="n">
        <f aca="false">HESAP!C7</f>
        <v>32940</v>
      </c>
      <c r="C12" s="30" t="n">
        <f aca="false">HESAP!I7</f>
        <v>5231.472</v>
      </c>
      <c r="D12" s="31" t="n">
        <f aca="false">HESAP!J7</f>
        <v>32940</v>
      </c>
      <c r="E12" s="30" t="n">
        <f aca="false">HESAP!K7</f>
        <v>22399.2</v>
      </c>
    </row>
    <row r="13" customFormat="false" ht="15" hidden="false" customHeight="false" outlineLevel="0" collapsed="false">
      <c r="A13" s="54" t="s">
        <v>173</v>
      </c>
      <c r="B13" s="30" t="n">
        <f aca="false">HESAP!C8</f>
        <v>64200</v>
      </c>
      <c r="C13" s="30" t="n">
        <f aca="false">HESAP!I8</f>
        <v>7264.536</v>
      </c>
      <c r="D13" s="31" t="n">
        <f aca="false">HESAP!J8</f>
        <v>32100</v>
      </c>
      <c r="E13" s="30" t="n">
        <f aca="false">HESAP!K8</f>
        <v>39776.4</v>
      </c>
    </row>
    <row r="14" customFormat="false" ht="15" hidden="false" customHeight="false" outlineLevel="0" collapsed="false">
      <c r="A14" s="54" t="s">
        <v>174</v>
      </c>
      <c r="B14" s="30" t="n">
        <f aca="false">HESAP!C9</f>
        <v>38700</v>
      </c>
      <c r="C14" s="30" t="n">
        <f aca="false">HESAP!I9</f>
        <v>8877.3</v>
      </c>
      <c r="D14" s="31" t="n">
        <f aca="false">HESAP!J9</f>
        <v>38700</v>
      </c>
      <c r="E14" s="30" t="n">
        <f aca="false">HESAP!K9</f>
        <v>28251</v>
      </c>
    </row>
    <row r="15" customFormat="false" ht="15" hidden="false" customHeight="false" outlineLevel="0" collapsed="false">
      <c r="A15" s="54" t="s">
        <v>175</v>
      </c>
      <c r="B15" s="30" t="n">
        <f aca="false">HESAP!C10</f>
        <v>0</v>
      </c>
      <c r="C15" s="30" t="n">
        <f aca="false">HESAP!I10</f>
        <v>0</v>
      </c>
      <c r="D15" s="31" t="n">
        <f aca="false">HESAP!J10</f>
        <v>0</v>
      </c>
      <c r="E15" s="30" t="n">
        <f aca="false">HESAP!K10</f>
        <v>0</v>
      </c>
    </row>
    <row r="20" customFormat="false" ht="15" hidden="false" customHeight="false" outlineLevel="0" collapsed="false">
      <c r="G20" s="35" t="s">
        <v>104</v>
      </c>
      <c r="H20" s="35" t="s">
        <v>55</v>
      </c>
      <c r="I20" s="35" t="s">
        <v>59</v>
      </c>
    </row>
    <row r="21" customFormat="false" ht="15" hidden="false" customHeight="false" outlineLevel="0" collapsed="false">
      <c r="G21" s="36" t="n">
        <v>1</v>
      </c>
      <c r="H21" s="30" t="n">
        <f aca="false">HESAP!B31</f>
        <v>4460.525</v>
      </c>
      <c r="I21" s="30" t="n">
        <f aca="false">HESAP!D31</f>
        <v>0</v>
      </c>
    </row>
    <row r="22" customFormat="false" ht="15" hidden="false" customHeight="false" outlineLevel="0" collapsed="false">
      <c r="G22" s="36" t="n">
        <v>2</v>
      </c>
      <c r="H22" s="30" t="n">
        <f aca="false">HESAP!B32</f>
        <v>5231.472</v>
      </c>
      <c r="I22" s="30" t="n">
        <f aca="false">HESAP!D32</f>
        <v>5899.2</v>
      </c>
    </row>
    <row r="23" customFormat="false" ht="15" hidden="false" customHeight="false" outlineLevel="0" collapsed="false">
      <c r="G23" s="36" t="n">
        <v>3</v>
      </c>
      <c r="H23" s="30" t="n">
        <f aca="false">HESAP!B33</f>
        <v>1968.624</v>
      </c>
      <c r="I23" s="30" t="n">
        <f aca="false">HESAP!D33</f>
        <v>0</v>
      </c>
    </row>
    <row r="24" customFormat="false" ht="15" hidden="false" customHeight="false" outlineLevel="0" collapsed="false">
      <c r="G24" s="36" t="n">
        <v>4</v>
      </c>
      <c r="H24" s="30" t="n">
        <f aca="false">HESAP!B34</f>
        <v>5509.536</v>
      </c>
      <c r="I24" s="30" t="n">
        <f aca="false">HESAP!D34</f>
        <v>0</v>
      </c>
    </row>
    <row r="25" customFormat="false" ht="15" hidden="false" customHeight="false" outlineLevel="0" collapsed="false">
      <c r="G25" s="36" t="n">
        <v>5</v>
      </c>
      <c r="H25" s="30" t="n">
        <f aca="false">HESAP!B35</f>
        <v>8877.3</v>
      </c>
      <c r="I25" s="30" t="n">
        <f aca="false">HESAP!D35</f>
        <v>0</v>
      </c>
    </row>
    <row r="26" customFormat="false" ht="15" hidden="false" customHeight="false" outlineLevel="0" collapsed="false">
      <c r="G26" s="36" t="n">
        <v>6</v>
      </c>
      <c r="H26" s="30" t="n">
        <f aca="false">HESAP!B36</f>
        <v>1755</v>
      </c>
      <c r="I26" s="30" t="n">
        <f aca="false">HESAP!D36</f>
        <v>642</v>
      </c>
    </row>
    <row r="27" customFormat="false" ht="15" hidden="false" customHeight="false" outlineLevel="0" collapsed="false">
      <c r="G27" s="36" t="n">
        <v>7</v>
      </c>
      <c r="H27" s="30" t="n">
        <f aca="false">HESAP!B37</f>
        <v>0</v>
      </c>
      <c r="I27" s="30" t="n">
        <f aca="false">HESAP!D37</f>
        <v>0</v>
      </c>
    </row>
    <row r="28" customFormat="false" ht="15" hidden="false" customHeight="false" outlineLevel="0" collapsed="false">
      <c r="G28" s="36" t="n">
        <v>8</v>
      </c>
      <c r="H28" s="30" t="n">
        <f aca="false">HESAP!B38</f>
        <v>0</v>
      </c>
      <c r="I28" s="30" t="n">
        <f aca="false">HESAP!D38</f>
        <v>0</v>
      </c>
    </row>
    <row r="29" customFormat="false" ht="15" hidden="false" customHeight="false" outlineLevel="0" collapsed="false">
      <c r="G29" s="36" t="n">
        <v>9</v>
      </c>
      <c r="H29" s="30" t="n">
        <f aca="false">HESAP!B39</f>
        <v>0</v>
      </c>
      <c r="I29" s="30" t="n">
        <f aca="false">HESAP!D39</f>
        <v>0</v>
      </c>
    </row>
    <row r="30" customFormat="false" ht="15" hidden="false" customHeight="false" outlineLevel="0" collapsed="false">
      <c r="G30" s="36" t="n">
        <v>10</v>
      </c>
      <c r="H30" s="30" t="n">
        <f aca="false">HESAP!B40</f>
        <v>0</v>
      </c>
      <c r="I30" s="30" t="n">
        <f aca="false">HESAP!D40</f>
        <v>0</v>
      </c>
    </row>
    <row r="31" customFormat="false" ht="15" hidden="false" customHeight="false" outlineLevel="0" collapsed="false">
      <c r="G31" s="36" t="n">
        <v>11</v>
      </c>
      <c r="H31" s="30" t="n">
        <f aca="false">HESAP!B41</f>
        <v>0</v>
      </c>
      <c r="I31" s="30" t="n">
        <f aca="false">HESAP!D41</f>
        <v>0</v>
      </c>
    </row>
    <row r="32" customFormat="false" ht="15" hidden="false" customHeight="false" outlineLevel="0" collapsed="false">
      <c r="G32" s="36" t="n">
        <v>12</v>
      </c>
      <c r="H32" s="30" t="n">
        <f aca="false">HESAP!B42</f>
        <v>0</v>
      </c>
      <c r="I32" s="30" t="n">
        <f aca="false">HESAP!D42</f>
        <v>0</v>
      </c>
    </row>
    <row r="34" customFormat="false" ht="15" hidden="false" customHeight="false" outlineLevel="0" collapsed="false">
      <c r="A34" s="35" t="s">
        <v>61</v>
      </c>
      <c r="B34" s="35" t="s">
        <v>84</v>
      </c>
    </row>
    <row r="35" customFormat="false" ht="15" hidden="false" customHeight="false" outlineLevel="0" collapsed="false">
      <c r="A35" s="54" t="s">
        <v>176</v>
      </c>
      <c r="B35" s="29" t="n">
        <f aca="false">IFERROR(COUNTIF(tblKalem[Durum],"EKSİK HAKEDİŞ"),0)</f>
        <v>2</v>
      </c>
    </row>
    <row r="36" customFormat="false" ht="15" hidden="false" customHeight="false" outlineLevel="0" collapsed="false">
      <c r="A36" s="54" t="s">
        <v>177</v>
      </c>
      <c r="B36" s="29" t="n">
        <f aca="false">IFERROR(COUNTIF(tblKalem[Durum],"DOĞRU"),0)</f>
        <v>2</v>
      </c>
    </row>
    <row r="37" customFormat="false" ht="15" hidden="false" customHeight="false" outlineLevel="0" collapsed="false">
      <c r="A37" s="54" t="s">
        <v>178</v>
      </c>
      <c r="B37" s="29" t="n">
        <f aca="false">IFERROR(COUNTIF(tblKalem[Durum],"BEKLİYOR"),0)</f>
        <v>2</v>
      </c>
    </row>
    <row r="40" customFormat="false" ht="15" hidden="false" customHeight="false" outlineLevel="0" collapsed="false">
      <c r="A40" s="6" t="s">
        <v>179</v>
      </c>
      <c r="B40" s="30" t="n">
        <f aca="false">HESAP!B44</f>
        <v>2317</v>
      </c>
    </row>
    <row r="41" customFormat="false" ht="15" hidden="false" customHeight="false" outlineLevel="0" collapsed="false">
      <c r="A41" s="37" t="s">
        <v>131</v>
      </c>
      <c r="B41" s="30" t="n">
        <f aca="false">HESAP!B45</f>
        <v>0</v>
      </c>
    </row>
    <row r="42" customFormat="false" ht="15" hidden="false" customHeight="false" outlineLevel="0" collapsed="false">
      <c r="A42" s="6" t="s">
        <v>180</v>
      </c>
      <c r="B42" s="30" t="n">
        <f aca="false">HESAP!B46</f>
        <v>0</v>
      </c>
    </row>
    <row r="43" customFormat="false" ht="15" hidden="false" customHeight="false" outlineLevel="0" collapsed="false">
      <c r="A43" s="6" t="s">
        <v>181</v>
      </c>
      <c r="B43" s="30" t="n">
        <f aca="false">HESAP!B47</f>
        <v>2317</v>
      </c>
    </row>
    <row r="44" customFormat="false" ht="15" hidden="false" customHeight="false" outlineLevel="0" collapsed="false">
      <c r="A44" s="6" t="s">
        <v>182</v>
      </c>
      <c r="B44" s="30" t="n">
        <f aca="false">HESAP!B48</f>
        <v>2317</v>
      </c>
    </row>
    <row r="46" customFormat="false" ht="15" hidden="false" customHeight="false" outlineLevel="0" collapsed="false">
      <c r="E46" s="53" t="s">
        <v>183</v>
      </c>
      <c r="F46" s="53" t="s">
        <v>184</v>
      </c>
    </row>
    <row r="47" customFormat="false" ht="15" hidden="false" customHeight="false" outlineLevel="0" collapsed="false">
      <c r="E47" s="54" t="s">
        <v>185</v>
      </c>
      <c r="F47" s="30" t="n">
        <f aca="false">SENARYO_DUYARLILIK!C7</f>
        <v>33699.77985</v>
      </c>
    </row>
    <row r="48" customFormat="false" ht="15" hidden="false" customHeight="false" outlineLevel="0" collapsed="false">
      <c r="E48" s="54" t="s">
        <v>186</v>
      </c>
      <c r="F48" s="30" t="n">
        <f aca="false">SENARYO_DUYARLILIK!C8</f>
        <v>27802.457</v>
      </c>
    </row>
    <row r="49" customFormat="false" ht="15" hidden="false" customHeight="false" outlineLevel="0" collapsed="false">
      <c r="E49" s="54" t="s">
        <v>187</v>
      </c>
      <c r="F49" s="30" t="n">
        <f aca="false">SENARYO_DUYARLILIK!C9</f>
        <v>21905.13415</v>
      </c>
    </row>
    <row r="50" customFormat="false" ht="15" hidden="false" customHeight="false" outlineLevel="0" collapsed="false">
      <c r="E50" s="54" t="s">
        <v>188</v>
      </c>
      <c r="F50" s="30" t="n">
        <f aca="false">SENARYO_DUYARLILIK!C10</f>
        <v>16007.8113</v>
      </c>
    </row>
    <row r="52" customFormat="false" ht="19.5" hidden="false" customHeight="true" outlineLevel="0" collapsed="false">
      <c r="A52" s="27" t="s">
        <v>189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</sheetData>
  <sheetProtection sheet="true" password="cc3d" objects="true" scenarios="true" deleteColumns="false" deleteRows="false"/>
  <mergeCells count="2">
    <mergeCell ref="A1:AD1"/>
    <mergeCell ref="A52:AN52"/>
  </mergeCells>
  <conditionalFormatting sqref="B4">
    <cfRule type="cellIs" priority="2" operator="equal" aboveAverage="0" equalAverage="0" bottom="0" percent="0" rank="0" text="" dxfId="9">
      <formula>"VERİ YOK"</formula>
    </cfRule>
    <cfRule type="cellIs" priority="3" operator="equal" aboveAverage="0" equalAverage="0" bottom="0" percent="0" rank="0" text="" dxfId="6">
      <formula>"DURDUR"</formula>
    </cfRule>
    <cfRule type="cellIs" priority="4" operator="equal" aboveAverage="0" equalAverage="0" bottom="0" percent="0" rank="0" text="" dxfId="6">
      <formula>"İNCELE"</formula>
    </cfRule>
  </conditionalFormatting>
  <conditionalFormatting sqref="B6">
    <cfRule type="cellIs" priority="5" operator="equal" aboveAverage="0" equalAverage="0" bottom="0" percent="0" rank="0" text="" dxfId="9">
      <formula>"VERİ YOK"</formula>
    </cfRule>
    <cfRule type="cellIs" priority="6" operator="equal" aboveAverage="0" equalAverage="0" bottom="0" percent="0" rank="0" text="" dxfId="6">
      <formula>"DURDUR"</formula>
    </cfRule>
    <cfRule type="cellIs" priority="7" operator="equal" aboveAverage="0" equalAverage="0" bottom="0" percent="0" rank="0" text="" dxfId="6">
      <formula>"İNCELE"</formula>
    </cfRule>
  </conditionalFormatting>
  <conditionalFormatting sqref="B11">
    <cfRule type="cellIs" priority="8" operator="lessThan" aboveAverage="0" equalAverage="0" bottom="0" percent="0" rank="0" text="" dxfId="6">
      <formula>0</formula>
    </cfRule>
  </conditionalFormatting>
  <conditionalFormatting sqref="B12">
    <cfRule type="cellIs" priority="9" operator="lessThan" aboveAverage="0" equalAverage="0" bottom="0" percent="0" rank="0" text="" dxfId="6">
      <formula>0</formula>
    </cfRule>
  </conditionalFormatting>
  <conditionalFormatting sqref="B13">
    <cfRule type="cellIs" priority="10" operator="lessThan" aboveAverage="0" equalAverage="0" bottom="0" percent="0" rank="0" text="" dxfId="6">
      <formula>0</formula>
    </cfRule>
  </conditionalFormatting>
  <conditionalFormatting sqref="B14">
    <cfRule type="cellIs" priority="11" operator="lessThan" aboveAverage="0" equalAverage="0" bottom="0" percent="0" rank="0" text="" dxfId="6">
      <formula>0</formula>
    </cfRule>
  </conditionalFormatting>
  <conditionalFormatting sqref="B15">
    <cfRule type="cellIs" priority="12" operator="lessThan" aboveAverage="0" equalAverage="0" bottom="0" percent="0" rank="0" text="" dxfId="6">
      <formula>0</formula>
    </cfRule>
  </conditionalFormatting>
  <conditionalFormatting sqref="C11">
    <cfRule type="cellIs" priority="13" operator="lessThan" aboveAverage="0" equalAverage="0" bottom="0" percent="0" rank="0" text="" dxfId="6">
      <formula>0</formula>
    </cfRule>
  </conditionalFormatting>
  <conditionalFormatting sqref="C12">
    <cfRule type="cellIs" priority="14" operator="lessThan" aboveAverage="0" equalAverage="0" bottom="0" percent="0" rank="0" text="" dxfId="6">
      <formula>0</formula>
    </cfRule>
  </conditionalFormatting>
  <conditionalFormatting sqref="C13">
    <cfRule type="cellIs" priority="15" operator="lessThan" aboveAverage="0" equalAverage="0" bottom="0" percent="0" rank="0" text="" dxfId="6">
      <formula>0</formula>
    </cfRule>
  </conditionalFormatting>
  <conditionalFormatting sqref="C14">
    <cfRule type="cellIs" priority="16" operator="lessThan" aboveAverage="0" equalAverage="0" bottom="0" percent="0" rank="0" text="" dxfId="6">
      <formula>0</formula>
    </cfRule>
  </conditionalFormatting>
  <conditionalFormatting sqref="C15">
    <cfRule type="cellIs" priority="17" operator="lessThan" aboveAverage="0" equalAverage="0" bottom="0" percent="0" rank="0" text="" dxfId="6">
      <formula>0</formula>
    </cfRule>
  </conditionalFormatting>
  <conditionalFormatting sqref="D11">
    <cfRule type="cellIs" priority="18" operator="lessThan" aboveAverage="0" equalAverage="0" bottom="0" percent="0" rank="0" text="" dxfId="6">
      <formula>0</formula>
    </cfRule>
  </conditionalFormatting>
  <conditionalFormatting sqref="D12">
    <cfRule type="cellIs" priority="19" operator="lessThan" aboveAverage="0" equalAverage="0" bottom="0" percent="0" rank="0" text="" dxfId="6">
      <formula>0</formula>
    </cfRule>
  </conditionalFormatting>
  <conditionalFormatting sqref="D13">
    <cfRule type="cellIs" priority="20" operator="lessThan" aboveAverage="0" equalAverage="0" bottom="0" percent="0" rank="0" text="" dxfId="6">
      <formula>0</formula>
    </cfRule>
  </conditionalFormatting>
  <conditionalFormatting sqref="D14">
    <cfRule type="cellIs" priority="21" operator="lessThan" aboveAverage="0" equalAverage="0" bottom="0" percent="0" rank="0" text="" dxfId="6">
      <formula>0</formula>
    </cfRule>
  </conditionalFormatting>
  <conditionalFormatting sqref="D15">
    <cfRule type="cellIs" priority="22" operator="lessThan" aboveAverage="0" equalAverage="0" bottom="0" percent="0" rank="0" text="" dxfId="6">
      <formula>0</formula>
    </cfRule>
  </conditionalFormatting>
  <conditionalFormatting sqref="E11">
    <cfRule type="cellIs" priority="23" operator="lessThan" aboveAverage="0" equalAverage="0" bottom="0" percent="0" rank="0" text="" dxfId="6">
      <formula>0</formula>
    </cfRule>
  </conditionalFormatting>
  <conditionalFormatting sqref="E12">
    <cfRule type="cellIs" priority="24" operator="lessThan" aboveAverage="0" equalAverage="0" bottom="0" percent="0" rank="0" text="" dxfId="6">
      <formula>0</formula>
    </cfRule>
  </conditionalFormatting>
  <conditionalFormatting sqref="E13">
    <cfRule type="cellIs" priority="25" operator="lessThan" aboveAverage="0" equalAverage="0" bottom="0" percent="0" rank="0" text="" dxfId="6">
      <formula>0</formula>
    </cfRule>
  </conditionalFormatting>
  <conditionalFormatting sqref="E14">
    <cfRule type="cellIs" priority="26" operator="lessThan" aboveAverage="0" equalAverage="0" bottom="0" percent="0" rank="0" text="" dxfId="6">
      <formula>0</formula>
    </cfRule>
  </conditionalFormatting>
  <conditionalFormatting sqref="E15">
    <cfRule type="cellIs" priority="27" operator="lessThan" aboveAverage="0" equalAverage="0" bottom="0" percent="0" rank="0" text="" dxfId="6">
      <formula>0</formula>
    </cfRule>
  </conditionalFormatting>
  <conditionalFormatting sqref="F11">
    <cfRule type="cellIs" priority="28" operator="lessThan" aboveAverage="0" equalAverage="0" bottom="0" percent="0" rank="0" text="" dxfId="6">
      <formula>0</formula>
    </cfRule>
  </conditionalFormatting>
  <conditionalFormatting sqref="F12">
    <cfRule type="cellIs" priority="29" operator="lessThan" aboveAverage="0" equalAverage="0" bottom="0" percent="0" rank="0" text="" dxfId="6">
      <formula>0</formula>
    </cfRule>
  </conditionalFormatting>
  <conditionalFormatting sqref="F13">
    <cfRule type="cellIs" priority="30" operator="lessThan" aboveAverage="0" equalAverage="0" bottom="0" percent="0" rank="0" text="" dxfId="6">
      <formula>0</formula>
    </cfRule>
  </conditionalFormatting>
  <conditionalFormatting sqref="F14">
    <cfRule type="cellIs" priority="31" operator="lessThan" aboveAverage="0" equalAverage="0" bottom="0" percent="0" rank="0" text="" dxfId="6">
      <formula>0</formula>
    </cfRule>
  </conditionalFormatting>
  <conditionalFormatting sqref="F15">
    <cfRule type="cellIs" priority="32" operator="lessThan" aboveAverage="0" equalAverage="0" bottom="0" percent="0" rank="0" text="" dxfId="6">
      <formula>0</formula>
    </cfRule>
  </conditionalFormatting>
  <conditionalFormatting sqref="G11">
    <cfRule type="cellIs" priority="33" operator="lessThan" aboveAverage="0" equalAverage="0" bottom="0" percent="0" rank="0" text="" dxfId="6">
      <formula>0</formula>
    </cfRule>
  </conditionalFormatting>
  <conditionalFormatting sqref="G12">
    <cfRule type="cellIs" priority="34" operator="lessThan" aboveAverage="0" equalAverage="0" bottom="0" percent="0" rank="0" text="" dxfId="6">
      <formula>0</formula>
    </cfRule>
  </conditionalFormatting>
  <conditionalFormatting sqref="G13">
    <cfRule type="cellIs" priority="35" operator="lessThan" aboveAverage="0" equalAverage="0" bottom="0" percent="0" rank="0" text="" dxfId="6">
      <formula>0</formula>
    </cfRule>
  </conditionalFormatting>
  <conditionalFormatting sqref="G14">
    <cfRule type="cellIs" priority="36" operator="lessThan" aboveAverage="0" equalAverage="0" bottom="0" percent="0" rank="0" text="" dxfId="6">
      <formula>0</formula>
    </cfRule>
  </conditionalFormatting>
  <conditionalFormatting sqref="G15">
    <cfRule type="cellIs" priority="37" operator="lessThan" aboveAverage="0" equalAverage="0" bottom="0" percent="0" rank="0" text="" dxfId="6">
      <formula>0</formula>
    </cfRule>
  </conditionalFormatting>
  <conditionalFormatting sqref="H11">
    <cfRule type="cellIs" priority="38" operator="lessThan" aboveAverage="0" equalAverage="0" bottom="0" percent="0" rank="0" text="" dxfId="6">
      <formula>0</formula>
    </cfRule>
  </conditionalFormatting>
  <conditionalFormatting sqref="H12">
    <cfRule type="cellIs" priority="39" operator="lessThan" aboveAverage="0" equalAverage="0" bottom="0" percent="0" rank="0" text="" dxfId="6">
      <formula>0</formula>
    </cfRule>
  </conditionalFormatting>
  <conditionalFormatting sqref="H13">
    <cfRule type="cellIs" priority="40" operator="lessThan" aboveAverage="0" equalAverage="0" bottom="0" percent="0" rank="0" text="" dxfId="6">
      <formula>0</formula>
    </cfRule>
  </conditionalFormatting>
  <conditionalFormatting sqref="H14">
    <cfRule type="cellIs" priority="41" operator="lessThan" aboveAverage="0" equalAverage="0" bottom="0" percent="0" rank="0" text="" dxfId="6">
      <formula>0</formula>
    </cfRule>
  </conditionalFormatting>
  <conditionalFormatting sqref="H15">
    <cfRule type="cellIs" priority="42" operator="lessThan" aboveAverage="0" equalAverage="0" bottom="0" percent="0" rank="0" text="" dxfId="6">
      <formula>0</formula>
    </cfRule>
  </conditionalFormatting>
  <conditionalFormatting sqref="I11">
    <cfRule type="cellIs" priority="43" operator="lessThan" aboveAverage="0" equalAverage="0" bottom="0" percent="0" rank="0" text="" dxfId="6">
      <formula>0</formula>
    </cfRule>
  </conditionalFormatting>
  <conditionalFormatting sqref="I12">
    <cfRule type="cellIs" priority="44" operator="lessThan" aboveAverage="0" equalAverage="0" bottom="0" percent="0" rank="0" text="" dxfId="6">
      <formula>0</formula>
    </cfRule>
  </conditionalFormatting>
  <conditionalFormatting sqref="I13">
    <cfRule type="cellIs" priority="45" operator="lessThan" aboveAverage="0" equalAverage="0" bottom="0" percent="0" rank="0" text="" dxfId="6">
      <formula>0</formula>
    </cfRule>
  </conditionalFormatting>
  <conditionalFormatting sqref="I14">
    <cfRule type="cellIs" priority="46" operator="lessThan" aboveAverage="0" equalAverage="0" bottom="0" percent="0" rank="0" text="" dxfId="6">
      <formula>0</formula>
    </cfRule>
  </conditionalFormatting>
  <conditionalFormatting sqref="I15">
    <cfRule type="cellIs" priority="47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&amp;LPazaryeri Net Kâr Eksik Hakediş Yakalayıcı&amp;CExcelArşiv&amp;RSayfa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4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191</v>
      </c>
    </row>
    <row r="4" customFormat="false" ht="41.75" hidden="false" customHeight="false" outlineLevel="0" collapsed="false">
      <c r="A4" s="14" t="s">
        <v>192</v>
      </c>
    </row>
    <row r="6" customFormat="false" ht="15" hidden="false" customHeight="false" outlineLevel="0" collapsed="false">
      <c r="A6" s="35" t="s">
        <v>183</v>
      </c>
      <c r="B6" s="53" t="s">
        <v>193</v>
      </c>
      <c r="C6" s="53" t="s">
        <v>184</v>
      </c>
      <c r="D6" s="35" t="s">
        <v>61</v>
      </c>
    </row>
    <row r="7" customFormat="false" ht="15" hidden="false" customHeight="false" outlineLevel="0" collapsed="false">
      <c r="A7" s="28" t="s">
        <v>194</v>
      </c>
      <c r="B7" s="31" t="n">
        <f aca="false">AYARLAR!$B$18</f>
        <v>0.05</v>
      </c>
      <c r="C7" s="30" t="n">
        <f aca="false">IFERROR(PazaryeriToplamNetKar+PazaryeriToplamSatis*B7*(1-PazaryeriOrtKesintiOrani),0)</f>
        <v>33699.77985</v>
      </c>
      <c r="D7" s="34" t="str">
        <f aca="false">IF(C7&gt;=PazaryeriToplamNetKar,"AVANTAJLI","DEĞERLENDİR")</f>
        <v>AVANTAJLI</v>
      </c>
    </row>
    <row r="8" customFormat="false" ht="15" hidden="false" customHeight="false" outlineLevel="0" collapsed="false">
      <c r="A8" s="28" t="s">
        <v>195</v>
      </c>
      <c r="B8" s="31" t="n">
        <f aca="false">AYARLAR!$B$19</f>
        <v>0</v>
      </c>
      <c r="C8" s="30" t="n">
        <f aca="false">IFERROR(PazaryeriToplamNetKar+PazaryeriToplamSatis*B8*(1-PazaryeriOrtKesintiOrani),0)</f>
        <v>27802.457</v>
      </c>
      <c r="D8" s="34" t="str">
        <f aca="false">IF(C8&gt;=PazaryeriToplamNetKar,"AVANTAJLI","DEĞERLENDİR")</f>
        <v>AVANTAJLI</v>
      </c>
    </row>
    <row r="9" customFormat="false" ht="15" hidden="false" customHeight="false" outlineLevel="0" collapsed="false">
      <c r="A9" s="28" t="s">
        <v>196</v>
      </c>
      <c r="B9" s="31" t="n">
        <f aca="false">AYARLAR!$B$20</f>
        <v>-0.05</v>
      </c>
      <c r="C9" s="30" t="n">
        <f aca="false">IFERROR(PazaryeriToplamNetKar+PazaryeriToplamSatis*B9*(1-PazaryeriOrtKesintiOrani),0)</f>
        <v>21905.13415</v>
      </c>
      <c r="D9" s="34" t="str">
        <f aca="false">IF(C9&gt;=PazaryeriToplamNetKar,"AVANTAJLI","DEĞERLENDİR")</f>
        <v>DEĞERLENDİR</v>
      </c>
    </row>
    <row r="10" customFormat="false" ht="15" hidden="false" customHeight="false" outlineLevel="0" collapsed="false">
      <c r="A10" s="28" t="s">
        <v>197</v>
      </c>
      <c r="B10" s="31" t="n">
        <f aca="false">AYARLAR!$B$21</f>
        <v>-0.1</v>
      </c>
      <c r="C10" s="30" t="n">
        <f aca="false">IFERROR(PazaryeriToplamNetKar+PazaryeriToplamSatis*B10*(1-PazaryeriOrtKesintiOrani),0)</f>
        <v>16007.8113</v>
      </c>
      <c r="D10" s="34" t="str">
        <f aca="false">IF(C10&gt;=PazaryeriToplamNetKar,"AVANTAJLI","DEĞERLENDİR")</f>
        <v>DEĞERLENDİR</v>
      </c>
    </row>
    <row r="11" customFormat="false" ht="15" hidden="false" customHeight="false" outlineLevel="0" collapsed="false">
      <c r="A11" s="28" t="s">
        <v>198</v>
      </c>
      <c r="C11" s="33" t="n">
        <f aca="false">C7-C10</f>
        <v>17691.96855</v>
      </c>
    </row>
    <row r="13" customFormat="false" ht="15" hidden="false" customHeight="false" outlineLevel="0" collapsed="false">
      <c r="A13" s="4" t="s">
        <v>199</v>
      </c>
    </row>
    <row r="14" customFormat="false" ht="15" hidden="false" customHeight="false" outlineLevel="0" collapsed="false">
      <c r="A14" s="6" t="s">
        <v>200</v>
      </c>
      <c r="B14" s="30" t="n">
        <f aca="false">IFERROR(ABS(PazaryeriToplamSatis*PazaryeriTornadoKomisyonOran),0)</f>
        <v>1852.97</v>
      </c>
    </row>
    <row r="15" customFormat="false" ht="15" hidden="false" customHeight="false" outlineLevel="0" collapsed="false">
      <c r="A15" s="6" t="s">
        <v>201</v>
      </c>
      <c r="B15" s="30" t="n">
        <f aca="false">IFERROR(ABS(PazaryeriToplamSatis*AYARLAR!$B$29*(1-PazaryeriOrtKesintiOrani)),0)</f>
        <v>5897.32285</v>
      </c>
    </row>
    <row r="17" customFormat="false" ht="15" hidden="false" customHeight="false" outlineLevel="0" collapsed="false">
      <c r="A17" s="37" t="s">
        <v>202</v>
      </c>
      <c r="B17" s="55" t="str">
        <f aca="false">IF(B14&gt;=B15,"Komisyon","Satış Fiyatı")</f>
        <v>Satış Fiyatı</v>
      </c>
    </row>
    <row r="19" customFormat="false" ht="19.5" hidden="false" customHeight="true" outlineLevel="0" collapsed="false">
      <c r="A19" s="27" t="s">
        <v>203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C7">
    <cfRule type="cellIs" priority="2" operator="lessThanOrEqual" aboveAverage="0" equalAverage="0" bottom="0" percent="0" rank="0" text="" dxfId="10">
      <formula>$C$7</formula>
    </cfRule>
    <cfRule type="cellIs" priority="3" operator="greaterThan" aboveAverage="0" equalAverage="0" bottom="0" percent="0" rank="0" text="" dxfId="7">
      <formula>$C$7</formula>
    </cfRule>
  </conditionalFormatting>
  <conditionalFormatting sqref="C8">
    <cfRule type="cellIs" priority="4" operator="lessThanOrEqual" aboveAverage="0" equalAverage="0" bottom="0" percent="0" rank="0" text="" dxfId="10">
      <formula>$C$7</formula>
    </cfRule>
    <cfRule type="cellIs" priority="5" operator="greaterThan" aboveAverage="0" equalAverage="0" bottom="0" percent="0" rank="0" text="" dxfId="7">
      <formula>$C$7</formula>
    </cfRule>
  </conditionalFormatting>
  <conditionalFormatting sqref="C9">
    <cfRule type="cellIs" priority="6" operator="lessThanOrEqual" aboveAverage="0" equalAverage="0" bottom="0" percent="0" rank="0" text="" dxfId="10">
      <formula>$C$7</formula>
    </cfRule>
    <cfRule type="cellIs" priority="7" operator="greaterThan" aboveAverage="0" equalAverage="0" bottom="0" percent="0" rank="0" text="" dxfId="7">
      <formula>$C$7</formula>
    </cfRule>
  </conditionalFormatting>
  <conditionalFormatting sqref="C10">
    <cfRule type="cellIs" priority="8" operator="lessThanOrEqual" aboveAverage="0" equalAverage="0" bottom="0" percent="0" rank="0" text="" dxfId="10">
      <formula>$C$7</formula>
    </cfRule>
    <cfRule type="cellIs" priority="9" operator="greaterThan" aboveAverage="0" equalAverage="0" bottom="0" percent="0" rank="0" text="" dxfId="7">
      <formula>$C$7</formula>
    </cfRule>
  </conditionalFormatting>
  <conditionalFormatting sqref="C11">
    <cfRule type="cellIs" priority="10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6" t="s">
        <v>204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</row>
    <row r="2" customFormat="false" ht="15" hidden="false" customHeight="false" outlineLevel="0" collapsed="false">
      <c r="A2" s="57" t="str">
        <f aca="false">_xlfn.CONCAT("Rapor Tarihi: ",TEXT(PazaryeriRaporTarihi,"dd.mm.yyyy")," | Hazırlayan: ",PazaryeriRaporHazirlayan," | Sürüm: ",PazaryeriDosyaSurumu)</f>
        <v>Rapor Tarihi: 10.08.2026 | Hazırlayan: Pazaryeri Operasyon Müdürü | Sürüm: 1.0.0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4" customFormat="false" ht="17.35" hidden="false" customHeight="false" outlineLevel="0" collapsed="false">
      <c r="A4" s="4" t="s">
        <v>170</v>
      </c>
      <c r="B4" s="44" t="str">
        <f aca="false">KARAR!B11</f>
        <v>İNCELE</v>
      </c>
    </row>
    <row r="6" customFormat="false" ht="15" hidden="false" customHeight="false" outlineLevel="0" collapsed="false">
      <c r="A6" s="6" t="s">
        <v>49</v>
      </c>
      <c r="B6" s="30" t="n">
        <f aca="false">HESAP!B14</f>
        <v>185297</v>
      </c>
    </row>
    <row r="7" customFormat="false" ht="15" hidden="false" customHeight="false" outlineLevel="0" collapsed="false">
      <c r="A7" s="6" t="s">
        <v>54</v>
      </c>
      <c r="B7" s="30" t="n">
        <f aca="false">HESAP!B19</f>
        <v>157494.543</v>
      </c>
    </row>
    <row r="8" customFormat="false" ht="15" hidden="false" customHeight="false" outlineLevel="0" collapsed="false">
      <c r="A8" s="6" t="s">
        <v>157</v>
      </c>
      <c r="B8" s="30" t="n">
        <f aca="false">HESAP!B20</f>
        <v>27802.457</v>
      </c>
    </row>
    <row r="9" customFormat="false" ht="15" hidden="false" customHeight="false" outlineLevel="0" collapsed="false">
      <c r="A9" s="6" t="s">
        <v>96</v>
      </c>
      <c r="B9" s="31" t="n">
        <f aca="false">HESAP!B21</f>
        <v>0.150042672034626</v>
      </c>
    </row>
    <row r="10" customFormat="false" ht="15" hidden="false" customHeight="false" outlineLevel="0" collapsed="false">
      <c r="A10" s="6" t="s">
        <v>98</v>
      </c>
      <c r="B10" s="30" t="n">
        <f aca="false">HESAP!B23</f>
        <v>124956.36</v>
      </c>
    </row>
    <row r="11" customFormat="false" ht="15" hidden="false" customHeight="false" outlineLevel="0" collapsed="false">
      <c r="A11" s="6" t="s">
        <v>158</v>
      </c>
      <c r="B11" s="30" t="n">
        <f aca="false">HESAP!B24</f>
        <v>6541.2</v>
      </c>
    </row>
    <row r="12" customFormat="false" ht="15" hidden="false" customHeight="false" outlineLevel="0" collapsed="false">
      <c r="A12" s="6" t="s">
        <v>100</v>
      </c>
      <c r="B12" s="29" t="n">
        <f aca="false">HESAP!B25</f>
        <v>2</v>
      </c>
    </row>
    <row r="13" customFormat="false" ht="15" hidden="false" customHeight="false" outlineLevel="0" collapsed="false">
      <c r="A13" s="6" t="s">
        <v>102</v>
      </c>
      <c r="B13" s="34" t="str">
        <f aca="false">HESAP!B27</f>
        <v>N11</v>
      </c>
    </row>
    <row r="14" customFormat="false" ht="15" hidden="false" customHeight="false" outlineLevel="0" collapsed="false">
      <c r="A14" s="6" t="s">
        <v>151</v>
      </c>
      <c r="B14" s="29" t="n">
        <f aca="false">KONTROLLER!B19</f>
        <v>95</v>
      </c>
    </row>
    <row r="16" customFormat="false" ht="15" hidden="false" customHeight="false" outlineLevel="0" collapsed="false">
      <c r="A16" s="32" t="s">
        <v>205</v>
      </c>
    </row>
    <row r="17" customFormat="false" ht="15" hidden="false" customHeight="true" outlineLevel="0" collapsed="false">
      <c r="A17" s="5" t="s">
        <v>206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207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211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32" t="s">
        <v>161</v>
      </c>
    </row>
    <row r="25" customFormat="false" ht="15" hidden="false" customHeight="false" outlineLevel="0" collapsed="false">
      <c r="A25" s="5" t="str">
        <f aca="false">PazaryeriAksiyon1_ACIKLAMA</f>
        <v>Eksik hakediş tespit edildi; pazaryeri müşteri hizmetlerine fark dökümünü ileterek tutarın iadesini talep edin.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PazaryeriAksiyon2_ACIKLAMA</f>
        <v>Genel marj hedefin üzerinde; satışı artırmak için kâr marjı yüksek kalemlerin reklam bütçesini öne çekin.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PazaryeriAksiyon3_ACIKLAMA</f>
        <v>Marj kritik altında; komisyon yüksek pazaryerlerinde fiyat/komisyon yapısını yeniden müzakere edin veya portföyü gözden geçirin.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15" hidden="false" customHeight="false" outlineLevel="0" collapsed="false">
      <c r="A29" s="58" t="s">
        <v>212</v>
      </c>
    </row>
  </sheetData>
  <sheetProtection sheet="true" password="cc3d" objects="true" scenarios="true" deleteColumns="false" deleteRows="false"/>
  <mergeCells count="11">
    <mergeCell ref="A1:AN1"/>
    <mergeCell ref="A2:L2"/>
    <mergeCell ref="A17:L17"/>
    <mergeCell ref="A18:L18"/>
    <mergeCell ref="A19:L19"/>
    <mergeCell ref="A20:L20"/>
    <mergeCell ref="A21:L21"/>
    <mergeCell ref="A22:L22"/>
    <mergeCell ref="A25:L25"/>
    <mergeCell ref="A26:L26"/>
    <mergeCell ref="A27:L27"/>
  </mergeCells>
  <conditionalFormatting sqref="B4">
    <cfRule type="cellIs" priority="2" operator="equal" aboveAverage="0" equalAverage="0" bottom="0" percent="0" rank="0" text="" dxfId="6">
      <formula>"DURDUR"</formula>
    </cfRule>
    <cfRule type="cellIs" priority="3" operator="equal" aboveAverage="0" equalAverage="0" bottom="0" percent="0" rank="0" text="" dxfId="6">
      <formula>"İNCELE"</formula>
    </cfRule>
    <cfRule type="cellIs" priority="4" operator="notEqual" aboveAverage="0" equalAverage="0" bottom="0" percent="0" rank="0" text="" dxfId="9">
      <formula>"İNCELE"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&amp;LPazaryeri Net Kâr Eksik Hakediş Yakalayıcı&amp;CExcelArşiv&amp;RSayfa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24"/>
  </cols>
  <sheetData>
    <row r="1" customFormat="false" ht="25.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214</v>
      </c>
    </row>
    <row r="4" customFormat="false" ht="149.25" hidden="false" customHeight="false" outlineLevel="0" collapsed="false">
      <c r="A4" s="14" t="s">
        <v>215</v>
      </c>
    </row>
    <row r="5" customFormat="false" ht="30" hidden="false" customHeight="true" outlineLevel="0" collapsed="false">
      <c r="A5" s="15" t="s">
        <v>39</v>
      </c>
      <c r="B5" s="15" t="s">
        <v>40</v>
      </c>
      <c r="C5" s="15" t="s">
        <v>63</v>
      </c>
      <c r="D5" s="15" t="s">
        <v>41</v>
      </c>
      <c r="E5" s="15" t="s">
        <v>42</v>
      </c>
      <c r="F5" s="15" t="s">
        <v>43</v>
      </c>
      <c r="G5" s="15" t="s">
        <v>44</v>
      </c>
      <c r="H5" s="15" t="s">
        <v>45</v>
      </c>
      <c r="I5" s="15" t="s">
        <v>46</v>
      </c>
      <c r="J5" s="15" t="s">
        <v>47</v>
      </c>
      <c r="K5" s="15" t="s">
        <v>48</v>
      </c>
      <c r="L5" s="15" t="s">
        <v>57</v>
      </c>
      <c r="M5" s="15" t="s">
        <v>55</v>
      </c>
      <c r="N5" s="15" t="s">
        <v>62</v>
      </c>
    </row>
    <row r="6" customFormat="false" ht="15" hidden="false" customHeight="false" outlineLevel="0" collapsed="false">
      <c r="A6" s="59" t="s">
        <v>64</v>
      </c>
      <c r="B6" s="59" t="s">
        <v>65</v>
      </c>
      <c r="C6" s="59" t="s">
        <v>66</v>
      </c>
      <c r="D6" s="60" t="n">
        <v>899</v>
      </c>
      <c r="E6" s="61" t="n">
        <v>25</v>
      </c>
      <c r="F6" s="60" t="n">
        <v>420</v>
      </c>
      <c r="G6" s="62" t="n">
        <v>0.18</v>
      </c>
      <c r="H6" s="62" t="n">
        <v>0.04</v>
      </c>
      <c r="I6" s="62" t="n">
        <v>0.06</v>
      </c>
      <c r="J6" s="62" t="n">
        <v>0.05</v>
      </c>
      <c r="K6" s="60" t="n">
        <v>12</v>
      </c>
      <c r="L6" s="20" t="n">
        <f aca="false">IF($E6="",0,$D6*$E6*(1-$G6-$H6-$I6))</f>
        <v>16182</v>
      </c>
      <c r="M6" s="20" t="n">
        <f aca="false">IF($E6="",0,$D6*$E6-($F6*$E6+$G6*$D6*$E6+$H6*$D6*$E6+$I6*$D6*$E6+$J6*$D6*$E6*(1-$G6)+$K6*$E6))</f>
        <v>4460.525</v>
      </c>
      <c r="N6" s="23" t="str">
        <f aca="false">IF($B6="","",CONCATENATE("Örnek kalem: ",$B6))</f>
        <v>Örnek kalem: Kulaklık Bluetooth</v>
      </c>
    </row>
    <row r="7" customFormat="false" ht="15" hidden="false" customHeight="false" outlineLevel="0" collapsed="false">
      <c r="A7" s="59" t="s">
        <v>67</v>
      </c>
      <c r="B7" s="59" t="s">
        <v>68</v>
      </c>
      <c r="C7" s="59" t="s">
        <v>69</v>
      </c>
      <c r="D7" s="60" t="n">
        <v>549</v>
      </c>
      <c r="E7" s="61" t="n">
        <v>60</v>
      </c>
      <c r="F7" s="60" t="n">
        <v>260</v>
      </c>
      <c r="G7" s="62" t="n">
        <v>0.22</v>
      </c>
      <c r="H7" s="62" t="n">
        <v>0.05</v>
      </c>
      <c r="I7" s="62" t="n">
        <v>0.05</v>
      </c>
      <c r="J7" s="62" t="n">
        <v>0.04</v>
      </c>
      <c r="K7" s="60" t="n">
        <v>9</v>
      </c>
      <c r="L7" s="20" t="n">
        <f aca="false">IF($E7="",0,$D7*$E7*(1-$G7-$H7-$I7))</f>
        <v>22399.2</v>
      </c>
      <c r="M7" s="20" t="n">
        <f aca="false">IF($E7="",0,$D7*$E7-($F7*$E7+$G7*$D7*$E7+$H7*$D7*$E7+$I7*$D7*$E7+$J7*$D7*$E7*(1-$G7)+$K7*$E7))</f>
        <v>5231.472</v>
      </c>
      <c r="N7" s="23" t="str">
        <f aca="false">IF($B7="","",CONCATENATE("Örnek kalem: ",$B7))</f>
        <v>Örnek kalem: Powerbank 20.000mAh</v>
      </c>
    </row>
    <row r="8" customFormat="false" ht="15" hidden="false" customHeight="false" outlineLevel="0" collapsed="false">
      <c r="A8" s="59" t="s">
        <v>70</v>
      </c>
      <c r="B8" s="59" t="s">
        <v>71</v>
      </c>
      <c r="C8" s="59" t="s">
        <v>66</v>
      </c>
      <c r="D8" s="60" t="n">
        <v>1499</v>
      </c>
      <c r="E8" s="61" t="n">
        <v>18</v>
      </c>
      <c r="F8" s="60" t="n">
        <v>820</v>
      </c>
      <c r="G8" s="62" t="n">
        <v>0.2</v>
      </c>
      <c r="H8" s="62" t="n">
        <v>0.04</v>
      </c>
      <c r="I8" s="62" t="n">
        <v>0.08</v>
      </c>
      <c r="J8" s="62" t="n">
        <v>0.06</v>
      </c>
      <c r="K8" s="60" t="n">
        <v>18</v>
      </c>
      <c r="L8" s="20" t="n">
        <f aca="false">IF($E8="",0,$D8*$E8*(1-$G8-$H8-$I8))</f>
        <v>18347.76</v>
      </c>
      <c r="M8" s="20" t="n">
        <f aca="false">IF($E8="",0,$D8*$E8-($F8*$E8+$G8*$D8*$E8+$H8*$D8*$E8+$I8*$D8*$E8+$J8*$D8*$E8*(1-$G8)+$K8*$E8))</f>
        <v>1968.624</v>
      </c>
      <c r="N8" s="23" t="str">
        <f aca="false">IF($B8="","",CONCATENATE("Örnek kalem: ",$B8))</f>
        <v>Örnek kalem: Akıllı Saat</v>
      </c>
    </row>
    <row r="9" customFormat="false" ht="15" hidden="false" customHeight="false" outlineLevel="0" collapsed="false">
      <c r="A9" s="59" t="s">
        <v>72</v>
      </c>
      <c r="B9" s="59" t="s">
        <v>73</v>
      </c>
      <c r="C9" s="59" t="s">
        <v>74</v>
      </c>
      <c r="D9" s="60" t="n">
        <v>349</v>
      </c>
      <c r="E9" s="61" t="n">
        <v>120</v>
      </c>
      <c r="F9" s="60" t="n">
        <v>160</v>
      </c>
      <c r="G9" s="62" t="n">
        <v>0.24</v>
      </c>
      <c r="H9" s="62" t="n">
        <v>0.06</v>
      </c>
      <c r="I9" s="62" t="n">
        <v>0.07</v>
      </c>
      <c r="J9" s="62" t="n">
        <v>0.03</v>
      </c>
      <c r="K9" s="60" t="n">
        <v>6</v>
      </c>
      <c r="L9" s="20" t="n">
        <f aca="false">IF($E9="",0,$D9*$E9*(1-$G9-$H9-$I9))</f>
        <v>26384.4</v>
      </c>
      <c r="M9" s="20" t="n">
        <f aca="false">IF($E9="",0,$D9*$E9-($F9*$E9+$G9*$D9*$E9+$H9*$D9*$E9+$I9*$D9*$E9+$J9*$D9*$E9*(1-$G9)+$K9*$E9))</f>
        <v>5509.536</v>
      </c>
      <c r="N9" s="23" t="str">
        <f aca="false">IF($B9="","",CONCATENATE("Örnek kalem: ",$B9))</f>
        <v>Örnek kalem: Şarj Aleti 65W</v>
      </c>
    </row>
    <row r="10" customFormat="false" ht="15" hidden="false" customHeight="false" outlineLevel="0" collapsed="false">
      <c r="A10" s="59" t="s">
        <v>75</v>
      </c>
      <c r="B10" s="59" t="s">
        <v>76</v>
      </c>
      <c r="C10" s="59" t="s">
        <v>77</v>
      </c>
      <c r="D10" s="60" t="n">
        <v>129</v>
      </c>
      <c r="E10" s="61" t="n">
        <v>300</v>
      </c>
      <c r="F10" s="60" t="n">
        <v>55</v>
      </c>
      <c r="G10" s="62" t="n">
        <v>0.15</v>
      </c>
      <c r="H10" s="62" t="n">
        <v>0.08</v>
      </c>
      <c r="I10" s="62" t="n">
        <v>0.04</v>
      </c>
      <c r="J10" s="62" t="n">
        <v>0.06</v>
      </c>
      <c r="K10" s="60" t="n">
        <v>3</v>
      </c>
      <c r="L10" s="20" t="n">
        <f aca="false">IF($E10="",0,$D10*$E10*(1-$G10-$H10-$I10))</f>
        <v>28251</v>
      </c>
      <c r="M10" s="20" t="n">
        <f aca="false">IF($E10="",0,$D10*$E10-($F10*$E10+$G10*$D10*$E10+$H10*$D10*$E10+$I10*$D10*$E10+$J10*$D10*$E10*(1-$G10)+$K10*$E10))</f>
        <v>8877.3</v>
      </c>
      <c r="N10" s="23" t="str">
        <f aca="false">IF($B10="","",CONCATENATE("Örnek kalem: ",$B10))</f>
        <v>Örnek kalem: Kablo USB-C</v>
      </c>
    </row>
    <row r="11" customFormat="false" ht="15" hidden="false" customHeight="false" outlineLevel="0" collapsed="false">
      <c r="A11" s="59" t="s">
        <v>78</v>
      </c>
      <c r="B11" s="59" t="s">
        <v>79</v>
      </c>
      <c r="C11" s="59" t="s">
        <v>74</v>
      </c>
      <c r="D11" s="60" t="n">
        <v>279</v>
      </c>
      <c r="E11" s="61" t="n">
        <v>80</v>
      </c>
      <c r="F11" s="60" t="n">
        <v>130</v>
      </c>
      <c r="G11" s="62" t="n">
        <v>0.25</v>
      </c>
      <c r="H11" s="62" t="n">
        <v>0.06</v>
      </c>
      <c r="I11" s="62" t="n">
        <v>0.09</v>
      </c>
      <c r="J11" s="62" t="n">
        <v>0.05</v>
      </c>
      <c r="K11" s="60" t="n">
        <v>5</v>
      </c>
      <c r="L11" s="20" t="n">
        <f aca="false">IF($E11="",0,$D11*$E11*(1-$G11-$H11-$I11))</f>
        <v>13392</v>
      </c>
      <c r="M11" s="20" t="n">
        <f aca="false">IF($E11="",0,$D11*$E11-($F11*$E11+$G11*$D11*$E11+$H11*$D11*$E11+$I11*$D11*$E11+$J11*$D11*$E11*(1-$G11)+$K11*$E11))</f>
        <v>1755</v>
      </c>
      <c r="N11" s="23" t="str">
        <f aca="false">IF($B11="","",CONCATENATE("Örnek kalem: ",$B11))</f>
        <v>Örnek kalem: Mouse Kablosuz</v>
      </c>
    </row>
    <row r="12" customFormat="false" ht="15" hidden="false" customHeight="false" outlineLevel="0" collapsed="false">
      <c r="L12" s="23" t="n">
        <f aca="false">IF($E12="",0,$D12*$E12*(1-$G12-$H12-$I12))</f>
        <v>0</v>
      </c>
      <c r="M12" s="23" t="n">
        <f aca="false">IF($E12="",0,$D12*$E12-($F12*$E12+$G12*$D12*$E12+$H12*$D12*$E12+$I12*$D12*$E12+$J12*$D12*$E12*(1-$G12)+$K12*$E12))</f>
        <v>0</v>
      </c>
      <c r="N12" s="23" t="str">
        <f aca="false">IF($B12="","",CONCATENATE("Örnek kalem: ",$B12))</f>
        <v/>
      </c>
    </row>
    <row r="13" customFormat="false" ht="15" hidden="false" customHeight="false" outlineLevel="0" collapsed="false">
      <c r="L13" s="23" t="n">
        <f aca="false">IF($E13="",0,$D13*$E13*(1-$G13-$H13-$I13))</f>
        <v>0</v>
      </c>
      <c r="M13" s="23" t="n">
        <f aca="false">IF($E13="",0,$D13*$E13-($F13*$E13+$G13*$D13*$E13+$H13*$D13*$E13+$I13*$D13*$E13+$J13*$D13*$E13*(1-$G13)+$K13*$E13))</f>
        <v>0</v>
      </c>
      <c r="N13" s="23" t="str">
        <f aca="false">IF($B13="","",CONCATENATE("Örnek kalem: ",$B13))</f>
        <v/>
      </c>
    </row>
    <row r="14" customFormat="false" ht="15" hidden="false" customHeight="false" outlineLevel="0" collapsed="false">
      <c r="L14" s="23" t="n">
        <f aca="false">IF($E14="",0,$D14*$E14*(1-$G14-$H14-$I14))</f>
        <v>0</v>
      </c>
      <c r="M14" s="23" t="n">
        <f aca="false">IF($E14="",0,$D14*$E14-($F14*$E14+$G14*$D14*$E14+$H14*$D14*$E14+$I14*$D14*$E14+$J14*$D14*$E14*(1-$G14)+$K14*$E14))</f>
        <v>0</v>
      </c>
      <c r="N14" s="23" t="str">
        <f aca="false">IF($B14="","",CONCATENATE("Örnek kalem: ",$B14))</f>
        <v/>
      </c>
    </row>
    <row r="15" customFormat="false" ht="15" hidden="false" customHeight="false" outlineLevel="0" collapsed="false">
      <c r="L15" s="23" t="n">
        <f aca="false">IF($E15="",0,$D15*$E15*(1-$G15-$H15-$I15))</f>
        <v>0</v>
      </c>
      <c r="M15" s="23" t="n">
        <f aca="false">IF($E15="",0,$D15*$E15-($F15*$E15+$G15*$D15*$E15+$H15*$D15*$E15+$I15*$D15*$E15+$J15*$D15*$E15*(1-$G15)+$K15*$E15))</f>
        <v>0</v>
      </c>
      <c r="N15" s="23" t="str">
        <f aca="false">IF($B15="","",CONCATENATE("Örnek kalem: ",$B15))</f>
        <v/>
      </c>
    </row>
    <row r="16" customFormat="false" ht="15" hidden="false" customHeight="false" outlineLevel="0" collapsed="false">
      <c r="L16" s="23" t="n">
        <f aca="false">IF($E16="",0,$D16*$E16*(1-$G16-$H16-$I16))</f>
        <v>0</v>
      </c>
      <c r="M16" s="23" t="n">
        <f aca="false">IF($E16="",0,$D16*$E16-($F16*$E16+$G16*$D16*$E16+$H16*$D16*$E16+$I16*$D16*$E16+$J16*$D16*$E16*(1-$G16)+$K16*$E16))</f>
        <v>0</v>
      </c>
      <c r="N16" s="23" t="str">
        <f aca="false">IF($B16="","",CONCATENATE("Örnek kalem: ",$B16))</f>
        <v/>
      </c>
    </row>
    <row r="17" customFormat="false" ht="15" hidden="false" customHeight="false" outlineLevel="0" collapsed="false">
      <c r="L17" s="23" t="n">
        <f aca="false">IF($E17="",0,$D17*$E17*(1-$G17-$H17-$I17))</f>
        <v>0</v>
      </c>
      <c r="M17" s="23" t="n">
        <f aca="false">IF($E17="",0,$D17*$E17-($F17*$E17+$G17*$D17*$E17+$H17*$D17*$E17+$I17*$D17*$E17+$J17*$D17*$E17*(1-$G17)+$K17*$E17))</f>
        <v>0</v>
      </c>
      <c r="N17" s="23" t="str">
        <f aca="false">IF($B17="","",CONCATENATE("Örnek kalem: ",$B17))</f>
        <v/>
      </c>
    </row>
    <row r="18" customFormat="false" ht="15" hidden="false" customHeight="false" outlineLevel="0" collapsed="false">
      <c r="L18" s="23" t="n">
        <f aca="false">IF($E18="",0,$D18*$E18*(1-$G18-$H18-$I18))</f>
        <v>0</v>
      </c>
      <c r="M18" s="23" t="n">
        <f aca="false">IF($E18="",0,$D18*$E18-($F18*$E18+$G18*$D18*$E18+$H18*$D18*$E18+$I18*$D18*$E18+$J18*$D18*$E18*(1-$G18)+$K18*$E18))</f>
        <v>0</v>
      </c>
      <c r="N18" s="23" t="str">
        <f aca="false">IF($B18="","",CONCATENATE("Örnek kalem: ",$B18))</f>
        <v/>
      </c>
    </row>
    <row r="19" customFormat="false" ht="15" hidden="false" customHeight="false" outlineLevel="0" collapsed="false">
      <c r="L19" s="23" t="n">
        <f aca="false">IF($E19="",0,$D19*$E19*(1-$G19-$H19-$I19))</f>
        <v>0</v>
      </c>
      <c r="M19" s="23" t="n">
        <f aca="false">IF($E19="",0,$D19*$E19-($F19*$E19+$G19*$D19*$E19+$H19*$D19*$E19+$I19*$D19*$E19+$J19*$D19*$E19*(1-$G19)+$K19*$E19))</f>
        <v>0</v>
      </c>
      <c r="N19" s="23" t="str">
        <f aca="false">IF($B19="","",CONCATENATE("Örnek kalem: ",$B19))</f>
        <v/>
      </c>
    </row>
    <row r="20" customFormat="false" ht="15" hidden="false" customHeight="false" outlineLevel="0" collapsed="false">
      <c r="L20" s="23" t="n">
        <f aca="false">IF($E20="",0,$D20*$E20*(1-$G20-$H20-$I20))</f>
        <v>0</v>
      </c>
      <c r="M20" s="23" t="n">
        <f aca="false">IF($E20="",0,$D20*$E20-($F20*$E20+$G20*$D20*$E20+$H20*$D20*$E20+$I20*$D20*$E20+$J20*$D20*$E20*(1-$G20)+$K20*$E20))</f>
        <v>0</v>
      </c>
      <c r="N20" s="23" t="str">
        <f aca="false">IF($B20="","",CONCATENATE("Örnek kalem: ",$B20))</f>
        <v/>
      </c>
    </row>
    <row r="21" customFormat="false" ht="15" hidden="false" customHeight="false" outlineLevel="0" collapsed="false">
      <c r="L21" s="23" t="n">
        <f aca="false">IF($E21="",0,$D21*$E21*(1-$G21-$H21-$I21))</f>
        <v>0</v>
      </c>
      <c r="M21" s="23" t="n">
        <f aca="false">IF($E21="",0,$D21*$E21-($F21*$E21+$G21*$D21*$E21+$H21*$D21*$E21+$I21*$D21*$E21+$J21*$D21*$E21*(1-$G21)+$K21*$E21))</f>
        <v>0</v>
      </c>
      <c r="N21" s="23" t="str">
        <f aca="false">IF($B21="","",CONCATENATE("Örnek kalem: ",$B21))</f>
        <v/>
      </c>
    </row>
    <row r="22" customFormat="false" ht="15" hidden="false" customHeight="false" outlineLevel="0" collapsed="false">
      <c r="L22" s="23" t="n">
        <f aca="false">IF($E22="",0,$D22*$E22*(1-$G22-$H22-$I22))</f>
        <v>0</v>
      </c>
      <c r="M22" s="23" t="n">
        <f aca="false">IF($E22="",0,$D22*$E22-($F22*$E22+$G22*$D22*$E22+$H22*$D22*$E22+$I22*$D22*$E22+$J22*$D22*$E22*(1-$G22)+$K22*$E22))</f>
        <v>0</v>
      </c>
      <c r="N22" s="23" t="str">
        <f aca="false">IF($B22="","",CONCATENATE("Örnek kalem: ",$B22))</f>
        <v/>
      </c>
    </row>
    <row r="23" customFormat="false" ht="15" hidden="false" customHeight="false" outlineLevel="0" collapsed="false">
      <c r="L23" s="23" t="n">
        <f aca="false">IF($E23="",0,$D23*$E23*(1-$G23-$H23-$I23))</f>
        <v>0</v>
      </c>
      <c r="M23" s="23" t="n">
        <f aca="false">IF($E23="",0,$D23*$E23-($F23*$E23+$G23*$D23*$E23+$H23*$D23*$E23+$I23*$D23*$E23+$J23*$D23*$E23*(1-$G23)+$K23*$E23))</f>
        <v>0</v>
      </c>
      <c r="N23" s="23" t="str">
        <f aca="false">IF($B23="","",CONCATENATE("Örnek kalem: ",$B23))</f>
        <v/>
      </c>
    </row>
    <row r="24" customFormat="false" ht="15" hidden="false" customHeight="false" outlineLevel="0" collapsed="false">
      <c r="L24" s="23" t="n">
        <f aca="false">IF($E24="",0,$D24*$E24*(1-$G24-$H24-$I24))</f>
        <v>0</v>
      </c>
      <c r="M24" s="23" t="n">
        <f aca="false">IF($E24="",0,$D24*$E24-($F24*$E24+$G24*$D24*$E24+$H24*$D24*$E24+$I24*$D24*$E24+$J24*$D24*$E24*(1-$G24)+$K24*$E24))</f>
        <v>0</v>
      </c>
      <c r="N24" s="23" t="str">
        <f aca="false">IF($B24="","",CONCATENATE("Örnek kalem: ",$B24))</f>
        <v/>
      </c>
    </row>
    <row r="25" customFormat="false" ht="15" hidden="false" customHeight="false" outlineLevel="0" collapsed="false">
      <c r="L25" s="23" t="n">
        <f aca="false">IF($E25="",0,$D25*$E25*(1-$G25-$H25-$I25))</f>
        <v>0</v>
      </c>
      <c r="M25" s="23" t="n">
        <f aca="false">IF($E25="",0,$D25*$E25-($F25*$E25+$G25*$D25*$E25+$H25*$D25*$E25+$I25*$D25*$E25+$J25*$D25*$E25*(1-$G25)+$K25*$E25))</f>
        <v>0</v>
      </c>
      <c r="N25" s="23" t="str">
        <f aca="false">IF($B25="","",CONCATENATE("Örnek kalem: ",$B25))</f>
        <v/>
      </c>
    </row>
    <row r="26" customFormat="false" ht="15" hidden="false" customHeight="false" outlineLevel="0" collapsed="false">
      <c r="L26" s="23" t="n">
        <f aca="false">IF($E26="",0,$D26*$E26*(1-$G26-$H26-$I26))</f>
        <v>0</v>
      </c>
      <c r="M26" s="23" t="n">
        <f aca="false">IF($E26="",0,$D26*$E26-($F26*$E26+$G26*$D26*$E26+$H26*$D26*$E26+$I26*$D26*$E26+$J26*$D26*$E26*(1-$G26)+$K26*$E26))</f>
        <v>0</v>
      </c>
      <c r="N26" s="23" t="str">
        <f aca="false">IF($B26="","",CONCATENATE("Örnek kalem: ",$B26))</f>
        <v/>
      </c>
    </row>
    <row r="27" customFormat="false" ht="15" hidden="false" customHeight="false" outlineLevel="0" collapsed="false">
      <c r="L27" s="23" t="n">
        <f aca="false">IF($E27="",0,$D27*$E27*(1-$G27-$H27-$I27))</f>
        <v>0</v>
      </c>
      <c r="M27" s="23" t="n">
        <f aca="false">IF($E27="",0,$D27*$E27-($F27*$E27+$G27*$D27*$E27+$H27*$D27*$E27+$I27*$D27*$E27+$J27*$D27*$E27*(1-$G27)+$K27*$E27))</f>
        <v>0</v>
      </c>
      <c r="N27" s="23" t="str">
        <f aca="false">IF($B27="","",CONCATENATE("Örnek kalem: ",$B27))</f>
        <v/>
      </c>
    </row>
    <row r="28" customFormat="false" ht="15" hidden="false" customHeight="false" outlineLevel="0" collapsed="false">
      <c r="L28" s="23" t="n">
        <f aca="false">IF($E28="",0,$D28*$E28*(1-$G28-$H28-$I28))</f>
        <v>0</v>
      </c>
      <c r="M28" s="23" t="n">
        <f aca="false">IF($E28="",0,$D28*$E28-($F28*$E28+$G28*$D28*$E28+$H28*$D28*$E28+$I28*$D28*$E28+$J28*$D28*$E28*(1-$G28)+$K28*$E28))</f>
        <v>0</v>
      </c>
      <c r="N28" s="23" t="str">
        <f aca="false">IF($B28="","",CONCATENATE("Örnek kalem: ",$B28))</f>
        <v/>
      </c>
    </row>
    <row r="29" customFormat="false" ht="15" hidden="false" customHeight="false" outlineLevel="0" collapsed="false">
      <c r="L29" s="23" t="n">
        <f aca="false">IF($E29="",0,$D29*$E29*(1-$G29-$H29-$I29))</f>
        <v>0</v>
      </c>
      <c r="M29" s="23" t="n">
        <f aca="false">IF($E29="",0,$D29*$E29-($F29*$E29+$G29*$D29*$E29+$H29*$D29*$E29+$I29*$D29*$E29+$J29*$D29*$E29*(1-$G29)+$K29*$E29))</f>
        <v>0</v>
      </c>
      <c r="N29" s="23" t="str">
        <f aca="false">IF($B29="","",CONCATENATE("Örnek kalem: ",$B29))</f>
        <v/>
      </c>
    </row>
    <row r="30" customFormat="false" ht="15" hidden="false" customHeight="false" outlineLevel="0" collapsed="false">
      <c r="L30" s="23" t="n">
        <f aca="false">IF($E30="",0,$D30*$E30*(1-$G30-$H30-$I30))</f>
        <v>0</v>
      </c>
      <c r="M30" s="23" t="n">
        <f aca="false">IF($E30="",0,$D30*$E30-($F30*$E30+$G30*$D30*$E30+$H30*$D30*$E30+$I30*$D30*$E30+$J30*$D30*$E30*(1-$G30)+$K30*$E30))</f>
        <v>0</v>
      </c>
      <c r="N30" s="23" t="str">
        <f aca="false">IF($B30="","",CONCATENATE("Örnek kalem: ",$B30))</f>
        <v/>
      </c>
    </row>
    <row r="31" customFormat="false" ht="15" hidden="false" customHeight="false" outlineLevel="0" collapsed="false">
      <c r="L31" s="23" t="n">
        <f aca="false">IF($E31="",0,$D31*$E31*(1-$G31-$H31-$I31))</f>
        <v>0</v>
      </c>
      <c r="M31" s="23" t="n">
        <f aca="false">IF($E31="",0,$D31*$E31-($F31*$E31+$G31*$D31*$E31+$H31*$D31*$E31+$I31*$D31*$E31+$J31*$D31*$E31*(1-$G31)+$K31*$E31))</f>
        <v>0</v>
      </c>
      <c r="N31" s="23" t="str">
        <f aca="false">IF($B31="","",CONCATENATE("Örnek kalem: ",$B31))</f>
        <v/>
      </c>
    </row>
    <row r="32" customFormat="false" ht="15" hidden="false" customHeight="false" outlineLevel="0" collapsed="false">
      <c r="L32" s="23" t="n">
        <f aca="false">IF($E32="",0,$D32*$E32*(1-$G32-$H32-$I32))</f>
        <v>0</v>
      </c>
      <c r="M32" s="23" t="n">
        <f aca="false">IF($E32="",0,$D32*$E32-($F32*$E32+$G32*$D32*$E32+$H32*$D32*$E32+$I32*$D32*$E32+$J32*$D32*$E32*(1-$G32)+$K32*$E32))</f>
        <v>0</v>
      </c>
      <c r="N32" s="23" t="str">
        <f aca="false">IF($B32="","",CONCATENATE("Örnek kalem: ",$B32))</f>
        <v/>
      </c>
    </row>
    <row r="33" customFormat="false" ht="15" hidden="false" customHeight="false" outlineLevel="0" collapsed="false">
      <c r="L33" s="23" t="n">
        <f aca="false">IF($E33="",0,$D33*$E33*(1-$G33-$H33-$I33))</f>
        <v>0</v>
      </c>
      <c r="M33" s="23" t="n">
        <f aca="false">IF($E33="",0,$D33*$E33-($F33*$E33+$G33*$D33*$E33+$H33*$D33*$E33+$I33*$D33*$E33+$J33*$D33*$E33*(1-$G33)+$K33*$E33))</f>
        <v>0</v>
      </c>
      <c r="N33" s="23" t="str">
        <f aca="false">IF($B33="","",CONCATENATE("Örnek kalem: ",$B33))</f>
        <v/>
      </c>
    </row>
    <row r="34" customFormat="false" ht="15" hidden="false" customHeight="false" outlineLevel="0" collapsed="false">
      <c r="L34" s="23" t="n">
        <f aca="false">IF($E34="",0,$D34*$E34*(1-$G34-$H34-$I34))</f>
        <v>0</v>
      </c>
      <c r="M34" s="23" t="n">
        <f aca="false">IF($E34="",0,$D34*$E34-($F34*$E34+$G34*$D34*$E34+$H34*$D34*$E34+$I34*$D34*$E34+$J34*$D34*$E34*(1-$G34)+$K34*$E34))</f>
        <v>0</v>
      </c>
      <c r="N34" s="23" t="str">
        <f aca="false">IF($B34="","",CONCATENATE("Örnek kalem: ",$B34))</f>
        <v/>
      </c>
    </row>
    <row r="35" customFormat="false" ht="15" hidden="false" customHeight="false" outlineLevel="0" collapsed="false">
      <c r="L35" s="23" t="n">
        <f aca="false">IF($E35="",0,$D35*$E35*(1-$G35-$H35-$I35))</f>
        <v>0</v>
      </c>
      <c r="M35" s="23" t="n">
        <f aca="false">IF($E35="",0,$D35*$E35-($F35*$E35+$G35*$D35*$E35+$H35*$D35*$E35+$I35*$D35*$E35+$J35*$D35*$E35*(1-$G35)+$K35*$E35))</f>
        <v>0</v>
      </c>
      <c r="N35" s="23" t="str">
        <f aca="false">IF($B35="","",CONCATENATE("Örnek kalem: ",$B35))</f>
        <v/>
      </c>
    </row>
    <row r="36" customFormat="false" ht="15" hidden="false" customHeight="false" outlineLevel="0" collapsed="false">
      <c r="L36" s="23" t="n">
        <f aca="false">IF($E36="",0,$D36*$E36*(1-$G36-$H36-$I36))</f>
        <v>0</v>
      </c>
      <c r="M36" s="23" t="n">
        <f aca="false">IF($E36="",0,$D36*$E36-($F36*$E36+$G36*$D36*$E36+$H36*$D36*$E36+$I36*$D36*$E36+$J36*$D36*$E36*(1-$G36)+$K36*$E36))</f>
        <v>0</v>
      </c>
      <c r="N36" s="23" t="str">
        <f aca="false">IF($B36="","",CONCATENATE("Örnek kalem: ",$B36))</f>
        <v/>
      </c>
    </row>
    <row r="37" customFormat="false" ht="15" hidden="false" customHeight="false" outlineLevel="0" collapsed="false">
      <c r="L37" s="23" t="n">
        <f aca="false">IF($E37="",0,$D37*$E37*(1-$G37-$H37-$I37))</f>
        <v>0</v>
      </c>
      <c r="M37" s="23" t="n">
        <f aca="false">IF($E37="",0,$D37*$E37-($F37*$E37+$G37*$D37*$E37+$H37*$D37*$E37+$I37*$D37*$E37+$J37*$D37*$E37*(1-$G37)+$K37*$E37))</f>
        <v>0</v>
      </c>
      <c r="N37" s="23" t="str">
        <f aca="false">IF($B37="","",CONCATENATE("Örnek kalem: ",$B37))</f>
        <v/>
      </c>
    </row>
    <row r="38" customFormat="false" ht="15" hidden="false" customHeight="false" outlineLevel="0" collapsed="false">
      <c r="L38" s="23" t="n">
        <f aca="false">IF($E38="",0,$D38*$E38*(1-$G38-$H38-$I38))</f>
        <v>0</v>
      </c>
      <c r="M38" s="23" t="n">
        <f aca="false">IF($E38="",0,$D38*$E38-($F38*$E38+$G38*$D38*$E38+$H38*$D38*$E38+$I38*$D38*$E38+$J38*$D38*$E38*(1-$G38)+$K38*$E38))</f>
        <v>0</v>
      </c>
      <c r="N38" s="23" t="str">
        <f aca="false">IF($B38="","",CONCATENATE("Örnek kalem: ",$B38))</f>
        <v/>
      </c>
    </row>
    <row r="39" customFormat="false" ht="15" hidden="false" customHeight="false" outlineLevel="0" collapsed="false">
      <c r="L39" s="23" t="n">
        <f aca="false">IF($E39="",0,$D39*$E39*(1-$G39-$H39-$I39))</f>
        <v>0</v>
      </c>
      <c r="M39" s="23" t="n">
        <f aca="false">IF($E39="",0,$D39*$E39-($F39*$E39+$G39*$D39*$E39+$H39*$D39*$E39+$I39*$D39*$E39+$J39*$D39*$E39*(1-$G39)+$K39*$E39))</f>
        <v>0</v>
      </c>
      <c r="N39" s="23" t="str">
        <f aca="false">IF($B39="","",CONCATENATE("Örnek kalem: ",$B39))</f>
        <v/>
      </c>
    </row>
    <row r="40" customFormat="false" ht="15" hidden="false" customHeight="false" outlineLevel="0" collapsed="false">
      <c r="L40" s="23" t="n">
        <f aca="false">IF($E40="",0,$D40*$E40*(1-$G40-$H40-$I40))</f>
        <v>0</v>
      </c>
      <c r="M40" s="23" t="n">
        <f aca="false">IF($E40="",0,$D40*$E40-($F40*$E40+$G40*$D40*$E40+$H40*$D40*$E40+$I40*$D40*$E40+$J40*$D40*$E40*(1-$G40)+$K40*$E40))</f>
        <v>0</v>
      </c>
      <c r="N40" s="23" t="str">
        <f aca="false">IF($B40="","",CONCATENATE("Örnek kalem: ",$B40))</f>
        <v/>
      </c>
    </row>
    <row r="41" customFormat="false" ht="15" hidden="false" customHeight="false" outlineLevel="0" collapsed="false">
      <c r="L41" s="23" t="n">
        <f aca="false">IF($E41="",0,$D41*$E41*(1-$G41-$H41-$I41))</f>
        <v>0</v>
      </c>
      <c r="M41" s="23" t="n">
        <f aca="false">IF($E41="",0,$D41*$E41-($F41*$E41+$G41*$D41*$E41+$H41*$D41*$E41+$I41*$D41*$E41+$J41*$D41*$E41*(1-$G41)+$K41*$E41))</f>
        <v>0</v>
      </c>
      <c r="N41" s="23" t="str">
        <f aca="false">IF($B41="","",CONCATENATE("Örnek kalem: ",$B41))</f>
        <v/>
      </c>
    </row>
    <row r="42" customFormat="false" ht="15" hidden="false" customHeight="false" outlineLevel="0" collapsed="false">
      <c r="L42" s="23" t="n">
        <f aca="false">IF($E42="",0,$D42*$E42*(1-$G42-$H42-$I42))</f>
        <v>0</v>
      </c>
      <c r="M42" s="23" t="n">
        <f aca="false">IF($E42="",0,$D42*$E42-($F42*$E42+$G42*$D42*$E42+$H42*$D42*$E42+$I42*$D42*$E42+$J42*$D42*$E42*(1-$G42)+$K42*$E42))</f>
        <v>0</v>
      </c>
      <c r="N42" s="23" t="str">
        <f aca="false">IF($B42="","",CONCATENATE("Örnek kalem: ",$B42))</f>
        <v/>
      </c>
    </row>
    <row r="43" customFormat="false" ht="15" hidden="false" customHeight="false" outlineLevel="0" collapsed="false">
      <c r="L43" s="23" t="n">
        <f aca="false">IF($E43="",0,$D43*$E43*(1-$G43-$H43-$I43))</f>
        <v>0</v>
      </c>
      <c r="M43" s="23" t="n">
        <f aca="false">IF($E43="",0,$D43*$E43-($F43*$E43+$G43*$D43*$E43+$H43*$D43*$E43+$I43*$D43*$E43+$J43*$D43*$E43*(1-$G43)+$K43*$E43))</f>
        <v>0</v>
      </c>
      <c r="N43" s="23" t="str">
        <f aca="false">IF($B43="","",CONCATENATE("Örnek kalem: ",$B43))</f>
        <v/>
      </c>
    </row>
    <row r="44" customFormat="false" ht="15" hidden="false" customHeight="false" outlineLevel="0" collapsed="false">
      <c r="L44" s="23" t="n">
        <f aca="false">IF($E44="",0,$D44*$E44*(1-$G44-$H44-$I44))</f>
        <v>0</v>
      </c>
      <c r="M44" s="23" t="n">
        <f aca="false">IF($E44="",0,$D44*$E44-($F44*$E44+$G44*$D44*$E44+$H44*$D44*$E44+$I44*$D44*$E44+$J44*$D44*$E44*(1-$G44)+$K44*$E44))</f>
        <v>0</v>
      </c>
      <c r="N44" s="23" t="str">
        <f aca="false">IF($B44="","",CONCATENATE("Örnek kalem: ",$B44))</f>
        <v/>
      </c>
    </row>
    <row r="45" customFormat="false" ht="15" hidden="false" customHeight="false" outlineLevel="0" collapsed="false">
      <c r="L45" s="23" t="n">
        <f aca="false">IF($E45="",0,$D45*$E45*(1-$G45-$H45-$I45))</f>
        <v>0</v>
      </c>
      <c r="M45" s="23" t="n">
        <f aca="false">IF($E45="",0,$D45*$E45-($F45*$E45+$G45*$D45*$E45+$H45*$D45*$E45+$I45*$D45*$E45+$J45*$D45*$E45*(1-$G45)+$K45*$E45))</f>
        <v>0</v>
      </c>
      <c r="N45" s="23" t="str">
        <f aca="false">IF($B45="","",CONCATENATE("Örnek kalem: ",$B45))</f>
        <v/>
      </c>
    </row>
    <row r="46" customFormat="false" ht="15" hidden="false" customHeight="false" outlineLevel="0" collapsed="false">
      <c r="L46" s="23" t="n">
        <f aca="false">IF($E46="",0,$D46*$E46*(1-$G46-$H46-$I46))</f>
        <v>0</v>
      </c>
      <c r="M46" s="23" t="n">
        <f aca="false">IF($E46="",0,$D46*$E46-($F46*$E46+$G46*$D46*$E46+$H46*$D46*$E46+$I46*$D46*$E46+$J46*$D46*$E46*(1-$G46)+$K46*$E46))</f>
        <v>0</v>
      </c>
      <c r="N46" s="23" t="str">
        <f aca="false">IF($B46="","",CONCATENATE("Örnek kalem: ",$B46))</f>
        <v/>
      </c>
    </row>
    <row r="47" customFormat="false" ht="15" hidden="false" customHeight="false" outlineLevel="0" collapsed="false">
      <c r="L47" s="23" t="n">
        <f aca="false">IF($E47="",0,$D47*$E47*(1-$G47-$H47-$I47))</f>
        <v>0</v>
      </c>
      <c r="M47" s="23" t="n">
        <f aca="false">IF($E47="",0,$D47*$E47-($F47*$E47+$G47*$D47*$E47+$H47*$D47*$E47+$I47*$D47*$E47+$J47*$D47*$E47*(1-$G47)+$K47*$E47))</f>
        <v>0</v>
      </c>
      <c r="N47" s="23" t="str">
        <f aca="false">IF($B47="","",CONCATENATE("Örnek kalem: ",$B47))</f>
        <v/>
      </c>
    </row>
    <row r="48" customFormat="false" ht="15" hidden="false" customHeight="false" outlineLevel="0" collapsed="false">
      <c r="L48" s="23" t="n">
        <f aca="false">IF($E48="",0,$D48*$E48*(1-$G48-$H48-$I48))</f>
        <v>0</v>
      </c>
      <c r="M48" s="23" t="n">
        <f aca="false">IF($E48="",0,$D48*$E48-($F48*$E48+$G48*$D48*$E48+$H48*$D48*$E48+$I48*$D48*$E48+$J48*$D48*$E48*(1-$G48)+$K48*$E48))</f>
        <v>0</v>
      </c>
      <c r="N48" s="23" t="str">
        <f aca="false">IF($B48="","",CONCATENATE("Örnek kalem: ",$B48))</f>
        <v/>
      </c>
    </row>
    <row r="49" customFormat="false" ht="15" hidden="false" customHeight="false" outlineLevel="0" collapsed="false">
      <c r="L49" s="23" t="n">
        <f aca="false">IF($E49="",0,$D49*$E49*(1-$G49-$H49-$I49))</f>
        <v>0</v>
      </c>
      <c r="M49" s="23" t="n">
        <f aca="false">IF($E49="",0,$D49*$E49-($F49*$E49+$G49*$D49*$E49+$H49*$D49*$E49+$I49*$D49*$E49+$J49*$D49*$E49*(1-$G49)+$K49*$E49))</f>
        <v>0</v>
      </c>
      <c r="N49" s="23" t="str">
        <f aca="false">IF($B49="","",CONCATENATE("Örnek kalem: ",$B49))</f>
        <v/>
      </c>
    </row>
    <row r="50" customFormat="false" ht="15" hidden="false" customHeight="false" outlineLevel="0" collapsed="false">
      <c r="L50" s="23" t="n">
        <f aca="false">IF($E50="",0,$D50*$E50*(1-$G50-$H50-$I50))</f>
        <v>0</v>
      </c>
      <c r="M50" s="23" t="n">
        <f aca="false">IF($E50="",0,$D50*$E50-($F50*$E50+$G50*$D50*$E50+$H50*$D50*$E50+$I50*$D50*$E50+$J50*$D50*$E50*(1-$G50)+$K50*$E50))</f>
        <v>0</v>
      </c>
      <c r="N50" s="23" t="str">
        <f aca="false">IF($B50="","",CONCATENATE("Örnek kalem: ",$B50))</f>
        <v/>
      </c>
    </row>
    <row r="51" customFormat="false" ht="15" hidden="false" customHeight="false" outlineLevel="0" collapsed="false">
      <c r="L51" s="23" t="n">
        <f aca="false">IF($E51="",0,$D51*$E51*(1-$G51-$H51-$I51))</f>
        <v>0</v>
      </c>
      <c r="M51" s="23" t="n">
        <f aca="false">IF($E51="",0,$D51*$E51-($F51*$E51+$G51*$D51*$E51+$H51*$D51*$E51+$I51*$D51*$E51+$J51*$D51*$E51*(1-$G51)+$K51*$E51))</f>
        <v>0</v>
      </c>
      <c r="N51" s="23" t="str">
        <f aca="false">IF($B51="","",CONCATENATE("Örnek kalem: ",$B51))</f>
        <v/>
      </c>
    </row>
    <row r="52" customFormat="false" ht="15" hidden="false" customHeight="false" outlineLevel="0" collapsed="false">
      <c r="L52" s="23" t="n">
        <f aca="false">IF($E52="",0,$D52*$E52*(1-$G52-$H52-$I52))</f>
        <v>0</v>
      </c>
      <c r="M52" s="23" t="n">
        <f aca="false">IF($E52="",0,$D52*$E52-($F52*$E52+$G52*$D52*$E52+$H52*$D52*$E52+$I52*$D52*$E52+$J52*$D52*$E52*(1-$G52)+$K52*$E52))</f>
        <v>0</v>
      </c>
      <c r="N52" s="23" t="str">
        <f aca="false">IF($B52="","",CONCATENATE("Örnek kalem: ",$B52))</f>
        <v/>
      </c>
    </row>
    <row r="53" customFormat="false" ht="15" hidden="false" customHeight="false" outlineLevel="0" collapsed="false">
      <c r="L53" s="23" t="n">
        <f aca="false">IF($E53="",0,$D53*$E53*(1-$G53-$H53-$I53))</f>
        <v>0</v>
      </c>
      <c r="M53" s="23" t="n">
        <f aca="false">IF($E53="",0,$D53*$E53-($F53*$E53+$G53*$D53*$E53+$H53*$D53*$E53+$I53*$D53*$E53+$J53*$D53*$E53*(1-$G53)+$K53*$E53))</f>
        <v>0</v>
      </c>
      <c r="N53" s="23" t="str">
        <f aca="false">IF($B53="","",CONCATENATE("Örnek kalem: ",$B53))</f>
        <v/>
      </c>
    </row>
    <row r="54" customFormat="false" ht="15" hidden="false" customHeight="false" outlineLevel="0" collapsed="false">
      <c r="L54" s="23" t="n">
        <f aca="false">IF($E54="",0,$D54*$E54*(1-$G54-$H54-$I54))</f>
        <v>0</v>
      </c>
      <c r="M54" s="23" t="n">
        <f aca="false">IF($E54="",0,$D54*$E54-($F54*$E54+$G54*$D54*$E54+$H54*$D54*$E54+$I54*$D54*$E54+$J54*$D54*$E54*(1-$G54)+$K54*$E54))</f>
        <v>0</v>
      </c>
      <c r="N54" s="23" t="str">
        <f aca="false">IF($B54="","",CONCATENATE("Örnek kalem: ",$B54))</f>
        <v/>
      </c>
    </row>
    <row r="55" customFormat="false" ht="15" hidden="false" customHeight="false" outlineLevel="0" collapsed="false">
      <c r="L55" s="23" t="n">
        <f aca="false">IF($E55="",0,$D55*$E55*(1-$G55-$H55-$I55))</f>
        <v>0</v>
      </c>
      <c r="M55" s="23" t="n">
        <f aca="false">IF($E55="",0,$D55*$E55-($F55*$E55+$G55*$D55*$E55+$H55*$D55*$E55+$I55*$D55*$E55+$J55*$D55*$E55*(1-$G55)+$K55*$E55))</f>
        <v>0</v>
      </c>
      <c r="N55" s="23" t="str">
        <f aca="false">IF($B55="","",CONCATENATE("Örnek kalem: ",$B55))</f>
        <v/>
      </c>
    </row>
    <row r="56" customFormat="false" ht="15" hidden="false" customHeight="false" outlineLevel="0" collapsed="false">
      <c r="L56" s="23" t="n">
        <f aca="false">IF($E56="",0,$D56*$E56*(1-$G56-$H56-$I56))</f>
        <v>0</v>
      </c>
      <c r="M56" s="23" t="n">
        <f aca="false">IF($E56="",0,$D56*$E56-($F56*$E56+$G56*$D56*$E56+$H56*$D56*$E56+$I56*$D56*$E56+$J56*$D56*$E56*(1-$G56)+$K56*$E56))</f>
        <v>0</v>
      </c>
      <c r="N56" s="23" t="str">
        <f aca="false">IF($B56="","",CONCATENATE("Örnek kalem: ",$B56))</f>
        <v/>
      </c>
    </row>
    <row r="57" customFormat="false" ht="15" hidden="false" customHeight="false" outlineLevel="0" collapsed="false">
      <c r="L57" s="23" t="n">
        <f aca="false">IF($E57="",0,$D57*$E57*(1-$G57-$H57-$I57))</f>
        <v>0</v>
      </c>
      <c r="M57" s="23" t="n">
        <f aca="false">IF($E57="",0,$D57*$E57-($F57*$E57+$G57*$D57*$E57+$H57*$D57*$E57+$I57*$D57*$E57+$J57*$D57*$E57*(1-$G57)+$K57*$E57))</f>
        <v>0</v>
      </c>
      <c r="N57" s="23" t="str">
        <f aca="false">IF($B57="","",CONCATENATE("Örnek kalem: ",$B57))</f>
        <v/>
      </c>
    </row>
    <row r="58" customFormat="false" ht="15" hidden="false" customHeight="false" outlineLevel="0" collapsed="false">
      <c r="L58" s="23" t="n">
        <f aca="false">IF($E58="",0,$D58*$E58*(1-$G58-$H58-$I58))</f>
        <v>0</v>
      </c>
      <c r="M58" s="23" t="n">
        <f aca="false">IF($E58="",0,$D58*$E58-($F58*$E58+$G58*$D58*$E58+$H58*$D58*$E58+$I58*$D58*$E58+$J58*$D58*$E58*(1-$G58)+$K58*$E58))</f>
        <v>0</v>
      </c>
      <c r="N58" s="23" t="str">
        <f aca="false">IF($B58="","",CONCATENATE("Örnek kalem: ",$B58))</f>
        <v/>
      </c>
    </row>
    <row r="59" customFormat="false" ht="15" hidden="false" customHeight="false" outlineLevel="0" collapsed="false">
      <c r="L59" s="23" t="n">
        <f aca="false">IF($E59="",0,$D59*$E59*(1-$G59-$H59-$I59))</f>
        <v>0</v>
      </c>
      <c r="M59" s="23" t="n">
        <f aca="false">IF($E59="",0,$D59*$E59-($F59*$E59+$G59*$D59*$E59+$H59*$D59*$E59+$I59*$D59*$E59+$J59*$D59*$E59*(1-$G59)+$K59*$E59))</f>
        <v>0</v>
      </c>
      <c r="N59" s="23" t="str">
        <f aca="false">IF($B59="","",CONCATENATE("Örnek kalem: ",$B59))</f>
        <v/>
      </c>
    </row>
    <row r="60" customFormat="false" ht="15" hidden="false" customHeight="false" outlineLevel="0" collapsed="false">
      <c r="L60" s="23" t="n">
        <f aca="false">IF($E60="",0,$D60*$E60*(1-$G60-$H60-$I60))</f>
        <v>0</v>
      </c>
      <c r="M60" s="23" t="n">
        <f aca="false">IF($E60="",0,$D60*$E60-($F60*$E60+$G60*$D60*$E60+$H60*$D60*$E60+$I60*$D60*$E60+$J60*$D60*$E60*(1-$G60)+$K60*$E60))</f>
        <v>0</v>
      </c>
      <c r="N60" s="23" t="str">
        <f aca="false">IF($B60="","",CONCATENATE("Örnek kalem: ",$B60))</f>
        <v/>
      </c>
    </row>
    <row r="61" customFormat="false" ht="15" hidden="false" customHeight="false" outlineLevel="0" collapsed="false">
      <c r="L61" s="23" t="n">
        <f aca="false">IF($E61="",0,$D61*$E61*(1-$G61-$H61-$I61))</f>
        <v>0</v>
      </c>
      <c r="M61" s="23" t="n">
        <f aca="false">IF($E61="",0,$D61*$E61-($F61*$E61+$G61*$D61*$E61+$H61*$D61*$E61+$I61*$D61*$E61+$J61*$D61*$E61*(1-$G61)+$K61*$E61))</f>
        <v>0</v>
      </c>
      <c r="N61" s="23" t="str">
        <f aca="false">IF($B61="","",CONCATENATE("Örnek kalem: ",$B61))</f>
        <v/>
      </c>
    </row>
    <row r="62" customFormat="false" ht="15" hidden="false" customHeight="false" outlineLevel="0" collapsed="false">
      <c r="L62" s="23" t="n">
        <f aca="false">IF($E62="",0,$D62*$E62*(1-$G62-$H62-$I62))</f>
        <v>0</v>
      </c>
      <c r="M62" s="23" t="n">
        <f aca="false">IF($E62="",0,$D62*$E62-($F62*$E62+$G62*$D62*$E62+$H62*$D62*$E62+$I62*$D62*$E62+$J62*$D62*$E62*(1-$G62)+$K62*$E62))</f>
        <v>0</v>
      </c>
      <c r="N62" s="23" t="str">
        <f aca="false">IF($B62="","",CONCATENATE("Örnek kalem: ",$B62))</f>
        <v/>
      </c>
    </row>
    <row r="63" customFormat="false" ht="15" hidden="false" customHeight="false" outlineLevel="0" collapsed="false">
      <c r="L63" s="23" t="n">
        <f aca="false">IF($E63="",0,$D63*$E63*(1-$G63-$H63-$I63))</f>
        <v>0</v>
      </c>
      <c r="M63" s="23" t="n">
        <f aca="false">IF($E63="",0,$D63*$E63-($F63*$E63+$G63*$D63*$E63+$H63*$D63*$E63+$I63*$D63*$E63+$J63*$D63*$E63*(1-$G63)+$K63*$E63))</f>
        <v>0</v>
      </c>
      <c r="N63" s="23" t="str">
        <f aca="false">IF($B63="","",CONCATENATE("Örnek kalem: ",$B63))</f>
        <v/>
      </c>
    </row>
    <row r="64" customFormat="false" ht="15" hidden="false" customHeight="false" outlineLevel="0" collapsed="false">
      <c r="L64" s="23" t="n">
        <f aca="false">IF($E64="",0,$D64*$E64*(1-$G64-$H64-$I64))</f>
        <v>0</v>
      </c>
      <c r="M64" s="23" t="n">
        <f aca="false">IF($E64="",0,$D64*$E64-($F64*$E64+$G64*$D64*$E64+$H64*$D64*$E64+$I64*$D64*$E64+$J64*$D64*$E64*(1-$G64)+$K64*$E64))</f>
        <v>0</v>
      </c>
      <c r="N64" s="23" t="str">
        <f aca="false">IF($B64="","",CONCATENATE("Örnek kalem: ",$B64))</f>
        <v/>
      </c>
    </row>
    <row r="65" customFormat="false" ht="15" hidden="false" customHeight="false" outlineLevel="0" collapsed="false">
      <c r="L65" s="23" t="n">
        <f aca="false">IF($E65="",0,$D65*$E65*(1-$G65-$H65-$I65))</f>
        <v>0</v>
      </c>
      <c r="M65" s="23" t="n">
        <f aca="false">IF($E65="",0,$D65*$E65-($F65*$E65+$G65*$D65*$E65+$H65*$D65*$E65+$I65*$D65*$E65+$J65*$D65*$E65*(1-$G65)+$K65*$E65))</f>
        <v>0</v>
      </c>
      <c r="N65" s="23" t="str">
        <f aca="false">IF($B65="","",CONCATENATE("Örnek kalem: ",$B65))</f>
        <v/>
      </c>
    </row>
    <row r="66" customFormat="false" ht="15" hidden="false" customHeight="false" outlineLevel="0" collapsed="false">
      <c r="L66" s="23" t="n">
        <f aca="false">IF($E66="",0,$D66*$E66*(1-$G66-$H66-$I66))</f>
        <v>0</v>
      </c>
      <c r="M66" s="23" t="n">
        <f aca="false">IF($E66="",0,$D66*$E66-($F66*$E66+$G66*$D66*$E66+$H66*$D66*$E66+$I66*$D66*$E66+$J66*$D66*$E66*(1-$G66)+$K66*$E66))</f>
        <v>0</v>
      </c>
      <c r="N66" s="23" t="str">
        <f aca="false">IF($B66="","",CONCATENATE("Örnek kalem: ",$B66))</f>
        <v/>
      </c>
    </row>
    <row r="67" customFormat="false" ht="15" hidden="false" customHeight="false" outlineLevel="0" collapsed="false">
      <c r="L67" s="23" t="n">
        <f aca="false">IF($E67="",0,$D67*$E67*(1-$G67-$H67-$I67))</f>
        <v>0</v>
      </c>
      <c r="M67" s="23" t="n">
        <f aca="false">IF($E67="",0,$D67*$E67-($F67*$E67+$G67*$D67*$E67+$H67*$D67*$E67+$I67*$D67*$E67+$J67*$D67*$E67*(1-$G67)+$K67*$E67))</f>
        <v>0</v>
      </c>
      <c r="N67" s="23" t="str">
        <f aca="false">IF($B67="","",CONCATENATE("Örnek kalem: ",$B67))</f>
        <v/>
      </c>
    </row>
    <row r="68" customFormat="false" ht="15" hidden="false" customHeight="false" outlineLevel="0" collapsed="false">
      <c r="L68" s="23" t="n">
        <f aca="false">IF($E68="",0,$D68*$E68*(1-$G68-$H68-$I68))</f>
        <v>0</v>
      </c>
      <c r="M68" s="23" t="n">
        <f aca="false">IF($E68="",0,$D68*$E68-($F68*$E68+$G68*$D68*$E68+$H68*$D68*$E68+$I68*$D68*$E68+$J68*$D68*$E68*(1-$G68)+$K68*$E68))</f>
        <v>0</v>
      </c>
      <c r="N68" s="23" t="str">
        <f aca="false">IF($B68="","",CONCATENATE("Örnek kalem: ",$B68))</f>
        <v/>
      </c>
    </row>
    <row r="69" customFormat="false" ht="15" hidden="false" customHeight="false" outlineLevel="0" collapsed="false">
      <c r="L69" s="23" t="n">
        <f aca="false">IF($E69="",0,$D69*$E69*(1-$G69-$H69-$I69))</f>
        <v>0</v>
      </c>
      <c r="M69" s="23" t="n">
        <f aca="false">IF($E69="",0,$D69*$E69-($F69*$E69+$G69*$D69*$E69+$H69*$D69*$E69+$I69*$D69*$E69+$J69*$D69*$E69*(1-$G69)+$K69*$E69))</f>
        <v>0</v>
      </c>
      <c r="N69" s="23" t="str">
        <f aca="false">IF($B69="","",CONCATENATE("Örnek kalem: ",$B69))</f>
        <v/>
      </c>
    </row>
    <row r="70" customFormat="false" ht="15" hidden="false" customHeight="false" outlineLevel="0" collapsed="false">
      <c r="L70" s="23" t="n">
        <f aca="false">IF($E70="",0,$D70*$E70*(1-$G70-$H70-$I70))</f>
        <v>0</v>
      </c>
      <c r="M70" s="23" t="n">
        <f aca="false">IF($E70="",0,$D70*$E70-($F70*$E70+$G70*$D70*$E70+$H70*$D70*$E70+$I70*$D70*$E70+$J70*$D70*$E70*(1-$G70)+$K70*$E70))</f>
        <v>0</v>
      </c>
      <c r="N70" s="23" t="str">
        <f aca="false">IF($B70="","",CONCATENATE("Örnek kalem: ",$B70))</f>
        <v/>
      </c>
    </row>
    <row r="71" customFormat="false" ht="15" hidden="false" customHeight="false" outlineLevel="0" collapsed="false">
      <c r="L71" s="23" t="n">
        <f aca="false">IF($E71="",0,$D71*$E71*(1-$G71-$H71-$I71))</f>
        <v>0</v>
      </c>
      <c r="M71" s="23" t="n">
        <f aca="false">IF($E71="",0,$D71*$E71-($F71*$E71+$G71*$D71*$E71+$H71*$D71*$E71+$I71*$D71*$E71+$J71*$D71*$E71*(1-$G71)+$K71*$E71))</f>
        <v>0</v>
      </c>
      <c r="N71" s="23" t="str">
        <f aca="false">IF($B71="","",CONCATENATE("Örnek kalem: ",$B71))</f>
        <v/>
      </c>
    </row>
    <row r="72" customFormat="false" ht="15" hidden="false" customHeight="false" outlineLevel="0" collapsed="false">
      <c r="L72" s="23" t="n">
        <f aca="false">IF($E72="",0,$D72*$E72*(1-$G72-$H72-$I72))</f>
        <v>0</v>
      </c>
      <c r="M72" s="23" t="n">
        <f aca="false">IF($E72="",0,$D72*$E72-($F72*$E72+$G72*$D72*$E72+$H72*$D72*$E72+$I72*$D72*$E72+$J72*$D72*$E72*(1-$G72)+$K72*$E72))</f>
        <v>0</v>
      </c>
      <c r="N72" s="23" t="str">
        <f aca="false">IF($B72="","",CONCATENATE("Örnek kalem: ",$B72))</f>
        <v/>
      </c>
    </row>
    <row r="73" customFormat="false" ht="15" hidden="false" customHeight="false" outlineLevel="0" collapsed="false">
      <c r="L73" s="23" t="n">
        <f aca="false">IF($E73="",0,$D73*$E73*(1-$G73-$H73-$I73))</f>
        <v>0</v>
      </c>
      <c r="M73" s="23" t="n">
        <f aca="false">IF($E73="",0,$D73*$E73-($F73*$E73+$G73*$D73*$E73+$H73*$D73*$E73+$I73*$D73*$E73+$J73*$D73*$E73*(1-$G73)+$K73*$E73))</f>
        <v>0</v>
      </c>
      <c r="N73" s="23" t="str">
        <f aca="false">IF($B73="","",CONCATENATE("Örnek kalem: ",$B73))</f>
        <v/>
      </c>
    </row>
    <row r="74" customFormat="false" ht="15" hidden="false" customHeight="false" outlineLevel="0" collapsed="false">
      <c r="L74" s="23" t="n">
        <f aca="false">IF($E74="",0,$D74*$E74*(1-$G74-$H74-$I74))</f>
        <v>0</v>
      </c>
      <c r="M74" s="23" t="n">
        <f aca="false">IF($E74="",0,$D74*$E74-($F74*$E74+$G74*$D74*$E74+$H74*$D74*$E74+$I74*$D74*$E74+$J74*$D74*$E74*(1-$G74)+$K74*$E74))</f>
        <v>0</v>
      </c>
      <c r="N74" s="23" t="str">
        <f aca="false">IF($B74="","",CONCATENATE("Örnek kalem: ",$B74))</f>
        <v/>
      </c>
    </row>
    <row r="75" customFormat="false" ht="15" hidden="false" customHeight="false" outlineLevel="0" collapsed="false">
      <c r="L75" s="23" t="n">
        <f aca="false">IF($E75="",0,$D75*$E75*(1-$G75-$H75-$I75))</f>
        <v>0</v>
      </c>
      <c r="M75" s="23" t="n">
        <f aca="false">IF($E75="",0,$D75*$E75-($F75*$E75+$G75*$D75*$E75+$H75*$D75*$E75+$I75*$D75*$E75+$J75*$D75*$E75*(1-$G75)+$K75*$E75))</f>
        <v>0</v>
      </c>
      <c r="N75" s="23" t="str">
        <f aca="false">IF($B75="","",CONCATENATE("Örnek kalem: ",$B75))</f>
        <v/>
      </c>
    </row>
    <row r="76" customFormat="false" ht="15" hidden="false" customHeight="false" outlineLevel="0" collapsed="false">
      <c r="L76" s="23" t="n">
        <f aca="false">IF($E76="",0,$D76*$E76*(1-$G76-$H76-$I76))</f>
        <v>0</v>
      </c>
      <c r="M76" s="23" t="n">
        <f aca="false">IF($E76="",0,$D76*$E76-($F76*$E76+$G76*$D76*$E76+$H76*$D76*$E76+$I76*$D76*$E76+$J76*$D76*$E76*(1-$G76)+$K76*$E76))</f>
        <v>0</v>
      </c>
      <c r="N76" s="23" t="str">
        <f aca="false">IF($B76="","",CONCATENATE("Örnek kalem: ",$B76))</f>
        <v/>
      </c>
    </row>
    <row r="77" customFormat="false" ht="15" hidden="false" customHeight="false" outlineLevel="0" collapsed="false">
      <c r="L77" s="23" t="n">
        <f aca="false">IF($E77="",0,$D77*$E77*(1-$G77-$H77-$I77))</f>
        <v>0</v>
      </c>
      <c r="M77" s="23" t="n">
        <f aca="false">IF($E77="",0,$D77*$E77-($F77*$E77+$G77*$D77*$E77+$H77*$D77*$E77+$I77*$D77*$E77+$J77*$D77*$E77*(1-$G77)+$K77*$E77))</f>
        <v>0</v>
      </c>
      <c r="N77" s="23" t="str">
        <f aca="false">IF($B77="","",CONCATENATE("Örnek kalem: ",$B77))</f>
        <v/>
      </c>
    </row>
    <row r="78" customFormat="false" ht="15" hidden="false" customHeight="false" outlineLevel="0" collapsed="false">
      <c r="L78" s="23" t="n">
        <f aca="false">IF($E78="",0,$D78*$E78*(1-$G78-$H78-$I78))</f>
        <v>0</v>
      </c>
      <c r="M78" s="23" t="n">
        <f aca="false">IF($E78="",0,$D78*$E78-($F78*$E78+$G78*$D78*$E78+$H78*$D78*$E78+$I78*$D78*$E78+$J78*$D78*$E78*(1-$G78)+$K78*$E78))</f>
        <v>0</v>
      </c>
      <c r="N78" s="23" t="str">
        <f aca="false">IF($B78="","",CONCATENATE("Örnek kalem: ",$B78))</f>
        <v/>
      </c>
    </row>
    <row r="79" customFormat="false" ht="15" hidden="false" customHeight="false" outlineLevel="0" collapsed="false">
      <c r="L79" s="23" t="n">
        <f aca="false">IF($E79="",0,$D79*$E79*(1-$G79-$H79-$I79))</f>
        <v>0</v>
      </c>
      <c r="M79" s="23" t="n">
        <f aca="false">IF($E79="",0,$D79*$E79-($F79*$E79+$G79*$D79*$E79+$H79*$D79*$E79+$I79*$D79*$E79+$J79*$D79*$E79*(1-$G79)+$K79*$E79))</f>
        <v>0</v>
      </c>
      <c r="N79" s="23" t="str">
        <f aca="false">IF($B79="","",CONCATENATE("Örnek kalem: ",$B79))</f>
        <v/>
      </c>
    </row>
    <row r="80" customFormat="false" ht="15" hidden="false" customHeight="false" outlineLevel="0" collapsed="false">
      <c r="L80" s="23" t="n">
        <f aca="false">IF($E80="",0,$D80*$E80*(1-$G80-$H80-$I80))</f>
        <v>0</v>
      </c>
      <c r="M80" s="23" t="n">
        <f aca="false">IF($E80="",0,$D80*$E80-($F80*$E80+$G80*$D80*$E80+$H80*$D80*$E80+$I80*$D80*$E80+$J80*$D80*$E80*(1-$G80)+$K80*$E80))</f>
        <v>0</v>
      </c>
      <c r="N80" s="23" t="str">
        <f aca="false">IF($B80="","",CONCATENATE("Örnek kalem: ",$B80))</f>
        <v/>
      </c>
    </row>
    <row r="81" customFormat="false" ht="15" hidden="false" customHeight="false" outlineLevel="0" collapsed="false">
      <c r="L81" s="23" t="n">
        <f aca="false">IF($E81="",0,$D81*$E81*(1-$G81-$H81-$I81))</f>
        <v>0</v>
      </c>
      <c r="M81" s="23" t="n">
        <f aca="false">IF($E81="",0,$D81*$E81-($F81*$E81+$G81*$D81*$E81+$H81*$D81*$E81+$I81*$D81*$E81+$J81*$D81*$E81*(1-$G81)+$K81*$E81))</f>
        <v>0</v>
      </c>
      <c r="N81" s="23" t="str">
        <f aca="false">IF($B81="","",CONCATENATE("Örnek kalem: ",$B81))</f>
        <v/>
      </c>
    </row>
    <row r="82" customFormat="false" ht="15" hidden="false" customHeight="false" outlineLevel="0" collapsed="false">
      <c r="L82" s="23" t="n">
        <f aca="false">IF($E82="",0,$D82*$E82*(1-$G82-$H82-$I82))</f>
        <v>0</v>
      </c>
      <c r="M82" s="23" t="n">
        <f aca="false">IF($E82="",0,$D82*$E82-($F82*$E82+$G82*$D82*$E82+$H82*$D82*$E82+$I82*$D82*$E82+$J82*$D82*$E82*(1-$G82)+$K82*$E82))</f>
        <v>0</v>
      </c>
      <c r="N82" s="23" t="str">
        <f aca="false">IF($B82="","",CONCATENATE("Örnek kalem: ",$B82))</f>
        <v/>
      </c>
    </row>
    <row r="83" customFormat="false" ht="15" hidden="false" customHeight="false" outlineLevel="0" collapsed="false">
      <c r="L83" s="23" t="n">
        <f aca="false">IF($E83="",0,$D83*$E83*(1-$G83-$H83-$I83))</f>
        <v>0</v>
      </c>
      <c r="M83" s="23" t="n">
        <f aca="false">IF($E83="",0,$D83*$E83-($F83*$E83+$G83*$D83*$E83+$H83*$D83*$E83+$I83*$D83*$E83+$J83*$D83*$E83*(1-$G83)+$K83*$E83))</f>
        <v>0</v>
      </c>
      <c r="N83" s="23" t="str">
        <f aca="false">IF($B83="","",CONCATENATE("Örnek kalem: ",$B83))</f>
        <v/>
      </c>
    </row>
    <row r="84" customFormat="false" ht="15" hidden="false" customHeight="false" outlineLevel="0" collapsed="false">
      <c r="L84" s="23" t="n">
        <f aca="false">IF($E84="",0,$D84*$E84*(1-$G84-$H84-$I84))</f>
        <v>0</v>
      </c>
      <c r="M84" s="23" t="n">
        <f aca="false">IF($E84="",0,$D84*$E84-($F84*$E84+$G84*$D84*$E84+$H84*$D84*$E84+$I84*$D84*$E84+$J84*$D84*$E84*(1-$G84)+$K84*$E84))</f>
        <v>0</v>
      </c>
      <c r="N84" s="23" t="str">
        <f aca="false">IF($B84="","",CONCATENATE("Örnek kalem: ",$B84))</f>
        <v/>
      </c>
    </row>
    <row r="85" customFormat="false" ht="15" hidden="false" customHeight="false" outlineLevel="0" collapsed="false">
      <c r="L85" s="23" t="n">
        <f aca="false">IF($E85="",0,$D85*$E85*(1-$G85-$H85-$I85))</f>
        <v>0</v>
      </c>
      <c r="M85" s="23" t="n">
        <f aca="false">IF($E85="",0,$D85*$E85-($F85*$E85+$G85*$D85*$E85+$H85*$D85*$E85+$I85*$D85*$E85+$J85*$D85*$E85*(1-$G85)+$K85*$E85))</f>
        <v>0</v>
      </c>
      <c r="N85" s="23" t="str">
        <f aca="false">IF($B85="","",CONCATENATE("Örnek kalem: ",$B85))</f>
        <v/>
      </c>
    </row>
    <row r="86" customFormat="false" ht="15" hidden="false" customHeight="false" outlineLevel="0" collapsed="false">
      <c r="L86" s="23" t="n">
        <f aca="false">IF($E86="",0,$D86*$E86*(1-$G86-$H86-$I86))</f>
        <v>0</v>
      </c>
      <c r="M86" s="23" t="n">
        <f aca="false">IF($E86="",0,$D86*$E86-($F86*$E86+$G86*$D86*$E86+$H86*$D86*$E86+$I86*$D86*$E86+$J86*$D86*$E86*(1-$G86)+$K86*$E86))</f>
        <v>0</v>
      </c>
      <c r="N86" s="23" t="str">
        <f aca="false">IF($B86="","",CONCATENATE("Örnek kalem: ",$B86))</f>
        <v/>
      </c>
    </row>
    <row r="87" customFormat="false" ht="15" hidden="false" customHeight="false" outlineLevel="0" collapsed="false">
      <c r="L87" s="23" t="n">
        <f aca="false">IF($E87="",0,$D87*$E87*(1-$G87-$H87-$I87))</f>
        <v>0</v>
      </c>
      <c r="M87" s="23" t="n">
        <f aca="false">IF($E87="",0,$D87*$E87-($F87*$E87+$G87*$D87*$E87+$H87*$D87*$E87+$I87*$D87*$E87+$J87*$D87*$E87*(1-$G87)+$K87*$E87))</f>
        <v>0</v>
      </c>
      <c r="N87" s="23" t="str">
        <f aca="false">IF($B87="","",CONCATENATE("Örnek kalem: ",$B87))</f>
        <v/>
      </c>
    </row>
    <row r="88" customFormat="false" ht="15" hidden="false" customHeight="false" outlineLevel="0" collapsed="false">
      <c r="L88" s="23" t="n">
        <f aca="false">IF($E88="",0,$D88*$E88*(1-$G88-$H88-$I88))</f>
        <v>0</v>
      </c>
      <c r="M88" s="23" t="n">
        <f aca="false">IF($E88="",0,$D88*$E88-($F88*$E88+$G88*$D88*$E88+$H88*$D88*$E88+$I88*$D88*$E88+$J88*$D88*$E88*(1-$G88)+$K88*$E88))</f>
        <v>0</v>
      </c>
      <c r="N88" s="23" t="str">
        <f aca="false">IF($B88="","",CONCATENATE("Örnek kalem: ",$B88))</f>
        <v/>
      </c>
    </row>
    <row r="89" customFormat="false" ht="15" hidden="false" customHeight="false" outlineLevel="0" collapsed="false">
      <c r="L89" s="23" t="n">
        <f aca="false">IF($E89="",0,$D89*$E89*(1-$G89-$H89-$I89))</f>
        <v>0</v>
      </c>
      <c r="M89" s="23" t="n">
        <f aca="false">IF($E89="",0,$D89*$E89-($F89*$E89+$G89*$D89*$E89+$H89*$D89*$E89+$I89*$D89*$E89+$J89*$D89*$E89*(1-$G89)+$K89*$E89))</f>
        <v>0</v>
      </c>
      <c r="N89" s="23" t="str">
        <f aca="false">IF($B89="","",CONCATENATE("Örnek kalem: ",$B89))</f>
        <v/>
      </c>
    </row>
    <row r="90" customFormat="false" ht="15" hidden="false" customHeight="false" outlineLevel="0" collapsed="false">
      <c r="L90" s="23" t="n">
        <f aca="false">IF($E90="",0,$D90*$E90*(1-$G90-$H90-$I90))</f>
        <v>0</v>
      </c>
      <c r="M90" s="23" t="n">
        <f aca="false">IF($E90="",0,$D90*$E90-($F90*$E90+$G90*$D90*$E90+$H90*$D90*$E90+$I90*$D90*$E90+$J90*$D90*$E90*(1-$G90)+$K90*$E90))</f>
        <v>0</v>
      </c>
      <c r="N90" s="23" t="str">
        <f aca="false">IF($B90="","",CONCATENATE("Örnek kalem: ",$B90))</f>
        <v/>
      </c>
    </row>
    <row r="91" customFormat="false" ht="15" hidden="false" customHeight="false" outlineLevel="0" collapsed="false">
      <c r="L91" s="23" t="n">
        <f aca="false">IF($E91="",0,$D91*$E91*(1-$G91-$H91-$I91))</f>
        <v>0</v>
      </c>
      <c r="M91" s="23" t="n">
        <f aca="false">IF($E91="",0,$D91*$E91-($F91*$E91+$G91*$D91*$E91+$H91*$D91*$E91+$I91*$D91*$E91+$J91*$D91*$E91*(1-$G91)+$K91*$E91))</f>
        <v>0</v>
      </c>
      <c r="N91" s="23" t="str">
        <f aca="false">IF($B91="","",CONCATENATE("Örnek kalem: ",$B91))</f>
        <v/>
      </c>
    </row>
    <row r="92" customFormat="false" ht="15" hidden="false" customHeight="false" outlineLevel="0" collapsed="false">
      <c r="L92" s="23" t="n">
        <f aca="false">IF($E92="",0,$D92*$E92*(1-$G92-$H92-$I92))</f>
        <v>0</v>
      </c>
      <c r="M92" s="23" t="n">
        <f aca="false">IF($E92="",0,$D92*$E92-($F92*$E92+$G92*$D92*$E92+$H92*$D92*$E92+$I92*$D92*$E92+$J92*$D92*$E92*(1-$G92)+$K92*$E92))</f>
        <v>0</v>
      </c>
      <c r="N92" s="23" t="str">
        <f aca="false">IF($B92="","",CONCATENATE("Örnek kalem: ",$B92))</f>
        <v/>
      </c>
    </row>
    <row r="93" customFormat="false" ht="15" hidden="false" customHeight="false" outlineLevel="0" collapsed="false">
      <c r="L93" s="23" t="n">
        <f aca="false">IF($E93="",0,$D93*$E93*(1-$G93-$H93-$I93))</f>
        <v>0</v>
      </c>
      <c r="M93" s="23" t="n">
        <f aca="false">IF($E93="",0,$D93*$E93-($F93*$E93+$G93*$D93*$E93+$H93*$D93*$E93+$I93*$D93*$E93+$J93*$D93*$E93*(1-$G93)+$K93*$E93))</f>
        <v>0</v>
      </c>
      <c r="N93" s="23" t="str">
        <f aca="false">IF($B93="","",CONCATENATE("Örnek kalem: ",$B93))</f>
        <v/>
      </c>
    </row>
    <row r="94" customFormat="false" ht="15" hidden="false" customHeight="false" outlineLevel="0" collapsed="false">
      <c r="L94" s="23" t="n">
        <f aca="false">IF($E94="",0,$D94*$E94*(1-$G94-$H94-$I94))</f>
        <v>0</v>
      </c>
      <c r="M94" s="23" t="n">
        <f aca="false">IF($E94="",0,$D94*$E94-($F94*$E94+$G94*$D94*$E94+$H94*$D94*$E94+$I94*$D94*$E94+$J94*$D94*$E94*(1-$G94)+$K94*$E94))</f>
        <v>0</v>
      </c>
      <c r="N94" s="23" t="str">
        <f aca="false">IF($B94="","",CONCATENATE("Örnek kalem: ",$B94))</f>
        <v/>
      </c>
    </row>
    <row r="95" customFormat="false" ht="15" hidden="false" customHeight="false" outlineLevel="0" collapsed="false">
      <c r="L95" s="23" t="n">
        <f aca="false">IF($E95="",0,$D95*$E95*(1-$G95-$H95-$I95))</f>
        <v>0</v>
      </c>
      <c r="M95" s="23" t="n">
        <f aca="false">IF($E95="",0,$D95*$E95-($F95*$E95+$G95*$D95*$E95+$H95*$D95*$E95+$I95*$D95*$E95+$J95*$D95*$E95*(1-$G95)+$K95*$E95))</f>
        <v>0</v>
      </c>
      <c r="N95" s="23" t="str">
        <f aca="false">IF($B95="","",CONCATENATE("Örnek kalem: ",$B95))</f>
        <v/>
      </c>
    </row>
    <row r="96" customFormat="false" ht="15" hidden="false" customHeight="false" outlineLevel="0" collapsed="false">
      <c r="L96" s="23" t="n">
        <f aca="false">IF($E96="",0,$D96*$E96*(1-$G96-$H96-$I96))</f>
        <v>0</v>
      </c>
      <c r="M96" s="23" t="n">
        <f aca="false">IF($E96="",0,$D96*$E96-($F96*$E96+$G96*$D96*$E96+$H96*$D96*$E96+$I96*$D96*$E96+$J96*$D96*$E96*(1-$G96)+$K96*$E96))</f>
        <v>0</v>
      </c>
      <c r="N96" s="23" t="str">
        <f aca="false">IF($B96="","",CONCATENATE("Örnek kalem: ",$B96))</f>
        <v/>
      </c>
    </row>
    <row r="97" customFormat="false" ht="15" hidden="false" customHeight="false" outlineLevel="0" collapsed="false">
      <c r="L97" s="23" t="n">
        <f aca="false">IF($E97="",0,$D97*$E97*(1-$G97-$H97-$I97))</f>
        <v>0</v>
      </c>
      <c r="M97" s="23" t="n">
        <f aca="false">IF($E97="",0,$D97*$E97-($F97*$E97+$G97*$D97*$E97+$H97*$D97*$E97+$I97*$D97*$E97+$J97*$D97*$E97*(1-$G97)+$K97*$E97))</f>
        <v>0</v>
      </c>
      <c r="N97" s="23" t="str">
        <f aca="false">IF($B97="","",CONCATENATE("Örnek kalem: ",$B97))</f>
        <v/>
      </c>
    </row>
    <row r="98" customFormat="false" ht="15" hidden="false" customHeight="false" outlineLevel="0" collapsed="false">
      <c r="L98" s="23" t="n">
        <f aca="false">IF($E98="",0,$D98*$E98*(1-$G98-$H98-$I98))</f>
        <v>0</v>
      </c>
      <c r="M98" s="23" t="n">
        <f aca="false">IF($E98="",0,$D98*$E98-($F98*$E98+$G98*$D98*$E98+$H98*$D98*$E98+$I98*$D98*$E98+$J98*$D98*$E98*(1-$G98)+$K98*$E98))</f>
        <v>0</v>
      </c>
      <c r="N98" s="23" t="str">
        <f aca="false">IF($B98="","",CONCATENATE("Örnek kalem: ",$B98))</f>
        <v/>
      </c>
    </row>
    <row r="99" customFormat="false" ht="15" hidden="false" customHeight="false" outlineLevel="0" collapsed="false">
      <c r="L99" s="23" t="n">
        <f aca="false">IF($E99="",0,$D99*$E99*(1-$G99-$H99-$I99))</f>
        <v>0</v>
      </c>
      <c r="M99" s="23" t="n">
        <f aca="false">IF($E99="",0,$D99*$E99-($F99*$E99+$G99*$D99*$E99+$H99*$D99*$E99+$I99*$D99*$E99+$J99*$D99*$E99*(1-$G99)+$K99*$E99))</f>
        <v>0</v>
      </c>
      <c r="N99" s="23" t="str">
        <f aca="false">IF($B99="","",CONCATENATE("Örnek kalem: ",$B99))</f>
        <v/>
      </c>
    </row>
    <row r="100" customFormat="false" ht="15" hidden="false" customHeight="false" outlineLevel="0" collapsed="false">
      <c r="L100" s="23" t="n">
        <f aca="false">IF($E100="",0,$D100*$E100*(1-$G100-$H100-$I100))</f>
        <v>0</v>
      </c>
      <c r="M100" s="23" t="n">
        <f aca="false">IF($E100="",0,$D100*$E100-($F100*$E100+$G100*$D100*$E100+$H100*$D100*$E100+$I100*$D100*$E100+$J100*$D100*$E100*(1-$G100)+$K100*$E100))</f>
        <v>0</v>
      </c>
      <c r="N100" s="23" t="str">
        <f aca="false">IF($B100="","",CONCATENATE("Örnek kalem: ",$B100))</f>
        <v/>
      </c>
    </row>
    <row r="101" customFormat="false" ht="15" hidden="false" customHeight="false" outlineLevel="0" collapsed="false">
      <c r="L101" s="23" t="n">
        <f aca="false">IF($E101="",0,$D101*$E101*(1-$G101-$H101-$I101))</f>
        <v>0</v>
      </c>
      <c r="M101" s="23" t="n">
        <f aca="false">IF($E101="",0,$D101*$E101-($F101*$E101+$G101*$D101*$E101+$H101*$D101*$E101+$I101*$D101*$E101+$J101*$D101*$E101*(1-$G101)+$K101*$E101))</f>
        <v>0</v>
      </c>
      <c r="N101" s="23" t="str">
        <f aca="false">IF($B101="","",CONCATENATE("Örnek kalem: ",$B101))</f>
        <v/>
      </c>
    </row>
    <row r="102" customFormat="false" ht="15" hidden="false" customHeight="false" outlineLevel="0" collapsed="false">
      <c r="L102" s="23" t="n">
        <f aca="false">IF($E102="",0,$D102*$E102*(1-$G102-$H102-$I102))</f>
        <v>0</v>
      </c>
      <c r="M102" s="23" t="n">
        <f aca="false">IF($E102="",0,$D102*$E102-($F102*$E102+$G102*$D102*$E102+$H102*$D102*$E102+$I102*$D102*$E102+$J102*$D102*$E102*(1-$G102)+$K102*$E102))</f>
        <v>0</v>
      </c>
      <c r="N102" s="23" t="str">
        <f aca="false">IF($B102="","",CONCATENATE("Örnek kalem: ",$B102))</f>
        <v/>
      </c>
    </row>
    <row r="103" customFormat="false" ht="15" hidden="false" customHeight="false" outlineLevel="0" collapsed="false">
      <c r="L103" s="23" t="n">
        <f aca="false">IF($E103="",0,$D103*$E103*(1-$G103-$H103-$I103))</f>
        <v>0</v>
      </c>
      <c r="M103" s="23" t="n">
        <f aca="false">IF($E103="",0,$D103*$E103-($F103*$E103+$G103*$D103*$E103+$H103*$D103*$E103+$I103*$D103*$E103+$J103*$D103*$E103*(1-$G103)+$K103*$E103))</f>
        <v>0</v>
      </c>
      <c r="N103" s="23" t="str">
        <f aca="false">IF($B103="","",CONCATENATE("Örnek kalem: ",$B103))</f>
        <v/>
      </c>
    </row>
    <row r="104" customFormat="false" ht="15" hidden="false" customHeight="false" outlineLevel="0" collapsed="false">
      <c r="L104" s="23" t="n">
        <f aca="false">IF($E104="",0,$D104*$E104*(1-$G104-$H104-$I104))</f>
        <v>0</v>
      </c>
      <c r="M104" s="23" t="n">
        <f aca="false">IF($E104="",0,$D104*$E104-($F104*$E104+$G104*$D104*$E104+$H104*$D104*$E104+$I104*$D104*$E104+$J104*$D104*$E104*(1-$G104)+$K104*$E104))</f>
        <v>0</v>
      </c>
      <c r="N104" s="23" t="str">
        <f aca="false">IF($B104="","",CONCATENATE("Örnek kalem: ",$B104))</f>
        <v/>
      </c>
    </row>
    <row r="105" customFormat="false" ht="15" hidden="false" customHeight="false" outlineLevel="0" collapsed="false">
      <c r="L105" s="23" t="n">
        <f aca="false">IF($E105="",0,$D105*$E105*(1-$G105-$H105-$I105))</f>
        <v>0</v>
      </c>
      <c r="M105" s="23" t="n">
        <f aca="false">IF($E105="",0,$D105*$E105-($F105*$E105+$G105*$D105*$E105+$H105*$D105*$E105+$I105*$D105*$E105+$J105*$D105*$E105*(1-$G105)+$K105*$E105))</f>
        <v>0</v>
      </c>
      <c r="N105" s="23" t="str">
        <f aca="false">IF($B105="","",CONCATENATE("Örnek kalem: ",$B105))</f>
        <v/>
      </c>
    </row>
    <row r="106" customFormat="false" ht="15" hidden="false" customHeight="false" outlineLevel="0" collapsed="false">
      <c r="L106" s="23" t="n">
        <f aca="false">IF($E106="",0,$D106*$E106*(1-$G106-$H106-$I106))</f>
        <v>0</v>
      </c>
      <c r="M106" s="23" t="n">
        <f aca="false">IF($E106="",0,$D106*$E106-($F106*$E106+$G106*$D106*$E106+$H106*$D106*$E106+$I106*$D106*$E106+$J106*$D106*$E106*(1-$G106)+$K106*$E106))</f>
        <v>0</v>
      </c>
      <c r="N106" s="23" t="str">
        <f aca="false">IF($B106="","",CONCATENATE("Örnek kalem: ",$B106))</f>
        <v/>
      </c>
    </row>
    <row r="107" customFormat="false" ht="15" hidden="false" customHeight="false" outlineLevel="0" collapsed="false">
      <c r="L107" s="23" t="n">
        <f aca="false">IF($E107="",0,$D107*$E107*(1-$G107-$H107-$I107))</f>
        <v>0</v>
      </c>
      <c r="M107" s="23" t="n">
        <f aca="false">IF($E107="",0,$D107*$E107-($F107*$E107+$G107*$D107*$E107+$H107*$D107*$E107+$I107*$D107*$E107+$J107*$D107*$E107*(1-$G107)+$K107*$E107))</f>
        <v>0</v>
      </c>
      <c r="N107" s="23" t="str">
        <f aca="false">IF($B107="","",CONCATENATE("Örnek kalem: ",$B107))</f>
        <v/>
      </c>
    </row>
    <row r="108" customFormat="false" ht="15" hidden="false" customHeight="false" outlineLevel="0" collapsed="false">
      <c r="L108" s="23" t="n">
        <f aca="false">IF($E108="",0,$D108*$E108*(1-$G108-$H108-$I108))</f>
        <v>0</v>
      </c>
      <c r="M108" s="23" t="n">
        <f aca="false">IF($E108="",0,$D108*$E108-($F108*$E108+$G108*$D108*$E108+$H108*$D108*$E108+$I108*$D108*$E108+$J108*$D108*$E108*(1-$G108)+$K108*$E108))</f>
        <v>0</v>
      </c>
      <c r="N108" s="23" t="str">
        <f aca="false">IF($B108="","",CONCATENATE("Örnek kalem: ",$B108))</f>
        <v/>
      </c>
    </row>
    <row r="109" customFormat="false" ht="15" hidden="false" customHeight="false" outlineLevel="0" collapsed="false">
      <c r="L109" s="23" t="n">
        <f aca="false">IF($E109="",0,$D109*$E109*(1-$G109-$H109-$I109))</f>
        <v>0</v>
      </c>
      <c r="M109" s="23" t="n">
        <f aca="false">IF($E109="",0,$D109*$E109-($F109*$E109+$G109*$D109*$E109+$H109*$D109*$E109+$I109*$D109*$E109+$J109*$D109*$E109*(1-$G109)+$K109*$E109))</f>
        <v>0</v>
      </c>
      <c r="N109" s="23" t="str">
        <f aca="false">IF($B109="","",CONCATENATE("Örnek kalem: ",$B109))</f>
        <v/>
      </c>
    </row>
    <row r="110" customFormat="false" ht="15" hidden="false" customHeight="false" outlineLevel="0" collapsed="false">
      <c r="L110" s="23" t="n">
        <f aca="false">IF($E110="",0,$D110*$E110*(1-$G110-$H110-$I110))</f>
        <v>0</v>
      </c>
      <c r="M110" s="23" t="n">
        <f aca="false">IF($E110="",0,$D110*$E110-($F110*$E110+$G110*$D110*$E110+$H110*$D110*$E110+$I110*$D110*$E110+$J110*$D110*$E110*(1-$G110)+$K110*$E110))</f>
        <v>0</v>
      </c>
      <c r="N110" s="23" t="str">
        <f aca="false">IF($B110="","",CONCATENATE("Örnek kalem: ",$B110))</f>
        <v/>
      </c>
    </row>
    <row r="111" customFormat="false" ht="15" hidden="false" customHeight="false" outlineLevel="0" collapsed="false">
      <c r="L111" s="23" t="n">
        <f aca="false">IF($E111="",0,$D111*$E111*(1-$G111-$H111-$I111))</f>
        <v>0</v>
      </c>
      <c r="M111" s="23" t="n">
        <f aca="false">IF($E111="",0,$D111*$E111-($F111*$E111+$G111*$D111*$E111+$H111*$D111*$E111+$I111*$D111*$E111+$J111*$D111*$E111*(1-$G111)+$K111*$E111))</f>
        <v>0</v>
      </c>
      <c r="N111" s="23" t="str">
        <f aca="false">IF($B111="","",CONCATENATE("Örnek kalem: ",$B111))</f>
        <v/>
      </c>
    </row>
    <row r="112" customFormat="false" ht="15" hidden="false" customHeight="false" outlineLevel="0" collapsed="false">
      <c r="L112" s="23" t="n">
        <f aca="false">IF($E112="",0,$D112*$E112*(1-$G112-$H112-$I112))</f>
        <v>0</v>
      </c>
      <c r="M112" s="23" t="n">
        <f aca="false">IF($E112="",0,$D112*$E112-($F112*$E112+$G112*$D112*$E112+$H112*$D112*$E112+$I112*$D112*$E112+$J112*$D112*$E112*(1-$G112)+$K112*$E112))</f>
        <v>0</v>
      </c>
      <c r="N112" s="23" t="str">
        <f aca="false">IF($B112="","",CONCATENATE("Örnek kalem: ",$B112))</f>
        <v/>
      </c>
    </row>
    <row r="113" customFormat="false" ht="15" hidden="false" customHeight="false" outlineLevel="0" collapsed="false">
      <c r="L113" s="23" t="n">
        <f aca="false">IF($E113="",0,$D113*$E113*(1-$G113-$H113-$I113))</f>
        <v>0</v>
      </c>
      <c r="M113" s="23" t="n">
        <f aca="false">IF($E113="",0,$D113*$E113-($F113*$E113+$G113*$D113*$E113+$H113*$D113*$E113+$I113*$D113*$E113+$J113*$D113*$E113*(1-$G113)+$K113*$E113))</f>
        <v>0</v>
      </c>
      <c r="N113" s="23" t="str">
        <f aca="false">IF($B113="","",CONCATENATE("Örnek kalem: ",$B113))</f>
        <v/>
      </c>
    </row>
    <row r="114" customFormat="false" ht="15" hidden="false" customHeight="false" outlineLevel="0" collapsed="false">
      <c r="L114" s="23" t="n">
        <f aca="false">IF($E114="",0,$D114*$E114*(1-$G114-$H114-$I114))</f>
        <v>0</v>
      </c>
      <c r="M114" s="23" t="n">
        <f aca="false">IF($E114="",0,$D114*$E114-($F114*$E114+$G114*$D114*$E114+$H114*$D114*$E114+$I114*$D114*$E114+$J114*$D114*$E114*(1-$G114)+$K114*$E114))</f>
        <v>0</v>
      </c>
      <c r="N114" s="23" t="str">
        <f aca="false">IF($B114="","",CONCATENATE("Örnek kalem: ",$B114))</f>
        <v/>
      </c>
    </row>
    <row r="115" customFormat="false" ht="15" hidden="false" customHeight="false" outlineLevel="0" collapsed="false">
      <c r="L115" s="23" t="n">
        <f aca="false">IF($E115="",0,$D115*$E115*(1-$G115-$H115-$I115))</f>
        <v>0</v>
      </c>
      <c r="M115" s="23" t="n">
        <f aca="false">IF($E115="",0,$D115*$E115-($F115*$E115+$G115*$D115*$E115+$H115*$D115*$E115+$I115*$D115*$E115+$J115*$D115*$E115*(1-$G115)+$K115*$E115))</f>
        <v>0</v>
      </c>
      <c r="N115" s="23" t="str">
        <f aca="false">IF($B115="","",CONCATENATE("Örnek kalem: ",$B115))</f>
        <v/>
      </c>
    </row>
    <row r="116" customFormat="false" ht="15" hidden="false" customHeight="false" outlineLevel="0" collapsed="false">
      <c r="L116" s="23" t="n">
        <f aca="false">IF($E116="",0,$D116*$E116*(1-$G116-$H116-$I116))</f>
        <v>0</v>
      </c>
      <c r="M116" s="23" t="n">
        <f aca="false">IF($E116="",0,$D116*$E116-($F116*$E116+$G116*$D116*$E116+$H116*$D116*$E116+$I116*$D116*$E116+$J116*$D116*$E116*(1-$G116)+$K116*$E116))</f>
        <v>0</v>
      </c>
      <c r="N116" s="23" t="str">
        <f aca="false">IF($B116="","",CONCATENATE("Örnek kalem: ",$B116))</f>
        <v/>
      </c>
    </row>
    <row r="117" customFormat="false" ht="15" hidden="false" customHeight="false" outlineLevel="0" collapsed="false">
      <c r="L117" s="23" t="n">
        <f aca="false">IF($E117="",0,$D117*$E117*(1-$G117-$H117-$I117))</f>
        <v>0</v>
      </c>
      <c r="M117" s="23" t="n">
        <f aca="false">IF($E117="",0,$D117*$E117-($F117*$E117+$G117*$D117*$E117+$H117*$D117*$E117+$I117*$D117*$E117+$J117*$D117*$E117*(1-$G117)+$K117*$E117))</f>
        <v>0</v>
      </c>
      <c r="N117" s="23" t="str">
        <f aca="false">IF($B117="","",CONCATENATE("Örnek kalem: ",$B117))</f>
        <v/>
      </c>
    </row>
    <row r="118" customFormat="false" ht="15" hidden="false" customHeight="false" outlineLevel="0" collapsed="false">
      <c r="L118" s="23" t="n">
        <f aca="false">IF($E118="",0,$D118*$E118*(1-$G118-$H118-$I118))</f>
        <v>0</v>
      </c>
      <c r="M118" s="23" t="n">
        <f aca="false">IF($E118="",0,$D118*$E118-($F118*$E118+$G118*$D118*$E118+$H118*$D118*$E118+$I118*$D118*$E118+$J118*$D118*$E118*(1-$G118)+$K118*$E118))</f>
        <v>0</v>
      </c>
      <c r="N118" s="23" t="str">
        <f aca="false">IF($B118="","",CONCATENATE("Örnek kalem: ",$B118))</f>
        <v/>
      </c>
    </row>
    <row r="119" customFormat="false" ht="15" hidden="false" customHeight="false" outlineLevel="0" collapsed="false">
      <c r="L119" s="23" t="n">
        <f aca="false">IF($E119="",0,$D119*$E119*(1-$G119-$H119-$I119))</f>
        <v>0</v>
      </c>
      <c r="M119" s="23" t="n">
        <f aca="false">IF($E119="",0,$D119*$E119-($F119*$E119+$G119*$D119*$E119+$H119*$D119*$E119+$I119*$D119*$E119+$J119*$D119*$E119*(1-$G119)+$K119*$E119))</f>
        <v>0</v>
      </c>
      <c r="N119" s="23" t="str">
        <f aca="false">IF($B119="","",CONCATENATE("Örnek kalem: ",$B119))</f>
        <v/>
      </c>
    </row>
    <row r="120" customFormat="false" ht="15" hidden="false" customHeight="false" outlineLevel="0" collapsed="false">
      <c r="L120" s="23" t="n">
        <f aca="false">IF($E120="",0,$D120*$E120*(1-$G120-$H120-$I120))</f>
        <v>0</v>
      </c>
      <c r="M120" s="23" t="n">
        <f aca="false">IF($E120="",0,$D120*$E120-($F120*$E120+$G120*$D120*$E120+$H120*$D120*$E120+$I120*$D120*$E120+$J120*$D120*$E120*(1-$G120)+$K120*$E120))</f>
        <v>0</v>
      </c>
      <c r="N120" s="23" t="str">
        <f aca="false">IF($B120="","",CONCATENATE("Örnek kalem: ",$B120))</f>
        <v/>
      </c>
    </row>
    <row r="121" customFormat="false" ht="15" hidden="false" customHeight="false" outlineLevel="0" collapsed="false">
      <c r="L121" s="23" t="n">
        <f aca="false">IF($E121="",0,$D121*$E121*(1-$G121-$H121-$I121))</f>
        <v>0</v>
      </c>
      <c r="M121" s="23" t="n">
        <f aca="false">IF($E121="",0,$D121*$E121-($F121*$E121+$G121*$D121*$E121+$H121*$D121*$E121+$I121*$D121*$E121+$J121*$D121*$E121*(1-$G121)+$K121*$E121))</f>
        <v>0</v>
      </c>
      <c r="N121" s="23" t="str">
        <f aca="false">IF($B121="","",CONCATENATE("Örnek kalem: ",$B121))</f>
        <v/>
      </c>
    </row>
    <row r="122" customFormat="false" ht="15" hidden="false" customHeight="false" outlineLevel="0" collapsed="false">
      <c r="L122" s="23" t="n">
        <f aca="false">IF($E122="",0,$D122*$E122*(1-$G122-$H122-$I122))</f>
        <v>0</v>
      </c>
      <c r="M122" s="23" t="n">
        <f aca="false">IF($E122="",0,$D122*$E122-($F122*$E122+$G122*$D122*$E122+$H122*$D122*$E122+$I122*$D122*$E122+$J122*$D122*$E122*(1-$G122)+$K122*$E122))</f>
        <v>0</v>
      </c>
      <c r="N122" s="23" t="str">
        <f aca="false">IF($B122="","",CONCATENATE("Örnek kalem: ",$B122))</f>
        <v/>
      </c>
    </row>
    <row r="123" customFormat="false" ht="15" hidden="false" customHeight="false" outlineLevel="0" collapsed="false">
      <c r="L123" s="23" t="n">
        <f aca="false">IF($E123="",0,$D123*$E123*(1-$G123-$H123-$I123))</f>
        <v>0</v>
      </c>
      <c r="M123" s="23" t="n">
        <f aca="false">IF($E123="",0,$D123*$E123-($F123*$E123+$G123*$D123*$E123+$H123*$D123*$E123+$I123*$D123*$E123+$J123*$D123*$E123*(1-$G123)+$K123*$E123))</f>
        <v>0</v>
      </c>
      <c r="N123" s="23" t="str">
        <f aca="false">IF($B123="","",CONCATENATE("Örnek kalem: ",$B123))</f>
        <v/>
      </c>
    </row>
    <row r="124" customFormat="false" ht="15" hidden="false" customHeight="false" outlineLevel="0" collapsed="false">
      <c r="L124" s="23" t="n">
        <f aca="false">IF($E124="",0,$D124*$E124*(1-$G124-$H124-$I124))</f>
        <v>0</v>
      </c>
      <c r="M124" s="23" t="n">
        <f aca="false">IF($E124="",0,$D124*$E124-($F124*$E124+$G124*$D124*$E124+$H124*$D124*$E124+$I124*$D124*$E124+$J124*$D124*$E124*(1-$G124)+$K124*$E124))</f>
        <v>0</v>
      </c>
      <c r="N124" s="23" t="str">
        <f aca="false">IF($B124="","",CONCATENATE("Örnek kalem: ",$B124))</f>
        <v/>
      </c>
    </row>
    <row r="125" customFormat="false" ht="15" hidden="false" customHeight="false" outlineLevel="0" collapsed="false">
      <c r="L125" s="23" t="n">
        <f aca="false">IF($E125="",0,$D125*$E125*(1-$G125-$H125-$I125))</f>
        <v>0</v>
      </c>
      <c r="M125" s="23" t="n">
        <f aca="false">IF($E125="",0,$D125*$E125-($F125*$E125+$G125*$D125*$E125+$H125*$D125*$E125+$I125*$D125*$E125+$J125*$D125*$E125*(1-$G125)+$K125*$E125))</f>
        <v>0</v>
      </c>
      <c r="N125" s="23" t="str">
        <f aca="false">IF($B125="","",CONCATENATE("Örnek kalem: ",$B125))</f>
        <v/>
      </c>
    </row>
    <row r="126" customFormat="false" ht="15" hidden="false" customHeight="false" outlineLevel="0" collapsed="false">
      <c r="L126" s="23" t="n">
        <f aca="false">IF($E126="",0,$D126*$E126*(1-$G126-$H126-$I126))</f>
        <v>0</v>
      </c>
      <c r="M126" s="23" t="n">
        <f aca="false">IF($E126="",0,$D126*$E126-($F126*$E126+$G126*$D126*$E126+$H126*$D126*$E126+$I126*$D126*$E126+$J126*$D126*$E126*(1-$G126)+$K126*$E126))</f>
        <v>0</v>
      </c>
      <c r="N126" s="23" t="str">
        <f aca="false">IF($B126="","",CONCATENATE("Örnek kalem: ",$B126))</f>
        <v/>
      </c>
    </row>
    <row r="127" customFormat="false" ht="15" hidden="false" customHeight="false" outlineLevel="0" collapsed="false">
      <c r="L127" s="23" t="n">
        <f aca="false">IF($E127="",0,$D127*$E127*(1-$G127-$H127-$I127))</f>
        <v>0</v>
      </c>
      <c r="M127" s="23" t="n">
        <f aca="false">IF($E127="",0,$D127*$E127-($F127*$E127+$G127*$D127*$E127+$H127*$D127*$E127+$I127*$D127*$E127+$J127*$D127*$E127*(1-$G127)+$K127*$E127))</f>
        <v>0</v>
      </c>
      <c r="N127" s="23" t="str">
        <f aca="false">IF($B127="","",CONCATENATE("Örnek kalem: ",$B127))</f>
        <v/>
      </c>
    </row>
    <row r="128" customFormat="false" ht="15" hidden="false" customHeight="false" outlineLevel="0" collapsed="false">
      <c r="L128" s="23" t="n">
        <f aca="false">IF($E128="",0,$D128*$E128*(1-$G128-$H128-$I128))</f>
        <v>0</v>
      </c>
      <c r="M128" s="23" t="n">
        <f aca="false">IF($E128="",0,$D128*$E128-($F128*$E128+$G128*$D128*$E128+$H128*$D128*$E128+$I128*$D128*$E128+$J128*$D128*$E128*(1-$G128)+$K128*$E128))</f>
        <v>0</v>
      </c>
      <c r="N128" s="23" t="str">
        <f aca="false">IF($B128="","",CONCATENATE("Örnek kalem: ",$B128))</f>
        <v/>
      </c>
    </row>
    <row r="129" customFormat="false" ht="15" hidden="false" customHeight="false" outlineLevel="0" collapsed="false">
      <c r="L129" s="23" t="n">
        <f aca="false">IF($E129="",0,$D129*$E129*(1-$G129-$H129-$I129))</f>
        <v>0</v>
      </c>
      <c r="M129" s="23" t="n">
        <f aca="false">IF($E129="",0,$D129*$E129-($F129*$E129+$G129*$D129*$E129+$H129*$D129*$E129+$I129*$D129*$E129+$J129*$D129*$E129*(1-$G129)+$K129*$E129))</f>
        <v>0</v>
      </c>
      <c r="N129" s="23" t="str">
        <f aca="false">IF($B129="","",CONCATENATE("Örnek kalem: ",$B129))</f>
        <v/>
      </c>
    </row>
    <row r="130" customFormat="false" ht="15" hidden="false" customHeight="false" outlineLevel="0" collapsed="false">
      <c r="L130" s="23" t="n">
        <f aca="false">IF($E130="",0,$D130*$E130*(1-$G130-$H130-$I130))</f>
        <v>0</v>
      </c>
      <c r="M130" s="23" t="n">
        <f aca="false">IF($E130="",0,$D130*$E130-($F130*$E130+$G130*$D130*$E130+$H130*$D130*$E130+$I130*$D130*$E130+$J130*$D130*$E130*(1-$G130)+$K130*$E130))</f>
        <v>0</v>
      </c>
      <c r="N130" s="23" t="str">
        <f aca="false">IF($B130="","",CONCATENATE("Örnek kalem: ",$B130))</f>
        <v/>
      </c>
    </row>
    <row r="131" customFormat="false" ht="15" hidden="false" customHeight="false" outlineLevel="0" collapsed="false">
      <c r="L131" s="23" t="n">
        <f aca="false">IF($E131="",0,$D131*$E131*(1-$G131-$H131-$I131))</f>
        <v>0</v>
      </c>
      <c r="M131" s="23" t="n">
        <f aca="false">IF($E131="",0,$D131*$E131-($F131*$E131+$G131*$D131*$E131+$H131*$D131*$E131+$I131*$D131*$E131+$J131*$D131*$E131*(1-$G131)+$K131*$E131))</f>
        <v>0</v>
      </c>
      <c r="N131" s="23" t="str">
        <f aca="false">IF($B131="","",CONCATENATE("Örnek kalem: ",$B131))</f>
        <v/>
      </c>
    </row>
    <row r="132" customFormat="false" ht="15" hidden="false" customHeight="false" outlineLevel="0" collapsed="false">
      <c r="L132" s="23" t="n">
        <f aca="false">IF($E132="",0,$D132*$E132*(1-$G132-$H132-$I132))</f>
        <v>0</v>
      </c>
      <c r="M132" s="23" t="n">
        <f aca="false">IF($E132="",0,$D132*$E132-($F132*$E132+$G132*$D132*$E132+$H132*$D132*$E132+$I132*$D132*$E132+$J132*$D132*$E132*(1-$G132)+$K132*$E132))</f>
        <v>0</v>
      </c>
      <c r="N132" s="23" t="str">
        <f aca="false">IF($B132="","",CONCATENATE("Örnek kalem: ",$B132))</f>
        <v/>
      </c>
    </row>
    <row r="133" customFormat="false" ht="15" hidden="false" customHeight="false" outlineLevel="0" collapsed="false">
      <c r="L133" s="23" t="n">
        <f aca="false">IF($E133="",0,$D133*$E133*(1-$G133-$H133-$I133))</f>
        <v>0</v>
      </c>
      <c r="M133" s="23" t="n">
        <f aca="false">IF($E133="",0,$D133*$E133-($F133*$E133+$G133*$D133*$E133+$H133*$D133*$E133+$I133*$D133*$E133+$J133*$D133*$E133*(1-$G133)+$K133*$E133))</f>
        <v>0</v>
      </c>
      <c r="N133" s="23" t="str">
        <f aca="false">IF($B133="","",CONCATENATE("Örnek kalem: ",$B133))</f>
        <v/>
      </c>
    </row>
    <row r="134" customFormat="false" ht="15" hidden="false" customHeight="false" outlineLevel="0" collapsed="false">
      <c r="L134" s="23" t="n">
        <f aca="false">IF($E134="",0,$D134*$E134*(1-$G134-$H134-$I134))</f>
        <v>0</v>
      </c>
      <c r="M134" s="23" t="n">
        <f aca="false">IF($E134="",0,$D134*$E134-($F134*$E134+$G134*$D134*$E134+$H134*$D134*$E134+$I134*$D134*$E134+$J134*$D134*$E134*(1-$G134)+$K134*$E134))</f>
        <v>0</v>
      </c>
      <c r="N134" s="23" t="str">
        <f aca="false">IF($B134="","",CONCATENATE("Örnek kalem: ",$B134))</f>
        <v/>
      </c>
    </row>
    <row r="135" customFormat="false" ht="15" hidden="false" customHeight="false" outlineLevel="0" collapsed="false">
      <c r="L135" s="23" t="n">
        <f aca="false">IF($E135="",0,$D135*$E135*(1-$G135-$H135-$I135))</f>
        <v>0</v>
      </c>
      <c r="M135" s="23" t="n">
        <f aca="false">IF($E135="",0,$D135*$E135-($F135*$E135+$G135*$D135*$E135+$H135*$D135*$E135+$I135*$D135*$E135+$J135*$D135*$E135*(1-$G135)+$K135*$E135))</f>
        <v>0</v>
      </c>
      <c r="N135" s="23" t="str">
        <f aca="false">IF($B135="","",CONCATENATE("Örnek kalem: ",$B135))</f>
        <v/>
      </c>
    </row>
    <row r="136" customFormat="false" ht="15" hidden="false" customHeight="false" outlineLevel="0" collapsed="false">
      <c r="L136" s="23" t="n">
        <f aca="false">IF($E136="",0,$D136*$E136*(1-$G136-$H136-$I136))</f>
        <v>0</v>
      </c>
      <c r="M136" s="23" t="n">
        <f aca="false">IF($E136="",0,$D136*$E136-($F136*$E136+$G136*$D136*$E136+$H136*$D136*$E136+$I136*$D136*$E136+$J136*$D136*$E136*(1-$G136)+$K136*$E136))</f>
        <v>0</v>
      </c>
      <c r="N136" s="23" t="str">
        <f aca="false">IF($B136="","",CONCATENATE("Örnek kalem: ",$B136))</f>
        <v/>
      </c>
    </row>
    <row r="137" customFormat="false" ht="15" hidden="false" customHeight="false" outlineLevel="0" collapsed="false">
      <c r="L137" s="23" t="n">
        <f aca="false">IF($E137="",0,$D137*$E137*(1-$G137-$H137-$I137))</f>
        <v>0</v>
      </c>
      <c r="M137" s="23" t="n">
        <f aca="false">IF($E137="",0,$D137*$E137-($F137*$E137+$G137*$D137*$E137+$H137*$D137*$E137+$I137*$D137*$E137+$J137*$D137*$E137*(1-$G137)+$K137*$E137))</f>
        <v>0</v>
      </c>
      <c r="N137" s="23" t="str">
        <f aca="false">IF($B137="","",CONCATENATE("Örnek kalem: ",$B137))</f>
        <v/>
      </c>
    </row>
    <row r="138" customFormat="false" ht="15" hidden="false" customHeight="false" outlineLevel="0" collapsed="false">
      <c r="L138" s="23" t="n">
        <f aca="false">IF($E138="",0,$D138*$E138*(1-$G138-$H138-$I138))</f>
        <v>0</v>
      </c>
      <c r="M138" s="23" t="n">
        <f aca="false">IF($E138="",0,$D138*$E138-($F138*$E138+$G138*$D138*$E138+$H138*$D138*$E138+$I138*$D138*$E138+$J138*$D138*$E138*(1-$G138)+$K138*$E138))</f>
        <v>0</v>
      </c>
      <c r="N138" s="23" t="str">
        <f aca="false">IF($B138="","",CONCATENATE("Örnek kalem: ",$B138))</f>
        <v/>
      </c>
    </row>
    <row r="139" customFormat="false" ht="15" hidden="false" customHeight="false" outlineLevel="0" collapsed="false">
      <c r="L139" s="23" t="n">
        <f aca="false">IF($E139="",0,$D139*$E139*(1-$G139-$H139-$I139))</f>
        <v>0</v>
      </c>
      <c r="M139" s="23" t="n">
        <f aca="false">IF($E139="",0,$D139*$E139-($F139*$E139+$G139*$D139*$E139+$H139*$D139*$E139+$I139*$D139*$E139+$J139*$D139*$E139*(1-$G139)+$K139*$E139))</f>
        <v>0</v>
      </c>
      <c r="N139" s="23" t="str">
        <f aca="false">IF($B139="","",CONCATENATE("Örnek kalem: ",$B139))</f>
        <v/>
      </c>
    </row>
    <row r="140" customFormat="false" ht="15" hidden="false" customHeight="false" outlineLevel="0" collapsed="false">
      <c r="L140" s="23" t="n">
        <f aca="false">IF($E140="",0,$D140*$E140*(1-$G140-$H140-$I140))</f>
        <v>0</v>
      </c>
      <c r="M140" s="23" t="n">
        <f aca="false">IF($E140="",0,$D140*$E140-($F140*$E140+$G140*$D140*$E140+$H140*$D140*$E140+$I140*$D140*$E140+$J140*$D140*$E140*(1-$G140)+$K140*$E140))</f>
        <v>0</v>
      </c>
      <c r="N140" s="23" t="str">
        <f aca="false">IF($B140="","",CONCATENATE("Örnek kalem: ",$B140))</f>
        <v/>
      </c>
    </row>
    <row r="141" customFormat="false" ht="15" hidden="false" customHeight="false" outlineLevel="0" collapsed="false">
      <c r="L141" s="23" t="n">
        <f aca="false">IF($E141="",0,$D141*$E141*(1-$G141-$H141-$I141))</f>
        <v>0</v>
      </c>
      <c r="M141" s="23" t="n">
        <f aca="false">IF($E141="",0,$D141*$E141-($F141*$E141+$G141*$D141*$E141+$H141*$D141*$E141+$I141*$D141*$E141+$J141*$D141*$E141*(1-$G141)+$K141*$E141))</f>
        <v>0</v>
      </c>
      <c r="N141" s="23" t="str">
        <f aca="false">IF($B141="","",CONCATENATE("Örnek kalem: ",$B141))</f>
        <v/>
      </c>
    </row>
    <row r="142" customFormat="false" ht="15" hidden="false" customHeight="false" outlineLevel="0" collapsed="false">
      <c r="L142" s="23" t="n">
        <f aca="false">IF($E142="",0,$D142*$E142*(1-$G142-$H142-$I142))</f>
        <v>0</v>
      </c>
      <c r="M142" s="23" t="n">
        <f aca="false">IF($E142="",0,$D142*$E142-($F142*$E142+$G142*$D142*$E142+$H142*$D142*$E142+$I142*$D142*$E142+$J142*$D142*$E142*(1-$G142)+$K142*$E142))</f>
        <v>0</v>
      </c>
      <c r="N142" s="23" t="str">
        <f aca="false">IF($B142="","",CONCATENATE("Örnek kalem: ",$B142))</f>
        <v/>
      </c>
    </row>
    <row r="143" customFormat="false" ht="15" hidden="false" customHeight="false" outlineLevel="0" collapsed="false">
      <c r="L143" s="23" t="n">
        <f aca="false">IF($E143="",0,$D143*$E143*(1-$G143-$H143-$I143))</f>
        <v>0</v>
      </c>
      <c r="M143" s="23" t="n">
        <f aca="false">IF($E143="",0,$D143*$E143-($F143*$E143+$G143*$D143*$E143+$H143*$D143*$E143+$I143*$D143*$E143+$J143*$D143*$E143*(1-$G143)+$K143*$E143))</f>
        <v>0</v>
      </c>
      <c r="N143" s="23" t="str">
        <f aca="false">IF($B143="","",CONCATENATE("Örnek kalem: ",$B143))</f>
        <v/>
      </c>
    </row>
    <row r="144" customFormat="false" ht="15" hidden="false" customHeight="false" outlineLevel="0" collapsed="false">
      <c r="L144" s="23" t="n">
        <f aca="false">IF($E144="",0,$D144*$E144*(1-$G144-$H144-$I144))</f>
        <v>0</v>
      </c>
      <c r="M144" s="23" t="n">
        <f aca="false">IF($E144="",0,$D144*$E144-($F144*$E144+$G144*$D144*$E144+$H144*$D144*$E144+$I144*$D144*$E144+$J144*$D144*$E144*(1-$G144)+$K144*$E144))</f>
        <v>0</v>
      </c>
      <c r="N144" s="23" t="str">
        <f aca="false">IF($B144="","",CONCATENATE("Örnek kalem: ",$B144))</f>
        <v/>
      </c>
    </row>
    <row r="145" customFormat="false" ht="15" hidden="false" customHeight="false" outlineLevel="0" collapsed="false">
      <c r="L145" s="23" t="n">
        <f aca="false">IF($E145="",0,$D145*$E145*(1-$G145-$H145-$I145))</f>
        <v>0</v>
      </c>
      <c r="M145" s="23" t="n">
        <f aca="false">IF($E145="",0,$D145*$E145-($F145*$E145+$G145*$D145*$E145+$H145*$D145*$E145+$I145*$D145*$E145+$J145*$D145*$E145*(1-$G145)+$K145*$E145))</f>
        <v>0</v>
      </c>
      <c r="N145" s="23" t="str">
        <f aca="false">IF($B145="","",CONCATENATE("Örnek kalem: ",$B145))</f>
        <v/>
      </c>
    </row>
    <row r="146" customFormat="false" ht="15" hidden="false" customHeight="false" outlineLevel="0" collapsed="false">
      <c r="L146" s="23" t="n">
        <f aca="false">IF($E146="",0,$D146*$E146*(1-$G146-$H146-$I146))</f>
        <v>0</v>
      </c>
      <c r="M146" s="23" t="n">
        <f aca="false">IF($E146="",0,$D146*$E146-($F146*$E146+$G146*$D146*$E146+$H146*$D146*$E146+$I146*$D146*$E146+$J146*$D146*$E146*(1-$G146)+$K146*$E146))</f>
        <v>0</v>
      </c>
      <c r="N146" s="23" t="str">
        <f aca="false">IF($B146="","",CONCATENATE("Örnek kalem: ",$B146))</f>
        <v/>
      </c>
    </row>
    <row r="147" customFormat="false" ht="15" hidden="false" customHeight="false" outlineLevel="0" collapsed="false">
      <c r="L147" s="23" t="n">
        <f aca="false">IF($E147="",0,$D147*$E147*(1-$G147-$H147-$I147))</f>
        <v>0</v>
      </c>
      <c r="M147" s="23" t="n">
        <f aca="false">IF($E147="",0,$D147*$E147-($F147*$E147+$G147*$D147*$E147+$H147*$D147*$E147+$I147*$D147*$E147+$J147*$D147*$E147*(1-$G147)+$K147*$E147))</f>
        <v>0</v>
      </c>
      <c r="N147" s="23" t="str">
        <f aca="false">IF($B147="","",CONCATENATE("Örnek kalem: ",$B147))</f>
        <v/>
      </c>
    </row>
    <row r="148" customFormat="false" ht="15" hidden="false" customHeight="false" outlineLevel="0" collapsed="false">
      <c r="L148" s="23" t="n">
        <f aca="false">IF($E148="",0,$D148*$E148*(1-$G148-$H148-$I148))</f>
        <v>0</v>
      </c>
      <c r="M148" s="23" t="n">
        <f aca="false">IF($E148="",0,$D148*$E148-($F148*$E148+$G148*$D148*$E148+$H148*$D148*$E148+$I148*$D148*$E148+$J148*$D148*$E148*(1-$G148)+$K148*$E148))</f>
        <v>0</v>
      </c>
      <c r="N148" s="23" t="str">
        <f aca="false">IF($B148="","",CONCATENATE("Örnek kalem: ",$B148))</f>
        <v/>
      </c>
    </row>
    <row r="149" customFormat="false" ht="15" hidden="false" customHeight="false" outlineLevel="0" collapsed="false">
      <c r="L149" s="23" t="n">
        <f aca="false">IF($E149="",0,$D149*$E149*(1-$G149-$H149-$I149))</f>
        <v>0</v>
      </c>
      <c r="M149" s="23" t="n">
        <f aca="false">IF($E149="",0,$D149*$E149-($F149*$E149+$G149*$D149*$E149+$H149*$D149*$E149+$I149*$D149*$E149+$J149*$D149*$E149*(1-$G149)+$K149*$E149))</f>
        <v>0</v>
      </c>
      <c r="N149" s="23" t="str">
        <f aca="false">IF($B149="","",CONCATENATE("Örnek kalem: ",$B149))</f>
        <v/>
      </c>
    </row>
    <row r="150" customFormat="false" ht="15" hidden="false" customHeight="false" outlineLevel="0" collapsed="false">
      <c r="L150" s="23" t="n">
        <f aca="false">IF($E150="",0,$D150*$E150*(1-$G150-$H150-$I150))</f>
        <v>0</v>
      </c>
      <c r="M150" s="23" t="n">
        <f aca="false">IF($E150="",0,$D150*$E150-($F150*$E150+$G150*$D150*$E150+$H150*$D150*$E150+$I150*$D150*$E150+$J150*$D150*$E150*(1-$G150)+$K150*$E150))</f>
        <v>0</v>
      </c>
      <c r="N150" s="23" t="str">
        <f aca="false">IF($B150="","",CONCATENATE("Örnek kalem: ",$B150))</f>
        <v/>
      </c>
    </row>
    <row r="151" customFormat="false" ht="15" hidden="false" customHeight="false" outlineLevel="0" collapsed="false">
      <c r="L151" s="23" t="n">
        <f aca="false">IF($E151="",0,$D151*$E151*(1-$G151-$H151-$I151))</f>
        <v>0</v>
      </c>
      <c r="M151" s="23" t="n">
        <f aca="false">IF($E151="",0,$D151*$E151-($F151*$E151+$G151*$D151*$E151+$H151*$D151*$E151+$I151*$D151*$E151+$J151*$D151*$E151*(1-$G151)+$K151*$E151))</f>
        <v>0</v>
      </c>
      <c r="N151" s="23" t="str">
        <f aca="false">IF($B151="","",CONCATENATE("Örnek kalem: ",$B151))</f>
        <v/>
      </c>
    </row>
    <row r="152" customFormat="false" ht="15" hidden="false" customHeight="false" outlineLevel="0" collapsed="false">
      <c r="L152" s="23" t="n">
        <f aca="false">IF($E152="",0,$D152*$E152*(1-$G152-$H152-$I152))</f>
        <v>0</v>
      </c>
      <c r="M152" s="23" t="n">
        <f aca="false">IF($E152="",0,$D152*$E152-($F152*$E152+$G152*$D152*$E152+$H152*$D152*$E152+$I152*$D152*$E152+$J152*$D152*$E152*(1-$G152)+$K152*$E152))</f>
        <v>0</v>
      </c>
      <c r="N152" s="23" t="str">
        <f aca="false">IF($B152="","",CONCATENATE("Örnek kalem: ",$B152))</f>
        <v/>
      </c>
    </row>
    <row r="153" customFormat="false" ht="15" hidden="false" customHeight="false" outlineLevel="0" collapsed="false">
      <c r="L153" s="23" t="n">
        <f aca="false">IF($E153="",0,$D153*$E153*(1-$G153-$H153-$I153))</f>
        <v>0</v>
      </c>
      <c r="M153" s="23" t="n">
        <f aca="false">IF($E153="",0,$D153*$E153-($F153*$E153+$G153*$D153*$E153+$H153*$D153*$E153+$I153*$D153*$E153+$J153*$D153*$E153*(1-$G153)+$K153*$E153))</f>
        <v>0</v>
      </c>
      <c r="N153" s="23" t="str">
        <f aca="false">IF($B153="","",CONCATENATE("Örnek kalem: ",$B153))</f>
        <v/>
      </c>
    </row>
    <row r="154" customFormat="false" ht="15" hidden="false" customHeight="false" outlineLevel="0" collapsed="false">
      <c r="L154" s="23" t="n">
        <f aca="false">IF($E154="",0,$D154*$E154*(1-$G154-$H154-$I154))</f>
        <v>0</v>
      </c>
      <c r="M154" s="23" t="n">
        <f aca="false">IF($E154="",0,$D154*$E154-($F154*$E154+$G154*$D154*$E154+$H154*$D154*$E154+$I154*$D154*$E154+$J154*$D154*$E154*(1-$G154)+$K154*$E154))</f>
        <v>0</v>
      </c>
      <c r="N154" s="23" t="str">
        <f aca="false">IF($B154="","",CONCATENATE("Örnek kalem: ",$B154))</f>
        <v/>
      </c>
    </row>
    <row r="155" customFormat="false" ht="15" hidden="false" customHeight="false" outlineLevel="0" collapsed="false">
      <c r="L155" s="23" t="n">
        <f aca="false">IF($E155="",0,$D155*$E155*(1-$G155-$H155-$I155))</f>
        <v>0</v>
      </c>
      <c r="M155" s="23" t="n">
        <f aca="false">IF($E155="",0,$D155*$E155-($F155*$E155+$G155*$D155*$E155+$H155*$D155*$E155+$I155*$D155*$E155+$J155*$D155*$E155*(1-$G155)+$K155*$E155))</f>
        <v>0</v>
      </c>
      <c r="N155" s="23" t="str">
        <f aca="false">IF($B155="","",CONCATENATE("Örnek kalem: ",$B155))</f>
        <v/>
      </c>
    </row>
    <row r="156" customFormat="false" ht="15" hidden="false" customHeight="false" outlineLevel="0" collapsed="false">
      <c r="L156" s="23" t="n">
        <f aca="false">IF($E156="",0,$D156*$E156*(1-$G156-$H156-$I156))</f>
        <v>0</v>
      </c>
      <c r="M156" s="23" t="n">
        <f aca="false">IF($E156="",0,$D156*$E156-($F156*$E156+$G156*$D156*$E156+$H156*$D156*$E156+$I156*$D156*$E156+$J156*$D156*$E156*(1-$G156)+$K156*$E156))</f>
        <v>0</v>
      </c>
      <c r="N156" s="23" t="str">
        <f aca="false">IF($B156="","",CONCATENATE("Örnek kalem: ",$B156))</f>
        <v/>
      </c>
    </row>
    <row r="157" customFormat="false" ht="15" hidden="false" customHeight="false" outlineLevel="0" collapsed="false">
      <c r="L157" s="23" t="n">
        <f aca="false">IF($E157="",0,$D157*$E157*(1-$G157-$H157-$I157))</f>
        <v>0</v>
      </c>
      <c r="M157" s="23" t="n">
        <f aca="false">IF($E157="",0,$D157*$E157-($F157*$E157+$G157*$D157*$E157+$H157*$D157*$E157+$I157*$D157*$E157+$J157*$D157*$E157*(1-$G157)+$K157*$E157))</f>
        <v>0</v>
      </c>
      <c r="N157" s="23" t="str">
        <f aca="false">IF($B157="","",CONCATENATE("Örnek kalem: ",$B157))</f>
        <v/>
      </c>
    </row>
    <row r="158" customFormat="false" ht="15" hidden="false" customHeight="false" outlineLevel="0" collapsed="false">
      <c r="L158" s="23" t="n">
        <f aca="false">IF($E158="",0,$D158*$E158*(1-$G158-$H158-$I158))</f>
        <v>0</v>
      </c>
      <c r="M158" s="23" t="n">
        <f aca="false">IF($E158="",0,$D158*$E158-($F158*$E158+$G158*$D158*$E158+$H158*$D158*$E158+$I158*$D158*$E158+$J158*$D158*$E158*(1-$G158)+$K158*$E158))</f>
        <v>0</v>
      </c>
      <c r="N158" s="23" t="str">
        <f aca="false">IF($B158="","",CONCATENATE("Örnek kalem: ",$B158))</f>
        <v/>
      </c>
    </row>
    <row r="159" customFormat="false" ht="15" hidden="false" customHeight="false" outlineLevel="0" collapsed="false">
      <c r="L159" s="23" t="n">
        <f aca="false">IF($E159="",0,$D159*$E159*(1-$G159-$H159-$I159))</f>
        <v>0</v>
      </c>
      <c r="M159" s="23" t="n">
        <f aca="false">IF($E159="",0,$D159*$E159-($F159*$E159+$G159*$D159*$E159+$H159*$D159*$E159+$I159*$D159*$E159+$J159*$D159*$E159*(1-$G159)+$K159*$E159))</f>
        <v>0</v>
      </c>
      <c r="N159" s="23" t="str">
        <f aca="false">IF($B159="","",CONCATENATE("Örnek kalem: ",$B159))</f>
        <v/>
      </c>
    </row>
    <row r="160" customFormat="false" ht="15" hidden="false" customHeight="false" outlineLevel="0" collapsed="false">
      <c r="L160" s="23" t="n">
        <f aca="false">IF($E160="",0,$D160*$E160*(1-$G160-$H160-$I160))</f>
        <v>0</v>
      </c>
      <c r="M160" s="23" t="n">
        <f aca="false">IF($E160="",0,$D160*$E160-($F160*$E160+$G160*$D160*$E160+$H160*$D160*$E160+$I160*$D160*$E160+$J160*$D160*$E160*(1-$G160)+$K160*$E160))</f>
        <v>0</v>
      </c>
      <c r="N160" s="23" t="str">
        <f aca="false">IF($B160="","",CONCATENATE("Örnek kalem: ",$B160))</f>
        <v/>
      </c>
    </row>
    <row r="161" customFormat="false" ht="15" hidden="false" customHeight="false" outlineLevel="0" collapsed="false">
      <c r="L161" s="23" t="n">
        <f aca="false">IF($E161="",0,$D161*$E161*(1-$G161-$H161-$I161))</f>
        <v>0</v>
      </c>
      <c r="M161" s="23" t="n">
        <f aca="false">IF($E161="",0,$D161*$E161-($F161*$E161+$G161*$D161*$E161+$H161*$D161*$E161+$I161*$D161*$E161+$J161*$D161*$E161*(1-$G161)+$K161*$E161))</f>
        <v>0</v>
      </c>
      <c r="N161" s="23" t="str">
        <f aca="false">IF($B161="","",CONCATENATE("Örnek kalem: ",$B161))</f>
        <v/>
      </c>
    </row>
    <row r="162" customFormat="false" ht="15" hidden="false" customHeight="false" outlineLevel="0" collapsed="false">
      <c r="L162" s="23" t="n">
        <f aca="false">IF($E162="",0,$D162*$E162*(1-$G162-$H162-$I162))</f>
        <v>0</v>
      </c>
      <c r="M162" s="23" t="n">
        <f aca="false">IF($E162="",0,$D162*$E162-($F162*$E162+$G162*$D162*$E162+$H162*$D162*$E162+$I162*$D162*$E162+$J162*$D162*$E162*(1-$G162)+$K162*$E162))</f>
        <v>0</v>
      </c>
      <c r="N162" s="23" t="str">
        <f aca="false">IF($B162="","",CONCATENATE("Örnek kalem: ",$B162))</f>
        <v/>
      </c>
    </row>
    <row r="163" customFormat="false" ht="15" hidden="false" customHeight="false" outlineLevel="0" collapsed="false">
      <c r="L163" s="23" t="n">
        <f aca="false">IF($E163="",0,$D163*$E163*(1-$G163-$H163-$I163))</f>
        <v>0</v>
      </c>
      <c r="M163" s="23" t="n">
        <f aca="false">IF($E163="",0,$D163*$E163-($F163*$E163+$G163*$D163*$E163+$H163*$D163*$E163+$I163*$D163*$E163+$J163*$D163*$E163*(1-$G163)+$K163*$E163))</f>
        <v>0</v>
      </c>
      <c r="N163" s="23" t="str">
        <f aca="false">IF($B163="","",CONCATENATE("Örnek kalem: ",$B163))</f>
        <v/>
      </c>
    </row>
    <row r="164" customFormat="false" ht="15" hidden="false" customHeight="false" outlineLevel="0" collapsed="false">
      <c r="L164" s="23" t="n">
        <f aca="false">IF($E164="",0,$D164*$E164*(1-$G164-$H164-$I164))</f>
        <v>0</v>
      </c>
      <c r="M164" s="23" t="n">
        <f aca="false">IF($E164="",0,$D164*$E164-($F164*$E164+$G164*$D164*$E164+$H164*$D164*$E164+$I164*$D164*$E164+$J164*$D164*$E164*(1-$G164)+$K164*$E164))</f>
        <v>0</v>
      </c>
      <c r="N164" s="23" t="str">
        <f aca="false">IF($B164="","",CONCATENATE("Örnek kalem: ",$B164))</f>
        <v/>
      </c>
    </row>
    <row r="165" customFormat="false" ht="15" hidden="false" customHeight="false" outlineLevel="0" collapsed="false">
      <c r="L165" s="23" t="n">
        <f aca="false">IF($E165="",0,$D165*$E165*(1-$G165-$H165-$I165))</f>
        <v>0</v>
      </c>
      <c r="M165" s="23" t="n">
        <f aca="false">IF($E165="",0,$D165*$E165-($F165*$E165+$G165*$D165*$E165+$H165*$D165*$E165+$I165*$D165*$E165+$J165*$D165*$E165*(1-$G165)+$K165*$E165))</f>
        <v>0</v>
      </c>
      <c r="N165" s="23" t="str">
        <f aca="false">IF($B165="","",CONCATENATE("Örnek kalem: ",$B165))</f>
        <v/>
      </c>
    </row>
    <row r="166" customFormat="false" ht="15" hidden="false" customHeight="false" outlineLevel="0" collapsed="false">
      <c r="L166" s="23" t="n">
        <f aca="false">IF($E166="",0,$D166*$E166*(1-$G166-$H166-$I166))</f>
        <v>0</v>
      </c>
      <c r="M166" s="23" t="n">
        <f aca="false">IF($E166="",0,$D166*$E166-($F166*$E166+$G166*$D166*$E166+$H166*$D166*$E166+$I166*$D166*$E166+$J166*$D166*$E166*(1-$G166)+$K166*$E166))</f>
        <v>0</v>
      </c>
      <c r="N166" s="23" t="str">
        <f aca="false">IF($B166="","",CONCATENATE("Örnek kalem: ",$B166))</f>
        <v/>
      </c>
    </row>
    <row r="167" customFormat="false" ht="15" hidden="false" customHeight="false" outlineLevel="0" collapsed="false">
      <c r="L167" s="23" t="n">
        <f aca="false">IF($E167="",0,$D167*$E167*(1-$G167-$H167-$I167))</f>
        <v>0</v>
      </c>
      <c r="M167" s="23" t="n">
        <f aca="false">IF($E167="",0,$D167*$E167-($F167*$E167+$G167*$D167*$E167+$H167*$D167*$E167+$I167*$D167*$E167+$J167*$D167*$E167*(1-$G167)+$K167*$E167))</f>
        <v>0</v>
      </c>
      <c r="N167" s="23" t="str">
        <f aca="false">IF($B167="","",CONCATENATE("Örnek kalem: ",$B167))</f>
        <v/>
      </c>
    </row>
    <row r="168" customFormat="false" ht="15" hidden="false" customHeight="false" outlineLevel="0" collapsed="false">
      <c r="L168" s="23" t="n">
        <f aca="false">IF($E168="",0,$D168*$E168*(1-$G168-$H168-$I168))</f>
        <v>0</v>
      </c>
      <c r="M168" s="23" t="n">
        <f aca="false">IF($E168="",0,$D168*$E168-($F168*$E168+$G168*$D168*$E168+$H168*$D168*$E168+$I168*$D168*$E168+$J168*$D168*$E168*(1-$G168)+$K168*$E168))</f>
        <v>0</v>
      </c>
      <c r="N168" s="23" t="str">
        <f aca="false">IF($B168="","",CONCATENATE("Örnek kalem: ",$B168))</f>
        <v/>
      </c>
    </row>
    <row r="169" customFormat="false" ht="15" hidden="false" customHeight="false" outlineLevel="0" collapsed="false">
      <c r="L169" s="23" t="n">
        <f aca="false">IF($E169="",0,$D169*$E169*(1-$G169-$H169-$I169))</f>
        <v>0</v>
      </c>
      <c r="M169" s="23" t="n">
        <f aca="false">IF($E169="",0,$D169*$E169-($F169*$E169+$G169*$D169*$E169+$H169*$D169*$E169+$I169*$D169*$E169+$J169*$D169*$E169*(1-$G169)+$K169*$E169))</f>
        <v>0</v>
      </c>
      <c r="N169" s="23" t="str">
        <f aca="false">IF($B169="","",CONCATENATE("Örnek kalem: ",$B169))</f>
        <v/>
      </c>
    </row>
    <row r="170" customFormat="false" ht="15" hidden="false" customHeight="false" outlineLevel="0" collapsed="false">
      <c r="L170" s="23" t="n">
        <f aca="false">IF($E170="",0,$D170*$E170*(1-$G170-$H170-$I170))</f>
        <v>0</v>
      </c>
      <c r="M170" s="23" t="n">
        <f aca="false">IF($E170="",0,$D170*$E170-($F170*$E170+$G170*$D170*$E170+$H170*$D170*$E170+$I170*$D170*$E170+$J170*$D170*$E170*(1-$G170)+$K170*$E170))</f>
        <v>0</v>
      </c>
      <c r="N170" s="23" t="str">
        <f aca="false">IF($B170="","",CONCATENATE("Örnek kalem: ",$B170))</f>
        <v/>
      </c>
    </row>
    <row r="171" customFormat="false" ht="15" hidden="false" customHeight="false" outlineLevel="0" collapsed="false">
      <c r="L171" s="23" t="n">
        <f aca="false">IF($E171="",0,$D171*$E171*(1-$G171-$H171-$I171))</f>
        <v>0</v>
      </c>
      <c r="M171" s="23" t="n">
        <f aca="false">IF($E171="",0,$D171*$E171-($F171*$E171+$G171*$D171*$E171+$H171*$D171*$E171+$I171*$D171*$E171+$J171*$D171*$E171*(1-$G171)+$K171*$E171))</f>
        <v>0</v>
      </c>
      <c r="N171" s="23" t="str">
        <f aca="false">IF($B171="","",CONCATENATE("Örnek kalem: ",$B171))</f>
        <v/>
      </c>
    </row>
    <row r="172" customFormat="false" ht="15" hidden="false" customHeight="false" outlineLevel="0" collapsed="false">
      <c r="L172" s="23" t="n">
        <f aca="false">IF($E172="",0,$D172*$E172*(1-$G172-$H172-$I172))</f>
        <v>0</v>
      </c>
      <c r="M172" s="23" t="n">
        <f aca="false">IF($E172="",0,$D172*$E172-($F172*$E172+$G172*$D172*$E172+$H172*$D172*$E172+$I172*$D172*$E172+$J172*$D172*$E172*(1-$G172)+$K172*$E172))</f>
        <v>0</v>
      </c>
      <c r="N172" s="23" t="str">
        <f aca="false">IF($B172="","",CONCATENATE("Örnek kalem: ",$B172))</f>
        <v/>
      </c>
    </row>
    <row r="173" customFormat="false" ht="15" hidden="false" customHeight="false" outlineLevel="0" collapsed="false">
      <c r="L173" s="23" t="n">
        <f aca="false">IF($E173="",0,$D173*$E173*(1-$G173-$H173-$I173))</f>
        <v>0</v>
      </c>
      <c r="M173" s="23" t="n">
        <f aca="false">IF($E173="",0,$D173*$E173-($F173*$E173+$G173*$D173*$E173+$H173*$D173*$E173+$I173*$D173*$E173+$J173*$D173*$E173*(1-$G173)+$K173*$E173))</f>
        <v>0</v>
      </c>
      <c r="N173" s="23" t="str">
        <f aca="false">IF($B173="","",CONCATENATE("Örnek kalem: ",$B173))</f>
        <v/>
      </c>
    </row>
    <row r="174" customFormat="false" ht="15" hidden="false" customHeight="false" outlineLevel="0" collapsed="false">
      <c r="L174" s="23" t="n">
        <f aca="false">IF($E174="",0,$D174*$E174*(1-$G174-$H174-$I174))</f>
        <v>0</v>
      </c>
      <c r="M174" s="23" t="n">
        <f aca="false">IF($E174="",0,$D174*$E174-($F174*$E174+$G174*$D174*$E174+$H174*$D174*$E174+$I174*$D174*$E174+$J174*$D174*$E174*(1-$G174)+$K174*$E174))</f>
        <v>0</v>
      </c>
      <c r="N174" s="23" t="str">
        <f aca="false">IF($B174="","",CONCATENATE("Örnek kalem: ",$B174))</f>
        <v/>
      </c>
    </row>
    <row r="175" customFormat="false" ht="15" hidden="false" customHeight="false" outlineLevel="0" collapsed="false">
      <c r="L175" s="23" t="n">
        <f aca="false">IF($E175="",0,$D175*$E175*(1-$G175-$H175-$I175))</f>
        <v>0</v>
      </c>
      <c r="M175" s="23" t="n">
        <f aca="false">IF($E175="",0,$D175*$E175-($F175*$E175+$G175*$D175*$E175+$H175*$D175*$E175+$I175*$D175*$E175+$J175*$D175*$E175*(1-$G175)+$K175*$E175))</f>
        <v>0</v>
      </c>
      <c r="N175" s="23" t="str">
        <f aca="false">IF($B175="","",CONCATENATE("Örnek kalem: ",$B175))</f>
        <v/>
      </c>
    </row>
    <row r="176" customFormat="false" ht="15" hidden="false" customHeight="false" outlineLevel="0" collapsed="false">
      <c r="L176" s="23" t="n">
        <f aca="false">IF($E176="",0,$D176*$E176*(1-$G176-$H176-$I176))</f>
        <v>0</v>
      </c>
      <c r="M176" s="23" t="n">
        <f aca="false">IF($E176="",0,$D176*$E176-($F176*$E176+$G176*$D176*$E176+$H176*$D176*$E176+$I176*$D176*$E176+$J176*$D176*$E176*(1-$G176)+$K176*$E176))</f>
        <v>0</v>
      </c>
      <c r="N176" s="23" t="str">
        <f aca="false">IF($B176="","",CONCATENATE("Örnek kalem: ",$B176))</f>
        <v/>
      </c>
    </row>
    <row r="177" customFormat="false" ht="15" hidden="false" customHeight="false" outlineLevel="0" collapsed="false">
      <c r="L177" s="23" t="n">
        <f aca="false">IF($E177="",0,$D177*$E177*(1-$G177-$H177-$I177))</f>
        <v>0</v>
      </c>
      <c r="M177" s="23" t="n">
        <f aca="false">IF($E177="",0,$D177*$E177-($F177*$E177+$G177*$D177*$E177+$H177*$D177*$E177+$I177*$D177*$E177+$J177*$D177*$E177*(1-$G177)+$K177*$E177))</f>
        <v>0</v>
      </c>
      <c r="N177" s="23" t="str">
        <f aca="false">IF($B177="","",CONCATENATE("Örnek kalem: ",$B177))</f>
        <v/>
      </c>
    </row>
    <row r="178" customFormat="false" ht="15" hidden="false" customHeight="false" outlineLevel="0" collapsed="false">
      <c r="L178" s="23" t="n">
        <f aca="false">IF($E178="",0,$D178*$E178*(1-$G178-$H178-$I178))</f>
        <v>0</v>
      </c>
      <c r="M178" s="23" t="n">
        <f aca="false">IF($E178="",0,$D178*$E178-($F178*$E178+$G178*$D178*$E178+$H178*$D178*$E178+$I178*$D178*$E178+$J178*$D178*$E178*(1-$G178)+$K178*$E178))</f>
        <v>0</v>
      </c>
      <c r="N178" s="23" t="str">
        <f aca="false">IF($B178="","",CONCATENATE("Örnek kalem: ",$B178))</f>
        <v/>
      </c>
    </row>
    <row r="179" customFormat="false" ht="15" hidden="false" customHeight="false" outlineLevel="0" collapsed="false">
      <c r="L179" s="23" t="n">
        <f aca="false">IF($E179="",0,$D179*$E179*(1-$G179-$H179-$I179))</f>
        <v>0</v>
      </c>
      <c r="M179" s="23" t="n">
        <f aca="false">IF($E179="",0,$D179*$E179-($F179*$E179+$G179*$D179*$E179+$H179*$D179*$E179+$I179*$D179*$E179+$J179*$D179*$E179*(1-$G179)+$K179*$E179))</f>
        <v>0</v>
      </c>
      <c r="N179" s="23" t="str">
        <f aca="false">IF($B179="","",CONCATENATE("Örnek kalem: ",$B179))</f>
        <v/>
      </c>
    </row>
    <row r="180" customFormat="false" ht="15" hidden="false" customHeight="false" outlineLevel="0" collapsed="false">
      <c r="L180" s="23" t="n">
        <f aca="false">IF($E180="",0,$D180*$E180*(1-$G180-$H180-$I180))</f>
        <v>0</v>
      </c>
      <c r="M180" s="23" t="n">
        <f aca="false">IF($E180="",0,$D180*$E180-($F180*$E180+$G180*$D180*$E180+$H180*$D180*$E180+$I180*$D180*$E180+$J180*$D180*$E180*(1-$G180)+$K180*$E180))</f>
        <v>0</v>
      </c>
      <c r="N180" s="23" t="str">
        <f aca="false">IF($B180="","",CONCATENATE("Örnek kalem: ",$B180))</f>
        <v/>
      </c>
    </row>
    <row r="181" customFormat="false" ht="15" hidden="false" customHeight="false" outlineLevel="0" collapsed="false">
      <c r="L181" s="23" t="n">
        <f aca="false">IF($E181="",0,$D181*$E181*(1-$G181-$H181-$I181))</f>
        <v>0</v>
      </c>
      <c r="M181" s="23" t="n">
        <f aca="false">IF($E181="",0,$D181*$E181-($F181*$E181+$G181*$D181*$E181+$H181*$D181*$E181+$I181*$D181*$E181+$J181*$D181*$E181*(1-$G181)+$K181*$E181))</f>
        <v>0</v>
      </c>
      <c r="N181" s="23" t="str">
        <f aca="false">IF($B181="","",CONCATENATE("Örnek kalem: ",$B181))</f>
        <v/>
      </c>
    </row>
    <row r="182" customFormat="false" ht="15" hidden="false" customHeight="false" outlineLevel="0" collapsed="false">
      <c r="L182" s="23" t="n">
        <f aca="false">IF($E182="",0,$D182*$E182*(1-$G182-$H182-$I182))</f>
        <v>0</v>
      </c>
      <c r="M182" s="23" t="n">
        <f aca="false">IF($E182="",0,$D182*$E182-($F182*$E182+$G182*$D182*$E182+$H182*$D182*$E182+$I182*$D182*$E182+$J182*$D182*$E182*(1-$G182)+$K182*$E182))</f>
        <v>0</v>
      </c>
      <c r="N182" s="23" t="str">
        <f aca="false">IF($B182="","",CONCATENATE("Örnek kalem: ",$B182))</f>
        <v/>
      </c>
    </row>
    <row r="183" customFormat="false" ht="15" hidden="false" customHeight="false" outlineLevel="0" collapsed="false">
      <c r="L183" s="23" t="n">
        <f aca="false">IF($E183="",0,$D183*$E183*(1-$G183-$H183-$I183))</f>
        <v>0</v>
      </c>
      <c r="M183" s="23" t="n">
        <f aca="false">IF($E183="",0,$D183*$E183-($F183*$E183+$G183*$D183*$E183+$H183*$D183*$E183+$I183*$D183*$E183+$J183*$D183*$E183*(1-$G183)+$K183*$E183))</f>
        <v>0</v>
      </c>
      <c r="N183" s="23" t="str">
        <f aca="false">IF($B183="","",CONCATENATE("Örnek kalem: ",$B183))</f>
        <v/>
      </c>
    </row>
    <row r="184" customFormat="false" ht="15" hidden="false" customHeight="false" outlineLevel="0" collapsed="false">
      <c r="L184" s="23" t="n">
        <f aca="false">IF($E184="",0,$D184*$E184*(1-$G184-$H184-$I184))</f>
        <v>0</v>
      </c>
      <c r="M184" s="23" t="n">
        <f aca="false">IF($E184="",0,$D184*$E184-($F184*$E184+$G184*$D184*$E184+$H184*$D184*$E184+$I184*$D184*$E184+$J184*$D184*$E184*(1-$G184)+$K184*$E184))</f>
        <v>0</v>
      </c>
      <c r="N184" s="23" t="str">
        <f aca="false">IF($B184="","",CONCATENATE("Örnek kalem: ",$B184))</f>
        <v/>
      </c>
    </row>
    <row r="185" customFormat="false" ht="15" hidden="false" customHeight="false" outlineLevel="0" collapsed="false">
      <c r="L185" s="23" t="n">
        <f aca="false">IF($E185="",0,$D185*$E185*(1-$G185-$H185-$I185))</f>
        <v>0</v>
      </c>
      <c r="M185" s="23" t="n">
        <f aca="false">IF($E185="",0,$D185*$E185-($F185*$E185+$G185*$D185*$E185+$H185*$D185*$E185+$I185*$D185*$E185+$J185*$D185*$E185*(1-$G185)+$K185*$E185))</f>
        <v>0</v>
      </c>
      <c r="N185" s="23" t="str">
        <f aca="false">IF($B185="","",CONCATENATE("Örnek kalem: ",$B185))</f>
        <v/>
      </c>
    </row>
    <row r="186" customFormat="false" ht="15" hidden="false" customHeight="false" outlineLevel="0" collapsed="false">
      <c r="L186" s="23" t="n">
        <f aca="false">IF($E186="",0,$D186*$E186*(1-$G186-$H186-$I186))</f>
        <v>0</v>
      </c>
      <c r="M186" s="23" t="n">
        <f aca="false">IF($E186="",0,$D186*$E186-($F186*$E186+$G186*$D186*$E186+$H186*$D186*$E186+$I186*$D186*$E186+$J186*$D186*$E186*(1-$G186)+$K186*$E186))</f>
        <v>0</v>
      </c>
      <c r="N186" s="23" t="str">
        <f aca="false">IF($B186="","",CONCATENATE("Örnek kalem: ",$B186))</f>
        <v/>
      </c>
    </row>
    <row r="187" customFormat="false" ht="15" hidden="false" customHeight="false" outlineLevel="0" collapsed="false">
      <c r="L187" s="23" t="n">
        <f aca="false">IF($E187="",0,$D187*$E187*(1-$G187-$H187-$I187))</f>
        <v>0</v>
      </c>
      <c r="M187" s="23" t="n">
        <f aca="false">IF($E187="",0,$D187*$E187-($F187*$E187+$G187*$D187*$E187+$H187*$D187*$E187+$I187*$D187*$E187+$J187*$D187*$E187*(1-$G187)+$K187*$E187))</f>
        <v>0</v>
      </c>
      <c r="N187" s="23" t="str">
        <f aca="false">IF($B187="","",CONCATENATE("Örnek kalem: ",$B187))</f>
        <v/>
      </c>
    </row>
    <row r="188" customFormat="false" ht="15" hidden="false" customHeight="false" outlineLevel="0" collapsed="false">
      <c r="L188" s="23" t="n">
        <f aca="false">IF($E188="",0,$D188*$E188*(1-$G188-$H188-$I188))</f>
        <v>0</v>
      </c>
      <c r="M188" s="23" t="n">
        <f aca="false">IF($E188="",0,$D188*$E188-($F188*$E188+$G188*$D188*$E188+$H188*$D188*$E188+$I188*$D188*$E188+$J188*$D188*$E188*(1-$G188)+$K188*$E188))</f>
        <v>0</v>
      </c>
      <c r="N188" s="23" t="str">
        <f aca="false">IF($B188="","",CONCATENATE("Örnek kalem: ",$B188))</f>
        <v/>
      </c>
    </row>
    <row r="189" customFormat="false" ht="15" hidden="false" customHeight="false" outlineLevel="0" collapsed="false">
      <c r="L189" s="23" t="n">
        <f aca="false">IF($E189="",0,$D189*$E189*(1-$G189-$H189-$I189))</f>
        <v>0</v>
      </c>
      <c r="M189" s="23" t="n">
        <f aca="false">IF($E189="",0,$D189*$E189-($F189*$E189+$G189*$D189*$E189+$H189*$D189*$E189+$I189*$D189*$E189+$J189*$D189*$E189*(1-$G189)+$K189*$E189))</f>
        <v>0</v>
      </c>
      <c r="N189" s="23" t="str">
        <f aca="false">IF($B189="","",CONCATENATE("Örnek kalem: ",$B189))</f>
        <v/>
      </c>
    </row>
    <row r="190" customFormat="false" ht="15" hidden="false" customHeight="false" outlineLevel="0" collapsed="false">
      <c r="L190" s="23" t="n">
        <f aca="false">IF($E190="",0,$D190*$E190*(1-$G190-$H190-$I190))</f>
        <v>0</v>
      </c>
      <c r="M190" s="23" t="n">
        <f aca="false">IF($E190="",0,$D190*$E190-($F190*$E190+$G190*$D190*$E190+$H190*$D190*$E190+$I190*$D190*$E190+$J190*$D190*$E190*(1-$G190)+$K190*$E190))</f>
        <v>0</v>
      </c>
      <c r="N190" s="23" t="str">
        <f aca="false">IF($B190="","",CONCATENATE("Örnek kalem: ",$B190))</f>
        <v/>
      </c>
    </row>
    <row r="191" customFormat="false" ht="15" hidden="false" customHeight="false" outlineLevel="0" collapsed="false">
      <c r="L191" s="23" t="n">
        <f aca="false">IF($E191="",0,$D191*$E191*(1-$G191-$H191-$I191))</f>
        <v>0</v>
      </c>
      <c r="M191" s="23" t="n">
        <f aca="false">IF($E191="",0,$D191*$E191-($F191*$E191+$G191*$D191*$E191+$H191*$D191*$E191+$I191*$D191*$E191+$J191*$D191*$E191*(1-$G191)+$K191*$E191))</f>
        <v>0</v>
      </c>
      <c r="N191" s="23" t="str">
        <f aca="false">IF($B191="","",CONCATENATE("Örnek kalem: ",$B191))</f>
        <v/>
      </c>
    </row>
    <row r="192" customFormat="false" ht="15" hidden="false" customHeight="false" outlineLevel="0" collapsed="false">
      <c r="L192" s="23" t="n">
        <f aca="false">IF($E192="",0,$D192*$E192*(1-$G192-$H192-$I192))</f>
        <v>0</v>
      </c>
      <c r="M192" s="23" t="n">
        <f aca="false">IF($E192="",0,$D192*$E192-($F192*$E192+$G192*$D192*$E192+$H192*$D192*$E192+$I192*$D192*$E192+$J192*$D192*$E192*(1-$G192)+$K192*$E192))</f>
        <v>0</v>
      </c>
      <c r="N192" s="23" t="str">
        <f aca="false">IF($B192="","",CONCATENATE("Örnek kalem: ",$B192))</f>
        <v/>
      </c>
    </row>
    <row r="193" customFormat="false" ht="15" hidden="false" customHeight="false" outlineLevel="0" collapsed="false">
      <c r="L193" s="23" t="n">
        <f aca="false">IF($E193="",0,$D193*$E193*(1-$G193-$H193-$I193))</f>
        <v>0</v>
      </c>
      <c r="M193" s="23" t="n">
        <f aca="false">IF($E193="",0,$D193*$E193-($F193*$E193+$G193*$D193*$E193+$H193*$D193*$E193+$I193*$D193*$E193+$J193*$D193*$E193*(1-$G193)+$K193*$E193))</f>
        <v>0</v>
      </c>
      <c r="N193" s="23" t="str">
        <f aca="false">IF($B193="","",CONCATENATE("Örnek kalem: ",$B193))</f>
        <v/>
      </c>
    </row>
    <row r="194" customFormat="false" ht="15" hidden="false" customHeight="false" outlineLevel="0" collapsed="false">
      <c r="L194" s="23" t="n">
        <f aca="false">IF($E194="",0,$D194*$E194*(1-$G194-$H194-$I194))</f>
        <v>0</v>
      </c>
      <c r="M194" s="23" t="n">
        <f aca="false">IF($E194="",0,$D194*$E194-($F194*$E194+$G194*$D194*$E194+$H194*$D194*$E194+$I194*$D194*$E194+$J194*$D194*$E194*(1-$G194)+$K194*$E194))</f>
        <v>0</v>
      </c>
      <c r="N194" s="23" t="str">
        <f aca="false">IF($B194="","",CONCATENATE("Örnek kalem: ",$B194))</f>
        <v/>
      </c>
    </row>
    <row r="195" customFormat="false" ht="15" hidden="false" customHeight="false" outlineLevel="0" collapsed="false">
      <c r="L195" s="23" t="n">
        <f aca="false">IF($E195="",0,$D195*$E195*(1-$G195-$H195-$I195))</f>
        <v>0</v>
      </c>
      <c r="M195" s="23" t="n">
        <f aca="false">IF($E195="",0,$D195*$E195-($F195*$E195+$G195*$D195*$E195+$H195*$D195*$E195+$I195*$D195*$E195+$J195*$D195*$E195*(1-$G195)+$K195*$E195))</f>
        <v>0</v>
      </c>
      <c r="N195" s="23" t="str">
        <f aca="false">IF($B195="","",CONCATENATE("Örnek kalem: ",$B195))</f>
        <v/>
      </c>
    </row>
    <row r="196" customFormat="false" ht="15" hidden="false" customHeight="false" outlineLevel="0" collapsed="false">
      <c r="L196" s="23" t="n">
        <f aca="false">IF($E196="",0,$D196*$E196*(1-$G196-$H196-$I196))</f>
        <v>0</v>
      </c>
      <c r="M196" s="23" t="n">
        <f aca="false">IF($E196="",0,$D196*$E196-($F196*$E196+$G196*$D196*$E196+$H196*$D196*$E196+$I196*$D196*$E196+$J196*$D196*$E196*(1-$G196)+$K196*$E196))</f>
        <v>0</v>
      </c>
      <c r="N196" s="23" t="str">
        <f aca="false">IF($B196="","",CONCATENATE("Örnek kalem: ",$B196))</f>
        <v/>
      </c>
    </row>
    <row r="197" customFormat="false" ht="15" hidden="false" customHeight="false" outlineLevel="0" collapsed="false">
      <c r="L197" s="23" t="n">
        <f aca="false">IF($E197="",0,$D197*$E197*(1-$G197-$H197-$I197))</f>
        <v>0</v>
      </c>
      <c r="M197" s="23" t="n">
        <f aca="false">IF($E197="",0,$D197*$E197-($F197*$E197+$G197*$D197*$E197+$H197*$D197*$E197+$I197*$D197*$E197+$J197*$D197*$E197*(1-$G197)+$K197*$E197))</f>
        <v>0</v>
      </c>
      <c r="N197" s="23" t="str">
        <f aca="false">IF($B197="","",CONCATENATE("Örnek kalem: ",$B197))</f>
        <v/>
      </c>
    </row>
    <row r="198" customFormat="false" ht="15" hidden="false" customHeight="false" outlineLevel="0" collapsed="false">
      <c r="L198" s="23" t="n">
        <f aca="false">IF($E198="",0,$D198*$E198*(1-$G198-$H198-$I198))</f>
        <v>0</v>
      </c>
      <c r="M198" s="23" t="n">
        <f aca="false">IF($E198="",0,$D198*$E198-($F198*$E198+$G198*$D198*$E198+$H198*$D198*$E198+$I198*$D198*$E198+$J198*$D198*$E198*(1-$G198)+$K198*$E198))</f>
        <v>0</v>
      </c>
      <c r="N198" s="23" t="str">
        <f aca="false">IF($B198="","",CONCATENATE("Örnek kalem: ",$B198))</f>
        <v/>
      </c>
    </row>
    <row r="199" customFormat="false" ht="15" hidden="false" customHeight="false" outlineLevel="0" collapsed="false">
      <c r="L199" s="23" t="n">
        <f aca="false">IF($E199="",0,$D199*$E199*(1-$G199-$H199-$I199))</f>
        <v>0</v>
      </c>
      <c r="M199" s="23" t="n">
        <f aca="false">IF($E199="",0,$D199*$E199-($F199*$E199+$G199*$D199*$E199+$H199*$D199*$E199+$I199*$D199*$E199+$J199*$D199*$E199*(1-$G199)+$K199*$E199))</f>
        <v>0</v>
      </c>
      <c r="N199" s="23" t="str">
        <f aca="false">IF($B199="","",CONCATENATE("Örnek kalem: ",$B199))</f>
        <v/>
      </c>
    </row>
    <row r="200" customFormat="false" ht="15" hidden="false" customHeight="false" outlineLevel="0" collapsed="false">
      <c r="L200" s="23" t="n">
        <f aca="false">IF($E200="",0,$D200*$E200*(1-$G200-$H200-$I200))</f>
        <v>0</v>
      </c>
      <c r="M200" s="23" t="n">
        <f aca="false">IF($E200="",0,$D200*$E200-($F200*$E200+$G200*$D200*$E200+$H200*$D200*$E200+$I200*$D200*$E200+$J200*$D200*$E200*(1-$G200)+$K200*$E200))</f>
        <v>0</v>
      </c>
      <c r="N200" s="23" t="str">
        <f aca="false">IF($B200="","",CONCATENATE("Örnek kalem: ",$B200))</f>
        <v/>
      </c>
    </row>
    <row r="201" customFormat="false" ht="15" hidden="false" customHeight="false" outlineLevel="0" collapsed="false">
      <c r="L201" s="23" t="n">
        <f aca="false">IF($E201="",0,$D201*$E201*(1-$G201-$H201-$I201))</f>
        <v>0</v>
      </c>
      <c r="M201" s="23" t="n">
        <f aca="false">IF($E201="",0,$D201*$E201-($F201*$E201+$G201*$D201*$E201+$H201*$D201*$E201+$I201*$D201*$E201+$J201*$D201*$E201*(1-$G201)+$K201*$E201))</f>
        <v>0</v>
      </c>
      <c r="N201" s="23" t="str">
        <f aca="false">IF($B201="","",CONCATENATE("Örnek kalem: ",$B201))</f>
        <v/>
      </c>
    </row>
    <row r="202" customFormat="false" ht="15" hidden="false" customHeight="false" outlineLevel="0" collapsed="false">
      <c r="L202" s="23" t="n">
        <f aca="false">IF($E202="",0,$D202*$E202*(1-$G202-$H202-$I202))</f>
        <v>0</v>
      </c>
      <c r="M202" s="23" t="n">
        <f aca="false">IF($E202="",0,$D202*$E202-($F202*$E202+$G202*$D202*$E202+$H202*$D202*$E202+$I202*$D202*$E202+$J202*$D202*$E202*(1-$G202)+$K202*$E202))</f>
        <v>0</v>
      </c>
      <c r="N202" s="23" t="str">
        <f aca="false">IF($B202="","",CONCATENATE("Örnek kalem: ",$B202))</f>
        <v/>
      </c>
    </row>
    <row r="203" customFormat="false" ht="15" hidden="false" customHeight="false" outlineLevel="0" collapsed="false">
      <c r="L203" s="23" t="n">
        <f aca="false">IF($E203="",0,$D203*$E203*(1-$G203-$H203-$I203))</f>
        <v>0</v>
      </c>
      <c r="M203" s="23" t="n">
        <f aca="false">IF($E203="",0,$D203*$E203-($F203*$E203+$G203*$D203*$E203+$H203*$D203*$E203+$I203*$D203*$E203+$J203*$D203*$E203*(1-$G203)+$K203*$E203))</f>
        <v>0</v>
      </c>
      <c r="N203" s="23" t="str">
        <f aca="false">IF($B203="","",CONCATENATE("Örnek kalem: ",$B203))</f>
        <v/>
      </c>
    </row>
    <row r="204" customFormat="false" ht="15" hidden="false" customHeight="false" outlineLevel="0" collapsed="false">
      <c r="L204" s="23" t="n">
        <f aca="false">IF($E204="",0,$D204*$E204*(1-$G204-$H204-$I204))</f>
        <v>0</v>
      </c>
      <c r="M204" s="23" t="n">
        <f aca="false">IF($E204="",0,$D204*$E204-($F204*$E204+$G204*$D204*$E204+$H204*$D204*$E204+$I204*$D204*$E204+$J204*$D204*$E204*(1-$G204)+$K204*$E204))</f>
        <v>0</v>
      </c>
      <c r="N204" s="23" t="str">
        <f aca="false">IF($B204="","",CONCATENATE("Örnek kalem: ",$B204))</f>
        <v/>
      </c>
    </row>
    <row r="205" customFormat="false" ht="15" hidden="false" customHeight="false" outlineLevel="0" collapsed="false">
      <c r="L205" s="23" t="n">
        <f aca="false">IF($E205="",0,$D205*$E205*(1-$G205-$H205-$I205))</f>
        <v>0</v>
      </c>
      <c r="M205" s="23" t="n">
        <f aca="false">IF($E205="",0,$D205*$E205-($F205*$E205+$G205*$D205*$E205+$H205*$D205*$E205+$I205*$D205*$E205+$J205*$D205*$E205*(1-$G205)+$K205*$E205))</f>
        <v>0</v>
      </c>
      <c r="N205" s="23" t="str">
        <f aca="false">IF($B205="","",CONCATENATE("Örnek kalem: ",$B205))</f>
        <v/>
      </c>
    </row>
    <row r="206" customFormat="false" ht="15" hidden="false" customHeight="false" outlineLevel="0" collapsed="false">
      <c r="L206" s="23" t="n">
        <f aca="false">IF($E206="",0,$D206*$E206*(1-$G206-$H206-$I206))</f>
        <v>0</v>
      </c>
      <c r="M206" s="23" t="n">
        <f aca="false">IF($E206="",0,$D206*$E206-($F206*$E206+$G206*$D206*$E206+$H206*$D206*$E206+$I206*$D206*$E206+$J206*$D206*$E206*(1-$G206)+$K206*$E206))</f>
        <v>0</v>
      </c>
      <c r="N206" s="23" t="str">
        <f aca="false">IF($B206="","",CONCATENATE("Örnek kalem: ",$B206))</f>
        <v/>
      </c>
    </row>
    <row r="207" customFormat="false" ht="15" hidden="false" customHeight="false" outlineLevel="0" collapsed="false">
      <c r="L207" s="23" t="n">
        <f aca="false">IF($E207="",0,$D207*$E207*(1-$G207-$H207-$I207))</f>
        <v>0</v>
      </c>
      <c r="M207" s="23" t="n">
        <f aca="false">IF($E207="",0,$D207*$E207-($F207*$E207+$G207*$D207*$E207+$H207*$D207*$E207+$I207*$D207*$E207+$J207*$D207*$E207*(1-$G207)+$K207*$E207))</f>
        <v>0</v>
      </c>
      <c r="N207" s="23" t="str">
        <f aca="false">IF($B207="","",CONCATENATE("Örnek kalem: ",$B207))</f>
        <v/>
      </c>
    </row>
    <row r="208" customFormat="false" ht="15" hidden="false" customHeight="false" outlineLevel="0" collapsed="false">
      <c r="L208" s="23" t="n">
        <f aca="false">IF($E208="",0,$D208*$E208*(1-$G208-$H208-$I208))</f>
        <v>0</v>
      </c>
      <c r="M208" s="23" t="n">
        <f aca="false">IF($E208="",0,$D208*$E208-($F208*$E208+$G208*$D208*$E208+$H208*$D208*$E208+$I208*$D208*$E208+$J208*$D208*$E208*(1-$G208)+$K208*$E208))</f>
        <v>0</v>
      </c>
      <c r="N208" s="23" t="str">
        <f aca="false">IF($B208="","",CONCATENATE("Örnek kalem: ",$B208))</f>
        <v/>
      </c>
    </row>
    <row r="209" customFormat="false" ht="15" hidden="false" customHeight="false" outlineLevel="0" collapsed="false">
      <c r="L209" s="23" t="n">
        <f aca="false">IF($E209="",0,$D209*$E209*(1-$G209-$H209-$I209))</f>
        <v>0</v>
      </c>
      <c r="M209" s="23" t="n">
        <f aca="false">IF($E209="",0,$D209*$E209-($F209*$E209+$G209*$D209*$E209+$H209*$D209*$E209+$I209*$D209*$E209+$J209*$D209*$E209*(1-$G209)+$K209*$E209))</f>
        <v>0</v>
      </c>
      <c r="N209" s="23" t="str">
        <f aca="false">IF($B209="","",CONCATENATE("Örnek kalem: ",$B209))</f>
        <v/>
      </c>
    </row>
    <row r="210" customFormat="false" ht="15" hidden="false" customHeight="false" outlineLevel="0" collapsed="false">
      <c r="L210" s="23" t="n">
        <f aca="false">IF($E210="",0,$D210*$E210*(1-$G210-$H210-$I210))</f>
        <v>0</v>
      </c>
      <c r="M210" s="23" t="n">
        <f aca="false">IF($E210="",0,$D210*$E210-($F210*$E210+$G210*$D210*$E210+$H210*$D210*$E210+$I210*$D210*$E210+$J210*$D210*$E210*(1-$G210)+$K210*$E210))</f>
        <v>0</v>
      </c>
      <c r="N210" s="23" t="str">
        <f aca="false">IF($B210="","",CONCATENATE("Örnek kalem: ",$B210))</f>
        <v/>
      </c>
    </row>
    <row r="211" customFormat="false" ht="15" hidden="false" customHeight="false" outlineLevel="0" collapsed="false">
      <c r="L211" s="23" t="n">
        <f aca="false">IF($E211="",0,$D211*$E211*(1-$G211-$H211-$I211))</f>
        <v>0</v>
      </c>
      <c r="M211" s="23" t="n">
        <f aca="false">IF($E211="",0,$D211*$E211-($F211*$E211+$G211*$D211*$E211+$H211*$D211*$E211+$I211*$D211*$E211+$J211*$D211*$E211*(1-$G211)+$K211*$E211))</f>
        <v>0</v>
      </c>
      <c r="N211" s="23" t="str">
        <f aca="false">IF($B211="","",CONCATENATE("Örnek kalem: ",$B211))</f>
        <v/>
      </c>
    </row>
    <row r="212" customFormat="false" ht="15" hidden="false" customHeight="false" outlineLevel="0" collapsed="false">
      <c r="L212" s="23" t="n">
        <f aca="false">IF($E212="",0,$D212*$E212*(1-$G212-$H212-$I212))</f>
        <v>0</v>
      </c>
      <c r="M212" s="23" t="n">
        <f aca="false">IF($E212="",0,$D212*$E212-($F212*$E212+$G212*$D212*$E212+$H212*$D212*$E212+$I212*$D212*$E212+$J212*$D212*$E212*(1-$G212)+$K212*$E212))</f>
        <v>0</v>
      </c>
      <c r="N212" s="23" t="str">
        <f aca="false">IF($B212="","",CONCATENATE("Örnek kalem: ",$B212))</f>
        <v/>
      </c>
    </row>
    <row r="213" customFormat="false" ht="15" hidden="false" customHeight="false" outlineLevel="0" collapsed="false">
      <c r="L213" s="23" t="n">
        <f aca="false">IF($E213="",0,$D213*$E213*(1-$G213-$H213-$I213))</f>
        <v>0</v>
      </c>
      <c r="M213" s="23" t="n">
        <f aca="false">IF($E213="",0,$D213*$E213-($F213*$E213+$G213*$D213*$E213+$H213*$D213*$E213+$I213*$D213*$E213+$J213*$D213*$E213*(1-$G213)+$K213*$E213))</f>
        <v>0</v>
      </c>
      <c r="N213" s="23" t="str">
        <f aca="false">IF($B213="","",CONCATENATE("Örnek kalem: ",$B213))</f>
        <v/>
      </c>
    </row>
    <row r="214" customFormat="false" ht="15" hidden="false" customHeight="false" outlineLevel="0" collapsed="false">
      <c r="L214" s="23" t="n">
        <f aca="false">IF($E214="",0,$D214*$E214*(1-$G214-$H214-$I214))</f>
        <v>0</v>
      </c>
      <c r="M214" s="23" t="n">
        <f aca="false">IF($E214="",0,$D214*$E214-($F214*$E214+$G214*$D214*$E214+$H214*$D214*$E214+$I214*$D214*$E214+$J214*$D214*$E214*(1-$G214)+$K214*$E214))</f>
        <v>0</v>
      </c>
      <c r="N214" s="23" t="str">
        <f aca="false">IF($B214="","",CONCATENATE("Örnek kalem: ",$B214))</f>
        <v/>
      </c>
    </row>
    <row r="215" customFormat="false" ht="15" hidden="false" customHeight="false" outlineLevel="0" collapsed="false">
      <c r="L215" s="23" t="n">
        <f aca="false">IF($E215="",0,$D215*$E215*(1-$G215-$H215-$I215))</f>
        <v>0</v>
      </c>
      <c r="M215" s="23" t="n">
        <f aca="false">IF($E215="",0,$D215*$E215-($F215*$E215+$G215*$D215*$E215+$H215*$D215*$E215+$I215*$D215*$E215+$J215*$D215*$E215*(1-$G215)+$K215*$E215))</f>
        <v>0</v>
      </c>
      <c r="N215" s="23" t="str">
        <f aca="false">IF($B215="","",CONCATENATE("Örnek kalem: ",$B215))</f>
        <v/>
      </c>
    </row>
    <row r="216" customFormat="false" ht="15" hidden="false" customHeight="false" outlineLevel="0" collapsed="false">
      <c r="L216" s="23" t="n">
        <f aca="false">IF($E216="",0,$D216*$E216*(1-$G216-$H216-$I216))</f>
        <v>0</v>
      </c>
      <c r="M216" s="23" t="n">
        <f aca="false">IF($E216="",0,$D216*$E216-($F216*$E216+$G216*$D216*$E216+$H216*$D216*$E216+$I216*$D216*$E216+$J216*$D216*$E216*(1-$G216)+$K216*$E216))</f>
        <v>0</v>
      </c>
      <c r="N216" s="23" t="str">
        <f aca="false">IF($B216="","",CONCATENATE("Örnek kalem: ",$B216))</f>
        <v/>
      </c>
    </row>
    <row r="217" customFormat="false" ht="15" hidden="false" customHeight="false" outlineLevel="0" collapsed="false">
      <c r="L217" s="23" t="n">
        <f aca="false">IF($E217="",0,$D217*$E217*(1-$G217-$H217-$I217))</f>
        <v>0</v>
      </c>
      <c r="M217" s="23" t="n">
        <f aca="false">IF($E217="",0,$D217*$E217-($F217*$E217+$G217*$D217*$E217+$H217*$D217*$E217+$I217*$D217*$E217+$J217*$D217*$E217*(1-$G217)+$K217*$E217))</f>
        <v>0</v>
      </c>
      <c r="N217" s="23" t="str">
        <f aca="false">IF($B217="","",CONCATENATE("Örnek kalem: ",$B217))</f>
        <v/>
      </c>
    </row>
    <row r="218" customFormat="false" ht="15" hidden="false" customHeight="false" outlineLevel="0" collapsed="false">
      <c r="L218" s="23" t="n">
        <f aca="false">IF($E218="",0,$D218*$E218*(1-$G218-$H218-$I218))</f>
        <v>0</v>
      </c>
      <c r="M218" s="23" t="n">
        <f aca="false">IF($E218="",0,$D218*$E218-($F218*$E218+$G218*$D218*$E218+$H218*$D218*$E218+$I218*$D218*$E218+$J218*$D218*$E218*(1-$G218)+$K218*$E218))</f>
        <v>0</v>
      </c>
      <c r="N218" s="23" t="str">
        <f aca="false">IF($B218="","",CONCATENATE("Örnek kalem: ",$B218))</f>
        <v/>
      </c>
    </row>
    <row r="219" customFormat="false" ht="15" hidden="false" customHeight="false" outlineLevel="0" collapsed="false">
      <c r="L219" s="23" t="n">
        <f aca="false">IF($E219="",0,$D219*$E219*(1-$G219-$H219-$I219))</f>
        <v>0</v>
      </c>
      <c r="M219" s="23" t="n">
        <f aca="false">IF($E219="",0,$D219*$E219-($F219*$E219+$G219*$D219*$E219+$H219*$D219*$E219+$I219*$D219*$E219+$J219*$D219*$E219*(1-$G219)+$K219*$E219))</f>
        <v>0</v>
      </c>
      <c r="N219" s="23" t="str">
        <f aca="false">IF($B219="","",CONCATENATE("Örnek kalem: ",$B219))</f>
        <v/>
      </c>
    </row>
    <row r="220" customFormat="false" ht="15" hidden="false" customHeight="false" outlineLevel="0" collapsed="false">
      <c r="L220" s="23" t="n">
        <f aca="false">IF($E220="",0,$D220*$E220*(1-$G220-$H220-$I220))</f>
        <v>0</v>
      </c>
      <c r="M220" s="23" t="n">
        <f aca="false">IF($E220="",0,$D220*$E220-($F220*$E220+$G220*$D220*$E220+$H220*$D220*$E220+$I220*$D220*$E220+$J220*$D220*$E220*(1-$G220)+$K220*$E220))</f>
        <v>0</v>
      </c>
      <c r="N220" s="23" t="str">
        <f aca="false">IF($B220="","",CONCATENATE("Örnek kalem: ",$B220))</f>
        <v/>
      </c>
    </row>
    <row r="221" customFormat="false" ht="15" hidden="false" customHeight="false" outlineLevel="0" collapsed="false">
      <c r="L221" s="23" t="n">
        <f aca="false">IF($E221="",0,$D221*$E221*(1-$G221-$H221-$I221))</f>
        <v>0</v>
      </c>
      <c r="M221" s="23" t="n">
        <f aca="false">IF($E221="",0,$D221*$E221-($F221*$E221+$G221*$D221*$E221+$H221*$D221*$E221+$I221*$D221*$E221+$J221*$D221*$E221*(1-$G221)+$K221*$E221))</f>
        <v>0</v>
      </c>
      <c r="N221" s="23" t="str">
        <f aca="false">IF($B221="","",CONCATENATE("Örnek kalem: ",$B221))</f>
        <v/>
      </c>
    </row>
    <row r="222" customFormat="false" ht="15" hidden="false" customHeight="false" outlineLevel="0" collapsed="false">
      <c r="L222" s="23" t="n">
        <f aca="false">IF($E222="",0,$D222*$E222*(1-$G222-$H222-$I222))</f>
        <v>0</v>
      </c>
      <c r="M222" s="23" t="n">
        <f aca="false">IF($E222="",0,$D222*$E222-($F222*$E222+$G222*$D222*$E222+$H222*$D222*$E222+$I222*$D222*$E222+$J222*$D222*$E222*(1-$G222)+$K222*$E222))</f>
        <v>0</v>
      </c>
      <c r="N222" s="23" t="str">
        <f aca="false">IF($B222="","",CONCATENATE("Örnek kalem: ",$B222))</f>
        <v/>
      </c>
    </row>
    <row r="223" customFormat="false" ht="15" hidden="false" customHeight="false" outlineLevel="0" collapsed="false">
      <c r="L223" s="23" t="n">
        <f aca="false">IF($E223="",0,$D223*$E223*(1-$G223-$H223-$I223))</f>
        <v>0</v>
      </c>
      <c r="M223" s="23" t="n">
        <f aca="false">IF($E223="",0,$D223*$E223-($F223*$E223+$G223*$D223*$E223+$H223*$D223*$E223+$I223*$D223*$E223+$J223*$D223*$E223*(1-$G223)+$K223*$E223))</f>
        <v>0</v>
      </c>
      <c r="N223" s="23" t="str">
        <f aca="false">IF($B223="","",CONCATENATE("Örnek kalem: ",$B223))</f>
        <v/>
      </c>
    </row>
    <row r="224" customFormat="false" ht="15" hidden="false" customHeight="false" outlineLevel="0" collapsed="false">
      <c r="L224" s="23" t="n">
        <f aca="false">IF($E224="",0,$D224*$E224*(1-$G224-$H224-$I224))</f>
        <v>0</v>
      </c>
      <c r="M224" s="23" t="n">
        <f aca="false">IF($E224="",0,$D224*$E224-($F224*$E224+$G224*$D224*$E224+$H224*$D224*$E224+$I224*$D224*$E224+$J224*$D224*$E224*(1-$G224)+$K224*$E224))</f>
        <v>0</v>
      </c>
      <c r="N224" s="23" t="str">
        <f aca="false">IF($B224="","",CONCATENATE("Örnek kalem: ",$B224))</f>
        <v/>
      </c>
    </row>
    <row r="225" customFormat="false" ht="15" hidden="false" customHeight="false" outlineLevel="0" collapsed="false">
      <c r="L225" s="23" t="n">
        <f aca="false">IF($E225="",0,$D225*$E225*(1-$G225-$H225-$I225))</f>
        <v>0</v>
      </c>
      <c r="M225" s="23" t="n">
        <f aca="false">IF($E225="",0,$D225*$E225-($F225*$E225+$G225*$D225*$E225+$H225*$D225*$E225+$I225*$D225*$E225+$J225*$D225*$E225*(1-$G225)+$K225*$E225))</f>
        <v>0</v>
      </c>
      <c r="N225" s="23" t="str">
        <f aca="false">IF($B225="","",CONCATENATE("Örnek kalem: ",$B225))</f>
        <v/>
      </c>
    </row>
    <row r="226" customFormat="false" ht="15" hidden="false" customHeight="false" outlineLevel="0" collapsed="false">
      <c r="L226" s="23" t="n">
        <f aca="false">IF($E226="",0,$D226*$E226*(1-$G226-$H226-$I226))</f>
        <v>0</v>
      </c>
      <c r="M226" s="23" t="n">
        <f aca="false">IF($E226="",0,$D226*$E226-($F226*$E226+$G226*$D226*$E226+$H226*$D226*$E226+$I226*$D226*$E226+$J226*$D226*$E226*(1-$G226)+$K226*$E226))</f>
        <v>0</v>
      </c>
      <c r="N226" s="23" t="str">
        <f aca="false">IF($B226="","",CONCATENATE("Örnek kalem: ",$B226))</f>
        <v/>
      </c>
    </row>
    <row r="227" customFormat="false" ht="15" hidden="false" customHeight="false" outlineLevel="0" collapsed="false">
      <c r="L227" s="23" t="n">
        <f aca="false">IF($E227="",0,$D227*$E227*(1-$G227-$H227-$I227))</f>
        <v>0</v>
      </c>
      <c r="M227" s="23" t="n">
        <f aca="false">IF($E227="",0,$D227*$E227-($F227*$E227+$G227*$D227*$E227+$H227*$D227*$E227+$I227*$D227*$E227+$J227*$D227*$E227*(1-$G227)+$K227*$E227))</f>
        <v>0</v>
      </c>
      <c r="N227" s="23" t="str">
        <f aca="false">IF($B227="","",CONCATENATE("Örnek kalem: ",$B227))</f>
        <v/>
      </c>
    </row>
    <row r="228" customFormat="false" ht="15" hidden="false" customHeight="false" outlineLevel="0" collapsed="false">
      <c r="L228" s="23" t="n">
        <f aca="false">IF($E228="",0,$D228*$E228*(1-$G228-$H228-$I228))</f>
        <v>0</v>
      </c>
      <c r="M228" s="23" t="n">
        <f aca="false">IF($E228="",0,$D228*$E228-($F228*$E228+$G228*$D228*$E228+$H228*$D228*$E228+$I228*$D228*$E228+$J228*$D228*$E228*(1-$G228)+$K228*$E228))</f>
        <v>0</v>
      </c>
      <c r="N228" s="23" t="str">
        <f aca="false">IF($B228="","",CONCATENATE("Örnek kalem: ",$B228))</f>
        <v/>
      </c>
    </row>
    <row r="229" customFormat="false" ht="15" hidden="false" customHeight="false" outlineLevel="0" collapsed="false">
      <c r="L229" s="23" t="n">
        <f aca="false">IF($E229="",0,$D229*$E229*(1-$G229-$H229-$I229))</f>
        <v>0</v>
      </c>
      <c r="M229" s="23" t="n">
        <f aca="false">IF($E229="",0,$D229*$E229-($F229*$E229+$G229*$D229*$E229+$H229*$D229*$E229+$I229*$D229*$E229+$J229*$D229*$E229*(1-$G229)+$K229*$E229))</f>
        <v>0</v>
      </c>
      <c r="N229" s="23" t="str">
        <f aca="false">IF($B229="","",CONCATENATE("Örnek kalem: ",$B229))</f>
        <v/>
      </c>
    </row>
    <row r="230" customFormat="false" ht="15" hidden="false" customHeight="false" outlineLevel="0" collapsed="false">
      <c r="L230" s="23" t="n">
        <f aca="false">IF($E230="",0,$D230*$E230*(1-$G230-$H230-$I230))</f>
        <v>0</v>
      </c>
      <c r="M230" s="23" t="n">
        <f aca="false">IF($E230="",0,$D230*$E230-($F230*$E230+$G230*$D230*$E230+$H230*$D230*$E230+$I230*$D230*$E230+$J230*$D230*$E230*(1-$G230)+$K230*$E230))</f>
        <v>0</v>
      </c>
      <c r="N230" s="23" t="str">
        <f aca="false">IF($B230="","",CONCATENATE("Örnek kalem: ",$B230))</f>
        <v/>
      </c>
    </row>
    <row r="231" customFormat="false" ht="15" hidden="false" customHeight="false" outlineLevel="0" collapsed="false">
      <c r="L231" s="23" t="n">
        <f aca="false">IF($E231="",0,$D231*$E231*(1-$G231-$H231-$I231))</f>
        <v>0</v>
      </c>
      <c r="M231" s="23" t="n">
        <f aca="false">IF($E231="",0,$D231*$E231-($F231*$E231+$G231*$D231*$E231+$H231*$D231*$E231+$I231*$D231*$E231+$J231*$D231*$E231*(1-$G231)+$K231*$E231))</f>
        <v>0</v>
      </c>
      <c r="N231" s="23" t="str">
        <f aca="false">IF($B231="","",CONCATENATE("Örnek kalem: ",$B231))</f>
        <v/>
      </c>
    </row>
    <row r="232" customFormat="false" ht="15" hidden="false" customHeight="false" outlineLevel="0" collapsed="false">
      <c r="L232" s="23" t="n">
        <f aca="false">IF($E232="",0,$D232*$E232*(1-$G232-$H232-$I232))</f>
        <v>0</v>
      </c>
      <c r="M232" s="23" t="n">
        <f aca="false">IF($E232="",0,$D232*$E232-($F232*$E232+$G232*$D232*$E232+$H232*$D232*$E232+$I232*$D232*$E232+$J232*$D232*$E232*(1-$G232)+$K232*$E232))</f>
        <v>0</v>
      </c>
      <c r="N232" s="23" t="str">
        <f aca="false">IF($B232="","",CONCATENATE("Örnek kalem: ",$B232))</f>
        <v/>
      </c>
    </row>
    <row r="233" customFormat="false" ht="15" hidden="false" customHeight="false" outlineLevel="0" collapsed="false">
      <c r="L233" s="23" t="n">
        <f aca="false">IF($E233="",0,$D233*$E233*(1-$G233-$H233-$I233))</f>
        <v>0</v>
      </c>
      <c r="M233" s="23" t="n">
        <f aca="false">IF($E233="",0,$D233*$E233-($F233*$E233+$G233*$D233*$E233+$H233*$D233*$E233+$I233*$D233*$E233+$J233*$D233*$E233*(1-$G233)+$K233*$E233))</f>
        <v>0</v>
      </c>
      <c r="N233" s="23" t="str">
        <f aca="false">IF($B233="","",CONCATENATE("Örnek kalem: ",$B233))</f>
        <v/>
      </c>
    </row>
    <row r="234" customFormat="false" ht="15" hidden="false" customHeight="false" outlineLevel="0" collapsed="false">
      <c r="L234" s="23" t="n">
        <f aca="false">IF($E234="",0,$D234*$E234*(1-$G234-$H234-$I234))</f>
        <v>0</v>
      </c>
      <c r="M234" s="23" t="n">
        <f aca="false">IF($E234="",0,$D234*$E234-($F234*$E234+$G234*$D234*$E234+$H234*$D234*$E234+$I234*$D234*$E234+$J234*$D234*$E234*(1-$G234)+$K234*$E234))</f>
        <v>0</v>
      </c>
      <c r="N234" s="23" t="str">
        <f aca="false">IF($B234="","",CONCATENATE("Örnek kalem: ",$B234))</f>
        <v/>
      </c>
    </row>
    <row r="235" customFormat="false" ht="15" hidden="false" customHeight="false" outlineLevel="0" collapsed="false">
      <c r="L235" s="23" t="n">
        <f aca="false">IF($E235="",0,$D235*$E235*(1-$G235-$H235-$I235))</f>
        <v>0</v>
      </c>
      <c r="M235" s="23" t="n">
        <f aca="false">IF($E235="",0,$D235*$E235-($F235*$E235+$G235*$D235*$E235+$H235*$D235*$E235+$I235*$D235*$E235+$J235*$D235*$E235*(1-$G235)+$K235*$E235))</f>
        <v>0</v>
      </c>
      <c r="N235" s="23" t="str">
        <f aca="false">IF($B235="","",CONCATENATE("Örnek kalem: ",$B235))</f>
        <v/>
      </c>
    </row>
    <row r="236" customFormat="false" ht="15" hidden="false" customHeight="false" outlineLevel="0" collapsed="false">
      <c r="L236" s="23" t="n">
        <f aca="false">IF($E236="",0,$D236*$E236*(1-$G236-$H236-$I236))</f>
        <v>0</v>
      </c>
      <c r="M236" s="23" t="n">
        <f aca="false">IF($E236="",0,$D236*$E236-($F236*$E236+$G236*$D236*$E236+$H236*$D236*$E236+$I236*$D236*$E236+$J236*$D236*$E236*(1-$G236)+$K236*$E236))</f>
        <v>0</v>
      </c>
      <c r="N236" s="23" t="str">
        <f aca="false">IF($B236="","",CONCATENATE("Örnek kalem: ",$B236))</f>
        <v/>
      </c>
    </row>
    <row r="237" customFormat="false" ht="15" hidden="false" customHeight="false" outlineLevel="0" collapsed="false">
      <c r="L237" s="23" t="n">
        <f aca="false">IF($E237="",0,$D237*$E237*(1-$G237-$H237-$I237))</f>
        <v>0</v>
      </c>
      <c r="M237" s="23" t="n">
        <f aca="false">IF($E237="",0,$D237*$E237-($F237*$E237+$G237*$D237*$E237+$H237*$D237*$E237+$I237*$D237*$E237+$J237*$D237*$E237*(1-$G237)+$K237*$E237))</f>
        <v>0</v>
      </c>
      <c r="N237" s="23" t="str">
        <f aca="false">IF($B237="","",CONCATENATE("Örnek kalem: ",$B237))</f>
        <v/>
      </c>
    </row>
    <row r="238" customFormat="false" ht="15" hidden="false" customHeight="false" outlineLevel="0" collapsed="false">
      <c r="L238" s="23" t="n">
        <f aca="false">IF($E238="",0,$D238*$E238*(1-$G238-$H238-$I238))</f>
        <v>0</v>
      </c>
      <c r="M238" s="23" t="n">
        <f aca="false">IF($E238="",0,$D238*$E238-($F238*$E238+$G238*$D238*$E238+$H238*$D238*$E238+$I238*$D238*$E238+$J238*$D238*$E238*(1-$G238)+$K238*$E238))</f>
        <v>0</v>
      </c>
      <c r="N238" s="23" t="str">
        <f aca="false">IF($B238="","",CONCATENATE("Örnek kalem: ",$B238))</f>
        <v/>
      </c>
    </row>
    <row r="239" customFormat="false" ht="15" hidden="false" customHeight="false" outlineLevel="0" collapsed="false">
      <c r="L239" s="23" t="n">
        <f aca="false">IF($E239="",0,$D239*$E239*(1-$G239-$H239-$I239))</f>
        <v>0</v>
      </c>
      <c r="M239" s="23" t="n">
        <f aca="false">IF($E239="",0,$D239*$E239-($F239*$E239+$G239*$D239*$E239+$H239*$D239*$E239+$I239*$D239*$E239+$J239*$D239*$E239*(1-$G239)+$K239*$E239))</f>
        <v>0</v>
      </c>
      <c r="N239" s="23" t="str">
        <f aca="false">IF($B239="","",CONCATENATE("Örnek kalem: ",$B239))</f>
        <v/>
      </c>
    </row>
    <row r="240" customFormat="false" ht="15" hidden="false" customHeight="false" outlineLevel="0" collapsed="false">
      <c r="L240" s="23" t="n">
        <f aca="false">IF($E240="",0,$D240*$E240*(1-$G240-$H240-$I240))</f>
        <v>0</v>
      </c>
      <c r="M240" s="23" t="n">
        <f aca="false">IF($E240="",0,$D240*$E240-($F240*$E240+$G240*$D240*$E240+$H240*$D240*$E240+$I240*$D240*$E240+$J240*$D240*$E240*(1-$G240)+$K240*$E240))</f>
        <v>0</v>
      </c>
      <c r="N240" s="23" t="str">
        <f aca="false">IF($B240="","",CONCATENATE("Örnek kalem: ",$B240))</f>
        <v/>
      </c>
    </row>
    <row r="241" customFormat="false" ht="15" hidden="false" customHeight="false" outlineLevel="0" collapsed="false">
      <c r="L241" s="23" t="n">
        <f aca="false">IF($E241="",0,$D241*$E241*(1-$G241-$H241-$I241))</f>
        <v>0</v>
      </c>
      <c r="M241" s="23" t="n">
        <f aca="false">IF($E241="",0,$D241*$E241-($F241*$E241+$G241*$D241*$E241+$H241*$D241*$E241+$I241*$D241*$E241+$J241*$D241*$E241*(1-$G241)+$K241*$E241))</f>
        <v>0</v>
      </c>
      <c r="N241" s="23" t="str">
        <f aca="false">IF($B241="","",CONCATENATE("Örnek kalem: ",$B241))</f>
        <v/>
      </c>
    </row>
    <row r="242" customFormat="false" ht="15" hidden="false" customHeight="false" outlineLevel="0" collapsed="false">
      <c r="L242" s="23" t="n">
        <f aca="false">IF($E242="",0,$D242*$E242*(1-$G242-$H242-$I242))</f>
        <v>0</v>
      </c>
      <c r="M242" s="23" t="n">
        <f aca="false">IF($E242="",0,$D242*$E242-($F242*$E242+$G242*$D242*$E242+$H242*$D242*$E242+$I242*$D242*$E242+$J242*$D242*$E242*(1-$G242)+$K242*$E242))</f>
        <v>0</v>
      </c>
      <c r="N242" s="23" t="str">
        <f aca="false">IF($B242="","",CONCATENATE("Örnek kalem: ",$B242))</f>
        <v/>
      </c>
    </row>
    <row r="243" customFormat="false" ht="15" hidden="false" customHeight="false" outlineLevel="0" collapsed="false">
      <c r="L243" s="23" t="n">
        <f aca="false">IF($E243="",0,$D243*$E243*(1-$G243-$H243-$I243))</f>
        <v>0</v>
      </c>
      <c r="M243" s="23" t="n">
        <f aca="false">IF($E243="",0,$D243*$E243-($F243*$E243+$G243*$D243*$E243+$H243*$D243*$E243+$I243*$D243*$E243+$J243*$D243*$E243*(1-$G243)+$K243*$E243))</f>
        <v>0</v>
      </c>
      <c r="N243" s="23" t="str">
        <f aca="false">IF($B243="","",CONCATENATE("Örnek kalem: ",$B243))</f>
        <v/>
      </c>
    </row>
    <row r="244" customFormat="false" ht="15" hidden="false" customHeight="false" outlineLevel="0" collapsed="false">
      <c r="L244" s="23" t="n">
        <f aca="false">IF($E244="",0,$D244*$E244*(1-$G244-$H244-$I244))</f>
        <v>0</v>
      </c>
      <c r="M244" s="23" t="n">
        <f aca="false">IF($E244="",0,$D244*$E244-($F244*$E244+$G244*$D244*$E244+$H244*$D244*$E244+$I244*$D244*$E244+$J244*$D244*$E244*(1-$G244)+$K244*$E244))</f>
        <v>0</v>
      </c>
      <c r="N244" s="23" t="str">
        <f aca="false">IF($B244="","",CONCATENATE("Örnek kalem: ",$B244))</f>
        <v/>
      </c>
    </row>
    <row r="245" customFormat="false" ht="15" hidden="false" customHeight="false" outlineLevel="0" collapsed="false">
      <c r="L245" s="23" t="n">
        <f aca="false">IF($E245="",0,$D245*$E245*(1-$G245-$H245-$I245))</f>
        <v>0</v>
      </c>
      <c r="M245" s="23" t="n">
        <f aca="false">IF($E245="",0,$D245*$E245-($F245*$E245+$G245*$D245*$E245+$H245*$D245*$E245+$I245*$D245*$E245+$J245*$D245*$E245*(1-$G245)+$K245*$E245))</f>
        <v>0</v>
      </c>
      <c r="N245" s="23" t="str">
        <f aca="false">IF($B245="","",CONCATENATE("Örnek kalem: ",$B245))</f>
        <v/>
      </c>
    </row>
    <row r="246" customFormat="false" ht="15" hidden="false" customHeight="false" outlineLevel="0" collapsed="false">
      <c r="L246" s="23" t="n">
        <f aca="false">IF($E246="",0,$D246*$E246*(1-$G246-$H246-$I246))</f>
        <v>0</v>
      </c>
      <c r="M246" s="23" t="n">
        <f aca="false">IF($E246="",0,$D246*$E246-($F246*$E246+$G246*$D246*$E246+$H246*$D246*$E246+$I246*$D246*$E246+$J246*$D246*$E246*(1-$G246)+$K246*$E246))</f>
        <v>0</v>
      </c>
      <c r="N246" s="23" t="str">
        <f aca="false">IF($B246="","",CONCATENATE("Örnek kalem: ",$B246))</f>
        <v/>
      </c>
    </row>
    <row r="247" customFormat="false" ht="15" hidden="false" customHeight="false" outlineLevel="0" collapsed="false">
      <c r="L247" s="23" t="n">
        <f aca="false">IF($E247="",0,$D247*$E247*(1-$G247-$H247-$I247))</f>
        <v>0</v>
      </c>
      <c r="M247" s="23" t="n">
        <f aca="false">IF($E247="",0,$D247*$E247-($F247*$E247+$G247*$D247*$E247+$H247*$D247*$E247+$I247*$D247*$E247+$J247*$D247*$E247*(1-$G247)+$K247*$E247))</f>
        <v>0</v>
      </c>
      <c r="N247" s="23" t="str">
        <f aca="false">IF($B247="","",CONCATENATE("Örnek kalem: ",$B247))</f>
        <v/>
      </c>
    </row>
    <row r="248" customFormat="false" ht="15" hidden="false" customHeight="false" outlineLevel="0" collapsed="false">
      <c r="L248" s="23" t="n">
        <f aca="false">IF($E248="",0,$D248*$E248*(1-$G248-$H248-$I248))</f>
        <v>0</v>
      </c>
      <c r="M248" s="23" t="n">
        <f aca="false">IF($E248="",0,$D248*$E248-($F248*$E248+$G248*$D248*$E248+$H248*$D248*$E248+$I248*$D248*$E248+$J248*$D248*$E248*(1-$G248)+$K248*$E248))</f>
        <v>0</v>
      </c>
      <c r="N248" s="23" t="str">
        <f aca="false">IF($B248="","",CONCATENATE("Örnek kalem: ",$B248))</f>
        <v/>
      </c>
    </row>
    <row r="249" customFormat="false" ht="15" hidden="false" customHeight="false" outlineLevel="0" collapsed="false">
      <c r="L249" s="23" t="n">
        <f aca="false">IF($E249="",0,$D249*$E249*(1-$G249-$H249-$I249))</f>
        <v>0</v>
      </c>
      <c r="M249" s="23" t="n">
        <f aca="false">IF($E249="",0,$D249*$E249-($F249*$E249+$G249*$D249*$E249+$H249*$D249*$E249+$I249*$D249*$E249+$J249*$D249*$E249*(1-$G249)+$K249*$E249))</f>
        <v>0</v>
      </c>
      <c r="N249" s="23" t="str">
        <f aca="false">IF($B249="","",CONCATENATE("Örnek kalem: ",$B249))</f>
        <v/>
      </c>
    </row>
    <row r="250" customFormat="false" ht="15" hidden="false" customHeight="false" outlineLevel="0" collapsed="false">
      <c r="L250" s="23" t="n">
        <f aca="false">IF($E250="",0,$D250*$E250*(1-$G250-$H250-$I250))</f>
        <v>0</v>
      </c>
      <c r="M250" s="23" t="n">
        <f aca="false">IF($E250="",0,$D250*$E250-($F250*$E250+$G250*$D250*$E250+$H250*$D250*$E250+$I250*$D250*$E250+$J250*$D250*$E250*(1-$G250)+$K250*$E250))</f>
        <v>0</v>
      </c>
      <c r="N250" s="23" t="str">
        <f aca="false">IF($B250="","",CONCATENATE("Örnek kalem: ",$B250))</f>
        <v/>
      </c>
    </row>
    <row r="251" customFormat="false" ht="15" hidden="false" customHeight="false" outlineLevel="0" collapsed="false">
      <c r="L251" s="23" t="n">
        <f aca="false">IF($E251="",0,$D251*$E251*(1-$G251-$H251-$I251))</f>
        <v>0</v>
      </c>
      <c r="M251" s="23" t="n">
        <f aca="false">IF($E251="",0,$D251*$E251-($F251*$E251+$G251*$D251*$E251+$H251*$D251*$E251+$I251*$D251*$E251+$J251*$D251*$E251*(1-$G251)+$K251*$E251))</f>
        <v>0</v>
      </c>
      <c r="N251" s="23" t="str">
        <f aca="false">IF($B251="","",CONCATENATE("Örnek kalem: ",$B251))</f>
        <v/>
      </c>
    </row>
    <row r="252" customFormat="false" ht="15" hidden="false" customHeight="false" outlineLevel="0" collapsed="false">
      <c r="L252" s="23" t="n">
        <f aca="false">IF($E252="",0,$D252*$E252*(1-$G252-$H252-$I252))</f>
        <v>0</v>
      </c>
      <c r="M252" s="23" t="n">
        <f aca="false">IF($E252="",0,$D252*$E252-($F252*$E252+$G252*$D252*$E252+$H252*$D252*$E252+$I252*$D252*$E252+$J252*$D252*$E252*(1-$G252)+$K252*$E252))</f>
        <v>0</v>
      </c>
      <c r="N252" s="23" t="str">
        <f aca="false">IF($B252="","",CONCATENATE("Örnek kalem: ",$B252))</f>
        <v/>
      </c>
    </row>
    <row r="253" customFormat="false" ht="15" hidden="false" customHeight="false" outlineLevel="0" collapsed="false">
      <c r="L253" s="23" t="n">
        <f aca="false">IF($E253="",0,$D253*$E253*(1-$G253-$H253-$I253))</f>
        <v>0</v>
      </c>
      <c r="M253" s="23" t="n">
        <f aca="false">IF($E253="",0,$D253*$E253-($F253*$E253+$G253*$D253*$E253+$H253*$D253*$E253+$I253*$D253*$E253+$J253*$D253*$E253*(1-$G253)+$K253*$E253))</f>
        <v>0</v>
      </c>
      <c r="N253" s="23" t="str">
        <f aca="false">IF($B253="","",CONCATENATE("Örnek kalem: ",$B253))</f>
        <v/>
      </c>
    </row>
    <row r="254" customFormat="false" ht="15" hidden="false" customHeight="false" outlineLevel="0" collapsed="false">
      <c r="L254" s="23" t="n">
        <f aca="false">IF($E254="",0,$D254*$E254*(1-$G254-$H254-$I254))</f>
        <v>0</v>
      </c>
      <c r="M254" s="23" t="n">
        <f aca="false">IF($E254="",0,$D254*$E254-($F254*$E254+$G254*$D254*$E254+$H254*$D254*$E254+$I254*$D254*$E254+$J254*$D254*$E254*(1-$G254)+$K254*$E254))</f>
        <v>0</v>
      </c>
      <c r="N254" s="23" t="str">
        <f aca="false">IF($B254="","",CONCATENATE("Örnek kalem: ",$B254))</f>
        <v/>
      </c>
    </row>
    <row r="255" customFormat="false" ht="15" hidden="false" customHeight="false" outlineLevel="0" collapsed="false">
      <c r="L255" s="23" t="n">
        <f aca="false">IF($E255="",0,$D255*$E255*(1-$G255-$H255-$I255))</f>
        <v>0</v>
      </c>
      <c r="M255" s="23" t="n">
        <f aca="false">IF($E255="",0,$D255*$E255-($F255*$E255+$G255*$D255*$E255+$H255*$D255*$E255+$I255*$D255*$E255+$J255*$D255*$E255*(1-$G255)+$K255*$E255))</f>
        <v>0</v>
      </c>
      <c r="N255" s="23" t="str">
        <f aca="false">IF($B255="","",CONCATENATE("Örnek kalem: ",$B255))</f>
        <v/>
      </c>
    </row>
    <row r="256" customFormat="false" ht="15" hidden="false" customHeight="false" outlineLevel="0" collapsed="false">
      <c r="L256" s="23" t="n">
        <f aca="false">IF($E256="",0,$D256*$E256*(1-$G256-$H256-$I256))</f>
        <v>0</v>
      </c>
      <c r="M256" s="23" t="n">
        <f aca="false">IF($E256="",0,$D256*$E256-($F256*$E256+$G256*$D256*$E256+$H256*$D256*$E256+$I256*$D256*$E256+$J256*$D256*$E256*(1-$G256)+$K256*$E256))</f>
        <v>0</v>
      </c>
      <c r="N256" s="23" t="str">
        <f aca="false">IF($B256="","",CONCATENATE("Örnek kalem: ",$B256))</f>
        <v/>
      </c>
    </row>
    <row r="257" customFormat="false" ht="15" hidden="false" customHeight="false" outlineLevel="0" collapsed="false">
      <c r="L257" s="23" t="n">
        <f aca="false">IF($E257="",0,$D257*$E257*(1-$G257-$H257-$I257))</f>
        <v>0</v>
      </c>
      <c r="M257" s="23" t="n">
        <f aca="false">IF($E257="",0,$D257*$E257-($F257*$E257+$G257*$D257*$E257+$H257*$D257*$E257+$I257*$D257*$E257+$J257*$D257*$E257*(1-$G257)+$K257*$E257))</f>
        <v>0</v>
      </c>
      <c r="N257" s="23" t="str">
        <f aca="false">IF($B257="","",CONCATENATE("Örnek kalem: ",$B257))</f>
        <v/>
      </c>
    </row>
    <row r="258" customFormat="false" ht="15" hidden="false" customHeight="false" outlineLevel="0" collapsed="false">
      <c r="L258" s="23" t="n">
        <f aca="false">IF($E258="",0,$D258*$E258*(1-$G258-$H258-$I258))</f>
        <v>0</v>
      </c>
      <c r="M258" s="23" t="n">
        <f aca="false">IF($E258="",0,$D258*$E258-($F258*$E258+$G258*$D258*$E258+$H258*$D258*$E258+$I258*$D258*$E258+$J258*$D258*$E258*(1-$G258)+$K258*$E258))</f>
        <v>0</v>
      </c>
      <c r="N258" s="23" t="str">
        <f aca="false">IF($B258="","",CONCATENATE("Örnek kalem: ",$B258))</f>
        <v/>
      </c>
    </row>
    <row r="259" customFormat="false" ht="15" hidden="false" customHeight="false" outlineLevel="0" collapsed="false">
      <c r="L259" s="23" t="n">
        <f aca="false">IF($E259="",0,$D259*$E259*(1-$G259-$H259-$I259))</f>
        <v>0</v>
      </c>
      <c r="M259" s="23" t="n">
        <f aca="false">IF($E259="",0,$D259*$E259-($F259*$E259+$G259*$D259*$E259+$H259*$D259*$E259+$I259*$D259*$E259+$J259*$D259*$E259*(1-$G259)+$K259*$E259))</f>
        <v>0</v>
      </c>
      <c r="N259" s="23" t="str">
        <f aca="false">IF($B259="","",CONCATENATE("Örnek kalem: ",$B259))</f>
        <v/>
      </c>
    </row>
    <row r="260" customFormat="false" ht="15" hidden="false" customHeight="false" outlineLevel="0" collapsed="false">
      <c r="L260" s="23" t="n">
        <f aca="false">IF($E260="",0,$D260*$E260*(1-$G260-$H260-$I260))</f>
        <v>0</v>
      </c>
      <c r="M260" s="23" t="n">
        <f aca="false">IF($E260="",0,$D260*$E260-($F260*$E260+$G260*$D260*$E260+$H260*$D260*$E260+$I260*$D260*$E260+$J260*$D260*$E260*(1-$G260)+$K260*$E260))</f>
        <v>0</v>
      </c>
      <c r="N260" s="23" t="str">
        <f aca="false">IF($B260="","",CONCATENATE("Örnek kalem: ",$B260))</f>
        <v/>
      </c>
    </row>
    <row r="261" customFormat="false" ht="15" hidden="false" customHeight="false" outlineLevel="0" collapsed="false">
      <c r="L261" s="23" t="n">
        <f aca="false">IF($E261="",0,$D261*$E261*(1-$G261-$H261-$I261))</f>
        <v>0</v>
      </c>
      <c r="M261" s="23" t="n">
        <f aca="false">IF($E261="",0,$D261*$E261-($F261*$E261+$G261*$D261*$E261+$H261*$D261*$E261+$I261*$D261*$E261+$J261*$D261*$E261*(1-$G261)+$K261*$E261))</f>
        <v>0</v>
      </c>
      <c r="N261" s="23" t="str">
        <f aca="false">IF($B261="","",CONCATENATE("Örnek kalem: ",$B261))</f>
        <v/>
      </c>
    </row>
    <row r="262" customFormat="false" ht="15" hidden="false" customHeight="false" outlineLevel="0" collapsed="false">
      <c r="L262" s="23" t="n">
        <f aca="false">IF($E262="",0,$D262*$E262*(1-$G262-$H262-$I262))</f>
        <v>0</v>
      </c>
      <c r="M262" s="23" t="n">
        <f aca="false">IF($E262="",0,$D262*$E262-($F262*$E262+$G262*$D262*$E262+$H262*$D262*$E262+$I262*$D262*$E262+$J262*$D262*$E262*(1-$G262)+$K262*$E262))</f>
        <v>0</v>
      </c>
      <c r="N262" s="23" t="str">
        <f aca="false">IF($B262="","",CONCATENATE("Örnek kalem: ",$B262))</f>
        <v/>
      </c>
    </row>
    <row r="263" customFormat="false" ht="15" hidden="false" customHeight="false" outlineLevel="0" collapsed="false">
      <c r="L263" s="23" t="n">
        <f aca="false">IF($E263="",0,$D263*$E263*(1-$G263-$H263-$I263))</f>
        <v>0</v>
      </c>
      <c r="M263" s="23" t="n">
        <f aca="false">IF($E263="",0,$D263*$E263-($F263*$E263+$G263*$D263*$E263+$H263*$D263*$E263+$I263*$D263*$E263+$J263*$D263*$E263*(1-$G263)+$K263*$E263))</f>
        <v>0</v>
      </c>
      <c r="N263" s="23" t="str">
        <f aca="false">IF($B263="","",CONCATENATE("Örnek kalem: ",$B263))</f>
        <v/>
      </c>
    </row>
    <row r="264" customFormat="false" ht="15" hidden="false" customHeight="false" outlineLevel="0" collapsed="false">
      <c r="L264" s="23" t="n">
        <f aca="false">IF($E264="",0,$D264*$E264*(1-$G264-$H264-$I264))</f>
        <v>0</v>
      </c>
      <c r="M264" s="23" t="n">
        <f aca="false">IF($E264="",0,$D264*$E264-($F264*$E264+$G264*$D264*$E264+$H264*$D264*$E264+$I264*$D264*$E264+$J264*$D264*$E264*(1-$G264)+$K264*$E264))</f>
        <v>0</v>
      </c>
      <c r="N264" s="23" t="str">
        <f aca="false">IF($B264="","",CONCATENATE("Örnek kalem: ",$B264))</f>
        <v/>
      </c>
    </row>
    <row r="265" customFormat="false" ht="15" hidden="false" customHeight="false" outlineLevel="0" collapsed="false">
      <c r="L265" s="23" t="n">
        <f aca="false">IF($E265="",0,$D265*$E265*(1-$G265-$H265-$I265))</f>
        <v>0</v>
      </c>
      <c r="M265" s="23" t="n">
        <f aca="false">IF($E265="",0,$D265*$E265-($F265*$E265+$G265*$D265*$E265+$H265*$D265*$E265+$I265*$D265*$E265+$J265*$D265*$E265*(1-$G265)+$K265*$E265))</f>
        <v>0</v>
      </c>
      <c r="N265" s="23" t="str">
        <f aca="false">IF($B265="","",CONCATENATE("Örnek kalem: ",$B265))</f>
        <v/>
      </c>
    </row>
    <row r="266" customFormat="false" ht="15" hidden="false" customHeight="false" outlineLevel="0" collapsed="false">
      <c r="L266" s="23" t="n">
        <f aca="false">IF($E266="",0,$D266*$E266*(1-$G266-$H266-$I266))</f>
        <v>0</v>
      </c>
      <c r="M266" s="23" t="n">
        <f aca="false">IF($E266="",0,$D266*$E266-($F266*$E266+$G266*$D266*$E266+$H266*$D266*$E266+$I266*$D266*$E266+$J266*$D266*$E266*(1-$G266)+$K266*$E266))</f>
        <v>0</v>
      </c>
      <c r="N266" s="23" t="str">
        <f aca="false">IF($B266="","",CONCATENATE("Örnek kalem: ",$B266))</f>
        <v/>
      </c>
    </row>
    <row r="267" customFormat="false" ht="15" hidden="false" customHeight="false" outlineLevel="0" collapsed="false">
      <c r="L267" s="23" t="n">
        <f aca="false">IF($E267="",0,$D267*$E267*(1-$G267-$H267-$I267))</f>
        <v>0</v>
      </c>
      <c r="M267" s="23" t="n">
        <f aca="false">IF($E267="",0,$D267*$E267-($F267*$E267+$G267*$D267*$E267+$H267*$D267*$E267+$I267*$D267*$E267+$J267*$D267*$E267*(1-$G267)+$K267*$E267))</f>
        <v>0</v>
      </c>
      <c r="N267" s="23" t="str">
        <f aca="false">IF($B267="","",CONCATENATE("Örnek kalem: ",$B267))</f>
        <v/>
      </c>
    </row>
    <row r="268" customFormat="false" ht="15" hidden="false" customHeight="false" outlineLevel="0" collapsed="false">
      <c r="L268" s="23" t="n">
        <f aca="false">IF($E268="",0,$D268*$E268*(1-$G268-$H268-$I268))</f>
        <v>0</v>
      </c>
      <c r="M268" s="23" t="n">
        <f aca="false">IF($E268="",0,$D268*$E268-($F268*$E268+$G268*$D268*$E268+$H268*$D268*$E268+$I268*$D268*$E268+$J268*$D268*$E268*(1-$G268)+$K268*$E268))</f>
        <v>0</v>
      </c>
      <c r="N268" s="23" t="str">
        <f aca="false">IF($B268="","",CONCATENATE("Örnek kalem: ",$B268))</f>
        <v/>
      </c>
    </row>
    <row r="269" customFormat="false" ht="15" hidden="false" customHeight="false" outlineLevel="0" collapsed="false">
      <c r="L269" s="23" t="n">
        <f aca="false">IF($E269="",0,$D269*$E269*(1-$G269-$H269-$I269))</f>
        <v>0</v>
      </c>
      <c r="M269" s="23" t="n">
        <f aca="false">IF($E269="",0,$D269*$E269-($F269*$E269+$G269*$D269*$E269+$H269*$D269*$E269+$I269*$D269*$E269+$J269*$D269*$E269*(1-$G269)+$K269*$E269))</f>
        <v>0</v>
      </c>
      <c r="N269" s="23" t="str">
        <f aca="false">IF($B269="","",CONCATENATE("Örnek kalem: ",$B269))</f>
        <v/>
      </c>
    </row>
    <row r="270" customFormat="false" ht="15" hidden="false" customHeight="false" outlineLevel="0" collapsed="false">
      <c r="L270" s="23" t="n">
        <f aca="false">IF($E270="",0,$D270*$E270*(1-$G270-$H270-$I270))</f>
        <v>0</v>
      </c>
      <c r="M270" s="23" t="n">
        <f aca="false">IF($E270="",0,$D270*$E270-($F270*$E270+$G270*$D270*$E270+$H270*$D270*$E270+$I270*$D270*$E270+$J270*$D270*$E270*(1-$G270)+$K270*$E270))</f>
        <v>0</v>
      </c>
      <c r="N270" s="23" t="str">
        <f aca="false">IF($B270="","",CONCATENATE("Örnek kalem: ",$B270))</f>
        <v/>
      </c>
    </row>
    <row r="271" customFormat="false" ht="15" hidden="false" customHeight="false" outlineLevel="0" collapsed="false">
      <c r="L271" s="23" t="n">
        <f aca="false">IF($E271="",0,$D271*$E271*(1-$G271-$H271-$I271))</f>
        <v>0</v>
      </c>
      <c r="M271" s="23" t="n">
        <f aca="false">IF($E271="",0,$D271*$E271-($F271*$E271+$G271*$D271*$E271+$H271*$D271*$E271+$I271*$D271*$E271+$J271*$D271*$E271*(1-$G271)+$K271*$E271))</f>
        <v>0</v>
      </c>
      <c r="N271" s="23" t="str">
        <f aca="false">IF($B271="","",CONCATENATE("Örnek kalem: ",$B271))</f>
        <v/>
      </c>
    </row>
    <row r="272" customFormat="false" ht="15" hidden="false" customHeight="false" outlineLevel="0" collapsed="false">
      <c r="L272" s="23" t="n">
        <f aca="false">IF($E272="",0,$D272*$E272*(1-$G272-$H272-$I272))</f>
        <v>0</v>
      </c>
      <c r="M272" s="23" t="n">
        <f aca="false">IF($E272="",0,$D272*$E272-($F272*$E272+$G272*$D272*$E272+$H272*$D272*$E272+$I272*$D272*$E272+$J272*$D272*$E272*(1-$G272)+$K272*$E272))</f>
        <v>0</v>
      </c>
      <c r="N272" s="23" t="str">
        <f aca="false">IF($B272="","",CONCATENATE("Örnek kalem: ",$B272))</f>
        <v/>
      </c>
    </row>
    <row r="273" customFormat="false" ht="15" hidden="false" customHeight="false" outlineLevel="0" collapsed="false">
      <c r="L273" s="23" t="n">
        <f aca="false">IF($E273="",0,$D273*$E273*(1-$G273-$H273-$I273))</f>
        <v>0</v>
      </c>
      <c r="M273" s="23" t="n">
        <f aca="false">IF($E273="",0,$D273*$E273-($F273*$E273+$G273*$D273*$E273+$H273*$D273*$E273+$I273*$D273*$E273+$J273*$D273*$E273*(1-$G273)+$K273*$E273))</f>
        <v>0</v>
      </c>
      <c r="N273" s="23" t="str">
        <f aca="false">IF($B273="","",CONCATENATE("Örnek kalem: ",$B273))</f>
        <v/>
      </c>
    </row>
    <row r="274" customFormat="false" ht="15" hidden="false" customHeight="false" outlineLevel="0" collapsed="false">
      <c r="L274" s="23" t="n">
        <f aca="false">IF($E274="",0,$D274*$E274*(1-$G274-$H274-$I274))</f>
        <v>0</v>
      </c>
      <c r="M274" s="23" t="n">
        <f aca="false">IF($E274="",0,$D274*$E274-($F274*$E274+$G274*$D274*$E274+$H274*$D274*$E274+$I274*$D274*$E274+$J274*$D274*$E274*(1-$G274)+$K274*$E274))</f>
        <v>0</v>
      </c>
      <c r="N274" s="23" t="str">
        <f aca="false">IF($B274="","",CONCATENATE("Örnek kalem: ",$B274))</f>
        <v/>
      </c>
    </row>
    <row r="275" customFormat="false" ht="15" hidden="false" customHeight="false" outlineLevel="0" collapsed="false">
      <c r="L275" s="23" t="n">
        <f aca="false">IF($E275="",0,$D275*$E275*(1-$G275-$H275-$I275))</f>
        <v>0</v>
      </c>
      <c r="M275" s="23" t="n">
        <f aca="false">IF($E275="",0,$D275*$E275-($F275*$E275+$G275*$D275*$E275+$H275*$D275*$E275+$I275*$D275*$E275+$J275*$D275*$E275*(1-$G275)+$K275*$E275))</f>
        <v>0</v>
      </c>
      <c r="N275" s="23" t="str">
        <f aca="false">IF($B275="","",CONCATENATE("Örnek kalem: ",$B275))</f>
        <v/>
      </c>
    </row>
    <row r="276" customFormat="false" ht="15" hidden="false" customHeight="false" outlineLevel="0" collapsed="false">
      <c r="L276" s="23" t="n">
        <f aca="false">IF($E276="",0,$D276*$E276*(1-$G276-$H276-$I276))</f>
        <v>0</v>
      </c>
      <c r="M276" s="23" t="n">
        <f aca="false">IF($E276="",0,$D276*$E276-($F276*$E276+$G276*$D276*$E276+$H276*$D276*$E276+$I276*$D276*$E276+$J276*$D276*$E276*(1-$G276)+$K276*$E276))</f>
        <v>0</v>
      </c>
      <c r="N276" s="23" t="str">
        <f aca="false">IF($B276="","",CONCATENATE("Örnek kalem: ",$B276))</f>
        <v/>
      </c>
    </row>
    <row r="277" customFormat="false" ht="15" hidden="false" customHeight="false" outlineLevel="0" collapsed="false">
      <c r="L277" s="23" t="n">
        <f aca="false">IF($E277="",0,$D277*$E277*(1-$G277-$H277-$I277))</f>
        <v>0</v>
      </c>
      <c r="M277" s="23" t="n">
        <f aca="false">IF($E277="",0,$D277*$E277-($F277*$E277+$G277*$D277*$E277+$H277*$D277*$E277+$I277*$D277*$E277+$J277*$D277*$E277*(1-$G277)+$K277*$E277))</f>
        <v>0</v>
      </c>
      <c r="N277" s="23" t="str">
        <f aca="false">IF($B277="","",CONCATENATE("Örnek kalem: ",$B277))</f>
        <v/>
      </c>
    </row>
    <row r="278" customFormat="false" ht="15" hidden="false" customHeight="false" outlineLevel="0" collapsed="false">
      <c r="L278" s="23" t="n">
        <f aca="false">IF($E278="",0,$D278*$E278*(1-$G278-$H278-$I278))</f>
        <v>0</v>
      </c>
      <c r="M278" s="23" t="n">
        <f aca="false">IF($E278="",0,$D278*$E278-($F278*$E278+$G278*$D278*$E278+$H278*$D278*$E278+$I278*$D278*$E278+$J278*$D278*$E278*(1-$G278)+$K278*$E278))</f>
        <v>0</v>
      </c>
      <c r="N278" s="23" t="str">
        <f aca="false">IF($B278="","",CONCATENATE("Örnek kalem: ",$B278))</f>
        <v/>
      </c>
    </row>
    <row r="279" customFormat="false" ht="15" hidden="false" customHeight="false" outlineLevel="0" collapsed="false">
      <c r="L279" s="23" t="n">
        <f aca="false">IF($E279="",0,$D279*$E279*(1-$G279-$H279-$I279))</f>
        <v>0</v>
      </c>
      <c r="M279" s="23" t="n">
        <f aca="false">IF($E279="",0,$D279*$E279-($F279*$E279+$G279*$D279*$E279+$H279*$D279*$E279+$I279*$D279*$E279+$J279*$D279*$E279*(1-$G279)+$K279*$E279))</f>
        <v>0</v>
      </c>
      <c r="N279" s="23" t="str">
        <f aca="false">IF($B279="","",CONCATENATE("Örnek kalem: ",$B279))</f>
        <v/>
      </c>
    </row>
    <row r="280" customFormat="false" ht="15" hidden="false" customHeight="false" outlineLevel="0" collapsed="false">
      <c r="L280" s="23" t="n">
        <f aca="false">IF($E280="",0,$D280*$E280*(1-$G280-$H280-$I280))</f>
        <v>0</v>
      </c>
      <c r="M280" s="23" t="n">
        <f aca="false">IF($E280="",0,$D280*$E280-($F280*$E280+$G280*$D280*$E280+$H280*$D280*$E280+$I280*$D280*$E280+$J280*$D280*$E280*(1-$G280)+$K280*$E280))</f>
        <v>0</v>
      </c>
      <c r="N280" s="23" t="str">
        <f aca="false">IF($B280="","",CONCATENATE("Örnek kalem: ",$B280))</f>
        <v/>
      </c>
    </row>
    <row r="281" customFormat="false" ht="15" hidden="false" customHeight="false" outlineLevel="0" collapsed="false">
      <c r="L281" s="23" t="n">
        <f aca="false">IF($E281="",0,$D281*$E281*(1-$G281-$H281-$I281))</f>
        <v>0</v>
      </c>
      <c r="M281" s="23" t="n">
        <f aca="false">IF($E281="",0,$D281*$E281-($F281*$E281+$G281*$D281*$E281+$H281*$D281*$E281+$I281*$D281*$E281+$J281*$D281*$E281*(1-$G281)+$K281*$E281))</f>
        <v>0</v>
      </c>
      <c r="N281" s="23" t="str">
        <f aca="false">IF($B281="","",CONCATENATE("Örnek kalem: ",$B281))</f>
        <v/>
      </c>
    </row>
    <row r="282" customFormat="false" ht="15" hidden="false" customHeight="false" outlineLevel="0" collapsed="false">
      <c r="L282" s="23" t="n">
        <f aca="false">IF($E282="",0,$D282*$E282*(1-$G282-$H282-$I282))</f>
        <v>0</v>
      </c>
      <c r="M282" s="23" t="n">
        <f aca="false">IF($E282="",0,$D282*$E282-($F282*$E282+$G282*$D282*$E282+$H282*$D282*$E282+$I282*$D282*$E282+$J282*$D282*$E282*(1-$G282)+$K282*$E282))</f>
        <v>0</v>
      </c>
      <c r="N282" s="23" t="str">
        <f aca="false">IF($B282="","",CONCATENATE("Örnek kalem: ",$B282))</f>
        <v/>
      </c>
    </row>
    <row r="283" customFormat="false" ht="15" hidden="false" customHeight="false" outlineLevel="0" collapsed="false">
      <c r="L283" s="23" t="n">
        <f aca="false">IF($E283="",0,$D283*$E283*(1-$G283-$H283-$I283))</f>
        <v>0</v>
      </c>
      <c r="M283" s="23" t="n">
        <f aca="false">IF($E283="",0,$D283*$E283-($F283*$E283+$G283*$D283*$E283+$H283*$D283*$E283+$I283*$D283*$E283+$J283*$D283*$E283*(1-$G283)+$K283*$E283))</f>
        <v>0</v>
      </c>
      <c r="N283" s="23" t="str">
        <f aca="false">IF($B283="","",CONCATENATE("Örnek kalem: ",$B283))</f>
        <v/>
      </c>
    </row>
    <row r="284" customFormat="false" ht="15" hidden="false" customHeight="false" outlineLevel="0" collapsed="false">
      <c r="L284" s="23" t="n">
        <f aca="false">IF($E284="",0,$D284*$E284*(1-$G284-$H284-$I284))</f>
        <v>0</v>
      </c>
      <c r="M284" s="23" t="n">
        <f aca="false">IF($E284="",0,$D284*$E284-($F284*$E284+$G284*$D284*$E284+$H284*$D284*$E284+$I284*$D284*$E284+$J284*$D284*$E284*(1-$G284)+$K284*$E284))</f>
        <v>0</v>
      </c>
      <c r="N284" s="23" t="str">
        <f aca="false">IF($B284="","",CONCATENATE("Örnek kalem: ",$B284))</f>
        <v/>
      </c>
    </row>
    <row r="285" customFormat="false" ht="15" hidden="false" customHeight="false" outlineLevel="0" collapsed="false">
      <c r="L285" s="23" t="n">
        <f aca="false">IF($E285="",0,$D285*$E285*(1-$G285-$H285-$I285))</f>
        <v>0</v>
      </c>
      <c r="M285" s="23" t="n">
        <f aca="false">IF($E285="",0,$D285*$E285-($F285*$E285+$G285*$D285*$E285+$H285*$D285*$E285+$I285*$D285*$E285+$J285*$D285*$E285*(1-$G285)+$K285*$E285))</f>
        <v>0</v>
      </c>
      <c r="N285" s="23" t="str">
        <f aca="false">IF($B285="","",CONCATENATE("Örnek kalem: ",$B285))</f>
        <v/>
      </c>
    </row>
    <row r="286" customFormat="false" ht="15" hidden="false" customHeight="false" outlineLevel="0" collapsed="false">
      <c r="L286" s="23" t="n">
        <f aca="false">IF($E286="",0,$D286*$E286*(1-$G286-$H286-$I286))</f>
        <v>0</v>
      </c>
      <c r="M286" s="23" t="n">
        <f aca="false">IF($E286="",0,$D286*$E286-($F286*$E286+$G286*$D286*$E286+$H286*$D286*$E286+$I286*$D286*$E286+$J286*$D286*$E286*(1-$G286)+$K286*$E286))</f>
        <v>0</v>
      </c>
      <c r="N286" s="23" t="str">
        <f aca="false">IF($B286="","",CONCATENATE("Örnek kalem: ",$B286))</f>
        <v/>
      </c>
    </row>
    <row r="287" customFormat="false" ht="15" hidden="false" customHeight="false" outlineLevel="0" collapsed="false">
      <c r="L287" s="23" t="n">
        <f aca="false">IF($E287="",0,$D287*$E287*(1-$G287-$H287-$I287))</f>
        <v>0</v>
      </c>
      <c r="M287" s="23" t="n">
        <f aca="false">IF($E287="",0,$D287*$E287-($F287*$E287+$G287*$D287*$E287+$H287*$D287*$E287+$I287*$D287*$E287+$J287*$D287*$E287*(1-$G287)+$K287*$E287))</f>
        <v>0</v>
      </c>
      <c r="N287" s="23" t="str">
        <f aca="false">IF($B287="","",CONCATENATE("Örnek kalem: ",$B287))</f>
        <v/>
      </c>
    </row>
    <row r="288" customFormat="false" ht="15" hidden="false" customHeight="false" outlineLevel="0" collapsed="false">
      <c r="L288" s="23" t="n">
        <f aca="false">IF($E288="",0,$D288*$E288*(1-$G288-$H288-$I288))</f>
        <v>0</v>
      </c>
      <c r="M288" s="23" t="n">
        <f aca="false">IF($E288="",0,$D288*$E288-($F288*$E288+$G288*$D288*$E288+$H288*$D288*$E288+$I288*$D288*$E288+$J288*$D288*$E288*(1-$G288)+$K288*$E288))</f>
        <v>0</v>
      </c>
      <c r="N288" s="23" t="str">
        <f aca="false">IF($B288="","",CONCATENATE("Örnek kalem: ",$B288))</f>
        <v/>
      </c>
    </row>
    <row r="289" customFormat="false" ht="15" hidden="false" customHeight="false" outlineLevel="0" collapsed="false">
      <c r="L289" s="23" t="n">
        <f aca="false">IF($E289="",0,$D289*$E289*(1-$G289-$H289-$I289))</f>
        <v>0</v>
      </c>
      <c r="M289" s="23" t="n">
        <f aca="false">IF($E289="",0,$D289*$E289-($F289*$E289+$G289*$D289*$E289+$H289*$D289*$E289+$I289*$D289*$E289+$J289*$D289*$E289*(1-$G289)+$K289*$E289))</f>
        <v>0</v>
      </c>
      <c r="N289" s="23" t="str">
        <f aca="false">IF($B289="","",CONCATENATE("Örnek kalem: ",$B289))</f>
        <v/>
      </c>
    </row>
    <row r="290" customFormat="false" ht="15" hidden="false" customHeight="false" outlineLevel="0" collapsed="false">
      <c r="L290" s="23" t="n">
        <f aca="false">IF($E290="",0,$D290*$E290*(1-$G290-$H290-$I290))</f>
        <v>0</v>
      </c>
      <c r="M290" s="23" t="n">
        <f aca="false">IF($E290="",0,$D290*$E290-($F290*$E290+$G290*$D290*$E290+$H290*$D290*$E290+$I290*$D290*$E290+$J290*$D290*$E290*(1-$G290)+$K290*$E290))</f>
        <v>0</v>
      </c>
      <c r="N290" s="23" t="str">
        <f aca="false">IF($B290="","",CONCATENATE("Örnek kalem: ",$B290))</f>
        <v/>
      </c>
    </row>
    <row r="291" customFormat="false" ht="15" hidden="false" customHeight="false" outlineLevel="0" collapsed="false">
      <c r="L291" s="23" t="n">
        <f aca="false">IF($E291="",0,$D291*$E291*(1-$G291-$H291-$I291))</f>
        <v>0</v>
      </c>
      <c r="M291" s="23" t="n">
        <f aca="false">IF($E291="",0,$D291*$E291-($F291*$E291+$G291*$D291*$E291+$H291*$D291*$E291+$I291*$D291*$E291+$J291*$D291*$E291*(1-$G291)+$K291*$E291))</f>
        <v>0</v>
      </c>
      <c r="N291" s="23" t="str">
        <f aca="false">IF($B291="","",CONCATENATE("Örnek kalem: ",$B291))</f>
        <v/>
      </c>
    </row>
    <row r="292" customFormat="false" ht="15" hidden="false" customHeight="false" outlineLevel="0" collapsed="false">
      <c r="L292" s="23" t="n">
        <f aca="false">IF($E292="",0,$D292*$E292*(1-$G292-$H292-$I292))</f>
        <v>0</v>
      </c>
      <c r="M292" s="23" t="n">
        <f aca="false">IF($E292="",0,$D292*$E292-($F292*$E292+$G292*$D292*$E292+$H292*$D292*$E292+$I292*$D292*$E292+$J292*$D292*$E292*(1-$G292)+$K292*$E292))</f>
        <v>0</v>
      </c>
      <c r="N292" s="23" t="str">
        <f aca="false">IF($B292="","",CONCATENATE("Örnek kalem: ",$B292))</f>
        <v/>
      </c>
    </row>
    <row r="293" customFormat="false" ht="15" hidden="false" customHeight="false" outlineLevel="0" collapsed="false">
      <c r="L293" s="23" t="n">
        <f aca="false">IF($E293="",0,$D293*$E293*(1-$G293-$H293-$I293))</f>
        <v>0</v>
      </c>
      <c r="M293" s="23" t="n">
        <f aca="false">IF($E293="",0,$D293*$E293-($F293*$E293+$G293*$D293*$E293+$H293*$D293*$E293+$I293*$D293*$E293+$J293*$D293*$E293*(1-$G293)+$K293*$E293))</f>
        <v>0</v>
      </c>
      <c r="N293" s="23" t="str">
        <f aca="false">IF($B293="","",CONCATENATE("Örnek kalem: ",$B293))</f>
        <v/>
      </c>
    </row>
    <row r="294" customFormat="false" ht="15" hidden="false" customHeight="false" outlineLevel="0" collapsed="false">
      <c r="L294" s="23" t="n">
        <f aca="false">IF($E294="",0,$D294*$E294*(1-$G294-$H294-$I294))</f>
        <v>0</v>
      </c>
      <c r="M294" s="23" t="n">
        <f aca="false">IF($E294="",0,$D294*$E294-($F294*$E294+$G294*$D294*$E294+$H294*$D294*$E294+$I294*$D294*$E294+$J294*$D294*$E294*(1-$G294)+$K294*$E294))</f>
        <v>0</v>
      </c>
      <c r="N294" s="23" t="str">
        <f aca="false">IF($B294="","",CONCATENATE("Örnek kalem: ",$B294))</f>
        <v/>
      </c>
    </row>
    <row r="295" customFormat="false" ht="15" hidden="false" customHeight="false" outlineLevel="0" collapsed="false">
      <c r="L295" s="23" t="n">
        <f aca="false">IF($E295="",0,$D295*$E295*(1-$G295-$H295-$I295))</f>
        <v>0</v>
      </c>
      <c r="M295" s="23" t="n">
        <f aca="false">IF($E295="",0,$D295*$E295-($F295*$E295+$G295*$D295*$E295+$H295*$D295*$E295+$I295*$D295*$E295+$J295*$D295*$E295*(1-$G295)+$K295*$E295))</f>
        <v>0</v>
      </c>
      <c r="N295" s="23" t="str">
        <f aca="false">IF($B295="","",CONCATENATE("Örnek kalem: ",$B295))</f>
        <v/>
      </c>
    </row>
    <row r="296" customFormat="false" ht="15" hidden="false" customHeight="false" outlineLevel="0" collapsed="false">
      <c r="L296" s="23" t="n">
        <f aca="false">IF($E296="",0,$D296*$E296*(1-$G296-$H296-$I296))</f>
        <v>0</v>
      </c>
      <c r="M296" s="23" t="n">
        <f aca="false">IF($E296="",0,$D296*$E296-($F296*$E296+$G296*$D296*$E296+$H296*$D296*$E296+$I296*$D296*$E296+$J296*$D296*$E296*(1-$G296)+$K296*$E296))</f>
        <v>0</v>
      </c>
      <c r="N296" s="23" t="str">
        <f aca="false">IF($B296="","",CONCATENATE("Örnek kalem: ",$B296))</f>
        <v/>
      </c>
    </row>
    <row r="297" customFormat="false" ht="15" hidden="false" customHeight="false" outlineLevel="0" collapsed="false">
      <c r="L297" s="23" t="n">
        <f aca="false">IF($E297="",0,$D297*$E297*(1-$G297-$H297-$I297))</f>
        <v>0</v>
      </c>
      <c r="M297" s="23" t="n">
        <f aca="false">IF($E297="",0,$D297*$E297-($F297*$E297+$G297*$D297*$E297+$H297*$D297*$E297+$I297*$D297*$E297+$J297*$D297*$E297*(1-$G297)+$K297*$E297))</f>
        <v>0</v>
      </c>
      <c r="N297" s="23" t="str">
        <f aca="false">IF($B297="","",CONCATENATE("Örnek kalem: ",$B297))</f>
        <v/>
      </c>
    </row>
    <row r="298" customFormat="false" ht="15" hidden="false" customHeight="false" outlineLevel="0" collapsed="false">
      <c r="L298" s="23" t="n">
        <f aca="false">IF($E298="",0,$D298*$E298*(1-$G298-$H298-$I298))</f>
        <v>0</v>
      </c>
      <c r="M298" s="23" t="n">
        <f aca="false">IF($E298="",0,$D298*$E298-($F298*$E298+$G298*$D298*$E298+$H298*$D298*$E298+$I298*$D298*$E298+$J298*$D298*$E298*(1-$G298)+$K298*$E298))</f>
        <v>0</v>
      </c>
      <c r="N298" s="23" t="str">
        <f aca="false">IF($B298="","",CONCATENATE("Örnek kalem: ",$B298))</f>
        <v/>
      </c>
    </row>
    <row r="299" customFormat="false" ht="15" hidden="false" customHeight="false" outlineLevel="0" collapsed="false">
      <c r="L299" s="23" t="n">
        <f aca="false">IF($E299="",0,$D299*$E299*(1-$G299-$H299-$I299))</f>
        <v>0</v>
      </c>
      <c r="M299" s="23" t="n">
        <f aca="false">IF($E299="",0,$D299*$E299-($F299*$E299+$G299*$D299*$E299+$H299*$D299*$E299+$I299*$D299*$E299+$J299*$D299*$E299*(1-$G299)+$K299*$E299))</f>
        <v>0</v>
      </c>
      <c r="N299" s="23" t="str">
        <f aca="false">IF($B299="","",CONCATENATE("Örnek kalem: ",$B299))</f>
        <v/>
      </c>
    </row>
    <row r="300" customFormat="false" ht="15" hidden="false" customHeight="false" outlineLevel="0" collapsed="false">
      <c r="L300" s="23" t="n">
        <f aca="false">IF($E300="",0,$D300*$E300*(1-$G300-$H300-$I300))</f>
        <v>0</v>
      </c>
      <c r="M300" s="23" t="n">
        <f aca="false">IF($E300="",0,$D300*$E300-($F300*$E300+$G300*$D300*$E300+$H300*$D300*$E300+$I300*$D300*$E300+$J300*$D300*$E300*(1-$G300)+$K300*$E300))</f>
        <v>0</v>
      </c>
      <c r="N300" s="23" t="str">
        <f aca="false">IF($B300="","",CONCATENATE("Örnek kalem: ",$B300))</f>
        <v/>
      </c>
    </row>
    <row r="301" customFormat="false" ht="15" hidden="false" customHeight="false" outlineLevel="0" collapsed="false">
      <c r="L301" s="23" t="n">
        <f aca="false">IF($E301="",0,$D301*$E301*(1-$G301-$H301-$I301))</f>
        <v>0</v>
      </c>
      <c r="M301" s="23" t="n">
        <f aca="false">IF($E301="",0,$D301*$E301-($F301*$E301+$G301*$D301*$E301+$H301*$D301*$E301+$I301*$D301*$E301+$J301*$D301*$E301*(1-$G301)+$K301*$E301))</f>
        <v>0</v>
      </c>
      <c r="N301" s="23" t="str">
        <f aca="false">IF($B301="","",CONCATENATE("Örnek kalem: ",$B301))</f>
        <v/>
      </c>
    </row>
    <row r="302" customFormat="false" ht="15" hidden="false" customHeight="false" outlineLevel="0" collapsed="false">
      <c r="L302" s="23" t="n">
        <f aca="false">IF($E302="",0,$D302*$E302*(1-$G302-$H302-$I302))</f>
        <v>0</v>
      </c>
      <c r="M302" s="23" t="n">
        <f aca="false">IF($E302="",0,$D302*$E302-($F302*$E302+$G302*$D302*$E302+$H302*$D302*$E302+$I302*$D302*$E302+$J302*$D302*$E302*(1-$G302)+$K302*$E302))</f>
        <v>0</v>
      </c>
      <c r="N302" s="23" t="str">
        <f aca="false">IF($B302="","",CONCATENATE("Örnek kalem: ",$B302))</f>
        <v/>
      </c>
    </row>
    <row r="303" customFormat="false" ht="15" hidden="false" customHeight="false" outlineLevel="0" collapsed="false">
      <c r="L303" s="23" t="n">
        <f aca="false">IF($E303="",0,$D303*$E303*(1-$G303-$H303-$I303))</f>
        <v>0</v>
      </c>
      <c r="M303" s="23" t="n">
        <f aca="false">IF($E303="",0,$D303*$E303-($F303*$E303+$G303*$D303*$E303+$H303*$D303*$E303+$I303*$D303*$E303+$J303*$D303*$E303*(1-$G303)+$K303*$E303))</f>
        <v>0</v>
      </c>
      <c r="N303" s="23" t="str">
        <f aca="false">IF($B303="","",CONCATENATE("Örnek kalem: ",$B303))</f>
        <v/>
      </c>
    </row>
    <row r="304" customFormat="false" ht="15" hidden="false" customHeight="false" outlineLevel="0" collapsed="false">
      <c r="L304" s="23" t="n">
        <f aca="false">IF($E304="",0,$D304*$E304*(1-$G304-$H304-$I304))</f>
        <v>0</v>
      </c>
      <c r="M304" s="23" t="n">
        <f aca="false">IF($E304="",0,$D304*$E304-($F304*$E304+$G304*$D304*$E304+$H304*$D304*$E304+$I304*$D304*$E304+$J304*$D304*$E304*(1-$G304)+$K304*$E304))</f>
        <v>0</v>
      </c>
      <c r="N304" s="23" t="str">
        <f aca="false">IF($B304="","",CONCATENATE("Örnek kalem: ",$B304))</f>
        <v/>
      </c>
    </row>
    <row r="305" customFormat="false" ht="15" hidden="false" customHeight="false" outlineLevel="0" collapsed="false">
      <c r="L305" s="23" t="n">
        <f aca="false">IF($E305="",0,$D305*$E305*(1-$G305-$H305-$I305))</f>
        <v>0</v>
      </c>
      <c r="M305" s="23" t="n">
        <f aca="false">IF($E305="",0,$D305*$E305-($F305*$E305+$G305*$D305*$E305+$H305*$D305*$E305+$I305*$D305*$E305+$J305*$D305*$E305*(1-$G305)+$K305*$E305))</f>
        <v>0</v>
      </c>
      <c r="N305" s="23" t="str">
        <f aca="false">IF($B305="","",CONCATENATE("Örnek kalem: ",$B305))</f>
        <v/>
      </c>
    </row>
    <row r="306" customFormat="false" ht="15" hidden="false" customHeight="false" outlineLevel="0" collapsed="false">
      <c r="L306" s="23" t="n">
        <f aca="false">IF($E306="",0,$D306*$E306*(1-$G306-$H306-$I306))</f>
        <v>0</v>
      </c>
      <c r="M306" s="23" t="n">
        <f aca="false">IF($E306="",0,$D306*$E306-($F306*$E306+$G306*$D306*$E306+$H306*$D306*$E306+$I306*$D306*$E306+$J306*$D306*$E306*(1-$G306)+$K306*$E306))</f>
        <v>0</v>
      </c>
      <c r="N306" s="23" t="str">
        <f aca="false">IF($B306="","",CONCATENATE("Örnek kalem: ",$B306))</f>
        <v/>
      </c>
    </row>
    <row r="307" customFormat="false" ht="15" hidden="false" customHeight="false" outlineLevel="0" collapsed="false">
      <c r="L307" s="23" t="n">
        <f aca="false">IF($E307="",0,$D307*$E307*(1-$G307-$H307-$I307))</f>
        <v>0</v>
      </c>
      <c r="M307" s="23" t="n">
        <f aca="false">IF($E307="",0,$D307*$E307-($F307*$E307+$G307*$D307*$E307+$H307*$D307*$E307+$I307*$D307*$E307+$J307*$D307*$E307*(1-$G307)+$K307*$E307))</f>
        <v>0</v>
      </c>
      <c r="N307" s="23" t="str">
        <f aca="false">IF($B307="","",CONCATENATE("Örnek kalem: ",$B307))</f>
        <v/>
      </c>
    </row>
    <row r="308" customFormat="false" ht="15" hidden="false" customHeight="false" outlineLevel="0" collapsed="false">
      <c r="L308" s="23" t="n">
        <f aca="false">IF($E308="",0,$D308*$E308*(1-$G308-$H308-$I308))</f>
        <v>0</v>
      </c>
      <c r="M308" s="23" t="n">
        <f aca="false">IF($E308="",0,$D308*$E308-($F308*$E308+$G308*$D308*$E308+$H308*$D308*$E308+$I308*$D308*$E308+$J308*$D308*$E308*(1-$G308)+$K308*$E308))</f>
        <v>0</v>
      </c>
      <c r="N308" s="23" t="str">
        <f aca="false">IF($B308="","",CONCATENATE("Örnek kalem: ",$B308))</f>
        <v/>
      </c>
    </row>
    <row r="309" customFormat="false" ht="15" hidden="false" customHeight="false" outlineLevel="0" collapsed="false">
      <c r="L309" s="23" t="n">
        <f aca="false">IF($E309="",0,$D309*$E309*(1-$G309-$H309-$I309))</f>
        <v>0</v>
      </c>
      <c r="M309" s="23" t="n">
        <f aca="false">IF($E309="",0,$D309*$E309-($F309*$E309+$G309*$D309*$E309+$H309*$D309*$E309+$I309*$D309*$E309+$J309*$D309*$E309*(1-$G309)+$K309*$E309))</f>
        <v>0</v>
      </c>
      <c r="N309" s="23" t="str">
        <f aca="false">IF($B309="","",CONCATENATE("Örnek kalem: ",$B309))</f>
        <v/>
      </c>
    </row>
    <row r="310" customFormat="false" ht="15" hidden="false" customHeight="false" outlineLevel="0" collapsed="false">
      <c r="L310" s="23" t="n">
        <f aca="false">IF($E310="",0,$D310*$E310*(1-$G310-$H310-$I310))</f>
        <v>0</v>
      </c>
      <c r="M310" s="23" t="n">
        <f aca="false">IF($E310="",0,$D310*$E310-($F310*$E310+$G310*$D310*$E310+$H310*$D310*$E310+$I310*$D310*$E310+$J310*$D310*$E310*(1-$G310)+$K310*$E310))</f>
        <v>0</v>
      </c>
      <c r="N310" s="23" t="str">
        <f aca="false">IF($B310="","",CONCATENATE("Örnek kalem: ",$B310))</f>
        <v/>
      </c>
    </row>
    <row r="311" customFormat="false" ht="15" hidden="false" customHeight="false" outlineLevel="0" collapsed="false">
      <c r="L311" s="23" t="n">
        <f aca="false">IF($E311="",0,$D311*$E311*(1-$G311-$H311-$I311))</f>
        <v>0</v>
      </c>
      <c r="M311" s="23" t="n">
        <f aca="false">IF($E311="",0,$D311*$E311-($F311*$E311+$G311*$D311*$E311+$H311*$D311*$E311+$I311*$D311*$E311+$J311*$D311*$E311*(1-$G311)+$K311*$E311))</f>
        <v>0</v>
      </c>
      <c r="N311" s="23" t="str">
        <f aca="false">IF($B311="","",CONCATENATE("Örnek kalem: ",$B311))</f>
        <v/>
      </c>
    </row>
    <row r="312" customFormat="false" ht="15" hidden="false" customHeight="false" outlineLevel="0" collapsed="false">
      <c r="L312" s="23" t="n">
        <f aca="false">IF($E312="",0,$D312*$E312*(1-$G312-$H312-$I312))</f>
        <v>0</v>
      </c>
      <c r="M312" s="23" t="n">
        <f aca="false">IF($E312="",0,$D312*$E312-($F312*$E312+$G312*$D312*$E312+$H312*$D312*$E312+$I312*$D312*$E312+$J312*$D312*$E312*(1-$G312)+$K312*$E312))</f>
        <v>0</v>
      </c>
      <c r="N312" s="23" t="str">
        <f aca="false">IF($B312="","",CONCATENATE("Örnek kalem: ",$B312))</f>
        <v/>
      </c>
    </row>
    <row r="313" customFormat="false" ht="15" hidden="false" customHeight="false" outlineLevel="0" collapsed="false">
      <c r="L313" s="23" t="n">
        <f aca="false">IF($E313="",0,$D313*$E313*(1-$G313-$H313-$I313))</f>
        <v>0</v>
      </c>
      <c r="M313" s="23" t="n">
        <f aca="false">IF($E313="",0,$D313*$E313-($F313*$E313+$G313*$D313*$E313+$H313*$D313*$E313+$I313*$D313*$E313+$J313*$D313*$E313*(1-$G313)+$K313*$E313))</f>
        <v>0</v>
      </c>
      <c r="N313" s="23" t="str">
        <f aca="false">IF($B313="","",CONCATENATE("Örnek kalem: ",$B313))</f>
        <v/>
      </c>
    </row>
    <row r="314" customFormat="false" ht="15" hidden="false" customHeight="false" outlineLevel="0" collapsed="false">
      <c r="L314" s="23" t="n">
        <f aca="false">IF($E314="",0,$D314*$E314*(1-$G314-$H314-$I314))</f>
        <v>0</v>
      </c>
      <c r="M314" s="23" t="n">
        <f aca="false">IF($E314="",0,$D314*$E314-($F314*$E314+$G314*$D314*$E314+$H314*$D314*$E314+$I314*$D314*$E314+$J314*$D314*$E314*(1-$G314)+$K314*$E314))</f>
        <v>0</v>
      </c>
      <c r="N314" s="23" t="str">
        <f aca="false">IF($B314="","",CONCATENATE("Örnek kalem: ",$B314))</f>
        <v/>
      </c>
    </row>
    <row r="315" customFormat="false" ht="15" hidden="false" customHeight="false" outlineLevel="0" collapsed="false">
      <c r="L315" s="23" t="n">
        <f aca="false">IF($E315="",0,$D315*$E315*(1-$G315-$H315-$I315))</f>
        <v>0</v>
      </c>
      <c r="M315" s="23" t="n">
        <f aca="false">IF($E315="",0,$D315*$E315-($F315*$E315+$G315*$D315*$E315+$H315*$D315*$E315+$I315*$D315*$E315+$J315*$D315*$E315*(1-$G315)+$K315*$E315))</f>
        <v>0</v>
      </c>
      <c r="N315" s="23" t="str">
        <f aca="false">IF($B315="","",CONCATENATE("Örnek kalem: ",$B315))</f>
        <v/>
      </c>
    </row>
    <row r="316" customFormat="false" ht="15" hidden="false" customHeight="false" outlineLevel="0" collapsed="false">
      <c r="L316" s="23" t="n">
        <f aca="false">IF($E316="",0,$D316*$E316*(1-$G316-$H316-$I316))</f>
        <v>0</v>
      </c>
      <c r="M316" s="23" t="n">
        <f aca="false">IF($E316="",0,$D316*$E316-($F316*$E316+$G316*$D316*$E316+$H316*$D316*$E316+$I316*$D316*$E316+$J316*$D316*$E316*(1-$G316)+$K316*$E316))</f>
        <v>0</v>
      </c>
      <c r="N316" s="23" t="str">
        <f aca="false">IF($B316="","",CONCATENATE("Örnek kalem: ",$B316))</f>
        <v/>
      </c>
    </row>
    <row r="317" customFormat="false" ht="15" hidden="false" customHeight="false" outlineLevel="0" collapsed="false">
      <c r="L317" s="23" t="n">
        <f aca="false">IF($E317="",0,$D317*$E317*(1-$G317-$H317-$I317))</f>
        <v>0</v>
      </c>
      <c r="M317" s="23" t="n">
        <f aca="false">IF($E317="",0,$D317*$E317-($F317*$E317+$G317*$D317*$E317+$H317*$D317*$E317+$I317*$D317*$E317+$J317*$D317*$E317*(1-$G317)+$K317*$E317))</f>
        <v>0</v>
      </c>
      <c r="N317" s="23" t="str">
        <f aca="false">IF($B317="","",CONCATENATE("Örnek kalem: ",$B317))</f>
        <v/>
      </c>
    </row>
    <row r="318" customFormat="false" ht="15" hidden="false" customHeight="false" outlineLevel="0" collapsed="false">
      <c r="L318" s="23" t="n">
        <f aca="false">IF($E318="",0,$D318*$E318*(1-$G318-$H318-$I318))</f>
        <v>0</v>
      </c>
      <c r="M318" s="23" t="n">
        <f aca="false">IF($E318="",0,$D318*$E318-($F318*$E318+$G318*$D318*$E318+$H318*$D318*$E318+$I318*$D318*$E318+$J318*$D318*$E318*(1-$G318)+$K318*$E318))</f>
        <v>0</v>
      </c>
      <c r="N318" s="23" t="str">
        <f aca="false">IF($B318="","",CONCATENATE("Örnek kalem: ",$B318))</f>
        <v/>
      </c>
    </row>
    <row r="319" customFormat="false" ht="15" hidden="false" customHeight="false" outlineLevel="0" collapsed="false">
      <c r="L319" s="23" t="n">
        <f aca="false">IF($E319="",0,$D319*$E319*(1-$G319-$H319-$I319))</f>
        <v>0</v>
      </c>
      <c r="M319" s="23" t="n">
        <f aca="false">IF($E319="",0,$D319*$E319-($F319*$E319+$G319*$D319*$E319+$H319*$D319*$E319+$I319*$D319*$E319+$J319*$D319*$E319*(1-$G319)+$K319*$E319))</f>
        <v>0</v>
      </c>
      <c r="N319" s="23" t="str">
        <f aca="false">IF($B319="","",CONCATENATE("Örnek kalem: ",$B319))</f>
        <v/>
      </c>
    </row>
    <row r="320" customFormat="false" ht="15" hidden="false" customHeight="false" outlineLevel="0" collapsed="false">
      <c r="L320" s="23" t="n">
        <f aca="false">IF($E320="",0,$D320*$E320*(1-$G320-$H320-$I320))</f>
        <v>0</v>
      </c>
      <c r="M320" s="23" t="n">
        <f aca="false">IF($E320="",0,$D320*$E320-($F320*$E320+$G320*$D320*$E320+$H320*$D320*$E320+$I320*$D320*$E320+$J320*$D320*$E320*(1-$G320)+$K320*$E320))</f>
        <v>0</v>
      </c>
      <c r="N320" s="23" t="str">
        <f aca="false">IF($B320="","",CONCATENATE("Örnek kalem: ",$B320))</f>
        <v/>
      </c>
    </row>
    <row r="321" customFormat="false" ht="15" hidden="false" customHeight="false" outlineLevel="0" collapsed="false">
      <c r="L321" s="23" t="n">
        <f aca="false">IF($E321="",0,$D321*$E321*(1-$G321-$H321-$I321))</f>
        <v>0</v>
      </c>
      <c r="M321" s="23" t="n">
        <f aca="false">IF($E321="",0,$D321*$E321-($F321*$E321+$G321*$D321*$E321+$H321*$D321*$E321+$I321*$D321*$E321+$J321*$D321*$E321*(1-$G321)+$K321*$E321))</f>
        <v>0</v>
      </c>
      <c r="N321" s="23" t="str">
        <f aca="false">IF($B321="","",CONCATENATE("Örnek kalem: ",$B321))</f>
        <v/>
      </c>
    </row>
    <row r="322" customFormat="false" ht="15" hidden="false" customHeight="false" outlineLevel="0" collapsed="false">
      <c r="L322" s="23" t="n">
        <f aca="false">IF($E322="",0,$D322*$E322*(1-$G322-$H322-$I322))</f>
        <v>0</v>
      </c>
      <c r="M322" s="23" t="n">
        <f aca="false">IF($E322="",0,$D322*$E322-($F322*$E322+$G322*$D322*$E322+$H322*$D322*$E322+$I322*$D322*$E322+$J322*$D322*$E322*(1-$G322)+$K322*$E322))</f>
        <v>0</v>
      </c>
      <c r="N322" s="23" t="str">
        <f aca="false">IF($B322="","",CONCATENATE("Örnek kalem: ",$B322))</f>
        <v/>
      </c>
    </row>
    <row r="323" customFormat="false" ht="15" hidden="false" customHeight="false" outlineLevel="0" collapsed="false">
      <c r="L323" s="23" t="n">
        <f aca="false">IF($E323="",0,$D323*$E323*(1-$G323-$H323-$I323))</f>
        <v>0</v>
      </c>
      <c r="M323" s="23" t="n">
        <f aca="false">IF($E323="",0,$D323*$E323-($F323*$E323+$G323*$D323*$E323+$H323*$D323*$E323+$I323*$D323*$E323+$J323*$D323*$E323*(1-$G323)+$K323*$E323))</f>
        <v>0</v>
      </c>
      <c r="N323" s="23" t="str">
        <f aca="false">IF($B323="","",CONCATENATE("Örnek kalem: ",$B323))</f>
        <v/>
      </c>
    </row>
    <row r="324" customFormat="false" ht="15" hidden="false" customHeight="false" outlineLevel="0" collapsed="false">
      <c r="L324" s="23" t="n">
        <f aca="false">IF($E324="",0,$D324*$E324*(1-$G324-$H324-$I324))</f>
        <v>0</v>
      </c>
      <c r="M324" s="23" t="n">
        <f aca="false">IF($E324="",0,$D324*$E324-($F324*$E324+$G324*$D324*$E324+$H324*$D324*$E324+$I324*$D324*$E324+$J324*$D324*$E324*(1-$G324)+$K324*$E324))</f>
        <v>0</v>
      </c>
      <c r="N324" s="23" t="str">
        <f aca="false">IF($B324="","",CONCATENATE("Örnek kalem: ",$B324))</f>
        <v/>
      </c>
    </row>
    <row r="325" customFormat="false" ht="15" hidden="false" customHeight="false" outlineLevel="0" collapsed="false">
      <c r="L325" s="23" t="n">
        <f aca="false">IF($E325="",0,$D325*$E325*(1-$G325-$H325-$I325))</f>
        <v>0</v>
      </c>
      <c r="M325" s="23" t="n">
        <f aca="false">IF($E325="",0,$D325*$E325-($F325*$E325+$G325*$D325*$E325+$H325*$D325*$E325+$I325*$D325*$E325+$J325*$D325*$E325*(1-$G325)+$K325*$E325))</f>
        <v>0</v>
      </c>
      <c r="N325" s="23" t="str">
        <f aca="false">IF($B325="","",CONCATENATE("Örnek kalem: ",$B325))</f>
        <v/>
      </c>
    </row>
    <row r="326" customFormat="false" ht="15" hidden="false" customHeight="false" outlineLevel="0" collapsed="false">
      <c r="L326" s="23" t="n">
        <f aca="false">IF($E326="",0,$D326*$E326*(1-$G326-$H326-$I326))</f>
        <v>0</v>
      </c>
      <c r="M326" s="23" t="n">
        <f aca="false">IF($E326="",0,$D326*$E326-($F326*$E326+$G326*$D326*$E326+$H326*$D326*$E326+$I326*$D326*$E326+$J326*$D326*$E326*(1-$G326)+$K326*$E326))</f>
        <v>0</v>
      </c>
      <c r="N326" s="23" t="str">
        <f aca="false">IF($B326="","",CONCATENATE("Örnek kalem: ",$B326))</f>
        <v/>
      </c>
    </row>
    <row r="327" customFormat="false" ht="15" hidden="false" customHeight="false" outlineLevel="0" collapsed="false">
      <c r="L327" s="23" t="n">
        <f aca="false">IF($E327="",0,$D327*$E327*(1-$G327-$H327-$I327))</f>
        <v>0</v>
      </c>
      <c r="M327" s="23" t="n">
        <f aca="false">IF($E327="",0,$D327*$E327-($F327*$E327+$G327*$D327*$E327+$H327*$D327*$E327+$I327*$D327*$E327+$J327*$D327*$E327*(1-$G327)+$K327*$E327))</f>
        <v>0</v>
      </c>
      <c r="N327" s="23" t="str">
        <f aca="false">IF($B327="","",CONCATENATE("Örnek kalem: ",$B327))</f>
        <v/>
      </c>
    </row>
    <row r="328" customFormat="false" ht="15" hidden="false" customHeight="false" outlineLevel="0" collapsed="false">
      <c r="L328" s="23" t="n">
        <f aca="false">IF($E328="",0,$D328*$E328*(1-$G328-$H328-$I328))</f>
        <v>0</v>
      </c>
      <c r="M328" s="23" t="n">
        <f aca="false">IF($E328="",0,$D328*$E328-($F328*$E328+$G328*$D328*$E328+$H328*$D328*$E328+$I328*$D328*$E328+$J328*$D328*$E328*(1-$G328)+$K328*$E328))</f>
        <v>0</v>
      </c>
      <c r="N328" s="23" t="str">
        <f aca="false">IF($B328="","",CONCATENATE("Örnek kalem: ",$B328))</f>
        <v/>
      </c>
    </row>
    <row r="329" customFormat="false" ht="15" hidden="false" customHeight="false" outlineLevel="0" collapsed="false">
      <c r="L329" s="23" t="n">
        <f aca="false">IF($E329="",0,$D329*$E329*(1-$G329-$H329-$I329))</f>
        <v>0</v>
      </c>
      <c r="M329" s="23" t="n">
        <f aca="false">IF($E329="",0,$D329*$E329-($F329*$E329+$G329*$D329*$E329+$H329*$D329*$E329+$I329*$D329*$E329+$J329*$D329*$E329*(1-$G329)+$K329*$E329))</f>
        <v>0</v>
      </c>
      <c r="N329" s="23" t="str">
        <f aca="false">IF($B329="","",CONCATENATE("Örnek kalem: ",$B329))</f>
        <v/>
      </c>
    </row>
    <row r="330" customFormat="false" ht="15" hidden="false" customHeight="false" outlineLevel="0" collapsed="false">
      <c r="L330" s="23" t="n">
        <f aca="false">IF($E330="",0,$D330*$E330*(1-$G330-$H330-$I330))</f>
        <v>0</v>
      </c>
      <c r="M330" s="23" t="n">
        <f aca="false">IF($E330="",0,$D330*$E330-($F330*$E330+$G330*$D330*$E330+$H330*$D330*$E330+$I330*$D330*$E330+$J330*$D330*$E330*(1-$G330)+$K330*$E330))</f>
        <v>0</v>
      </c>
      <c r="N330" s="23" t="str">
        <f aca="false">IF($B330="","",CONCATENATE("Örnek kalem: ",$B330))</f>
        <v/>
      </c>
    </row>
    <row r="331" customFormat="false" ht="15" hidden="false" customHeight="false" outlineLevel="0" collapsed="false">
      <c r="L331" s="23" t="n">
        <f aca="false">IF($E331="",0,$D331*$E331*(1-$G331-$H331-$I331))</f>
        <v>0</v>
      </c>
      <c r="M331" s="23" t="n">
        <f aca="false">IF($E331="",0,$D331*$E331-($F331*$E331+$G331*$D331*$E331+$H331*$D331*$E331+$I331*$D331*$E331+$J331*$D331*$E331*(1-$G331)+$K331*$E331))</f>
        <v>0</v>
      </c>
      <c r="N331" s="23" t="str">
        <f aca="false">IF($B331="","",CONCATENATE("Örnek kalem: ",$B331))</f>
        <v/>
      </c>
    </row>
    <row r="332" customFormat="false" ht="15" hidden="false" customHeight="false" outlineLevel="0" collapsed="false">
      <c r="L332" s="23" t="n">
        <f aca="false">IF($E332="",0,$D332*$E332*(1-$G332-$H332-$I332))</f>
        <v>0</v>
      </c>
      <c r="M332" s="23" t="n">
        <f aca="false">IF($E332="",0,$D332*$E332-($F332*$E332+$G332*$D332*$E332+$H332*$D332*$E332+$I332*$D332*$E332+$J332*$D332*$E332*(1-$G332)+$K332*$E332))</f>
        <v>0</v>
      </c>
      <c r="N332" s="23" t="str">
        <f aca="false">IF($B332="","",CONCATENATE("Örnek kalem: ",$B332))</f>
        <v/>
      </c>
    </row>
    <row r="333" customFormat="false" ht="15" hidden="false" customHeight="false" outlineLevel="0" collapsed="false">
      <c r="L333" s="23" t="n">
        <f aca="false">IF($E333="",0,$D333*$E333*(1-$G333-$H333-$I333))</f>
        <v>0</v>
      </c>
      <c r="M333" s="23" t="n">
        <f aca="false">IF($E333="",0,$D333*$E333-($F333*$E333+$G333*$D333*$E333+$H333*$D333*$E333+$I333*$D333*$E333+$J333*$D333*$E333*(1-$G333)+$K333*$E333))</f>
        <v>0</v>
      </c>
      <c r="N333" s="23" t="str">
        <f aca="false">IF($B333="","",CONCATENATE("Örnek kalem: ",$B333))</f>
        <v/>
      </c>
    </row>
    <row r="334" customFormat="false" ht="15" hidden="false" customHeight="false" outlineLevel="0" collapsed="false">
      <c r="L334" s="23" t="n">
        <f aca="false">IF($E334="",0,$D334*$E334*(1-$G334-$H334-$I334))</f>
        <v>0</v>
      </c>
      <c r="M334" s="23" t="n">
        <f aca="false">IF($E334="",0,$D334*$E334-($F334*$E334+$G334*$D334*$E334+$H334*$D334*$E334+$I334*$D334*$E334+$J334*$D334*$E334*(1-$G334)+$K334*$E334))</f>
        <v>0</v>
      </c>
      <c r="N334" s="23" t="str">
        <f aca="false">IF($B334="","",CONCATENATE("Örnek kalem: ",$B334))</f>
        <v/>
      </c>
    </row>
    <row r="335" customFormat="false" ht="15" hidden="false" customHeight="false" outlineLevel="0" collapsed="false">
      <c r="L335" s="23" t="n">
        <f aca="false">IF($E335="",0,$D335*$E335*(1-$G335-$H335-$I335))</f>
        <v>0</v>
      </c>
      <c r="M335" s="23" t="n">
        <f aca="false">IF($E335="",0,$D335*$E335-($F335*$E335+$G335*$D335*$E335+$H335*$D335*$E335+$I335*$D335*$E335+$J335*$D335*$E335*(1-$G335)+$K335*$E335))</f>
        <v>0</v>
      </c>
      <c r="N335" s="23" t="str">
        <f aca="false">IF($B335="","",CONCATENATE("Örnek kalem: ",$B335))</f>
        <v/>
      </c>
    </row>
    <row r="336" customFormat="false" ht="15" hidden="false" customHeight="false" outlineLevel="0" collapsed="false">
      <c r="L336" s="23" t="n">
        <f aca="false">IF($E336="",0,$D336*$E336*(1-$G336-$H336-$I336))</f>
        <v>0</v>
      </c>
      <c r="M336" s="23" t="n">
        <f aca="false">IF($E336="",0,$D336*$E336-($F336*$E336+$G336*$D336*$E336+$H336*$D336*$E336+$I336*$D336*$E336+$J336*$D336*$E336*(1-$G336)+$K336*$E336))</f>
        <v>0</v>
      </c>
      <c r="N336" s="23" t="str">
        <f aca="false">IF($B336="","",CONCATENATE("Örnek kalem: ",$B336))</f>
        <v/>
      </c>
    </row>
    <row r="337" customFormat="false" ht="15" hidden="false" customHeight="false" outlineLevel="0" collapsed="false">
      <c r="L337" s="23" t="n">
        <f aca="false">IF($E337="",0,$D337*$E337*(1-$G337-$H337-$I337))</f>
        <v>0</v>
      </c>
      <c r="M337" s="23" t="n">
        <f aca="false">IF($E337="",0,$D337*$E337-($F337*$E337+$G337*$D337*$E337+$H337*$D337*$E337+$I337*$D337*$E337+$J337*$D337*$E337*(1-$G337)+$K337*$E337))</f>
        <v>0</v>
      </c>
      <c r="N337" s="23" t="str">
        <f aca="false">IF($B337="","",CONCATENATE("Örnek kalem: ",$B337))</f>
        <v/>
      </c>
    </row>
    <row r="338" customFormat="false" ht="15" hidden="false" customHeight="false" outlineLevel="0" collapsed="false">
      <c r="L338" s="23" t="n">
        <f aca="false">IF($E338="",0,$D338*$E338*(1-$G338-$H338-$I338))</f>
        <v>0</v>
      </c>
      <c r="M338" s="23" t="n">
        <f aca="false">IF($E338="",0,$D338*$E338-($F338*$E338+$G338*$D338*$E338+$H338*$D338*$E338+$I338*$D338*$E338+$J338*$D338*$E338*(1-$G338)+$K338*$E338))</f>
        <v>0</v>
      </c>
      <c r="N338" s="23" t="str">
        <f aca="false">IF($B338="","",CONCATENATE("Örnek kalem: ",$B338))</f>
        <v/>
      </c>
    </row>
    <row r="339" customFormat="false" ht="15" hidden="false" customHeight="false" outlineLevel="0" collapsed="false">
      <c r="L339" s="23" t="n">
        <f aca="false">IF($E339="",0,$D339*$E339*(1-$G339-$H339-$I339))</f>
        <v>0</v>
      </c>
      <c r="M339" s="23" t="n">
        <f aca="false">IF($E339="",0,$D339*$E339-($F339*$E339+$G339*$D339*$E339+$H339*$D339*$E339+$I339*$D339*$E339+$J339*$D339*$E339*(1-$G339)+$K339*$E339))</f>
        <v>0</v>
      </c>
      <c r="N339" s="23" t="str">
        <f aca="false">IF($B339="","",CONCATENATE("Örnek kalem: ",$B339))</f>
        <v/>
      </c>
    </row>
    <row r="340" customFormat="false" ht="15" hidden="false" customHeight="false" outlineLevel="0" collapsed="false">
      <c r="L340" s="23" t="n">
        <f aca="false">IF($E340="",0,$D340*$E340*(1-$G340-$H340-$I340))</f>
        <v>0</v>
      </c>
      <c r="M340" s="23" t="n">
        <f aca="false">IF($E340="",0,$D340*$E340-($F340*$E340+$G340*$D340*$E340+$H340*$D340*$E340+$I340*$D340*$E340+$J340*$D340*$E340*(1-$G340)+$K340*$E340))</f>
        <v>0</v>
      </c>
      <c r="N340" s="23" t="str">
        <f aca="false">IF($B340="","",CONCATENATE("Örnek kalem: ",$B340))</f>
        <v/>
      </c>
    </row>
    <row r="341" customFormat="false" ht="15" hidden="false" customHeight="false" outlineLevel="0" collapsed="false">
      <c r="L341" s="23" t="n">
        <f aca="false">IF($E341="",0,$D341*$E341*(1-$G341-$H341-$I341))</f>
        <v>0</v>
      </c>
      <c r="M341" s="23" t="n">
        <f aca="false">IF($E341="",0,$D341*$E341-($F341*$E341+$G341*$D341*$E341+$H341*$D341*$E341+$I341*$D341*$E341+$J341*$D341*$E341*(1-$G341)+$K341*$E341))</f>
        <v>0</v>
      </c>
      <c r="N341" s="23" t="str">
        <f aca="false">IF($B341="","",CONCATENATE("Örnek kalem: ",$B341))</f>
        <v/>
      </c>
    </row>
    <row r="342" customFormat="false" ht="15" hidden="false" customHeight="false" outlineLevel="0" collapsed="false">
      <c r="L342" s="23" t="n">
        <f aca="false">IF($E342="",0,$D342*$E342*(1-$G342-$H342-$I342))</f>
        <v>0</v>
      </c>
      <c r="M342" s="23" t="n">
        <f aca="false">IF($E342="",0,$D342*$E342-($F342*$E342+$G342*$D342*$E342+$H342*$D342*$E342+$I342*$D342*$E342+$J342*$D342*$E342*(1-$G342)+$K342*$E342))</f>
        <v>0</v>
      </c>
      <c r="N342" s="23" t="str">
        <f aca="false">IF($B342="","",CONCATENATE("Örnek kalem: ",$B342))</f>
        <v/>
      </c>
    </row>
    <row r="343" customFormat="false" ht="15" hidden="false" customHeight="false" outlineLevel="0" collapsed="false">
      <c r="L343" s="23" t="n">
        <f aca="false">IF($E343="",0,$D343*$E343*(1-$G343-$H343-$I343))</f>
        <v>0</v>
      </c>
      <c r="M343" s="23" t="n">
        <f aca="false">IF($E343="",0,$D343*$E343-($F343*$E343+$G343*$D343*$E343+$H343*$D343*$E343+$I343*$D343*$E343+$J343*$D343*$E343*(1-$G343)+$K343*$E343))</f>
        <v>0</v>
      </c>
      <c r="N343" s="23" t="str">
        <f aca="false">IF($B343="","",CONCATENATE("Örnek kalem: ",$B343))</f>
        <v/>
      </c>
    </row>
    <row r="344" customFormat="false" ht="15" hidden="false" customHeight="false" outlineLevel="0" collapsed="false">
      <c r="L344" s="23" t="n">
        <f aca="false">IF($E344="",0,$D344*$E344*(1-$G344-$H344-$I344))</f>
        <v>0</v>
      </c>
      <c r="M344" s="23" t="n">
        <f aca="false">IF($E344="",0,$D344*$E344-($F344*$E344+$G344*$D344*$E344+$H344*$D344*$E344+$I344*$D344*$E344+$J344*$D344*$E344*(1-$G344)+$K344*$E344))</f>
        <v>0</v>
      </c>
      <c r="N344" s="23" t="str">
        <f aca="false">IF($B344="","",CONCATENATE("Örnek kalem: ",$B344))</f>
        <v/>
      </c>
    </row>
    <row r="345" customFormat="false" ht="15" hidden="false" customHeight="false" outlineLevel="0" collapsed="false">
      <c r="L345" s="23" t="n">
        <f aca="false">IF($E345="",0,$D345*$E345*(1-$G345-$H345-$I345))</f>
        <v>0</v>
      </c>
      <c r="M345" s="23" t="n">
        <f aca="false">IF($E345="",0,$D345*$E345-($F345*$E345+$G345*$D345*$E345+$H345*$D345*$E345+$I345*$D345*$E345+$J345*$D345*$E345*(1-$G345)+$K345*$E345))</f>
        <v>0</v>
      </c>
      <c r="N345" s="23" t="str">
        <f aca="false">IF($B345="","",CONCATENATE("Örnek kalem: ",$B345))</f>
        <v/>
      </c>
    </row>
    <row r="346" customFormat="false" ht="15" hidden="false" customHeight="false" outlineLevel="0" collapsed="false">
      <c r="L346" s="23" t="n">
        <f aca="false">IF($E346="",0,$D346*$E346*(1-$G346-$H346-$I346))</f>
        <v>0</v>
      </c>
      <c r="M346" s="23" t="n">
        <f aca="false">IF($E346="",0,$D346*$E346-($F346*$E346+$G346*$D346*$E346+$H346*$D346*$E346+$I346*$D346*$E346+$J346*$D346*$E346*(1-$G346)+$K346*$E346))</f>
        <v>0</v>
      </c>
      <c r="N346" s="23" t="str">
        <f aca="false">IF($B346="","",CONCATENATE("Örnek kalem: ",$B346))</f>
        <v/>
      </c>
    </row>
    <row r="347" customFormat="false" ht="15" hidden="false" customHeight="false" outlineLevel="0" collapsed="false">
      <c r="L347" s="23" t="n">
        <f aca="false">IF($E347="",0,$D347*$E347*(1-$G347-$H347-$I347))</f>
        <v>0</v>
      </c>
      <c r="M347" s="23" t="n">
        <f aca="false">IF($E347="",0,$D347*$E347-($F347*$E347+$G347*$D347*$E347+$H347*$D347*$E347+$I347*$D347*$E347+$J347*$D347*$E347*(1-$G347)+$K347*$E347))</f>
        <v>0</v>
      </c>
      <c r="N347" s="23" t="str">
        <f aca="false">IF($B347="","",CONCATENATE("Örnek kalem: ",$B347))</f>
        <v/>
      </c>
    </row>
    <row r="348" customFormat="false" ht="15" hidden="false" customHeight="false" outlineLevel="0" collapsed="false">
      <c r="L348" s="23" t="n">
        <f aca="false">IF($E348="",0,$D348*$E348*(1-$G348-$H348-$I348))</f>
        <v>0</v>
      </c>
      <c r="M348" s="23" t="n">
        <f aca="false">IF($E348="",0,$D348*$E348-($F348*$E348+$G348*$D348*$E348+$H348*$D348*$E348+$I348*$D348*$E348+$J348*$D348*$E348*(1-$G348)+$K348*$E348))</f>
        <v>0</v>
      </c>
      <c r="N348" s="23" t="str">
        <f aca="false">IF($B348="","",CONCATENATE("Örnek kalem: ",$B348))</f>
        <v/>
      </c>
    </row>
    <row r="349" customFormat="false" ht="15" hidden="false" customHeight="false" outlineLevel="0" collapsed="false">
      <c r="L349" s="23" t="n">
        <f aca="false">IF($E349="",0,$D349*$E349*(1-$G349-$H349-$I349))</f>
        <v>0</v>
      </c>
      <c r="M349" s="23" t="n">
        <f aca="false">IF($E349="",0,$D349*$E349-($F349*$E349+$G349*$D349*$E349+$H349*$D349*$E349+$I349*$D349*$E349+$J349*$D349*$E349*(1-$G349)+$K349*$E349))</f>
        <v>0</v>
      </c>
      <c r="N349" s="23" t="str">
        <f aca="false">IF($B349="","",CONCATENATE("Örnek kalem: ",$B349))</f>
        <v/>
      </c>
    </row>
    <row r="350" customFormat="false" ht="15" hidden="false" customHeight="false" outlineLevel="0" collapsed="false">
      <c r="L350" s="23" t="n">
        <f aca="false">IF($E350="",0,$D350*$E350*(1-$G350-$H350-$I350))</f>
        <v>0</v>
      </c>
      <c r="M350" s="23" t="n">
        <f aca="false">IF($E350="",0,$D350*$E350-($F350*$E350+$G350*$D350*$E350+$H350*$D350*$E350+$I350*$D350*$E350+$J350*$D350*$E350*(1-$G350)+$K350*$E350))</f>
        <v>0</v>
      </c>
      <c r="N350" s="23" t="str">
        <f aca="false">IF($B350="","",CONCATENATE("Örnek kalem: ",$B350))</f>
        <v/>
      </c>
    </row>
    <row r="351" customFormat="false" ht="15" hidden="false" customHeight="false" outlineLevel="0" collapsed="false">
      <c r="L351" s="23" t="n">
        <f aca="false">IF($E351="",0,$D351*$E351*(1-$G351-$H351-$I351))</f>
        <v>0</v>
      </c>
      <c r="M351" s="23" t="n">
        <f aca="false">IF($E351="",0,$D351*$E351-($F351*$E351+$G351*$D351*$E351+$H351*$D351*$E351+$I351*$D351*$E351+$J351*$D351*$E351*(1-$G351)+$K351*$E351))</f>
        <v>0</v>
      </c>
      <c r="N351" s="23" t="str">
        <f aca="false">IF($B351="","",CONCATENATE("Örnek kalem: ",$B351))</f>
        <v/>
      </c>
    </row>
    <row r="352" customFormat="false" ht="15" hidden="false" customHeight="false" outlineLevel="0" collapsed="false">
      <c r="L352" s="23" t="n">
        <f aca="false">IF($E352="",0,$D352*$E352*(1-$G352-$H352-$I352))</f>
        <v>0</v>
      </c>
      <c r="M352" s="23" t="n">
        <f aca="false">IF($E352="",0,$D352*$E352-($F352*$E352+$G352*$D352*$E352+$H352*$D352*$E352+$I352*$D352*$E352+$J352*$D352*$E352*(1-$G352)+$K352*$E352))</f>
        <v>0</v>
      </c>
      <c r="N352" s="23" t="str">
        <f aca="false">IF($B352="","",CONCATENATE("Örnek kalem: ",$B352))</f>
        <v/>
      </c>
    </row>
    <row r="353" customFormat="false" ht="15" hidden="false" customHeight="false" outlineLevel="0" collapsed="false">
      <c r="L353" s="23" t="n">
        <f aca="false">IF($E353="",0,$D353*$E353*(1-$G353-$H353-$I353))</f>
        <v>0</v>
      </c>
      <c r="M353" s="23" t="n">
        <f aca="false">IF($E353="",0,$D353*$E353-($F353*$E353+$G353*$D353*$E353+$H353*$D353*$E353+$I353*$D353*$E353+$J353*$D353*$E353*(1-$G353)+$K353*$E353))</f>
        <v>0</v>
      </c>
      <c r="N353" s="23" t="str">
        <f aca="false">IF($B353="","",CONCATENATE("Örnek kalem: ",$B353))</f>
        <v/>
      </c>
    </row>
    <row r="354" customFormat="false" ht="15" hidden="false" customHeight="false" outlineLevel="0" collapsed="false">
      <c r="L354" s="23" t="n">
        <f aca="false">IF($E354="",0,$D354*$E354*(1-$G354-$H354-$I354))</f>
        <v>0</v>
      </c>
      <c r="M354" s="23" t="n">
        <f aca="false">IF($E354="",0,$D354*$E354-($F354*$E354+$G354*$D354*$E354+$H354*$D354*$E354+$I354*$D354*$E354+$J354*$D354*$E354*(1-$G354)+$K354*$E354))</f>
        <v>0</v>
      </c>
      <c r="N354" s="23" t="str">
        <f aca="false">IF($B354="","",CONCATENATE("Örnek kalem: ",$B354))</f>
        <v/>
      </c>
    </row>
    <row r="355" customFormat="false" ht="15" hidden="false" customHeight="false" outlineLevel="0" collapsed="false">
      <c r="L355" s="23" t="n">
        <f aca="false">IF($E355="",0,$D355*$E355*(1-$G355-$H355-$I355))</f>
        <v>0</v>
      </c>
      <c r="M355" s="23" t="n">
        <f aca="false">IF($E355="",0,$D355*$E355-($F355*$E355+$G355*$D355*$E355+$H355*$D355*$E355+$I355*$D355*$E355+$J355*$D355*$E355*(1-$G355)+$K355*$E355))</f>
        <v>0</v>
      </c>
      <c r="N355" s="23" t="str">
        <f aca="false">IF($B355="","",CONCATENATE("Örnek kalem: ",$B355))</f>
        <v/>
      </c>
    </row>
    <row r="356" customFormat="false" ht="15" hidden="false" customHeight="false" outlineLevel="0" collapsed="false">
      <c r="L356" s="23" t="n">
        <f aca="false">IF($E356="",0,$D356*$E356*(1-$G356-$H356-$I356))</f>
        <v>0</v>
      </c>
      <c r="M356" s="23" t="n">
        <f aca="false">IF($E356="",0,$D356*$E356-($F356*$E356+$G356*$D356*$E356+$H356*$D356*$E356+$I356*$D356*$E356+$J356*$D356*$E356*(1-$G356)+$K356*$E356))</f>
        <v>0</v>
      </c>
      <c r="N356" s="23" t="str">
        <f aca="false">IF($B356="","",CONCATENATE("Örnek kalem: ",$B356))</f>
        <v/>
      </c>
    </row>
    <row r="357" customFormat="false" ht="15" hidden="false" customHeight="false" outlineLevel="0" collapsed="false">
      <c r="L357" s="23" t="n">
        <f aca="false">IF($E357="",0,$D357*$E357*(1-$G357-$H357-$I357))</f>
        <v>0</v>
      </c>
      <c r="M357" s="23" t="n">
        <f aca="false">IF($E357="",0,$D357*$E357-($F357*$E357+$G357*$D357*$E357+$H357*$D357*$E357+$I357*$D357*$E357+$J357*$D357*$E357*(1-$G357)+$K357*$E357))</f>
        <v>0</v>
      </c>
      <c r="N357" s="23" t="str">
        <f aca="false">IF($B357="","",CONCATENATE("Örnek kalem: ",$B357))</f>
        <v/>
      </c>
    </row>
    <row r="358" customFormat="false" ht="15" hidden="false" customHeight="false" outlineLevel="0" collapsed="false">
      <c r="L358" s="23" t="n">
        <f aca="false">IF($E358="",0,$D358*$E358*(1-$G358-$H358-$I358))</f>
        <v>0</v>
      </c>
      <c r="M358" s="23" t="n">
        <f aca="false">IF($E358="",0,$D358*$E358-($F358*$E358+$G358*$D358*$E358+$H358*$D358*$E358+$I358*$D358*$E358+$J358*$D358*$E358*(1-$G358)+$K358*$E358))</f>
        <v>0</v>
      </c>
      <c r="N358" s="23" t="str">
        <f aca="false">IF($B358="","",CONCATENATE("Örnek kalem: ",$B358))</f>
        <v/>
      </c>
    </row>
    <row r="359" customFormat="false" ht="15" hidden="false" customHeight="false" outlineLevel="0" collapsed="false">
      <c r="L359" s="23" t="n">
        <f aca="false">IF($E359="",0,$D359*$E359*(1-$G359-$H359-$I359))</f>
        <v>0</v>
      </c>
      <c r="M359" s="23" t="n">
        <f aca="false">IF($E359="",0,$D359*$E359-($F359*$E359+$G359*$D359*$E359+$H359*$D359*$E359+$I359*$D359*$E359+$J359*$D359*$E359*(1-$G359)+$K359*$E359))</f>
        <v>0</v>
      </c>
      <c r="N359" s="23" t="str">
        <f aca="false">IF($B359="","",CONCATENATE("Örnek kalem: ",$B359))</f>
        <v/>
      </c>
    </row>
    <row r="360" customFormat="false" ht="15" hidden="false" customHeight="false" outlineLevel="0" collapsed="false">
      <c r="L360" s="23" t="n">
        <f aca="false">IF($E360="",0,$D360*$E360*(1-$G360-$H360-$I360))</f>
        <v>0</v>
      </c>
      <c r="M360" s="23" t="n">
        <f aca="false">IF($E360="",0,$D360*$E360-($F360*$E360+$G360*$D360*$E360+$H360*$D360*$E360+$I360*$D360*$E360+$J360*$D360*$E360*(1-$G360)+$K360*$E360))</f>
        <v>0</v>
      </c>
      <c r="N360" s="23" t="str">
        <f aca="false">IF($B360="","",CONCATENATE("Örnek kalem: ",$B360))</f>
        <v/>
      </c>
    </row>
    <row r="361" customFormat="false" ht="15" hidden="false" customHeight="false" outlineLevel="0" collapsed="false">
      <c r="L361" s="23" t="n">
        <f aca="false">IF($E361="",0,$D361*$E361*(1-$G361-$H361-$I361))</f>
        <v>0</v>
      </c>
      <c r="M361" s="23" t="n">
        <f aca="false">IF($E361="",0,$D361*$E361-($F361*$E361+$G361*$D361*$E361+$H361*$D361*$E361+$I361*$D361*$E361+$J361*$D361*$E361*(1-$G361)+$K361*$E361))</f>
        <v>0</v>
      </c>
      <c r="N361" s="23" t="str">
        <f aca="false">IF($B361="","",CONCATENATE("Örnek kalem: ",$B361))</f>
        <v/>
      </c>
    </row>
    <row r="362" customFormat="false" ht="15" hidden="false" customHeight="false" outlineLevel="0" collapsed="false">
      <c r="L362" s="23" t="n">
        <f aca="false">IF($E362="",0,$D362*$E362*(1-$G362-$H362-$I362))</f>
        <v>0</v>
      </c>
      <c r="M362" s="23" t="n">
        <f aca="false">IF($E362="",0,$D362*$E362-($F362*$E362+$G362*$D362*$E362+$H362*$D362*$E362+$I362*$D362*$E362+$J362*$D362*$E362*(1-$G362)+$K362*$E362))</f>
        <v>0</v>
      </c>
      <c r="N362" s="23" t="str">
        <f aca="false">IF($B362="","",CONCATENATE("Örnek kalem: ",$B362))</f>
        <v/>
      </c>
    </row>
    <row r="363" customFormat="false" ht="15" hidden="false" customHeight="false" outlineLevel="0" collapsed="false">
      <c r="L363" s="23" t="n">
        <f aca="false">IF($E363="",0,$D363*$E363*(1-$G363-$H363-$I363))</f>
        <v>0</v>
      </c>
      <c r="M363" s="23" t="n">
        <f aca="false">IF($E363="",0,$D363*$E363-($F363*$E363+$G363*$D363*$E363+$H363*$D363*$E363+$I363*$D363*$E363+$J363*$D363*$E363*(1-$G363)+$K363*$E363))</f>
        <v>0</v>
      </c>
      <c r="N363" s="23" t="str">
        <f aca="false">IF($B363="","",CONCATENATE("Örnek kalem: ",$B363))</f>
        <v/>
      </c>
    </row>
    <row r="364" customFormat="false" ht="15" hidden="false" customHeight="false" outlineLevel="0" collapsed="false">
      <c r="L364" s="23" t="n">
        <f aca="false">IF($E364="",0,$D364*$E364*(1-$G364-$H364-$I364))</f>
        <v>0</v>
      </c>
      <c r="M364" s="23" t="n">
        <f aca="false">IF($E364="",0,$D364*$E364-($F364*$E364+$G364*$D364*$E364+$H364*$D364*$E364+$I364*$D364*$E364+$J364*$D364*$E364*(1-$G364)+$K364*$E364))</f>
        <v>0</v>
      </c>
      <c r="N364" s="23" t="str">
        <f aca="false">IF($B364="","",CONCATENATE("Örnek kalem: ",$B364))</f>
        <v/>
      </c>
    </row>
    <row r="365" customFormat="false" ht="15" hidden="false" customHeight="false" outlineLevel="0" collapsed="false">
      <c r="L365" s="23" t="n">
        <f aca="false">IF($E365="",0,$D365*$E365*(1-$G365-$H365-$I365))</f>
        <v>0</v>
      </c>
      <c r="M365" s="23" t="n">
        <f aca="false">IF($E365="",0,$D365*$E365-($F365*$E365+$G365*$D365*$E365+$H365*$D365*$E365+$I365*$D365*$E365+$J365*$D365*$E365*(1-$G365)+$K365*$E365))</f>
        <v>0</v>
      </c>
      <c r="N365" s="23" t="str">
        <f aca="false">IF($B365="","",CONCATENATE("Örnek kalem: ",$B365))</f>
        <v/>
      </c>
    </row>
    <row r="366" customFormat="false" ht="15" hidden="false" customHeight="false" outlineLevel="0" collapsed="false">
      <c r="L366" s="23" t="n">
        <f aca="false">IF($E366="",0,$D366*$E366*(1-$G366-$H366-$I366))</f>
        <v>0</v>
      </c>
      <c r="M366" s="23" t="n">
        <f aca="false">IF($E366="",0,$D366*$E366-($F366*$E366+$G366*$D366*$E366+$H366*$D366*$E366+$I366*$D366*$E366+$J366*$D366*$E366*(1-$G366)+$K366*$E366))</f>
        <v>0</v>
      </c>
      <c r="N366" s="23" t="str">
        <f aca="false">IF($B366="","",CONCATENATE("Örnek kalem: ",$B366))</f>
        <v/>
      </c>
    </row>
    <row r="367" customFormat="false" ht="15" hidden="false" customHeight="false" outlineLevel="0" collapsed="false">
      <c r="L367" s="23" t="n">
        <f aca="false">IF($E367="",0,$D367*$E367*(1-$G367-$H367-$I367))</f>
        <v>0</v>
      </c>
      <c r="M367" s="23" t="n">
        <f aca="false">IF($E367="",0,$D367*$E367-($F367*$E367+$G367*$D367*$E367+$H367*$D367*$E367+$I367*$D367*$E367+$J367*$D367*$E367*(1-$G367)+$K367*$E367))</f>
        <v>0</v>
      </c>
      <c r="N367" s="23" t="str">
        <f aca="false">IF($B367="","",CONCATENATE("Örnek kalem: ",$B367))</f>
        <v/>
      </c>
    </row>
    <row r="368" customFormat="false" ht="15" hidden="false" customHeight="false" outlineLevel="0" collapsed="false">
      <c r="L368" s="23" t="n">
        <f aca="false">IF($E368="",0,$D368*$E368*(1-$G368-$H368-$I368))</f>
        <v>0</v>
      </c>
      <c r="M368" s="23" t="n">
        <f aca="false">IF($E368="",0,$D368*$E368-($F368*$E368+$G368*$D368*$E368+$H368*$D368*$E368+$I368*$D368*$E368+$J368*$D368*$E368*(1-$G368)+$K368*$E368))</f>
        <v>0</v>
      </c>
      <c r="N368" s="23" t="str">
        <f aca="false">IF($B368="","",CONCATENATE("Örnek kalem: ",$B368))</f>
        <v/>
      </c>
    </row>
    <row r="369" customFormat="false" ht="15" hidden="false" customHeight="false" outlineLevel="0" collapsed="false">
      <c r="L369" s="23" t="n">
        <f aca="false">IF($E369="",0,$D369*$E369*(1-$G369-$H369-$I369))</f>
        <v>0</v>
      </c>
      <c r="M369" s="23" t="n">
        <f aca="false">IF($E369="",0,$D369*$E369-($F369*$E369+$G369*$D369*$E369+$H369*$D369*$E369+$I369*$D369*$E369+$J369*$D369*$E369*(1-$G369)+$K369*$E369))</f>
        <v>0</v>
      </c>
      <c r="N369" s="23" t="str">
        <f aca="false">IF($B369="","",CONCATENATE("Örnek kalem: ",$B369))</f>
        <v/>
      </c>
    </row>
    <row r="370" customFormat="false" ht="15" hidden="false" customHeight="false" outlineLevel="0" collapsed="false">
      <c r="L370" s="23" t="n">
        <f aca="false">IF($E370="",0,$D370*$E370*(1-$G370-$H370-$I370))</f>
        <v>0</v>
      </c>
      <c r="M370" s="23" t="n">
        <f aca="false">IF($E370="",0,$D370*$E370-($F370*$E370+$G370*$D370*$E370+$H370*$D370*$E370+$I370*$D370*$E370+$J370*$D370*$E370*(1-$G370)+$K370*$E370))</f>
        <v>0</v>
      </c>
      <c r="N370" s="23" t="str">
        <f aca="false">IF($B370="","",CONCATENATE("Örnek kalem: ",$B370))</f>
        <v/>
      </c>
    </row>
    <row r="371" customFormat="false" ht="15" hidden="false" customHeight="false" outlineLevel="0" collapsed="false">
      <c r="L371" s="23" t="n">
        <f aca="false">IF($E371="",0,$D371*$E371*(1-$G371-$H371-$I371))</f>
        <v>0</v>
      </c>
      <c r="M371" s="23" t="n">
        <f aca="false">IF($E371="",0,$D371*$E371-($F371*$E371+$G371*$D371*$E371+$H371*$D371*$E371+$I371*$D371*$E371+$J371*$D371*$E371*(1-$G371)+$K371*$E371))</f>
        <v>0</v>
      </c>
      <c r="N371" s="23" t="str">
        <f aca="false">IF($B371="","",CONCATENATE("Örnek kalem: ",$B371))</f>
        <v/>
      </c>
    </row>
    <row r="372" customFormat="false" ht="15" hidden="false" customHeight="false" outlineLevel="0" collapsed="false">
      <c r="L372" s="23" t="n">
        <f aca="false">IF($E372="",0,$D372*$E372*(1-$G372-$H372-$I372))</f>
        <v>0</v>
      </c>
      <c r="M372" s="23" t="n">
        <f aca="false">IF($E372="",0,$D372*$E372-($F372*$E372+$G372*$D372*$E372+$H372*$D372*$E372+$I372*$D372*$E372+$J372*$D372*$E372*(1-$G372)+$K372*$E372))</f>
        <v>0</v>
      </c>
      <c r="N372" s="23" t="str">
        <f aca="false">IF($B372="","",CONCATENATE("Örnek kalem: ",$B372))</f>
        <v/>
      </c>
    </row>
    <row r="373" customFormat="false" ht="15" hidden="false" customHeight="false" outlineLevel="0" collapsed="false">
      <c r="L373" s="23" t="n">
        <f aca="false">IF($E373="",0,$D373*$E373*(1-$G373-$H373-$I373))</f>
        <v>0</v>
      </c>
      <c r="M373" s="23" t="n">
        <f aca="false">IF($E373="",0,$D373*$E373-($F373*$E373+$G373*$D373*$E373+$H373*$D373*$E373+$I373*$D373*$E373+$J373*$D373*$E373*(1-$G373)+$K373*$E373))</f>
        <v>0</v>
      </c>
      <c r="N373" s="23" t="str">
        <f aca="false">IF($B373="","",CONCATENATE("Örnek kalem: ",$B373))</f>
        <v/>
      </c>
    </row>
    <row r="374" customFormat="false" ht="15" hidden="false" customHeight="false" outlineLevel="0" collapsed="false">
      <c r="L374" s="23" t="n">
        <f aca="false">IF($E374="",0,$D374*$E374*(1-$G374-$H374-$I374))</f>
        <v>0</v>
      </c>
      <c r="M374" s="23" t="n">
        <f aca="false">IF($E374="",0,$D374*$E374-($F374*$E374+$G374*$D374*$E374+$H374*$D374*$E374+$I374*$D374*$E374+$J374*$D374*$E374*(1-$G374)+$K374*$E374))</f>
        <v>0</v>
      </c>
      <c r="N374" s="23" t="str">
        <f aca="false">IF($B374="","",CONCATENATE("Örnek kalem: ",$B374))</f>
        <v/>
      </c>
    </row>
    <row r="375" customFormat="false" ht="15" hidden="false" customHeight="false" outlineLevel="0" collapsed="false">
      <c r="L375" s="23" t="n">
        <f aca="false">IF($E375="",0,$D375*$E375*(1-$G375-$H375-$I375))</f>
        <v>0</v>
      </c>
      <c r="M375" s="23" t="n">
        <f aca="false">IF($E375="",0,$D375*$E375-($F375*$E375+$G375*$D375*$E375+$H375*$D375*$E375+$I375*$D375*$E375+$J375*$D375*$E375*(1-$G375)+$K375*$E375))</f>
        <v>0</v>
      </c>
      <c r="N375" s="23" t="str">
        <f aca="false">IF($B375="","",CONCATENATE("Örnek kalem: ",$B375))</f>
        <v/>
      </c>
    </row>
    <row r="376" customFormat="false" ht="15" hidden="false" customHeight="false" outlineLevel="0" collapsed="false">
      <c r="L376" s="23" t="n">
        <f aca="false">IF($E376="",0,$D376*$E376*(1-$G376-$H376-$I376))</f>
        <v>0</v>
      </c>
      <c r="M376" s="23" t="n">
        <f aca="false">IF($E376="",0,$D376*$E376-($F376*$E376+$G376*$D376*$E376+$H376*$D376*$E376+$I376*$D376*$E376+$J376*$D376*$E376*(1-$G376)+$K376*$E376))</f>
        <v>0</v>
      </c>
      <c r="N376" s="23" t="str">
        <f aca="false">IF($B376="","",CONCATENATE("Örnek kalem: ",$B376))</f>
        <v/>
      </c>
    </row>
    <row r="377" customFormat="false" ht="15" hidden="false" customHeight="false" outlineLevel="0" collapsed="false">
      <c r="L377" s="23" t="n">
        <f aca="false">IF($E377="",0,$D377*$E377*(1-$G377-$H377-$I377))</f>
        <v>0</v>
      </c>
      <c r="M377" s="23" t="n">
        <f aca="false">IF($E377="",0,$D377*$E377-($F377*$E377+$G377*$D377*$E377+$H377*$D377*$E377+$I377*$D377*$E377+$J377*$D377*$E377*(1-$G377)+$K377*$E377))</f>
        <v>0</v>
      </c>
      <c r="N377" s="23" t="str">
        <f aca="false">IF($B377="","",CONCATENATE("Örnek kalem: ",$B377))</f>
        <v/>
      </c>
    </row>
    <row r="378" customFormat="false" ht="15" hidden="false" customHeight="false" outlineLevel="0" collapsed="false">
      <c r="L378" s="23" t="n">
        <f aca="false">IF($E378="",0,$D378*$E378*(1-$G378-$H378-$I378))</f>
        <v>0</v>
      </c>
      <c r="M378" s="23" t="n">
        <f aca="false">IF($E378="",0,$D378*$E378-($F378*$E378+$G378*$D378*$E378+$H378*$D378*$E378+$I378*$D378*$E378+$J378*$D378*$E378*(1-$G378)+$K378*$E378))</f>
        <v>0</v>
      </c>
      <c r="N378" s="23" t="str">
        <f aca="false">IF($B378="","",CONCATENATE("Örnek kalem: ",$B378))</f>
        <v/>
      </c>
    </row>
    <row r="379" customFormat="false" ht="15" hidden="false" customHeight="false" outlineLevel="0" collapsed="false">
      <c r="L379" s="23" t="n">
        <f aca="false">IF($E379="",0,$D379*$E379*(1-$G379-$H379-$I379))</f>
        <v>0</v>
      </c>
      <c r="M379" s="23" t="n">
        <f aca="false">IF($E379="",0,$D379*$E379-($F379*$E379+$G379*$D379*$E379+$H379*$D379*$E379+$I379*$D379*$E379+$J379*$D379*$E379*(1-$G379)+$K379*$E379))</f>
        <v>0</v>
      </c>
      <c r="N379" s="23" t="str">
        <f aca="false">IF($B379="","",CONCATENATE("Örnek kalem: ",$B379))</f>
        <v/>
      </c>
    </row>
    <row r="380" customFormat="false" ht="15" hidden="false" customHeight="false" outlineLevel="0" collapsed="false">
      <c r="L380" s="23" t="n">
        <f aca="false">IF($E380="",0,$D380*$E380*(1-$G380-$H380-$I380))</f>
        <v>0</v>
      </c>
      <c r="M380" s="23" t="n">
        <f aca="false">IF($E380="",0,$D380*$E380-($F380*$E380+$G380*$D380*$E380+$H380*$D380*$E380+$I380*$D380*$E380+$J380*$D380*$E380*(1-$G380)+$K380*$E380))</f>
        <v>0</v>
      </c>
      <c r="N380" s="23" t="str">
        <f aca="false">IF($B380="","",CONCATENATE("Örnek kalem: ",$B380))</f>
        <v/>
      </c>
    </row>
    <row r="381" customFormat="false" ht="15" hidden="false" customHeight="false" outlineLevel="0" collapsed="false">
      <c r="L381" s="23" t="n">
        <f aca="false">IF($E381="",0,$D381*$E381*(1-$G381-$H381-$I381))</f>
        <v>0</v>
      </c>
      <c r="M381" s="23" t="n">
        <f aca="false">IF($E381="",0,$D381*$E381-($F381*$E381+$G381*$D381*$E381+$H381*$D381*$E381+$I381*$D381*$E381+$J381*$D381*$E381*(1-$G381)+$K381*$E381))</f>
        <v>0</v>
      </c>
      <c r="N381" s="23" t="str">
        <f aca="false">IF($B381="","",CONCATENATE("Örnek kalem: ",$B381))</f>
        <v/>
      </c>
    </row>
    <row r="382" customFormat="false" ht="15" hidden="false" customHeight="false" outlineLevel="0" collapsed="false">
      <c r="L382" s="23" t="n">
        <f aca="false">IF($E382="",0,$D382*$E382*(1-$G382-$H382-$I382))</f>
        <v>0</v>
      </c>
      <c r="M382" s="23" t="n">
        <f aca="false">IF($E382="",0,$D382*$E382-($F382*$E382+$G382*$D382*$E382+$H382*$D382*$E382+$I382*$D382*$E382+$J382*$D382*$E382*(1-$G382)+$K382*$E382))</f>
        <v>0</v>
      </c>
      <c r="N382" s="23" t="str">
        <f aca="false">IF($B382="","",CONCATENATE("Örnek kalem: ",$B382))</f>
        <v/>
      </c>
    </row>
    <row r="383" customFormat="false" ht="15" hidden="false" customHeight="false" outlineLevel="0" collapsed="false">
      <c r="L383" s="23" t="n">
        <f aca="false">IF($E383="",0,$D383*$E383*(1-$G383-$H383-$I383))</f>
        <v>0</v>
      </c>
      <c r="M383" s="23" t="n">
        <f aca="false">IF($E383="",0,$D383*$E383-($F383*$E383+$G383*$D383*$E383+$H383*$D383*$E383+$I383*$D383*$E383+$J383*$D383*$E383*(1-$G383)+$K383*$E383))</f>
        <v>0</v>
      </c>
      <c r="N383" s="23" t="str">
        <f aca="false">IF($B383="","",CONCATENATE("Örnek kalem: ",$B383))</f>
        <v/>
      </c>
    </row>
    <row r="384" customFormat="false" ht="15" hidden="false" customHeight="false" outlineLevel="0" collapsed="false">
      <c r="L384" s="23" t="n">
        <f aca="false">IF($E384="",0,$D384*$E384*(1-$G384-$H384-$I384))</f>
        <v>0</v>
      </c>
      <c r="M384" s="23" t="n">
        <f aca="false">IF($E384="",0,$D384*$E384-($F384*$E384+$G384*$D384*$E384+$H384*$D384*$E384+$I384*$D384*$E384+$J384*$D384*$E384*(1-$G384)+$K384*$E384))</f>
        <v>0</v>
      </c>
      <c r="N384" s="23" t="str">
        <f aca="false">IF($B384="","",CONCATENATE("Örnek kalem: ",$B384))</f>
        <v/>
      </c>
    </row>
    <row r="385" customFormat="false" ht="15" hidden="false" customHeight="false" outlineLevel="0" collapsed="false">
      <c r="L385" s="23" t="n">
        <f aca="false">IF($E385="",0,$D385*$E385*(1-$G385-$H385-$I385))</f>
        <v>0</v>
      </c>
      <c r="M385" s="23" t="n">
        <f aca="false">IF($E385="",0,$D385*$E385-($F385*$E385+$G385*$D385*$E385+$H385*$D385*$E385+$I385*$D385*$E385+$J385*$D385*$E385*(1-$G385)+$K385*$E385))</f>
        <v>0</v>
      </c>
      <c r="N385" s="23" t="str">
        <f aca="false">IF($B385="","",CONCATENATE("Örnek kalem: ",$B385))</f>
        <v/>
      </c>
    </row>
    <row r="386" customFormat="false" ht="15" hidden="false" customHeight="false" outlineLevel="0" collapsed="false">
      <c r="L386" s="23" t="n">
        <f aca="false">IF($E386="",0,$D386*$E386*(1-$G386-$H386-$I386))</f>
        <v>0</v>
      </c>
      <c r="M386" s="23" t="n">
        <f aca="false">IF($E386="",0,$D386*$E386-($F386*$E386+$G386*$D386*$E386+$H386*$D386*$E386+$I386*$D386*$E386+$J386*$D386*$E386*(1-$G386)+$K386*$E386))</f>
        <v>0</v>
      </c>
      <c r="N386" s="23" t="str">
        <f aca="false">IF($B386="","",CONCATENATE("Örnek kalem: ",$B386))</f>
        <v/>
      </c>
    </row>
    <row r="387" customFormat="false" ht="15" hidden="false" customHeight="false" outlineLevel="0" collapsed="false">
      <c r="L387" s="23" t="n">
        <f aca="false">IF($E387="",0,$D387*$E387*(1-$G387-$H387-$I387))</f>
        <v>0</v>
      </c>
      <c r="M387" s="23" t="n">
        <f aca="false">IF($E387="",0,$D387*$E387-($F387*$E387+$G387*$D387*$E387+$H387*$D387*$E387+$I387*$D387*$E387+$J387*$D387*$E387*(1-$G387)+$K387*$E387))</f>
        <v>0</v>
      </c>
      <c r="N387" s="23" t="str">
        <f aca="false">IF($B387="","",CONCATENATE("Örnek kalem: ",$B387))</f>
        <v/>
      </c>
    </row>
    <row r="388" customFormat="false" ht="15" hidden="false" customHeight="false" outlineLevel="0" collapsed="false">
      <c r="L388" s="23" t="n">
        <f aca="false">IF($E388="",0,$D388*$E388*(1-$G388-$H388-$I388))</f>
        <v>0</v>
      </c>
      <c r="M388" s="23" t="n">
        <f aca="false">IF($E388="",0,$D388*$E388-($F388*$E388+$G388*$D388*$E388+$H388*$D388*$E388+$I388*$D388*$E388+$J388*$D388*$E388*(1-$G388)+$K388*$E388))</f>
        <v>0</v>
      </c>
      <c r="N388" s="23" t="str">
        <f aca="false">IF($B388="","",CONCATENATE("Örnek kalem: ",$B388))</f>
        <v/>
      </c>
    </row>
    <row r="389" customFormat="false" ht="15" hidden="false" customHeight="false" outlineLevel="0" collapsed="false">
      <c r="L389" s="23" t="n">
        <f aca="false">IF($E389="",0,$D389*$E389*(1-$G389-$H389-$I389))</f>
        <v>0</v>
      </c>
      <c r="M389" s="23" t="n">
        <f aca="false">IF($E389="",0,$D389*$E389-($F389*$E389+$G389*$D389*$E389+$H389*$D389*$E389+$I389*$D389*$E389+$J389*$D389*$E389*(1-$G389)+$K389*$E389))</f>
        <v>0</v>
      </c>
      <c r="N389" s="23" t="str">
        <f aca="false">IF($B389="","",CONCATENATE("Örnek kalem: ",$B389))</f>
        <v/>
      </c>
    </row>
    <row r="390" customFormat="false" ht="15" hidden="false" customHeight="false" outlineLevel="0" collapsed="false">
      <c r="L390" s="23" t="n">
        <f aca="false">IF($E390="",0,$D390*$E390*(1-$G390-$H390-$I390))</f>
        <v>0</v>
      </c>
      <c r="M390" s="23" t="n">
        <f aca="false">IF($E390="",0,$D390*$E390-($F390*$E390+$G390*$D390*$E390+$H390*$D390*$E390+$I390*$D390*$E390+$J390*$D390*$E390*(1-$G390)+$K390*$E390))</f>
        <v>0</v>
      </c>
      <c r="N390" s="23" t="str">
        <f aca="false">IF($B390="","",CONCATENATE("Örnek kalem: ",$B390))</f>
        <v/>
      </c>
    </row>
    <row r="391" customFormat="false" ht="15" hidden="false" customHeight="false" outlineLevel="0" collapsed="false">
      <c r="L391" s="23" t="n">
        <f aca="false">IF($E391="",0,$D391*$E391*(1-$G391-$H391-$I391))</f>
        <v>0</v>
      </c>
      <c r="M391" s="23" t="n">
        <f aca="false">IF($E391="",0,$D391*$E391-($F391*$E391+$G391*$D391*$E391+$H391*$D391*$E391+$I391*$D391*$E391+$J391*$D391*$E391*(1-$G391)+$K391*$E391))</f>
        <v>0</v>
      </c>
      <c r="N391" s="23" t="str">
        <f aca="false">IF($B391="","",CONCATENATE("Örnek kalem: ",$B391))</f>
        <v/>
      </c>
    </row>
    <row r="392" customFormat="false" ht="15" hidden="false" customHeight="false" outlineLevel="0" collapsed="false">
      <c r="L392" s="23" t="n">
        <f aca="false">IF($E392="",0,$D392*$E392*(1-$G392-$H392-$I392))</f>
        <v>0</v>
      </c>
      <c r="M392" s="23" t="n">
        <f aca="false">IF($E392="",0,$D392*$E392-($F392*$E392+$G392*$D392*$E392+$H392*$D392*$E392+$I392*$D392*$E392+$J392*$D392*$E392*(1-$G392)+$K392*$E392))</f>
        <v>0</v>
      </c>
      <c r="N392" s="23" t="str">
        <f aca="false">IF($B392="","",CONCATENATE("Örnek kalem: ",$B392))</f>
        <v/>
      </c>
    </row>
    <row r="393" customFormat="false" ht="15" hidden="false" customHeight="false" outlineLevel="0" collapsed="false">
      <c r="L393" s="23" t="n">
        <f aca="false">IF($E393="",0,$D393*$E393*(1-$G393-$H393-$I393))</f>
        <v>0</v>
      </c>
      <c r="M393" s="23" t="n">
        <f aca="false">IF($E393="",0,$D393*$E393-($F393*$E393+$G393*$D393*$E393+$H393*$D393*$E393+$I393*$D393*$E393+$J393*$D393*$E393*(1-$G393)+$K393*$E393))</f>
        <v>0</v>
      </c>
      <c r="N393" s="23" t="str">
        <f aca="false">IF($B393="","",CONCATENATE("Örnek kalem: ",$B393))</f>
        <v/>
      </c>
    </row>
    <row r="394" customFormat="false" ht="15" hidden="false" customHeight="false" outlineLevel="0" collapsed="false">
      <c r="L394" s="23" t="n">
        <f aca="false">IF($E394="",0,$D394*$E394*(1-$G394-$H394-$I394))</f>
        <v>0</v>
      </c>
      <c r="M394" s="23" t="n">
        <f aca="false">IF($E394="",0,$D394*$E394-($F394*$E394+$G394*$D394*$E394+$H394*$D394*$E394+$I394*$D394*$E394+$J394*$D394*$E394*(1-$G394)+$K394*$E394))</f>
        <v>0</v>
      </c>
      <c r="N394" s="23" t="str">
        <f aca="false">IF($B394="","",CONCATENATE("Örnek kalem: ",$B394))</f>
        <v/>
      </c>
    </row>
    <row r="395" customFormat="false" ht="15" hidden="false" customHeight="false" outlineLevel="0" collapsed="false">
      <c r="L395" s="23" t="n">
        <f aca="false">IF($E395="",0,$D395*$E395*(1-$G395-$H395-$I395))</f>
        <v>0</v>
      </c>
      <c r="M395" s="23" t="n">
        <f aca="false">IF($E395="",0,$D395*$E395-($F395*$E395+$G395*$D395*$E395+$H395*$D395*$E395+$I395*$D395*$E395+$J395*$D395*$E395*(1-$G395)+$K395*$E395))</f>
        <v>0</v>
      </c>
      <c r="N395" s="23" t="str">
        <f aca="false">IF($B395="","",CONCATENATE("Örnek kalem: ",$B395))</f>
        <v/>
      </c>
    </row>
    <row r="396" customFormat="false" ht="15" hidden="false" customHeight="false" outlineLevel="0" collapsed="false">
      <c r="L396" s="23" t="n">
        <f aca="false">IF($E396="",0,$D396*$E396*(1-$G396-$H396-$I396))</f>
        <v>0</v>
      </c>
      <c r="M396" s="23" t="n">
        <f aca="false">IF($E396="",0,$D396*$E396-($F396*$E396+$G396*$D396*$E396+$H396*$D396*$E396+$I396*$D396*$E396+$J396*$D396*$E396*(1-$G396)+$K396*$E396))</f>
        <v>0</v>
      </c>
      <c r="N396" s="23" t="str">
        <f aca="false">IF($B396="","",CONCATENATE("Örnek kalem: ",$B396))</f>
        <v/>
      </c>
    </row>
    <row r="397" customFormat="false" ht="15" hidden="false" customHeight="false" outlineLevel="0" collapsed="false">
      <c r="L397" s="23" t="n">
        <f aca="false">IF($E397="",0,$D397*$E397*(1-$G397-$H397-$I397))</f>
        <v>0</v>
      </c>
      <c r="M397" s="23" t="n">
        <f aca="false">IF($E397="",0,$D397*$E397-($F397*$E397+$G397*$D397*$E397+$H397*$D397*$E397+$I397*$D397*$E397+$J397*$D397*$E397*(1-$G397)+$K397*$E397))</f>
        <v>0</v>
      </c>
      <c r="N397" s="23" t="str">
        <f aca="false">IF($B397="","",CONCATENATE("Örnek kalem: ",$B397))</f>
        <v/>
      </c>
    </row>
    <row r="398" customFormat="false" ht="15" hidden="false" customHeight="false" outlineLevel="0" collapsed="false">
      <c r="L398" s="23" t="n">
        <f aca="false">IF($E398="",0,$D398*$E398*(1-$G398-$H398-$I398))</f>
        <v>0</v>
      </c>
      <c r="M398" s="23" t="n">
        <f aca="false">IF($E398="",0,$D398*$E398-($F398*$E398+$G398*$D398*$E398+$H398*$D398*$E398+$I398*$D398*$E398+$J398*$D398*$E398*(1-$G398)+$K398*$E398))</f>
        <v>0</v>
      </c>
      <c r="N398" s="23" t="str">
        <f aca="false">IF($B398="","",CONCATENATE("Örnek kalem: ",$B398))</f>
        <v/>
      </c>
    </row>
    <row r="399" customFormat="false" ht="15" hidden="false" customHeight="false" outlineLevel="0" collapsed="false">
      <c r="L399" s="23" t="n">
        <f aca="false">IF($E399="",0,$D399*$E399*(1-$G399-$H399-$I399))</f>
        <v>0</v>
      </c>
      <c r="M399" s="23" t="n">
        <f aca="false">IF($E399="",0,$D399*$E399-($F399*$E399+$G399*$D399*$E399+$H399*$D399*$E399+$I399*$D399*$E399+$J399*$D399*$E399*(1-$G399)+$K399*$E399))</f>
        <v>0</v>
      </c>
      <c r="N399" s="23" t="str">
        <f aca="false">IF($B399="","",CONCATENATE("Örnek kalem: ",$B399))</f>
        <v/>
      </c>
    </row>
    <row r="400" customFormat="false" ht="15" hidden="false" customHeight="false" outlineLevel="0" collapsed="false">
      <c r="L400" s="23" t="n">
        <f aca="false">IF($E400="",0,$D400*$E400*(1-$G400-$H400-$I400))</f>
        <v>0</v>
      </c>
      <c r="M400" s="23" t="n">
        <f aca="false">IF($E400="",0,$D400*$E400-($F400*$E400+$G400*$D400*$E400+$H400*$D400*$E400+$I400*$D400*$E400+$J400*$D400*$E400*(1-$G400)+$K400*$E400))</f>
        <v>0</v>
      </c>
      <c r="N400" s="23" t="str">
        <f aca="false">IF($B400="","",CONCATENATE("Örnek kalem: ",$B400))</f>
        <v/>
      </c>
    </row>
    <row r="401" customFormat="false" ht="15" hidden="false" customHeight="false" outlineLevel="0" collapsed="false">
      <c r="L401" s="23" t="n">
        <f aca="false">IF($E401="",0,$D401*$E401*(1-$G401-$H401-$I401))</f>
        <v>0</v>
      </c>
      <c r="M401" s="23" t="n">
        <f aca="false">IF($E401="",0,$D401*$E401-($F401*$E401+$G401*$D401*$E401+$H401*$D401*$E401+$I401*$D401*$E401+$J401*$D401*$E401*(1-$G401)+$K401*$E401))</f>
        <v>0</v>
      </c>
      <c r="N401" s="23" t="str">
        <f aca="false">IF($B401="","",CONCATENATE("Örnek kalem: ",$B401))</f>
        <v/>
      </c>
    </row>
    <row r="402" customFormat="false" ht="15" hidden="false" customHeight="false" outlineLevel="0" collapsed="false">
      <c r="L402" s="23" t="n">
        <f aca="false">IF($E402="",0,$D402*$E402*(1-$G402-$H402-$I402))</f>
        <v>0</v>
      </c>
      <c r="M402" s="23" t="n">
        <f aca="false">IF($E402="",0,$D402*$E402-($F402*$E402+$G402*$D402*$E402+$H402*$D402*$E402+$I402*$D402*$E402+$J402*$D402*$E402*(1-$G402)+$K402*$E402))</f>
        <v>0</v>
      </c>
      <c r="N402" s="23" t="str">
        <f aca="false">IF($B402="","",CONCATENATE("Örnek kalem: ",$B402))</f>
        <v/>
      </c>
    </row>
    <row r="403" customFormat="false" ht="15" hidden="false" customHeight="false" outlineLevel="0" collapsed="false">
      <c r="L403" s="23" t="n">
        <f aca="false">IF($E403="",0,$D403*$E403*(1-$G403-$H403-$I403))</f>
        <v>0</v>
      </c>
      <c r="M403" s="23" t="n">
        <f aca="false">IF($E403="",0,$D403*$E403-($F403*$E403+$G403*$D403*$E403+$H403*$D403*$E403+$I403*$D403*$E403+$J403*$D403*$E403*(1-$G403)+$K403*$E403))</f>
        <v>0</v>
      </c>
      <c r="N403" s="23" t="str">
        <f aca="false">IF($B403="","",CONCATENATE("Örnek kalem: ",$B403))</f>
        <v/>
      </c>
    </row>
    <row r="404" customFormat="false" ht="15" hidden="false" customHeight="false" outlineLevel="0" collapsed="false">
      <c r="L404" s="23" t="n">
        <f aca="false">IF($E404="",0,$D404*$E404*(1-$G404-$H404-$I404))</f>
        <v>0</v>
      </c>
      <c r="M404" s="23" t="n">
        <f aca="false">IF($E404="",0,$D404*$E404-($F404*$E404+$G404*$D404*$E404+$H404*$D404*$E404+$I404*$D404*$E404+$J404*$D404*$E404*(1-$G404)+$K404*$E404))</f>
        <v>0</v>
      </c>
      <c r="N404" s="23" t="str">
        <f aca="false">IF($B404="","",CONCATENATE("Örnek kalem: ",$B404))</f>
        <v/>
      </c>
    </row>
    <row r="405" customFormat="false" ht="15" hidden="false" customHeight="false" outlineLevel="0" collapsed="false">
      <c r="L405" s="23" t="n">
        <f aca="false">IF($E405="",0,$D405*$E405*(1-$G405-$H405-$I405))</f>
        <v>0</v>
      </c>
      <c r="M405" s="23" t="n">
        <f aca="false">IF($E405="",0,$D405*$E405-($F405*$E405+$G405*$D405*$E405+$H405*$D405*$E405+$I405*$D405*$E405+$J405*$D405*$E405*(1-$G405)+$K405*$E405))</f>
        <v>0</v>
      </c>
      <c r="N405" s="23" t="str">
        <f aca="false">IF($B405="","",CONCATENATE("Örnek kalem: ",$B405))</f>
        <v/>
      </c>
    </row>
    <row r="406" customFormat="false" ht="15" hidden="false" customHeight="false" outlineLevel="0" collapsed="false">
      <c r="L406" s="23" t="n">
        <f aca="false">IF($E406="",0,$D406*$E406*(1-$G406-$H406-$I406))</f>
        <v>0</v>
      </c>
      <c r="M406" s="23" t="n">
        <f aca="false">IF($E406="",0,$D406*$E406-($F406*$E406+$G406*$D406*$E406+$H406*$D406*$E406+$I406*$D406*$E406+$J406*$D406*$E406*(1-$G406)+$K406*$E406))</f>
        <v>0</v>
      </c>
      <c r="N406" s="23" t="str">
        <f aca="false">IF($B406="","",CONCATENATE("Örnek kalem: ",$B406))</f>
        <v/>
      </c>
    </row>
    <row r="407" customFormat="false" ht="15" hidden="false" customHeight="false" outlineLevel="0" collapsed="false">
      <c r="L407" s="23" t="n">
        <f aca="false">IF($E407="",0,$D407*$E407*(1-$G407-$H407-$I407))</f>
        <v>0</v>
      </c>
      <c r="M407" s="23" t="n">
        <f aca="false">IF($E407="",0,$D407*$E407-($F407*$E407+$G407*$D407*$E407+$H407*$D407*$E407+$I407*$D407*$E407+$J407*$D407*$E407*(1-$G407)+$K407*$E407))</f>
        <v>0</v>
      </c>
      <c r="N407" s="23" t="str">
        <f aca="false">IF($B407="","",CONCATENATE("Örnek kalem: ",$B407))</f>
        <v/>
      </c>
    </row>
    <row r="408" customFormat="false" ht="15" hidden="false" customHeight="false" outlineLevel="0" collapsed="false">
      <c r="L408" s="23" t="n">
        <f aca="false">IF($E408="",0,$D408*$E408*(1-$G408-$H408-$I408))</f>
        <v>0</v>
      </c>
      <c r="M408" s="23" t="n">
        <f aca="false">IF($E408="",0,$D408*$E408-($F408*$E408+$G408*$D408*$E408+$H408*$D408*$E408+$I408*$D408*$E408+$J408*$D408*$E408*(1-$G408)+$K408*$E408))</f>
        <v>0</v>
      </c>
      <c r="N408" s="23" t="str">
        <f aca="false">IF($B408="","",CONCATENATE("Örnek kalem: ",$B408))</f>
        <v/>
      </c>
    </row>
    <row r="409" customFormat="false" ht="15" hidden="false" customHeight="false" outlineLevel="0" collapsed="false">
      <c r="L409" s="23" t="n">
        <f aca="false">IF($E409="",0,$D409*$E409*(1-$G409-$H409-$I409))</f>
        <v>0</v>
      </c>
      <c r="M409" s="23" t="n">
        <f aca="false">IF($E409="",0,$D409*$E409-($F409*$E409+$G409*$D409*$E409+$H409*$D409*$E409+$I409*$D409*$E409+$J409*$D409*$E409*(1-$G409)+$K409*$E409))</f>
        <v>0</v>
      </c>
      <c r="N409" s="23" t="str">
        <f aca="false">IF($B409="","",CONCATENATE("Örnek kalem: ",$B409))</f>
        <v/>
      </c>
    </row>
    <row r="410" customFormat="false" ht="15" hidden="false" customHeight="false" outlineLevel="0" collapsed="false">
      <c r="L410" s="23" t="n">
        <f aca="false">IF($E410="",0,$D410*$E410*(1-$G410-$H410-$I410))</f>
        <v>0</v>
      </c>
      <c r="M410" s="23" t="n">
        <f aca="false">IF($E410="",0,$D410*$E410-($F410*$E410+$G410*$D410*$E410+$H410*$D410*$E410+$I410*$D410*$E410+$J410*$D410*$E410*(1-$G410)+$K410*$E410))</f>
        <v>0</v>
      </c>
      <c r="N410" s="23" t="str">
        <f aca="false">IF($B410="","",CONCATENATE("Örnek kalem: ",$B410))</f>
        <v/>
      </c>
    </row>
    <row r="411" customFormat="false" ht="15" hidden="false" customHeight="false" outlineLevel="0" collapsed="false">
      <c r="L411" s="23" t="n">
        <f aca="false">IF($E411="",0,$D411*$E411*(1-$G411-$H411-$I411))</f>
        <v>0</v>
      </c>
      <c r="M411" s="23" t="n">
        <f aca="false">IF($E411="",0,$D411*$E411-($F411*$E411+$G411*$D411*$E411+$H411*$D411*$E411+$I411*$D411*$E411+$J411*$D411*$E411*(1-$G411)+$K411*$E411))</f>
        <v>0</v>
      </c>
      <c r="N411" s="23" t="str">
        <f aca="false">IF($B411="","",CONCATENATE("Örnek kalem: ",$B411))</f>
        <v/>
      </c>
    </row>
    <row r="412" customFormat="false" ht="15" hidden="false" customHeight="false" outlineLevel="0" collapsed="false">
      <c r="L412" s="23" t="n">
        <f aca="false">IF($E412="",0,$D412*$E412*(1-$G412-$H412-$I412))</f>
        <v>0</v>
      </c>
      <c r="M412" s="23" t="n">
        <f aca="false">IF($E412="",0,$D412*$E412-($F412*$E412+$G412*$D412*$E412+$H412*$D412*$E412+$I412*$D412*$E412+$J412*$D412*$E412*(1-$G412)+$K412*$E412))</f>
        <v>0</v>
      </c>
      <c r="N412" s="23" t="str">
        <f aca="false">IF($B412="","",CONCATENATE("Örnek kalem: ",$B412))</f>
        <v/>
      </c>
    </row>
    <row r="413" customFormat="false" ht="15" hidden="false" customHeight="false" outlineLevel="0" collapsed="false">
      <c r="L413" s="23" t="n">
        <f aca="false">IF($E413="",0,$D413*$E413*(1-$G413-$H413-$I413))</f>
        <v>0</v>
      </c>
      <c r="M413" s="23" t="n">
        <f aca="false">IF($E413="",0,$D413*$E413-($F413*$E413+$G413*$D413*$E413+$H413*$D413*$E413+$I413*$D413*$E413+$J413*$D413*$E413*(1-$G413)+$K413*$E413))</f>
        <v>0</v>
      </c>
      <c r="N413" s="23" t="str">
        <f aca="false">IF($B413="","",CONCATENATE("Örnek kalem: ",$B413))</f>
        <v/>
      </c>
    </row>
    <row r="414" customFormat="false" ht="15" hidden="false" customHeight="false" outlineLevel="0" collapsed="false">
      <c r="L414" s="23" t="n">
        <f aca="false">IF($E414="",0,$D414*$E414*(1-$G414-$H414-$I414))</f>
        <v>0</v>
      </c>
      <c r="M414" s="23" t="n">
        <f aca="false">IF($E414="",0,$D414*$E414-($F414*$E414+$G414*$D414*$E414+$H414*$D414*$E414+$I414*$D414*$E414+$J414*$D414*$E414*(1-$G414)+$K414*$E414))</f>
        <v>0</v>
      </c>
      <c r="N414" s="23" t="str">
        <f aca="false">IF($B414="","",CONCATENATE("Örnek kalem: ",$B414))</f>
        <v/>
      </c>
    </row>
    <row r="415" customFormat="false" ht="15" hidden="false" customHeight="false" outlineLevel="0" collapsed="false">
      <c r="L415" s="23" t="n">
        <f aca="false">IF($E415="",0,$D415*$E415*(1-$G415-$H415-$I415))</f>
        <v>0</v>
      </c>
      <c r="M415" s="23" t="n">
        <f aca="false">IF($E415="",0,$D415*$E415-($F415*$E415+$G415*$D415*$E415+$H415*$D415*$E415+$I415*$D415*$E415+$J415*$D415*$E415*(1-$G415)+$K415*$E415))</f>
        <v>0</v>
      </c>
      <c r="N415" s="23" t="str">
        <f aca="false">IF($B415="","",CONCATENATE("Örnek kalem: ",$B415))</f>
        <v/>
      </c>
    </row>
    <row r="416" customFormat="false" ht="15" hidden="false" customHeight="false" outlineLevel="0" collapsed="false">
      <c r="L416" s="23" t="n">
        <f aca="false">IF($E416="",0,$D416*$E416*(1-$G416-$H416-$I416))</f>
        <v>0</v>
      </c>
      <c r="M416" s="23" t="n">
        <f aca="false">IF($E416="",0,$D416*$E416-($F416*$E416+$G416*$D416*$E416+$H416*$D416*$E416+$I416*$D416*$E416+$J416*$D416*$E416*(1-$G416)+$K416*$E416))</f>
        <v>0</v>
      </c>
      <c r="N416" s="23" t="str">
        <f aca="false">IF($B416="","",CONCATENATE("Örnek kalem: ",$B416))</f>
        <v/>
      </c>
    </row>
    <row r="417" customFormat="false" ht="15" hidden="false" customHeight="false" outlineLevel="0" collapsed="false">
      <c r="L417" s="23" t="n">
        <f aca="false">IF($E417="",0,$D417*$E417*(1-$G417-$H417-$I417))</f>
        <v>0</v>
      </c>
      <c r="M417" s="23" t="n">
        <f aca="false">IF($E417="",0,$D417*$E417-($F417*$E417+$G417*$D417*$E417+$H417*$D417*$E417+$I417*$D417*$E417+$J417*$D417*$E417*(1-$G417)+$K417*$E417))</f>
        <v>0</v>
      </c>
      <c r="N417" s="23" t="str">
        <f aca="false">IF($B417="","",CONCATENATE("Örnek kalem: ",$B417))</f>
        <v/>
      </c>
    </row>
    <row r="418" customFormat="false" ht="15" hidden="false" customHeight="false" outlineLevel="0" collapsed="false">
      <c r="L418" s="23" t="n">
        <f aca="false">IF($E418="",0,$D418*$E418*(1-$G418-$H418-$I418))</f>
        <v>0</v>
      </c>
      <c r="M418" s="23" t="n">
        <f aca="false">IF($E418="",0,$D418*$E418-($F418*$E418+$G418*$D418*$E418+$H418*$D418*$E418+$I418*$D418*$E418+$J418*$D418*$E418*(1-$G418)+$K418*$E418))</f>
        <v>0</v>
      </c>
      <c r="N418" s="23" t="str">
        <f aca="false">IF($B418="","",CONCATENATE("Örnek kalem: ",$B418))</f>
        <v/>
      </c>
    </row>
    <row r="419" customFormat="false" ht="15" hidden="false" customHeight="false" outlineLevel="0" collapsed="false">
      <c r="L419" s="23" t="n">
        <f aca="false">IF($E419="",0,$D419*$E419*(1-$G419-$H419-$I419))</f>
        <v>0</v>
      </c>
      <c r="M419" s="23" t="n">
        <f aca="false">IF($E419="",0,$D419*$E419-($F419*$E419+$G419*$D419*$E419+$H419*$D419*$E419+$I419*$D419*$E419+$J419*$D419*$E419*(1-$G419)+$K419*$E419))</f>
        <v>0</v>
      </c>
      <c r="N419" s="23" t="str">
        <f aca="false">IF($B419="","",CONCATENATE("Örnek kalem: ",$B419))</f>
        <v/>
      </c>
    </row>
    <row r="420" customFormat="false" ht="15" hidden="false" customHeight="false" outlineLevel="0" collapsed="false">
      <c r="L420" s="23" t="n">
        <f aca="false">IF($E420="",0,$D420*$E420*(1-$G420-$H420-$I420))</f>
        <v>0</v>
      </c>
      <c r="M420" s="23" t="n">
        <f aca="false">IF($E420="",0,$D420*$E420-($F420*$E420+$G420*$D420*$E420+$H420*$D420*$E420+$I420*$D420*$E420+$J420*$D420*$E420*(1-$G420)+$K420*$E420))</f>
        <v>0</v>
      </c>
      <c r="N420" s="23" t="str">
        <f aca="false">IF($B420="","",CONCATENATE("Örnek kalem: ",$B420))</f>
        <v/>
      </c>
    </row>
    <row r="421" customFormat="false" ht="15" hidden="false" customHeight="false" outlineLevel="0" collapsed="false">
      <c r="L421" s="23" t="n">
        <f aca="false">IF($E421="",0,$D421*$E421*(1-$G421-$H421-$I421))</f>
        <v>0</v>
      </c>
      <c r="M421" s="23" t="n">
        <f aca="false">IF($E421="",0,$D421*$E421-($F421*$E421+$G421*$D421*$E421+$H421*$D421*$E421+$I421*$D421*$E421+$J421*$D421*$E421*(1-$G421)+$K421*$E421))</f>
        <v>0</v>
      </c>
      <c r="N421" s="23" t="str">
        <f aca="false">IF($B421="","",CONCATENATE("Örnek kalem: ",$B421))</f>
        <v/>
      </c>
    </row>
    <row r="422" customFormat="false" ht="15" hidden="false" customHeight="false" outlineLevel="0" collapsed="false">
      <c r="L422" s="23" t="n">
        <f aca="false">IF($E422="",0,$D422*$E422*(1-$G422-$H422-$I422))</f>
        <v>0</v>
      </c>
      <c r="M422" s="23" t="n">
        <f aca="false">IF($E422="",0,$D422*$E422-($F422*$E422+$G422*$D422*$E422+$H422*$D422*$E422+$I422*$D422*$E422+$J422*$D422*$E422*(1-$G422)+$K422*$E422))</f>
        <v>0</v>
      </c>
      <c r="N422" s="23" t="str">
        <f aca="false">IF($B422="","",CONCATENATE("Örnek kalem: ",$B422))</f>
        <v/>
      </c>
    </row>
    <row r="423" customFormat="false" ht="15" hidden="false" customHeight="false" outlineLevel="0" collapsed="false">
      <c r="L423" s="23" t="n">
        <f aca="false">IF($E423="",0,$D423*$E423*(1-$G423-$H423-$I423))</f>
        <v>0</v>
      </c>
      <c r="M423" s="23" t="n">
        <f aca="false">IF($E423="",0,$D423*$E423-($F423*$E423+$G423*$D423*$E423+$H423*$D423*$E423+$I423*$D423*$E423+$J423*$D423*$E423*(1-$G423)+$K423*$E423))</f>
        <v>0</v>
      </c>
      <c r="N423" s="23" t="str">
        <f aca="false">IF($B423="","",CONCATENATE("Örnek kalem: ",$B423))</f>
        <v/>
      </c>
    </row>
    <row r="424" customFormat="false" ht="15" hidden="false" customHeight="false" outlineLevel="0" collapsed="false">
      <c r="L424" s="23" t="n">
        <f aca="false">IF($E424="",0,$D424*$E424*(1-$G424-$H424-$I424))</f>
        <v>0</v>
      </c>
      <c r="M424" s="23" t="n">
        <f aca="false">IF($E424="",0,$D424*$E424-($F424*$E424+$G424*$D424*$E424+$H424*$D424*$E424+$I424*$D424*$E424+$J424*$D424*$E424*(1-$G424)+$K424*$E424))</f>
        <v>0</v>
      </c>
      <c r="N424" s="23" t="str">
        <f aca="false">IF($B424="","",CONCATENATE("Örnek kalem: ",$B424))</f>
        <v/>
      </c>
    </row>
    <row r="425" customFormat="false" ht="15" hidden="false" customHeight="false" outlineLevel="0" collapsed="false">
      <c r="L425" s="23" t="n">
        <f aca="false">IF($E425="",0,$D425*$E425*(1-$G425-$H425-$I425))</f>
        <v>0</v>
      </c>
      <c r="M425" s="23" t="n">
        <f aca="false">IF($E425="",0,$D425*$E425-($F425*$E425+$G425*$D425*$E425+$H425*$D425*$E425+$I425*$D425*$E425+$J425*$D425*$E425*(1-$G425)+$K425*$E425))</f>
        <v>0</v>
      </c>
      <c r="N425" s="23" t="str">
        <f aca="false">IF($B425="","",CONCATENATE("Örnek kalem: ",$B425))</f>
        <v/>
      </c>
    </row>
    <row r="426" customFormat="false" ht="15" hidden="false" customHeight="false" outlineLevel="0" collapsed="false">
      <c r="L426" s="23" t="n">
        <f aca="false">IF($E426="",0,$D426*$E426*(1-$G426-$H426-$I426))</f>
        <v>0</v>
      </c>
      <c r="M426" s="23" t="n">
        <f aca="false">IF($E426="",0,$D426*$E426-($F426*$E426+$G426*$D426*$E426+$H426*$D426*$E426+$I426*$D426*$E426+$J426*$D426*$E426*(1-$G426)+$K426*$E426))</f>
        <v>0</v>
      </c>
      <c r="N426" s="23" t="str">
        <f aca="false">IF($B426="","",CONCATENATE("Örnek kalem: ",$B426))</f>
        <v/>
      </c>
    </row>
    <row r="427" customFormat="false" ht="15" hidden="false" customHeight="false" outlineLevel="0" collapsed="false">
      <c r="L427" s="23" t="n">
        <f aca="false">IF($E427="",0,$D427*$E427*(1-$G427-$H427-$I427))</f>
        <v>0</v>
      </c>
      <c r="M427" s="23" t="n">
        <f aca="false">IF($E427="",0,$D427*$E427-($F427*$E427+$G427*$D427*$E427+$H427*$D427*$E427+$I427*$D427*$E427+$J427*$D427*$E427*(1-$G427)+$K427*$E427))</f>
        <v>0</v>
      </c>
      <c r="N427" s="23" t="str">
        <f aca="false">IF($B427="","",CONCATENATE("Örnek kalem: ",$B427))</f>
        <v/>
      </c>
    </row>
    <row r="428" customFormat="false" ht="15" hidden="false" customHeight="false" outlineLevel="0" collapsed="false">
      <c r="L428" s="23" t="n">
        <f aca="false">IF($E428="",0,$D428*$E428*(1-$G428-$H428-$I428))</f>
        <v>0</v>
      </c>
      <c r="M428" s="23" t="n">
        <f aca="false">IF($E428="",0,$D428*$E428-($F428*$E428+$G428*$D428*$E428+$H428*$D428*$E428+$I428*$D428*$E428+$J428*$D428*$E428*(1-$G428)+$K428*$E428))</f>
        <v>0</v>
      </c>
      <c r="N428" s="23" t="str">
        <f aca="false">IF($B428="","",CONCATENATE("Örnek kalem: ",$B428))</f>
        <v/>
      </c>
    </row>
    <row r="429" customFormat="false" ht="15" hidden="false" customHeight="false" outlineLevel="0" collapsed="false">
      <c r="L429" s="23" t="n">
        <f aca="false">IF($E429="",0,$D429*$E429*(1-$G429-$H429-$I429))</f>
        <v>0</v>
      </c>
      <c r="M429" s="23" t="n">
        <f aca="false">IF($E429="",0,$D429*$E429-($F429*$E429+$G429*$D429*$E429+$H429*$D429*$E429+$I429*$D429*$E429+$J429*$D429*$E429*(1-$G429)+$K429*$E429))</f>
        <v>0</v>
      </c>
      <c r="N429" s="23" t="str">
        <f aca="false">IF($B429="","",CONCATENATE("Örnek kalem: ",$B429))</f>
        <v/>
      </c>
    </row>
    <row r="430" customFormat="false" ht="15" hidden="false" customHeight="false" outlineLevel="0" collapsed="false">
      <c r="L430" s="23" t="n">
        <f aca="false">IF($E430="",0,$D430*$E430*(1-$G430-$H430-$I430))</f>
        <v>0</v>
      </c>
      <c r="M430" s="23" t="n">
        <f aca="false">IF($E430="",0,$D430*$E430-($F430*$E430+$G430*$D430*$E430+$H430*$D430*$E430+$I430*$D430*$E430+$J430*$D430*$E430*(1-$G430)+$K430*$E430))</f>
        <v>0</v>
      </c>
      <c r="N430" s="23" t="str">
        <f aca="false">IF($B430="","",CONCATENATE("Örnek kalem: ",$B430))</f>
        <v/>
      </c>
    </row>
    <row r="431" customFormat="false" ht="15" hidden="false" customHeight="false" outlineLevel="0" collapsed="false">
      <c r="L431" s="23" t="n">
        <f aca="false">IF($E431="",0,$D431*$E431*(1-$G431-$H431-$I431))</f>
        <v>0</v>
      </c>
      <c r="M431" s="23" t="n">
        <f aca="false">IF($E431="",0,$D431*$E431-($F431*$E431+$G431*$D431*$E431+$H431*$D431*$E431+$I431*$D431*$E431+$J431*$D431*$E431*(1-$G431)+$K431*$E431))</f>
        <v>0</v>
      </c>
      <c r="N431" s="23" t="str">
        <f aca="false">IF($B431="","",CONCATENATE("Örnek kalem: ",$B431))</f>
        <v/>
      </c>
    </row>
    <row r="432" customFormat="false" ht="15" hidden="false" customHeight="false" outlineLevel="0" collapsed="false">
      <c r="L432" s="23" t="n">
        <f aca="false">IF($E432="",0,$D432*$E432*(1-$G432-$H432-$I432))</f>
        <v>0</v>
      </c>
      <c r="M432" s="23" t="n">
        <f aca="false">IF($E432="",0,$D432*$E432-($F432*$E432+$G432*$D432*$E432+$H432*$D432*$E432+$I432*$D432*$E432+$J432*$D432*$E432*(1-$G432)+$K432*$E432))</f>
        <v>0</v>
      </c>
      <c r="N432" s="23" t="str">
        <f aca="false">IF($B432="","",CONCATENATE("Örnek kalem: ",$B432))</f>
        <v/>
      </c>
    </row>
    <row r="433" customFormat="false" ht="15" hidden="false" customHeight="false" outlineLevel="0" collapsed="false">
      <c r="L433" s="23" t="n">
        <f aca="false">IF($E433="",0,$D433*$E433*(1-$G433-$H433-$I433))</f>
        <v>0</v>
      </c>
      <c r="M433" s="23" t="n">
        <f aca="false">IF($E433="",0,$D433*$E433-($F433*$E433+$G433*$D433*$E433+$H433*$D433*$E433+$I433*$D433*$E433+$J433*$D433*$E433*(1-$G433)+$K433*$E433))</f>
        <v>0</v>
      </c>
      <c r="N433" s="23" t="str">
        <f aca="false">IF($B433="","",CONCATENATE("Örnek kalem: ",$B433))</f>
        <v/>
      </c>
    </row>
    <row r="434" customFormat="false" ht="15" hidden="false" customHeight="false" outlineLevel="0" collapsed="false">
      <c r="L434" s="23" t="n">
        <f aca="false">IF($E434="",0,$D434*$E434*(1-$G434-$H434-$I434))</f>
        <v>0</v>
      </c>
      <c r="M434" s="23" t="n">
        <f aca="false">IF($E434="",0,$D434*$E434-($F434*$E434+$G434*$D434*$E434+$H434*$D434*$E434+$I434*$D434*$E434+$J434*$D434*$E434*(1-$G434)+$K434*$E434))</f>
        <v>0</v>
      </c>
      <c r="N434" s="23" t="str">
        <f aca="false">IF($B434="","",CONCATENATE("Örnek kalem: ",$B434))</f>
        <v/>
      </c>
    </row>
    <row r="435" customFormat="false" ht="15" hidden="false" customHeight="false" outlineLevel="0" collapsed="false">
      <c r="L435" s="23" t="n">
        <f aca="false">IF($E435="",0,$D435*$E435*(1-$G435-$H435-$I435))</f>
        <v>0</v>
      </c>
      <c r="M435" s="23" t="n">
        <f aca="false">IF($E435="",0,$D435*$E435-($F435*$E435+$G435*$D435*$E435+$H435*$D435*$E435+$I435*$D435*$E435+$J435*$D435*$E435*(1-$G435)+$K435*$E435))</f>
        <v>0</v>
      </c>
      <c r="N435" s="23" t="str">
        <f aca="false">IF($B435="","",CONCATENATE("Örnek kalem: ",$B435))</f>
        <v/>
      </c>
    </row>
    <row r="436" customFormat="false" ht="15" hidden="false" customHeight="false" outlineLevel="0" collapsed="false">
      <c r="L436" s="23" t="n">
        <f aca="false">IF($E436="",0,$D436*$E436*(1-$G436-$H436-$I436))</f>
        <v>0</v>
      </c>
      <c r="M436" s="23" t="n">
        <f aca="false">IF($E436="",0,$D436*$E436-($F436*$E436+$G436*$D436*$E436+$H436*$D436*$E436+$I436*$D436*$E436+$J436*$D436*$E436*(1-$G436)+$K436*$E436))</f>
        <v>0</v>
      </c>
      <c r="N436" s="23" t="str">
        <f aca="false">IF($B436="","",CONCATENATE("Örnek kalem: ",$B436))</f>
        <v/>
      </c>
    </row>
    <row r="437" customFormat="false" ht="15" hidden="false" customHeight="false" outlineLevel="0" collapsed="false">
      <c r="L437" s="23" t="n">
        <f aca="false">IF($E437="",0,$D437*$E437*(1-$G437-$H437-$I437))</f>
        <v>0</v>
      </c>
      <c r="M437" s="23" t="n">
        <f aca="false">IF($E437="",0,$D437*$E437-($F437*$E437+$G437*$D437*$E437+$H437*$D437*$E437+$I437*$D437*$E437+$J437*$D437*$E437*(1-$G437)+$K437*$E437))</f>
        <v>0</v>
      </c>
      <c r="N437" s="23" t="str">
        <f aca="false">IF($B437="","",CONCATENATE("Örnek kalem: ",$B437))</f>
        <v/>
      </c>
    </row>
    <row r="438" customFormat="false" ht="15" hidden="false" customHeight="false" outlineLevel="0" collapsed="false">
      <c r="L438" s="23" t="n">
        <f aca="false">IF($E438="",0,$D438*$E438*(1-$G438-$H438-$I438))</f>
        <v>0</v>
      </c>
      <c r="M438" s="23" t="n">
        <f aca="false">IF($E438="",0,$D438*$E438-($F438*$E438+$G438*$D438*$E438+$H438*$D438*$E438+$I438*$D438*$E438+$J438*$D438*$E438*(1-$G438)+$K438*$E438))</f>
        <v>0</v>
      </c>
      <c r="N438" s="23" t="str">
        <f aca="false">IF($B438="","",CONCATENATE("Örnek kalem: ",$B438))</f>
        <v/>
      </c>
    </row>
    <row r="439" customFormat="false" ht="15" hidden="false" customHeight="false" outlineLevel="0" collapsed="false">
      <c r="L439" s="23" t="n">
        <f aca="false">IF($E439="",0,$D439*$E439*(1-$G439-$H439-$I439))</f>
        <v>0</v>
      </c>
      <c r="M439" s="23" t="n">
        <f aca="false">IF($E439="",0,$D439*$E439-($F439*$E439+$G439*$D439*$E439+$H439*$D439*$E439+$I439*$D439*$E439+$J439*$D439*$E439*(1-$G439)+$K439*$E439))</f>
        <v>0</v>
      </c>
      <c r="N439" s="23" t="str">
        <f aca="false">IF($B439="","",CONCATENATE("Örnek kalem: ",$B439))</f>
        <v/>
      </c>
    </row>
    <row r="440" customFormat="false" ht="15" hidden="false" customHeight="false" outlineLevel="0" collapsed="false">
      <c r="L440" s="23" t="n">
        <f aca="false">IF($E440="",0,$D440*$E440*(1-$G440-$H440-$I440))</f>
        <v>0</v>
      </c>
      <c r="M440" s="23" t="n">
        <f aca="false">IF($E440="",0,$D440*$E440-($F440*$E440+$G440*$D440*$E440+$H440*$D440*$E440+$I440*$D440*$E440+$J440*$D440*$E440*(1-$G440)+$K440*$E440))</f>
        <v>0</v>
      </c>
      <c r="N440" s="23" t="str">
        <f aca="false">IF($B440="","",CONCATENATE("Örnek kalem: ",$B440))</f>
        <v/>
      </c>
    </row>
    <row r="441" customFormat="false" ht="15" hidden="false" customHeight="false" outlineLevel="0" collapsed="false">
      <c r="L441" s="23" t="n">
        <f aca="false">IF($E441="",0,$D441*$E441*(1-$G441-$H441-$I441))</f>
        <v>0</v>
      </c>
      <c r="M441" s="23" t="n">
        <f aca="false">IF($E441="",0,$D441*$E441-($F441*$E441+$G441*$D441*$E441+$H441*$D441*$E441+$I441*$D441*$E441+$J441*$D441*$E441*(1-$G441)+$K441*$E441))</f>
        <v>0</v>
      </c>
      <c r="N441" s="23" t="str">
        <f aca="false">IF($B441="","",CONCATENATE("Örnek kalem: ",$B441))</f>
        <v/>
      </c>
    </row>
    <row r="442" customFormat="false" ht="15" hidden="false" customHeight="false" outlineLevel="0" collapsed="false">
      <c r="L442" s="23" t="n">
        <f aca="false">IF($E442="",0,$D442*$E442*(1-$G442-$H442-$I442))</f>
        <v>0</v>
      </c>
      <c r="M442" s="23" t="n">
        <f aca="false">IF($E442="",0,$D442*$E442-($F442*$E442+$G442*$D442*$E442+$H442*$D442*$E442+$I442*$D442*$E442+$J442*$D442*$E442*(1-$G442)+$K442*$E442))</f>
        <v>0</v>
      </c>
      <c r="N442" s="23" t="str">
        <f aca="false">IF($B442="","",CONCATENATE("Örnek kalem: ",$B442))</f>
        <v/>
      </c>
    </row>
    <row r="443" customFormat="false" ht="15" hidden="false" customHeight="false" outlineLevel="0" collapsed="false">
      <c r="L443" s="23" t="n">
        <f aca="false">IF($E443="",0,$D443*$E443*(1-$G443-$H443-$I443))</f>
        <v>0</v>
      </c>
      <c r="M443" s="23" t="n">
        <f aca="false">IF($E443="",0,$D443*$E443-($F443*$E443+$G443*$D443*$E443+$H443*$D443*$E443+$I443*$D443*$E443+$J443*$D443*$E443*(1-$G443)+$K443*$E443))</f>
        <v>0</v>
      </c>
      <c r="N443" s="23" t="str">
        <f aca="false">IF($B443="","",CONCATENATE("Örnek kalem: ",$B443))</f>
        <v/>
      </c>
    </row>
    <row r="444" customFormat="false" ht="15" hidden="false" customHeight="false" outlineLevel="0" collapsed="false">
      <c r="L444" s="23" t="n">
        <f aca="false">IF($E444="",0,$D444*$E444*(1-$G444-$H444-$I444))</f>
        <v>0</v>
      </c>
      <c r="M444" s="23" t="n">
        <f aca="false">IF($E444="",0,$D444*$E444-($F444*$E444+$G444*$D444*$E444+$H444*$D444*$E444+$I444*$D444*$E444+$J444*$D444*$E444*(1-$G444)+$K444*$E444))</f>
        <v>0</v>
      </c>
      <c r="N444" s="23" t="str">
        <f aca="false">IF($B444="","",CONCATENATE("Örnek kalem: ",$B444))</f>
        <v/>
      </c>
    </row>
    <row r="445" customFormat="false" ht="15" hidden="false" customHeight="false" outlineLevel="0" collapsed="false">
      <c r="L445" s="23" t="n">
        <f aca="false">IF($E445="",0,$D445*$E445*(1-$G445-$H445-$I445))</f>
        <v>0</v>
      </c>
      <c r="M445" s="23" t="n">
        <f aca="false">IF($E445="",0,$D445*$E445-($F445*$E445+$G445*$D445*$E445+$H445*$D445*$E445+$I445*$D445*$E445+$J445*$D445*$E445*(1-$G445)+$K445*$E445))</f>
        <v>0</v>
      </c>
      <c r="N445" s="23" t="str">
        <f aca="false">IF($B445="","",CONCATENATE("Örnek kalem: ",$B445))</f>
        <v/>
      </c>
    </row>
    <row r="446" customFormat="false" ht="15" hidden="false" customHeight="false" outlineLevel="0" collapsed="false">
      <c r="L446" s="23" t="n">
        <f aca="false">IF($E446="",0,$D446*$E446*(1-$G446-$H446-$I446))</f>
        <v>0</v>
      </c>
      <c r="M446" s="23" t="n">
        <f aca="false">IF($E446="",0,$D446*$E446-($F446*$E446+$G446*$D446*$E446+$H446*$D446*$E446+$I446*$D446*$E446+$J446*$D446*$E446*(1-$G446)+$K446*$E446))</f>
        <v>0</v>
      </c>
      <c r="N446" s="23" t="str">
        <f aca="false">IF($B446="","",CONCATENATE("Örnek kalem: ",$B446))</f>
        <v/>
      </c>
    </row>
    <row r="447" customFormat="false" ht="15" hidden="false" customHeight="false" outlineLevel="0" collapsed="false">
      <c r="L447" s="23" t="n">
        <f aca="false">IF($E447="",0,$D447*$E447*(1-$G447-$H447-$I447))</f>
        <v>0</v>
      </c>
      <c r="M447" s="23" t="n">
        <f aca="false">IF($E447="",0,$D447*$E447-($F447*$E447+$G447*$D447*$E447+$H447*$D447*$E447+$I447*$D447*$E447+$J447*$D447*$E447*(1-$G447)+$K447*$E447))</f>
        <v>0</v>
      </c>
      <c r="N447" s="23" t="str">
        <f aca="false">IF($B447="","",CONCATENATE("Örnek kalem: ",$B447))</f>
        <v/>
      </c>
    </row>
    <row r="448" customFormat="false" ht="15" hidden="false" customHeight="false" outlineLevel="0" collapsed="false">
      <c r="L448" s="23" t="n">
        <f aca="false">IF($E448="",0,$D448*$E448*(1-$G448-$H448-$I448))</f>
        <v>0</v>
      </c>
      <c r="M448" s="23" t="n">
        <f aca="false">IF($E448="",0,$D448*$E448-($F448*$E448+$G448*$D448*$E448+$H448*$D448*$E448+$I448*$D448*$E448+$J448*$D448*$E448*(1-$G448)+$K448*$E448))</f>
        <v>0</v>
      </c>
      <c r="N448" s="23" t="str">
        <f aca="false">IF($B448="","",CONCATENATE("Örnek kalem: ",$B448))</f>
        <v/>
      </c>
    </row>
    <row r="449" customFormat="false" ht="15" hidden="false" customHeight="false" outlineLevel="0" collapsed="false">
      <c r="L449" s="23" t="n">
        <f aca="false">IF($E449="",0,$D449*$E449*(1-$G449-$H449-$I449))</f>
        <v>0</v>
      </c>
      <c r="M449" s="23" t="n">
        <f aca="false">IF($E449="",0,$D449*$E449-($F449*$E449+$G449*$D449*$E449+$H449*$D449*$E449+$I449*$D449*$E449+$J449*$D449*$E449*(1-$G449)+$K449*$E449))</f>
        <v>0</v>
      </c>
      <c r="N449" s="23" t="str">
        <f aca="false">IF($B449="","",CONCATENATE("Örnek kalem: ",$B449))</f>
        <v/>
      </c>
    </row>
    <row r="450" customFormat="false" ht="15" hidden="false" customHeight="false" outlineLevel="0" collapsed="false">
      <c r="L450" s="23" t="n">
        <f aca="false">IF($E450="",0,$D450*$E450*(1-$G450-$H450-$I450))</f>
        <v>0</v>
      </c>
      <c r="M450" s="23" t="n">
        <f aca="false">IF($E450="",0,$D450*$E450-($F450*$E450+$G450*$D450*$E450+$H450*$D450*$E450+$I450*$D450*$E450+$J450*$D450*$E450*(1-$G450)+$K450*$E450))</f>
        <v>0</v>
      </c>
      <c r="N450" s="23" t="str">
        <f aca="false">IF($B450="","",CONCATENATE("Örnek kalem: ",$B450))</f>
        <v/>
      </c>
    </row>
    <row r="451" customFormat="false" ht="15" hidden="false" customHeight="false" outlineLevel="0" collapsed="false">
      <c r="L451" s="23" t="n">
        <f aca="false">IF($E451="",0,$D451*$E451*(1-$G451-$H451-$I451))</f>
        <v>0</v>
      </c>
      <c r="M451" s="23" t="n">
        <f aca="false">IF($E451="",0,$D451*$E451-($F451*$E451+$G451*$D451*$E451+$H451*$D451*$E451+$I451*$D451*$E451+$J451*$D451*$E451*(1-$G451)+$K451*$E451))</f>
        <v>0</v>
      </c>
      <c r="N451" s="23" t="str">
        <f aca="false">IF($B451="","",CONCATENATE("Örnek kalem: ",$B451))</f>
        <v/>
      </c>
    </row>
    <row r="452" customFormat="false" ht="15" hidden="false" customHeight="false" outlineLevel="0" collapsed="false">
      <c r="L452" s="23" t="n">
        <f aca="false">IF($E452="",0,$D452*$E452*(1-$G452-$H452-$I452))</f>
        <v>0</v>
      </c>
      <c r="M452" s="23" t="n">
        <f aca="false">IF($E452="",0,$D452*$E452-($F452*$E452+$G452*$D452*$E452+$H452*$D452*$E452+$I452*$D452*$E452+$J452*$D452*$E452*(1-$G452)+$K452*$E452))</f>
        <v>0</v>
      </c>
      <c r="N452" s="23" t="str">
        <f aca="false">IF($B452="","",CONCATENATE("Örnek kalem: ",$B452))</f>
        <v/>
      </c>
    </row>
    <row r="453" customFormat="false" ht="15" hidden="false" customHeight="false" outlineLevel="0" collapsed="false">
      <c r="L453" s="23" t="n">
        <f aca="false">IF($E453="",0,$D453*$E453*(1-$G453-$H453-$I453))</f>
        <v>0</v>
      </c>
      <c r="M453" s="23" t="n">
        <f aca="false">IF($E453="",0,$D453*$E453-($F453*$E453+$G453*$D453*$E453+$H453*$D453*$E453+$I453*$D453*$E453+$J453*$D453*$E453*(1-$G453)+$K453*$E453))</f>
        <v>0</v>
      </c>
      <c r="N453" s="23" t="str">
        <f aca="false">IF($B453="","",CONCATENATE("Örnek kalem: ",$B453))</f>
        <v/>
      </c>
    </row>
    <row r="454" customFormat="false" ht="15" hidden="false" customHeight="false" outlineLevel="0" collapsed="false">
      <c r="L454" s="23" t="n">
        <f aca="false">IF($E454="",0,$D454*$E454*(1-$G454-$H454-$I454))</f>
        <v>0</v>
      </c>
      <c r="M454" s="23" t="n">
        <f aca="false">IF($E454="",0,$D454*$E454-($F454*$E454+$G454*$D454*$E454+$H454*$D454*$E454+$I454*$D454*$E454+$J454*$D454*$E454*(1-$G454)+$K454*$E454))</f>
        <v>0</v>
      </c>
      <c r="N454" s="23" t="str">
        <f aca="false">IF($B454="","",CONCATENATE("Örnek kalem: ",$B454))</f>
        <v/>
      </c>
    </row>
    <row r="455" customFormat="false" ht="15" hidden="false" customHeight="false" outlineLevel="0" collapsed="false">
      <c r="L455" s="23" t="n">
        <f aca="false">IF($E455="",0,$D455*$E455*(1-$G455-$H455-$I455))</f>
        <v>0</v>
      </c>
      <c r="M455" s="23" t="n">
        <f aca="false">IF($E455="",0,$D455*$E455-($F455*$E455+$G455*$D455*$E455+$H455*$D455*$E455+$I455*$D455*$E455+$J455*$D455*$E455*(1-$G455)+$K455*$E455))</f>
        <v>0</v>
      </c>
      <c r="N455" s="23" t="str">
        <f aca="false">IF($B455="","",CONCATENATE("Örnek kalem: ",$B455))</f>
        <v/>
      </c>
    </row>
    <row r="456" customFormat="false" ht="15" hidden="false" customHeight="false" outlineLevel="0" collapsed="false">
      <c r="L456" s="23" t="n">
        <f aca="false">IF($E456="",0,$D456*$E456*(1-$G456-$H456-$I456))</f>
        <v>0</v>
      </c>
      <c r="M456" s="23" t="n">
        <f aca="false">IF($E456="",0,$D456*$E456-($F456*$E456+$G456*$D456*$E456+$H456*$D456*$E456+$I456*$D456*$E456+$J456*$D456*$E456*(1-$G456)+$K456*$E456))</f>
        <v>0</v>
      </c>
      <c r="N456" s="23" t="str">
        <f aca="false">IF($B456="","",CONCATENATE("Örnek kalem: ",$B456))</f>
        <v/>
      </c>
    </row>
    <row r="457" customFormat="false" ht="15" hidden="false" customHeight="false" outlineLevel="0" collapsed="false">
      <c r="L457" s="23" t="n">
        <f aca="false">IF($E457="",0,$D457*$E457*(1-$G457-$H457-$I457))</f>
        <v>0</v>
      </c>
      <c r="M457" s="23" t="n">
        <f aca="false">IF($E457="",0,$D457*$E457-($F457*$E457+$G457*$D457*$E457+$H457*$D457*$E457+$I457*$D457*$E457+$J457*$D457*$E457*(1-$G457)+$K457*$E457))</f>
        <v>0</v>
      </c>
      <c r="N457" s="23" t="str">
        <f aca="false">IF($B457="","",CONCATENATE("Örnek kalem: ",$B457))</f>
        <v/>
      </c>
    </row>
    <row r="458" customFormat="false" ht="15" hidden="false" customHeight="false" outlineLevel="0" collapsed="false">
      <c r="L458" s="23" t="n">
        <f aca="false">IF($E458="",0,$D458*$E458*(1-$G458-$H458-$I458))</f>
        <v>0</v>
      </c>
      <c r="M458" s="23" t="n">
        <f aca="false">IF($E458="",0,$D458*$E458-($F458*$E458+$G458*$D458*$E458+$H458*$D458*$E458+$I458*$D458*$E458+$J458*$D458*$E458*(1-$G458)+$K458*$E458))</f>
        <v>0</v>
      </c>
      <c r="N458" s="23" t="str">
        <f aca="false">IF($B458="","",CONCATENATE("Örnek kalem: ",$B458))</f>
        <v/>
      </c>
    </row>
    <row r="459" customFormat="false" ht="15" hidden="false" customHeight="false" outlineLevel="0" collapsed="false">
      <c r="L459" s="23" t="n">
        <f aca="false">IF($E459="",0,$D459*$E459*(1-$G459-$H459-$I459))</f>
        <v>0</v>
      </c>
      <c r="M459" s="23" t="n">
        <f aca="false">IF($E459="",0,$D459*$E459-($F459*$E459+$G459*$D459*$E459+$H459*$D459*$E459+$I459*$D459*$E459+$J459*$D459*$E459*(1-$G459)+$K459*$E459))</f>
        <v>0</v>
      </c>
      <c r="N459" s="23" t="str">
        <f aca="false">IF($B459="","",CONCATENATE("Örnek kalem: ",$B459))</f>
        <v/>
      </c>
    </row>
    <row r="460" customFormat="false" ht="15" hidden="false" customHeight="false" outlineLevel="0" collapsed="false">
      <c r="L460" s="23" t="n">
        <f aca="false">IF($E460="",0,$D460*$E460*(1-$G460-$H460-$I460))</f>
        <v>0</v>
      </c>
      <c r="M460" s="23" t="n">
        <f aca="false">IF($E460="",0,$D460*$E460-($F460*$E460+$G460*$D460*$E460+$H460*$D460*$E460+$I460*$D460*$E460+$J460*$D460*$E460*(1-$G460)+$K460*$E460))</f>
        <v>0</v>
      </c>
      <c r="N460" s="23" t="str">
        <f aca="false">IF($B460="","",CONCATENATE("Örnek kalem: ",$B460))</f>
        <v/>
      </c>
    </row>
    <row r="461" customFormat="false" ht="15" hidden="false" customHeight="false" outlineLevel="0" collapsed="false">
      <c r="L461" s="23" t="n">
        <f aca="false">IF($E461="",0,$D461*$E461*(1-$G461-$H461-$I461))</f>
        <v>0</v>
      </c>
      <c r="M461" s="23" t="n">
        <f aca="false">IF($E461="",0,$D461*$E461-($F461*$E461+$G461*$D461*$E461+$H461*$D461*$E461+$I461*$D461*$E461+$J461*$D461*$E461*(1-$G461)+$K461*$E461))</f>
        <v>0</v>
      </c>
      <c r="N461" s="23" t="str">
        <f aca="false">IF($B461="","",CONCATENATE("Örnek kalem: ",$B461))</f>
        <v/>
      </c>
    </row>
    <row r="462" customFormat="false" ht="15" hidden="false" customHeight="false" outlineLevel="0" collapsed="false">
      <c r="L462" s="23" t="n">
        <f aca="false">IF($E462="",0,$D462*$E462*(1-$G462-$H462-$I462))</f>
        <v>0</v>
      </c>
      <c r="M462" s="23" t="n">
        <f aca="false">IF($E462="",0,$D462*$E462-($F462*$E462+$G462*$D462*$E462+$H462*$D462*$E462+$I462*$D462*$E462+$J462*$D462*$E462*(1-$G462)+$K462*$E462))</f>
        <v>0</v>
      </c>
      <c r="N462" s="23" t="str">
        <f aca="false">IF($B462="","",CONCATENATE("Örnek kalem: ",$B462))</f>
        <v/>
      </c>
    </row>
    <row r="463" customFormat="false" ht="15" hidden="false" customHeight="false" outlineLevel="0" collapsed="false">
      <c r="L463" s="23" t="n">
        <f aca="false">IF($E463="",0,$D463*$E463*(1-$G463-$H463-$I463))</f>
        <v>0</v>
      </c>
      <c r="M463" s="23" t="n">
        <f aca="false">IF($E463="",0,$D463*$E463-($F463*$E463+$G463*$D463*$E463+$H463*$D463*$E463+$I463*$D463*$E463+$J463*$D463*$E463*(1-$G463)+$K463*$E463))</f>
        <v>0</v>
      </c>
      <c r="N463" s="23" t="str">
        <f aca="false">IF($B463="","",CONCATENATE("Örnek kalem: ",$B463))</f>
        <v/>
      </c>
    </row>
    <row r="464" customFormat="false" ht="15" hidden="false" customHeight="false" outlineLevel="0" collapsed="false">
      <c r="L464" s="23" t="n">
        <f aca="false">IF($E464="",0,$D464*$E464*(1-$G464-$H464-$I464))</f>
        <v>0</v>
      </c>
      <c r="M464" s="23" t="n">
        <f aca="false">IF($E464="",0,$D464*$E464-($F464*$E464+$G464*$D464*$E464+$H464*$D464*$E464+$I464*$D464*$E464+$J464*$D464*$E464*(1-$G464)+$K464*$E464))</f>
        <v>0</v>
      </c>
      <c r="N464" s="23" t="str">
        <f aca="false">IF($B464="","",CONCATENATE("Örnek kalem: ",$B464))</f>
        <v/>
      </c>
    </row>
    <row r="465" customFormat="false" ht="15" hidden="false" customHeight="false" outlineLevel="0" collapsed="false">
      <c r="L465" s="23" t="n">
        <f aca="false">IF($E465="",0,$D465*$E465*(1-$G465-$H465-$I465))</f>
        <v>0</v>
      </c>
      <c r="M465" s="23" t="n">
        <f aca="false">IF($E465="",0,$D465*$E465-($F465*$E465+$G465*$D465*$E465+$H465*$D465*$E465+$I465*$D465*$E465+$J465*$D465*$E465*(1-$G465)+$K465*$E465))</f>
        <v>0</v>
      </c>
      <c r="N465" s="23" t="str">
        <f aca="false">IF($B465="","",CONCATENATE("Örnek kalem: ",$B465))</f>
        <v/>
      </c>
    </row>
    <row r="466" customFormat="false" ht="15" hidden="false" customHeight="false" outlineLevel="0" collapsed="false">
      <c r="L466" s="23" t="n">
        <f aca="false">IF($E466="",0,$D466*$E466*(1-$G466-$H466-$I466))</f>
        <v>0</v>
      </c>
      <c r="M466" s="23" t="n">
        <f aca="false">IF($E466="",0,$D466*$E466-($F466*$E466+$G466*$D466*$E466+$H466*$D466*$E466+$I466*$D466*$E466+$J466*$D466*$E466*(1-$G466)+$K466*$E466))</f>
        <v>0</v>
      </c>
      <c r="N466" s="23" t="str">
        <f aca="false">IF($B466="","",CONCATENATE("Örnek kalem: ",$B466))</f>
        <v/>
      </c>
    </row>
    <row r="467" customFormat="false" ht="15" hidden="false" customHeight="false" outlineLevel="0" collapsed="false">
      <c r="L467" s="23" t="n">
        <f aca="false">IF($E467="",0,$D467*$E467*(1-$G467-$H467-$I467))</f>
        <v>0</v>
      </c>
      <c r="M467" s="23" t="n">
        <f aca="false">IF($E467="",0,$D467*$E467-($F467*$E467+$G467*$D467*$E467+$H467*$D467*$E467+$I467*$D467*$E467+$J467*$D467*$E467*(1-$G467)+$K467*$E467))</f>
        <v>0</v>
      </c>
      <c r="N467" s="23" t="str">
        <f aca="false">IF($B467="","",CONCATENATE("Örnek kalem: ",$B467))</f>
        <v/>
      </c>
    </row>
    <row r="468" customFormat="false" ht="15" hidden="false" customHeight="false" outlineLevel="0" collapsed="false">
      <c r="L468" s="23" t="n">
        <f aca="false">IF($E468="",0,$D468*$E468*(1-$G468-$H468-$I468))</f>
        <v>0</v>
      </c>
      <c r="M468" s="23" t="n">
        <f aca="false">IF($E468="",0,$D468*$E468-($F468*$E468+$G468*$D468*$E468+$H468*$D468*$E468+$I468*$D468*$E468+$J468*$D468*$E468*(1-$G468)+$K468*$E468))</f>
        <v>0</v>
      </c>
      <c r="N468" s="23" t="str">
        <f aca="false">IF($B468="","",CONCATENATE("Örnek kalem: ",$B468))</f>
        <v/>
      </c>
    </row>
    <row r="469" customFormat="false" ht="15" hidden="false" customHeight="false" outlineLevel="0" collapsed="false">
      <c r="L469" s="23" t="n">
        <f aca="false">IF($E469="",0,$D469*$E469*(1-$G469-$H469-$I469))</f>
        <v>0</v>
      </c>
      <c r="M469" s="23" t="n">
        <f aca="false">IF($E469="",0,$D469*$E469-($F469*$E469+$G469*$D469*$E469+$H469*$D469*$E469+$I469*$D469*$E469+$J469*$D469*$E469*(1-$G469)+$K469*$E469))</f>
        <v>0</v>
      </c>
      <c r="N469" s="23" t="str">
        <f aca="false">IF($B469="","",CONCATENATE("Örnek kalem: ",$B469))</f>
        <v/>
      </c>
    </row>
    <row r="470" customFormat="false" ht="15" hidden="false" customHeight="false" outlineLevel="0" collapsed="false">
      <c r="L470" s="23" t="n">
        <f aca="false">IF($E470="",0,$D470*$E470*(1-$G470-$H470-$I470))</f>
        <v>0</v>
      </c>
      <c r="M470" s="23" t="n">
        <f aca="false">IF($E470="",0,$D470*$E470-($F470*$E470+$G470*$D470*$E470+$H470*$D470*$E470+$I470*$D470*$E470+$J470*$D470*$E470*(1-$G470)+$K470*$E470))</f>
        <v>0</v>
      </c>
      <c r="N470" s="23" t="str">
        <f aca="false">IF($B470="","",CONCATENATE("Örnek kalem: ",$B470))</f>
        <v/>
      </c>
    </row>
    <row r="471" customFormat="false" ht="15" hidden="false" customHeight="false" outlineLevel="0" collapsed="false">
      <c r="L471" s="23" t="n">
        <f aca="false">IF($E471="",0,$D471*$E471*(1-$G471-$H471-$I471))</f>
        <v>0</v>
      </c>
      <c r="M471" s="23" t="n">
        <f aca="false">IF($E471="",0,$D471*$E471-($F471*$E471+$G471*$D471*$E471+$H471*$D471*$E471+$I471*$D471*$E471+$J471*$D471*$E471*(1-$G471)+$K471*$E471))</f>
        <v>0</v>
      </c>
      <c r="N471" s="23" t="str">
        <f aca="false">IF($B471="","",CONCATENATE("Örnek kalem: ",$B471))</f>
        <v/>
      </c>
    </row>
    <row r="472" customFormat="false" ht="15" hidden="false" customHeight="false" outlineLevel="0" collapsed="false">
      <c r="L472" s="23" t="n">
        <f aca="false">IF($E472="",0,$D472*$E472*(1-$G472-$H472-$I472))</f>
        <v>0</v>
      </c>
      <c r="M472" s="23" t="n">
        <f aca="false">IF($E472="",0,$D472*$E472-($F472*$E472+$G472*$D472*$E472+$H472*$D472*$E472+$I472*$D472*$E472+$J472*$D472*$E472*(1-$G472)+$K472*$E472))</f>
        <v>0</v>
      </c>
      <c r="N472" s="23" t="str">
        <f aca="false">IF($B472="","",CONCATENATE("Örnek kalem: ",$B472))</f>
        <v/>
      </c>
    </row>
    <row r="473" customFormat="false" ht="15" hidden="false" customHeight="false" outlineLevel="0" collapsed="false">
      <c r="L473" s="23" t="n">
        <f aca="false">IF($E473="",0,$D473*$E473*(1-$G473-$H473-$I473))</f>
        <v>0</v>
      </c>
      <c r="M473" s="23" t="n">
        <f aca="false">IF($E473="",0,$D473*$E473-($F473*$E473+$G473*$D473*$E473+$H473*$D473*$E473+$I473*$D473*$E473+$J473*$D473*$E473*(1-$G473)+$K473*$E473))</f>
        <v>0</v>
      </c>
      <c r="N473" s="23" t="str">
        <f aca="false">IF($B473="","",CONCATENATE("Örnek kalem: ",$B473))</f>
        <v/>
      </c>
    </row>
    <row r="474" customFormat="false" ht="15" hidden="false" customHeight="false" outlineLevel="0" collapsed="false">
      <c r="L474" s="23" t="n">
        <f aca="false">IF($E474="",0,$D474*$E474*(1-$G474-$H474-$I474))</f>
        <v>0</v>
      </c>
      <c r="M474" s="23" t="n">
        <f aca="false">IF($E474="",0,$D474*$E474-($F474*$E474+$G474*$D474*$E474+$H474*$D474*$E474+$I474*$D474*$E474+$J474*$D474*$E474*(1-$G474)+$K474*$E474))</f>
        <v>0</v>
      </c>
      <c r="N474" s="23" t="str">
        <f aca="false">IF($B474="","",CONCATENATE("Örnek kalem: ",$B474))</f>
        <v/>
      </c>
    </row>
    <row r="475" customFormat="false" ht="15" hidden="false" customHeight="false" outlineLevel="0" collapsed="false">
      <c r="L475" s="23" t="n">
        <f aca="false">IF($E475="",0,$D475*$E475*(1-$G475-$H475-$I475))</f>
        <v>0</v>
      </c>
      <c r="M475" s="23" t="n">
        <f aca="false">IF($E475="",0,$D475*$E475-($F475*$E475+$G475*$D475*$E475+$H475*$D475*$E475+$I475*$D475*$E475+$J475*$D475*$E475*(1-$G475)+$K475*$E475))</f>
        <v>0</v>
      </c>
      <c r="N475" s="23" t="str">
        <f aca="false">IF($B475="","",CONCATENATE("Örnek kalem: ",$B475))</f>
        <v/>
      </c>
    </row>
    <row r="476" customFormat="false" ht="15" hidden="false" customHeight="false" outlineLevel="0" collapsed="false">
      <c r="L476" s="23" t="n">
        <f aca="false">IF($E476="",0,$D476*$E476*(1-$G476-$H476-$I476))</f>
        <v>0</v>
      </c>
      <c r="M476" s="23" t="n">
        <f aca="false">IF($E476="",0,$D476*$E476-($F476*$E476+$G476*$D476*$E476+$H476*$D476*$E476+$I476*$D476*$E476+$J476*$D476*$E476*(1-$G476)+$K476*$E476))</f>
        <v>0</v>
      </c>
      <c r="N476" s="23" t="str">
        <f aca="false">IF($B476="","",CONCATENATE("Örnek kalem: ",$B476))</f>
        <v/>
      </c>
    </row>
    <row r="477" customFormat="false" ht="15" hidden="false" customHeight="false" outlineLevel="0" collapsed="false">
      <c r="L477" s="23" t="n">
        <f aca="false">IF($E477="",0,$D477*$E477*(1-$G477-$H477-$I477))</f>
        <v>0</v>
      </c>
      <c r="M477" s="23" t="n">
        <f aca="false">IF($E477="",0,$D477*$E477-($F477*$E477+$G477*$D477*$E477+$H477*$D477*$E477+$I477*$D477*$E477+$J477*$D477*$E477*(1-$G477)+$K477*$E477))</f>
        <v>0</v>
      </c>
      <c r="N477" s="23" t="str">
        <f aca="false">IF($B477="","",CONCATENATE("Örnek kalem: ",$B477))</f>
        <v/>
      </c>
    </row>
    <row r="478" customFormat="false" ht="15" hidden="false" customHeight="false" outlineLevel="0" collapsed="false">
      <c r="L478" s="23" t="n">
        <f aca="false">IF($E478="",0,$D478*$E478*(1-$G478-$H478-$I478))</f>
        <v>0</v>
      </c>
      <c r="M478" s="23" t="n">
        <f aca="false">IF($E478="",0,$D478*$E478-($F478*$E478+$G478*$D478*$E478+$H478*$D478*$E478+$I478*$D478*$E478+$J478*$D478*$E478*(1-$G478)+$K478*$E478))</f>
        <v>0</v>
      </c>
      <c r="N478" s="23" t="str">
        <f aca="false">IF($B478="","",CONCATENATE("Örnek kalem: ",$B478))</f>
        <v/>
      </c>
    </row>
    <row r="479" customFormat="false" ht="15" hidden="false" customHeight="false" outlineLevel="0" collapsed="false">
      <c r="L479" s="23" t="n">
        <f aca="false">IF($E479="",0,$D479*$E479*(1-$G479-$H479-$I479))</f>
        <v>0</v>
      </c>
      <c r="M479" s="23" t="n">
        <f aca="false">IF($E479="",0,$D479*$E479-($F479*$E479+$G479*$D479*$E479+$H479*$D479*$E479+$I479*$D479*$E479+$J479*$D479*$E479*(1-$G479)+$K479*$E479))</f>
        <v>0</v>
      </c>
      <c r="N479" s="23" t="str">
        <f aca="false">IF($B479="","",CONCATENATE("Örnek kalem: ",$B479))</f>
        <v/>
      </c>
    </row>
    <row r="480" customFormat="false" ht="15" hidden="false" customHeight="false" outlineLevel="0" collapsed="false">
      <c r="L480" s="23" t="n">
        <f aca="false">IF($E480="",0,$D480*$E480*(1-$G480-$H480-$I480))</f>
        <v>0</v>
      </c>
      <c r="M480" s="23" t="n">
        <f aca="false">IF($E480="",0,$D480*$E480-($F480*$E480+$G480*$D480*$E480+$H480*$D480*$E480+$I480*$D480*$E480+$J480*$D480*$E480*(1-$G480)+$K480*$E480))</f>
        <v>0</v>
      </c>
      <c r="N480" s="23" t="str">
        <f aca="false">IF($B480="","",CONCATENATE("Örnek kalem: ",$B480))</f>
        <v/>
      </c>
    </row>
    <row r="481" customFormat="false" ht="15" hidden="false" customHeight="false" outlineLevel="0" collapsed="false">
      <c r="L481" s="23" t="n">
        <f aca="false">IF($E481="",0,$D481*$E481*(1-$G481-$H481-$I481))</f>
        <v>0</v>
      </c>
      <c r="M481" s="23" t="n">
        <f aca="false">IF($E481="",0,$D481*$E481-($F481*$E481+$G481*$D481*$E481+$H481*$D481*$E481+$I481*$D481*$E481+$J481*$D481*$E481*(1-$G481)+$K481*$E481))</f>
        <v>0</v>
      </c>
      <c r="N481" s="23" t="str">
        <f aca="false">IF($B481="","",CONCATENATE("Örnek kalem: ",$B481))</f>
        <v/>
      </c>
    </row>
    <row r="482" customFormat="false" ht="15" hidden="false" customHeight="false" outlineLevel="0" collapsed="false">
      <c r="L482" s="23" t="n">
        <f aca="false">IF($E482="",0,$D482*$E482*(1-$G482-$H482-$I482))</f>
        <v>0</v>
      </c>
      <c r="M482" s="23" t="n">
        <f aca="false">IF($E482="",0,$D482*$E482-($F482*$E482+$G482*$D482*$E482+$H482*$D482*$E482+$I482*$D482*$E482+$J482*$D482*$E482*(1-$G482)+$K482*$E482))</f>
        <v>0</v>
      </c>
      <c r="N482" s="23" t="str">
        <f aca="false">IF($B482="","",CONCATENATE("Örnek kalem: ",$B482))</f>
        <v/>
      </c>
    </row>
    <row r="483" customFormat="false" ht="15" hidden="false" customHeight="false" outlineLevel="0" collapsed="false">
      <c r="L483" s="23" t="n">
        <f aca="false">IF($E483="",0,$D483*$E483*(1-$G483-$H483-$I483))</f>
        <v>0</v>
      </c>
      <c r="M483" s="23" t="n">
        <f aca="false">IF($E483="",0,$D483*$E483-($F483*$E483+$G483*$D483*$E483+$H483*$D483*$E483+$I483*$D483*$E483+$J483*$D483*$E483*(1-$G483)+$K483*$E483))</f>
        <v>0</v>
      </c>
      <c r="N483" s="23" t="str">
        <f aca="false">IF($B483="","",CONCATENATE("Örnek kalem: ",$B483))</f>
        <v/>
      </c>
    </row>
    <row r="484" customFormat="false" ht="15" hidden="false" customHeight="false" outlineLevel="0" collapsed="false">
      <c r="L484" s="23" t="n">
        <f aca="false">IF($E484="",0,$D484*$E484*(1-$G484-$H484-$I484))</f>
        <v>0</v>
      </c>
      <c r="M484" s="23" t="n">
        <f aca="false">IF($E484="",0,$D484*$E484-($F484*$E484+$G484*$D484*$E484+$H484*$D484*$E484+$I484*$D484*$E484+$J484*$D484*$E484*(1-$G484)+$K484*$E484))</f>
        <v>0</v>
      </c>
      <c r="N484" s="23" t="str">
        <f aca="false">IF($B484="","",CONCATENATE("Örnek kalem: ",$B484))</f>
        <v/>
      </c>
    </row>
    <row r="485" customFormat="false" ht="15" hidden="false" customHeight="false" outlineLevel="0" collapsed="false">
      <c r="L485" s="23" t="n">
        <f aca="false">IF($E485="",0,$D485*$E485*(1-$G485-$H485-$I485))</f>
        <v>0</v>
      </c>
      <c r="M485" s="23" t="n">
        <f aca="false">IF($E485="",0,$D485*$E485-($F485*$E485+$G485*$D485*$E485+$H485*$D485*$E485+$I485*$D485*$E485+$J485*$D485*$E485*(1-$G485)+$K485*$E485))</f>
        <v>0</v>
      </c>
      <c r="N485" s="23" t="str">
        <f aca="false">IF($B485="","",CONCATENATE("Örnek kalem: ",$B485))</f>
        <v/>
      </c>
    </row>
    <row r="486" customFormat="false" ht="15" hidden="false" customHeight="false" outlineLevel="0" collapsed="false">
      <c r="L486" s="23" t="n">
        <f aca="false">IF($E486="",0,$D486*$E486*(1-$G486-$H486-$I486))</f>
        <v>0</v>
      </c>
      <c r="M486" s="23" t="n">
        <f aca="false">IF($E486="",0,$D486*$E486-($F486*$E486+$G486*$D486*$E486+$H486*$D486*$E486+$I486*$D486*$E486+$J486*$D486*$E486*(1-$G486)+$K486*$E486))</f>
        <v>0</v>
      </c>
      <c r="N486" s="23" t="str">
        <f aca="false">IF($B486="","",CONCATENATE("Örnek kalem: ",$B486))</f>
        <v/>
      </c>
    </row>
    <row r="487" customFormat="false" ht="15" hidden="false" customHeight="false" outlineLevel="0" collapsed="false">
      <c r="L487" s="23" t="n">
        <f aca="false">IF($E487="",0,$D487*$E487*(1-$G487-$H487-$I487))</f>
        <v>0</v>
      </c>
      <c r="M487" s="23" t="n">
        <f aca="false">IF($E487="",0,$D487*$E487-($F487*$E487+$G487*$D487*$E487+$H487*$D487*$E487+$I487*$D487*$E487+$J487*$D487*$E487*(1-$G487)+$K487*$E487))</f>
        <v>0</v>
      </c>
      <c r="N487" s="23" t="str">
        <f aca="false">IF($B487="","",CONCATENATE("Örnek kalem: ",$B487))</f>
        <v/>
      </c>
    </row>
    <row r="488" customFormat="false" ht="15" hidden="false" customHeight="false" outlineLevel="0" collapsed="false">
      <c r="L488" s="23" t="n">
        <f aca="false">IF($E488="",0,$D488*$E488*(1-$G488-$H488-$I488))</f>
        <v>0</v>
      </c>
      <c r="M488" s="23" t="n">
        <f aca="false">IF($E488="",0,$D488*$E488-($F488*$E488+$G488*$D488*$E488+$H488*$D488*$E488+$I488*$D488*$E488+$J488*$D488*$E488*(1-$G488)+$K488*$E488))</f>
        <v>0</v>
      </c>
      <c r="N488" s="23" t="str">
        <f aca="false">IF($B488="","",CONCATENATE("Örnek kalem: ",$B488))</f>
        <v/>
      </c>
    </row>
    <row r="489" customFormat="false" ht="15" hidden="false" customHeight="false" outlineLevel="0" collapsed="false">
      <c r="L489" s="23" t="n">
        <f aca="false">IF($E489="",0,$D489*$E489*(1-$G489-$H489-$I489))</f>
        <v>0</v>
      </c>
      <c r="M489" s="23" t="n">
        <f aca="false">IF($E489="",0,$D489*$E489-($F489*$E489+$G489*$D489*$E489+$H489*$D489*$E489+$I489*$D489*$E489+$J489*$D489*$E489*(1-$G489)+$K489*$E489))</f>
        <v>0</v>
      </c>
      <c r="N489" s="23" t="str">
        <f aca="false">IF($B489="","",CONCATENATE("Örnek kalem: ",$B489))</f>
        <v/>
      </c>
    </row>
    <row r="490" customFormat="false" ht="15" hidden="false" customHeight="false" outlineLevel="0" collapsed="false">
      <c r="L490" s="23" t="n">
        <f aca="false">IF($E490="",0,$D490*$E490*(1-$G490-$H490-$I490))</f>
        <v>0</v>
      </c>
      <c r="M490" s="23" t="n">
        <f aca="false">IF($E490="",0,$D490*$E490-($F490*$E490+$G490*$D490*$E490+$H490*$D490*$E490+$I490*$D490*$E490+$J490*$D490*$E490*(1-$G490)+$K490*$E490))</f>
        <v>0</v>
      </c>
      <c r="N490" s="23" t="str">
        <f aca="false">IF($B490="","",CONCATENATE("Örnek kalem: ",$B490))</f>
        <v/>
      </c>
    </row>
    <row r="491" customFormat="false" ht="15" hidden="false" customHeight="false" outlineLevel="0" collapsed="false">
      <c r="L491" s="23" t="n">
        <f aca="false">IF($E491="",0,$D491*$E491*(1-$G491-$H491-$I491))</f>
        <v>0</v>
      </c>
      <c r="M491" s="23" t="n">
        <f aca="false">IF($E491="",0,$D491*$E491-($F491*$E491+$G491*$D491*$E491+$H491*$D491*$E491+$I491*$D491*$E491+$J491*$D491*$E491*(1-$G491)+$K491*$E491))</f>
        <v>0</v>
      </c>
      <c r="N491" s="23" t="str">
        <f aca="false">IF($B491="","",CONCATENATE("Örnek kalem: ",$B491))</f>
        <v/>
      </c>
    </row>
    <row r="492" customFormat="false" ht="15" hidden="false" customHeight="false" outlineLevel="0" collapsed="false">
      <c r="L492" s="23" t="n">
        <f aca="false">IF($E492="",0,$D492*$E492*(1-$G492-$H492-$I492))</f>
        <v>0</v>
      </c>
      <c r="M492" s="23" t="n">
        <f aca="false">IF($E492="",0,$D492*$E492-($F492*$E492+$G492*$D492*$E492+$H492*$D492*$E492+$I492*$D492*$E492+$J492*$D492*$E492*(1-$G492)+$K492*$E492))</f>
        <v>0</v>
      </c>
      <c r="N492" s="23" t="str">
        <f aca="false">IF($B492="","",CONCATENATE("Örnek kalem: ",$B492))</f>
        <v/>
      </c>
    </row>
    <row r="493" customFormat="false" ht="15" hidden="false" customHeight="false" outlineLevel="0" collapsed="false">
      <c r="L493" s="23" t="n">
        <f aca="false">IF($E493="",0,$D493*$E493*(1-$G493-$H493-$I493))</f>
        <v>0</v>
      </c>
      <c r="M493" s="23" t="n">
        <f aca="false">IF($E493="",0,$D493*$E493-($F493*$E493+$G493*$D493*$E493+$H493*$D493*$E493+$I493*$D493*$E493+$J493*$D493*$E493*(1-$G493)+$K493*$E493))</f>
        <v>0</v>
      </c>
      <c r="N493" s="23" t="str">
        <f aca="false">IF($B493="","",CONCATENATE("Örnek kalem: ",$B493))</f>
        <v/>
      </c>
    </row>
    <row r="494" customFormat="false" ht="15" hidden="false" customHeight="false" outlineLevel="0" collapsed="false">
      <c r="L494" s="23" t="n">
        <f aca="false">IF($E494="",0,$D494*$E494*(1-$G494-$H494-$I494))</f>
        <v>0</v>
      </c>
      <c r="M494" s="23" t="n">
        <f aca="false">IF($E494="",0,$D494*$E494-($F494*$E494+$G494*$D494*$E494+$H494*$D494*$E494+$I494*$D494*$E494+$J494*$D494*$E494*(1-$G494)+$K494*$E494))</f>
        <v>0</v>
      </c>
      <c r="N494" s="23" t="str">
        <f aca="false">IF($B494="","",CONCATENATE("Örnek kalem: ",$B494))</f>
        <v/>
      </c>
    </row>
    <row r="495" customFormat="false" ht="15" hidden="false" customHeight="false" outlineLevel="0" collapsed="false">
      <c r="L495" s="23" t="n">
        <f aca="false">IF($E495="",0,$D495*$E495*(1-$G495-$H495-$I495))</f>
        <v>0</v>
      </c>
      <c r="M495" s="23" t="n">
        <f aca="false">IF($E495="",0,$D495*$E495-($F495*$E495+$G495*$D495*$E495+$H495*$D495*$E495+$I495*$D495*$E495+$J495*$D495*$E495*(1-$G495)+$K495*$E495))</f>
        <v>0</v>
      </c>
      <c r="N495" s="23" t="str">
        <f aca="false">IF($B495="","",CONCATENATE("Örnek kalem: ",$B495))</f>
        <v/>
      </c>
    </row>
    <row r="496" customFormat="false" ht="15" hidden="false" customHeight="false" outlineLevel="0" collapsed="false">
      <c r="L496" s="23" t="n">
        <f aca="false">IF($E496="",0,$D496*$E496*(1-$G496-$H496-$I496))</f>
        <v>0</v>
      </c>
      <c r="M496" s="23" t="n">
        <f aca="false">IF($E496="",0,$D496*$E496-($F496*$E496+$G496*$D496*$E496+$H496*$D496*$E496+$I496*$D496*$E496+$J496*$D496*$E496*(1-$G496)+$K496*$E496))</f>
        <v>0</v>
      </c>
      <c r="N496" s="23" t="str">
        <f aca="false">IF($B496="","",CONCATENATE("Örnek kalem: ",$B496))</f>
        <v/>
      </c>
    </row>
    <row r="497" customFormat="false" ht="15" hidden="false" customHeight="false" outlineLevel="0" collapsed="false">
      <c r="L497" s="23" t="n">
        <f aca="false">IF($E497="",0,$D497*$E497*(1-$G497-$H497-$I497))</f>
        <v>0</v>
      </c>
      <c r="M497" s="23" t="n">
        <f aca="false">IF($E497="",0,$D497*$E497-($F497*$E497+$G497*$D497*$E497+$H497*$D497*$E497+$I497*$D497*$E497+$J497*$D497*$E497*(1-$G497)+$K497*$E497))</f>
        <v>0</v>
      </c>
      <c r="N497" s="23" t="str">
        <f aca="false">IF($B497="","",CONCATENATE("Örnek kalem: ",$B497))</f>
        <v/>
      </c>
    </row>
    <row r="498" customFormat="false" ht="15" hidden="false" customHeight="false" outlineLevel="0" collapsed="false">
      <c r="L498" s="23" t="n">
        <f aca="false">IF($E498="",0,$D498*$E498*(1-$G498-$H498-$I498))</f>
        <v>0</v>
      </c>
      <c r="M498" s="23" t="n">
        <f aca="false">IF($E498="",0,$D498*$E498-($F498*$E498+$G498*$D498*$E498+$H498*$D498*$E498+$I498*$D498*$E498+$J498*$D498*$E498*(1-$G498)+$K498*$E498))</f>
        <v>0</v>
      </c>
      <c r="N498" s="23" t="str">
        <f aca="false">IF($B498="","",CONCATENATE("Örnek kalem: ",$B498))</f>
        <v/>
      </c>
    </row>
    <row r="499" customFormat="false" ht="15" hidden="false" customHeight="false" outlineLevel="0" collapsed="false">
      <c r="L499" s="23" t="n">
        <f aca="false">IF($E499="",0,$D499*$E499*(1-$G499-$H499-$I499))</f>
        <v>0</v>
      </c>
      <c r="M499" s="23" t="n">
        <f aca="false">IF($E499="",0,$D499*$E499-($F499*$E499+$G499*$D499*$E499+$H499*$D499*$E499+$I499*$D499*$E499+$J499*$D499*$E499*(1-$G499)+$K499*$E499))</f>
        <v>0</v>
      </c>
      <c r="N499" s="23" t="str">
        <f aca="false">IF($B499="","",CONCATENATE("Örnek kalem: ",$B499))</f>
        <v/>
      </c>
    </row>
    <row r="500" customFormat="false" ht="15" hidden="false" customHeight="false" outlineLevel="0" collapsed="false">
      <c r="L500" s="23" t="n">
        <f aca="false">IF($E500="",0,$D500*$E500*(1-$G500-$H500-$I500))</f>
        <v>0</v>
      </c>
      <c r="M500" s="23" t="n">
        <f aca="false">IF($E500="",0,$D500*$E500-($F500*$E500+$G500*$D500*$E500+$H500*$D500*$E500+$I500*$D500*$E500+$J500*$D500*$E500*(1-$G500)+$K500*$E500))</f>
        <v>0</v>
      </c>
      <c r="N500" s="23" t="str">
        <f aca="false">IF($B500="","",CONCATENATE("Örnek kalem: ",$B500))</f>
        <v/>
      </c>
    </row>
    <row r="501" customFormat="false" ht="15" hidden="false" customHeight="false" outlineLevel="0" collapsed="false">
      <c r="L501" s="23" t="n">
        <f aca="false">IF($E501="",0,$D501*$E501*(1-$G501-$H501-$I501))</f>
        <v>0</v>
      </c>
      <c r="M501" s="23" t="n">
        <f aca="false">IF($E501="",0,$D501*$E501-($F501*$E501+$G501*$D501*$E501+$H501*$D501*$E501+$I501*$D501*$E501+$J501*$D501*$E501*(1-$G501)+$K501*$E501))</f>
        <v>0</v>
      </c>
      <c r="N501" s="23" t="str">
        <f aca="false">IF($B501="","",CONCATENATE("Örnek kalem: ",$B501))</f>
        <v/>
      </c>
    </row>
    <row r="502" customFormat="false" ht="15" hidden="false" customHeight="false" outlineLevel="0" collapsed="false">
      <c r="L502" s="23" t="n">
        <f aca="false">IF($E502="",0,$D502*$E502*(1-$G502-$H502-$I502))</f>
        <v>0</v>
      </c>
      <c r="M502" s="23" t="n">
        <f aca="false">IF($E502="",0,$D502*$E502-($F502*$E502+$G502*$D502*$E502+$H502*$D502*$E502+$I502*$D502*$E502+$J502*$D502*$E502*(1-$G502)+$K502*$E502))</f>
        <v>0</v>
      </c>
      <c r="N502" s="23" t="str">
        <f aca="false">IF($B502="","",CONCATENATE("Örnek kalem: ",$B502))</f>
        <v/>
      </c>
    </row>
    <row r="503" customFormat="false" ht="15" hidden="false" customHeight="false" outlineLevel="0" collapsed="false">
      <c r="L503" s="23" t="n">
        <f aca="false">IF($E503="",0,$D503*$E503*(1-$G503-$H503-$I503))</f>
        <v>0</v>
      </c>
      <c r="M503" s="23" t="n">
        <f aca="false">IF($E503="",0,$D503*$E503-($F503*$E503+$G503*$D503*$E503+$H503*$D503*$E503+$I503*$D503*$E503+$J503*$D503*$E503*(1-$G503)+$K503*$E503))</f>
        <v>0</v>
      </c>
      <c r="N503" s="23" t="str">
        <f aca="false">IF($B503="","",CONCATENATE("Örnek kalem: ",$B503))</f>
        <v/>
      </c>
    </row>
    <row r="504" customFormat="false" ht="15" hidden="false" customHeight="false" outlineLevel="0" collapsed="false">
      <c r="L504" s="23" t="n">
        <f aca="false">IF($E504="",0,$D504*$E504*(1-$G504-$H504-$I504))</f>
        <v>0</v>
      </c>
      <c r="M504" s="23" t="n">
        <f aca="false">IF($E504="",0,$D504*$E504-($F504*$E504+$G504*$D504*$E504+$H504*$D504*$E504+$I504*$D504*$E504+$J504*$D504*$E504*(1-$G504)+$K504*$E504))</f>
        <v>0</v>
      </c>
      <c r="N504" s="23" t="str">
        <f aca="false">IF($B504="","",CONCATENATE("Örnek kalem: ",$B504))</f>
        <v/>
      </c>
    </row>
    <row r="505" customFormat="false" ht="15" hidden="false" customHeight="false" outlineLevel="0" collapsed="false">
      <c r="L505" s="23" t="n">
        <f aca="false">IF($E505="",0,$D505*$E505*(1-$G505-$H505-$I505))</f>
        <v>0</v>
      </c>
      <c r="M505" s="23" t="n">
        <f aca="false">IF($E505="",0,$D505*$E505-($F505*$E505+$G505*$D505*$E505+$H505*$D505*$E505+$I505*$D505*$E505+$J505*$D505*$E505*(1-$G505)+$K505*$E505))</f>
        <v>0</v>
      </c>
      <c r="N505" s="23" t="str">
        <f aca="false">IF($B505="","",CONCATENATE("Örnek kalem: ",$B505))</f>
        <v/>
      </c>
    </row>
    <row r="506" customFormat="false" ht="15" hidden="false" customHeight="false" outlineLevel="0" collapsed="false">
      <c r="L506" s="23" t="n">
        <f aca="false">IF($E506="",0,$D506*$E506*(1-$G506-$H506-$I506))</f>
        <v>0</v>
      </c>
      <c r="M506" s="23" t="n">
        <f aca="false">IF($E506="",0,$D506*$E506-($F506*$E506+$G506*$D506*$E506+$H506*$D506*$E506+$I506*$D506*$E506+$J506*$D506*$E506*(1-$G506)+$K506*$E506))</f>
        <v>0</v>
      </c>
      <c r="N506" s="23" t="str">
        <f aca="false">IF($B506="","",CONCATENATE("Örnek kalem: ",$B506))</f>
        <v/>
      </c>
    </row>
    <row r="507" customFormat="false" ht="15" hidden="false" customHeight="false" outlineLevel="0" collapsed="false">
      <c r="L507" s="23" t="n">
        <f aca="false">IF($E507="",0,$D507*$E507*(1-$G507-$H507-$I507))</f>
        <v>0</v>
      </c>
      <c r="M507" s="23" t="n">
        <f aca="false">IF($E507="",0,$D507*$E507-($F507*$E507+$G507*$D507*$E507+$H507*$D507*$E507+$I507*$D507*$E507+$J507*$D507*$E507*(1-$G507)+$K507*$E507))</f>
        <v>0</v>
      </c>
      <c r="N507" s="23" t="str">
        <f aca="false">IF($B507="","",CONCATENATE("Örnek kalem: ",$B507))</f>
        <v/>
      </c>
    </row>
    <row r="508" customFormat="false" ht="15" hidden="false" customHeight="false" outlineLevel="0" collapsed="false">
      <c r="L508" s="23" t="n">
        <f aca="false">IF($E508="",0,$D508*$E508*(1-$G508-$H508-$I508))</f>
        <v>0</v>
      </c>
      <c r="M508" s="23" t="n">
        <f aca="false">IF($E508="",0,$D508*$E508-($F508*$E508+$G508*$D508*$E508+$H508*$D508*$E508+$I508*$D508*$E508+$J508*$D508*$E508*(1-$G508)+$K508*$E508))</f>
        <v>0</v>
      </c>
      <c r="N508" s="23" t="str">
        <f aca="false">IF($B508="","",CONCATENATE("Örnek kalem: ",$B508))</f>
        <v/>
      </c>
    </row>
    <row r="509" customFormat="false" ht="15" hidden="false" customHeight="false" outlineLevel="0" collapsed="false">
      <c r="L509" s="23" t="n">
        <f aca="false">IF($E509="",0,$D509*$E509*(1-$G509-$H509-$I509))</f>
        <v>0</v>
      </c>
      <c r="M509" s="23" t="n">
        <f aca="false">IF($E509="",0,$D509*$E509-($F509*$E509+$G509*$D509*$E509+$H509*$D509*$E509+$I509*$D509*$E509+$J509*$D509*$E509*(1-$G509)+$K509*$E509))</f>
        <v>0</v>
      </c>
      <c r="N509" s="23" t="str">
        <f aca="false">IF($B509="","",CONCATENATE("Örnek kalem: ",$B509))</f>
        <v/>
      </c>
    </row>
    <row r="510" customFormat="false" ht="15" hidden="false" customHeight="false" outlineLevel="0" collapsed="false">
      <c r="L510" s="23" t="n">
        <f aca="false">IF($E510="",0,$D510*$E510*(1-$G510-$H510-$I510))</f>
        <v>0</v>
      </c>
      <c r="M510" s="23" t="n">
        <f aca="false">IF($E510="",0,$D510*$E510-($F510*$E510+$G510*$D510*$E510+$H510*$D510*$E510+$I510*$D510*$E510+$J510*$D510*$E510*(1-$G510)+$K510*$E510))</f>
        <v>0</v>
      </c>
      <c r="N510" s="23" t="str">
        <f aca="false">IF($B510="","",CONCATENATE("Örnek kalem: ",$B510))</f>
        <v/>
      </c>
    </row>
    <row r="511" customFormat="false" ht="15" hidden="false" customHeight="false" outlineLevel="0" collapsed="false">
      <c r="L511" s="23" t="n">
        <f aca="false">IF($E511="",0,$D511*$E511*(1-$G511-$H511-$I511))</f>
        <v>0</v>
      </c>
      <c r="M511" s="23" t="n">
        <f aca="false">IF($E511="",0,$D511*$E511-($F511*$E511+$G511*$D511*$E511+$H511*$D511*$E511+$I511*$D511*$E511+$J511*$D511*$E511*(1-$G511)+$K511*$E511))</f>
        <v>0</v>
      </c>
      <c r="N511" s="23" t="str">
        <f aca="false">IF($B511="","",CONCATENATE("Örnek kalem: ",$B511))</f>
        <v/>
      </c>
    </row>
    <row r="512" customFormat="false" ht="15" hidden="false" customHeight="false" outlineLevel="0" collapsed="false">
      <c r="L512" s="23" t="n">
        <f aca="false">IF($E512="",0,$D512*$E512*(1-$G512-$H512-$I512))</f>
        <v>0</v>
      </c>
      <c r="M512" s="23" t="n">
        <f aca="false">IF($E512="",0,$D512*$E512-($F512*$E512+$G512*$D512*$E512+$H512*$D512*$E512+$I512*$D512*$E512+$J512*$D512*$E512*(1-$G512)+$K512*$E512))</f>
        <v>0</v>
      </c>
      <c r="N512" s="23" t="str">
        <f aca="false">IF($B512="","",CONCATENATE("Örnek kalem: ",$B512))</f>
        <v/>
      </c>
    </row>
    <row r="513" customFormat="false" ht="15" hidden="false" customHeight="false" outlineLevel="0" collapsed="false">
      <c r="L513" s="23" t="n">
        <f aca="false">IF($E513="",0,$D513*$E513*(1-$G513-$H513-$I513))</f>
        <v>0</v>
      </c>
      <c r="M513" s="23" t="n">
        <f aca="false">IF($E513="",0,$D513*$E513-($F513*$E513+$G513*$D513*$E513+$H513*$D513*$E513+$I513*$D513*$E513+$J513*$D513*$E513*(1-$G513)+$K513*$E513))</f>
        <v>0</v>
      </c>
      <c r="N513" s="23" t="str">
        <f aca="false">IF($B513="","",CONCATENATE("Örnek kalem: ",$B513))</f>
        <v/>
      </c>
    </row>
    <row r="514" customFormat="false" ht="15" hidden="false" customHeight="false" outlineLevel="0" collapsed="false">
      <c r="L514" s="23" t="n">
        <f aca="false">IF($E514="",0,$D514*$E514*(1-$G514-$H514-$I514))</f>
        <v>0</v>
      </c>
      <c r="M514" s="23" t="n">
        <f aca="false">IF($E514="",0,$D514*$E514-($F514*$E514+$G514*$D514*$E514+$H514*$D514*$E514+$I514*$D514*$E514+$J514*$D514*$E514*(1-$G514)+$K514*$E514))</f>
        <v>0</v>
      </c>
      <c r="N514" s="23" t="str">
        <f aca="false">IF($B514="","",CONCATENATE("Örnek kalem: ",$B514))</f>
        <v/>
      </c>
    </row>
    <row r="515" customFormat="false" ht="15" hidden="false" customHeight="false" outlineLevel="0" collapsed="false">
      <c r="L515" s="23" t="n">
        <f aca="false">IF($E515="",0,$D515*$E515*(1-$G515-$H515-$I515))</f>
        <v>0</v>
      </c>
      <c r="M515" s="23" t="n">
        <f aca="false">IF($E515="",0,$D515*$E515-($F515*$E515+$G515*$D515*$E515+$H515*$D515*$E515+$I515*$D515*$E515+$J515*$D515*$E515*(1-$G515)+$K515*$E515))</f>
        <v>0</v>
      </c>
      <c r="N515" s="23" t="str">
        <f aca="false">IF($B515="","",CONCATENATE("Örnek kalem: ",$B515))</f>
        <v/>
      </c>
    </row>
    <row r="516" customFormat="false" ht="15" hidden="false" customHeight="false" outlineLevel="0" collapsed="false">
      <c r="L516" s="23" t="n">
        <f aca="false">IF($E516="",0,$D516*$E516*(1-$G516-$H516-$I516))</f>
        <v>0</v>
      </c>
      <c r="M516" s="23" t="n">
        <f aca="false">IF($E516="",0,$D516*$E516-($F516*$E516+$G516*$D516*$E516+$H516*$D516*$E516+$I516*$D516*$E516+$J516*$D516*$E516*(1-$G516)+$K516*$E516))</f>
        <v>0</v>
      </c>
      <c r="N516" s="23" t="str">
        <f aca="false">IF($B516="","",CONCATENATE("Örnek kalem: ",$B516))</f>
        <v/>
      </c>
    </row>
    <row r="517" customFormat="false" ht="15" hidden="false" customHeight="false" outlineLevel="0" collapsed="false">
      <c r="L517" s="23" t="n">
        <f aca="false">IF($E517="",0,$D517*$E517*(1-$G517-$H517-$I517))</f>
        <v>0</v>
      </c>
      <c r="M517" s="23" t="n">
        <f aca="false">IF($E517="",0,$D517*$E517-($F517*$E517+$G517*$D517*$E517+$H517*$D517*$E517+$I517*$D517*$E517+$J517*$D517*$E517*(1-$G517)+$K517*$E517))</f>
        <v>0</v>
      </c>
      <c r="N517" s="23" t="str">
        <f aca="false">IF($B517="","",CONCATENATE("Örnek kalem: ",$B517))</f>
        <v/>
      </c>
    </row>
    <row r="518" customFormat="false" ht="15" hidden="false" customHeight="false" outlineLevel="0" collapsed="false">
      <c r="L518" s="23" t="n">
        <f aca="false">IF($E518="",0,$D518*$E518*(1-$G518-$H518-$I518))</f>
        <v>0</v>
      </c>
      <c r="M518" s="23" t="n">
        <f aca="false">IF($E518="",0,$D518*$E518-($F518*$E518+$G518*$D518*$E518+$H518*$D518*$E518+$I518*$D518*$E518+$J518*$D518*$E518*(1-$G518)+$K518*$E518))</f>
        <v>0</v>
      </c>
      <c r="N518" s="23" t="str">
        <f aca="false">IF($B518="","",CONCATENATE("Örnek kalem: ",$B518))</f>
        <v/>
      </c>
    </row>
    <row r="519" customFormat="false" ht="15" hidden="false" customHeight="false" outlineLevel="0" collapsed="false">
      <c r="L519" s="23" t="n">
        <f aca="false">IF($E519="",0,$D519*$E519*(1-$G519-$H519-$I519))</f>
        <v>0</v>
      </c>
      <c r="M519" s="23" t="n">
        <f aca="false">IF($E519="",0,$D519*$E519-($F519*$E519+$G519*$D519*$E519+$H519*$D519*$E519+$I519*$D519*$E519+$J519*$D519*$E519*(1-$G519)+$K519*$E519))</f>
        <v>0</v>
      </c>
      <c r="N519" s="23" t="str">
        <f aca="false">IF($B519="","",CONCATENATE("Örnek kalem: ",$B519))</f>
        <v/>
      </c>
    </row>
    <row r="520" customFormat="false" ht="15" hidden="false" customHeight="false" outlineLevel="0" collapsed="false">
      <c r="L520" s="23" t="n">
        <f aca="false">IF($E520="",0,$D520*$E520*(1-$G520-$H520-$I520))</f>
        <v>0</v>
      </c>
      <c r="M520" s="23" t="n">
        <f aca="false">IF($E520="",0,$D520*$E520-($F520*$E520+$G520*$D520*$E520+$H520*$D520*$E520+$I520*$D520*$E520+$J520*$D520*$E520*(1-$G520)+$K520*$E520))</f>
        <v>0</v>
      </c>
      <c r="N520" s="23" t="str">
        <f aca="false">IF($B520="","",CONCATENATE("Örnek kalem: ",$B520))</f>
        <v/>
      </c>
    </row>
    <row r="521" customFormat="false" ht="15" hidden="false" customHeight="false" outlineLevel="0" collapsed="false">
      <c r="L521" s="23" t="n">
        <f aca="false">IF($E521="",0,$D521*$E521*(1-$G521-$H521-$I521))</f>
        <v>0</v>
      </c>
      <c r="M521" s="23" t="n">
        <f aca="false">IF($E521="",0,$D521*$E521-($F521*$E521+$G521*$D521*$E521+$H521*$D521*$E521+$I521*$D521*$E521+$J521*$D521*$E521*(1-$G521)+$K521*$E521))</f>
        <v>0</v>
      </c>
      <c r="N521" s="23" t="str">
        <f aca="false">IF($B521="","",CONCATENATE("Örnek kalem: ",$B521))</f>
        <v/>
      </c>
    </row>
    <row r="522" customFormat="false" ht="15" hidden="false" customHeight="false" outlineLevel="0" collapsed="false">
      <c r="L522" s="23" t="n">
        <f aca="false">IF($E522="",0,$D522*$E522*(1-$G522-$H522-$I522))</f>
        <v>0</v>
      </c>
      <c r="M522" s="23" t="n">
        <f aca="false">IF($E522="",0,$D522*$E522-($F522*$E522+$G522*$D522*$E522+$H522*$D522*$E522+$I522*$D522*$E522+$J522*$D522*$E522*(1-$G522)+$K522*$E522))</f>
        <v>0</v>
      </c>
      <c r="N522" s="23" t="str">
        <f aca="false">IF($B522="","",CONCATENATE("Örnek kalem: ",$B522))</f>
        <v/>
      </c>
    </row>
    <row r="523" customFormat="false" ht="15" hidden="false" customHeight="false" outlineLevel="0" collapsed="false">
      <c r="L523" s="23" t="n">
        <f aca="false">IF($E523="",0,$D523*$E523*(1-$G523-$H523-$I523))</f>
        <v>0</v>
      </c>
      <c r="M523" s="23" t="n">
        <f aca="false">IF($E523="",0,$D523*$E523-($F523*$E523+$G523*$D523*$E523+$H523*$D523*$E523+$I523*$D523*$E523+$J523*$D523*$E523*(1-$G523)+$K523*$E523))</f>
        <v>0</v>
      </c>
      <c r="N523" s="23" t="str">
        <f aca="false">IF($B523="","",CONCATENATE("Örnek kalem: ",$B523))</f>
        <v/>
      </c>
    </row>
    <row r="524" customFormat="false" ht="15" hidden="false" customHeight="false" outlineLevel="0" collapsed="false">
      <c r="L524" s="23" t="n">
        <f aca="false">IF($E524="",0,$D524*$E524*(1-$G524-$H524-$I524))</f>
        <v>0</v>
      </c>
      <c r="M524" s="23" t="n">
        <f aca="false">IF($E524="",0,$D524*$E524-($F524*$E524+$G524*$D524*$E524+$H524*$D524*$E524+$I524*$D524*$E524+$J524*$D524*$E524*(1-$G524)+$K524*$E524))</f>
        <v>0</v>
      </c>
      <c r="N524" s="23" t="str">
        <f aca="false">IF($B524="","",CONCATENATE("Örnek kalem: ",$B524))</f>
        <v/>
      </c>
    </row>
    <row r="525" customFormat="false" ht="15" hidden="false" customHeight="false" outlineLevel="0" collapsed="false">
      <c r="L525" s="23" t="n">
        <f aca="false">IF($E525="",0,$D525*$E525*(1-$G525-$H525-$I525))</f>
        <v>0</v>
      </c>
      <c r="M525" s="23" t="n">
        <f aca="false">IF($E525="",0,$D525*$E525-($F525*$E525+$G525*$D525*$E525+$H525*$D525*$E525+$I525*$D525*$E525+$J525*$D525*$E525*(1-$G525)+$K525*$E525))</f>
        <v>0</v>
      </c>
      <c r="N525" s="23" t="str">
        <f aca="false">IF($B525="","",CONCATENATE("Örnek kalem: ",$B525))</f>
        <v/>
      </c>
    </row>
    <row r="526" customFormat="false" ht="15" hidden="false" customHeight="false" outlineLevel="0" collapsed="false">
      <c r="L526" s="23" t="n">
        <f aca="false">IF($E526="",0,$D526*$E526*(1-$G526-$H526-$I526))</f>
        <v>0</v>
      </c>
      <c r="M526" s="23" t="n">
        <f aca="false">IF($E526="",0,$D526*$E526-($F526*$E526+$G526*$D526*$E526+$H526*$D526*$E526+$I526*$D526*$E526+$J526*$D526*$E526*(1-$G526)+$K526*$E526))</f>
        <v>0</v>
      </c>
      <c r="N526" s="23" t="str">
        <f aca="false">IF($B526="","",CONCATENATE("Örnek kalem: ",$B526))</f>
        <v/>
      </c>
    </row>
    <row r="527" customFormat="false" ht="15" hidden="false" customHeight="false" outlineLevel="0" collapsed="false">
      <c r="L527" s="23" t="n">
        <f aca="false">IF($E527="",0,$D527*$E527*(1-$G527-$H527-$I527))</f>
        <v>0</v>
      </c>
      <c r="M527" s="23" t="n">
        <f aca="false">IF($E527="",0,$D527*$E527-($F527*$E527+$G527*$D527*$E527+$H527*$D527*$E527+$I527*$D527*$E527+$J527*$D527*$E527*(1-$G527)+$K527*$E527))</f>
        <v>0</v>
      </c>
      <c r="N527" s="23" t="str">
        <f aca="false">IF($B527="","",CONCATENATE("Örnek kalem: ",$B527))</f>
        <v/>
      </c>
    </row>
    <row r="528" customFormat="false" ht="15" hidden="false" customHeight="false" outlineLevel="0" collapsed="false">
      <c r="L528" s="23" t="n">
        <f aca="false">IF($E528="",0,$D528*$E528*(1-$G528-$H528-$I528))</f>
        <v>0</v>
      </c>
      <c r="M528" s="23" t="n">
        <f aca="false">IF($E528="",0,$D528*$E528-($F528*$E528+$G528*$D528*$E528+$H528*$D528*$E528+$I528*$D528*$E528+$J528*$D528*$E528*(1-$G528)+$K528*$E528))</f>
        <v>0</v>
      </c>
      <c r="N528" s="23" t="str">
        <f aca="false">IF($B528="","",CONCATENATE("Örnek kalem: ",$B528))</f>
        <v/>
      </c>
    </row>
    <row r="529" customFormat="false" ht="15" hidden="false" customHeight="false" outlineLevel="0" collapsed="false">
      <c r="L529" s="23" t="n">
        <f aca="false">IF($E529="",0,$D529*$E529*(1-$G529-$H529-$I529))</f>
        <v>0</v>
      </c>
      <c r="M529" s="23" t="n">
        <f aca="false">IF($E529="",0,$D529*$E529-($F529*$E529+$G529*$D529*$E529+$H529*$D529*$E529+$I529*$D529*$E529+$J529*$D529*$E529*(1-$G529)+$K529*$E529))</f>
        <v>0</v>
      </c>
      <c r="N529" s="23" t="str">
        <f aca="false">IF($B529="","",CONCATENATE("Örnek kalem: ",$B529))</f>
        <v/>
      </c>
    </row>
    <row r="530" customFormat="false" ht="15" hidden="false" customHeight="false" outlineLevel="0" collapsed="false">
      <c r="L530" s="23" t="n">
        <f aca="false">IF($E530="",0,$D530*$E530*(1-$G530-$H530-$I530))</f>
        <v>0</v>
      </c>
      <c r="M530" s="23" t="n">
        <f aca="false">IF($E530="",0,$D530*$E530-($F530*$E530+$G530*$D530*$E530+$H530*$D530*$E530+$I530*$D530*$E530+$J530*$D530*$E530*(1-$G530)+$K530*$E530))</f>
        <v>0</v>
      </c>
      <c r="N530" s="23" t="str">
        <f aca="false">IF($B530="","",CONCATENATE("Örnek kalem: ",$B530))</f>
        <v/>
      </c>
    </row>
    <row r="531" customFormat="false" ht="15" hidden="false" customHeight="false" outlineLevel="0" collapsed="false">
      <c r="L531" s="23" t="n">
        <f aca="false">IF($E531="",0,$D531*$E531*(1-$G531-$H531-$I531))</f>
        <v>0</v>
      </c>
      <c r="M531" s="23" t="n">
        <f aca="false">IF($E531="",0,$D531*$E531-($F531*$E531+$G531*$D531*$E531+$H531*$D531*$E531+$I531*$D531*$E531+$J531*$D531*$E531*(1-$G531)+$K531*$E531))</f>
        <v>0</v>
      </c>
      <c r="N531" s="23" t="str">
        <f aca="false">IF($B531="","",CONCATENATE("Örnek kalem: ",$B531))</f>
        <v/>
      </c>
    </row>
    <row r="532" customFormat="false" ht="15" hidden="false" customHeight="false" outlineLevel="0" collapsed="false">
      <c r="L532" s="23" t="n">
        <f aca="false">IF($E532="",0,$D532*$E532*(1-$G532-$H532-$I532))</f>
        <v>0</v>
      </c>
      <c r="M532" s="23" t="n">
        <f aca="false">IF($E532="",0,$D532*$E532-($F532*$E532+$G532*$D532*$E532+$H532*$D532*$E532+$I532*$D532*$E532+$J532*$D532*$E532*(1-$G532)+$K532*$E532))</f>
        <v>0</v>
      </c>
      <c r="N532" s="23" t="str">
        <f aca="false">IF($B532="","",CONCATENATE("Örnek kalem: ",$B532))</f>
        <v/>
      </c>
    </row>
    <row r="533" customFormat="false" ht="15" hidden="false" customHeight="false" outlineLevel="0" collapsed="false">
      <c r="L533" s="23" t="n">
        <f aca="false">IF($E533="",0,$D533*$E533*(1-$G533-$H533-$I533))</f>
        <v>0</v>
      </c>
      <c r="M533" s="23" t="n">
        <f aca="false">IF($E533="",0,$D533*$E533-($F533*$E533+$G533*$D533*$E533+$H533*$D533*$E533+$I533*$D533*$E533+$J533*$D533*$E533*(1-$G533)+$K533*$E533))</f>
        <v>0</v>
      </c>
      <c r="N533" s="23" t="str">
        <f aca="false">IF($B533="","",CONCATENATE("Örnek kalem: ",$B533))</f>
        <v/>
      </c>
    </row>
    <row r="534" customFormat="false" ht="15" hidden="false" customHeight="false" outlineLevel="0" collapsed="false">
      <c r="L534" s="23" t="n">
        <f aca="false">IF($E534="",0,$D534*$E534*(1-$G534-$H534-$I534))</f>
        <v>0</v>
      </c>
      <c r="M534" s="23" t="n">
        <f aca="false">IF($E534="",0,$D534*$E534-($F534*$E534+$G534*$D534*$E534+$H534*$D534*$E534+$I534*$D534*$E534+$J534*$D534*$E534*(1-$G534)+$K534*$E534))</f>
        <v>0</v>
      </c>
      <c r="N534" s="23" t="str">
        <f aca="false">IF($B534="","",CONCATENATE("Örnek kalem: ",$B534))</f>
        <v/>
      </c>
    </row>
    <row r="535" customFormat="false" ht="15" hidden="false" customHeight="false" outlineLevel="0" collapsed="false">
      <c r="L535" s="23" t="n">
        <f aca="false">IF($E535="",0,$D535*$E535*(1-$G535-$H535-$I535))</f>
        <v>0</v>
      </c>
      <c r="M535" s="23" t="n">
        <f aca="false">IF($E535="",0,$D535*$E535-($F535*$E535+$G535*$D535*$E535+$H535*$D535*$E535+$I535*$D535*$E535+$J535*$D535*$E535*(1-$G535)+$K535*$E535))</f>
        <v>0</v>
      </c>
      <c r="N535" s="23" t="str">
        <f aca="false">IF($B535="","",CONCATENATE("Örnek kalem: ",$B535))</f>
        <v/>
      </c>
    </row>
    <row r="536" customFormat="false" ht="15" hidden="false" customHeight="false" outlineLevel="0" collapsed="false">
      <c r="L536" s="23" t="n">
        <f aca="false">IF($E536="",0,$D536*$E536*(1-$G536-$H536-$I536))</f>
        <v>0</v>
      </c>
      <c r="M536" s="23" t="n">
        <f aca="false">IF($E536="",0,$D536*$E536-($F536*$E536+$G536*$D536*$E536+$H536*$D536*$E536+$I536*$D536*$E536+$J536*$D536*$E536*(1-$G536)+$K536*$E536))</f>
        <v>0</v>
      </c>
      <c r="N536" s="23" t="str">
        <f aca="false">IF($B536="","",CONCATENATE("Örnek kalem: ",$B536))</f>
        <v/>
      </c>
    </row>
    <row r="537" customFormat="false" ht="15" hidden="false" customHeight="false" outlineLevel="0" collapsed="false">
      <c r="L537" s="23" t="n">
        <f aca="false">IF($E537="",0,$D537*$E537*(1-$G537-$H537-$I537))</f>
        <v>0</v>
      </c>
      <c r="M537" s="23" t="n">
        <f aca="false">IF($E537="",0,$D537*$E537-($F537*$E537+$G537*$D537*$E537+$H537*$D537*$E537+$I537*$D537*$E537+$J537*$D537*$E537*(1-$G537)+$K537*$E537))</f>
        <v>0</v>
      </c>
      <c r="N537" s="23" t="str">
        <f aca="false">IF($B537="","",CONCATENATE("Örnek kalem: ",$B537))</f>
        <v/>
      </c>
    </row>
    <row r="538" customFormat="false" ht="15" hidden="false" customHeight="false" outlineLevel="0" collapsed="false">
      <c r="L538" s="23" t="n">
        <f aca="false">IF($E538="",0,$D538*$E538*(1-$G538-$H538-$I538))</f>
        <v>0</v>
      </c>
      <c r="M538" s="23" t="n">
        <f aca="false">IF($E538="",0,$D538*$E538-($F538*$E538+$G538*$D538*$E538+$H538*$D538*$E538+$I538*$D538*$E538+$J538*$D538*$E538*(1-$G538)+$K538*$E538))</f>
        <v>0</v>
      </c>
      <c r="N538" s="23" t="str">
        <f aca="false">IF($B538="","",CONCATENATE("Örnek kalem: ",$B538))</f>
        <v/>
      </c>
    </row>
    <row r="539" customFormat="false" ht="15" hidden="false" customHeight="false" outlineLevel="0" collapsed="false">
      <c r="L539" s="23" t="n">
        <f aca="false">IF($E539="",0,$D539*$E539*(1-$G539-$H539-$I539))</f>
        <v>0</v>
      </c>
      <c r="M539" s="23" t="n">
        <f aca="false">IF($E539="",0,$D539*$E539-($F539*$E539+$G539*$D539*$E539+$H539*$D539*$E539+$I539*$D539*$E539+$J539*$D539*$E539*(1-$G539)+$K539*$E539))</f>
        <v>0</v>
      </c>
      <c r="N539" s="23" t="str">
        <f aca="false">IF($B539="","",CONCATENATE("Örnek kalem: ",$B539))</f>
        <v/>
      </c>
    </row>
    <row r="540" customFormat="false" ht="15" hidden="false" customHeight="false" outlineLevel="0" collapsed="false">
      <c r="L540" s="23" t="n">
        <f aca="false">IF($E540="",0,$D540*$E540*(1-$G540-$H540-$I540))</f>
        <v>0</v>
      </c>
      <c r="M540" s="23" t="n">
        <f aca="false">IF($E540="",0,$D540*$E540-($F540*$E540+$G540*$D540*$E540+$H540*$D540*$E540+$I540*$D540*$E540+$J540*$D540*$E540*(1-$G540)+$K540*$E540))</f>
        <v>0</v>
      </c>
      <c r="N540" s="23" t="str">
        <f aca="false">IF($B540="","",CONCATENATE("Örnek kalem: ",$B540))</f>
        <v/>
      </c>
    </row>
    <row r="541" customFormat="false" ht="15" hidden="false" customHeight="false" outlineLevel="0" collapsed="false">
      <c r="L541" s="23" t="n">
        <f aca="false">IF($E541="",0,$D541*$E541*(1-$G541-$H541-$I541))</f>
        <v>0</v>
      </c>
      <c r="M541" s="23" t="n">
        <f aca="false">IF($E541="",0,$D541*$E541-($F541*$E541+$G541*$D541*$E541+$H541*$D541*$E541+$I541*$D541*$E541+$J541*$D541*$E541*(1-$G541)+$K541*$E541))</f>
        <v>0</v>
      </c>
      <c r="N541" s="23" t="str">
        <f aca="false">IF($B541="","",CONCATENATE("Örnek kalem: ",$B541))</f>
        <v/>
      </c>
    </row>
    <row r="542" customFormat="false" ht="15" hidden="false" customHeight="false" outlineLevel="0" collapsed="false">
      <c r="L542" s="23" t="n">
        <f aca="false">IF($E542="",0,$D542*$E542*(1-$G542-$H542-$I542))</f>
        <v>0</v>
      </c>
      <c r="M542" s="23" t="n">
        <f aca="false">IF($E542="",0,$D542*$E542-($F542*$E542+$G542*$D542*$E542+$H542*$D542*$E542+$I542*$D542*$E542+$J542*$D542*$E542*(1-$G542)+$K542*$E542))</f>
        <v>0</v>
      </c>
      <c r="N542" s="23" t="str">
        <f aca="false">IF($B542="","",CONCATENATE("Örnek kalem: ",$B542))</f>
        <v/>
      </c>
    </row>
    <row r="543" customFormat="false" ht="15" hidden="false" customHeight="false" outlineLevel="0" collapsed="false">
      <c r="L543" s="23" t="n">
        <f aca="false">IF($E543="",0,$D543*$E543*(1-$G543-$H543-$I543))</f>
        <v>0</v>
      </c>
      <c r="M543" s="23" t="n">
        <f aca="false">IF($E543="",0,$D543*$E543-($F543*$E543+$G543*$D543*$E543+$H543*$D543*$E543+$I543*$D543*$E543+$J543*$D543*$E543*(1-$G543)+$K543*$E543))</f>
        <v>0</v>
      </c>
      <c r="N543" s="23" t="str">
        <f aca="false">IF($B543="","",CONCATENATE("Örnek kalem: ",$B543))</f>
        <v/>
      </c>
    </row>
    <row r="544" customFormat="false" ht="15" hidden="false" customHeight="false" outlineLevel="0" collapsed="false">
      <c r="L544" s="23" t="n">
        <f aca="false">IF($E544="",0,$D544*$E544*(1-$G544-$H544-$I544))</f>
        <v>0</v>
      </c>
      <c r="M544" s="23" t="n">
        <f aca="false">IF($E544="",0,$D544*$E544-($F544*$E544+$G544*$D544*$E544+$H544*$D544*$E544+$I544*$D544*$E544+$J544*$D544*$E544*(1-$G544)+$K544*$E544))</f>
        <v>0</v>
      </c>
      <c r="N544" s="23" t="str">
        <f aca="false">IF($B544="","",CONCATENATE("Örnek kalem: ",$B544))</f>
        <v/>
      </c>
    </row>
    <row r="545" customFormat="false" ht="15" hidden="false" customHeight="false" outlineLevel="0" collapsed="false">
      <c r="L545" s="23" t="n">
        <f aca="false">IF($E545="",0,$D545*$E545*(1-$G545-$H545-$I545))</f>
        <v>0</v>
      </c>
      <c r="M545" s="23" t="n">
        <f aca="false">IF($E545="",0,$D545*$E545-($F545*$E545+$G545*$D545*$E545+$H545*$D545*$E545+$I545*$D545*$E545+$J545*$D545*$E545*(1-$G545)+$K545*$E545))</f>
        <v>0</v>
      </c>
      <c r="N545" s="23" t="str">
        <f aca="false">IF($B545="","",CONCATENATE("Örnek kalem: ",$B545))</f>
        <v/>
      </c>
    </row>
    <row r="546" customFormat="false" ht="15" hidden="false" customHeight="false" outlineLevel="0" collapsed="false">
      <c r="L546" s="23" t="n">
        <f aca="false">IF($E546="",0,$D546*$E546*(1-$G546-$H546-$I546))</f>
        <v>0</v>
      </c>
      <c r="M546" s="23" t="n">
        <f aca="false">IF($E546="",0,$D546*$E546-($F546*$E546+$G546*$D546*$E546+$H546*$D546*$E546+$I546*$D546*$E546+$J546*$D546*$E546*(1-$G546)+$K546*$E546))</f>
        <v>0</v>
      </c>
      <c r="N546" s="23" t="str">
        <f aca="false">IF($B546="","",CONCATENATE("Örnek kalem: ",$B546))</f>
        <v/>
      </c>
    </row>
    <row r="547" customFormat="false" ht="15" hidden="false" customHeight="false" outlineLevel="0" collapsed="false">
      <c r="L547" s="23" t="n">
        <f aca="false">IF($E547="",0,$D547*$E547*(1-$G547-$H547-$I547))</f>
        <v>0</v>
      </c>
      <c r="M547" s="23" t="n">
        <f aca="false">IF($E547="",0,$D547*$E547-($F547*$E547+$G547*$D547*$E547+$H547*$D547*$E547+$I547*$D547*$E547+$J547*$D547*$E547*(1-$G547)+$K547*$E547))</f>
        <v>0</v>
      </c>
      <c r="N547" s="23" t="str">
        <f aca="false">IF($B547="","",CONCATENATE("Örnek kalem: ",$B547))</f>
        <v/>
      </c>
    </row>
    <row r="548" customFormat="false" ht="15" hidden="false" customHeight="false" outlineLevel="0" collapsed="false">
      <c r="L548" s="23" t="n">
        <f aca="false">IF($E548="",0,$D548*$E548*(1-$G548-$H548-$I548))</f>
        <v>0</v>
      </c>
      <c r="M548" s="23" t="n">
        <f aca="false">IF($E548="",0,$D548*$E548-($F548*$E548+$G548*$D548*$E548+$H548*$D548*$E548+$I548*$D548*$E548+$J548*$D548*$E548*(1-$G548)+$K548*$E548))</f>
        <v>0</v>
      </c>
      <c r="N548" s="23" t="str">
        <f aca="false">IF($B548="","",CONCATENATE("Örnek kalem: ",$B548))</f>
        <v/>
      </c>
    </row>
    <row r="549" customFormat="false" ht="15" hidden="false" customHeight="false" outlineLevel="0" collapsed="false">
      <c r="L549" s="23" t="n">
        <f aca="false">IF($E549="",0,$D549*$E549*(1-$G549-$H549-$I549))</f>
        <v>0</v>
      </c>
      <c r="M549" s="23" t="n">
        <f aca="false">IF($E549="",0,$D549*$E549-($F549*$E549+$G549*$D549*$E549+$H549*$D549*$E549+$I549*$D549*$E549+$J549*$D549*$E549*(1-$G549)+$K549*$E549))</f>
        <v>0</v>
      </c>
      <c r="N549" s="23" t="str">
        <f aca="false">IF($B549="","",CONCATENATE("Örnek kalem: ",$B549))</f>
        <v/>
      </c>
    </row>
    <row r="550" customFormat="false" ht="15" hidden="false" customHeight="false" outlineLevel="0" collapsed="false">
      <c r="L550" s="23" t="n">
        <f aca="false">IF($E550="",0,$D550*$E550*(1-$G550-$H550-$I550))</f>
        <v>0</v>
      </c>
      <c r="M550" s="23" t="n">
        <f aca="false">IF($E550="",0,$D550*$E550-($F550*$E550+$G550*$D550*$E550+$H550*$D550*$E550+$I550*$D550*$E550+$J550*$D550*$E550*(1-$G550)+$K550*$E550))</f>
        <v>0</v>
      </c>
      <c r="N550" s="23" t="str">
        <f aca="false">IF($B550="","",CONCATENATE("Örnek kalem: ",$B550))</f>
        <v/>
      </c>
    </row>
    <row r="551" customFormat="false" ht="15" hidden="false" customHeight="false" outlineLevel="0" collapsed="false">
      <c r="L551" s="23" t="n">
        <f aca="false">IF($E551="",0,$D551*$E551*(1-$G551-$H551-$I551))</f>
        <v>0</v>
      </c>
      <c r="M551" s="23" t="n">
        <f aca="false">IF($E551="",0,$D551*$E551-($F551*$E551+$G551*$D551*$E551+$H551*$D551*$E551+$I551*$D551*$E551+$J551*$D551*$E551*(1-$G551)+$K551*$E551))</f>
        <v>0</v>
      </c>
      <c r="N551" s="23" t="str">
        <f aca="false">IF($B551="","",CONCATENATE("Örnek kalem: ",$B551))</f>
        <v/>
      </c>
    </row>
    <row r="552" customFormat="false" ht="15" hidden="false" customHeight="false" outlineLevel="0" collapsed="false">
      <c r="L552" s="23" t="n">
        <f aca="false">IF($E552="",0,$D552*$E552*(1-$G552-$H552-$I552))</f>
        <v>0</v>
      </c>
      <c r="M552" s="23" t="n">
        <f aca="false">IF($E552="",0,$D552*$E552-($F552*$E552+$G552*$D552*$E552+$H552*$D552*$E552+$I552*$D552*$E552+$J552*$D552*$E552*(1-$G552)+$K552*$E552))</f>
        <v>0</v>
      </c>
      <c r="N552" s="23" t="str">
        <f aca="false">IF($B552="","",CONCATENATE("Örnek kalem: ",$B552))</f>
        <v/>
      </c>
    </row>
    <row r="553" customFormat="false" ht="15" hidden="false" customHeight="false" outlineLevel="0" collapsed="false">
      <c r="L553" s="23" t="n">
        <f aca="false">IF($E553="",0,$D553*$E553*(1-$G553-$H553-$I553))</f>
        <v>0</v>
      </c>
      <c r="M553" s="23" t="n">
        <f aca="false">IF($E553="",0,$D553*$E553-($F553*$E553+$G553*$D553*$E553+$H553*$D553*$E553+$I553*$D553*$E553+$J553*$D553*$E553*(1-$G553)+$K553*$E553))</f>
        <v>0</v>
      </c>
      <c r="N553" s="23" t="str">
        <f aca="false">IF($B553="","",CONCATENATE("Örnek kalem: ",$B553))</f>
        <v/>
      </c>
    </row>
    <row r="554" customFormat="false" ht="15" hidden="false" customHeight="false" outlineLevel="0" collapsed="false">
      <c r="L554" s="23" t="n">
        <f aca="false">IF($E554="",0,$D554*$E554*(1-$G554-$H554-$I554))</f>
        <v>0</v>
      </c>
      <c r="M554" s="23" t="n">
        <f aca="false">IF($E554="",0,$D554*$E554-($F554*$E554+$G554*$D554*$E554+$H554*$D554*$E554+$I554*$D554*$E554+$J554*$D554*$E554*(1-$G554)+$K554*$E554))</f>
        <v>0</v>
      </c>
      <c r="N554" s="23" t="str">
        <f aca="false">IF($B554="","",CONCATENATE("Örnek kalem: ",$B554))</f>
        <v/>
      </c>
    </row>
    <row r="555" customFormat="false" ht="15" hidden="false" customHeight="false" outlineLevel="0" collapsed="false">
      <c r="L555" s="23" t="n">
        <f aca="false">IF($E555="",0,$D555*$E555*(1-$G555-$H555-$I555))</f>
        <v>0</v>
      </c>
      <c r="M555" s="23" t="n">
        <f aca="false">IF($E555="",0,$D555*$E555-($F555*$E555+$G555*$D555*$E555+$H555*$D555*$E555+$I555*$D555*$E555+$J555*$D555*$E555*(1-$G555)+$K555*$E555))</f>
        <v>0</v>
      </c>
      <c r="N555" s="23" t="str">
        <f aca="false">IF($B555="","",CONCATENATE("Örnek kalem: ",$B555))</f>
        <v/>
      </c>
    </row>
    <row r="556" customFormat="false" ht="15" hidden="false" customHeight="false" outlineLevel="0" collapsed="false">
      <c r="L556" s="23" t="n">
        <f aca="false">IF($E556="",0,$D556*$E556*(1-$G556-$H556-$I556))</f>
        <v>0</v>
      </c>
      <c r="M556" s="23" t="n">
        <f aca="false">IF($E556="",0,$D556*$E556-($F556*$E556+$G556*$D556*$E556+$H556*$D556*$E556+$I556*$D556*$E556+$J556*$D556*$E556*(1-$G556)+$K556*$E556))</f>
        <v>0</v>
      </c>
      <c r="N556" s="23" t="str">
        <f aca="false">IF($B556="","",CONCATENATE("Örnek kalem: ",$B556))</f>
        <v/>
      </c>
    </row>
    <row r="557" customFormat="false" ht="15" hidden="false" customHeight="false" outlineLevel="0" collapsed="false">
      <c r="L557" s="23" t="n">
        <f aca="false">IF($E557="",0,$D557*$E557*(1-$G557-$H557-$I557))</f>
        <v>0</v>
      </c>
      <c r="M557" s="23" t="n">
        <f aca="false">IF($E557="",0,$D557*$E557-($F557*$E557+$G557*$D557*$E557+$H557*$D557*$E557+$I557*$D557*$E557+$J557*$D557*$E557*(1-$G557)+$K557*$E557))</f>
        <v>0</v>
      </c>
      <c r="N557" s="23" t="str">
        <f aca="false">IF($B557="","",CONCATENATE("Örnek kalem: ",$B557))</f>
        <v/>
      </c>
    </row>
    <row r="558" customFormat="false" ht="15" hidden="false" customHeight="false" outlineLevel="0" collapsed="false">
      <c r="L558" s="23" t="n">
        <f aca="false">IF($E558="",0,$D558*$E558*(1-$G558-$H558-$I558))</f>
        <v>0</v>
      </c>
      <c r="M558" s="23" t="n">
        <f aca="false">IF($E558="",0,$D558*$E558-($F558*$E558+$G558*$D558*$E558+$H558*$D558*$E558+$I558*$D558*$E558+$J558*$D558*$E558*(1-$G558)+$K558*$E558))</f>
        <v>0</v>
      </c>
      <c r="N558" s="23" t="str">
        <f aca="false">IF($B558="","",CONCATENATE("Örnek kalem: ",$B558))</f>
        <v/>
      </c>
    </row>
    <row r="559" customFormat="false" ht="15" hidden="false" customHeight="false" outlineLevel="0" collapsed="false">
      <c r="L559" s="23" t="n">
        <f aca="false">IF($E559="",0,$D559*$E559*(1-$G559-$H559-$I559))</f>
        <v>0</v>
      </c>
      <c r="M559" s="23" t="n">
        <f aca="false">IF($E559="",0,$D559*$E559-($F559*$E559+$G559*$D559*$E559+$H559*$D559*$E559+$I559*$D559*$E559+$J559*$D559*$E559*(1-$G559)+$K559*$E559))</f>
        <v>0</v>
      </c>
      <c r="N559" s="23" t="str">
        <f aca="false">IF($B559="","",CONCATENATE("Örnek kalem: ",$B559))</f>
        <v/>
      </c>
    </row>
    <row r="560" customFormat="false" ht="15" hidden="false" customHeight="false" outlineLevel="0" collapsed="false">
      <c r="L560" s="23" t="n">
        <f aca="false">IF($E560="",0,$D560*$E560*(1-$G560-$H560-$I560))</f>
        <v>0</v>
      </c>
      <c r="M560" s="23" t="n">
        <f aca="false">IF($E560="",0,$D560*$E560-($F560*$E560+$G560*$D560*$E560+$H560*$D560*$E560+$I560*$D560*$E560+$J560*$D560*$E560*(1-$G560)+$K560*$E560))</f>
        <v>0</v>
      </c>
      <c r="N560" s="23" t="str">
        <f aca="false">IF($B560="","",CONCATENATE("Örnek kalem: ",$B560))</f>
        <v/>
      </c>
    </row>
    <row r="561" customFormat="false" ht="15" hidden="false" customHeight="false" outlineLevel="0" collapsed="false">
      <c r="L561" s="23" t="n">
        <f aca="false">IF($E561="",0,$D561*$E561*(1-$G561-$H561-$I561))</f>
        <v>0</v>
      </c>
      <c r="M561" s="23" t="n">
        <f aca="false">IF($E561="",0,$D561*$E561-($F561*$E561+$G561*$D561*$E561+$H561*$D561*$E561+$I561*$D561*$E561+$J561*$D561*$E561*(1-$G561)+$K561*$E561))</f>
        <v>0</v>
      </c>
      <c r="N561" s="23" t="str">
        <f aca="false">IF($B561="","",CONCATENATE("Örnek kalem: ",$B561))</f>
        <v/>
      </c>
    </row>
    <row r="562" customFormat="false" ht="15" hidden="false" customHeight="false" outlineLevel="0" collapsed="false">
      <c r="L562" s="23" t="n">
        <f aca="false">IF($E562="",0,$D562*$E562*(1-$G562-$H562-$I562))</f>
        <v>0</v>
      </c>
      <c r="M562" s="23" t="n">
        <f aca="false">IF($E562="",0,$D562*$E562-($F562*$E562+$G562*$D562*$E562+$H562*$D562*$E562+$I562*$D562*$E562+$J562*$D562*$E562*(1-$G562)+$K562*$E562))</f>
        <v>0</v>
      </c>
      <c r="N562" s="23" t="str">
        <f aca="false">IF($B562="","",CONCATENATE("Örnek kalem: ",$B562))</f>
        <v/>
      </c>
    </row>
    <row r="563" customFormat="false" ht="15" hidden="false" customHeight="false" outlineLevel="0" collapsed="false">
      <c r="L563" s="23" t="n">
        <f aca="false">IF($E563="",0,$D563*$E563*(1-$G563-$H563-$I563))</f>
        <v>0</v>
      </c>
      <c r="M563" s="23" t="n">
        <f aca="false">IF($E563="",0,$D563*$E563-($F563*$E563+$G563*$D563*$E563+$H563*$D563*$E563+$I563*$D563*$E563+$J563*$D563*$E563*(1-$G563)+$K563*$E563))</f>
        <v>0</v>
      </c>
      <c r="N563" s="23" t="str">
        <f aca="false">IF($B563="","",CONCATENATE("Örnek kalem: ",$B563))</f>
        <v/>
      </c>
    </row>
    <row r="564" customFormat="false" ht="15" hidden="false" customHeight="false" outlineLevel="0" collapsed="false">
      <c r="L564" s="23" t="n">
        <f aca="false">IF($E564="",0,$D564*$E564*(1-$G564-$H564-$I564))</f>
        <v>0</v>
      </c>
      <c r="M564" s="23" t="n">
        <f aca="false">IF($E564="",0,$D564*$E564-($F564*$E564+$G564*$D564*$E564+$H564*$D564*$E564+$I564*$D564*$E564+$J564*$D564*$E564*(1-$G564)+$K564*$E564))</f>
        <v>0</v>
      </c>
      <c r="N564" s="23" t="str">
        <f aca="false">IF($B564="","",CONCATENATE("Örnek kalem: ",$B564))</f>
        <v/>
      </c>
    </row>
    <row r="565" customFormat="false" ht="15" hidden="false" customHeight="false" outlineLevel="0" collapsed="false">
      <c r="L565" s="23" t="n">
        <f aca="false">IF($E565="",0,$D565*$E565*(1-$G565-$H565-$I565))</f>
        <v>0</v>
      </c>
      <c r="M565" s="23" t="n">
        <f aca="false">IF($E565="",0,$D565*$E565-($F565*$E565+$G565*$D565*$E565+$H565*$D565*$E565+$I565*$D565*$E565+$J565*$D565*$E565*(1-$G565)+$K565*$E565))</f>
        <v>0</v>
      </c>
      <c r="N565" s="23" t="str">
        <f aca="false">IF($B565="","",CONCATENATE("Örnek kalem: ",$B565))</f>
        <v/>
      </c>
    </row>
    <row r="566" customFormat="false" ht="15" hidden="false" customHeight="false" outlineLevel="0" collapsed="false">
      <c r="L566" s="23" t="n">
        <f aca="false">IF($E566="",0,$D566*$E566*(1-$G566-$H566-$I566))</f>
        <v>0</v>
      </c>
      <c r="M566" s="23" t="n">
        <f aca="false">IF($E566="",0,$D566*$E566-($F566*$E566+$G566*$D566*$E566+$H566*$D566*$E566+$I566*$D566*$E566+$J566*$D566*$E566*(1-$G566)+$K566*$E566))</f>
        <v>0</v>
      </c>
      <c r="N566" s="23" t="str">
        <f aca="false">IF($B566="","",CONCATENATE("Örnek kalem: ",$B566))</f>
        <v/>
      </c>
    </row>
    <row r="567" customFormat="false" ht="15" hidden="false" customHeight="false" outlineLevel="0" collapsed="false">
      <c r="L567" s="23" t="n">
        <f aca="false">IF($E567="",0,$D567*$E567*(1-$G567-$H567-$I567))</f>
        <v>0</v>
      </c>
      <c r="M567" s="23" t="n">
        <f aca="false">IF($E567="",0,$D567*$E567-($F567*$E567+$G567*$D567*$E567+$H567*$D567*$E567+$I567*$D567*$E567+$J567*$D567*$E567*(1-$G567)+$K567*$E567))</f>
        <v>0</v>
      </c>
      <c r="N567" s="23" t="str">
        <f aca="false">IF($B567="","",CONCATENATE("Örnek kalem: ",$B567))</f>
        <v/>
      </c>
    </row>
    <row r="568" customFormat="false" ht="15" hidden="false" customHeight="false" outlineLevel="0" collapsed="false">
      <c r="L568" s="23" t="n">
        <f aca="false">IF($E568="",0,$D568*$E568*(1-$G568-$H568-$I568))</f>
        <v>0</v>
      </c>
      <c r="M568" s="23" t="n">
        <f aca="false">IF($E568="",0,$D568*$E568-($F568*$E568+$G568*$D568*$E568+$H568*$D568*$E568+$I568*$D568*$E568+$J568*$D568*$E568*(1-$G568)+$K568*$E568))</f>
        <v>0</v>
      </c>
      <c r="N568" s="23" t="str">
        <f aca="false">IF($B568="","",CONCATENATE("Örnek kalem: ",$B568))</f>
        <v/>
      </c>
    </row>
    <row r="569" customFormat="false" ht="15" hidden="false" customHeight="false" outlineLevel="0" collapsed="false">
      <c r="L569" s="23" t="n">
        <f aca="false">IF($E569="",0,$D569*$E569*(1-$G569-$H569-$I569))</f>
        <v>0</v>
      </c>
      <c r="M569" s="23" t="n">
        <f aca="false">IF($E569="",0,$D569*$E569-($F569*$E569+$G569*$D569*$E569+$H569*$D569*$E569+$I569*$D569*$E569+$J569*$D569*$E569*(1-$G569)+$K569*$E569))</f>
        <v>0</v>
      </c>
      <c r="N569" s="23" t="str">
        <f aca="false">IF($B569="","",CONCATENATE("Örnek kalem: ",$B569))</f>
        <v/>
      </c>
    </row>
    <row r="570" customFormat="false" ht="15" hidden="false" customHeight="false" outlineLevel="0" collapsed="false">
      <c r="L570" s="23" t="n">
        <f aca="false">IF($E570="",0,$D570*$E570*(1-$G570-$H570-$I570))</f>
        <v>0</v>
      </c>
      <c r="M570" s="23" t="n">
        <f aca="false">IF($E570="",0,$D570*$E570-($F570*$E570+$G570*$D570*$E570+$H570*$D570*$E570+$I570*$D570*$E570+$J570*$D570*$E570*(1-$G570)+$K570*$E570))</f>
        <v>0</v>
      </c>
      <c r="N570" s="23" t="str">
        <f aca="false">IF($B570="","",CONCATENATE("Örnek kalem: ",$B570))</f>
        <v/>
      </c>
    </row>
    <row r="571" customFormat="false" ht="15" hidden="false" customHeight="false" outlineLevel="0" collapsed="false">
      <c r="L571" s="23" t="n">
        <f aca="false">IF($E571="",0,$D571*$E571*(1-$G571-$H571-$I571))</f>
        <v>0</v>
      </c>
      <c r="M571" s="23" t="n">
        <f aca="false">IF($E571="",0,$D571*$E571-($F571*$E571+$G571*$D571*$E571+$H571*$D571*$E571+$I571*$D571*$E571+$J571*$D571*$E571*(1-$G571)+$K571*$E571))</f>
        <v>0</v>
      </c>
      <c r="N571" s="23" t="str">
        <f aca="false">IF($B571="","",CONCATENATE("Örnek kalem: ",$B571))</f>
        <v/>
      </c>
    </row>
    <row r="572" customFormat="false" ht="15" hidden="false" customHeight="false" outlineLevel="0" collapsed="false">
      <c r="L572" s="23" t="n">
        <f aca="false">IF($E572="",0,$D572*$E572*(1-$G572-$H572-$I572))</f>
        <v>0</v>
      </c>
      <c r="M572" s="23" t="n">
        <f aca="false">IF($E572="",0,$D572*$E572-($F572*$E572+$G572*$D572*$E572+$H572*$D572*$E572+$I572*$D572*$E572+$J572*$D572*$E572*(1-$G572)+$K572*$E572))</f>
        <v>0</v>
      </c>
      <c r="N572" s="23" t="str">
        <f aca="false">IF($B572="","",CONCATENATE("Örnek kalem: ",$B572))</f>
        <v/>
      </c>
    </row>
    <row r="573" customFormat="false" ht="15" hidden="false" customHeight="false" outlineLevel="0" collapsed="false">
      <c r="L573" s="23" t="n">
        <f aca="false">IF($E573="",0,$D573*$E573*(1-$G573-$H573-$I573))</f>
        <v>0</v>
      </c>
      <c r="M573" s="23" t="n">
        <f aca="false">IF($E573="",0,$D573*$E573-($F573*$E573+$G573*$D573*$E573+$H573*$D573*$E573+$I573*$D573*$E573+$J573*$D573*$E573*(1-$G573)+$K573*$E573))</f>
        <v>0</v>
      </c>
      <c r="N573" s="23" t="str">
        <f aca="false">IF($B573="","",CONCATENATE("Örnek kalem: ",$B573))</f>
        <v/>
      </c>
    </row>
    <row r="574" customFormat="false" ht="15" hidden="false" customHeight="false" outlineLevel="0" collapsed="false">
      <c r="L574" s="23" t="n">
        <f aca="false">IF($E574="",0,$D574*$E574*(1-$G574-$H574-$I574))</f>
        <v>0</v>
      </c>
      <c r="M574" s="23" t="n">
        <f aca="false">IF($E574="",0,$D574*$E574-($F574*$E574+$G574*$D574*$E574+$H574*$D574*$E574+$I574*$D574*$E574+$J574*$D574*$E574*(1-$G574)+$K574*$E574))</f>
        <v>0</v>
      </c>
      <c r="N574" s="23" t="str">
        <f aca="false">IF($B574="","",CONCATENATE("Örnek kalem: ",$B574))</f>
        <v/>
      </c>
    </row>
    <row r="575" customFormat="false" ht="15" hidden="false" customHeight="false" outlineLevel="0" collapsed="false">
      <c r="L575" s="23" t="n">
        <f aca="false">IF($E575="",0,$D575*$E575*(1-$G575-$H575-$I575))</f>
        <v>0</v>
      </c>
      <c r="M575" s="23" t="n">
        <f aca="false">IF($E575="",0,$D575*$E575-($F575*$E575+$G575*$D575*$E575+$H575*$D575*$E575+$I575*$D575*$E575+$J575*$D575*$E575*(1-$G575)+$K575*$E575))</f>
        <v>0</v>
      </c>
      <c r="N575" s="23" t="str">
        <f aca="false">IF($B575="","",CONCATENATE("Örnek kalem: ",$B575))</f>
        <v/>
      </c>
    </row>
    <row r="576" customFormat="false" ht="15" hidden="false" customHeight="false" outlineLevel="0" collapsed="false">
      <c r="L576" s="23" t="n">
        <f aca="false">IF($E576="",0,$D576*$E576*(1-$G576-$H576-$I576))</f>
        <v>0</v>
      </c>
      <c r="M576" s="23" t="n">
        <f aca="false">IF($E576="",0,$D576*$E576-($F576*$E576+$G576*$D576*$E576+$H576*$D576*$E576+$I576*$D576*$E576+$J576*$D576*$E576*(1-$G576)+$K576*$E576))</f>
        <v>0</v>
      </c>
      <c r="N576" s="23" t="str">
        <f aca="false">IF($B576="","",CONCATENATE("Örnek kalem: ",$B576))</f>
        <v/>
      </c>
    </row>
    <row r="577" customFormat="false" ht="15" hidden="false" customHeight="false" outlineLevel="0" collapsed="false">
      <c r="L577" s="23" t="n">
        <f aca="false">IF($E577="",0,$D577*$E577*(1-$G577-$H577-$I577))</f>
        <v>0</v>
      </c>
      <c r="M577" s="23" t="n">
        <f aca="false">IF($E577="",0,$D577*$E577-($F577*$E577+$G577*$D577*$E577+$H577*$D577*$E577+$I577*$D577*$E577+$J577*$D577*$E577*(1-$G577)+$K577*$E577))</f>
        <v>0</v>
      </c>
      <c r="N577" s="23" t="str">
        <f aca="false">IF($B577="","",CONCATENATE("Örnek kalem: ",$B577))</f>
        <v/>
      </c>
    </row>
    <row r="578" customFormat="false" ht="15" hidden="false" customHeight="false" outlineLevel="0" collapsed="false">
      <c r="L578" s="23" t="n">
        <f aca="false">IF($E578="",0,$D578*$E578*(1-$G578-$H578-$I578))</f>
        <v>0</v>
      </c>
      <c r="M578" s="23" t="n">
        <f aca="false">IF($E578="",0,$D578*$E578-($F578*$E578+$G578*$D578*$E578+$H578*$D578*$E578+$I578*$D578*$E578+$J578*$D578*$E578*(1-$G578)+$K578*$E578))</f>
        <v>0</v>
      </c>
      <c r="N578" s="23" t="str">
        <f aca="false">IF($B578="","",CONCATENATE("Örnek kalem: ",$B578))</f>
        <v/>
      </c>
    </row>
    <row r="579" customFormat="false" ht="15" hidden="false" customHeight="false" outlineLevel="0" collapsed="false">
      <c r="L579" s="23" t="n">
        <f aca="false">IF($E579="",0,$D579*$E579*(1-$G579-$H579-$I579))</f>
        <v>0</v>
      </c>
      <c r="M579" s="23" t="n">
        <f aca="false">IF($E579="",0,$D579*$E579-($F579*$E579+$G579*$D579*$E579+$H579*$D579*$E579+$I579*$D579*$E579+$J579*$D579*$E579*(1-$G579)+$K579*$E579))</f>
        <v>0</v>
      </c>
      <c r="N579" s="23" t="str">
        <f aca="false">IF($B579="","",CONCATENATE("Örnek kalem: ",$B579))</f>
        <v/>
      </c>
    </row>
    <row r="580" customFormat="false" ht="15" hidden="false" customHeight="false" outlineLevel="0" collapsed="false">
      <c r="L580" s="23" t="n">
        <f aca="false">IF($E580="",0,$D580*$E580*(1-$G580-$H580-$I580))</f>
        <v>0</v>
      </c>
      <c r="M580" s="23" t="n">
        <f aca="false">IF($E580="",0,$D580*$E580-($F580*$E580+$G580*$D580*$E580+$H580*$D580*$E580+$I580*$D580*$E580+$J580*$D580*$E580*(1-$G580)+$K580*$E580))</f>
        <v>0</v>
      </c>
      <c r="N580" s="23" t="str">
        <f aca="false">IF($B580="","",CONCATENATE("Örnek kalem: ",$B580))</f>
        <v/>
      </c>
    </row>
    <row r="581" customFormat="false" ht="15" hidden="false" customHeight="false" outlineLevel="0" collapsed="false">
      <c r="L581" s="23" t="n">
        <f aca="false">IF($E581="",0,$D581*$E581*(1-$G581-$H581-$I581))</f>
        <v>0</v>
      </c>
      <c r="M581" s="23" t="n">
        <f aca="false">IF($E581="",0,$D581*$E581-($F581*$E581+$G581*$D581*$E581+$H581*$D581*$E581+$I581*$D581*$E581+$J581*$D581*$E581*(1-$G581)+$K581*$E581))</f>
        <v>0</v>
      </c>
      <c r="N581" s="23" t="str">
        <f aca="false">IF($B581="","",CONCATENATE("Örnek kalem: ",$B581))</f>
        <v/>
      </c>
    </row>
    <row r="582" customFormat="false" ht="15" hidden="false" customHeight="false" outlineLevel="0" collapsed="false">
      <c r="L582" s="23" t="n">
        <f aca="false">IF($E582="",0,$D582*$E582*(1-$G582-$H582-$I582))</f>
        <v>0</v>
      </c>
      <c r="M582" s="23" t="n">
        <f aca="false">IF($E582="",0,$D582*$E582-($F582*$E582+$G582*$D582*$E582+$H582*$D582*$E582+$I582*$D582*$E582+$J582*$D582*$E582*(1-$G582)+$K582*$E582))</f>
        <v>0</v>
      </c>
      <c r="N582" s="23" t="str">
        <f aca="false">IF($B582="","",CONCATENATE("Örnek kalem: ",$B582))</f>
        <v/>
      </c>
    </row>
    <row r="583" customFormat="false" ht="15" hidden="false" customHeight="false" outlineLevel="0" collapsed="false">
      <c r="L583" s="23" t="n">
        <f aca="false">IF($E583="",0,$D583*$E583*(1-$G583-$H583-$I583))</f>
        <v>0</v>
      </c>
      <c r="M583" s="23" t="n">
        <f aca="false">IF($E583="",0,$D583*$E583-($F583*$E583+$G583*$D583*$E583+$H583*$D583*$E583+$I583*$D583*$E583+$J583*$D583*$E583*(1-$G583)+$K583*$E583))</f>
        <v>0</v>
      </c>
      <c r="N583" s="23" t="str">
        <f aca="false">IF($B583="","",CONCATENATE("Örnek kalem: ",$B583))</f>
        <v/>
      </c>
    </row>
    <row r="584" customFormat="false" ht="15" hidden="false" customHeight="false" outlineLevel="0" collapsed="false">
      <c r="L584" s="23" t="n">
        <f aca="false">IF($E584="",0,$D584*$E584*(1-$G584-$H584-$I584))</f>
        <v>0</v>
      </c>
      <c r="M584" s="23" t="n">
        <f aca="false">IF($E584="",0,$D584*$E584-($F584*$E584+$G584*$D584*$E584+$H584*$D584*$E584+$I584*$D584*$E584+$J584*$D584*$E584*(1-$G584)+$K584*$E584))</f>
        <v>0</v>
      </c>
      <c r="N584" s="23" t="str">
        <f aca="false">IF($B584="","",CONCATENATE("Örnek kalem: ",$B584))</f>
        <v/>
      </c>
    </row>
    <row r="585" customFormat="false" ht="15" hidden="false" customHeight="false" outlineLevel="0" collapsed="false">
      <c r="L585" s="23" t="n">
        <f aca="false">IF($E585="",0,$D585*$E585*(1-$G585-$H585-$I585))</f>
        <v>0</v>
      </c>
      <c r="M585" s="23" t="n">
        <f aca="false">IF($E585="",0,$D585*$E585-($F585*$E585+$G585*$D585*$E585+$H585*$D585*$E585+$I585*$D585*$E585+$J585*$D585*$E585*(1-$G585)+$K585*$E585))</f>
        <v>0</v>
      </c>
      <c r="N585" s="23" t="str">
        <f aca="false">IF($B585="","",CONCATENATE("Örnek kalem: ",$B585))</f>
        <v/>
      </c>
    </row>
    <row r="586" customFormat="false" ht="15" hidden="false" customHeight="false" outlineLevel="0" collapsed="false">
      <c r="L586" s="23" t="n">
        <f aca="false">IF($E586="",0,$D586*$E586*(1-$G586-$H586-$I586))</f>
        <v>0</v>
      </c>
      <c r="M586" s="23" t="n">
        <f aca="false">IF($E586="",0,$D586*$E586-($F586*$E586+$G586*$D586*$E586+$H586*$D586*$E586+$I586*$D586*$E586+$J586*$D586*$E586*(1-$G586)+$K586*$E586))</f>
        <v>0</v>
      </c>
      <c r="N586" s="23" t="str">
        <f aca="false">IF($B586="","",CONCATENATE("Örnek kalem: ",$B586))</f>
        <v/>
      </c>
    </row>
    <row r="587" customFormat="false" ht="15" hidden="false" customHeight="false" outlineLevel="0" collapsed="false">
      <c r="L587" s="23" t="n">
        <f aca="false">IF($E587="",0,$D587*$E587*(1-$G587-$H587-$I587))</f>
        <v>0</v>
      </c>
      <c r="M587" s="23" t="n">
        <f aca="false">IF($E587="",0,$D587*$E587-($F587*$E587+$G587*$D587*$E587+$H587*$D587*$E587+$I587*$D587*$E587+$J587*$D587*$E587*(1-$G587)+$K587*$E587))</f>
        <v>0</v>
      </c>
      <c r="N587" s="23" t="str">
        <f aca="false">IF($B587="","",CONCATENATE("Örnek kalem: ",$B587))</f>
        <v/>
      </c>
    </row>
    <row r="588" customFormat="false" ht="15" hidden="false" customHeight="false" outlineLevel="0" collapsed="false">
      <c r="L588" s="23" t="n">
        <f aca="false">IF($E588="",0,$D588*$E588*(1-$G588-$H588-$I588))</f>
        <v>0</v>
      </c>
      <c r="M588" s="23" t="n">
        <f aca="false">IF($E588="",0,$D588*$E588-($F588*$E588+$G588*$D588*$E588+$H588*$D588*$E588+$I588*$D588*$E588+$J588*$D588*$E588*(1-$G588)+$K588*$E588))</f>
        <v>0</v>
      </c>
      <c r="N588" s="23" t="str">
        <f aca="false">IF($B588="","",CONCATENATE("Örnek kalem: ",$B588))</f>
        <v/>
      </c>
    </row>
    <row r="589" customFormat="false" ht="15" hidden="false" customHeight="false" outlineLevel="0" collapsed="false">
      <c r="L589" s="23" t="n">
        <f aca="false">IF($E589="",0,$D589*$E589*(1-$G589-$H589-$I589))</f>
        <v>0</v>
      </c>
      <c r="M589" s="23" t="n">
        <f aca="false">IF($E589="",0,$D589*$E589-($F589*$E589+$G589*$D589*$E589+$H589*$D589*$E589+$I589*$D589*$E589+$J589*$D589*$E589*(1-$G589)+$K589*$E589))</f>
        <v>0</v>
      </c>
      <c r="N589" s="23" t="str">
        <f aca="false">IF($B589="","",CONCATENATE("Örnek kalem: ",$B589))</f>
        <v/>
      </c>
    </row>
    <row r="590" customFormat="false" ht="15" hidden="false" customHeight="false" outlineLevel="0" collapsed="false">
      <c r="L590" s="23" t="n">
        <f aca="false">IF($E590="",0,$D590*$E590*(1-$G590-$H590-$I590))</f>
        <v>0</v>
      </c>
      <c r="M590" s="23" t="n">
        <f aca="false">IF($E590="",0,$D590*$E590-($F590*$E590+$G590*$D590*$E590+$H590*$D590*$E590+$I590*$D590*$E590+$J590*$D590*$E590*(1-$G590)+$K590*$E590))</f>
        <v>0</v>
      </c>
      <c r="N590" s="23" t="str">
        <f aca="false">IF($B590="","",CONCATENATE("Örnek kalem: ",$B590))</f>
        <v/>
      </c>
    </row>
    <row r="591" customFormat="false" ht="15" hidden="false" customHeight="false" outlineLevel="0" collapsed="false">
      <c r="L591" s="23" t="n">
        <f aca="false">IF($E591="",0,$D591*$E591*(1-$G591-$H591-$I591))</f>
        <v>0</v>
      </c>
      <c r="M591" s="23" t="n">
        <f aca="false">IF($E591="",0,$D591*$E591-($F591*$E591+$G591*$D591*$E591+$H591*$D591*$E591+$I591*$D591*$E591+$J591*$D591*$E591*(1-$G591)+$K591*$E591))</f>
        <v>0</v>
      </c>
      <c r="N591" s="23" t="str">
        <f aca="false">IF($B591="","",CONCATENATE("Örnek kalem: ",$B591))</f>
        <v/>
      </c>
    </row>
    <row r="592" customFormat="false" ht="15" hidden="false" customHeight="false" outlineLevel="0" collapsed="false">
      <c r="L592" s="23" t="n">
        <f aca="false">IF($E592="",0,$D592*$E592*(1-$G592-$H592-$I592))</f>
        <v>0</v>
      </c>
      <c r="M592" s="23" t="n">
        <f aca="false">IF($E592="",0,$D592*$E592-($F592*$E592+$G592*$D592*$E592+$H592*$D592*$E592+$I592*$D592*$E592+$J592*$D592*$E592*(1-$G592)+$K592*$E592))</f>
        <v>0</v>
      </c>
      <c r="N592" s="23" t="str">
        <f aca="false">IF($B592="","",CONCATENATE("Örnek kalem: ",$B592))</f>
        <v/>
      </c>
    </row>
    <row r="593" customFormat="false" ht="15" hidden="false" customHeight="false" outlineLevel="0" collapsed="false">
      <c r="L593" s="23" t="n">
        <f aca="false">IF($E593="",0,$D593*$E593*(1-$G593-$H593-$I593))</f>
        <v>0</v>
      </c>
      <c r="M593" s="23" t="n">
        <f aca="false">IF($E593="",0,$D593*$E593-($F593*$E593+$G593*$D593*$E593+$H593*$D593*$E593+$I593*$D593*$E593+$J593*$D593*$E593*(1-$G593)+$K593*$E593))</f>
        <v>0</v>
      </c>
      <c r="N593" s="23" t="str">
        <f aca="false">IF($B593="","",CONCATENATE("Örnek kalem: ",$B593))</f>
        <v/>
      </c>
    </row>
    <row r="594" customFormat="false" ht="15" hidden="false" customHeight="false" outlineLevel="0" collapsed="false">
      <c r="L594" s="23" t="n">
        <f aca="false">IF($E594="",0,$D594*$E594*(1-$G594-$H594-$I594))</f>
        <v>0</v>
      </c>
      <c r="M594" s="23" t="n">
        <f aca="false">IF($E594="",0,$D594*$E594-($F594*$E594+$G594*$D594*$E594+$H594*$D594*$E594+$I594*$D594*$E594+$J594*$D594*$E594*(1-$G594)+$K594*$E594))</f>
        <v>0</v>
      </c>
      <c r="N594" s="23" t="str">
        <f aca="false">IF($B594="","",CONCATENATE("Örnek kalem: ",$B594))</f>
        <v/>
      </c>
    </row>
    <row r="595" customFormat="false" ht="15" hidden="false" customHeight="false" outlineLevel="0" collapsed="false">
      <c r="L595" s="23" t="n">
        <f aca="false">IF($E595="",0,$D595*$E595*(1-$G595-$H595-$I595))</f>
        <v>0</v>
      </c>
      <c r="M595" s="23" t="n">
        <f aca="false">IF($E595="",0,$D595*$E595-($F595*$E595+$G595*$D595*$E595+$H595*$D595*$E595+$I595*$D595*$E595+$J595*$D595*$E595*(1-$G595)+$K595*$E595))</f>
        <v>0</v>
      </c>
      <c r="N595" s="23" t="str">
        <f aca="false">IF($B595="","",CONCATENATE("Örnek kalem: ",$B595))</f>
        <v/>
      </c>
    </row>
    <row r="596" customFormat="false" ht="15" hidden="false" customHeight="false" outlineLevel="0" collapsed="false">
      <c r="L596" s="23" t="n">
        <f aca="false">IF($E596="",0,$D596*$E596*(1-$G596-$H596-$I596))</f>
        <v>0</v>
      </c>
      <c r="M596" s="23" t="n">
        <f aca="false">IF($E596="",0,$D596*$E596-($F596*$E596+$G596*$D596*$E596+$H596*$D596*$E596+$I596*$D596*$E596+$J596*$D596*$E596*(1-$G596)+$K596*$E596))</f>
        <v>0</v>
      </c>
      <c r="N596" s="23" t="str">
        <f aca="false">IF($B596="","",CONCATENATE("Örnek kalem: ",$B596))</f>
        <v/>
      </c>
    </row>
    <row r="597" customFormat="false" ht="15" hidden="false" customHeight="false" outlineLevel="0" collapsed="false">
      <c r="L597" s="23" t="n">
        <f aca="false">IF($E597="",0,$D597*$E597*(1-$G597-$H597-$I597))</f>
        <v>0</v>
      </c>
      <c r="M597" s="23" t="n">
        <f aca="false">IF($E597="",0,$D597*$E597-($F597*$E597+$G597*$D597*$E597+$H597*$D597*$E597+$I597*$D597*$E597+$J597*$D597*$E597*(1-$G597)+$K597*$E597))</f>
        <v>0</v>
      </c>
      <c r="N597" s="23" t="str">
        <f aca="false">IF($B597="","",CONCATENATE("Örnek kalem: ",$B597))</f>
        <v/>
      </c>
    </row>
    <row r="598" customFormat="false" ht="15" hidden="false" customHeight="false" outlineLevel="0" collapsed="false">
      <c r="L598" s="23" t="n">
        <f aca="false">IF($E598="",0,$D598*$E598*(1-$G598-$H598-$I598))</f>
        <v>0</v>
      </c>
      <c r="M598" s="23" t="n">
        <f aca="false">IF($E598="",0,$D598*$E598-($F598*$E598+$G598*$D598*$E598+$H598*$D598*$E598+$I598*$D598*$E598+$J598*$D598*$E598*(1-$G598)+$K598*$E598))</f>
        <v>0</v>
      </c>
      <c r="N598" s="23" t="str">
        <f aca="false">IF($B598="","",CONCATENATE("Örnek kalem: ",$B598))</f>
        <v/>
      </c>
    </row>
    <row r="599" customFormat="false" ht="15" hidden="false" customHeight="false" outlineLevel="0" collapsed="false">
      <c r="L599" s="23" t="n">
        <f aca="false">IF($E599="",0,$D599*$E599*(1-$G599-$H599-$I599))</f>
        <v>0</v>
      </c>
      <c r="M599" s="23" t="n">
        <f aca="false">IF($E599="",0,$D599*$E599-($F599*$E599+$G599*$D599*$E599+$H599*$D599*$E599+$I599*$D599*$E599+$J599*$D599*$E599*(1-$G599)+$K599*$E599))</f>
        <v>0</v>
      </c>
      <c r="N599" s="23" t="str">
        <f aca="false">IF($B599="","",CONCATENATE("Örnek kalem: ",$B599))</f>
        <v/>
      </c>
    </row>
    <row r="600" customFormat="false" ht="15" hidden="false" customHeight="false" outlineLevel="0" collapsed="false">
      <c r="L600" s="23" t="n">
        <f aca="false">IF($E600="",0,$D600*$E600*(1-$G600-$H600-$I600))</f>
        <v>0</v>
      </c>
      <c r="M600" s="23" t="n">
        <f aca="false">IF($E600="",0,$D600*$E600-($F600*$E600+$G600*$D600*$E600+$H600*$D600*$E600+$I600*$D600*$E600+$J600*$D600*$E600*(1-$G600)+$K600*$E600))</f>
        <v>0</v>
      </c>
      <c r="N600" s="23" t="str">
        <f aca="false">IF($B600="","",CONCATENATE("Örnek kalem: ",$B600))</f>
        <v/>
      </c>
    </row>
    <row r="601" customFormat="false" ht="15" hidden="false" customHeight="false" outlineLevel="0" collapsed="false">
      <c r="L601" s="23" t="n">
        <f aca="false">IF($E601="",0,$D601*$E601*(1-$G601-$H601-$I601))</f>
        <v>0</v>
      </c>
      <c r="M601" s="23" t="n">
        <f aca="false">IF($E601="",0,$D601*$E601-($F601*$E601+$G601*$D601*$E601+$H601*$D601*$E601+$I601*$D601*$E601+$J601*$D601*$E601*(1-$G601)+$K601*$E601))</f>
        <v>0</v>
      </c>
      <c r="N601" s="23" t="str">
        <f aca="false">IF($B601="","",CONCATENATE("Örnek kalem: ",$B601))</f>
        <v/>
      </c>
    </row>
    <row r="602" customFormat="false" ht="15" hidden="false" customHeight="false" outlineLevel="0" collapsed="false">
      <c r="L602" s="23" t="n">
        <f aca="false">IF($E602="",0,$D602*$E602*(1-$G602-$H602-$I602))</f>
        <v>0</v>
      </c>
      <c r="M602" s="23" t="n">
        <f aca="false">IF($E602="",0,$D602*$E602-($F602*$E602+$G602*$D602*$E602+$H602*$D602*$E602+$I602*$D602*$E602+$J602*$D602*$E602*(1-$G602)+$K602*$E602))</f>
        <v>0</v>
      </c>
      <c r="N602" s="23" t="str">
        <f aca="false">IF($B602="","",CONCATENATE("Örnek kalem: ",$B602))</f>
        <v/>
      </c>
    </row>
    <row r="603" customFormat="false" ht="15" hidden="false" customHeight="false" outlineLevel="0" collapsed="false">
      <c r="L603" s="23" t="n">
        <f aca="false">IF($E603="",0,$D603*$E603*(1-$G603-$H603-$I603))</f>
        <v>0</v>
      </c>
      <c r="M603" s="23" t="n">
        <f aca="false">IF($E603="",0,$D603*$E603-($F603*$E603+$G603*$D603*$E603+$H603*$D603*$E603+$I603*$D603*$E603+$J603*$D603*$E603*(1-$G603)+$K603*$E603))</f>
        <v>0</v>
      </c>
      <c r="N603" s="23" t="str">
        <f aca="false">IF($B603="","",CONCATENATE("Örnek kalem: ",$B603))</f>
        <v/>
      </c>
    </row>
    <row r="604" customFormat="false" ht="15" hidden="false" customHeight="false" outlineLevel="0" collapsed="false">
      <c r="L604" s="23" t="n">
        <f aca="false">IF($E604="",0,$D604*$E604*(1-$G604-$H604-$I604))</f>
        <v>0</v>
      </c>
      <c r="M604" s="23" t="n">
        <f aca="false">IF($E604="",0,$D604*$E604-($F604*$E604+$G604*$D604*$E604+$H604*$D604*$E604+$I604*$D604*$E604+$J604*$D604*$E604*(1-$G604)+$K604*$E604))</f>
        <v>0</v>
      </c>
      <c r="N604" s="23" t="str">
        <f aca="false">IF($B604="","",CONCATENATE("Örnek kalem: ",$B604))</f>
        <v/>
      </c>
    </row>
    <row r="605" customFormat="false" ht="15" hidden="false" customHeight="false" outlineLevel="0" collapsed="false">
      <c r="L605" s="23" t="n">
        <f aca="false">IF($E605="",0,$D605*$E605*(1-$G605-$H605-$I605))</f>
        <v>0</v>
      </c>
      <c r="M605" s="23" t="n">
        <f aca="false">IF($E605="",0,$D605*$E605-($F605*$E605+$G605*$D605*$E605+$H605*$D605*$E605+$I605*$D605*$E605+$J605*$D605*$E605*(1-$G605)+$K605*$E605))</f>
        <v>0</v>
      </c>
      <c r="N605" s="23" t="str">
        <f aca="false">IF($B605="","",CONCATENATE("Örnek kalem: ",$B605))</f>
        <v/>
      </c>
    </row>
    <row r="606" customFormat="false" ht="15" hidden="false" customHeight="false" outlineLevel="0" collapsed="false">
      <c r="L606" s="23" t="n">
        <f aca="false">IF($E606="",0,$D606*$E606*(1-$G606-$H606-$I606))</f>
        <v>0</v>
      </c>
      <c r="M606" s="23" t="n">
        <f aca="false">IF($E606="",0,$D606*$E606-($F606*$E606+$G606*$D606*$E606+$H606*$D606*$E606+$I606*$D606*$E606+$J606*$D606*$E606*(1-$G606)+$K606*$E606))</f>
        <v>0</v>
      </c>
      <c r="N606" s="23" t="str">
        <f aca="false">IF($B606="","",CONCATENATE("Örnek kalem: ",$B606))</f>
        <v/>
      </c>
    </row>
    <row r="607" customFormat="false" ht="15" hidden="false" customHeight="false" outlineLevel="0" collapsed="false">
      <c r="L607" s="23" t="n">
        <f aca="false">IF($E607="",0,$D607*$E607*(1-$G607-$H607-$I607))</f>
        <v>0</v>
      </c>
      <c r="M607" s="23" t="n">
        <f aca="false">IF($E607="",0,$D607*$E607-($F607*$E607+$G607*$D607*$E607+$H607*$D607*$E607+$I607*$D607*$E607+$J607*$D607*$E607*(1-$G607)+$K607*$E607))</f>
        <v>0</v>
      </c>
      <c r="N607" s="23" t="str">
        <f aca="false">IF($B607="","",CONCATENATE("Örnek kalem: ",$B607))</f>
        <v/>
      </c>
    </row>
    <row r="608" customFormat="false" ht="15" hidden="false" customHeight="false" outlineLevel="0" collapsed="false">
      <c r="L608" s="23" t="n">
        <f aca="false">IF($E608="",0,$D608*$E608*(1-$G608-$H608-$I608))</f>
        <v>0</v>
      </c>
      <c r="M608" s="23" t="n">
        <f aca="false">IF($E608="",0,$D608*$E608-($F608*$E608+$G608*$D608*$E608+$H608*$D608*$E608+$I608*$D608*$E608+$J608*$D608*$E608*(1-$G608)+$K608*$E608))</f>
        <v>0</v>
      </c>
      <c r="N608" s="23" t="str">
        <f aca="false">IF($B608="","",CONCATENATE("Örnek kalem: ",$B608))</f>
        <v/>
      </c>
    </row>
    <row r="609" customFormat="false" ht="15" hidden="false" customHeight="false" outlineLevel="0" collapsed="false">
      <c r="L609" s="23" t="n">
        <f aca="false">IF($E609="",0,$D609*$E609*(1-$G609-$H609-$I609))</f>
        <v>0</v>
      </c>
      <c r="M609" s="23" t="n">
        <f aca="false">IF($E609="",0,$D609*$E609-($F609*$E609+$G609*$D609*$E609+$H609*$D609*$E609+$I609*$D609*$E609+$J609*$D609*$E609*(1-$G609)+$K609*$E609))</f>
        <v>0</v>
      </c>
      <c r="N609" s="23" t="str">
        <f aca="false">IF($B609="","",CONCATENATE("Örnek kalem: ",$B609))</f>
        <v/>
      </c>
    </row>
    <row r="610" customFormat="false" ht="15" hidden="false" customHeight="false" outlineLevel="0" collapsed="false">
      <c r="L610" s="23" t="n">
        <f aca="false">IF($E610="",0,$D610*$E610*(1-$G610-$H610-$I610))</f>
        <v>0</v>
      </c>
      <c r="M610" s="23" t="n">
        <f aca="false">IF($E610="",0,$D610*$E610-($F610*$E610+$G610*$D610*$E610+$H610*$D610*$E610+$I610*$D610*$E610+$J610*$D610*$E610*(1-$G610)+$K610*$E610))</f>
        <v>0</v>
      </c>
      <c r="N610" s="23" t="str">
        <f aca="false">IF($B610="","",CONCATENATE("Örnek kalem: ",$B610))</f>
        <v/>
      </c>
    </row>
    <row r="611" customFormat="false" ht="15" hidden="false" customHeight="false" outlineLevel="0" collapsed="false">
      <c r="L611" s="23" t="n">
        <f aca="false">IF($E611="",0,$D611*$E611*(1-$G611-$H611-$I611))</f>
        <v>0</v>
      </c>
      <c r="M611" s="23" t="n">
        <f aca="false">IF($E611="",0,$D611*$E611-($F611*$E611+$G611*$D611*$E611+$H611*$D611*$E611+$I611*$D611*$E611+$J611*$D611*$E611*(1-$G611)+$K611*$E611))</f>
        <v>0</v>
      </c>
      <c r="N611" s="23" t="str">
        <f aca="false">IF($B611="","",CONCATENATE("Örnek kalem: ",$B611))</f>
        <v/>
      </c>
    </row>
    <row r="612" customFormat="false" ht="15" hidden="false" customHeight="false" outlineLevel="0" collapsed="false">
      <c r="L612" s="23" t="n">
        <f aca="false">IF($E612="",0,$D612*$E612*(1-$G612-$H612-$I612))</f>
        <v>0</v>
      </c>
      <c r="M612" s="23" t="n">
        <f aca="false">IF($E612="",0,$D612*$E612-($F612*$E612+$G612*$D612*$E612+$H612*$D612*$E612+$I612*$D612*$E612+$J612*$D612*$E612*(1-$G612)+$K612*$E612))</f>
        <v>0</v>
      </c>
      <c r="N612" s="23" t="str">
        <f aca="false">IF($B612="","",CONCATENATE("Örnek kalem: ",$B612))</f>
        <v/>
      </c>
    </row>
    <row r="613" customFormat="false" ht="15" hidden="false" customHeight="false" outlineLevel="0" collapsed="false">
      <c r="L613" s="23" t="n">
        <f aca="false">IF($E613="",0,$D613*$E613*(1-$G613-$H613-$I613))</f>
        <v>0</v>
      </c>
      <c r="M613" s="23" t="n">
        <f aca="false">IF($E613="",0,$D613*$E613-($F613*$E613+$G613*$D613*$E613+$H613*$D613*$E613+$I613*$D613*$E613+$J613*$D613*$E613*(1-$G613)+$K613*$E613))</f>
        <v>0</v>
      </c>
      <c r="N613" s="23" t="str">
        <f aca="false">IF($B613="","",CONCATENATE("Örnek kalem: ",$B613))</f>
        <v/>
      </c>
    </row>
    <row r="614" customFormat="false" ht="15" hidden="false" customHeight="false" outlineLevel="0" collapsed="false">
      <c r="L614" s="23" t="n">
        <f aca="false">IF($E614="",0,$D614*$E614*(1-$G614-$H614-$I614))</f>
        <v>0</v>
      </c>
      <c r="M614" s="23" t="n">
        <f aca="false">IF($E614="",0,$D614*$E614-($F614*$E614+$G614*$D614*$E614+$H614*$D614*$E614+$I614*$D614*$E614+$J614*$D614*$E614*(1-$G614)+$K614*$E614))</f>
        <v>0</v>
      </c>
      <c r="N614" s="23" t="str">
        <f aca="false">IF($B614="","",CONCATENATE("Örnek kalem: ",$B614))</f>
        <v/>
      </c>
    </row>
    <row r="615" customFormat="false" ht="15" hidden="false" customHeight="false" outlineLevel="0" collapsed="false">
      <c r="L615" s="23" t="n">
        <f aca="false">IF($E615="",0,$D615*$E615*(1-$G615-$H615-$I615))</f>
        <v>0</v>
      </c>
      <c r="M615" s="23" t="n">
        <f aca="false">IF($E615="",0,$D615*$E615-($F615*$E615+$G615*$D615*$E615+$H615*$D615*$E615+$I615*$D615*$E615+$J615*$D615*$E615*(1-$G615)+$K615*$E615))</f>
        <v>0</v>
      </c>
      <c r="N615" s="23" t="str">
        <f aca="false">IF($B615="","",CONCATENATE("Örnek kalem: ",$B615))</f>
        <v/>
      </c>
    </row>
    <row r="616" customFormat="false" ht="15" hidden="false" customHeight="false" outlineLevel="0" collapsed="false">
      <c r="L616" s="23" t="n">
        <f aca="false">IF($E616="",0,$D616*$E616*(1-$G616-$H616-$I616))</f>
        <v>0</v>
      </c>
      <c r="M616" s="23" t="n">
        <f aca="false">IF($E616="",0,$D616*$E616-($F616*$E616+$G616*$D616*$E616+$H616*$D616*$E616+$I616*$D616*$E616+$J616*$D616*$E616*(1-$G616)+$K616*$E616))</f>
        <v>0</v>
      </c>
      <c r="N616" s="23" t="str">
        <f aca="false">IF($B616="","",CONCATENATE("Örnek kalem: ",$B616))</f>
        <v/>
      </c>
    </row>
    <row r="617" customFormat="false" ht="15" hidden="false" customHeight="false" outlineLevel="0" collapsed="false">
      <c r="L617" s="23" t="n">
        <f aca="false">IF($E617="",0,$D617*$E617*(1-$G617-$H617-$I617))</f>
        <v>0</v>
      </c>
      <c r="M617" s="23" t="n">
        <f aca="false">IF($E617="",0,$D617*$E617-($F617*$E617+$G617*$D617*$E617+$H617*$D617*$E617+$I617*$D617*$E617+$J617*$D617*$E617*(1-$G617)+$K617*$E617))</f>
        <v>0</v>
      </c>
      <c r="N617" s="23" t="str">
        <f aca="false">IF($B617="","",CONCATENATE("Örnek kalem: ",$B617))</f>
        <v/>
      </c>
    </row>
    <row r="618" customFormat="false" ht="15" hidden="false" customHeight="false" outlineLevel="0" collapsed="false">
      <c r="L618" s="23" t="n">
        <f aca="false">IF($E618="",0,$D618*$E618*(1-$G618-$H618-$I618))</f>
        <v>0</v>
      </c>
      <c r="M618" s="23" t="n">
        <f aca="false">IF($E618="",0,$D618*$E618-($F618*$E618+$G618*$D618*$E618+$H618*$D618*$E618+$I618*$D618*$E618+$J618*$D618*$E618*(1-$G618)+$K618*$E618))</f>
        <v>0</v>
      </c>
      <c r="N618" s="23" t="str">
        <f aca="false">IF($B618="","",CONCATENATE("Örnek kalem: ",$B618))</f>
        <v/>
      </c>
    </row>
    <row r="619" customFormat="false" ht="15" hidden="false" customHeight="false" outlineLevel="0" collapsed="false">
      <c r="L619" s="23" t="n">
        <f aca="false">IF($E619="",0,$D619*$E619*(1-$G619-$H619-$I619))</f>
        <v>0</v>
      </c>
      <c r="M619" s="23" t="n">
        <f aca="false">IF($E619="",0,$D619*$E619-($F619*$E619+$G619*$D619*$E619+$H619*$D619*$E619+$I619*$D619*$E619+$J619*$D619*$E619*(1-$G619)+$K619*$E619))</f>
        <v>0</v>
      </c>
      <c r="N619" s="23" t="str">
        <f aca="false">IF($B619="","",CONCATENATE("Örnek kalem: ",$B619))</f>
        <v/>
      </c>
    </row>
    <row r="620" customFormat="false" ht="15" hidden="false" customHeight="false" outlineLevel="0" collapsed="false">
      <c r="L620" s="23" t="n">
        <f aca="false">IF($E620="",0,$D620*$E620*(1-$G620-$H620-$I620))</f>
        <v>0</v>
      </c>
      <c r="M620" s="23" t="n">
        <f aca="false">IF($E620="",0,$D620*$E620-($F620*$E620+$G620*$D620*$E620+$H620*$D620*$E620+$I620*$D620*$E620+$J620*$D620*$E620*(1-$G620)+$K620*$E620))</f>
        <v>0</v>
      </c>
      <c r="N620" s="23" t="str">
        <f aca="false">IF($B620="","",CONCATENATE("Örnek kalem: ",$B620))</f>
        <v/>
      </c>
    </row>
    <row r="621" customFormat="false" ht="15" hidden="false" customHeight="false" outlineLevel="0" collapsed="false">
      <c r="L621" s="23" t="n">
        <f aca="false">IF($E621="",0,$D621*$E621*(1-$G621-$H621-$I621))</f>
        <v>0</v>
      </c>
      <c r="M621" s="23" t="n">
        <f aca="false">IF($E621="",0,$D621*$E621-($F621*$E621+$G621*$D621*$E621+$H621*$D621*$E621+$I621*$D621*$E621+$J621*$D621*$E621*(1-$G621)+$K621*$E621))</f>
        <v>0</v>
      </c>
      <c r="N621" s="23" t="str">
        <f aca="false">IF($B621="","",CONCATENATE("Örnek kalem: ",$B621))</f>
        <v/>
      </c>
    </row>
    <row r="622" customFormat="false" ht="15" hidden="false" customHeight="false" outlineLevel="0" collapsed="false">
      <c r="L622" s="23" t="n">
        <f aca="false">IF($E622="",0,$D622*$E622*(1-$G622-$H622-$I622))</f>
        <v>0</v>
      </c>
      <c r="M622" s="23" t="n">
        <f aca="false">IF($E622="",0,$D622*$E622-($F622*$E622+$G622*$D622*$E622+$H622*$D622*$E622+$I622*$D622*$E622+$J622*$D622*$E622*(1-$G622)+$K622*$E622))</f>
        <v>0</v>
      </c>
      <c r="N622" s="23" t="str">
        <f aca="false">IF($B622="","",CONCATENATE("Örnek kalem: ",$B622))</f>
        <v/>
      </c>
    </row>
    <row r="623" customFormat="false" ht="15" hidden="false" customHeight="false" outlineLevel="0" collapsed="false">
      <c r="L623" s="23" t="n">
        <f aca="false">IF($E623="",0,$D623*$E623*(1-$G623-$H623-$I623))</f>
        <v>0</v>
      </c>
      <c r="M623" s="23" t="n">
        <f aca="false">IF($E623="",0,$D623*$E623-($F623*$E623+$G623*$D623*$E623+$H623*$D623*$E623+$I623*$D623*$E623+$J623*$D623*$E623*(1-$G623)+$K623*$E623))</f>
        <v>0</v>
      </c>
      <c r="N623" s="23" t="str">
        <f aca="false">IF($B623="","",CONCATENATE("Örnek kalem: ",$B623))</f>
        <v/>
      </c>
    </row>
    <row r="624" customFormat="false" ht="15" hidden="false" customHeight="false" outlineLevel="0" collapsed="false">
      <c r="L624" s="23" t="n">
        <f aca="false">IF($E624="",0,$D624*$E624*(1-$G624-$H624-$I624))</f>
        <v>0</v>
      </c>
      <c r="M624" s="23" t="n">
        <f aca="false">IF($E624="",0,$D624*$E624-($F624*$E624+$G624*$D624*$E624+$H624*$D624*$E624+$I624*$D624*$E624+$J624*$D624*$E624*(1-$G624)+$K624*$E624))</f>
        <v>0</v>
      </c>
      <c r="N624" s="23" t="str">
        <f aca="false">IF($B624="","",CONCATENATE("Örnek kalem: ",$B624))</f>
        <v/>
      </c>
    </row>
    <row r="625" customFormat="false" ht="15" hidden="false" customHeight="false" outlineLevel="0" collapsed="false">
      <c r="L625" s="23" t="n">
        <f aca="false">IF($E625="",0,$D625*$E625*(1-$G625-$H625-$I625))</f>
        <v>0</v>
      </c>
      <c r="M625" s="23" t="n">
        <f aca="false">IF($E625="",0,$D625*$E625-($F625*$E625+$G625*$D625*$E625+$H625*$D625*$E625+$I625*$D625*$E625+$J625*$D625*$E625*(1-$G625)+$K625*$E625))</f>
        <v>0</v>
      </c>
      <c r="N625" s="23" t="str">
        <f aca="false">IF($B625="","",CONCATENATE("Örnek kalem: ",$B625))</f>
        <v/>
      </c>
    </row>
    <row r="626" customFormat="false" ht="15" hidden="false" customHeight="false" outlineLevel="0" collapsed="false">
      <c r="L626" s="23" t="n">
        <f aca="false">IF($E626="",0,$D626*$E626*(1-$G626-$H626-$I626))</f>
        <v>0</v>
      </c>
      <c r="M626" s="23" t="n">
        <f aca="false">IF($E626="",0,$D626*$E626-($F626*$E626+$G626*$D626*$E626+$H626*$D626*$E626+$I626*$D626*$E626+$J626*$D626*$E626*(1-$G626)+$K626*$E626))</f>
        <v>0</v>
      </c>
      <c r="N626" s="23" t="str">
        <f aca="false">IF($B626="","",CONCATENATE("Örnek kalem: ",$B626))</f>
        <v/>
      </c>
    </row>
    <row r="627" customFormat="false" ht="15" hidden="false" customHeight="false" outlineLevel="0" collapsed="false">
      <c r="L627" s="23" t="n">
        <f aca="false">IF($E627="",0,$D627*$E627*(1-$G627-$H627-$I627))</f>
        <v>0</v>
      </c>
      <c r="M627" s="23" t="n">
        <f aca="false">IF($E627="",0,$D627*$E627-($F627*$E627+$G627*$D627*$E627+$H627*$D627*$E627+$I627*$D627*$E627+$J627*$D627*$E627*(1-$G627)+$K627*$E627))</f>
        <v>0</v>
      </c>
      <c r="N627" s="23" t="str">
        <f aca="false">IF($B627="","",CONCATENATE("Örnek kalem: ",$B627))</f>
        <v/>
      </c>
    </row>
    <row r="628" customFormat="false" ht="15" hidden="false" customHeight="false" outlineLevel="0" collapsed="false">
      <c r="L628" s="23" t="n">
        <f aca="false">IF($E628="",0,$D628*$E628*(1-$G628-$H628-$I628))</f>
        <v>0</v>
      </c>
      <c r="M628" s="23" t="n">
        <f aca="false">IF($E628="",0,$D628*$E628-($F628*$E628+$G628*$D628*$E628+$H628*$D628*$E628+$I628*$D628*$E628+$J628*$D628*$E628*(1-$G628)+$K628*$E628))</f>
        <v>0</v>
      </c>
      <c r="N628" s="23" t="str">
        <f aca="false">IF($B628="","",CONCATENATE("Örnek kalem: ",$B628))</f>
        <v/>
      </c>
    </row>
    <row r="629" customFormat="false" ht="15" hidden="false" customHeight="false" outlineLevel="0" collapsed="false">
      <c r="L629" s="23" t="n">
        <f aca="false">IF($E629="",0,$D629*$E629*(1-$G629-$H629-$I629))</f>
        <v>0</v>
      </c>
      <c r="M629" s="23" t="n">
        <f aca="false">IF($E629="",0,$D629*$E629-($F629*$E629+$G629*$D629*$E629+$H629*$D629*$E629+$I629*$D629*$E629+$J629*$D629*$E629*(1-$G629)+$K629*$E629))</f>
        <v>0</v>
      </c>
      <c r="N629" s="23" t="str">
        <f aca="false">IF($B629="","",CONCATENATE("Örnek kalem: ",$B629))</f>
        <v/>
      </c>
    </row>
    <row r="630" customFormat="false" ht="15" hidden="false" customHeight="false" outlineLevel="0" collapsed="false">
      <c r="L630" s="23" t="n">
        <f aca="false">IF($E630="",0,$D630*$E630*(1-$G630-$H630-$I630))</f>
        <v>0</v>
      </c>
      <c r="M630" s="23" t="n">
        <f aca="false">IF($E630="",0,$D630*$E630-($F630*$E630+$G630*$D630*$E630+$H630*$D630*$E630+$I630*$D630*$E630+$J630*$D630*$E630*(1-$G630)+$K630*$E630))</f>
        <v>0</v>
      </c>
      <c r="N630" s="23" t="str">
        <f aca="false">IF($B630="","",CONCATENATE("Örnek kalem: ",$B630))</f>
        <v/>
      </c>
    </row>
    <row r="631" customFormat="false" ht="15" hidden="false" customHeight="false" outlineLevel="0" collapsed="false">
      <c r="L631" s="23" t="n">
        <f aca="false">IF($E631="",0,$D631*$E631*(1-$G631-$H631-$I631))</f>
        <v>0</v>
      </c>
      <c r="M631" s="23" t="n">
        <f aca="false">IF($E631="",0,$D631*$E631-($F631*$E631+$G631*$D631*$E631+$H631*$D631*$E631+$I631*$D631*$E631+$J631*$D631*$E631*(1-$G631)+$K631*$E631))</f>
        <v>0</v>
      </c>
      <c r="N631" s="23" t="str">
        <f aca="false">IF($B631="","",CONCATENATE("Örnek kalem: ",$B631))</f>
        <v/>
      </c>
    </row>
    <row r="632" customFormat="false" ht="15" hidden="false" customHeight="false" outlineLevel="0" collapsed="false">
      <c r="L632" s="23" t="n">
        <f aca="false">IF($E632="",0,$D632*$E632*(1-$G632-$H632-$I632))</f>
        <v>0</v>
      </c>
      <c r="M632" s="23" t="n">
        <f aca="false">IF($E632="",0,$D632*$E632-($F632*$E632+$G632*$D632*$E632+$H632*$D632*$E632+$I632*$D632*$E632+$J632*$D632*$E632*(1-$G632)+$K632*$E632))</f>
        <v>0</v>
      </c>
      <c r="N632" s="23" t="str">
        <f aca="false">IF($B632="","",CONCATENATE("Örnek kalem: ",$B632))</f>
        <v/>
      </c>
    </row>
    <row r="633" customFormat="false" ht="15" hidden="false" customHeight="false" outlineLevel="0" collapsed="false">
      <c r="L633" s="23" t="n">
        <f aca="false">IF($E633="",0,$D633*$E633*(1-$G633-$H633-$I633))</f>
        <v>0</v>
      </c>
      <c r="M633" s="23" t="n">
        <f aca="false">IF($E633="",0,$D633*$E633-($F633*$E633+$G633*$D633*$E633+$H633*$D633*$E633+$I633*$D633*$E633+$J633*$D633*$E633*(1-$G633)+$K633*$E633))</f>
        <v>0</v>
      </c>
      <c r="N633" s="23" t="str">
        <f aca="false">IF($B633="","",CONCATENATE("Örnek kalem: ",$B633))</f>
        <v/>
      </c>
    </row>
    <row r="634" customFormat="false" ht="15" hidden="false" customHeight="false" outlineLevel="0" collapsed="false">
      <c r="L634" s="23" t="n">
        <f aca="false">IF($E634="",0,$D634*$E634*(1-$G634-$H634-$I634))</f>
        <v>0</v>
      </c>
      <c r="M634" s="23" t="n">
        <f aca="false">IF($E634="",0,$D634*$E634-($F634*$E634+$G634*$D634*$E634+$H634*$D634*$E634+$I634*$D634*$E634+$J634*$D634*$E634*(1-$G634)+$K634*$E634))</f>
        <v>0</v>
      </c>
      <c r="N634" s="23" t="str">
        <f aca="false">IF($B634="","",CONCATENATE("Örnek kalem: ",$B634))</f>
        <v/>
      </c>
    </row>
    <row r="635" customFormat="false" ht="15" hidden="false" customHeight="false" outlineLevel="0" collapsed="false">
      <c r="L635" s="23" t="n">
        <f aca="false">IF($E635="",0,$D635*$E635*(1-$G635-$H635-$I635))</f>
        <v>0</v>
      </c>
      <c r="M635" s="23" t="n">
        <f aca="false">IF($E635="",0,$D635*$E635-($F635*$E635+$G635*$D635*$E635+$H635*$D635*$E635+$I635*$D635*$E635+$J635*$D635*$E635*(1-$G635)+$K635*$E635))</f>
        <v>0</v>
      </c>
      <c r="N635" s="23" t="str">
        <f aca="false">IF($B635="","",CONCATENATE("Örnek kalem: ",$B635))</f>
        <v/>
      </c>
    </row>
    <row r="636" customFormat="false" ht="15" hidden="false" customHeight="false" outlineLevel="0" collapsed="false">
      <c r="L636" s="23" t="n">
        <f aca="false">IF($E636="",0,$D636*$E636*(1-$G636-$H636-$I636))</f>
        <v>0</v>
      </c>
      <c r="M636" s="23" t="n">
        <f aca="false">IF($E636="",0,$D636*$E636-($F636*$E636+$G636*$D636*$E636+$H636*$D636*$E636+$I636*$D636*$E636+$J636*$D636*$E636*(1-$G636)+$K636*$E636))</f>
        <v>0</v>
      </c>
      <c r="N636" s="23" t="str">
        <f aca="false">IF($B636="","",CONCATENATE("Örnek kalem: ",$B636))</f>
        <v/>
      </c>
    </row>
    <row r="637" customFormat="false" ht="15" hidden="false" customHeight="false" outlineLevel="0" collapsed="false">
      <c r="L637" s="23" t="n">
        <f aca="false">IF($E637="",0,$D637*$E637*(1-$G637-$H637-$I637))</f>
        <v>0</v>
      </c>
      <c r="M637" s="23" t="n">
        <f aca="false">IF($E637="",0,$D637*$E637-($F637*$E637+$G637*$D637*$E637+$H637*$D637*$E637+$I637*$D637*$E637+$J637*$D637*$E637*(1-$G637)+$K637*$E637))</f>
        <v>0</v>
      </c>
      <c r="N637" s="23" t="str">
        <f aca="false">IF($B637="","",CONCATENATE("Örnek kalem: ",$B637))</f>
        <v/>
      </c>
    </row>
    <row r="638" customFormat="false" ht="15" hidden="false" customHeight="false" outlineLevel="0" collapsed="false">
      <c r="L638" s="23" t="n">
        <f aca="false">IF($E638="",0,$D638*$E638*(1-$G638-$H638-$I638))</f>
        <v>0</v>
      </c>
      <c r="M638" s="23" t="n">
        <f aca="false">IF($E638="",0,$D638*$E638-($F638*$E638+$G638*$D638*$E638+$H638*$D638*$E638+$I638*$D638*$E638+$J638*$D638*$E638*(1-$G638)+$K638*$E638))</f>
        <v>0</v>
      </c>
      <c r="N638" s="23" t="str">
        <f aca="false">IF($B638="","",CONCATENATE("Örnek kalem: ",$B638))</f>
        <v/>
      </c>
    </row>
    <row r="639" customFormat="false" ht="15" hidden="false" customHeight="false" outlineLevel="0" collapsed="false">
      <c r="L639" s="23" t="n">
        <f aca="false">IF($E639="",0,$D639*$E639*(1-$G639-$H639-$I639))</f>
        <v>0</v>
      </c>
      <c r="M639" s="23" t="n">
        <f aca="false">IF($E639="",0,$D639*$E639-($F639*$E639+$G639*$D639*$E639+$H639*$D639*$E639+$I639*$D639*$E639+$J639*$D639*$E639*(1-$G639)+$K639*$E639))</f>
        <v>0</v>
      </c>
      <c r="N639" s="23" t="str">
        <f aca="false">IF($B639="","",CONCATENATE("Örnek kalem: ",$B639))</f>
        <v/>
      </c>
    </row>
    <row r="640" customFormat="false" ht="15" hidden="false" customHeight="false" outlineLevel="0" collapsed="false">
      <c r="L640" s="23" t="n">
        <f aca="false">IF($E640="",0,$D640*$E640*(1-$G640-$H640-$I640))</f>
        <v>0</v>
      </c>
      <c r="M640" s="23" t="n">
        <f aca="false">IF($E640="",0,$D640*$E640-($F640*$E640+$G640*$D640*$E640+$H640*$D640*$E640+$I640*$D640*$E640+$J640*$D640*$E640*(1-$G640)+$K640*$E640))</f>
        <v>0</v>
      </c>
      <c r="N640" s="23" t="str">
        <f aca="false">IF($B640="","",CONCATENATE("Örnek kalem: ",$B640))</f>
        <v/>
      </c>
    </row>
    <row r="641" customFormat="false" ht="15" hidden="false" customHeight="false" outlineLevel="0" collapsed="false">
      <c r="L641" s="23" t="n">
        <f aca="false">IF($E641="",0,$D641*$E641*(1-$G641-$H641-$I641))</f>
        <v>0</v>
      </c>
      <c r="M641" s="23" t="n">
        <f aca="false">IF($E641="",0,$D641*$E641-($F641*$E641+$G641*$D641*$E641+$H641*$D641*$E641+$I641*$D641*$E641+$J641*$D641*$E641*(1-$G641)+$K641*$E641))</f>
        <v>0</v>
      </c>
      <c r="N641" s="23" t="str">
        <f aca="false">IF($B641="","",CONCATENATE("Örnek kalem: ",$B641))</f>
        <v/>
      </c>
    </row>
    <row r="642" customFormat="false" ht="15" hidden="false" customHeight="false" outlineLevel="0" collapsed="false">
      <c r="L642" s="23" t="n">
        <f aca="false">IF($E642="",0,$D642*$E642*(1-$G642-$H642-$I642))</f>
        <v>0</v>
      </c>
      <c r="M642" s="23" t="n">
        <f aca="false">IF($E642="",0,$D642*$E642-($F642*$E642+$G642*$D642*$E642+$H642*$D642*$E642+$I642*$D642*$E642+$J642*$D642*$E642*(1-$G642)+$K642*$E642))</f>
        <v>0</v>
      </c>
      <c r="N642" s="23" t="str">
        <f aca="false">IF($B642="","",CONCATENATE("Örnek kalem: ",$B642))</f>
        <v/>
      </c>
    </row>
    <row r="643" customFormat="false" ht="15" hidden="false" customHeight="false" outlineLevel="0" collapsed="false">
      <c r="L643" s="23" t="n">
        <f aca="false">IF($E643="",0,$D643*$E643*(1-$G643-$H643-$I643))</f>
        <v>0</v>
      </c>
      <c r="M643" s="23" t="n">
        <f aca="false">IF($E643="",0,$D643*$E643-($F643*$E643+$G643*$D643*$E643+$H643*$D643*$E643+$I643*$D643*$E643+$J643*$D643*$E643*(1-$G643)+$K643*$E643))</f>
        <v>0</v>
      </c>
      <c r="N643" s="23" t="str">
        <f aca="false">IF($B643="","",CONCATENATE("Örnek kalem: ",$B643))</f>
        <v/>
      </c>
    </row>
    <row r="644" customFormat="false" ht="15" hidden="false" customHeight="false" outlineLevel="0" collapsed="false">
      <c r="L644" s="23" t="n">
        <f aca="false">IF($E644="",0,$D644*$E644*(1-$G644-$H644-$I644))</f>
        <v>0</v>
      </c>
      <c r="M644" s="23" t="n">
        <f aca="false">IF($E644="",0,$D644*$E644-($F644*$E644+$G644*$D644*$E644+$H644*$D644*$E644+$I644*$D644*$E644+$J644*$D644*$E644*(1-$G644)+$K644*$E644))</f>
        <v>0</v>
      </c>
      <c r="N644" s="23" t="str">
        <f aca="false">IF($B644="","",CONCATENATE("Örnek kalem: ",$B644))</f>
        <v/>
      </c>
    </row>
    <row r="645" customFormat="false" ht="15" hidden="false" customHeight="false" outlineLevel="0" collapsed="false">
      <c r="L645" s="23" t="n">
        <f aca="false">IF($E645="",0,$D645*$E645*(1-$G645-$H645-$I645))</f>
        <v>0</v>
      </c>
      <c r="M645" s="23" t="n">
        <f aca="false">IF($E645="",0,$D645*$E645-($F645*$E645+$G645*$D645*$E645+$H645*$D645*$E645+$I645*$D645*$E645+$J645*$D645*$E645*(1-$G645)+$K645*$E645))</f>
        <v>0</v>
      </c>
      <c r="N645" s="23" t="str">
        <f aca="false">IF($B645="","",CONCATENATE("Örnek kalem: ",$B645))</f>
        <v/>
      </c>
    </row>
    <row r="646" customFormat="false" ht="15" hidden="false" customHeight="false" outlineLevel="0" collapsed="false">
      <c r="L646" s="23" t="n">
        <f aca="false">IF($E646="",0,$D646*$E646*(1-$G646-$H646-$I646))</f>
        <v>0</v>
      </c>
      <c r="M646" s="23" t="n">
        <f aca="false">IF($E646="",0,$D646*$E646-($F646*$E646+$G646*$D646*$E646+$H646*$D646*$E646+$I646*$D646*$E646+$J646*$D646*$E646*(1-$G646)+$K646*$E646))</f>
        <v>0</v>
      </c>
      <c r="N646" s="23" t="str">
        <f aca="false">IF($B646="","",CONCATENATE("Örnek kalem: ",$B646))</f>
        <v/>
      </c>
    </row>
    <row r="647" customFormat="false" ht="15" hidden="false" customHeight="false" outlineLevel="0" collapsed="false">
      <c r="L647" s="23" t="n">
        <f aca="false">IF($E647="",0,$D647*$E647*(1-$G647-$H647-$I647))</f>
        <v>0</v>
      </c>
      <c r="M647" s="23" t="n">
        <f aca="false">IF($E647="",0,$D647*$E647-($F647*$E647+$G647*$D647*$E647+$H647*$D647*$E647+$I647*$D647*$E647+$J647*$D647*$E647*(1-$G647)+$K647*$E647))</f>
        <v>0</v>
      </c>
      <c r="N647" s="23" t="str">
        <f aca="false">IF($B647="","",CONCATENATE("Örnek kalem: ",$B647))</f>
        <v/>
      </c>
    </row>
    <row r="648" customFormat="false" ht="15" hidden="false" customHeight="false" outlineLevel="0" collapsed="false">
      <c r="L648" s="23" t="n">
        <f aca="false">IF($E648="",0,$D648*$E648*(1-$G648-$H648-$I648))</f>
        <v>0</v>
      </c>
      <c r="M648" s="23" t="n">
        <f aca="false">IF($E648="",0,$D648*$E648-($F648*$E648+$G648*$D648*$E648+$H648*$D648*$E648+$I648*$D648*$E648+$J648*$D648*$E648*(1-$G648)+$K648*$E648))</f>
        <v>0</v>
      </c>
      <c r="N648" s="23" t="str">
        <f aca="false">IF($B648="","",CONCATENATE("Örnek kalem: ",$B648))</f>
        <v/>
      </c>
    </row>
    <row r="649" customFormat="false" ht="15" hidden="false" customHeight="false" outlineLevel="0" collapsed="false">
      <c r="L649" s="23" t="n">
        <f aca="false">IF($E649="",0,$D649*$E649*(1-$G649-$H649-$I649))</f>
        <v>0</v>
      </c>
      <c r="M649" s="23" t="n">
        <f aca="false">IF($E649="",0,$D649*$E649-($F649*$E649+$G649*$D649*$E649+$H649*$D649*$E649+$I649*$D649*$E649+$J649*$D649*$E649*(1-$G649)+$K649*$E649))</f>
        <v>0</v>
      </c>
      <c r="N649" s="23" t="str">
        <f aca="false">IF($B649="","",CONCATENATE("Örnek kalem: ",$B649))</f>
        <v/>
      </c>
    </row>
    <row r="650" customFormat="false" ht="15" hidden="false" customHeight="false" outlineLevel="0" collapsed="false">
      <c r="L650" s="23" t="n">
        <f aca="false">IF($E650="",0,$D650*$E650*(1-$G650-$H650-$I650))</f>
        <v>0</v>
      </c>
      <c r="M650" s="23" t="n">
        <f aca="false">IF($E650="",0,$D650*$E650-($F650*$E650+$G650*$D650*$E650+$H650*$D650*$E650+$I650*$D650*$E650+$J650*$D650*$E650*(1-$G650)+$K650*$E650))</f>
        <v>0</v>
      </c>
      <c r="N650" s="23" t="str">
        <f aca="false">IF($B650="","",CONCATENATE("Örnek kalem: ",$B650))</f>
        <v/>
      </c>
    </row>
    <row r="651" customFormat="false" ht="15" hidden="false" customHeight="false" outlineLevel="0" collapsed="false">
      <c r="L651" s="23" t="n">
        <f aca="false">IF($E651="",0,$D651*$E651*(1-$G651-$H651-$I651))</f>
        <v>0</v>
      </c>
      <c r="M651" s="23" t="n">
        <f aca="false">IF($E651="",0,$D651*$E651-($F651*$E651+$G651*$D651*$E651+$H651*$D651*$E651+$I651*$D651*$E651+$J651*$D651*$E651*(1-$G651)+$K651*$E651))</f>
        <v>0</v>
      </c>
      <c r="N651" s="23" t="str">
        <f aca="false">IF($B651="","",CONCATENATE("Örnek kalem: ",$B651))</f>
        <v/>
      </c>
    </row>
    <row r="652" customFormat="false" ht="15" hidden="false" customHeight="false" outlineLevel="0" collapsed="false">
      <c r="L652" s="23" t="n">
        <f aca="false">IF($E652="",0,$D652*$E652*(1-$G652-$H652-$I652))</f>
        <v>0</v>
      </c>
      <c r="M652" s="23" t="n">
        <f aca="false">IF($E652="",0,$D652*$E652-($F652*$E652+$G652*$D652*$E652+$H652*$D652*$E652+$I652*$D652*$E652+$J652*$D652*$E652*(1-$G652)+$K652*$E652))</f>
        <v>0</v>
      </c>
      <c r="N652" s="23" t="str">
        <f aca="false">IF($B652="","",CONCATENATE("Örnek kalem: ",$B652))</f>
        <v/>
      </c>
    </row>
    <row r="653" customFormat="false" ht="15" hidden="false" customHeight="false" outlineLevel="0" collapsed="false">
      <c r="L653" s="23" t="n">
        <f aca="false">IF($E653="",0,$D653*$E653*(1-$G653-$H653-$I653))</f>
        <v>0</v>
      </c>
      <c r="M653" s="23" t="n">
        <f aca="false">IF($E653="",0,$D653*$E653-($F653*$E653+$G653*$D653*$E653+$H653*$D653*$E653+$I653*$D653*$E653+$J653*$D653*$E653*(1-$G653)+$K653*$E653))</f>
        <v>0</v>
      </c>
      <c r="N653" s="23" t="str">
        <f aca="false">IF($B653="","",CONCATENATE("Örnek kalem: ",$B653))</f>
        <v/>
      </c>
    </row>
    <row r="654" customFormat="false" ht="15" hidden="false" customHeight="false" outlineLevel="0" collapsed="false">
      <c r="L654" s="23" t="n">
        <f aca="false">IF($E654="",0,$D654*$E654*(1-$G654-$H654-$I654))</f>
        <v>0</v>
      </c>
      <c r="M654" s="23" t="n">
        <f aca="false">IF($E654="",0,$D654*$E654-($F654*$E654+$G654*$D654*$E654+$H654*$D654*$E654+$I654*$D654*$E654+$J654*$D654*$E654*(1-$G654)+$K654*$E654))</f>
        <v>0</v>
      </c>
      <c r="N654" s="23" t="str">
        <f aca="false">IF($B654="","",CONCATENATE("Örnek kalem: ",$B654))</f>
        <v/>
      </c>
    </row>
    <row r="655" customFormat="false" ht="15" hidden="false" customHeight="false" outlineLevel="0" collapsed="false">
      <c r="L655" s="23" t="n">
        <f aca="false">IF($E655="",0,$D655*$E655*(1-$G655-$H655-$I655))</f>
        <v>0</v>
      </c>
      <c r="M655" s="23" t="n">
        <f aca="false">IF($E655="",0,$D655*$E655-($F655*$E655+$G655*$D655*$E655+$H655*$D655*$E655+$I655*$D655*$E655+$J655*$D655*$E655*(1-$G655)+$K655*$E655))</f>
        <v>0</v>
      </c>
      <c r="N655" s="23" t="str">
        <f aca="false">IF($B655="","",CONCATENATE("Örnek kalem: ",$B655))</f>
        <v/>
      </c>
    </row>
    <row r="656" customFormat="false" ht="15" hidden="false" customHeight="false" outlineLevel="0" collapsed="false">
      <c r="L656" s="23" t="n">
        <f aca="false">IF($E656="",0,$D656*$E656*(1-$G656-$H656-$I656))</f>
        <v>0</v>
      </c>
      <c r="M656" s="23" t="n">
        <f aca="false">IF($E656="",0,$D656*$E656-($F656*$E656+$G656*$D656*$E656+$H656*$D656*$E656+$I656*$D656*$E656+$J656*$D656*$E656*(1-$G656)+$K656*$E656))</f>
        <v>0</v>
      </c>
      <c r="N656" s="23" t="str">
        <f aca="false">IF($B656="","",CONCATENATE("Örnek kalem: ",$B656))</f>
        <v/>
      </c>
    </row>
    <row r="657" customFormat="false" ht="15" hidden="false" customHeight="false" outlineLevel="0" collapsed="false">
      <c r="L657" s="23" t="n">
        <f aca="false">IF($E657="",0,$D657*$E657*(1-$G657-$H657-$I657))</f>
        <v>0</v>
      </c>
      <c r="M657" s="23" t="n">
        <f aca="false">IF($E657="",0,$D657*$E657-($F657*$E657+$G657*$D657*$E657+$H657*$D657*$E657+$I657*$D657*$E657+$J657*$D657*$E657*(1-$G657)+$K657*$E657))</f>
        <v>0</v>
      </c>
      <c r="N657" s="23" t="str">
        <f aca="false">IF($B657="","",CONCATENATE("Örnek kalem: ",$B657))</f>
        <v/>
      </c>
    </row>
    <row r="658" customFormat="false" ht="15" hidden="false" customHeight="false" outlineLevel="0" collapsed="false">
      <c r="L658" s="23" t="n">
        <f aca="false">IF($E658="",0,$D658*$E658*(1-$G658-$H658-$I658))</f>
        <v>0</v>
      </c>
      <c r="M658" s="23" t="n">
        <f aca="false">IF($E658="",0,$D658*$E658-($F658*$E658+$G658*$D658*$E658+$H658*$D658*$E658+$I658*$D658*$E658+$J658*$D658*$E658*(1-$G658)+$K658*$E658))</f>
        <v>0</v>
      </c>
      <c r="N658" s="23" t="str">
        <f aca="false">IF($B658="","",CONCATENATE("Örnek kalem: ",$B658))</f>
        <v/>
      </c>
    </row>
    <row r="659" customFormat="false" ht="15" hidden="false" customHeight="false" outlineLevel="0" collapsed="false">
      <c r="L659" s="23" t="n">
        <f aca="false">IF($E659="",0,$D659*$E659*(1-$G659-$H659-$I659))</f>
        <v>0</v>
      </c>
      <c r="M659" s="23" t="n">
        <f aca="false">IF($E659="",0,$D659*$E659-($F659*$E659+$G659*$D659*$E659+$H659*$D659*$E659+$I659*$D659*$E659+$J659*$D659*$E659*(1-$G659)+$K659*$E659))</f>
        <v>0</v>
      </c>
      <c r="N659" s="23" t="str">
        <f aca="false">IF($B659="","",CONCATENATE("Örnek kalem: ",$B659))</f>
        <v/>
      </c>
    </row>
    <row r="660" customFormat="false" ht="15" hidden="false" customHeight="false" outlineLevel="0" collapsed="false">
      <c r="L660" s="23" t="n">
        <f aca="false">IF($E660="",0,$D660*$E660*(1-$G660-$H660-$I660))</f>
        <v>0</v>
      </c>
      <c r="M660" s="23" t="n">
        <f aca="false">IF($E660="",0,$D660*$E660-($F660*$E660+$G660*$D660*$E660+$H660*$D660*$E660+$I660*$D660*$E660+$J660*$D660*$E660*(1-$G660)+$K660*$E660))</f>
        <v>0</v>
      </c>
      <c r="N660" s="23" t="str">
        <f aca="false">IF($B660="","",CONCATENATE("Örnek kalem: ",$B660))</f>
        <v/>
      </c>
    </row>
    <row r="661" customFormat="false" ht="15" hidden="false" customHeight="false" outlineLevel="0" collapsed="false">
      <c r="L661" s="23" t="n">
        <f aca="false">IF($E661="",0,$D661*$E661*(1-$G661-$H661-$I661))</f>
        <v>0</v>
      </c>
      <c r="M661" s="23" t="n">
        <f aca="false">IF($E661="",0,$D661*$E661-($F661*$E661+$G661*$D661*$E661+$H661*$D661*$E661+$I661*$D661*$E661+$J661*$D661*$E661*(1-$G661)+$K661*$E661))</f>
        <v>0</v>
      </c>
      <c r="N661" s="23" t="str">
        <f aca="false">IF($B661="","",CONCATENATE("Örnek kalem: ",$B661))</f>
        <v/>
      </c>
    </row>
    <row r="662" customFormat="false" ht="15" hidden="false" customHeight="false" outlineLevel="0" collapsed="false">
      <c r="L662" s="23" t="n">
        <f aca="false">IF($E662="",0,$D662*$E662*(1-$G662-$H662-$I662))</f>
        <v>0</v>
      </c>
      <c r="M662" s="23" t="n">
        <f aca="false">IF($E662="",0,$D662*$E662-($F662*$E662+$G662*$D662*$E662+$H662*$D662*$E662+$I662*$D662*$E662+$J662*$D662*$E662*(1-$G662)+$K662*$E662))</f>
        <v>0</v>
      </c>
      <c r="N662" s="23" t="str">
        <f aca="false">IF($B662="","",CONCATENATE("Örnek kalem: ",$B662))</f>
        <v/>
      </c>
    </row>
    <row r="663" customFormat="false" ht="15" hidden="false" customHeight="false" outlineLevel="0" collapsed="false">
      <c r="L663" s="23" t="n">
        <f aca="false">IF($E663="",0,$D663*$E663*(1-$G663-$H663-$I663))</f>
        <v>0</v>
      </c>
      <c r="M663" s="23" t="n">
        <f aca="false">IF($E663="",0,$D663*$E663-($F663*$E663+$G663*$D663*$E663+$H663*$D663*$E663+$I663*$D663*$E663+$J663*$D663*$E663*(1-$G663)+$K663*$E663))</f>
        <v>0</v>
      </c>
      <c r="N663" s="23" t="str">
        <f aca="false">IF($B663="","",CONCATENATE("Örnek kalem: ",$B663))</f>
        <v/>
      </c>
    </row>
    <row r="664" customFormat="false" ht="15" hidden="false" customHeight="false" outlineLevel="0" collapsed="false">
      <c r="L664" s="23" t="n">
        <f aca="false">IF($E664="",0,$D664*$E664*(1-$G664-$H664-$I664))</f>
        <v>0</v>
      </c>
      <c r="M664" s="23" t="n">
        <f aca="false">IF($E664="",0,$D664*$E664-($F664*$E664+$G664*$D664*$E664+$H664*$D664*$E664+$I664*$D664*$E664+$J664*$D664*$E664*(1-$G664)+$K664*$E664))</f>
        <v>0</v>
      </c>
      <c r="N664" s="23" t="str">
        <f aca="false">IF($B664="","",CONCATENATE("Örnek kalem: ",$B664))</f>
        <v/>
      </c>
    </row>
    <row r="665" customFormat="false" ht="15" hidden="false" customHeight="false" outlineLevel="0" collapsed="false">
      <c r="L665" s="23" t="n">
        <f aca="false">IF($E665="",0,$D665*$E665*(1-$G665-$H665-$I665))</f>
        <v>0</v>
      </c>
      <c r="M665" s="23" t="n">
        <f aca="false">IF($E665="",0,$D665*$E665-($F665*$E665+$G665*$D665*$E665+$H665*$D665*$E665+$I665*$D665*$E665+$J665*$D665*$E665*(1-$G665)+$K665*$E665))</f>
        <v>0</v>
      </c>
      <c r="N665" s="23" t="str">
        <f aca="false">IF($B665="","",CONCATENATE("Örnek kalem: ",$B665))</f>
        <v/>
      </c>
    </row>
    <row r="666" customFormat="false" ht="15" hidden="false" customHeight="false" outlineLevel="0" collapsed="false">
      <c r="L666" s="23" t="n">
        <f aca="false">IF($E666="",0,$D666*$E666*(1-$G666-$H666-$I666))</f>
        <v>0</v>
      </c>
      <c r="M666" s="23" t="n">
        <f aca="false">IF($E666="",0,$D666*$E666-($F666*$E666+$G666*$D666*$E666+$H666*$D666*$E666+$I666*$D666*$E666+$J666*$D666*$E666*(1-$G666)+$K666*$E666))</f>
        <v>0</v>
      </c>
      <c r="N666" s="23" t="str">
        <f aca="false">IF($B666="","",CONCATENATE("Örnek kalem: ",$B666))</f>
        <v/>
      </c>
    </row>
    <row r="667" customFormat="false" ht="15" hidden="false" customHeight="false" outlineLevel="0" collapsed="false">
      <c r="L667" s="23" t="n">
        <f aca="false">IF($E667="",0,$D667*$E667*(1-$G667-$H667-$I667))</f>
        <v>0</v>
      </c>
      <c r="M667" s="23" t="n">
        <f aca="false">IF($E667="",0,$D667*$E667-($F667*$E667+$G667*$D667*$E667+$H667*$D667*$E667+$I667*$D667*$E667+$J667*$D667*$E667*(1-$G667)+$K667*$E667))</f>
        <v>0</v>
      </c>
      <c r="N667" s="23" t="str">
        <f aca="false">IF($B667="","",CONCATENATE("Örnek kalem: ",$B667))</f>
        <v/>
      </c>
    </row>
    <row r="668" customFormat="false" ht="15" hidden="false" customHeight="false" outlineLevel="0" collapsed="false">
      <c r="L668" s="23" t="n">
        <f aca="false">IF($E668="",0,$D668*$E668*(1-$G668-$H668-$I668))</f>
        <v>0</v>
      </c>
      <c r="M668" s="23" t="n">
        <f aca="false">IF($E668="",0,$D668*$E668-($F668*$E668+$G668*$D668*$E668+$H668*$D668*$E668+$I668*$D668*$E668+$J668*$D668*$E668*(1-$G668)+$K668*$E668))</f>
        <v>0</v>
      </c>
      <c r="N668" s="23" t="str">
        <f aca="false">IF($B668="","",CONCATENATE("Örnek kalem: ",$B668))</f>
        <v/>
      </c>
    </row>
    <row r="669" customFormat="false" ht="15" hidden="false" customHeight="false" outlineLevel="0" collapsed="false">
      <c r="L669" s="23" t="n">
        <f aca="false">IF($E669="",0,$D669*$E669*(1-$G669-$H669-$I669))</f>
        <v>0</v>
      </c>
      <c r="M669" s="23" t="n">
        <f aca="false">IF($E669="",0,$D669*$E669-($F669*$E669+$G669*$D669*$E669+$H669*$D669*$E669+$I669*$D669*$E669+$J669*$D669*$E669*(1-$G669)+$K669*$E669))</f>
        <v>0</v>
      </c>
      <c r="N669" s="23" t="str">
        <f aca="false">IF($B669="","",CONCATENATE("Örnek kalem: ",$B669))</f>
        <v/>
      </c>
    </row>
    <row r="670" customFormat="false" ht="15" hidden="false" customHeight="false" outlineLevel="0" collapsed="false">
      <c r="L670" s="23" t="n">
        <f aca="false">IF($E670="",0,$D670*$E670*(1-$G670-$H670-$I670))</f>
        <v>0</v>
      </c>
      <c r="M670" s="23" t="n">
        <f aca="false">IF($E670="",0,$D670*$E670-($F670*$E670+$G670*$D670*$E670+$H670*$D670*$E670+$I670*$D670*$E670+$J670*$D670*$E670*(1-$G670)+$K670*$E670))</f>
        <v>0</v>
      </c>
      <c r="N670" s="23" t="str">
        <f aca="false">IF($B670="","",CONCATENATE("Örnek kalem: ",$B670))</f>
        <v/>
      </c>
    </row>
    <row r="671" customFormat="false" ht="15" hidden="false" customHeight="false" outlineLevel="0" collapsed="false">
      <c r="L671" s="23" t="n">
        <f aca="false">IF($E671="",0,$D671*$E671*(1-$G671-$H671-$I671))</f>
        <v>0</v>
      </c>
      <c r="M671" s="23" t="n">
        <f aca="false">IF($E671="",0,$D671*$E671-($F671*$E671+$G671*$D671*$E671+$H671*$D671*$E671+$I671*$D671*$E671+$J671*$D671*$E671*(1-$G671)+$K671*$E671))</f>
        <v>0</v>
      </c>
      <c r="N671" s="23" t="str">
        <f aca="false">IF($B671="","",CONCATENATE("Örnek kalem: ",$B671))</f>
        <v/>
      </c>
    </row>
    <row r="672" customFormat="false" ht="15" hidden="false" customHeight="false" outlineLevel="0" collapsed="false">
      <c r="L672" s="23" t="n">
        <f aca="false">IF($E672="",0,$D672*$E672*(1-$G672-$H672-$I672))</f>
        <v>0</v>
      </c>
      <c r="M672" s="23" t="n">
        <f aca="false">IF($E672="",0,$D672*$E672-($F672*$E672+$G672*$D672*$E672+$H672*$D672*$E672+$I672*$D672*$E672+$J672*$D672*$E672*(1-$G672)+$K672*$E672))</f>
        <v>0</v>
      </c>
      <c r="N672" s="23" t="str">
        <f aca="false">IF($B672="","",CONCATENATE("Örnek kalem: ",$B672))</f>
        <v/>
      </c>
    </row>
    <row r="673" customFormat="false" ht="15" hidden="false" customHeight="false" outlineLevel="0" collapsed="false">
      <c r="L673" s="23" t="n">
        <f aca="false">IF($E673="",0,$D673*$E673*(1-$G673-$H673-$I673))</f>
        <v>0</v>
      </c>
      <c r="M673" s="23" t="n">
        <f aca="false">IF($E673="",0,$D673*$E673-($F673*$E673+$G673*$D673*$E673+$H673*$D673*$E673+$I673*$D673*$E673+$J673*$D673*$E673*(1-$G673)+$K673*$E673))</f>
        <v>0</v>
      </c>
      <c r="N673" s="23" t="str">
        <f aca="false">IF($B673="","",CONCATENATE("Örnek kalem: ",$B673))</f>
        <v/>
      </c>
    </row>
    <row r="674" customFormat="false" ht="15" hidden="false" customHeight="false" outlineLevel="0" collapsed="false">
      <c r="L674" s="23" t="n">
        <f aca="false">IF($E674="",0,$D674*$E674*(1-$G674-$H674-$I674))</f>
        <v>0</v>
      </c>
      <c r="M674" s="23" t="n">
        <f aca="false">IF($E674="",0,$D674*$E674-($F674*$E674+$G674*$D674*$E674+$H674*$D674*$E674+$I674*$D674*$E674+$J674*$D674*$E674*(1-$G674)+$K674*$E674))</f>
        <v>0</v>
      </c>
      <c r="N674" s="23" t="str">
        <f aca="false">IF($B674="","",CONCATENATE("Örnek kalem: ",$B674))</f>
        <v/>
      </c>
    </row>
    <row r="675" customFormat="false" ht="15" hidden="false" customHeight="false" outlineLevel="0" collapsed="false">
      <c r="L675" s="23" t="n">
        <f aca="false">IF($E675="",0,$D675*$E675*(1-$G675-$H675-$I675))</f>
        <v>0</v>
      </c>
      <c r="M675" s="23" t="n">
        <f aca="false">IF($E675="",0,$D675*$E675-($F675*$E675+$G675*$D675*$E675+$H675*$D675*$E675+$I675*$D675*$E675+$J675*$D675*$E675*(1-$G675)+$K675*$E675))</f>
        <v>0</v>
      </c>
      <c r="N675" s="23" t="str">
        <f aca="false">IF($B675="","",CONCATENATE("Örnek kalem: ",$B675))</f>
        <v/>
      </c>
    </row>
    <row r="676" customFormat="false" ht="15" hidden="false" customHeight="false" outlineLevel="0" collapsed="false">
      <c r="L676" s="23" t="n">
        <f aca="false">IF($E676="",0,$D676*$E676*(1-$G676-$H676-$I676))</f>
        <v>0</v>
      </c>
      <c r="M676" s="23" t="n">
        <f aca="false">IF($E676="",0,$D676*$E676-($F676*$E676+$G676*$D676*$E676+$H676*$D676*$E676+$I676*$D676*$E676+$J676*$D676*$E676*(1-$G676)+$K676*$E676))</f>
        <v>0</v>
      </c>
      <c r="N676" s="23" t="str">
        <f aca="false">IF($B676="","",CONCATENATE("Örnek kalem: ",$B676))</f>
        <v/>
      </c>
    </row>
    <row r="677" customFormat="false" ht="15" hidden="false" customHeight="false" outlineLevel="0" collapsed="false">
      <c r="L677" s="23" t="n">
        <f aca="false">IF($E677="",0,$D677*$E677*(1-$G677-$H677-$I677))</f>
        <v>0</v>
      </c>
      <c r="M677" s="23" t="n">
        <f aca="false">IF($E677="",0,$D677*$E677-($F677*$E677+$G677*$D677*$E677+$H677*$D677*$E677+$I677*$D677*$E677+$J677*$D677*$E677*(1-$G677)+$K677*$E677))</f>
        <v>0</v>
      </c>
      <c r="N677" s="23" t="str">
        <f aca="false">IF($B677="","",CONCATENATE("Örnek kalem: ",$B677))</f>
        <v/>
      </c>
    </row>
    <row r="678" customFormat="false" ht="15" hidden="false" customHeight="false" outlineLevel="0" collapsed="false">
      <c r="L678" s="23" t="n">
        <f aca="false">IF($E678="",0,$D678*$E678*(1-$G678-$H678-$I678))</f>
        <v>0</v>
      </c>
      <c r="M678" s="23" t="n">
        <f aca="false">IF($E678="",0,$D678*$E678-($F678*$E678+$G678*$D678*$E678+$H678*$D678*$E678+$I678*$D678*$E678+$J678*$D678*$E678*(1-$G678)+$K678*$E678))</f>
        <v>0</v>
      </c>
      <c r="N678" s="23" t="str">
        <f aca="false">IF($B678="","",CONCATENATE("Örnek kalem: ",$B678))</f>
        <v/>
      </c>
    </row>
    <row r="679" customFormat="false" ht="15" hidden="false" customHeight="false" outlineLevel="0" collapsed="false">
      <c r="L679" s="23" t="n">
        <f aca="false">IF($E679="",0,$D679*$E679*(1-$G679-$H679-$I679))</f>
        <v>0</v>
      </c>
      <c r="M679" s="23" t="n">
        <f aca="false">IF($E679="",0,$D679*$E679-($F679*$E679+$G679*$D679*$E679+$H679*$D679*$E679+$I679*$D679*$E679+$J679*$D679*$E679*(1-$G679)+$K679*$E679))</f>
        <v>0</v>
      </c>
      <c r="N679" s="23" t="str">
        <f aca="false">IF($B679="","",CONCATENATE("Örnek kalem: ",$B679))</f>
        <v/>
      </c>
    </row>
    <row r="680" customFormat="false" ht="15" hidden="false" customHeight="false" outlineLevel="0" collapsed="false">
      <c r="L680" s="23" t="n">
        <f aca="false">IF($E680="",0,$D680*$E680*(1-$G680-$H680-$I680))</f>
        <v>0</v>
      </c>
      <c r="M680" s="23" t="n">
        <f aca="false">IF($E680="",0,$D680*$E680-($F680*$E680+$G680*$D680*$E680+$H680*$D680*$E680+$I680*$D680*$E680+$J680*$D680*$E680*(1-$G680)+$K680*$E680))</f>
        <v>0</v>
      </c>
      <c r="N680" s="23" t="str">
        <f aca="false">IF($B680="","",CONCATENATE("Örnek kalem: ",$B680))</f>
        <v/>
      </c>
    </row>
    <row r="681" customFormat="false" ht="15" hidden="false" customHeight="false" outlineLevel="0" collapsed="false">
      <c r="L681" s="23" t="n">
        <f aca="false">IF($E681="",0,$D681*$E681*(1-$G681-$H681-$I681))</f>
        <v>0</v>
      </c>
      <c r="M681" s="23" t="n">
        <f aca="false">IF($E681="",0,$D681*$E681-($F681*$E681+$G681*$D681*$E681+$H681*$D681*$E681+$I681*$D681*$E681+$J681*$D681*$E681*(1-$G681)+$K681*$E681))</f>
        <v>0</v>
      </c>
      <c r="N681" s="23" t="str">
        <f aca="false">IF($B681="","",CONCATENATE("Örnek kalem: ",$B681))</f>
        <v/>
      </c>
    </row>
    <row r="682" customFormat="false" ht="15" hidden="false" customHeight="false" outlineLevel="0" collapsed="false">
      <c r="L682" s="23" t="n">
        <f aca="false">IF($E682="",0,$D682*$E682*(1-$G682-$H682-$I682))</f>
        <v>0</v>
      </c>
      <c r="M682" s="23" t="n">
        <f aca="false">IF($E682="",0,$D682*$E682-($F682*$E682+$G682*$D682*$E682+$H682*$D682*$E682+$I682*$D682*$E682+$J682*$D682*$E682*(1-$G682)+$K682*$E682))</f>
        <v>0</v>
      </c>
      <c r="N682" s="23" t="str">
        <f aca="false">IF($B682="","",CONCATENATE("Örnek kalem: ",$B682))</f>
        <v/>
      </c>
    </row>
    <row r="683" customFormat="false" ht="15" hidden="false" customHeight="false" outlineLevel="0" collapsed="false">
      <c r="L683" s="23" t="n">
        <f aca="false">IF($E683="",0,$D683*$E683*(1-$G683-$H683-$I683))</f>
        <v>0</v>
      </c>
      <c r="M683" s="23" t="n">
        <f aca="false">IF($E683="",0,$D683*$E683-($F683*$E683+$G683*$D683*$E683+$H683*$D683*$E683+$I683*$D683*$E683+$J683*$D683*$E683*(1-$G683)+$K683*$E683))</f>
        <v>0</v>
      </c>
      <c r="N683" s="23" t="str">
        <f aca="false">IF($B683="","",CONCATENATE("Örnek kalem: ",$B683))</f>
        <v/>
      </c>
    </row>
    <row r="684" customFormat="false" ht="15" hidden="false" customHeight="false" outlineLevel="0" collapsed="false">
      <c r="L684" s="23" t="n">
        <f aca="false">IF($E684="",0,$D684*$E684*(1-$G684-$H684-$I684))</f>
        <v>0</v>
      </c>
      <c r="M684" s="23" t="n">
        <f aca="false">IF($E684="",0,$D684*$E684-($F684*$E684+$G684*$D684*$E684+$H684*$D684*$E684+$I684*$D684*$E684+$J684*$D684*$E684*(1-$G684)+$K684*$E684))</f>
        <v>0</v>
      </c>
      <c r="N684" s="23" t="str">
        <f aca="false">IF($B684="","",CONCATENATE("Örnek kalem: ",$B684))</f>
        <v/>
      </c>
    </row>
    <row r="685" customFormat="false" ht="15" hidden="false" customHeight="false" outlineLevel="0" collapsed="false">
      <c r="L685" s="23" t="n">
        <f aca="false">IF($E685="",0,$D685*$E685*(1-$G685-$H685-$I685))</f>
        <v>0</v>
      </c>
      <c r="M685" s="23" t="n">
        <f aca="false">IF($E685="",0,$D685*$E685-($F685*$E685+$G685*$D685*$E685+$H685*$D685*$E685+$I685*$D685*$E685+$J685*$D685*$E685*(1-$G685)+$K685*$E685))</f>
        <v>0</v>
      </c>
      <c r="N685" s="23" t="str">
        <f aca="false">IF($B685="","",CONCATENATE("Örnek kalem: ",$B685))</f>
        <v/>
      </c>
    </row>
    <row r="686" customFormat="false" ht="15" hidden="false" customHeight="false" outlineLevel="0" collapsed="false">
      <c r="L686" s="23" t="n">
        <f aca="false">IF($E686="",0,$D686*$E686*(1-$G686-$H686-$I686))</f>
        <v>0</v>
      </c>
      <c r="M686" s="23" t="n">
        <f aca="false">IF($E686="",0,$D686*$E686-($F686*$E686+$G686*$D686*$E686+$H686*$D686*$E686+$I686*$D686*$E686+$J686*$D686*$E686*(1-$G686)+$K686*$E686))</f>
        <v>0</v>
      </c>
      <c r="N686" s="23" t="str">
        <f aca="false">IF($B686="","",CONCATENATE("Örnek kalem: ",$B686))</f>
        <v/>
      </c>
    </row>
    <row r="687" customFormat="false" ht="15" hidden="false" customHeight="false" outlineLevel="0" collapsed="false">
      <c r="L687" s="23" t="n">
        <f aca="false">IF($E687="",0,$D687*$E687*(1-$G687-$H687-$I687))</f>
        <v>0</v>
      </c>
      <c r="M687" s="23" t="n">
        <f aca="false">IF($E687="",0,$D687*$E687-($F687*$E687+$G687*$D687*$E687+$H687*$D687*$E687+$I687*$D687*$E687+$J687*$D687*$E687*(1-$G687)+$K687*$E687))</f>
        <v>0</v>
      </c>
      <c r="N687" s="23" t="str">
        <f aca="false">IF($B687="","",CONCATENATE("Örnek kalem: ",$B687))</f>
        <v/>
      </c>
    </row>
    <row r="688" customFormat="false" ht="15" hidden="false" customHeight="false" outlineLevel="0" collapsed="false">
      <c r="L688" s="23" t="n">
        <f aca="false">IF($E688="",0,$D688*$E688*(1-$G688-$H688-$I688))</f>
        <v>0</v>
      </c>
      <c r="M688" s="23" t="n">
        <f aca="false">IF($E688="",0,$D688*$E688-($F688*$E688+$G688*$D688*$E688+$H688*$D688*$E688+$I688*$D688*$E688+$J688*$D688*$E688*(1-$G688)+$K688*$E688))</f>
        <v>0</v>
      </c>
      <c r="N688" s="23" t="str">
        <f aca="false">IF($B688="","",CONCATENATE("Örnek kalem: ",$B688))</f>
        <v/>
      </c>
    </row>
    <row r="689" customFormat="false" ht="15" hidden="false" customHeight="false" outlineLevel="0" collapsed="false">
      <c r="L689" s="23" t="n">
        <f aca="false">IF($E689="",0,$D689*$E689*(1-$G689-$H689-$I689))</f>
        <v>0</v>
      </c>
      <c r="M689" s="23" t="n">
        <f aca="false">IF($E689="",0,$D689*$E689-($F689*$E689+$G689*$D689*$E689+$H689*$D689*$E689+$I689*$D689*$E689+$J689*$D689*$E689*(1-$G689)+$K689*$E689))</f>
        <v>0</v>
      </c>
      <c r="N689" s="23" t="str">
        <f aca="false">IF($B689="","",CONCATENATE("Örnek kalem: ",$B689))</f>
        <v/>
      </c>
    </row>
    <row r="690" customFormat="false" ht="15" hidden="false" customHeight="false" outlineLevel="0" collapsed="false">
      <c r="L690" s="23" t="n">
        <f aca="false">IF($E690="",0,$D690*$E690*(1-$G690-$H690-$I690))</f>
        <v>0</v>
      </c>
      <c r="M690" s="23" t="n">
        <f aca="false">IF($E690="",0,$D690*$E690-($F690*$E690+$G690*$D690*$E690+$H690*$D690*$E690+$I690*$D690*$E690+$J690*$D690*$E690*(1-$G690)+$K690*$E690))</f>
        <v>0</v>
      </c>
      <c r="N690" s="23" t="str">
        <f aca="false">IF($B690="","",CONCATENATE("Örnek kalem: ",$B690))</f>
        <v/>
      </c>
    </row>
    <row r="691" customFormat="false" ht="15" hidden="false" customHeight="false" outlineLevel="0" collapsed="false">
      <c r="L691" s="23" t="n">
        <f aca="false">IF($E691="",0,$D691*$E691*(1-$G691-$H691-$I691))</f>
        <v>0</v>
      </c>
      <c r="M691" s="23" t="n">
        <f aca="false">IF($E691="",0,$D691*$E691-($F691*$E691+$G691*$D691*$E691+$H691*$D691*$E691+$I691*$D691*$E691+$J691*$D691*$E691*(1-$G691)+$K691*$E691))</f>
        <v>0</v>
      </c>
      <c r="N691" s="23" t="str">
        <f aca="false">IF($B691="","",CONCATENATE("Örnek kalem: ",$B691))</f>
        <v/>
      </c>
    </row>
    <row r="692" customFormat="false" ht="15" hidden="false" customHeight="false" outlineLevel="0" collapsed="false">
      <c r="L692" s="23" t="n">
        <f aca="false">IF($E692="",0,$D692*$E692*(1-$G692-$H692-$I692))</f>
        <v>0</v>
      </c>
      <c r="M692" s="23" t="n">
        <f aca="false">IF($E692="",0,$D692*$E692-($F692*$E692+$G692*$D692*$E692+$H692*$D692*$E692+$I692*$D692*$E692+$J692*$D692*$E692*(1-$G692)+$K692*$E692))</f>
        <v>0</v>
      </c>
      <c r="N692" s="23" t="str">
        <f aca="false">IF($B692="","",CONCATENATE("Örnek kalem: ",$B692))</f>
        <v/>
      </c>
    </row>
    <row r="693" customFormat="false" ht="15" hidden="false" customHeight="false" outlineLevel="0" collapsed="false">
      <c r="L693" s="23" t="n">
        <f aca="false">IF($E693="",0,$D693*$E693*(1-$G693-$H693-$I693))</f>
        <v>0</v>
      </c>
      <c r="M693" s="23" t="n">
        <f aca="false">IF($E693="",0,$D693*$E693-($F693*$E693+$G693*$D693*$E693+$H693*$D693*$E693+$I693*$D693*$E693+$J693*$D693*$E693*(1-$G693)+$K693*$E693))</f>
        <v>0</v>
      </c>
      <c r="N693" s="23" t="str">
        <f aca="false">IF($B693="","",CONCATENATE("Örnek kalem: ",$B693))</f>
        <v/>
      </c>
    </row>
    <row r="694" customFormat="false" ht="15" hidden="false" customHeight="false" outlineLevel="0" collapsed="false">
      <c r="L694" s="23" t="n">
        <f aca="false">IF($E694="",0,$D694*$E694*(1-$G694-$H694-$I694))</f>
        <v>0</v>
      </c>
      <c r="M694" s="23" t="n">
        <f aca="false">IF($E694="",0,$D694*$E694-($F694*$E694+$G694*$D694*$E694+$H694*$D694*$E694+$I694*$D694*$E694+$J694*$D694*$E694*(1-$G694)+$K694*$E694))</f>
        <v>0</v>
      </c>
      <c r="N694" s="23" t="str">
        <f aca="false">IF($B694="","",CONCATENATE("Örnek kalem: ",$B694))</f>
        <v/>
      </c>
    </row>
    <row r="695" customFormat="false" ht="15" hidden="false" customHeight="false" outlineLevel="0" collapsed="false">
      <c r="L695" s="23" t="n">
        <f aca="false">IF($E695="",0,$D695*$E695*(1-$G695-$H695-$I695))</f>
        <v>0</v>
      </c>
      <c r="M695" s="23" t="n">
        <f aca="false">IF($E695="",0,$D695*$E695-($F695*$E695+$G695*$D695*$E695+$H695*$D695*$E695+$I695*$D695*$E695+$J695*$D695*$E695*(1-$G695)+$K695*$E695))</f>
        <v>0</v>
      </c>
      <c r="N695" s="23" t="str">
        <f aca="false">IF($B695="","",CONCATENATE("Örnek kalem: ",$B695))</f>
        <v/>
      </c>
    </row>
    <row r="696" customFormat="false" ht="15" hidden="false" customHeight="false" outlineLevel="0" collapsed="false">
      <c r="L696" s="23" t="n">
        <f aca="false">IF($E696="",0,$D696*$E696*(1-$G696-$H696-$I696))</f>
        <v>0</v>
      </c>
      <c r="M696" s="23" t="n">
        <f aca="false">IF($E696="",0,$D696*$E696-($F696*$E696+$G696*$D696*$E696+$H696*$D696*$E696+$I696*$D696*$E696+$J696*$D696*$E696*(1-$G696)+$K696*$E696))</f>
        <v>0</v>
      </c>
      <c r="N696" s="23" t="str">
        <f aca="false">IF($B696="","",CONCATENATE("Örnek kalem: ",$B696))</f>
        <v/>
      </c>
    </row>
    <row r="697" customFormat="false" ht="15" hidden="false" customHeight="false" outlineLevel="0" collapsed="false">
      <c r="L697" s="23" t="n">
        <f aca="false">IF($E697="",0,$D697*$E697*(1-$G697-$H697-$I697))</f>
        <v>0</v>
      </c>
      <c r="M697" s="23" t="n">
        <f aca="false">IF($E697="",0,$D697*$E697-($F697*$E697+$G697*$D697*$E697+$H697*$D697*$E697+$I697*$D697*$E697+$J697*$D697*$E697*(1-$G697)+$K697*$E697))</f>
        <v>0</v>
      </c>
      <c r="N697" s="23" t="str">
        <f aca="false">IF($B697="","",CONCATENATE("Örnek kalem: ",$B697))</f>
        <v/>
      </c>
    </row>
    <row r="698" customFormat="false" ht="15" hidden="false" customHeight="false" outlineLevel="0" collapsed="false">
      <c r="L698" s="23" t="n">
        <f aca="false">IF($E698="",0,$D698*$E698*(1-$G698-$H698-$I698))</f>
        <v>0</v>
      </c>
      <c r="M698" s="23" t="n">
        <f aca="false">IF($E698="",0,$D698*$E698-($F698*$E698+$G698*$D698*$E698+$H698*$D698*$E698+$I698*$D698*$E698+$J698*$D698*$E698*(1-$G698)+$K698*$E698))</f>
        <v>0</v>
      </c>
      <c r="N698" s="23" t="str">
        <f aca="false">IF($B698="","",CONCATENATE("Örnek kalem: ",$B698))</f>
        <v/>
      </c>
    </row>
    <row r="699" customFormat="false" ht="15" hidden="false" customHeight="false" outlineLevel="0" collapsed="false">
      <c r="L699" s="23" t="n">
        <f aca="false">IF($E699="",0,$D699*$E699*(1-$G699-$H699-$I699))</f>
        <v>0</v>
      </c>
      <c r="M699" s="23" t="n">
        <f aca="false">IF($E699="",0,$D699*$E699-($F699*$E699+$G699*$D699*$E699+$H699*$D699*$E699+$I699*$D699*$E699+$J699*$D699*$E699*(1-$G699)+$K699*$E699))</f>
        <v>0</v>
      </c>
      <c r="N699" s="23" t="str">
        <f aca="false">IF($B699="","",CONCATENATE("Örnek kalem: ",$B699))</f>
        <v/>
      </c>
    </row>
    <row r="700" customFormat="false" ht="15" hidden="false" customHeight="false" outlineLevel="0" collapsed="false">
      <c r="L700" s="23" t="n">
        <f aca="false">IF($E700="",0,$D700*$E700*(1-$G700-$H700-$I700))</f>
        <v>0</v>
      </c>
      <c r="M700" s="23" t="n">
        <f aca="false">IF($E700="",0,$D700*$E700-($F700*$E700+$G700*$D700*$E700+$H700*$D700*$E700+$I700*$D700*$E700+$J700*$D700*$E700*(1-$G700)+$K700*$E700))</f>
        <v>0</v>
      </c>
      <c r="N700" s="23" t="str">
        <f aca="false">IF($B700="","",CONCATENATE("Örnek kalem: ",$B700))</f>
        <v/>
      </c>
    </row>
    <row r="701" customFormat="false" ht="15" hidden="false" customHeight="false" outlineLevel="0" collapsed="false">
      <c r="L701" s="23" t="n">
        <f aca="false">IF($E701="",0,$D701*$E701*(1-$G701-$H701-$I701))</f>
        <v>0</v>
      </c>
      <c r="M701" s="23" t="n">
        <f aca="false">IF($E701="",0,$D701*$E701-($F701*$E701+$G701*$D701*$E701+$H701*$D701*$E701+$I701*$D701*$E701+$J701*$D701*$E701*(1-$G701)+$K701*$E701))</f>
        <v>0</v>
      </c>
      <c r="N701" s="23" t="str">
        <f aca="false">IF($B701="","",CONCATENATE("Örnek kalem: ",$B701))</f>
        <v/>
      </c>
    </row>
    <row r="702" customFormat="false" ht="15" hidden="false" customHeight="false" outlineLevel="0" collapsed="false">
      <c r="L702" s="23" t="n">
        <f aca="false">IF($E702="",0,$D702*$E702*(1-$G702-$H702-$I702))</f>
        <v>0</v>
      </c>
      <c r="M702" s="23" t="n">
        <f aca="false">IF($E702="",0,$D702*$E702-($F702*$E702+$G702*$D702*$E702+$H702*$D702*$E702+$I702*$D702*$E702+$J702*$D702*$E702*(1-$G702)+$K702*$E702))</f>
        <v>0</v>
      </c>
      <c r="N702" s="23" t="str">
        <f aca="false">IF($B702="","",CONCATENATE("Örnek kalem: ",$B702))</f>
        <v/>
      </c>
    </row>
    <row r="703" customFormat="false" ht="15" hidden="false" customHeight="false" outlineLevel="0" collapsed="false">
      <c r="L703" s="23" t="n">
        <f aca="false">IF($E703="",0,$D703*$E703*(1-$G703-$H703-$I703))</f>
        <v>0</v>
      </c>
      <c r="M703" s="23" t="n">
        <f aca="false">IF($E703="",0,$D703*$E703-($F703*$E703+$G703*$D703*$E703+$H703*$D703*$E703+$I703*$D703*$E703+$J703*$D703*$E703*(1-$G703)+$K703*$E703))</f>
        <v>0</v>
      </c>
      <c r="N703" s="23" t="str">
        <f aca="false">IF($B703="","",CONCATENATE("Örnek kalem: ",$B703))</f>
        <v/>
      </c>
    </row>
    <row r="704" customFormat="false" ht="15" hidden="false" customHeight="false" outlineLevel="0" collapsed="false">
      <c r="L704" s="23" t="n">
        <f aca="false">IF($E704="",0,$D704*$E704*(1-$G704-$H704-$I704))</f>
        <v>0</v>
      </c>
      <c r="M704" s="23" t="n">
        <f aca="false">IF($E704="",0,$D704*$E704-($F704*$E704+$G704*$D704*$E704+$H704*$D704*$E704+$I704*$D704*$E704+$J704*$D704*$E704*(1-$G704)+$K704*$E704))</f>
        <v>0</v>
      </c>
      <c r="N704" s="23" t="str">
        <f aca="false">IF($B704="","",CONCATENATE("Örnek kalem: ",$B704))</f>
        <v/>
      </c>
    </row>
    <row r="705" customFormat="false" ht="15" hidden="false" customHeight="false" outlineLevel="0" collapsed="false">
      <c r="L705" s="23" t="n">
        <f aca="false">IF($E705="",0,$D705*$E705*(1-$G705-$H705-$I705))</f>
        <v>0</v>
      </c>
      <c r="M705" s="23" t="n">
        <f aca="false">IF($E705="",0,$D705*$E705-($F705*$E705+$G705*$D705*$E705+$H705*$D705*$E705+$I705*$D705*$E705+$J705*$D705*$E705*(1-$G705)+$K705*$E705))</f>
        <v>0</v>
      </c>
      <c r="N705" s="23" t="str">
        <f aca="false">IF($B705="","",CONCATENATE("Örnek kalem: ",$B705))</f>
        <v/>
      </c>
    </row>
    <row r="706" customFormat="false" ht="15" hidden="false" customHeight="false" outlineLevel="0" collapsed="false">
      <c r="L706" s="23" t="n">
        <f aca="false">IF($E706="",0,$D706*$E706*(1-$G706-$H706-$I706))</f>
        <v>0</v>
      </c>
      <c r="M706" s="23" t="n">
        <f aca="false">IF($E706="",0,$D706*$E706-($F706*$E706+$G706*$D706*$E706+$H706*$D706*$E706+$I706*$D706*$E706+$J706*$D706*$E706*(1-$G706)+$K706*$E706))</f>
        <v>0</v>
      </c>
      <c r="N706" s="23" t="str">
        <f aca="false">IF($B706="","",CONCATENATE("Örnek kalem: ",$B706))</f>
        <v/>
      </c>
    </row>
    <row r="707" customFormat="false" ht="15" hidden="false" customHeight="false" outlineLevel="0" collapsed="false">
      <c r="L707" s="23" t="n">
        <f aca="false">IF($E707="",0,$D707*$E707*(1-$G707-$H707-$I707))</f>
        <v>0</v>
      </c>
      <c r="M707" s="23" t="n">
        <f aca="false">IF($E707="",0,$D707*$E707-($F707*$E707+$G707*$D707*$E707+$H707*$D707*$E707+$I707*$D707*$E707+$J707*$D707*$E707*(1-$G707)+$K707*$E707))</f>
        <v>0</v>
      </c>
      <c r="N707" s="23" t="str">
        <f aca="false">IF($B707="","",CONCATENATE("Örnek kalem: ",$B707))</f>
        <v/>
      </c>
    </row>
    <row r="708" customFormat="false" ht="15" hidden="false" customHeight="false" outlineLevel="0" collapsed="false">
      <c r="L708" s="23" t="n">
        <f aca="false">IF($E708="",0,$D708*$E708*(1-$G708-$H708-$I708))</f>
        <v>0</v>
      </c>
      <c r="M708" s="23" t="n">
        <f aca="false">IF($E708="",0,$D708*$E708-($F708*$E708+$G708*$D708*$E708+$H708*$D708*$E708+$I708*$D708*$E708+$J708*$D708*$E708*(1-$G708)+$K708*$E708))</f>
        <v>0</v>
      </c>
      <c r="N708" s="23" t="str">
        <f aca="false">IF($B708="","",CONCATENATE("Örnek kalem: ",$B708))</f>
        <v/>
      </c>
    </row>
    <row r="709" customFormat="false" ht="15" hidden="false" customHeight="false" outlineLevel="0" collapsed="false">
      <c r="L709" s="23" t="n">
        <f aca="false">IF($E709="",0,$D709*$E709*(1-$G709-$H709-$I709))</f>
        <v>0</v>
      </c>
      <c r="M709" s="23" t="n">
        <f aca="false">IF($E709="",0,$D709*$E709-($F709*$E709+$G709*$D709*$E709+$H709*$D709*$E709+$I709*$D709*$E709+$J709*$D709*$E709*(1-$G709)+$K709*$E709))</f>
        <v>0</v>
      </c>
      <c r="N709" s="23" t="str">
        <f aca="false">IF($B709="","",CONCATENATE("Örnek kalem: ",$B709))</f>
        <v/>
      </c>
    </row>
    <row r="710" customFormat="false" ht="15" hidden="false" customHeight="false" outlineLevel="0" collapsed="false">
      <c r="L710" s="23" t="n">
        <f aca="false">IF($E710="",0,$D710*$E710*(1-$G710-$H710-$I710))</f>
        <v>0</v>
      </c>
      <c r="M710" s="23" t="n">
        <f aca="false">IF($E710="",0,$D710*$E710-($F710*$E710+$G710*$D710*$E710+$H710*$D710*$E710+$I710*$D710*$E710+$J710*$D710*$E710*(1-$G710)+$K710*$E710))</f>
        <v>0</v>
      </c>
      <c r="N710" s="23" t="str">
        <f aca="false">IF($B710="","",CONCATENATE("Örnek kalem: ",$B710))</f>
        <v/>
      </c>
    </row>
    <row r="711" customFormat="false" ht="15" hidden="false" customHeight="false" outlineLevel="0" collapsed="false">
      <c r="L711" s="23" t="n">
        <f aca="false">IF($E711="",0,$D711*$E711*(1-$G711-$H711-$I711))</f>
        <v>0</v>
      </c>
      <c r="M711" s="23" t="n">
        <f aca="false">IF($E711="",0,$D711*$E711-($F711*$E711+$G711*$D711*$E711+$H711*$D711*$E711+$I711*$D711*$E711+$J711*$D711*$E711*(1-$G711)+$K711*$E711))</f>
        <v>0</v>
      </c>
      <c r="N711" s="23" t="str">
        <f aca="false">IF($B711="","",CONCATENATE("Örnek kalem: ",$B711))</f>
        <v/>
      </c>
    </row>
    <row r="712" customFormat="false" ht="15" hidden="false" customHeight="false" outlineLevel="0" collapsed="false">
      <c r="L712" s="23" t="n">
        <f aca="false">IF($E712="",0,$D712*$E712*(1-$G712-$H712-$I712))</f>
        <v>0</v>
      </c>
      <c r="M712" s="23" t="n">
        <f aca="false">IF($E712="",0,$D712*$E712-($F712*$E712+$G712*$D712*$E712+$H712*$D712*$E712+$I712*$D712*$E712+$J712*$D712*$E712*(1-$G712)+$K712*$E712))</f>
        <v>0</v>
      </c>
      <c r="N712" s="23" t="str">
        <f aca="false">IF($B712="","",CONCATENATE("Örnek kalem: ",$B712))</f>
        <v/>
      </c>
    </row>
    <row r="713" customFormat="false" ht="15" hidden="false" customHeight="false" outlineLevel="0" collapsed="false">
      <c r="L713" s="23" t="n">
        <f aca="false">IF($E713="",0,$D713*$E713*(1-$G713-$H713-$I713))</f>
        <v>0</v>
      </c>
      <c r="M713" s="23" t="n">
        <f aca="false">IF($E713="",0,$D713*$E713-($F713*$E713+$G713*$D713*$E713+$H713*$D713*$E713+$I713*$D713*$E713+$J713*$D713*$E713*(1-$G713)+$K713*$E713))</f>
        <v>0</v>
      </c>
      <c r="N713" s="23" t="str">
        <f aca="false">IF($B713="","",CONCATENATE("Örnek kalem: ",$B713))</f>
        <v/>
      </c>
    </row>
    <row r="714" customFormat="false" ht="15" hidden="false" customHeight="false" outlineLevel="0" collapsed="false">
      <c r="L714" s="23" t="n">
        <f aca="false">IF($E714="",0,$D714*$E714*(1-$G714-$H714-$I714))</f>
        <v>0</v>
      </c>
      <c r="M714" s="23" t="n">
        <f aca="false">IF($E714="",0,$D714*$E714-($F714*$E714+$G714*$D714*$E714+$H714*$D714*$E714+$I714*$D714*$E714+$J714*$D714*$E714*(1-$G714)+$K714*$E714))</f>
        <v>0</v>
      </c>
      <c r="N714" s="23" t="str">
        <f aca="false">IF($B714="","",CONCATENATE("Örnek kalem: ",$B714))</f>
        <v/>
      </c>
    </row>
    <row r="715" customFormat="false" ht="15" hidden="false" customHeight="false" outlineLevel="0" collapsed="false">
      <c r="L715" s="23" t="n">
        <f aca="false">IF($E715="",0,$D715*$E715*(1-$G715-$H715-$I715))</f>
        <v>0</v>
      </c>
      <c r="M715" s="23" t="n">
        <f aca="false">IF($E715="",0,$D715*$E715-($F715*$E715+$G715*$D715*$E715+$H715*$D715*$E715+$I715*$D715*$E715+$J715*$D715*$E715*(1-$G715)+$K715*$E715))</f>
        <v>0</v>
      </c>
      <c r="N715" s="23" t="str">
        <f aca="false">IF($B715="","",CONCATENATE("Örnek kalem: ",$B715))</f>
        <v/>
      </c>
    </row>
    <row r="716" customFormat="false" ht="15" hidden="false" customHeight="false" outlineLevel="0" collapsed="false">
      <c r="L716" s="23" t="n">
        <f aca="false">IF($E716="",0,$D716*$E716*(1-$G716-$H716-$I716))</f>
        <v>0</v>
      </c>
      <c r="M716" s="23" t="n">
        <f aca="false">IF($E716="",0,$D716*$E716-($F716*$E716+$G716*$D716*$E716+$H716*$D716*$E716+$I716*$D716*$E716+$J716*$D716*$E716*(1-$G716)+$K716*$E716))</f>
        <v>0</v>
      </c>
      <c r="N716" s="23" t="str">
        <f aca="false">IF($B716="","",CONCATENATE("Örnek kalem: ",$B716))</f>
        <v/>
      </c>
    </row>
    <row r="717" customFormat="false" ht="15" hidden="false" customHeight="false" outlineLevel="0" collapsed="false">
      <c r="L717" s="23" t="n">
        <f aca="false">IF($E717="",0,$D717*$E717*(1-$G717-$H717-$I717))</f>
        <v>0</v>
      </c>
      <c r="M717" s="23" t="n">
        <f aca="false">IF($E717="",0,$D717*$E717-($F717*$E717+$G717*$D717*$E717+$H717*$D717*$E717+$I717*$D717*$E717+$J717*$D717*$E717*(1-$G717)+$K717*$E717))</f>
        <v>0</v>
      </c>
      <c r="N717" s="23" t="str">
        <f aca="false">IF($B717="","",CONCATENATE("Örnek kalem: ",$B717))</f>
        <v/>
      </c>
    </row>
    <row r="718" customFormat="false" ht="15" hidden="false" customHeight="false" outlineLevel="0" collapsed="false">
      <c r="L718" s="23" t="n">
        <f aca="false">IF($E718="",0,$D718*$E718*(1-$G718-$H718-$I718))</f>
        <v>0</v>
      </c>
      <c r="M718" s="23" t="n">
        <f aca="false">IF($E718="",0,$D718*$E718-($F718*$E718+$G718*$D718*$E718+$H718*$D718*$E718+$I718*$D718*$E718+$J718*$D718*$E718*(1-$G718)+$K718*$E718))</f>
        <v>0</v>
      </c>
      <c r="N718" s="23" t="str">
        <f aca="false">IF($B718="","",CONCATENATE("Örnek kalem: ",$B718))</f>
        <v/>
      </c>
    </row>
    <row r="719" customFormat="false" ht="15" hidden="false" customHeight="false" outlineLevel="0" collapsed="false">
      <c r="L719" s="23" t="n">
        <f aca="false">IF($E719="",0,$D719*$E719*(1-$G719-$H719-$I719))</f>
        <v>0</v>
      </c>
      <c r="M719" s="23" t="n">
        <f aca="false">IF($E719="",0,$D719*$E719-($F719*$E719+$G719*$D719*$E719+$H719*$D719*$E719+$I719*$D719*$E719+$J719*$D719*$E719*(1-$G719)+$K719*$E719))</f>
        <v>0</v>
      </c>
      <c r="N719" s="23" t="str">
        <f aca="false">IF($B719="","",CONCATENATE("Örnek kalem: ",$B719))</f>
        <v/>
      </c>
    </row>
    <row r="720" customFormat="false" ht="15" hidden="false" customHeight="false" outlineLevel="0" collapsed="false">
      <c r="L720" s="23" t="n">
        <f aca="false">IF($E720="",0,$D720*$E720*(1-$G720-$H720-$I720))</f>
        <v>0</v>
      </c>
      <c r="M720" s="23" t="n">
        <f aca="false">IF($E720="",0,$D720*$E720-($F720*$E720+$G720*$D720*$E720+$H720*$D720*$E720+$I720*$D720*$E720+$J720*$D720*$E720*(1-$G720)+$K720*$E720))</f>
        <v>0</v>
      </c>
      <c r="N720" s="23" t="str">
        <f aca="false">IF($B720="","",CONCATENATE("Örnek kalem: ",$B720))</f>
        <v/>
      </c>
    </row>
    <row r="721" customFormat="false" ht="15" hidden="false" customHeight="false" outlineLevel="0" collapsed="false">
      <c r="L721" s="23" t="n">
        <f aca="false">IF($E721="",0,$D721*$E721*(1-$G721-$H721-$I721))</f>
        <v>0</v>
      </c>
      <c r="M721" s="23" t="n">
        <f aca="false">IF($E721="",0,$D721*$E721-($F721*$E721+$G721*$D721*$E721+$H721*$D721*$E721+$I721*$D721*$E721+$J721*$D721*$E721*(1-$G721)+$K721*$E721))</f>
        <v>0</v>
      </c>
      <c r="N721" s="23" t="str">
        <f aca="false">IF($B721="","",CONCATENATE("Örnek kalem: ",$B721))</f>
        <v/>
      </c>
    </row>
    <row r="722" customFormat="false" ht="15" hidden="false" customHeight="false" outlineLevel="0" collapsed="false">
      <c r="L722" s="23" t="n">
        <f aca="false">IF($E722="",0,$D722*$E722*(1-$G722-$H722-$I722))</f>
        <v>0</v>
      </c>
      <c r="M722" s="23" t="n">
        <f aca="false">IF($E722="",0,$D722*$E722-($F722*$E722+$G722*$D722*$E722+$H722*$D722*$E722+$I722*$D722*$E722+$J722*$D722*$E722*(1-$G722)+$K722*$E722))</f>
        <v>0</v>
      </c>
      <c r="N722" s="23" t="str">
        <f aca="false">IF($B722="","",CONCATENATE("Örnek kalem: ",$B722))</f>
        <v/>
      </c>
    </row>
    <row r="723" customFormat="false" ht="15" hidden="false" customHeight="false" outlineLevel="0" collapsed="false">
      <c r="L723" s="23" t="n">
        <f aca="false">IF($E723="",0,$D723*$E723*(1-$G723-$H723-$I723))</f>
        <v>0</v>
      </c>
      <c r="M723" s="23" t="n">
        <f aca="false">IF($E723="",0,$D723*$E723-($F723*$E723+$G723*$D723*$E723+$H723*$D723*$E723+$I723*$D723*$E723+$J723*$D723*$E723*(1-$G723)+$K723*$E723))</f>
        <v>0</v>
      </c>
      <c r="N723" s="23" t="str">
        <f aca="false">IF($B723="","",CONCATENATE("Örnek kalem: ",$B723))</f>
        <v/>
      </c>
    </row>
    <row r="724" customFormat="false" ht="15" hidden="false" customHeight="false" outlineLevel="0" collapsed="false">
      <c r="L724" s="23" t="n">
        <f aca="false">IF($E724="",0,$D724*$E724*(1-$G724-$H724-$I724))</f>
        <v>0</v>
      </c>
      <c r="M724" s="23" t="n">
        <f aca="false">IF($E724="",0,$D724*$E724-($F724*$E724+$G724*$D724*$E724+$H724*$D724*$E724+$I724*$D724*$E724+$J724*$D724*$E724*(1-$G724)+$K724*$E724))</f>
        <v>0</v>
      </c>
      <c r="N724" s="23" t="str">
        <f aca="false">IF($B724="","",CONCATENATE("Örnek kalem: ",$B724))</f>
        <v/>
      </c>
    </row>
    <row r="725" customFormat="false" ht="15" hidden="false" customHeight="false" outlineLevel="0" collapsed="false">
      <c r="L725" s="23" t="n">
        <f aca="false">IF($E725="",0,$D725*$E725*(1-$G725-$H725-$I725))</f>
        <v>0</v>
      </c>
      <c r="M725" s="23" t="n">
        <f aca="false">IF($E725="",0,$D725*$E725-($F725*$E725+$G725*$D725*$E725+$H725*$D725*$E725+$I725*$D725*$E725+$J725*$D725*$E725*(1-$G725)+$K725*$E725))</f>
        <v>0</v>
      </c>
      <c r="N725" s="23" t="str">
        <f aca="false">IF($B725="","",CONCATENATE("Örnek kalem: ",$B725))</f>
        <v/>
      </c>
    </row>
    <row r="726" customFormat="false" ht="15" hidden="false" customHeight="false" outlineLevel="0" collapsed="false">
      <c r="L726" s="23" t="n">
        <f aca="false">IF($E726="",0,$D726*$E726*(1-$G726-$H726-$I726))</f>
        <v>0</v>
      </c>
      <c r="M726" s="23" t="n">
        <f aca="false">IF($E726="",0,$D726*$E726-($F726*$E726+$G726*$D726*$E726+$H726*$D726*$E726+$I726*$D726*$E726+$J726*$D726*$E726*(1-$G726)+$K726*$E726))</f>
        <v>0</v>
      </c>
      <c r="N726" s="23" t="str">
        <f aca="false">IF($B726="","",CONCATENATE("Örnek kalem: ",$B726))</f>
        <v/>
      </c>
    </row>
    <row r="727" customFormat="false" ht="15" hidden="false" customHeight="false" outlineLevel="0" collapsed="false">
      <c r="L727" s="23" t="n">
        <f aca="false">IF($E727="",0,$D727*$E727*(1-$G727-$H727-$I727))</f>
        <v>0</v>
      </c>
      <c r="M727" s="23" t="n">
        <f aca="false">IF($E727="",0,$D727*$E727-($F727*$E727+$G727*$D727*$E727+$H727*$D727*$E727+$I727*$D727*$E727+$J727*$D727*$E727*(1-$G727)+$K727*$E727))</f>
        <v>0</v>
      </c>
      <c r="N727" s="23" t="str">
        <f aca="false">IF($B727="","",CONCATENATE("Örnek kalem: ",$B727))</f>
        <v/>
      </c>
    </row>
    <row r="728" customFormat="false" ht="15" hidden="false" customHeight="false" outlineLevel="0" collapsed="false">
      <c r="L728" s="23" t="n">
        <f aca="false">IF($E728="",0,$D728*$E728*(1-$G728-$H728-$I728))</f>
        <v>0</v>
      </c>
      <c r="M728" s="23" t="n">
        <f aca="false">IF($E728="",0,$D728*$E728-($F728*$E728+$G728*$D728*$E728+$H728*$D728*$E728+$I728*$D728*$E728+$J728*$D728*$E728*(1-$G728)+$K728*$E728))</f>
        <v>0</v>
      </c>
      <c r="N728" s="23" t="str">
        <f aca="false">IF($B728="","",CONCATENATE("Örnek kalem: ",$B728))</f>
        <v/>
      </c>
    </row>
    <row r="729" customFormat="false" ht="15" hidden="false" customHeight="false" outlineLevel="0" collapsed="false">
      <c r="L729" s="23" t="n">
        <f aca="false">IF($E729="",0,$D729*$E729*(1-$G729-$H729-$I729))</f>
        <v>0</v>
      </c>
      <c r="M729" s="23" t="n">
        <f aca="false">IF($E729="",0,$D729*$E729-($F729*$E729+$G729*$D729*$E729+$H729*$D729*$E729+$I729*$D729*$E729+$J729*$D729*$E729*(1-$G729)+$K729*$E729))</f>
        <v>0</v>
      </c>
      <c r="N729" s="23" t="str">
        <f aca="false">IF($B729="","",CONCATENATE("Örnek kalem: ",$B729))</f>
        <v/>
      </c>
    </row>
    <row r="730" customFormat="false" ht="15" hidden="false" customHeight="false" outlineLevel="0" collapsed="false">
      <c r="L730" s="23" t="n">
        <f aca="false">IF($E730="",0,$D730*$E730*(1-$G730-$H730-$I730))</f>
        <v>0</v>
      </c>
      <c r="M730" s="23" t="n">
        <f aca="false">IF($E730="",0,$D730*$E730-($F730*$E730+$G730*$D730*$E730+$H730*$D730*$E730+$I730*$D730*$E730+$J730*$D730*$E730*(1-$G730)+$K730*$E730))</f>
        <v>0</v>
      </c>
      <c r="N730" s="23" t="str">
        <f aca="false">IF($B730="","",CONCATENATE("Örnek kalem: ",$B730))</f>
        <v/>
      </c>
    </row>
    <row r="731" customFormat="false" ht="15" hidden="false" customHeight="false" outlineLevel="0" collapsed="false">
      <c r="L731" s="23" t="n">
        <f aca="false">IF($E731="",0,$D731*$E731*(1-$G731-$H731-$I731))</f>
        <v>0</v>
      </c>
      <c r="M731" s="23" t="n">
        <f aca="false">IF($E731="",0,$D731*$E731-($F731*$E731+$G731*$D731*$E731+$H731*$D731*$E731+$I731*$D731*$E731+$J731*$D731*$E731*(1-$G731)+$K731*$E731))</f>
        <v>0</v>
      </c>
      <c r="N731" s="23" t="str">
        <f aca="false">IF($B731="","",CONCATENATE("Örnek kalem: ",$B731))</f>
        <v/>
      </c>
    </row>
    <row r="732" customFormat="false" ht="15" hidden="false" customHeight="false" outlineLevel="0" collapsed="false">
      <c r="L732" s="23" t="n">
        <f aca="false">IF($E732="",0,$D732*$E732*(1-$G732-$H732-$I732))</f>
        <v>0</v>
      </c>
      <c r="M732" s="23" t="n">
        <f aca="false">IF($E732="",0,$D732*$E732-($F732*$E732+$G732*$D732*$E732+$H732*$D732*$E732+$I732*$D732*$E732+$J732*$D732*$E732*(1-$G732)+$K732*$E732))</f>
        <v>0</v>
      </c>
      <c r="N732" s="23" t="str">
        <f aca="false">IF($B732="","",CONCATENATE("Örnek kalem: ",$B732))</f>
        <v/>
      </c>
    </row>
    <row r="733" customFormat="false" ht="15" hidden="false" customHeight="false" outlineLevel="0" collapsed="false">
      <c r="L733" s="23" t="n">
        <f aca="false">IF($E733="",0,$D733*$E733*(1-$G733-$H733-$I733))</f>
        <v>0</v>
      </c>
      <c r="M733" s="23" t="n">
        <f aca="false">IF($E733="",0,$D733*$E733-($F733*$E733+$G733*$D733*$E733+$H733*$D733*$E733+$I733*$D733*$E733+$J733*$D733*$E733*(1-$G733)+$K733*$E733))</f>
        <v>0</v>
      </c>
      <c r="N733" s="23" t="str">
        <f aca="false">IF($B733="","",CONCATENATE("Örnek kalem: ",$B733))</f>
        <v/>
      </c>
    </row>
    <row r="734" customFormat="false" ht="15" hidden="false" customHeight="false" outlineLevel="0" collapsed="false">
      <c r="L734" s="23" t="n">
        <f aca="false">IF($E734="",0,$D734*$E734*(1-$G734-$H734-$I734))</f>
        <v>0</v>
      </c>
      <c r="M734" s="23" t="n">
        <f aca="false">IF($E734="",0,$D734*$E734-($F734*$E734+$G734*$D734*$E734+$H734*$D734*$E734+$I734*$D734*$E734+$J734*$D734*$E734*(1-$G734)+$K734*$E734))</f>
        <v>0</v>
      </c>
      <c r="N734" s="23" t="str">
        <f aca="false">IF($B734="","",CONCATENATE("Örnek kalem: ",$B734))</f>
        <v/>
      </c>
    </row>
    <row r="735" customFormat="false" ht="15" hidden="false" customHeight="false" outlineLevel="0" collapsed="false">
      <c r="L735" s="23" t="n">
        <f aca="false">IF($E735="",0,$D735*$E735*(1-$G735-$H735-$I735))</f>
        <v>0</v>
      </c>
      <c r="M735" s="23" t="n">
        <f aca="false">IF($E735="",0,$D735*$E735-($F735*$E735+$G735*$D735*$E735+$H735*$D735*$E735+$I735*$D735*$E735+$J735*$D735*$E735*(1-$G735)+$K735*$E735))</f>
        <v>0</v>
      </c>
      <c r="N735" s="23" t="str">
        <f aca="false">IF($B735="","",CONCATENATE("Örnek kalem: ",$B735))</f>
        <v/>
      </c>
    </row>
    <row r="736" customFormat="false" ht="15" hidden="false" customHeight="false" outlineLevel="0" collapsed="false">
      <c r="L736" s="23" t="n">
        <f aca="false">IF($E736="",0,$D736*$E736*(1-$G736-$H736-$I736))</f>
        <v>0</v>
      </c>
      <c r="M736" s="23" t="n">
        <f aca="false">IF($E736="",0,$D736*$E736-($F736*$E736+$G736*$D736*$E736+$H736*$D736*$E736+$I736*$D736*$E736+$J736*$D736*$E736*(1-$G736)+$K736*$E736))</f>
        <v>0</v>
      </c>
      <c r="N736" s="23" t="str">
        <f aca="false">IF($B736="","",CONCATENATE("Örnek kalem: ",$B736))</f>
        <v/>
      </c>
    </row>
    <row r="737" customFormat="false" ht="15" hidden="false" customHeight="false" outlineLevel="0" collapsed="false">
      <c r="L737" s="23" t="n">
        <f aca="false">IF($E737="",0,$D737*$E737*(1-$G737-$H737-$I737))</f>
        <v>0</v>
      </c>
      <c r="M737" s="23" t="n">
        <f aca="false">IF($E737="",0,$D737*$E737-($F737*$E737+$G737*$D737*$E737+$H737*$D737*$E737+$I737*$D737*$E737+$J737*$D737*$E737*(1-$G737)+$K737*$E737))</f>
        <v>0</v>
      </c>
      <c r="N737" s="23" t="str">
        <f aca="false">IF($B737="","",CONCATENATE("Örnek kalem: ",$B737))</f>
        <v/>
      </c>
    </row>
    <row r="738" customFormat="false" ht="15" hidden="false" customHeight="false" outlineLevel="0" collapsed="false">
      <c r="L738" s="23" t="n">
        <f aca="false">IF($E738="",0,$D738*$E738*(1-$G738-$H738-$I738))</f>
        <v>0</v>
      </c>
      <c r="M738" s="23" t="n">
        <f aca="false">IF($E738="",0,$D738*$E738-($F738*$E738+$G738*$D738*$E738+$H738*$D738*$E738+$I738*$D738*$E738+$J738*$D738*$E738*(1-$G738)+$K738*$E738))</f>
        <v>0</v>
      </c>
      <c r="N738" s="23" t="str">
        <f aca="false">IF($B738="","",CONCATENATE("Örnek kalem: ",$B738))</f>
        <v/>
      </c>
    </row>
    <row r="739" customFormat="false" ht="15" hidden="false" customHeight="false" outlineLevel="0" collapsed="false">
      <c r="L739" s="23" t="n">
        <f aca="false">IF($E739="",0,$D739*$E739*(1-$G739-$H739-$I739))</f>
        <v>0</v>
      </c>
      <c r="M739" s="23" t="n">
        <f aca="false">IF($E739="",0,$D739*$E739-($F739*$E739+$G739*$D739*$E739+$H739*$D739*$E739+$I739*$D739*$E739+$J739*$D739*$E739*(1-$G739)+$K739*$E739))</f>
        <v>0</v>
      </c>
      <c r="N739" s="23" t="str">
        <f aca="false">IF($B739="","",CONCATENATE("Örnek kalem: ",$B739))</f>
        <v/>
      </c>
    </row>
    <row r="740" customFormat="false" ht="15" hidden="false" customHeight="false" outlineLevel="0" collapsed="false">
      <c r="L740" s="23" t="n">
        <f aca="false">IF($E740="",0,$D740*$E740*(1-$G740-$H740-$I740))</f>
        <v>0</v>
      </c>
      <c r="M740" s="23" t="n">
        <f aca="false">IF($E740="",0,$D740*$E740-($F740*$E740+$G740*$D740*$E740+$H740*$D740*$E740+$I740*$D740*$E740+$J740*$D740*$E740*(1-$G740)+$K740*$E740))</f>
        <v>0</v>
      </c>
      <c r="N740" s="23" t="str">
        <f aca="false">IF($B740="","",CONCATENATE("Örnek kalem: ",$B740))</f>
        <v/>
      </c>
    </row>
    <row r="741" customFormat="false" ht="15" hidden="false" customHeight="false" outlineLevel="0" collapsed="false">
      <c r="L741" s="23" t="n">
        <f aca="false">IF($E741="",0,$D741*$E741*(1-$G741-$H741-$I741))</f>
        <v>0</v>
      </c>
      <c r="M741" s="23" t="n">
        <f aca="false">IF($E741="",0,$D741*$E741-($F741*$E741+$G741*$D741*$E741+$H741*$D741*$E741+$I741*$D741*$E741+$J741*$D741*$E741*(1-$G741)+$K741*$E741))</f>
        <v>0</v>
      </c>
      <c r="N741" s="23" t="str">
        <f aca="false">IF($B741="","",CONCATENATE("Örnek kalem: ",$B741))</f>
        <v/>
      </c>
    </row>
    <row r="742" customFormat="false" ht="15" hidden="false" customHeight="false" outlineLevel="0" collapsed="false">
      <c r="L742" s="23" t="n">
        <f aca="false">IF($E742="",0,$D742*$E742*(1-$G742-$H742-$I742))</f>
        <v>0</v>
      </c>
      <c r="M742" s="23" t="n">
        <f aca="false">IF($E742="",0,$D742*$E742-($F742*$E742+$G742*$D742*$E742+$H742*$D742*$E742+$I742*$D742*$E742+$J742*$D742*$E742*(1-$G742)+$K742*$E742))</f>
        <v>0</v>
      </c>
      <c r="N742" s="23" t="str">
        <f aca="false">IF($B742="","",CONCATENATE("Örnek kalem: ",$B742))</f>
        <v/>
      </c>
    </row>
    <row r="743" customFormat="false" ht="15" hidden="false" customHeight="false" outlineLevel="0" collapsed="false">
      <c r="L743" s="23" t="n">
        <f aca="false">IF($E743="",0,$D743*$E743*(1-$G743-$H743-$I743))</f>
        <v>0</v>
      </c>
      <c r="M743" s="23" t="n">
        <f aca="false">IF($E743="",0,$D743*$E743-($F743*$E743+$G743*$D743*$E743+$H743*$D743*$E743+$I743*$D743*$E743+$J743*$D743*$E743*(1-$G743)+$K743*$E743))</f>
        <v>0</v>
      </c>
      <c r="N743" s="23" t="str">
        <f aca="false">IF($B743="","",CONCATENATE("Örnek kalem: ",$B743))</f>
        <v/>
      </c>
    </row>
    <row r="744" customFormat="false" ht="15" hidden="false" customHeight="false" outlineLevel="0" collapsed="false">
      <c r="L744" s="23" t="n">
        <f aca="false">IF($E744="",0,$D744*$E744*(1-$G744-$H744-$I744))</f>
        <v>0</v>
      </c>
      <c r="M744" s="23" t="n">
        <f aca="false">IF($E744="",0,$D744*$E744-($F744*$E744+$G744*$D744*$E744+$H744*$D744*$E744+$I744*$D744*$E744+$J744*$D744*$E744*(1-$G744)+$K744*$E744))</f>
        <v>0</v>
      </c>
      <c r="N744" s="23" t="str">
        <f aca="false">IF($B744="","",CONCATENATE("Örnek kalem: ",$B744))</f>
        <v/>
      </c>
    </row>
    <row r="745" customFormat="false" ht="15" hidden="false" customHeight="false" outlineLevel="0" collapsed="false">
      <c r="L745" s="23" t="n">
        <f aca="false">IF($E745="",0,$D745*$E745*(1-$G745-$H745-$I745))</f>
        <v>0</v>
      </c>
      <c r="M745" s="23" t="n">
        <f aca="false">IF($E745="",0,$D745*$E745-($F745*$E745+$G745*$D745*$E745+$H745*$D745*$E745+$I745*$D745*$E745+$J745*$D745*$E745*(1-$G745)+$K745*$E745))</f>
        <v>0</v>
      </c>
      <c r="N745" s="23" t="str">
        <f aca="false">IF($B745="","",CONCATENATE("Örnek kalem: ",$B745))</f>
        <v/>
      </c>
    </row>
    <row r="746" customFormat="false" ht="15" hidden="false" customHeight="false" outlineLevel="0" collapsed="false">
      <c r="L746" s="23" t="n">
        <f aca="false">IF($E746="",0,$D746*$E746*(1-$G746-$H746-$I746))</f>
        <v>0</v>
      </c>
      <c r="M746" s="23" t="n">
        <f aca="false">IF($E746="",0,$D746*$E746-($F746*$E746+$G746*$D746*$E746+$H746*$D746*$E746+$I746*$D746*$E746+$J746*$D746*$E746*(1-$G746)+$K746*$E746))</f>
        <v>0</v>
      </c>
      <c r="N746" s="23" t="str">
        <f aca="false">IF($B746="","",CONCATENATE("Örnek kalem: ",$B746))</f>
        <v/>
      </c>
    </row>
    <row r="747" customFormat="false" ht="15" hidden="false" customHeight="false" outlineLevel="0" collapsed="false">
      <c r="L747" s="23" t="n">
        <f aca="false">IF($E747="",0,$D747*$E747*(1-$G747-$H747-$I747))</f>
        <v>0</v>
      </c>
      <c r="M747" s="23" t="n">
        <f aca="false">IF($E747="",0,$D747*$E747-($F747*$E747+$G747*$D747*$E747+$H747*$D747*$E747+$I747*$D747*$E747+$J747*$D747*$E747*(1-$G747)+$K747*$E747))</f>
        <v>0</v>
      </c>
      <c r="N747" s="23" t="str">
        <f aca="false">IF($B747="","",CONCATENATE("Örnek kalem: ",$B747))</f>
        <v/>
      </c>
    </row>
    <row r="748" customFormat="false" ht="15" hidden="false" customHeight="false" outlineLevel="0" collapsed="false">
      <c r="L748" s="23" t="n">
        <f aca="false">IF($E748="",0,$D748*$E748*(1-$G748-$H748-$I748))</f>
        <v>0</v>
      </c>
      <c r="M748" s="23" t="n">
        <f aca="false">IF($E748="",0,$D748*$E748-($F748*$E748+$G748*$D748*$E748+$H748*$D748*$E748+$I748*$D748*$E748+$J748*$D748*$E748*(1-$G748)+$K748*$E748))</f>
        <v>0</v>
      </c>
      <c r="N748" s="23" t="str">
        <f aca="false">IF($B748="","",CONCATENATE("Örnek kalem: ",$B748))</f>
        <v/>
      </c>
    </row>
    <row r="749" customFormat="false" ht="15" hidden="false" customHeight="false" outlineLevel="0" collapsed="false">
      <c r="L749" s="23" t="n">
        <f aca="false">IF($E749="",0,$D749*$E749*(1-$G749-$H749-$I749))</f>
        <v>0</v>
      </c>
      <c r="M749" s="23" t="n">
        <f aca="false">IF($E749="",0,$D749*$E749-($F749*$E749+$G749*$D749*$E749+$H749*$D749*$E749+$I749*$D749*$E749+$J749*$D749*$E749*(1-$G749)+$K749*$E749))</f>
        <v>0</v>
      </c>
      <c r="N749" s="23" t="str">
        <f aca="false">IF($B749="","",CONCATENATE("Örnek kalem: ",$B749))</f>
        <v/>
      </c>
    </row>
    <row r="750" customFormat="false" ht="15" hidden="false" customHeight="false" outlineLevel="0" collapsed="false">
      <c r="L750" s="23" t="n">
        <f aca="false">IF($E750="",0,$D750*$E750*(1-$G750-$H750-$I750))</f>
        <v>0</v>
      </c>
      <c r="M750" s="23" t="n">
        <f aca="false">IF($E750="",0,$D750*$E750-($F750*$E750+$G750*$D750*$E750+$H750*$D750*$E750+$I750*$D750*$E750+$J750*$D750*$E750*(1-$G750)+$K750*$E750))</f>
        <v>0</v>
      </c>
      <c r="N750" s="23" t="str">
        <f aca="false">IF($B750="","",CONCATENATE("Örnek kalem: ",$B750))</f>
        <v/>
      </c>
    </row>
    <row r="751" customFormat="false" ht="15" hidden="false" customHeight="false" outlineLevel="0" collapsed="false">
      <c r="L751" s="23" t="n">
        <f aca="false">IF($E751="",0,$D751*$E751*(1-$G751-$H751-$I751))</f>
        <v>0</v>
      </c>
      <c r="M751" s="23" t="n">
        <f aca="false">IF($E751="",0,$D751*$E751-($F751*$E751+$G751*$D751*$E751+$H751*$D751*$E751+$I751*$D751*$E751+$J751*$D751*$E751*(1-$G751)+$K751*$E751))</f>
        <v>0</v>
      </c>
      <c r="N751" s="23" t="str">
        <f aca="false">IF($B751="","",CONCATENATE("Örnek kalem: ",$B751))</f>
        <v/>
      </c>
    </row>
    <row r="752" customFormat="false" ht="15" hidden="false" customHeight="false" outlineLevel="0" collapsed="false">
      <c r="L752" s="23" t="n">
        <f aca="false">IF($E752="",0,$D752*$E752*(1-$G752-$H752-$I752))</f>
        <v>0</v>
      </c>
      <c r="M752" s="23" t="n">
        <f aca="false">IF($E752="",0,$D752*$E752-($F752*$E752+$G752*$D752*$E752+$H752*$D752*$E752+$I752*$D752*$E752+$J752*$D752*$E752*(1-$G752)+$K752*$E752))</f>
        <v>0</v>
      </c>
      <c r="N752" s="23" t="str">
        <f aca="false">IF($B752="","",CONCATENATE("Örnek kalem: ",$B752))</f>
        <v/>
      </c>
    </row>
    <row r="753" customFormat="false" ht="15" hidden="false" customHeight="false" outlineLevel="0" collapsed="false">
      <c r="L753" s="23" t="n">
        <f aca="false">IF($E753="",0,$D753*$E753*(1-$G753-$H753-$I753))</f>
        <v>0</v>
      </c>
      <c r="M753" s="23" t="n">
        <f aca="false">IF($E753="",0,$D753*$E753-($F753*$E753+$G753*$D753*$E753+$H753*$D753*$E753+$I753*$D753*$E753+$J753*$D753*$E753*(1-$G753)+$K753*$E753))</f>
        <v>0</v>
      </c>
      <c r="N753" s="23" t="str">
        <f aca="false">IF($B753="","",CONCATENATE("Örnek kalem: ",$B753))</f>
        <v/>
      </c>
    </row>
    <row r="754" customFormat="false" ht="15" hidden="false" customHeight="false" outlineLevel="0" collapsed="false">
      <c r="L754" s="23" t="n">
        <f aca="false">IF($E754="",0,$D754*$E754*(1-$G754-$H754-$I754))</f>
        <v>0</v>
      </c>
      <c r="M754" s="23" t="n">
        <f aca="false">IF($E754="",0,$D754*$E754-($F754*$E754+$G754*$D754*$E754+$H754*$D754*$E754+$I754*$D754*$E754+$J754*$D754*$E754*(1-$G754)+$K754*$E754))</f>
        <v>0</v>
      </c>
      <c r="N754" s="23" t="str">
        <f aca="false">IF($B754="","",CONCATENATE("Örnek kalem: ",$B754))</f>
        <v/>
      </c>
    </row>
    <row r="755" customFormat="false" ht="15" hidden="false" customHeight="false" outlineLevel="0" collapsed="false">
      <c r="L755" s="23" t="n">
        <f aca="false">IF($E755="",0,$D755*$E755*(1-$G755-$H755-$I755))</f>
        <v>0</v>
      </c>
      <c r="M755" s="23" t="n">
        <f aca="false">IF($E755="",0,$D755*$E755-($F755*$E755+$G755*$D755*$E755+$H755*$D755*$E755+$I755*$D755*$E755+$J755*$D755*$E755*(1-$G755)+$K755*$E755))</f>
        <v>0</v>
      </c>
      <c r="N755" s="23" t="str">
        <f aca="false">IF($B755="","",CONCATENATE("Örnek kalem: ",$B755))</f>
        <v/>
      </c>
    </row>
    <row r="756" customFormat="false" ht="15" hidden="false" customHeight="false" outlineLevel="0" collapsed="false">
      <c r="L756" s="23" t="n">
        <f aca="false">IF($E756="",0,$D756*$E756*(1-$G756-$H756-$I756))</f>
        <v>0</v>
      </c>
      <c r="M756" s="23" t="n">
        <f aca="false">IF($E756="",0,$D756*$E756-($F756*$E756+$G756*$D756*$E756+$H756*$D756*$E756+$I756*$D756*$E756+$J756*$D756*$E756*(1-$G756)+$K756*$E756))</f>
        <v>0</v>
      </c>
      <c r="N756" s="23" t="str">
        <f aca="false">IF($B756="","",CONCATENATE("Örnek kalem: ",$B756))</f>
        <v/>
      </c>
    </row>
    <row r="757" customFormat="false" ht="15" hidden="false" customHeight="false" outlineLevel="0" collapsed="false">
      <c r="L757" s="23" t="n">
        <f aca="false">IF($E757="",0,$D757*$E757*(1-$G757-$H757-$I757))</f>
        <v>0</v>
      </c>
      <c r="M757" s="23" t="n">
        <f aca="false">IF($E757="",0,$D757*$E757-($F757*$E757+$G757*$D757*$E757+$H757*$D757*$E757+$I757*$D757*$E757+$J757*$D757*$E757*(1-$G757)+$K757*$E757))</f>
        <v>0</v>
      </c>
      <c r="N757" s="23" t="str">
        <f aca="false">IF($B757="","",CONCATENATE("Örnek kalem: ",$B757))</f>
        <v/>
      </c>
    </row>
    <row r="758" customFormat="false" ht="15" hidden="false" customHeight="false" outlineLevel="0" collapsed="false">
      <c r="L758" s="23" t="n">
        <f aca="false">IF($E758="",0,$D758*$E758*(1-$G758-$H758-$I758))</f>
        <v>0</v>
      </c>
      <c r="M758" s="23" t="n">
        <f aca="false">IF($E758="",0,$D758*$E758-($F758*$E758+$G758*$D758*$E758+$H758*$D758*$E758+$I758*$D758*$E758+$J758*$D758*$E758*(1-$G758)+$K758*$E758))</f>
        <v>0</v>
      </c>
      <c r="N758" s="23" t="str">
        <f aca="false">IF($B758="","",CONCATENATE("Örnek kalem: ",$B758))</f>
        <v/>
      </c>
    </row>
    <row r="759" customFormat="false" ht="15" hidden="false" customHeight="false" outlineLevel="0" collapsed="false">
      <c r="L759" s="23" t="n">
        <f aca="false">IF($E759="",0,$D759*$E759*(1-$G759-$H759-$I759))</f>
        <v>0</v>
      </c>
      <c r="M759" s="23" t="n">
        <f aca="false">IF($E759="",0,$D759*$E759-($F759*$E759+$G759*$D759*$E759+$H759*$D759*$E759+$I759*$D759*$E759+$J759*$D759*$E759*(1-$G759)+$K759*$E759))</f>
        <v>0</v>
      </c>
      <c r="N759" s="23" t="str">
        <f aca="false">IF($B759="","",CONCATENATE("Örnek kalem: ",$B759))</f>
        <v/>
      </c>
    </row>
    <row r="760" customFormat="false" ht="15" hidden="false" customHeight="false" outlineLevel="0" collapsed="false">
      <c r="L760" s="23" t="n">
        <f aca="false">IF($E760="",0,$D760*$E760*(1-$G760-$H760-$I760))</f>
        <v>0</v>
      </c>
      <c r="M760" s="23" t="n">
        <f aca="false">IF($E760="",0,$D760*$E760-($F760*$E760+$G760*$D760*$E760+$H760*$D760*$E760+$I760*$D760*$E760+$J760*$D760*$E760*(1-$G760)+$K760*$E760))</f>
        <v>0</v>
      </c>
      <c r="N760" s="23" t="str">
        <f aca="false">IF($B760="","",CONCATENATE("Örnek kalem: ",$B760))</f>
        <v/>
      </c>
    </row>
    <row r="761" customFormat="false" ht="15" hidden="false" customHeight="false" outlineLevel="0" collapsed="false">
      <c r="L761" s="23" t="n">
        <f aca="false">IF($E761="",0,$D761*$E761*(1-$G761-$H761-$I761))</f>
        <v>0</v>
      </c>
      <c r="M761" s="23" t="n">
        <f aca="false">IF($E761="",0,$D761*$E761-($F761*$E761+$G761*$D761*$E761+$H761*$D761*$E761+$I761*$D761*$E761+$J761*$D761*$E761*(1-$G761)+$K761*$E761))</f>
        <v>0</v>
      </c>
      <c r="N761" s="23" t="str">
        <f aca="false">IF($B761="","",CONCATENATE("Örnek kalem: ",$B761))</f>
        <v/>
      </c>
    </row>
    <row r="762" customFormat="false" ht="15" hidden="false" customHeight="false" outlineLevel="0" collapsed="false">
      <c r="L762" s="23" t="n">
        <f aca="false">IF($E762="",0,$D762*$E762*(1-$G762-$H762-$I762))</f>
        <v>0</v>
      </c>
      <c r="M762" s="23" t="n">
        <f aca="false">IF($E762="",0,$D762*$E762-($F762*$E762+$G762*$D762*$E762+$H762*$D762*$E762+$I762*$D762*$E762+$J762*$D762*$E762*(1-$G762)+$K762*$E762))</f>
        <v>0</v>
      </c>
      <c r="N762" s="23" t="str">
        <f aca="false">IF($B762="","",CONCATENATE("Örnek kalem: ",$B762))</f>
        <v/>
      </c>
    </row>
    <row r="763" customFormat="false" ht="15" hidden="false" customHeight="false" outlineLevel="0" collapsed="false">
      <c r="L763" s="23" t="n">
        <f aca="false">IF($E763="",0,$D763*$E763*(1-$G763-$H763-$I763))</f>
        <v>0</v>
      </c>
      <c r="M763" s="23" t="n">
        <f aca="false">IF($E763="",0,$D763*$E763-($F763*$E763+$G763*$D763*$E763+$H763*$D763*$E763+$I763*$D763*$E763+$J763*$D763*$E763*(1-$G763)+$K763*$E763))</f>
        <v>0</v>
      </c>
      <c r="N763" s="23" t="str">
        <f aca="false">IF($B763="","",CONCATENATE("Örnek kalem: ",$B763))</f>
        <v/>
      </c>
    </row>
    <row r="764" customFormat="false" ht="15" hidden="false" customHeight="false" outlineLevel="0" collapsed="false">
      <c r="L764" s="23" t="n">
        <f aca="false">IF($E764="",0,$D764*$E764*(1-$G764-$H764-$I764))</f>
        <v>0</v>
      </c>
      <c r="M764" s="23" t="n">
        <f aca="false">IF($E764="",0,$D764*$E764-($F764*$E764+$G764*$D764*$E764+$H764*$D764*$E764+$I764*$D764*$E764+$J764*$D764*$E764*(1-$G764)+$K764*$E764))</f>
        <v>0</v>
      </c>
      <c r="N764" s="23" t="str">
        <f aca="false">IF($B764="","",CONCATENATE("Örnek kalem: ",$B764))</f>
        <v/>
      </c>
    </row>
    <row r="765" customFormat="false" ht="15" hidden="false" customHeight="false" outlineLevel="0" collapsed="false">
      <c r="L765" s="23" t="n">
        <f aca="false">IF($E765="",0,$D765*$E765*(1-$G765-$H765-$I765))</f>
        <v>0</v>
      </c>
      <c r="M765" s="23" t="n">
        <f aca="false">IF($E765="",0,$D765*$E765-($F765*$E765+$G765*$D765*$E765+$H765*$D765*$E765+$I765*$D765*$E765+$J765*$D765*$E765*(1-$G765)+$K765*$E765))</f>
        <v>0</v>
      </c>
      <c r="N765" s="23" t="str">
        <f aca="false">IF($B765="","",CONCATENATE("Örnek kalem: ",$B765))</f>
        <v/>
      </c>
    </row>
    <row r="766" customFormat="false" ht="15" hidden="false" customHeight="false" outlineLevel="0" collapsed="false">
      <c r="L766" s="23" t="n">
        <f aca="false">IF($E766="",0,$D766*$E766*(1-$G766-$H766-$I766))</f>
        <v>0</v>
      </c>
      <c r="M766" s="23" t="n">
        <f aca="false">IF($E766="",0,$D766*$E766-($F766*$E766+$G766*$D766*$E766+$H766*$D766*$E766+$I766*$D766*$E766+$J766*$D766*$E766*(1-$G766)+$K766*$E766))</f>
        <v>0</v>
      </c>
      <c r="N766" s="23" t="str">
        <f aca="false">IF($B766="","",CONCATENATE("Örnek kalem: ",$B766))</f>
        <v/>
      </c>
    </row>
    <row r="767" customFormat="false" ht="15" hidden="false" customHeight="false" outlineLevel="0" collapsed="false">
      <c r="L767" s="23" t="n">
        <f aca="false">IF($E767="",0,$D767*$E767*(1-$G767-$H767-$I767))</f>
        <v>0</v>
      </c>
      <c r="M767" s="23" t="n">
        <f aca="false">IF($E767="",0,$D767*$E767-($F767*$E767+$G767*$D767*$E767+$H767*$D767*$E767+$I767*$D767*$E767+$J767*$D767*$E767*(1-$G767)+$K767*$E767))</f>
        <v>0</v>
      </c>
      <c r="N767" s="23" t="str">
        <f aca="false">IF($B767="","",CONCATENATE("Örnek kalem: ",$B767))</f>
        <v/>
      </c>
    </row>
    <row r="768" customFormat="false" ht="15" hidden="false" customHeight="false" outlineLevel="0" collapsed="false">
      <c r="L768" s="23" t="n">
        <f aca="false">IF($E768="",0,$D768*$E768*(1-$G768-$H768-$I768))</f>
        <v>0</v>
      </c>
      <c r="M768" s="23" t="n">
        <f aca="false">IF($E768="",0,$D768*$E768-($F768*$E768+$G768*$D768*$E768+$H768*$D768*$E768+$I768*$D768*$E768+$J768*$D768*$E768*(1-$G768)+$K768*$E768))</f>
        <v>0</v>
      </c>
      <c r="N768" s="23" t="str">
        <f aca="false">IF($B768="","",CONCATENATE("Örnek kalem: ",$B768))</f>
        <v/>
      </c>
    </row>
    <row r="769" customFormat="false" ht="15" hidden="false" customHeight="false" outlineLevel="0" collapsed="false">
      <c r="L769" s="23" t="n">
        <f aca="false">IF($E769="",0,$D769*$E769*(1-$G769-$H769-$I769))</f>
        <v>0</v>
      </c>
      <c r="M769" s="23" t="n">
        <f aca="false">IF($E769="",0,$D769*$E769-($F769*$E769+$G769*$D769*$E769+$H769*$D769*$E769+$I769*$D769*$E769+$J769*$D769*$E769*(1-$G769)+$K769*$E769))</f>
        <v>0</v>
      </c>
      <c r="N769" s="23" t="str">
        <f aca="false">IF($B769="","",CONCATENATE("Örnek kalem: ",$B769))</f>
        <v/>
      </c>
    </row>
    <row r="770" customFormat="false" ht="15" hidden="false" customHeight="false" outlineLevel="0" collapsed="false">
      <c r="L770" s="23" t="n">
        <f aca="false">IF($E770="",0,$D770*$E770*(1-$G770-$H770-$I770))</f>
        <v>0</v>
      </c>
      <c r="M770" s="23" t="n">
        <f aca="false">IF($E770="",0,$D770*$E770-($F770*$E770+$G770*$D770*$E770+$H770*$D770*$E770+$I770*$D770*$E770+$J770*$D770*$E770*(1-$G770)+$K770*$E770))</f>
        <v>0</v>
      </c>
      <c r="N770" s="23" t="str">
        <f aca="false">IF($B770="","",CONCATENATE("Örnek kalem: ",$B770))</f>
        <v/>
      </c>
    </row>
    <row r="771" customFormat="false" ht="15" hidden="false" customHeight="false" outlineLevel="0" collapsed="false">
      <c r="L771" s="23" t="n">
        <f aca="false">IF($E771="",0,$D771*$E771*(1-$G771-$H771-$I771))</f>
        <v>0</v>
      </c>
      <c r="M771" s="23" t="n">
        <f aca="false">IF($E771="",0,$D771*$E771-($F771*$E771+$G771*$D771*$E771+$H771*$D771*$E771+$I771*$D771*$E771+$J771*$D771*$E771*(1-$G771)+$K771*$E771))</f>
        <v>0</v>
      </c>
      <c r="N771" s="23" t="str">
        <f aca="false">IF($B771="","",CONCATENATE("Örnek kalem: ",$B771))</f>
        <v/>
      </c>
    </row>
    <row r="772" customFormat="false" ht="15" hidden="false" customHeight="false" outlineLevel="0" collapsed="false">
      <c r="L772" s="23" t="n">
        <f aca="false">IF($E772="",0,$D772*$E772*(1-$G772-$H772-$I772))</f>
        <v>0</v>
      </c>
      <c r="M772" s="23" t="n">
        <f aca="false">IF($E772="",0,$D772*$E772-($F772*$E772+$G772*$D772*$E772+$H772*$D772*$E772+$I772*$D772*$E772+$J772*$D772*$E772*(1-$G772)+$K772*$E772))</f>
        <v>0</v>
      </c>
      <c r="N772" s="23" t="str">
        <f aca="false">IF($B772="","",CONCATENATE("Örnek kalem: ",$B772))</f>
        <v/>
      </c>
    </row>
    <row r="773" customFormat="false" ht="15" hidden="false" customHeight="false" outlineLevel="0" collapsed="false">
      <c r="L773" s="23" t="n">
        <f aca="false">IF($E773="",0,$D773*$E773*(1-$G773-$H773-$I773))</f>
        <v>0</v>
      </c>
      <c r="M773" s="23" t="n">
        <f aca="false">IF($E773="",0,$D773*$E773-($F773*$E773+$G773*$D773*$E773+$H773*$D773*$E773+$I773*$D773*$E773+$J773*$D773*$E773*(1-$G773)+$K773*$E773))</f>
        <v>0</v>
      </c>
      <c r="N773" s="23" t="str">
        <f aca="false">IF($B773="","",CONCATENATE("Örnek kalem: ",$B773))</f>
        <v/>
      </c>
    </row>
    <row r="774" customFormat="false" ht="15" hidden="false" customHeight="false" outlineLevel="0" collapsed="false">
      <c r="L774" s="23" t="n">
        <f aca="false">IF($E774="",0,$D774*$E774*(1-$G774-$H774-$I774))</f>
        <v>0</v>
      </c>
      <c r="M774" s="23" t="n">
        <f aca="false">IF($E774="",0,$D774*$E774-($F774*$E774+$G774*$D774*$E774+$H774*$D774*$E774+$I774*$D774*$E774+$J774*$D774*$E774*(1-$G774)+$K774*$E774))</f>
        <v>0</v>
      </c>
      <c r="N774" s="23" t="str">
        <f aca="false">IF($B774="","",CONCATENATE("Örnek kalem: ",$B774))</f>
        <v/>
      </c>
    </row>
    <row r="775" customFormat="false" ht="15" hidden="false" customHeight="false" outlineLevel="0" collapsed="false">
      <c r="L775" s="23" t="n">
        <f aca="false">IF($E775="",0,$D775*$E775*(1-$G775-$H775-$I775))</f>
        <v>0</v>
      </c>
      <c r="M775" s="23" t="n">
        <f aca="false">IF($E775="",0,$D775*$E775-($F775*$E775+$G775*$D775*$E775+$H775*$D775*$E775+$I775*$D775*$E775+$J775*$D775*$E775*(1-$G775)+$K775*$E775))</f>
        <v>0</v>
      </c>
      <c r="N775" s="23" t="str">
        <f aca="false">IF($B775="","",CONCATENATE("Örnek kalem: ",$B775))</f>
        <v/>
      </c>
    </row>
    <row r="776" customFormat="false" ht="15" hidden="false" customHeight="false" outlineLevel="0" collapsed="false">
      <c r="L776" s="23" t="n">
        <f aca="false">IF($E776="",0,$D776*$E776*(1-$G776-$H776-$I776))</f>
        <v>0</v>
      </c>
      <c r="M776" s="23" t="n">
        <f aca="false">IF($E776="",0,$D776*$E776-($F776*$E776+$G776*$D776*$E776+$H776*$D776*$E776+$I776*$D776*$E776+$J776*$D776*$E776*(1-$G776)+$K776*$E776))</f>
        <v>0</v>
      </c>
      <c r="N776" s="23" t="str">
        <f aca="false">IF($B776="","",CONCATENATE("Örnek kalem: ",$B776))</f>
        <v/>
      </c>
    </row>
    <row r="777" customFormat="false" ht="15" hidden="false" customHeight="false" outlineLevel="0" collapsed="false">
      <c r="L777" s="23" t="n">
        <f aca="false">IF($E777="",0,$D777*$E777*(1-$G777-$H777-$I777))</f>
        <v>0</v>
      </c>
      <c r="M777" s="23" t="n">
        <f aca="false">IF($E777="",0,$D777*$E777-($F777*$E777+$G777*$D777*$E777+$H777*$D777*$E777+$I777*$D777*$E777+$J777*$D777*$E777*(1-$G777)+$K777*$E777))</f>
        <v>0</v>
      </c>
      <c r="N777" s="23" t="str">
        <f aca="false">IF($B777="","",CONCATENATE("Örnek kalem: ",$B777))</f>
        <v/>
      </c>
    </row>
    <row r="778" customFormat="false" ht="15" hidden="false" customHeight="false" outlineLevel="0" collapsed="false">
      <c r="L778" s="23" t="n">
        <f aca="false">IF($E778="",0,$D778*$E778*(1-$G778-$H778-$I778))</f>
        <v>0</v>
      </c>
      <c r="M778" s="23" t="n">
        <f aca="false">IF($E778="",0,$D778*$E778-($F778*$E778+$G778*$D778*$E778+$H778*$D778*$E778+$I778*$D778*$E778+$J778*$D778*$E778*(1-$G778)+$K778*$E778))</f>
        <v>0</v>
      </c>
      <c r="N778" s="23" t="str">
        <f aca="false">IF($B778="","",CONCATENATE("Örnek kalem: ",$B778))</f>
        <v/>
      </c>
    </row>
    <row r="779" customFormat="false" ht="15" hidden="false" customHeight="false" outlineLevel="0" collapsed="false">
      <c r="L779" s="23" t="n">
        <f aca="false">IF($E779="",0,$D779*$E779*(1-$G779-$H779-$I779))</f>
        <v>0</v>
      </c>
      <c r="M779" s="23" t="n">
        <f aca="false">IF($E779="",0,$D779*$E779-($F779*$E779+$G779*$D779*$E779+$H779*$D779*$E779+$I779*$D779*$E779+$J779*$D779*$E779*(1-$G779)+$K779*$E779))</f>
        <v>0</v>
      </c>
      <c r="N779" s="23" t="str">
        <f aca="false">IF($B779="","",CONCATENATE("Örnek kalem: ",$B779))</f>
        <v/>
      </c>
    </row>
    <row r="780" customFormat="false" ht="15" hidden="false" customHeight="false" outlineLevel="0" collapsed="false">
      <c r="L780" s="23" t="n">
        <f aca="false">IF($E780="",0,$D780*$E780*(1-$G780-$H780-$I780))</f>
        <v>0</v>
      </c>
      <c r="M780" s="23" t="n">
        <f aca="false">IF($E780="",0,$D780*$E780-($F780*$E780+$G780*$D780*$E780+$H780*$D780*$E780+$I780*$D780*$E780+$J780*$D780*$E780*(1-$G780)+$K780*$E780))</f>
        <v>0</v>
      </c>
      <c r="N780" s="23" t="str">
        <f aca="false">IF($B780="","",CONCATENATE("Örnek kalem: ",$B780))</f>
        <v/>
      </c>
    </row>
    <row r="781" customFormat="false" ht="15" hidden="false" customHeight="false" outlineLevel="0" collapsed="false">
      <c r="L781" s="23" t="n">
        <f aca="false">IF($E781="",0,$D781*$E781*(1-$G781-$H781-$I781))</f>
        <v>0</v>
      </c>
      <c r="M781" s="23" t="n">
        <f aca="false">IF($E781="",0,$D781*$E781-($F781*$E781+$G781*$D781*$E781+$H781*$D781*$E781+$I781*$D781*$E781+$J781*$D781*$E781*(1-$G781)+$K781*$E781))</f>
        <v>0</v>
      </c>
      <c r="N781" s="23" t="str">
        <f aca="false">IF($B781="","",CONCATENATE("Örnek kalem: ",$B781))</f>
        <v/>
      </c>
    </row>
    <row r="782" customFormat="false" ht="15" hidden="false" customHeight="false" outlineLevel="0" collapsed="false">
      <c r="L782" s="23" t="n">
        <f aca="false">IF($E782="",0,$D782*$E782*(1-$G782-$H782-$I782))</f>
        <v>0</v>
      </c>
      <c r="M782" s="23" t="n">
        <f aca="false">IF($E782="",0,$D782*$E782-($F782*$E782+$G782*$D782*$E782+$H782*$D782*$E782+$I782*$D782*$E782+$J782*$D782*$E782*(1-$G782)+$K782*$E782))</f>
        <v>0</v>
      </c>
      <c r="N782" s="23" t="str">
        <f aca="false">IF($B782="","",CONCATENATE("Örnek kalem: ",$B782))</f>
        <v/>
      </c>
    </row>
    <row r="783" customFormat="false" ht="15" hidden="false" customHeight="false" outlineLevel="0" collapsed="false">
      <c r="L783" s="23" t="n">
        <f aca="false">IF($E783="",0,$D783*$E783*(1-$G783-$H783-$I783))</f>
        <v>0</v>
      </c>
      <c r="M783" s="23" t="n">
        <f aca="false">IF($E783="",0,$D783*$E783-($F783*$E783+$G783*$D783*$E783+$H783*$D783*$E783+$I783*$D783*$E783+$J783*$D783*$E783*(1-$G783)+$K783*$E783))</f>
        <v>0</v>
      </c>
      <c r="N783" s="23" t="str">
        <f aca="false">IF($B783="","",CONCATENATE("Örnek kalem: ",$B783))</f>
        <v/>
      </c>
    </row>
    <row r="784" customFormat="false" ht="15" hidden="false" customHeight="false" outlineLevel="0" collapsed="false">
      <c r="L784" s="23" t="n">
        <f aca="false">IF($E784="",0,$D784*$E784*(1-$G784-$H784-$I784))</f>
        <v>0</v>
      </c>
      <c r="M784" s="23" t="n">
        <f aca="false">IF($E784="",0,$D784*$E784-($F784*$E784+$G784*$D784*$E784+$H784*$D784*$E784+$I784*$D784*$E784+$J784*$D784*$E784*(1-$G784)+$K784*$E784))</f>
        <v>0</v>
      </c>
      <c r="N784" s="23" t="str">
        <f aca="false">IF($B784="","",CONCATENATE("Örnek kalem: ",$B784))</f>
        <v/>
      </c>
    </row>
    <row r="785" customFormat="false" ht="15" hidden="false" customHeight="false" outlineLevel="0" collapsed="false">
      <c r="L785" s="23" t="n">
        <f aca="false">IF($E785="",0,$D785*$E785*(1-$G785-$H785-$I785))</f>
        <v>0</v>
      </c>
      <c r="M785" s="23" t="n">
        <f aca="false">IF($E785="",0,$D785*$E785-($F785*$E785+$G785*$D785*$E785+$H785*$D785*$E785+$I785*$D785*$E785+$J785*$D785*$E785*(1-$G785)+$K785*$E785))</f>
        <v>0</v>
      </c>
      <c r="N785" s="23" t="str">
        <f aca="false">IF($B785="","",CONCATENATE("Örnek kalem: ",$B785))</f>
        <v/>
      </c>
    </row>
    <row r="786" customFormat="false" ht="15" hidden="false" customHeight="false" outlineLevel="0" collapsed="false">
      <c r="L786" s="23" t="n">
        <f aca="false">IF($E786="",0,$D786*$E786*(1-$G786-$H786-$I786))</f>
        <v>0</v>
      </c>
      <c r="M786" s="23" t="n">
        <f aca="false">IF($E786="",0,$D786*$E786-($F786*$E786+$G786*$D786*$E786+$H786*$D786*$E786+$I786*$D786*$E786+$J786*$D786*$E786*(1-$G786)+$K786*$E786))</f>
        <v>0</v>
      </c>
      <c r="N786" s="23" t="str">
        <f aca="false">IF($B786="","",CONCATENATE("Örnek kalem: ",$B786))</f>
        <v/>
      </c>
    </row>
    <row r="787" customFormat="false" ht="15" hidden="false" customHeight="false" outlineLevel="0" collapsed="false">
      <c r="L787" s="23" t="n">
        <f aca="false">IF($E787="",0,$D787*$E787*(1-$G787-$H787-$I787))</f>
        <v>0</v>
      </c>
      <c r="M787" s="23" t="n">
        <f aca="false">IF($E787="",0,$D787*$E787-($F787*$E787+$G787*$D787*$E787+$H787*$D787*$E787+$I787*$D787*$E787+$J787*$D787*$E787*(1-$G787)+$K787*$E787))</f>
        <v>0</v>
      </c>
      <c r="N787" s="23" t="str">
        <f aca="false">IF($B787="","",CONCATENATE("Örnek kalem: ",$B787))</f>
        <v/>
      </c>
    </row>
    <row r="788" customFormat="false" ht="15" hidden="false" customHeight="false" outlineLevel="0" collapsed="false">
      <c r="L788" s="23" t="n">
        <f aca="false">IF($E788="",0,$D788*$E788*(1-$G788-$H788-$I788))</f>
        <v>0</v>
      </c>
      <c r="M788" s="23" t="n">
        <f aca="false">IF($E788="",0,$D788*$E788-($F788*$E788+$G788*$D788*$E788+$H788*$D788*$E788+$I788*$D788*$E788+$J788*$D788*$E788*(1-$G788)+$K788*$E788))</f>
        <v>0</v>
      </c>
      <c r="N788" s="23" t="str">
        <f aca="false">IF($B788="","",CONCATENATE("Örnek kalem: ",$B788))</f>
        <v/>
      </c>
    </row>
    <row r="789" customFormat="false" ht="15" hidden="false" customHeight="false" outlineLevel="0" collapsed="false">
      <c r="L789" s="23" t="n">
        <f aca="false">IF($E789="",0,$D789*$E789*(1-$G789-$H789-$I789))</f>
        <v>0</v>
      </c>
      <c r="M789" s="23" t="n">
        <f aca="false">IF($E789="",0,$D789*$E789-($F789*$E789+$G789*$D789*$E789+$H789*$D789*$E789+$I789*$D789*$E789+$J789*$D789*$E789*(1-$G789)+$K789*$E789))</f>
        <v>0</v>
      </c>
      <c r="N789" s="23" t="str">
        <f aca="false">IF($B789="","",CONCATENATE("Örnek kalem: ",$B789))</f>
        <v/>
      </c>
    </row>
    <row r="790" customFormat="false" ht="15" hidden="false" customHeight="false" outlineLevel="0" collapsed="false">
      <c r="L790" s="23" t="n">
        <f aca="false">IF($E790="",0,$D790*$E790*(1-$G790-$H790-$I790))</f>
        <v>0</v>
      </c>
      <c r="M790" s="23" t="n">
        <f aca="false">IF($E790="",0,$D790*$E790-($F790*$E790+$G790*$D790*$E790+$H790*$D790*$E790+$I790*$D790*$E790+$J790*$D790*$E790*(1-$G790)+$K790*$E790))</f>
        <v>0</v>
      </c>
      <c r="N790" s="23" t="str">
        <f aca="false">IF($B790="","",CONCATENATE("Örnek kalem: ",$B790))</f>
        <v/>
      </c>
    </row>
    <row r="791" customFormat="false" ht="15" hidden="false" customHeight="false" outlineLevel="0" collapsed="false">
      <c r="L791" s="23" t="n">
        <f aca="false">IF($E791="",0,$D791*$E791*(1-$G791-$H791-$I791))</f>
        <v>0</v>
      </c>
      <c r="M791" s="23" t="n">
        <f aca="false">IF($E791="",0,$D791*$E791-($F791*$E791+$G791*$D791*$E791+$H791*$D791*$E791+$I791*$D791*$E791+$J791*$D791*$E791*(1-$G791)+$K791*$E791))</f>
        <v>0</v>
      </c>
      <c r="N791" s="23" t="str">
        <f aca="false">IF($B791="","",CONCATENATE("Örnek kalem: ",$B791))</f>
        <v/>
      </c>
    </row>
    <row r="792" customFormat="false" ht="15" hidden="false" customHeight="false" outlineLevel="0" collapsed="false">
      <c r="L792" s="23" t="n">
        <f aca="false">IF($E792="",0,$D792*$E792*(1-$G792-$H792-$I792))</f>
        <v>0</v>
      </c>
      <c r="M792" s="23" t="n">
        <f aca="false">IF($E792="",0,$D792*$E792-($F792*$E792+$G792*$D792*$E792+$H792*$D792*$E792+$I792*$D792*$E792+$J792*$D792*$E792*(1-$G792)+$K792*$E792))</f>
        <v>0</v>
      </c>
      <c r="N792" s="23" t="str">
        <f aca="false">IF($B792="","",CONCATENATE("Örnek kalem: ",$B792))</f>
        <v/>
      </c>
    </row>
    <row r="793" customFormat="false" ht="15" hidden="false" customHeight="false" outlineLevel="0" collapsed="false">
      <c r="L793" s="23" t="n">
        <f aca="false">IF($E793="",0,$D793*$E793*(1-$G793-$H793-$I793))</f>
        <v>0</v>
      </c>
      <c r="M793" s="23" t="n">
        <f aca="false">IF($E793="",0,$D793*$E793-($F793*$E793+$G793*$D793*$E793+$H793*$D793*$E793+$I793*$D793*$E793+$J793*$D793*$E793*(1-$G793)+$K793*$E793))</f>
        <v>0</v>
      </c>
      <c r="N793" s="23" t="str">
        <f aca="false">IF($B793="","",CONCATENATE("Örnek kalem: ",$B793))</f>
        <v/>
      </c>
    </row>
    <row r="794" customFormat="false" ht="15" hidden="false" customHeight="false" outlineLevel="0" collapsed="false">
      <c r="L794" s="23" t="n">
        <f aca="false">IF($E794="",0,$D794*$E794*(1-$G794-$H794-$I794))</f>
        <v>0</v>
      </c>
      <c r="M794" s="23" t="n">
        <f aca="false">IF($E794="",0,$D794*$E794-($F794*$E794+$G794*$D794*$E794+$H794*$D794*$E794+$I794*$D794*$E794+$J794*$D794*$E794*(1-$G794)+$K794*$E794))</f>
        <v>0</v>
      </c>
      <c r="N794" s="23" t="str">
        <f aca="false">IF($B794="","",CONCATENATE("Örnek kalem: ",$B794))</f>
        <v/>
      </c>
    </row>
    <row r="795" customFormat="false" ht="15" hidden="false" customHeight="false" outlineLevel="0" collapsed="false">
      <c r="L795" s="23" t="n">
        <f aca="false">IF($E795="",0,$D795*$E795*(1-$G795-$H795-$I795))</f>
        <v>0</v>
      </c>
      <c r="M795" s="23" t="n">
        <f aca="false">IF($E795="",0,$D795*$E795-($F795*$E795+$G795*$D795*$E795+$H795*$D795*$E795+$I795*$D795*$E795+$J795*$D795*$E795*(1-$G795)+$K795*$E795))</f>
        <v>0</v>
      </c>
      <c r="N795" s="23" t="str">
        <f aca="false">IF($B795="","",CONCATENATE("Örnek kalem: ",$B795))</f>
        <v/>
      </c>
    </row>
    <row r="796" customFormat="false" ht="15" hidden="false" customHeight="false" outlineLevel="0" collapsed="false">
      <c r="L796" s="23" t="n">
        <f aca="false">IF($E796="",0,$D796*$E796*(1-$G796-$H796-$I796))</f>
        <v>0</v>
      </c>
      <c r="M796" s="23" t="n">
        <f aca="false">IF($E796="",0,$D796*$E796-($F796*$E796+$G796*$D796*$E796+$H796*$D796*$E796+$I796*$D796*$E796+$J796*$D796*$E796*(1-$G796)+$K796*$E796))</f>
        <v>0</v>
      </c>
      <c r="N796" s="23" t="str">
        <f aca="false">IF($B796="","",CONCATENATE("Örnek kalem: ",$B796))</f>
        <v/>
      </c>
    </row>
    <row r="797" customFormat="false" ht="15" hidden="false" customHeight="false" outlineLevel="0" collapsed="false">
      <c r="L797" s="23" t="n">
        <f aca="false">IF($E797="",0,$D797*$E797*(1-$G797-$H797-$I797))</f>
        <v>0</v>
      </c>
      <c r="M797" s="23" t="n">
        <f aca="false">IF($E797="",0,$D797*$E797-($F797*$E797+$G797*$D797*$E797+$H797*$D797*$E797+$I797*$D797*$E797+$J797*$D797*$E797*(1-$G797)+$K797*$E797))</f>
        <v>0</v>
      </c>
      <c r="N797" s="23" t="str">
        <f aca="false">IF($B797="","",CONCATENATE("Örnek kalem: ",$B797))</f>
        <v/>
      </c>
    </row>
    <row r="798" customFormat="false" ht="15" hidden="false" customHeight="false" outlineLevel="0" collapsed="false">
      <c r="L798" s="23" t="n">
        <f aca="false">IF($E798="",0,$D798*$E798*(1-$G798-$H798-$I798))</f>
        <v>0</v>
      </c>
      <c r="M798" s="23" t="n">
        <f aca="false">IF($E798="",0,$D798*$E798-($F798*$E798+$G798*$D798*$E798+$H798*$D798*$E798+$I798*$D798*$E798+$J798*$D798*$E798*(1-$G798)+$K798*$E798))</f>
        <v>0</v>
      </c>
      <c r="N798" s="23" t="str">
        <f aca="false">IF($B798="","",CONCATENATE("Örnek kalem: ",$B798))</f>
        <v/>
      </c>
    </row>
    <row r="799" customFormat="false" ht="15" hidden="false" customHeight="false" outlineLevel="0" collapsed="false">
      <c r="L799" s="23" t="n">
        <f aca="false">IF($E799="",0,$D799*$E799*(1-$G799-$H799-$I799))</f>
        <v>0</v>
      </c>
      <c r="M799" s="23" t="n">
        <f aca="false">IF($E799="",0,$D799*$E799-($F799*$E799+$G799*$D799*$E799+$H799*$D799*$E799+$I799*$D799*$E799+$J799*$D799*$E799*(1-$G799)+$K799*$E799))</f>
        <v>0</v>
      </c>
      <c r="N799" s="23" t="str">
        <f aca="false">IF($B799="","",CONCATENATE("Örnek kalem: ",$B799))</f>
        <v/>
      </c>
    </row>
    <row r="800" customFormat="false" ht="15" hidden="false" customHeight="false" outlineLevel="0" collapsed="false">
      <c r="L800" s="23" t="n">
        <f aca="false">IF($E800="",0,$D800*$E800*(1-$G800-$H800-$I800))</f>
        <v>0</v>
      </c>
      <c r="M800" s="23" t="n">
        <f aca="false">IF($E800="",0,$D800*$E800-($F800*$E800+$G800*$D800*$E800+$H800*$D800*$E800+$I800*$D800*$E800+$J800*$D800*$E800*(1-$G800)+$K800*$E800))</f>
        <v>0</v>
      </c>
      <c r="N800" s="23" t="str">
        <f aca="false">IF($B800="","",CONCATENATE("Örnek kalem: ",$B800))</f>
        <v/>
      </c>
    </row>
    <row r="801" customFormat="false" ht="15" hidden="false" customHeight="false" outlineLevel="0" collapsed="false">
      <c r="L801" s="23" t="n">
        <f aca="false">IF($E801="",0,$D801*$E801*(1-$G801-$H801-$I801))</f>
        <v>0</v>
      </c>
      <c r="M801" s="23" t="n">
        <f aca="false">IF($E801="",0,$D801*$E801-($F801*$E801+$G801*$D801*$E801+$H801*$D801*$E801+$I801*$D801*$E801+$J801*$D801*$E801*(1-$G801)+$K801*$E801))</f>
        <v>0</v>
      </c>
      <c r="N801" s="23" t="str">
        <f aca="false">IF($B801="","",CONCATENATE("Örnek kalem: ",$B801))</f>
        <v/>
      </c>
    </row>
    <row r="802" customFormat="false" ht="15" hidden="false" customHeight="false" outlineLevel="0" collapsed="false">
      <c r="L802" s="23" t="n">
        <f aca="false">IF($E802="",0,$D802*$E802*(1-$G802-$H802-$I802))</f>
        <v>0</v>
      </c>
      <c r="M802" s="23" t="n">
        <f aca="false">IF($E802="",0,$D802*$E802-($F802*$E802+$G802*$D802*$E802+$H802*$D802*$E802+$I802*$D802*$E802+$J802*$D802*$E802*(1-$G802)+$K802*$E802))</f>
        <v>0</v>
      </c>
      <c r="N802" s="23" t="str">
        <f aca="false">IF($B802="","",CONCATENATE("Örnek kalem: ",$B802))</f>
        <v/>
      </c>
    </row>
    <row r="803" customFormat="false" ht="15" hidden="false" customHeight="false" outlineLevel="0" collapsed="false">
      <c r="L803" s="23" t="n">
        <f aca="false">IF($E803="",0,$D803*$E803*(1-$G803-$H803-$I803))</f>
        <v>0</v>
      </c>
      <c r="M803" s="23" t="n">
        <f aca="false">IF($E803="",0,$D803*$E803-($F803*$E803+$G803*$D803*$E803+$H803*$D803*$E803+$I803*$D803*$E803+$J803*$D803*$E803*(1-$G803)+$K803*$E803))</f>
        <v>0</v>
      </c>
      <c r="N803" s="23" t="str">
        <f aca="false">IF($B803="","",CONCATENATE("Örnek kalem: ",$B803))</f>
        <v/>
      </c>
    </row>
    <row r="804" customFormat="false" ht="15" hidden="false" customHeight="false" outlineLevel="0" collapsed="false">
      <c r="L804" s="23" t="n">
        <f aca="false">IF($E804="",0,$D804*$E804*(1-$G804-$H804-$I804))</f>
        <v>0</v>
      </c>
      <c r="M804" s="23" t="n">
        <f aca="false">IF($E804="",0,$D804*$E804-($F804*$E804+$G804*$D804*$E804+$H804*$D804*$E804+$I804*$D804*$E804+$J804*$D804*$E804*(1-$G804)+$K804*$E804))</f>
        <v>0</v>
      </c>
      <c r="N804" s="23" t="str">
        <f aca="false">IF($B804="","",CONCATENATE("Örnek kalem: ",$B804))</f>
        <v/>
      </c>
    </row>
    <row r="805" customFormat="false" ht="15" hidden="false" customHeight="false" outlineLevel="0" collapsed="false">
      <c r="L805" s="23" t="n">
        <f aca="false">IF($E805="",0,$D805*$E805*(1-$G805-$H805-$I805))</f>
        <v>0</v>
      </c>
      <c r="M805" s="23" t="n">
        <f aca="false">IF($E805="",0,$D805*$E805-($F805*$E805+$G805*$D805*$E805+$H805*$D805*$E805+$I805*$D805*$E805+$J805*$D805*$E805*(1-$G805)+$K805*$E805))</f>
        <v>0</v>
      </c>
      <c r="N805" s="23" t="str">
        <f aca="false">IF($B805="","",CONCATENATE("Örnek kalem: ",$B805))</f>
        <v/>
      </c>
    </row>
    <row r="806" customFormat="false" ht="15" hidden="false" customHeight="false" outlineLevel="0" collapsed="false">
      <c r="L806" s="23" t="n">
        <f aca="false">IF($E806="",0,$D806*$E806*(1-$G806-$H806-$I806))</f>
        <v>0</v>
      </c>
      <c r="M806" s="23" t="n">
        <f aca="false">IF($E806="",0,$D806*$E806-($F806*$E806+$G806*$D806*$E806+$H806*$D806*$E806+$I806*$D806*$E806+$J806*$D806*$E806*(1-$G806)+$K806*$E806))</f>
        <v>0</v>
      </c>
      <c r="N806" s="23" t="str">
        <f aca="false">IF($B806="","",CONCATENATE("Örnek kalem: ",$B806))</f>
        <v/>
      </c>
    </row>
    <row r="807" customFormat="false" ht="15" hidden="false" customHeight="false" outlineLevel="0" collapsed="false">
      <c r="L807" s="23" t="n">
        <f aca="false">IF($E807="",0,$D807*$E807*(1-$G807-$H807-$I807))</f>
        <v>0</v>
      </c>
      <c r="M807" s="23" t="n">
        <f aca="false">IF($E807="",0,$D807*$E807-($F807*$E807+$G807*$D807*$E807+$H807*$D807*$E807+$I807*$D807*$E807+$J807*$D807*$E807*(1-$G807)+$K807*$E807))</f>
        <v>0</v>
      </c>
      <c r="N807" s="23" t="str">
        <f aca="false">IF($B807="","",CONCATENATE("Örnek kalem: ",$B807))</f>
        <v/>
      </c>
    </row>
    <row r="808" customFormat="false" ht="15" hidden="false" customHeight="false" outlineLevel="0" collapsed="false">
      <c r="L808" s="23" t="n">
        <f aca="false">IF($E808="",0,$D808*$E808*(1-$G808-$H808-$I808))</f>
        <v>0</v>
      </c>
      <c r="M808" s="23" t="n">
        <f aca="false">IF($E808="",0,$D808*$E808-($F808*$E808+$G808*$D808*$E808+$H808*$D808*$E808+$I808*$D808*$E808+$J808*$D808*$E808*(1-$G808)+$K808*$E808))</f>
        <v>0</v>
      </c>
      <c r="N808" s="23" t="str">
        <f aca="false">IF($B808="","",CONCATENATE("Örnek kalem: ",$B808))</f>
        <v/>
      </c>
    </row>
    <row r="809" customFormat="false" ht="15" hidden="false" customHeight="false" outlineLevel="0" collapsed="false">
      <c r="L809" s="23" t="n">
        <f aca="false">IF($E809="",0,$D809*$E809*(1-$G809-$H809-$I809))</f>
        <v>0</v>
      </c>
      <c r="M809" s="23" t="n">
        <f aca="false">IF($E809="",0,$D809*$E809-($F809*$E809+$G809*$D809*$E809+$H809*$D809*$E809+$I809*$D809*$E809+$J809*$D809*$E809*(1-$G809)+$K809*$E809))</f>
        <v>0</v>
      </c>
      <c r="N809" s="23" t="str">
        <f aca="false">IF($B809="","",CONCATENATE("Örnek kalem: ",$B809))</f>
        <v/>
      </c>
    </row>
    <row r="810" customFormat="false" ht="15" hidden="false" customHeight="false" outlineLevel="0" collapsed="false">
      <c r="L810" s="23" t="n">
        <f aca="false">IF($E810="",0,$D810*$E810*(1-$G810-$H810-$I810))</f>
        <v>0</v>
      </c>
      <c r="M810" s="23" t="n">
        <f aca="false">IF($E810="",0,$D810*$E810-($F810*$E810+$G810*$D810*$E810+$H810*$D810*$E810+$I810*$D810*$E810+$J810*$D810*$E810*(1-$G810)+$K810*$E810))</f>
        <v>0</v>
      </c>
      <c r="N810" s="23" t="str">
        <f aca="false">IF($B810="","",CONCATENATE("Örnek kalem: ",$B810))</f>
        <v/>
      </c>
    </row>
    <row r="811" customFormat="false" ht="15" hidden="false" customHeight="false" outlineLevel="0" collapsed="false">
      <c r="L811" s="23" t="n">
        <f aca="false">IF($E811="",0,$D811*$E811*(1-$G811-$H811-$I811))</f>
        <v>0</v>
      </c>
      <c r="M811" s="23" t="n">
        <f aca="false">IF($E811="",0,$D811*$E811-($F811*$E811+$G811*$D811*$E811+$H811*$D811*$E811+$I811*$D811*$E811+$J811*$D811*$E811*(1-$G811)+$K811*$E811))</f>
        <v>0</v>
      </c>
      <c r="N811" s="23" t="str">
        <f aca="false">IF($B811="","",CONCATENATE("Örnek kalem: ",$B811))</f>
        <v/>
      </c>
    </row>
    <row r="812" customFormat="false" ht="15" hidden="false" customHeight="false" outlineLevel="0" collapsed="false">
      <c r="L812" s="23" t="n">
        <f aca="false">IF($E812="",0,$D812*$E812*(1-$G812-$H812-$I812))</f>
        <v>0</v>
      </c>
      <c r="M812" s="23" t="n">
        <f aca="false">IF($E812="",0,$D812*$E812-($F812*$E812+$G812*$D812*$E812+$H812*$D812*$E812+$I812*$D812*$E812+$J812*$D812*$E812*(1-$G812)+$K812*$E812))</f>
        <v>0</v>
      </c>
      <c r="N812" s="23" t="str">
        <f aca="false">IF($B812="","",CONCATENATE("Örnek kalem: ",$B812))</f>
        <v/>
      </c>
    </row>
    <row r="813" customFormat="false" ht="15" hidden="false" customHeight="false" outlineLevel="0" collapsed="false">
      <c r="L813" s="23" t="n">
        <f aca="false">IF($E813="",0,$D813*$E813*(1-$G813-$H813-$I813))</f>
        <v>0</v>
      </c>
      <c r="M813" s="23" t="n">
        <f aca="false">IF($E813="",0,$D813*$E813-($F813*$E813+$G813*$D813*$E813+$H813*$D813*$E813+$I813*$D813*$E813+$J813*$D813*$E813*(1-$G813)+$K813*$E813))</f>
        <v>0</v>
      </c>
      <c r="N813" s="23" t="str">
        <f aca="false">IF($B813="","",CONCATENATE("Örnek kalem: ",$B813))</f>
        <v/>
      </c>
    </row>
    <row r="814" customFormat="false" ht="15" hidden="false" customHeight="false" outlineLevel="0" collapsed="false">
      <c r="L814" s="23" t="n">
        <f aca="false">IF($E814="",0,$D814*$E814*(1-$G814-$H814-$I814))</f>
        <v>0</v>
      </c>
      <c r="M814" s="23" t="n">
        <f aca="false">IF($E814="",0,$D814*$E814-($F814*$E814+$G814*$D814*$E814+$H814*$D814*$E814+$I814*$D814*$E814+$J814*$D814*$E814*(1-$G814)+$K814*$E814))</f>
        <v>0</v>
      </c>
      <c r="N814" s="23" t="str">
        <f aca="false">IF($B814="","",CONCATENATE("Örnek kalem: ",$B814))</f>
        <v/>
      </c>
    </row>
    <row r="815" customFormat="false" ht="15" hidden="false" customHeight="false" outlineLevel="0" collapsed="false">
      <c r="L815" s="23" t="n">
        <f aca="false">IF($E815="",0,$D815*$E815*(1-$G815-$H815-$I815))</f>
        <v>0</v>
      </c>
      <c r="M815" s="23" t="n">
        <f aca="false">IF($E815="",0,$D815*$E815-($F815*$E815+$G815*$D815*$E815+$H815*$D815*$E815+$I815*$D815*$E815+$J815*$D815*$E815*(1-$G815)+$K815*$E815))</f>
        <v>0</v>
      </c>
      <c r="N815" s="23" t="str">
        <f aca="false">IF($B815="","",CONCATENATE("Örnek kalem: ",$B815))</f>
        <v/>
      </c>
    </row>
    <row r="816" customFormat="false" ht="15" hidden="false" customHeight="false" outlineLevel="0" collapsed="false">
      <c r="L816" s="23" t="n">
        <f aca="false">IF($E816="",0,$D816*$E816*(1-$G816-$H816-$I816))</f>
        <v>0</v>
      </c>
      <c r="M816" s="23" t="n">
        <f aca="false">IF($E816="",0,$D816*$E816-($F816*$E816+$G816*$D816*$E816+$H816*$D816*$E816+$I816*$D816*$E816+$J816*$D816*$E816*(1-$G816)+$K816*$E816))</f>
        <v>0</v>
      </c>
      <c r="N816" s="23" t="str">
        <f aca="false">IF($B816="","",CONCATENATE("Örnek kalem: ",$B816))</f>
        <v/>
      </c>
    </row>
    <row r="817" customFormat="false" ht="15" hidden="false" customHeight="false" outlineLevel="0" collapsed="false">
      <c r="L817" s="23" t="n">
        <f aca="false">IF($E817="",0,$D817*$E817*(1-$G817-$H817-$I817))</f>
        <v>0</v>
      </c>
      <c r="M817" s="23" t="n">
        <f aca="false">IF($E817="",0,$D817*$E817-($F817*$E817+$G817*$D817*$E817+$H817*$D817*$E817+$I817*$D817*$E817+$J817*$D817*$E817*(1-$G817)+$K817*$E817))</f>
        <v>0</v>
      </c>
      <c r="N817" s="23" t="str">
        <f aca="false">IF($B817="","",CONCATENATE("Örnek kalem: ",$B817))</f>
        <v/>
      </c>
    </row>
    <row r="818" customFormat="false" ht="15" hidden="false" customHeight="false" outlineLevel="0" collapsed="false">
      <c r="L818" s="23" t="n">
        <f aca="false">IF($E818="",0,$D818*$E818*(1-$G818-$H818-$I818))</f>
        <v>0</v>
      </c>
      <c r="M818" s="23" t="n">
        <f aca="false">IF($E818="",0,$D818*$E818-($F818*$E818+$G818*$D818*$E818+$H818*$D818*$E818+$I818*$D818*$E818+$J818*$D818*$E818*(1-$G818)+$K818*$E818))</f>
        <v>0</v>
      </c>
      <c r="N818" s="23" t="str">
        <f aca="false">IF($B818="","",CONCATENATE("Örnek kalem: ",$B818))</f>
        <v/>
      </c>
    </row>
    <row r="819" customFormat="false" ht="15" hidden="false" customHeight="false" outlineLevel="0" collapsed="false">
      <c r="L819" s="23" t="n">
        <f aca="false">IF($E819="",0,$D819*$E819*(1-$G819-$H819-$I819))</f>
        <v>0</v>
      </c>
      <c r="M819" s="23" t="n">
        <f aca="false">IF($E819="",0,$D819*$E819-($F819*$E819+$G819*$D819*$E819+$H819*$D819*$E819+$I819*$D819*$E819+$J819*$D819*$E819*(1-$G819)+$K819*$E819))</f>
        <v>0</v>
      </c>
      <c r="N819" s="23" t="str">
        <f aca="false">IF($B819="","",CONCATENATE("Örnek kalem: ",$B819))</f>
        <v/>
      </c>
    </row>
    <row r="820" customFormat="false" ht="15" hidden="false" customHeight="false" outlineLevel="0" collapsed="false">
      <c r="L820" s="23" t="n">
        <f aca="false">IF($E820="",0,$D820*$E820*(1-$G820-$H820-$I820))</f>
        <v>0</v>
      </c>
      <c r="M820" s="23" t="n">
        <f aca="false">IF($E820="",0,$D820*$E820-($F820*$E820+$G820*$D820*$E820+$H820*$D820*$E820+$I820*$D820*$E820+$J820*$D820*$E820*(1-$G820)+$K820*$E820))</f>
        <v>0</v>
      </c>
      <c r="N820" s="23" t="str">
        <f aca="false">IF($B820="","",CONCATENATE("Örnek kalem: ",$B820))</f>
        <v/>
      </c>
    </row>
    <row r="821" customFormat="false" ht="15" hidden="false" customHeight="false" outlineLevel="0" collapsed="false">
      <c r="L821" s="23" t="n">
        <f aca="false">IF($E821="",0,$D821*$E821*(1-$G821-$H821-$I821))</f>
        <v>0</v>
      </c>
      <c r="M821" s="23" t="n">
        <f aca="false">IF($E821="",0,$D821*$E821-($F821*$E821+$G821*$D821*$E821+$H821*$D821*$E821+$I821*$D821*$E821+$J821*$D821*$E821*(1-$G821)+$K821*$E821))</f>
        <v>0</v>
      </c>
      <c r="N821" s="23" t="str">
        <f aca="false">IF($B821="","",CONCATENATE("Örnek kalem: ",$B821))</f>
        <v/>
      </c>
    </row>
    <row r="822" customFormat="false" ht="15" hidden="false" customHeight="false" outlineLevel="0" collapsed="false">
      <c r="L822" s="23" t="n">
        <f aca="false">IF($E822="",0,$D822*$E822*(1-$G822-$H822-$I822))</f>
        <v>0</v>
      </c>
      <c r="M822" s="23" t="n">
        <f aca="false">IF($E822="",0,$D822*$E822-($F822*$E822+$G822*$D822*$E822+$H822*$D822*$E822+$I822*$D822*$E822+$J822*$D822*$E822*(1-$G822)+$K822*$E822))</f>
        <v>0</v>
      </c>
      <c r="N822" s="23" t="str">
        <f aca="false">IF($B822="","",CONCATENATE("Örnek kalem: ",$B822))</f>
        <v/>
      </c>
    </row>
    <row r="823" customFormat="false" ht="15" hidden="false" customHeight="false" outlineLevel="0" collapsed="false">
      <c r="L823" s="23" t="n">
        <f aca="false">IF($E823="",0,$D823*$E823*(1-$G823-$H823-$I823))</f>
        <v>0</v>
      </c>
      <c r="M823" s="23" t="n">
        <f aca="false">IF($E823="",0,$D823*$E823-($F823*$E823+$G823*$D823*$E823+$H823*$D823*$E823+$I823*$D823*$E823+$J823*$D823*$E823*(1-$G823)+$K823*$E823))</f>
        <v>0</v>
      </c>
      <c r="N823" s="23" t="str">
        <f aca="false">IF($B823="","",CONCATENATE("Örnek kalem: ",$B823))</f>
        <v/>
      </c>
    </row>
    <row r="824" customFormat="false" ht="15" hidden="false" customHeight="false" outlineLevel="0" collapsed="false">
      <c r="L824" s="23" t="n">
        <f aca="false">IF($E824="",0,$D824*$E824*(1-$G824-$H824-$I824))</f>
        <v>0</v>
      </c>
      <c r="M824" s="23" t="n">
        <f aca="false">IF($E824="",0,$D824*$E824-($F824*$E824+$G824*$D824*$E824+$H824*$D824*$E824+$I824*$D824*$E824+$J824*$D824*$E824*(1-$G824)+$K824*$E824))</f>
        <v>0</v>
      </c>
      <c r="N824" s="23" t="str">
        <f aca="false">IF($B824="","",CONCATENATE("Örnek kalem: ",$B824))</f>
        <v/>
      </c>
    </row>
    <row r="825" customFormat="false" ht="15" hidden="false" customHeight="false" outlineLevel="0" collapsed="false">
      <c r="L825" s="23" t="n">
        <f aca="false">IF($E825="",0,$D825*$E825*(1-$G825-$H825-$I825))</f>
        <v>0</v>
      </c>
      <c r="M825" s="23" t="n">
        <f aca="false">IF($E825="",0,$D825*$E825-($F825*$E825+$G825*$D825*$E825+$H825*$D825*$E825+$I825*$D825*$E825+$J825*$D825*$E825*(1-$G825)+$K825*$E825))</f>
        <v>0</v>
      </c>
      <c r="N825" s="23" t="str">
        <f aca="false">IF($B825="","",CONCATENATE("Örnek kalem: ",$B825))</f>
        <v/>
      </c>
    </row>
    <row r="826" customFormat="false" ht="15" hidden="false" customHeight="false" outlineLevel="0" collapsed="false">
      <c r="L826" s="23" t="n">
        <f aca="false">IF($E826="",0,$D826*$E826*(1-$G826-$H826-$I826))</f>
        <v>0</v>
      </c>
      <c r="M826" s="23" t="n">
        <f aca="false">IF($E826="",0,$D826*$E826-($F826*$E826+$G826*$D826*$E826+$H826*$D826*$E826+$I826*$D826*$E826+$J826*$D826*$E826*(1-$G826)+$K826*$E826))</f>
        <v>0</v>
      </c>
      <c r="N826" s="23" t="str">
        <f aca="false">IF($B826="","",CONCATENATE("Örnek kalem: ",$B826))</f>
        <v/>
      </c>
    </row>
    <row r="827" customFormat="false" ht="15" hidden="false" customHeight="false" outlineLevel="0" collapsed="false">
      <c r="L827" s="23" t="n">
        <f aca="false">IF($E827="",0,$D827*$E827*(1-$G827-$H827-$I827))</f>
        <v>0</v>
      </c>
      <c r="M827" s="23" t="n">
        <f aca="false">IF($E827="",0,$D827*$E827-($F827*$E827+$G827*$D827*$E827+$H827*$D827*$E827+$I827*$D827*$E827+$J827*$D827*$E827*(1-$G827)+$K827*$E827))</f>
        <v>0</v>
      </c>
      <c r="N827" s="23" t="str">
        <f aca="false">IF($B827="","",CONCATENATE("Örnek kalem: ",$B827))</f>
        <v/>
      </c>
    </row>
    <row r="828" customFormat="false" ht="15" hidden="false" customHeight="false" outlineLevel="0" collapsed="false">
      <c r="L828" s="23" t="n">
        <f aca="false">IF($E828="",0,$D828*$E828*(1-$G828-$H828-$I828))</f>
        <v>0</v>
      </c>
      <c r="M828" s="23" t="n">
        <f aca="false">IF($E828="",0,$D828*$E828-($F828*$E828+$G828*$D828*$E828+$H828*$D828*$E828+$I828*$D828*$E828+$J828*$D828*$E828*(1-$G828)+$K828*$E828))</f>
        <v>0</v>
      </c>
      <c r="N828" s="23" t="str">
        <f aca="false">IF($B828="","",CONCATENATE("Örnek kalem: ",$B828))</f>
        <v/>
      </c>
    </row>
    <row r="829" customFormat="false" ht="15" hidden="false" customHeight="false" outlineLevel="0" collapsed="false">
      <c r="L829" s="23" t="n">
        <f aca="false">IF($E829="",0,$D829*$E829*(1-$G829-$H829-$I829))</f>
        <v>0</v>
      </c>
      <c r="M829" s="23" t="n">
        <f aca="false">IF($E829="",0,$D829*$E829-($F829*$E829+$G829*$D829*$E829+$H829*$D829*$E829+$I829*$D829*$E829+$J829*$D829*$E829*(1-$G829)+$K829*$E829))</f>
        <v>0</v>
      </c>
      <c r="N829" s="23" t="str">
        <f aca="false">IF($B829="","",CONCATENATE("Örnek kalem: ",$B829))</f>
        <v/>
      </c>
    </row>
    <row r="830" customFormat="false" ht="15" hidden="false" customHeight="false" outlineLevel="0" collapsed="false">
      <c r="L830" s="23" t="n">
        <f aca="false">IF($E830="",0,$D830*$E830*(1-$G830-$H830-$I830))</f>
        <v>0</v>
      </c>
      <c r="M830" s="23" t="n">
        <f aca="false">IF($E830="",0,$D830*$E830-($F830*$E830+$G830*$D830*$E830+$H830*$D830*$E830+$I830*$D830*$E830+$J830*$D830*$E830*(1-$G830)+$K830*$E830))</f>
        <v>0</v>
      </c>
      <c r="N830" s="23" t="str">
        <f aca="false">IF($B830="","",CONCATENATE("Örnek kalem: ",$B830))</f>
        <v/>
      </c>
    </row>
    <row r="831" customFormat="false" ht="15" hidden="false" customHeight="false" outlineLevel="0" collapsed="false">
      <c r="L831" s="23" t="n">
        <f aca="false">IF($E831="",0,$D831*$E831*(1-$G831-$H831-$I831))</f>
        <v>0</v>
      </c>
      <c r="M831" s="23" t="n">
        <f aca="false">IF($E831="",0,$D831*$E831-($F831*$E831+$G831*$D831*$E831+$H831*$D831*$E831+$I831*$D831*$E831+$J831*$D831*$E831*(1-$G831)+$K831*$E831))</f>
        <v>0</v>
      </c>
      <c r="N831" s="23" t="str">
        <f aca="false">IF($B831="","",CONCATENATE("Örnek kalem: ",$B831))</f>
        <v/>
      </c>
    </row>
    <row r="832" customFormat="false" ht="15" hidden="false" customHeight="false" outlineLevel="0" collapsed="false">
      <c r="L832" s="23" t="n">
        <f aca="false">IF($E832="",0,$D832*$E832*(1-$G832-$H832-$I832))</f>
        <v>0</v>
      </c>
      <c r="M832" s="23" t="n">
        <f aca="false">IF($E832="",0,$D832*$E832-($F832*$E832+$G832*$D832*$E832+$H832*$D832*$E832+$I832*$D832*$E832+$J832*$D832*$E832*(1-$G832)+$K832*$E832))</f>
        <v>0</v>
      </c>
      <c r="N832" s="23" t="str">
        <f aca="false">IF($B832="","",CONCATENATE("Örnek kalem: ",$B832))</f>
        <v/>
      </c>
    </row>
    <row r="833" customFormat="false" ht="15" hidden="false" customHeight="false" outlineLevel="0" collapsed="false">
      <c r="L833" s="23" t="n">
        <f aca="false">IF($E833="",0,$D833*$E833*(1-$G833-$H833-$I833))</f>
        <v>0</v>
      </c>
      <c r="M833" s="23" t="n">
        <f aca="false">IF($E833="",0,$D833*$E833-($F833*$E833+$G833*$D833*$E833+$H833*$D833*$E833+$I833*$D833*$E833+$J833*$D833*$E833*(1-$G833)+$K833*$E833))</f>
        <v>0</v>
      </c>
      <c r="N833" s="23" t="str">
        <f aca="false">IF($B833="","",CONCATENATE("Örnek kalem: ",$B833))</f>
        <v/>
      </c>
    </row>
    <row r="834" customFormat="false" ht="15" hidden="false" customHeight="false" outlineLevel="0" collapsed="false">
      <c r="L834" s="23" t="n">
        <f aca="false">IF($E834="",0,$D834*$E834*(1-$G834-$H834-$I834))</f>
        <v>0</v>
      </c>
      <c r="M834" s="23" t="n">
        <f aca="false">IF($E834="",0,$D834*$E834-($F834*$E834+$G834*$D834*$E834+$H834*$D834*$E834+$I834*$D834*$E834+$J834*$D834*$E834*(1-$G834)+$K834*$E834))</f>
        <v>0</v>
      </c>
      <c r="N834" s="23" t="str">
        <f aca="false">IF($B834="","",CONCATENATE("Örnek kalem: ",$B834))</f>
        <v/>
      </c>
    </row>
    <row r="835" customFormat="false" ht="15" hidden="false" customHeight="false" outlineLevel="0" collapsed="false">
      <c r="L835" s="23" t="n">
        <f aca="false">IF($E835="",0,$D835*$E835*(1-$G835-$H835-$I835))</f>
        <v>0</v>
      </c>
      <c r="M835" s="23" t="n">
        <f aca="false">IF($E835="",0,$D835*$E835-($F835*$E835+$G835*$D835*$E835+$H835*$D835*$E835+$I835*$D835*$E835+$J835*$D835*$E835*(1-$G835)+$K835*$E835))</f>
        <v>0</v>
      </c>
      <c r="N835" s="23" t="str">
        <f aca="false">IF($B835="","",CONCATENATE("Örnek kalem: ",$B835))</f>
        <v/>
      </c>
    </row>
    <row r="836" customFormat="false" ht="15" hidden="false" customHeight="false" outlineLevel="0" collapsed="false">
      <c r="L836" s="23" t="n">
        <f aca="false">IF($E836="",0,$D836*$E836*(1-$G836-$H836-$I836))</f>
        <v>0</v>
      </c>
      <c r="M836" s="23" t="n">
        <f aca="false">IF($E836="",0,$D836*$E836-($F836*$E836+$G836*$D836*$E836+$H836*$D836*$E836+$I836*$D836*$E836+$J836*$D836*$E836*(1-$G836)+$K836*$E836))</f>
        <v>0</v>
      </c>
      <c r="N836" s="23" t="str">
        <f aca="false">IF($B836="","",CONCATENATE("Örnek kalem: ",$B836))</f>
        <v/>
      </c>
    </row>
    <row r="837" customFormat="false" ht="15" hidden="false" customHeight="false" outlineLevel="0" collapsed="false">
      <c r="L837" s="23" t="n">
        <f aca="false">IF($E837="",0,$D837*$E837*(1-$G837-$H837-$I837))</f>
        <v>0</v>
      </c>
      <c r="M837" s="23" t="n">
        <f aca="false">IF($E837="",0,$D837*$E837-($F837*$E837+$G837*$D837*$E837+$H837*$D837*$E837+$I837*$D837*$E837+$J837*$D837*$E837*(1-$G837)+$K837*$E837))</f>
        <v>0</v>
      </c>
      <c r="N837" s="23" t="str">
        <f aca="false">IF($B837="","",CONCATENATE("Örnek kalem: ",$B837))</f>
        <v/>
      </c>
    </row>
    <row r="838" customFormat="false" ht="15" hidden="false" customHeight="false" outlineLevel="0" collapsed="false">
      <c r="L838" s="23" t="n">
        <f aca="false">IF($E838="",0,$D838*$E838*(1-$G838-$H838-$I838))</f>
        <v>0</v>
      </c>
      <c r="M838" s="23" t="n">
        <f aca="false">IF($E838="",0,$D838*$E838-($F838*$E838+$G838*$D838*$E838+$H838*$D838*$E838+$I838*$D838*$E838+$J838*$D838*$E838*(1-$G838)+$K838*$E838))</f>
        <v>0</v>
      </c>
      <c r="N838" s="23" t="str">
        <f aca="false">IF($B838="","",CONCATENATE("Örnek kalem: ",$B838))</f>
        <v/>
      </c>
    </row>
    <row r="839" customFormat="false" ht="15" hidden="false" customHeight="false" outlineLevel="0" collapsed="false">
      <c r="L839" s="23" t="n">
        <f aca="false">IF($E839="",0,$D839*$E839*(1-$G839-$H839-$I839))</f>
        <v>0</v>
      </c>
      <c r="M839" s="23" t="n">
        <f aca="false">IF($E839="",0,$D839*$E839-($F839*$E839+$G839*$D839*$E839+$H839*$D839*$E839+$I839*$D839*$E839+$J839*$D839*$E839*(1-$G839)+$K839*$E839))</f>
        <v>0</v>
      </c>
      <c r="N839" s="23" t="str">
        <f aca="false">IF($B839="","",CONCATENATE("Örnek kalem: ",$B839))</f>
        <v/>
      </c>
    </row>
    <row r="840" customFormat="false" ht="15" hidden="false" customHeight="false" outlineLevel="0" collapsed="false">
      <c r="L840" s="23" t="n">
        <f aca="false">IF($E840="",0,$D840*$E840*(1-$G840-$H840-$I840))</f>
        <v>0</v>
      </c>
      <c r="M840" s="23" t="n">
        <f aca="false">IF($E840="",0,$D840*$E840-($F840*$E840+$G840*$D840*$E840+$H840*$D840*$E840+$I840*$D840*$E840+$J840*$D840*$E840*(1-$G840)+$K840*$E840))</f>
        <v>0</v>
      </c>
      <c r="N840" s="23" t="str">
        <f aca="false">IF($B840="","",CONCATENATE("Örnek kalem: ",$B840))</f>
        <v/>
      </c>
    </row>
    <row r="841" customFormat="false" ht="15" hidden="false" customHeight="false" outlineLevel="0" collapsed="false">
      <c r="L841" s="23" t="n">
        <f aca="false">IF($E841="",0,$D841*$E841*(1-$G841-$H841-$I841))</f>
        <v>0</v>
      </c>
      <c r="M841" s="23" t="n">
        <f aca="false">IF($E841="",0,$D841*$E841-($F841*$E841+$G841*$D841*$E841+$H841*$D841*$E841+$I841*$D841*$E841+$J841*$D841*$E841*(1-$G841)+$K841*$E841))</f>
        <v>0</v>
      </c>
      <c r="N841" s="23" t="str">
        <f aca="false">IF($B841="","",CONCATENATE("Örnek kalem: ",$B841))</f>
        <v/>
      </c>
    </row>
    <row r="842" customFormat="false" ht="15" hidden="false" customHeight="false" outlineLevel="0" collapsed="false">
      <c r="L842" s="23" t="n">
        <f aca="false">IF($E842="",0,$D842*$E842*(1-$G842-$H842-$I842))</f>
        <v>0</v>
      </c>
      <c r="M842" s="23" t="n">
        <f aca="false">IF($E842="",0,$D842*$E842-($F842*$E842+$G842*$D842*$E842+$H842*$D842*$E842+$I842*$D842*$E842+$J842*$D842*$E842*(1-$G842)+$K842*$E842))</f>
        <v>0</v>
      </c>
      <c r="N842" s="23" t="str">
        <f aca="false">IF($B842="","",CONCATENATE("Örnek kalem: ",$B842))</f>
        <v/>
      </c>
    </row>
    <row r="843" customFormat="false" ht="15" hidden="false" customHeight="false" outlineLevel="0" collapsed="false">
      <c r="L843" s="23" t="n">
        <f aca="false">IF($E843="",0,$D843*$E843*(1-$G843-$H843-$I843))</f>
        <v>0</v>
      </c>
      <c r="M843" s="23" t="n">
        <f aca="false">IF($E843="",0,$D843*$E843-($F843*$E843+$G843*$D843*$E843+$H843*$D843*$E843+$I843*$D843*$E843+$J843*$D843*$E843*(1-$G843)+$K843*$E843))</f>
        <v>0</v>
      </c>
      <c r="N843" s="23" t="str">
        <f aca="false">IF($B843="","",CONCATENATE("Örnek kalem: ",$B843))</f>
        <v/>
      </c>
    </row>
    <row r="844" customFormat="false" ht="15" hidden="false" customHeight="false" outlineLevel="0" collapsed="false">
      <c r="L844" s="23" t="n">
        <f aca="false">IF($E844="",0,$D844*$E844*(1-$G844-$H844-$I844))</f>
        <v>0</v>
      </c>
      <c r="M844" s="23" t="n">
        <f aca="false">IF($E844="",0,$D844*$E844-($F844*$E844+$G844*$D844*$E844+$H844*$D844*$E844+$I844*$D844*$E844+$J844*$D844*$E844*(1-$G844)+$K844*$E844))</f>
        <v>0</v>
      </c>
      <c r="N844" s="23" t="str">
        <f aca="false">IF($B844="","",CONCATENATE("Örnek kalem: ",$B844))</f>
        <v/>
      </c>
    </row>
    <row r="845" customFormat="false" ht="15" hidden="false" customHeight="false" outlineLevel="0" collapsed="false">
      <c r="L845" s="23" t="n">
        <f aca="false">IF($E845="",0,$D845*$E845*(1-$G845-$H845-$I845))</f>
        <v>0</v>
      </c>
      <c r="M845" s="23" t="n">
        <f aca="false">IF($E845="",0,$D845*$E845-($F845*$E845+$G845*$D845*$E845+$H845*$D845*$E845+$I845*$D845*$E845+$J845*$D845*$E845*(1-$G845)+$K845*$E845))</f>
        <v>0</v>
      </c>
      <c r="N845" s="23" t="str">
        <f aca="false">IF($B845="","",CONCATENATE("Örnek kalem: ",$B845))</f>
        <v/>
      </c>
    </row>
    <row r="846" customFormat="false" ht="15" hidden="false" customHeight="false" outlineLevel="0" collapsed="false">
      <c r="L846" s="23" t="n">
        <f aca="false">IF($E846="",0,$D846*$E846*(1-$G846-$H846-$I846))</f>
        <v>0</v>
      </c>
      <c r="M846" s="23" t="n">
        <f aca="false">IF($E846="",0,$D846*$E846-($F846*$E846+$G846*$D846*$E846+$H846*$D846*$E846+$I846*$D846*$E846+$J846*$D846*$E846*(1-$G846)+$K846*$E846))</f>
        <v>0</v>
      </c>
      <c r="N846" s="23" t="str">
        <f aca="false">IF($B846="","",CONCATENATE("Örnek kalem: ",$B846))</f>
        <v/>
      </c>
    </row>
    <row r="847" customFormat="false" ht="15" hidden="false" customHeight="false" outlineLevel="0" collapsed="false">
      <c r="L847" s="23" t="n">
        <f aca="false">IF($E847="",0,$D847*$E847*(1-$G847-$H847-$I847))</f>
        <v>0</v>
      </c>
      <c r="M847" s="23" t="n">
        <f aca="false">IF($E847="",0,$D847*$E847-($F847*$E847+$G847*$D847*$E847+$H847*$D847*$E847+$I847*$D847*$E847+$J847*$D847*$E847*(1-$G847)+$K847*$E847))</f>
        <v>0</v>
      </c>
      <c r="N847" s="23" t="str">
        <f aca="false">IF($B847="","",CONCATENATE("Örnek kalem: ",$B847))</f>
        <v/>
      </c>
    </row>
    <row r="848" customFormat="false" ht="15" hidden="false" customHeight="false" outlineLevel="0" collapsed="false">
      <c r="L848" s="23" t="n">
        <f aca="false">IF($E848="",0,$D848*$E848*(1-$G848-$H848-$I848))</f>
        <v>0</v>
      </c>
      <c r="M848" s="23" t="n">
        <f aca="false">IF($E848="",0,$D848*$E848-($F848*$E848+$G848*$D848*$E848+$H848*$D848*$E848+$I848*$D848*$E848+$J848*$D848*$E848*(1-$G848)+$K848*$E848))</f>
        <v>0</v>
      </c>
      <c r="N848" s="23" t="str">
        <f aca="false">IF($B848="","",CONCATENATE("Örnek kalem: ",$B848))</f>
        <v/>
      </c>
    </row>
    <row r="849" customFormat="false" ht="15" hidden="false" customHeight="false" outlineLevel="0" collapsed="false">
      <c r="L849" s="23" t="n">
        <f aca="false">IF($E849="",0,$D849*$E849*(1-$G849-$H849-$I849))</f>
        <v>0</v>
      </c>
      <c r="M849" s="23" t="n">
        <f aca="false">IF($E849="",0,$D849*$E849-($F849*$E849+$G849*$D849*$E849+$H849*$D849*$E849+$I849*$D849*$E849+$J849*$D849*$E849*(1-$G849)+$K849*$E849))</f>
        <v>0</v>
      </c>
      <c r="N849" s="23" t="str">
        <f aca="false">IF($B849="","",CONCATENATE("Örnek kalem: ",$B849))</f>
        <v/>
      </c>
    </row>
    <row r="850" customFormat="false" ht="15" hidden="false" customHeight="false" outlineLevel="0" collapsed="false">
      <c r="L850" s="23" t="n">
        <f aca="false">IF($E850="",0,$D850*$E850*(1-$G850-$H850-$I850))</f>
        <v>0</v>
      </c>
      <c r="M850" s="23" t="n">
        <f aca="false">IF($E850="",0,$D850*$E850-($F850*$E850+$G850*$D850*$E850+$H850*$D850*$E850+$I850*$D850*$E850+$J850*$D850*$E850*(1-$G850)+$K850*$E850))</f>
        <v>0</v>
      </c>
      <c r="N850" s="23" t="str">
        <f aca="false">IF($B850="","",CONCATENATE("Örnek kalem: ",$B850))</f>
        <v/>
      </c>
    </row>
    <row r="851" customFormat="false" ht="15" hidden="false" customHeight="false" outlineLevel="0" collapsed="false">
      <c r="L851" s="23" t="n">
        <f aca="false">IF($E851="",0,$D851*$E851*(1-$G851-$H851-$I851))</f>
        <v>0</v>
      </c>
      <c r="M851" s="23" t="n">
        <f aca="false">IF($E851="",0,$D851*$E851-($F851*$E851+$G851*$D851*$E851+$H851*$D851*$E851+$I851*$D851*$E851+$J851*$D851*$E851*(1-$G851)+$K851*$E851))</f>
        <v>0</v>
      </c>
      <c r="N851" s="23" t="str">
        <f aca="false">IF($B851="","",CONCATENATE("Örnek kalem: ",$B851))</f>
        <v/>
      </c>
    </row>
    <row r="852" customFormat="false" ht="15" hidden="false" customHeight="false" outlineLevel="0" collapsed="false">
      <c r="L852" s="23" t="n">
        <f aca="false">IF($E852="",0,$D852*$E852*(1-$G852-$H852-$I852))</f>
        <v>0</v>
      </c>
      <c r="M852" s="23" t="n">
        <f aca="false">IF($E852="",0,$D852*$E852-($F852*$E852+$G852*$D852*$E852+$H852*$D852*$E852+$I852*$D852*$E852+$J852*$D852*$E852*(1-$G852)+$K852*$E852))</f>
        <v>0</v>
      </c>
      <c r="N852" s="23" t="str">
        <f aca="false">IF($B852="","",CONCATENATE("Örnek kalem: ",$B852))</f>
        <v/>
      </c>
    </row>
    <row r="853" customFormat="false" ht="15" hidden="false" customHeight="false" outlineLevel="0" collapsed="false">
      <c r="L853" s="23" t="n">
        <f aca="false">IF($E853="",0,$D853*$E853*(1-$G853-$H853-$I853))</f>
        <v>0</v>
      </c>
      <c r="M853" s="23" t="n">
        <f aca="false">IF($E853="",0,$D853*$E853-($F853*$E853+$G853*$D853*$E853+$H853*$D853*$E853+$I853*$D853*$E853+$J853*$D853*$E853*(1-$G853)+$K853*$E853))</f>
        <v>0</v>
      </c>
      <c r="N853" s="23" t="str">
        <f aca="false">IF($B853="","",CONCATENATE("Örnek kalem: ",$B853))</f>
        <v/>
      </c>
    </row>
    <row r="854" customFormat="false" ht="15" hidden="false" customHeight="false" outlineLevel="0" collapsed="false">
      <c r="L854" s="23" t="n">
        <f aca="false">IF($E854="",0,$D854*$E854*(1-$G854-$H854-$I854))</f>
        <v>0</v>
      </c>
      <c r="M854" s="23" t="n">
        <f aca="false">IF($E854="",0,$D854*$E854-($F854*$E854+$G854*$D854*$E854+$H854*$D854*$E854+$I854*$D854*$E854+$J854*$D854*$E854*(1-$G854)+$K854*$E854))</f>
        <v>0</v>
      </c>
      <c r="N854" s="23" t="str">
        <f aca="false">IF($B854="","",CONCATENATE("Örnek kalem: ",$B854))</f>
        <v/>
      </c>
    </row>
    <row r="855" customFormat="false" ht="15" hidden="false" customHeight="false" outlineLevel="0" collapsed="false">
      <c r="L855" s="23" t="n">
        <f aca="false">IF($E855="",0,$D855*$E855*(1-$G855-$H855-$I855))</f>
        <v>0</v>
      </c>
      <c r="M855" s="23" t="n">
        <f aca="false">IF($E855="",0,$D855*$E855-($F855*$E855+$G855*$D855*$E855+$H855*$D855*$E855+$I855*$D855*$E855+$J855*$D855*$E855*(1-$G855)+$K855*$E855))</f>
        <v>0</v>
      </c>
      <c r="N855" s="23" t="str">
        <f aca="false">IF($B855="","",CONCATENATE("Örnek kalem: ",$B855))</f>
        <v/>
      </c>
    </row>
    <row r="856" customFormat="false" ht="15" hidden="false" customHeight="false" outlineLevel="0" collapsed="false">
      <c r="L856" s="23" t="n">
        <f aca="false">IF($E856="",0,$D856*$E856*(1-$G856-$H856-$I856))</f>
        <v>0</v>
      </c>
      <c r="M856" s="23" t="n">
        <f aca="false">IF($E856="",0,$D856*$E856-($F856*$E856+$G856*$D856*$E856+$H856*$D856*$E856+$I856*$D856*$E856+$J856*$D856*$E856*(1-$G856)+$K856*$E856))</f>
        <v>0</v>
      </c>
      <c r="N856" s="23" t="str">
        <f aca="false">IF($B856="","",CONCATENATE("Örnek kalem: ",$B856))</f>
        <v/>
      </c>
    </row>
    <row r="857" customFormat="false" ht="15" hidden="false" customHeight="false" outlineLevel="0" collapsed="false">
      <c r="L857" s="23" t="n">
        <f aca="false">IF($E857="",0,$D857*$E857*(1-$G857-$H857-$I857))</f>
        <v>0</v>
      </c>
      <c r="M857" s="23" t="n">
        <f aca="false">IF($E857="",0,$D857*$E857-($F857*$E857+$G857*$D857*$E857+$H857*$D857*$E857+$I857*$D857*$E857+$J857*$D857*$E857*(1-$G857)+$K857*$E857))</f>
        <v>0</v>
      </c>
      <c r="N857" s="23" t="str">
        <f aca="false">IF($B857="","",CONCATENATE("Örnek kalem: ",$B857))</f>
        <v/>
      </c>
    </row>
    <row r="858" customFormat="false" ht="15" hidden="false" customHeight="false" outlineLevel="0" collapsed="false">
      <c r="L858" s="23" t="n">
        <f aca="false">IF($E858="",0,$D858*$E858*(1-$G858-$H858-$I858))</f>
        <v>0</v>
      </c>
      <c r="M858" s="23" t="n">
        <f aca="false">IF($E858="",0,$D858*$E858-($F858*$E858+$G858*$D858*$E858+$H858*$D858*$E858+$I858*$D858*$E858+$J858*$D858*$E858*(1-$G858)+$K858*$E858))</f>
        <v>0</v>
      </c>
      <c r="N858" s="23" t="str">
        <f aca="false">IF($B858="","",CONCATENATE("Örnek kalem: ",$B858))</f>
        <v/>
      </c>
    </row>
    <row r="859" customFormat="false" ht="15" hidden="false" customHeight="false" outlineLevel="0" collapsed="false">
      <c r="L859" s="23" t="n">
        <f aca="false">IF($E859="",0,$D859*$E859*(1-$G859-$H859-$I859))</f>
        <v>0</v>
      </c>
      <c r="M859" s="23" t="n">
        <f aca="false">IF($E859="",0,$D859*$E859-($F859*$E859+$G859*$D859*$E859+$H859*$D859*$E859+$I859*$D859*$E859+$J859*$D859*$E859*(1-$G859)+$K859*$E859))</f>
        <v>0</v>
      </c>
      <c r="N859" s="23" t="str">
        <f aca="false">IF($B859="","",CONCATENATE("Örnek kalem: ",$B859))</f>
        <v/>
      </c>
    </row>
    <row r="860" customFormat="false" ht="15" hidden="false" customHeight="false" outlineLevel="0" collapsed="false">
      <c r="L860" s="23" t="n">
        <f aca="false">IF($E860="",0,$D860*$E860*(1-$G860-$H860-$I860))</f>
        <v>0</v>
      </c>
      <c r="M860" s="23" t="n">
        <f aca="false">IF($E860="",0,$D860*$E860-($F860*$E860+$G860*$D860*$E860+$H860*$D860*$E860+$I860*$D860*$E860+$J860*$D860*$E860*(1-$G860)+$K860*$E860))</f>
        <v>0</v>
      </c>
      <c r="N860" s="23" t="str">
        <f aca="false">IF($B860="","",CONCATENATE("Örnek kalem: ",$B860))</f>
        <v/>
      </c>
    </row>
    <row r="861" customFormat="false" ht="15" hidden="false" customHeight="false" outlineLevel="0" collapsed="false">
      <c r="L861" s="23" t="n">
        <f aca="false">IF($E861="",0,$D861*$E861*(1-$G861-$H861-$I861))</f>
        <v>0</v>
      </c>
      <c r="M861" s="23" t="n">
        <f aca="false">IF($E861="",0,$D861*$E861-($F861*$E861+$G861*$D861*$E861+$H861*$D861*$E861+$I861*$D861*$E861+$J861*$D861*$E861*(1-$G861)+$K861*$E861))</f>
        <v>0</v>
      </c>
      <c r="N861" s="23" t="str">
        <f aca="false">IF($B861="","",CONCATENATE("Örnek kalem: ",$B861))</f>
        <v/>
      </c>
    </row>
    <row r="862" customFormat="false" ht="15" hidden="false" customHeight="false" outlineLevel="0" collapsed="false">
      <c r="L862" s="23" t="n">
        <f aca="false">IF($E862="",0,$D862*$E862*(1-$G862-$H862-$I862))</f>
        <v>0</v>
      </c>
      <c r="M862" s="23" t="n">
        <f aca="false">IF($E862="",0,$D862*$E862-($F862*$E862+$G862*$D862*$E862+$H862*$D862*$E862+$I862*$D862*$E862+$J862*$D862*$E862*(1-$G862)+$K862*$E862))</f>
        <v>0</v>
      </c>
      <c r="N862" s="23" t="str">
        <f aca="false">IF($B862="","",CONCATENATE("Örnek kalem: ",$B862))</f>
        <v/>
      </c>
    </row>
    <row r="863" customFormat="false" ht="15" hidden="false" customHeight="false" outlineLevel="0" collapsed="false">
      <c r="L863" s="23" t="n">
        <f aca="false">IF($E863="",0,$D863*$E863*(1-$G863-$H863-$I863))</f>
        <v>0</v>
      </c>
      <c r="M863" s="23" t="n">
        <f aca="false">IF($E863="",0,$D863*$E863-($F863*$E863+$G863*$D863*$E863+$H863*$D863*$E863+$I863*$D863*$E863+$J863*$D863*$E863*(1-$G863)+$K863*$E863))</f>
        <v>0</v>
      </c>
      <c r="N863" s="23" t="str">
        <f aca="false">IF($B863="","",CONCATENATE("Örnek kalem: ",$B863))</f>
        <v/>
      </c>
    </row>
    <row r="864" customFormat="false" ht="15" hidden="false" customHeight="false" outlineLevel="0" collapsed="false">
      <c r="L864" s="23" t="n">
        <f aca="false">IF($E864="",0,$D864*$E864*(1-$G864-$H864-$I864))</f>
        <v>0</v>
      </c>
      <c r="M864" s="23" t="n">
        <f aca="false">IF($E864="",0,$D864*$E864-($F864*$E864+$G864*$D864*$E864+$H864*$D864*$E864+$I864*$D864*$E864+$J864*$D864*$E864*(1-$G864)+$K864*$E864))</f>
        <v>0</v>
      </c>
      <c r="N864" s="23" t="str">
        <f aca="false">IF($B864="","",CONCATENATE("Örnek kalem: ",$B864))</f>
        <v/>
      </c>
    </row>
    <row r="865" customFormat="false" ht="15" hidden="false" customHeight="false" outlineLevel="0" collapsed="false">
      <c r="L865" s="23" t="n">
        <f aca="false">IF($E865="",0,$D865*$E865*(1-$G865-$H865-$I865))</f>
        <v>0</v>
      </c>
      <c r="M865" s="23" t="n">
        <f aca="false">IF($E865="",0,$D865*$E865-($F865*$E865+$G865*$D865*$E865+$H865*$D865*$E865+$I865*$D865*$E865+$J865*$D865*$E865*(1-$G865)+$K865*$E865))</f>
        <v>0</v>
      </c>
      <c r="N865" s="23" t="str">
        <f aca="false">IF($B865="","",CONCATENATE("Örnek kalem: ",$B865))</f>
        <v/>
      </c>
    </row>
    <row r="866" customFormat="false" ht="15" hidden="false" customHeight="false" outlineLevel="0" collapsed="false">
      <c r="L866" s="23" t="n">
        <f aca="false">IF($E866="",0,$D866*$E866*(1-$G866-$H866-$I866))</f>
        <v>0</v>
      </c>
      <c r="M866" s="23" t="n">
        <f aca="false">IF($E866="",0,$D866*$E866-($F866*$E866+$G866*$D866*$E866+$H866*$D866*$E866+$I866*$D866*$E866+$J866*$D866*$E866*(1-$G866)+$K866*$E866))</f>
        <v>0</v>
      </c>
      <c r="N866" s="23" t="str">
        <f aca="false">IF($B866="","",CONCATENATE("Örnek kalem: ",$B866))</f>
        <v/>
      </c>
    </row>
    <row r="867" customFormat="false" ht="15" hidden="false" customHeight="false" outlineLevel="0" collapsed="false">
      <c r="L867" s="23" t="n">
        <f aca="false">IF($E867="",0,$D867*$E867*(1-$G867-$H867-$I867))</f>
        <v>0</v>
      </c>
      <c r="M867" s="23" t="n">
        <f aca="false">IF($E867="",0,$D867*$E867-($F867*$E867+$G867*$D867*$E867+$H867*$D867*$E867+$I867*$D867*$E867+$J867*$D867*$E867*(1-$G867)+$K867*$E867))</f>
        <v>0</v>
      </c>
      <c r="N867" s="23" t="str">
        <f aca="false">IF($B867="","",CONCATENATE("Örnek kalem: ",$B867))</f>
        <v/>
      </c>
    </row>
    <row r="868" customFormat="false" ht="15" hidden="false" customHeight="false" outlineLevel="0" collapsed="false">
      <c r="L868" s="23" t="n">
        <f aca="false">IF($E868="",0,$D868*$E868*(1-$G868-$H868-$I868))</f>
        <v>0</v>
      </c>
      <c r="M868" s="23" t="n">
        <f aca="false">IF($E868="",0,$D868*$E868-($F868*$E868+$G868*$D868*$E868+$H868*$D868*$E868+$I868*$D868*$E868+$J868*$D868*$E868*(1-$G868)+$K868*$E868))</f>
        <v>0</v>
      </c>
      <c r="N868" s="23" t="str">
        <f aca="false">IF($B868="","",CONCATENATE("Örnek kalem: ",$B868))</f>
        <v/>
      </c>
    </row>
    <row r="869" customFormat="false" ht="15" hidden="false" customHeight="false" outlineLevel="0" collapsed="false">
      <c r="L869" s="23" t="n">
        <f aca="false">IF($E869="",0,$D869*$E869*(1-$G869-$H869-$I869))</f>
        <v>0</v>
      </c>
      <c r="M869" s="23" t="n">
        <f aca="false">IF($E869="",0,$D869*$E869-($F869*$E869+$G869*$D869*$E869+$H869*$D869*$E869+$I869*$D869*$E869+$J869*$D869*$E869*(1-$G869)+$K869*$E869))</f>
        <v>0</v>
      </c>
      <c r="N869" s="23" t="str">
        <f aca="false">IF($B869="","",CONCATENATE("Örnek kalem: ",$B869))</f>
        <v/>
      </c>
    </row>
    <row r="870" customFormat="false" ht="15" hidden="false" customHeight="false" outlineLevel="0" collapsed="false">
      <c r="L870" s="23" t="n">
        <f aca="false">IF($E870="",0,$D870*$E870*(1-$G870-$H870-$I870))</f>
        <v>0</v>
      </c>
      <c r="M870" s="23" t="n">
        <f aca="false">IF($E870="",0,$D870*$E870-($F870*$E870+$G870*$D870*$E870+$H870*$D870*$E870+$I870*$D870*$E870+$J870*$D870*$E870*(1-$G870)+$K870*$E870))</f>
        <v>0</v>
      </c>
      <c r="N870" s="23" t="str">
        <f aca="false">IF($B870="","",CONCATENATE("Örnek kalem: ",$B870))</f>
        <v/>
      </c>
    </row>
    <row r="871" customFormat="false" ht="15" hidden="false" customHeight="false" outlineLevel="0" collapsed="false">
      <c r="L871" s="23" t="n">
        <f aca="false">IF($E871="",0,$D871*$E871*(1-$G871-$H871-$I871))</f>
        <v>0</v>
      </c>
      <c r="M871" s="23" t="n">
        <f aca="false">IF($E871="",0,$D871*$E871-($F871*$E871+$G871*$D871*$E871+$H871*$D871*$E871+$I871*$D871*$E871+$J871*$D871*$E871*(1-$G871)+$K871*$E871))</f>
        <v>0</v>
      </c>
      <c r="N871" s="23" t="str">
        <f aca="false">IF($B871="","",CONCATENATE("Örnek kalem: ",$B871))</f>
        <v/>
      </c>
    </row>
    <row r="872" customFormat="false" ht="15" hidden="false" customHeight="false" outlineLevel="0" collapsed="false">
      <c r="L872" s="23" t="n">
        <f aca="false">IF($E872="",0,$D872*$E872*(1-$G872-$H872-$I872))</f>
        <v>0</v>
      </c>
      <c r="M872" s="23" t="n">
        <f aca="false">IF($E872="",0,$D872*$E872-($F872*$E872+$G872*$D872*$E872+$H872*$D872*$E872+$I872*$D872*$E872+$J872*$D872*$E872*(1-$G872)+$K872*$E872))</f>
        <v>0</v>
      </c>
      <c r="N872" s="23" t="str">
        <f aca="false">IF($B872="","",CONCATENATE("Örnek kalem: ",$B872))</f>
        <v/>
      </c>
    </row>
    <row r="873" customFormat="false" ht="15" hidden="false" customHeight="false" outlineLevel="0" collapsed="false">
      <c r="L873" s="23" t="n">
        <f aca="false">IF($E873="",0,$D873*$E873*(1-$G873-$H873-$I873))</f>
        <v>0</v>
      </c>
      <c r="M873" s="23" t="n">
        <f aca="false">IF($E873="",0,$D873*$E873-($F873*$E873+$G873*$D873*$E873+$H873*$D873*$E873+$I873*$D873*$E873+$J873*$D873*$E873*(1-$G873)+$K873*$E873))</f>
        <v>0</v>
      </c>
      <c r="N873" s="23" t="str">
        <f aca="false">IF($B873="","",CONCATENATE("Örnek kalem: ",$B873))</f>
        <v/>
      </c>
    </row>
    <row r="874" customFormat="false" ht="15" hidden="false" customHeight="false" outlineLevel="0" collapsed="false">
      <c r="L874" s="23" t="n">
        <f aca="false">IF($E874="",0,$D874*$E874*(1-$G874-$H874-$I874))</f>
        <v>0</v>
      </c>
      <c r="M874" s="23" t="n">
        <f aca="false">IF($E874="",0,$D874*$E874-($F874*$E874+$G874*$D874*$E874+$H874*$D874*$E874+$I874*$D874*$E874+$J874*$D874*$E874*(1-$G874)+$K874*$E874))</f>
        <v>0</v>
      </c>
      <c r="N874" s="23" t="str">
        <f aca="false">IF($B874="","",CONCATENATE("Örnek kalem: ",$B874))</f>
        <v/>
      </c>
    </row>
    <row r="875" customFormat="false" ht="15" hidden="false" customHeight="false" outlineLevel="0" collapsed="false">
      <c r="L875" s="23" t="n">
        <f aca="false">IF($E875="",0,$D875*$E875*(1-$G875-$H875-$I875))</f>
        <v>0</v>
      </c>
      <c r="M875" s="23" t="n">
        <f aca="false">IF($E875="",0,$D875*$E875-($F875*$E875+$G875*$D875*$E875+$H875*$D875*$E875+$I875*$D875*$E875+$J875*$D875*$E875*(1-$G875)+$K875*$E875))</f>
        <v>0</v>
      </c>
      <c r="N875" s="23" t="str">
        <f aca="false">IF($B875="","",CONCATENATE("Örnek kalem: ",$B875))</f>
        <v/>
      </c>
    </row>
    <row r="876" customFormat="false" ht="15" hidden="false" customHeight="false" outlineLevel="0" collapsed="false">
      <c r="L876" s="23" t="n">
        <f aca="false">IF($E876="",0,$D876*$E876*(1-$G876-$H876-$I876))</f>
        <v>0</v>
      </c>
      <c r="M876" s="23" t="n">
        <f aca="false">IF($E876="",0,$D876*$E876-($F876*$E876+$G876*$D876*$E876+$H876*$D876*$E876+$I876*$D876*$E876+$J876*$D876*$E876*(1-$G876)+$K876*$E876))</f>
        <v>0</v>
      </c>
      <c r="N876" s="23" t="str">
        <f aca="false">IF($B876="","",CONCATENATE("Örnek kalem: ",$B876))</f>
        <v/>
      </c>
    </row>
    <row r="877" customFormat="false" ht="15" hidden="false" customHeight="false" outlineLevel="0" collapsed="false">
      <c r="L877" s="23" t="n">
        <f aca="false">IF($E877="",0,$D877*$E877*(1-$G877-$H877-$I877))</f>
        <v>0</v>
      </c>
      <c r="M877" s="23" t="n">
        <f aca="false">IF($E877="",0,$D877*$E877-($F877*$E877+$G877*$D877*$E877+$H877*$D877*$E877+$I877*$D877*$E877+$J877*$D877*$E877*(1-$G877)+$K877*$E877))</f>
        <v>0</v>
      </c>
      <c r="N877" s="23" t="str">
        <f aca="false">IF($B877="","",CONCATENATE("Örnek kalem: ",$B877))</f>
        <v/>
      </c>
    </row>
    <row r="878" customFormat="false" ht="15" hidden="false" customHeight="false" outlineLevel="0" collapsed="false">
      <c r="L878" s="23" t="n">
        <f aca="false">IF($E878="",0,$D878*$E878*(1-$G878-$H878-$I878))</f>
        <v>0</v>
      </c>
      <c r="M878" s="23" t="n">
        <f aca="false">IF($E878="",0,$D878*$E878-($F878*$E878+$G878*$D878*$E878+$H878*$D878*$E878+$I878*$D878*$E878+$J878*$D878*$E878*(1-$G878)+$K878*$E878))</f>
        <v>0</v>
      </c>
      <c r="N878" s="23" t="str">
        <f aca="false">IF($B878="","",CONCATENATE("Örnek kalem: ",$B878))</f>
        <v/>
      </c>
    </row>
    <row r="879" customFormat="false" ht="15" hidden="false" customHeight="false" outlineLevel="0" collapsed="false">
      <c r="L879" s="23" t="n">
        <f aca="false">IF($E879="",0,$D879*$E879*(1-$G879-$H879-$I879))</f>
        <v>0</v>
      </c>
      <c r="M879" s="23" t="n">
        <f aca="false">IF($E879="",0,$D879*$E879-($F879*$E879+$G879*$D879*$E879+$H879*$D879*$E879+$I879*$D879*$E879+$J879*$D879*$E879*(1-$G879)+$K879*$E879))</f>
        <v>0</v>
      </c>
      <c r="N879" s="23" t="str">
        <f aca="false">IF($B879="","",CONCATENATE("Örnek kalem: ",$B879))</f>
        <v/>
      </c>
    </row>
    <row r="880" customFormat="false" ht="15" hidden="false" customHeight="false" outlineLevel="0" collapsed="false">
      <c r="L880" s="23" t="n">
        <f aca="false">IF($E880="",0,$D880*$E880*(1-$G880-$H880-$I880))</f>
        <v>0</v>
      </c>
      <c r="M880" s="23" t="n">
        <f aca="false">IF($E880="",0,$D880*$E880-($F880*$E880+$G880*$D880*$E880+$H880*$D880*$E880+$I880*$D880*$E880+$J880*$D880*$E880*(1-$G880)+$K880*$E880))</f>
        <v>0</v>
      </c>
      <c r="N880" s="23" t="str">
        <f aca="false">IF($B880="","",CONCATENATE("Örnek kalem: ",$B880))</f>
        <v/>
      </c>
    </row>
    <row r="881" customFormat="false" ht="15" hidden="false" customHeight="false" outlineLevel="0" collapsed="false">
      <c r="L881" s="23" t="n">
        <f aca="false">IF($E881="",0,$D881*$E881*(1-$G881-$H881-$I881))</f>
        <v>0</v>
      </c>
      <c r="M881" s="23" t="n">
        <f aca="false">IF($E881="",0,$D881*$E881-($F881*$E881+$G881*$D881*$E881+$H881*$D881*$E881+$I881*$D881*$E881+$J881*$D881*$E881*(1-$G881)+$K881*$E881))</f>
        <v>0</v>
      </c>
      <c r="N881" s="23" t="str">
        <f aca="false">IF($B881="","",CONCATENATE("Örnek kalem: ",$B881))</f>
        <v/>
      </c>
    </row>
    <row r="882" customFormat="false" ht="15" hidden="false" customHeight="false" outlineLevel="0" collapsed="false">
      <c r="L882" s="23" t="n">
        <f aca="false">IF($E882="",0,$D882*$E882*(1-$G882-$H882-$I882))</f>
        <v>0</v>
      </c>
      <c r="M882" s="23" t="n">
        <f aca="false">IF($E882="",0,$D882*$E882-($F882*$E882+$G882*$D882*$E882+$H882*$D882*$E882+$I882*$D882*$E882+$J882*$D882*$E882*(1-$G882)+$K882*$E882))</f>
        <v>0</v>
      </c>
      <c r="N882" s="23" t="str">
        <f aca="false">IF($B882="","",CONCATENATE("Örnek kalem: ",$B882))</f>
        <v/>
      </c>
    </row>
    <row r="883" customFormat="false" ht="15" hidden="false" customHeight="false" outlineLevel="0" collapsed="false">
      <c r="L883" s="23" t="n">
        <f aca="false">IF($E883="",0,$D883*$E883*(1-$G883-$H883-$I883))</f>
        <v>0</v>
      </c>
      <c r="M883" s="23" t="n">
        <f aca="false">IF($E883="",0,$D883*$E883-($F883*$E883+$G883*$D883*$E883+$H883*$D883*$E883+$I883*$D883*$E883+$J883*$D883*$E883*(1-$G883)+$K883*$E883))</f>
        <v>0</v>
      </c>
      <c r="N883" s="23" t="str">
        <f aca="false">IF($B883="","",CONCATENATE("Örnek kalem: ",$B883))</f>
        <v/>
      </c>
    </row>
    <row r="884" customFormat="false" ht="15" hidden="false" customHeight="false" outlineLevel="0" collapsed="false">
      <c r="L884" s="23" t="n">
        <f aca="false">IF($E884="",0,$D884*$E884*(1-$G884-$H884-$I884))</f>
        <v>0</v>
      </c>
      <c r="M884" s="23" t="n">
        <f aca="false">IF($E884="",0,$D884*$E884-($F884*$E884+$G884*$D884*$E884+$H884*$D884*$E884+$I884*$D884*$E884+$J884*$D884*$E884*(1-$G884)+$K884*$E884))</f>
        <v>0</v>
      </c>
      <c r="N884" s="23" t="str">
        <f aca="false">IF($B884="","",CONCATENATE("Örnek kalem: ",$B884))</f>
        <v/>
      </c>
    </row>
    <row r="885" customFormat="false" ht="15" hidden="false" customHeight="false" outlineLevel="0" collapsed="false">
      <c r="L885" s="23" t="n">
        <f aca="false">IF($E885="",0,$D885*$E885*(1-$G885-$H885-$I885))</f>
        <v>0</v>
      </c>
      <c r="M885" s="23" t="n">
        <f aca="false">IF($E885="",0,$D885*$E885-($F885*$E885+$G885*$D885*$E885+$H885*$D885*$E885+$I885*$D885*$E885+$J885*$D885*$E885*(1-$G885)+$K885*$E885))</f>
        <v>0</v>
      </c>
      <c r="N885" s="23" t="str">
        <f aca="false">IF($B885="","",CONCATENATE("Örnek kalem: ",$B885))</f>
        <v/>
      </c>
    </row>
    <row r="886" customFormat="false" ht="15" hidden="false" customHeight="false" outlineLevel="0" collapsed="false">
      <c r="L886" s="23" t="n">
        <f aca="false">IF($E886="",0,$D886*$E886*(1-$G886-$H886-$I886))</f>
        <v>0</v>
      </c>
      <c r="M886" s="23" t="n">
        <f aca="false">IF($E886="",0,$D886*$E886-($F886*$E886+$G886*$D886*$E886+$H886*$D886*$E886+$I886*$D886*$E886+$J886*$D886*$E886*(1-$G886)+$K886*$E886))</f>
        <v>0</v>
      </c>
      <c r="N886" s="23" t="str">
        <f aca="false">IF($B886="","",CONCATENATE("Örnek kalem: ",$B886))</f>
        <v/>
      </c>
    </row>
    <row r="887" customFormat="false" ht="15" hidden="false" customHeight="false" outlineLevel="0" collapsed="false">
      <c r="L887" s="23" t="n">
        <f aca="false">IF($E887="",0,$D887*$E887*(1-$G887-$H887-$I887))</f>
        <v>0</v>
      </c>
      <c r="M887" s="23" t="n">
        <f aca="false">IF($E887="",0,$D887*$E887-($F887*$E887+$G887*$D887*$E887+$H887*$D887*$E887+$I887*$D887*$E887+$J887*$D887*$E887*(1-$G887)+$K887*$E887))</f>
        <v>0</v>
      </c>
      <c r="N887" s="23" t="str">
        <f aca="false">IF($B887="","",CONCATENATE("Örnek kalem: ",$B887))</f>
        <v/>
      </c>
    </row>
    <row r="888" customFormat="false" ht="15" hidden="false" customHeight="false" outlineLevel="0" collapsed="false">
      <c r="L888" s="23" t="n">
        <f aca="false">IF($E888="",0,$D888*$E888*(1-$G888-$H888-$I888))</f>
        <v>0</v>
      </c>
      <c r="M888" s="23" t="n">
        <f aca="false">IF($E888="",0,$D888*$E888-($F888*$E888+$G888*$D888*$E888+$H888*$D888*$E888+$I888*$D888*$E888+$J888*$D888*$E888*(1-$G888)+$K888*$E888))</f>
        <v>0</v>
      </c>
      <c r="N888" s="23" t="str">
        <f aca="false">IF($B888="","",CONCATENATE("Örnek kalem: ",$B888))</f>
        <v/>
      </c>
    </row>
    <row r="889" customFormat="false" ht="15" hidden="false" customHeight="false" outlineLevel="0" collapsed="false">
      <c r="L889" s="23" t="n">
        <f aca="false">IF($E889="",0,$D889*$E889*(1-$G889-$H889-$I889))</f>
        <v>0</v>
      </c>
      <c r="M889" s="23" t="n">
        <f aca="false">IF($E889="",0,$D889*$E889-($F889*$E889+$G889*$D889*$E889+$H889*$D889*$E889+$I889*$D889*$E889+$J889*$D889*$E889*(1-$G889)+$K889*$E889))</f>
        <v>0</v>
      </c>
      <c r="N889" s="23" t="str">
        <f aca="false">IF($B889="","",CONCATENATE("Örnek kalem: ",$B889))</f>
        <v/>
      </c>
    </row>
    <row r="890" customFormat="false" ht="15" hidden="false" customHeight="false" outlineLevel="0" collapsed="false">
      <c r="L890" s="23" t="n">
        <f aca="false">IF($E890="",0,$D890*$E890*(1-$G890-$H890-$I890))</f>
        <v>0</v>
      </c>
      <c r="M890" s="23" t="n">
        <f aca="false">IF($E890="",0,$D890*$E890-($F890*$E890+$G890*$D890*$E890+$H890*$D890*$E890+$I890*$D890*$E890+$J890*$D890*$E890*(1-$G890)+$K890*$E890))</f>
        <v>0</v>
      </c>
      <c r="N890" s="23" t="str">
        <f aca="false">IF($B890="","",CONCATENATE("Örnek kalem: ",$B890))</f>
        <v/>
      </c>
    </row>
    <row r="891" customFormat="false" ht="15" hidden="false" customHeight="false" outlineLevel="0" collapsed="false">
      <c r="L891" s="23" t="n">
        <f aca="false">IF($E891="",0,$D891*$E891*(1-$G891-$H891-$I891))</f>
        <v>0</v>
      </c>
      <c r="M891" s="23" t="n">
        <f aca="false">IF($E891="",0,$D891*$E891-($F891*$E891+$G891*$D891*$E891+$H891*$D891*$E891+$I891*$D891*$E891+$J891*$D891*$E891*(1-$G891)+$K891*$E891))</f>
        <v>0</v>
      </c>
      <c r="N891" s="23" t="str">
        <f aca="false">IF($B891="","",CONCATENATE("Örnek kalem: ",$B891))</f>
        <v/>
      </c>
    </row>
    <row r="892" customFormat="false" ht="15" hidden="false" customHeight="false" outlineLevel="0" collapsed="false">
      <c r="L892" s="23" t="n">
        <f aca="false">IF($E892="",0,$D892*$E892*(1-$G892-$H892-$I892))</f>
        <v>0</v>
      </c>
      <c r="M892" s="23" t="n">
        <f aca="false">IF($E892="",0,$D892*$E892-($F892*$E892+$G892*$D892*$E892+$H892*$D892*$E892+$I892*$D892*$E892+$J892*$D892*$E892*(1-$G892)+$K892*$E892))</f>
        <v>0</v>
      </c>
      <c r="N892" s="23" t="str">
        <f aca="false">IF($B892="","",CONCATENATE("Örnek kalem: ",$B892))</f>
        <v/>
      </c>
    </row>
    <row r="893" customFormat="false" ht="15" hidden="false" customHeight="false" outlineLevel="0" collapsed="false">
      <c r="L893" s="23" t="n">
        <f aca="false">IF($E893="",0,$D893*$E893*(1-$G893-$H893-$I893))</f>
        <v>0</v>
      </c>
      <c r="M893" s="23" t="n">
        <f aca="false">IF($E893="",0,$D893*$E893-($F893*$E893+$G893*$D893*$E893+$H893*$D893*$E893+$I893*$D893*$E893+$J893*$D893*$E893*(1-$G893)+$K893*$E893))</f>
        <v>0</v>
      </c>
      <c r="N893" s="23" t="str">
        <f aca="false">IF($B893="","",CONCATENATE("Örnek kalem: ",$B893))</f>
        <v/>
      </c>
    </row>
    <row r="894" customFormat="false" ht="15" hidden="false" customHeight="false" outlineLevel="0" collapsed="false">
      <c r="L894" s="23" t="n">
        <f aca="false">IF($E894="",0,$D894*$E894*(1-$G894-$H894-$I894))</f>
        <v>0</v>
      </c>
      <c r="M894" s="23" t="n">
        <f aca="false">IF($E894="",0,$D894*$E894-($F894*$E894+$G894*$D894*$E894+$H894*$D894*$E894+$I894*$D894*$E894+$J894*$D894*$E894*(1-$G894)+$K894*$E894))</f>
        <v>0</v>
      </c>
      <c r="N894" s="23" t="str">
        <f aca="false">IF($B894="","",CONCATENATE("Örnek kalem: ",$B894))</f>
        <v/>
      </c>
    </row>
    <row r="895" customFormat="false" ht="15" hidden="false" customHeight="false" outlineLevel="0" collapsed="false">
      <c r="L895" s="23" t="n">
        <f aca="false">IF($E895="",0,$D895*$E895*(1-$G895-$H895-$I895))</f>
        <v>0</v>
      </c>
      <c r="M895" s="23" t="n">
        <f aca="false">IF($E895="",0,$D895*$E895-($F895*$E895+$G895*$D895*$E895+$H895*$D895*$E895+$I895*$D895*$E895+$J895*$D895*$E895*(1-$G895)+$K895*$E895))</f>
        <v>0</v>
      </c>
      <c r="N895" s="23" t="str">
        <f aca="false">IF($B895="","",CONCATENATE("Örnek kalem: ",$B895))</f>
        <v/>
      </c>
    </row>
    <row r="896" customFormat="false" ht="15" hidden="false" customHeight="false" outlineLevel="0" collapsed="false">
      <c r="L896" s="23" t="n">
        <f aca="false">IF($E896="",0,$D896*$E896*(1-$G896-$H896-$I896))</f>
        <v>0</v>
      </c>
      <c r="M896" s="23" t="n">
        <f aca="false">IF($E896="",0,$D896*$E896-($F896*$E896+$G896*$D896*$E896+$H896*$D896*$E896+$I896*$D896*$E896+$J896*$D896*$E896*(1-$G896)+$K896*$E896))</f>
        <v>0</v>
      </c>
      <c r="N896" s="23" t="str">
        <f aca="false">IF($B896="","",CONCATENATE("Örnek kalem: ",$B896))</f>
        <v/>
      </c>
    </row>
    <row r="897" customFormat="false" ht="15" hidden="false" customHeight="false" outlineLevel="0" collapsed="false">
      <c r="L897" s="23" t="n">
        <f aca="false">IF($E897="",0,$D897*$E897*(1-$G897-$H897-$I897))</f>
        <v>0</v>
      </c>
      <c r="M897" s="23" t="n">
        <f aca="false">IF($E897="",0,$D897*$E897-($F897*$E897+$G897*$D897*$E897+$H897*$D897*$E897+$I897*$D897*$E897+$J897*$D897*$E897*(1-$G897)+$K897*$E897))</f>
        <v>0</v>
      </c>
      <c r="N897" s="23" t="str">
        <f aca="false">IF($B897="","",CONCATENATE("Örnek kalem: ",$B897))</f>
        <v/>
      </c>
    </row>
    <row r="898" customFormat="false" ht="15" hidden="false" customHeight="false" outlineLevel="0" collapsed="false">
      <c r="L898" s="23" t="n">
        <f aca="false">IF($E898="",0,$D898*$E898*(1-$G898-$H898-$I898))</f>
        <v>0</v>
      </c>
      <c r="M898" s="23" t="n">
        <f aca="false">IF($E898="",0,$D898*$E898-($F898*$E898+$G898*$D898*$E898+$H898*$D898*$E898+$I898*$D898*$E898+$J898*$D898*$E898*(1-$G898)+$K898*$E898))</f>
        <v>0</v>
      </c>
      <c r="N898" s="23" t="str">
        <f aca="false">IF($B898="","",CONCATENATE("Örnek kalem: ",$B898))</f>
        <v/>
      </c>
    </row>
    <row r="899" customFormat="false" ht="15" hidden="false" customHeight="false" outlineLevel="0" collapsed="false">
      <c r="L899" s="23" t="n">
        <f aca="false">IF($E899="",0,$D899*$E899*(1-$G899-$H899-$I899))</f>
        <v>0</v>
      </c>
      <c r="M899" s="23" t="n">
        <f aca="false">IF($E899="",0,$D899*$E899-($F899*$E899+$G899*$D899*$E899+$H899*$D899*$E899+$I899*$D899*$E899+$J899*$D899*$E899*(1-$G899)+$K899*$E899))</f>
        <v>0</v>
      </c>
      <c r="N899" s="23" t="str">
        <f aca="false">IF($B899="","",CONCATENATE("Örnek kalem: ",$B899))</f>
        <v/>
      </c>
    </row>
    <row r="900" customFormat="false" ht="15" hidden="false" customHeight="false" outlineLevel="0" collapsed="false">
      <c r="L900" s="23" t="n">
        <f aca="false">IF($E900="",0,$D900*$E900*(1-$G900-$H900-$I900))</f>
        <v>0</v>
      </c>
      <c r="M900" s="23" t="n">
        <f aca="false">IF($E900="",0,$D900*$E900-($F900*$E900+$G900*$D900*$E900+$H900*$D900*$E900+$I900*$D900*$E900+$J900*$D900*$E900*(1-$G900)+$K900*$E900))</f>
        <v>0</v>
      </c>
      <c r="N900" s="23" t="str">
        <f aca="false">IF($B900="","",CONCATENATE("Örnek kalem: ",$B900))</f>
        <v/>
      </c>
    </row>
    <row r="901" customFormat="false" ht="15" hidden="false" customHeight="false" outlineLevel="0" collapsed="false">
      <c r="L901" s="23" t="n">
        <f aca="false">IF($E901="",0,$D901*$E901*(1-$G901-$H901-$I901))</f>
        <v>0</v>
      </c>
      <c r="M901" s="23" t="n">
        <f aca="false">IF($E901="",0,$D901*$E901-($F901*$E901+$G901*$D901*$E901+$H901*$D901*$E901+$I901*$D901*$E901+$J901*$D901*$E901*(1-$G901)+$K901*$E901))</f>
        <v>0</v>
      </c>
      <c r="N901" s="23" t="str">
        <f aca="false">IF($B901="","",CONCATENATE("Örnek kalem: ",$B901))</f>
        <v/>
      </c>
    </row>
    <row r="902" customFormat="false" ht="15" hidden="false" customHeight="false" outlineLevel="0" collapsed="false">
      <c r="L902" s="23" t="n">
        <f aca="false">IF($E902="",0,$D902*$E902*(1-$G902-$H902-$I902))</f>
        <v>0</v>
      </c>
      <c r="M902" s="23" t="n">
        <f aca="false">IF($E902="",0,$D902*$E902-($F902*$E902+$G902*$D902*$E902+$H902*$D902*$E902+$I902*$D902*$E902+$J902*$D902*$E902*(1-$G902)+$K902*$E902))</f>
        <v>0</v>
      </c>
      <c r="N902" s="23" t="str">
        <f aca="false">IF($B902="","",CONCATENATE("Örnek kalem: ",$B902))</f>
        <v/>
      </c>
    </row>
    <row r="903" customFormat="false" ht="15" hidden="false" customHeight="false" outlineLevel="0" collapsed="false">
      <c r="L903" s="23" t="n">
        <f aca="false">IF($E903="",0,$D903*$E903*(1-$G903-$H903-$I903))</f>
        <v>0</v>
      </c>
      <c r="M903" s="23" t="n">
        <f aca="false">IF($E903="",0,$D903*$E903-($F903*$E903+$G903*$D903*$E903+$H903*$D903*$E903+$I903*$D903*$E903+$J903*$D903*$E903*(1-$G903)+$K903*$E903))</f>
        <v>0</v>
      </c>
      <c r="N903" s="23" t="str">
        <f aca="false">IF($B903="","",CONCATENATE("Örnek kalem: ",$B903))</f>
        <v/>
      </c>
    </row>
    <row r="904" customFormat="false" ht="15" hidden="false" customHeight="false" outlineLevel="0" collapsed="false">
      <c r="L904" s="23" t="n">
        <f aca="false">IF($E904="",0,$D904*$E904*(1-$G904-$H904-$I904))</f>
        <v>0</v>
      </c>
      <c r="M904" s="23" t="n">
        <f aca="false">IF($E904="",0,$D904*$E904-($F904*$E904+$G904*$D904*$E904+$H904*$D904*$E904+$I904*$D904*$E904+$J904*$D904*$E904*(1-$G904)+$K904*$E904))</f>
        <v>0</v>
      </c>
      <c r="N904" s="23" t="str">
        <f aca="false">IF($B904="","",CONCATENATE("Örnek kalem: ",$B904))</f>
        <v/>
      </c>
    </row>
    <row r="905" customFormat="false" ht="15" hidden="false" customHeight="false" outlineLevel="0" collapsed="false">
      <c r="L905" s="23" t="n">
        <f aca="false">IF($E905="",0,$D905*$E905*(1-$G905-$H905-$I905))</f>
        <v>0</v>
      </c>
      <c r="M905" s="23" t="n">
        <f aca="false">IF($E905="",0,$D905*$E905-($F905*$E905+$G905*$D905*$E905+$H905*$D905*$E905+$I905*$D905*$E905+$J905*$D905*$E905*(1-$G905)+$K905*$E905))</f>
        <v>0</v>
      </c>
      <c r="N905" s="23" t="str">
        <f aca="false">IF($B905="","",CONCATENATE("Örnek kalem: ",$B905))</f>
        <v/>
      </c>
    </row>
    <row r="906" customFormat="false" ht="15" hidden="false" customHeight="false" outlineLevel="0" collapsed="false">
      <c r="L906" s="23" t="n">
        <f aca="false">IF($E906="",0,$D906*$E906*(1-$G906-$H906-$I906))</f>
        <v>0</v>
      </c>
      <c r="M906" s="23" t="n">
        <f aca="false">IF($E906="",0,$D906*$E906-($F906*$E906+$G906*$D906*$E906+$H906*$D906*$E906+$I906*$D906*$E906+$J906*$D906*$E906*(1-$G906)+$K906*$E906))</f>
        <v>0</v>
      </c>
      <c r="N906" s="23" t="str">
        <f aca="false">IF($B906="","",CONCATENATE("Örnek kalem: ",$B906))</f>
        <v/>
      </c>
    </row>
    <row r="907" customFormat="false" ht="15" hidden="false" customHeight="false" outlineLevel="0" collapsed="false">
      <c r="L907" s="23" t="n">
        <f aca="false">IF($E907="",0,$D907*$E907*(1-$G907-$H907-$I907))</f>
        <v>0</v>
      </c>
      <c r="M907" s="23" t="n">
        <f aca="false">IF($E907="",0,$D907*$E907-($F907*$E907+$G907*$D907*$E907+$H907*$D907*$E907+$I907*$D907*$E907+$J907*$D907*$E907*(1-$G907)+$K907*$E907))</f>
        <v>0</v>
      </c>
      <c r="N907" s="23" t="str">
        <f aca="false">IF($B907="","",CONCATENATE("Örnek kalem: ",$B907))</f>
        <v/>
      </c>
    </row>
    <row r="908" customFormat="false" ht="15" hidden="false" customHeight="false" outlineLevel="0" collapsed="false">
      <c r="L908" s="23" t="n">
        <f aca="false">IF($E908="",0,$D908*$E908*(1-$G908-$H908-$I908))</f>
        <v>0</v>
      </c>
      <c r="M908" s="23" t="n">
        <f aca="false">IF($E908="",0,$D908*$E908-($F908*$E908+$G908*$D908*$E908+$H908*$D908*$E908+$I908*$D908*$E908+$J908*$D908*$E908*(1-$G908)+$K908*$E908))</f>
        <v>0</v>
      </c>
      <c r="N908" s="23" t="str">
        <f aca="false">IF($B908="","",CONCATENATE("Örnek kalem: ",$B908))</f>
        <v/>
      </c>
    </row>
    <row r="909" customFormat="false" ht="15" hidden="false" customHeight="false" outlineLevel="0" collapsed="false">
      <c r="L909" s="23" t="n">
        <f aca="false">IF($E909="",0,$D909*$E909*(1-$G909-$H909-$I909))</f>
        <v>0</v>
      </c>
      <c r="M909" s="23" t="n">
        <f aca="false">IF($E909="",0,$D909*$E909-($F909*$E909+$G909*$D909*$E909+$H909*$D909*$E909+$I909*$D909*$E909+$J909*$D909*$E909*(1-$G909)+$K909*$E909))</f>
        <v>0</v>
      </c>
      <c r="N909" s="23" t="str">
        <f aca="false">IF($B909="","",CONCATENATE("Örnek kalem: ",$B909))</f>
        <v/>
      </c>
    </row>
    <row r="910" customFormat="false" ht="15" hidden="false" customHeight="false" outlineLevel="0" collapsed="false">
      <c r="L910" s="23" t="n">
        <f aca="false">IF($E910="",0,$D910*$E910*(1-$G910-$H910-$I910))</f>
        <v>0</v>
      </c>
      <c r="M910" s="23" t="n">
        <f aca="false">IF($E910="",0,$D910*$E910-($F910*$E910+$G910*$D910*$E910+$H910*$D910*$E910+$I910*$D910*$E910+$J910*$D910*$E910*(1-$G910)+$K910*$E910))</f>
        <v>0</v>
      </c>
      <c r="N910" s="23" t="str">
        <f aca="false">IF($B910="","",CONCATENATE("Örnek kalem: ",$B910))</f>
        <v/>
      </c>
    </row>
    <row r="911" customFormat="false" ht="15" hidden="false" customHeight="false" outlineLevel="0" collapsed="false">
      <c r="L911" s="23" t="n">
        <f aca="false">IF($E911="",0,$D911*$E911*(1-$G911-$H911-$I911))</f>
        <v>0</v>
      </c>
      <c r="M911" s="23" t="n">
        <f aca="false">IF($E911="",0,$D911*$E911-($F911*$E911+$G911*$D911*$E911+$H911*$D911*$E911+$I911*$D911*$E911+$J911*$D911*$E911*(1-$G911)+$K911*$E911))</f>
        <v>0</v>
      </c>
      <c r="N911" s="23" t="str">
        <f aca="false">IF($B911="","",CONCATENATE("Örnek kalem: ",$B911))</f>
        <v/>
      </c>
    </row>
    <row r="912" customFormat="false" ht="15" hidden="false" customHeight="false" outlineLevel="0" collapsed="false">
      <c r="L912" s="23" t="n">
        <f aca="false">IF($E912="",0,$D912*$E912*(1-$G912-$H912-$I912))</f>
        <v>0</v>
      </c>
      <c r="M912" s="23" t="n">
        <f aca="false">IF($E912="",0,$D912*$E912-($F912*$E912+$G912*$D912*$E912+$H912*$D912*$E912+$I912*$D912*$E912+$J912*$D912*$E912*(1-$G912)+$K912*$E912))</f>
        <v>0</v>
      </c>
      <c r="N912" s="23" t="str">
        <f aca="false">IF($B912="","",CONCATENATE("Örnek kalem: ",$B912))</f>
        <v/>
      </c>
    </row>
    <row r="913" customFormat="false" ht="15" hidden="false" customHeight="false" outlineLevel="0" collapsed="false">
      <c r="L913" s="23" t="n">
        <f aca="false">IF($E913="",0,$D913*$E913*(1-$G913-$H913-$I913))</f>
        <v>0</v>
      </c>
      <c r="M913" s="23" t="n">
        <f aca="false">IF($E913="",0,$D913*$E913-($F913*$E913+$G913*$D913*$E913+$H913*$D913*$E913+$I913*$D913*$E913+$J913*$D913*$E913*(1-$G913)+$K913*$E913))</f>
        <v>0</v>
      </c>
      <c r="N913" s="23" t="str">
        <f aca="false">IF($B913="","",CONCATENATE("Örnek kalem: ",$B913))</f>
        <v/>
      </c>
    </row>
    <row r="914" customFormat="false" ht="15" hidden="false" customHeight="false" outlineLevel="0" collapsed="false">
      <c r="L914" s="23" t="n">
        <f aca="false">IF($E914="",0,$D914*$E914*(1-$G914-$H914-$I914))</f>
        <v>0</v>
      </c>
      <c r="M914" s="23" t="n">
        <f aca="false">IF($E914="",0,$D914*$E914-($F914*$E914+$G914*$D914*$E914+$H914*$D914*$E914+$I914*$D914*$E914+$J914*$D914*$E914*(1-$G914)+$K914*$E914))</f>
        <v>0</v>
      </c>
      <c r="N914" s="23" t="str">
        <f aca="false">IF($B914="","",CONCATENATE("Örnek kalem: ",$B914))</f>
        <v/>
      </c>
    </row>
    <row r="915" customFormat="false" ht="15" hidden="false" customHeight="false" outlineLevel="0" collapsed="false">
      <c r="L915" s="23" t="n">
        <f aca="false">IF($E915="",0,$D915*$E915*(1-$G915-$H915-$I915))</f>
        <v>0</v>
      </c>
      <c r="M915" s="23" t="n">
        <f aca="false">IF($E915="",0,$D915*$E915-($F915*$E915+$G915*$D915*$E915+$H915*$D915*$E915+$I915*$D915*$E915+$J915*$D915*$E915*(1-$G915)+$K915*$E915))</f>
        <v>0</v>
      </c>
      <c r="N915" s="23" t="str">
        <f aca="false">IF($B915="","",CONCATENATE("Örnek kalem: ",$B915))</f>
        <v/>
      </c>
    </row>
    <row r="916" customFormat="false" ht="15" hidden="false" customHeight="false" outlineLevel="0" collapsed="false">
      <c r="L916" s="23" t="n">
        <f aca="false">IF($E916="",0,$D916*$E916*(1-$G916-$H916-$I916))</f>
        <v>0</v>
      </c>
      <c r="M916" s="23" t="n">
        <f aca="false">IF($E916="",0,$D916*$E916-($F916*$E916+$G916*$D916*$E916+$H916*$D916*$E916+$I916*$D916*$E916+$J916*$D916*$E916*(1-$G916)+$K916*$E916))</f>
        <v>0</v>
      </c>
      <c r="N916" s="23" t="str">
        <f aca="false">IF($B916="","",CONCATENATE("Örnek kalem: ",$B916))</f>
        <v/>
      </c>
    </row>
    <row r="917" customFormat="false" ht="15" hidden="false" customHeight="false" outlineLevel="0" collapsed="false">
      <c r="L917" s="23" t="n">
        <f aca="false">IF($E917="",0,$D917*$E917*(1-$G917-$H917-$I917))</f>
        <v>0</v>
      </c>
      <c r="M917" s="23" t="n">
        <f aca="false">IF($E917="",0,$D917*$E917-($F917*$E917+$G917*$D917*$E917+$H917*$D917*$E917+$I917*$D917*$E917+$J917*$D917*$E917*(1-$G917)+$K917*$E917))</f>
        <v>0</v>
      </c>
      <c r="N917" s="23" t="str">
        <f aca="false">IF($B917="","",CONCATENATE("Örnek kalem: ",$B917))</f>
        <v/>
      </c>
    </row>
    <row r="918" customFormat="false" ht="15" hidden="false" customHeight="false" outlineLevel="0" collapsed="false">
      <c r="L918" s="23" t="n">
        <f aca="false">IF($E918="",0,$D918*$E918*(1-$G918-$H918-$I918))</f>
        <v>0</v>
      </c>
      <c r="M918" s="23" t="n">
        <f aca="false">IF($E918="",0,$D918*$E918-($F918*$E918+$G918*$D918*$E918+$H918*$D918*$E918+$I918*$D918*$E918+$J918*$D918*$E918*(1-$G918)+$K918*$E918))</f>
        <v>0</v>
      </c>
      <c r="N918" s="23" t="str">
        <f aca="false">IF($B918="","",CONCATENATE("Örnek kalem: ",$B918))</f>
        <v/>
      </c>
    </row>
    <row r="919" customFormat="false" ht="15" hidden="false" customHeight="false" outlineLevel="0" collapsed="false">
      <c r="L919" s="23" t="n">
        <f aca="false">IF($E919="",0,$D919*$E919*(1-$G919-$H919-$I919))</f>
        <v>0</v>
      </c>
      <c r="M919" s="23" t="n">
        <f aca="false">IF($E919="",0,$D919*$E919-($F919*$E919+$G919*$D919*$E919+$H919*$D919*$E919+$I919*$D919*$E919+$J919*$D919*$E919*(1-$G919)+$K919*$E919))</f>
        <v>0</v>
      </c>
      <c r="N919" s="23" t="str">
        <f aca="false">IF($B919="","",CONCATENATE("Örnek kalem: ",$B919))</f>
        <v/>
      </c>
    </row>
    <row r="920" customFormat="false" ht="15" hidden="false" customHeight="false" outlineLevel="0" collapsed="false">
      <c r="L920" s="23" t="n">
        <f aca="false">IF($E920="",0,$D920*$E920*(1-$G920-$H920-$I920))</f>
        <v>0</v>
      </c>
      <c r="M920" s="23" t="n">
        <f aca="false">IF($E920="",0,$D920*$E920-($F920*$E920+$G920*$D920*$E920+$H920*$D920*$E920+$I920*$D920*$E920+$J920*$D920*$E920*(1-$G920)+$K920*$E920))</f>
        <v>0</v>
      </c>
      <c r="N920" s="23" t="str">
        <f aca="false">IF($B920="","",CONCATENATE("Örnek kalem: ",$B920))</f>
        <v/>
      </c>
    </row>
    <row r="921" customFormat="false" ht="15" hidden="false" customHeight="false" outlineLevel="0" collapsed="false">
      <c r="L921" s="23" t="n">
        <f aca="false">IF($E921="",0,$D921*$E921*(1-$G921-$H921-$I921))</f>
        <v>0</v>
      </c>
      <c r="M921" s="23" t="n">
        <f aca="false">IF($E921="",0,$D921*$E921-($F921*$E921+$G921*$D921*$E921+$H921*$D921*$E921+$I921*$D921*$E921+$J921*$D921*$E921*(1-$G921)+$K921*$E921))</f>
        <v>0</v>
      </c>
      <c r="N921" s="23" t="str">
        <f aca="false">IF($B921="","",CONCATENATE("Örnek kalem: ",$B921))</f>
        <v/>
      </c>
    </row>
    <row r="922" customFormat="false" ht="15" hidden="false" customHeight="false" outlineLevel="0" collapsed="false">
      <c r="L922" s="23" t="n">
        <f aca="false">IF($E922="",0,$D922*$E922*(1-$G922-$H922-$I922))</f>
        <v>0</v>
      </c>
      <c r="M922" s="23" t="n">
        <f aca="false">IF($E922="",0,$D922*$E922-($F922*$E922+$G922*$D922*$E922+$H922*$D922*$E922+$I922*$D922*$E922+$J922*$D922*$E922*(1-$G922)+$K922*$E922))</f>
        <v>0</v>
      </c>
      <c r="N922" s="23" t="str">
        <f aca="false">IF($B922="","",CONCATENATE("Örnek kalem: ",$B922))</f>
        <v/>
      </c>
    </row>
    <row r="923" customFormat="false" ht="15" hidden="false" customHeight="false" outlineLevel="0" collapsed="false">
      <c r="L923" s="23" t="n">
        <f aca="false">IF($E923="",0,$D923*$E923*(1-$G923-$H923-$I923))</f>
        <v>0</v>
      </c>
      <c r="M923" s="23" t="n">
        <f aca="false">IF($E923="",0,$D923*$E923-($F923*$E923+$G923*$D923*$E923+$H923*$D923*$E923+$I923*$D923*$E923+$J923*$D923*$E923*(1-$G923)+$K923*$E923))</f>
        <v>0</v>
      </c>
      <c r="N923" s="23" t="str">
        <f aca="false">IF($B923="","",CONCATENATE("Örnek kalem: ",$B923))</f>
        <v/>
      </c>
    </row>
    <row r="924" customFormat="false" ht="15" hidden="false" customHeight="false" outlineLevel="0" collapsed="false">
      <c r="L924" s="23" t="n">
        <f aca="false">IF($E924="",0,$D924*$E924*(1-$G924-$H924-$I924))</f>
        <v>0</v>
      </c>
      <c r="M924" s="23" t="n">
        <f aca="false">IF($E924="",0,$D924*$E924-($F924*$E924+$G924*$D924*$E924+$H924*$D924*$E924+$I924*$D924*$E924+$J924*$D924*$E924*(1-$G924)+$K924*$E924))</f>
        <v>0</v>
      </c>
      <c r="N924" s="23" t="str">
        <f aca="false">IF($B924="","",CONCATENATE("Örnek kalem: ",$B924))</f>
        <v/>
      </c>
    </row>
    <row r="925" customFormat="false" ht="15" hidden="false" customHeight="false" outlineLevel="0" collapsed="false">
      <c r="L925" s="23" t="n">
        <f aca="false">IF($E925="",0,$D925*$E925*(1-$G925-$H925-$I925))</f>
        <v>0</v>
      </c>
      <c r="M925" s="23" t="n">
        <f aca="false">IF($E925="",0,$D925*$E925-($F925*$E925+$G925*$D925*$E925+$H925*$D925*$E925+$I925*$D925*$E925+$J925*$D925*$E925*(1-$G925)+$K925*$E925))</f>
        <v>0</v>
      </c>
      <c r="N925" s="23" t="str">
        <f aca="false">IF($B925="","",CONCATENATE("Örnek kalem: ",$B925))</f>
        <v/>
      </c>
    </row>
    <row r="926" customFormat="false" ht="15" hidden="false" customHeight="false" outlineLevel="0" collapsed="false">
      <c r="L926" s="23" t="n">
        <f aca="false">IF($E926="",0,$D926*$E926*(1-$G926-$H926-$I926))</f>
        <v>0</v>
      </c>
      <c r="M926" s="23" t="n">
        <f aca="false">IF($E926="",0,$D926*$E926-($F926*$E926+$G926*$D926*$E926+$H926*$D926*$E926+$I926*$D926*$E926+$J926*$D926*$E926*(1-$G926)+$K926*$E926))</f>
        <v>0</v>
      </c>
      <c r="N926" s="23" t="str">
        <f aca="false">IF($B926="","",CONCATENATE("Örnek kalem: ",$B926))</f>
        <v/>
      </c>
    </row>
    <row r="927" customFormat="false" ht="15" hidden="false" customHeight="false" outlineLevel="0" collapsed="false">
      <c r="L927" s="23" t="n">
        <f aca="false">IF($E927="",0,$D927*$E927*(1-$G927-$H927-$I927))</f>
        <v>0</v>
      </c>
      <c r="M927" s="23" t="n">
        <f aca="false">IF($E927="",0,$D927*$E927-($F927*$E927+$G927*$D927*$E927+$H927*$D927*$E927+$I927*$D927*$E927+$J927*$D927*$E927*(1-$G927)+$K927*$E927))</f>
        <v>0</v>
      </c>
      <c r="N927" s="23" t="str">
        <f aca="false">IF($B927="","",CONCATENATE("Örnek kalem: ",$B927))</f>
        <v/>
      </c>
    </row>
    <row r="928" customFormat="false" ht="15" hidden="false" customHeight="false" outlineLevel="0" collapsed="false">
      <c r="L928" s="23" t="n">
        <f aca="false">IF($E928="",0,$D928*$E928*(1-$G928-$H928-$I928))</f>
        <v>0</v>
      </c>
      <c r="M928" s="23" t="n">
        <f aca="false">IF($E928="",0,$D928*$E928-($F928*$E928+$G928*$D928*$E928+$H928*$D928*$E928+$I928*$D928*$E928+$J928*$D928*$E928*(1-$G928)+$K928*$E928))</f>
        <v>0</v>
      </c>
      <c r="N928" s="23" t="str">
        <f aca="false">IF($B928="","",CONCATENATE("Örnek kalem: ",$B928))</f>
        <v/>
      </c>
    </row>
    <row r="929" customFormat="false" ht="15" hidden="false" customHeight="false" outlineLevel="0" collapsed="false">
      <c r="L929" s="23" t="n">
        <f aca="false">IF($E929="",0,$D929*$E929*(1-$G929-$H929-$I929))</f>
        <v>0</v>
      </c>
      <c r="M929" s="23" t="n">
        <f aca="false">IF($E929="",0,$D929*$E929-($F929*$E929+$G929*$D929*$E929+$H929*$D929*$E929+$I929*$D929*$E929+$J929*$D929*$E929*(1-$G929)+$K929*$E929))</f>
        <v>0</v>
      </c>
      <c r="N929" s="23" t="str">
        <f aca="false">IF($B929="","",CONCATENATE("Örnek kalem: ",$B929))</f>
        <v/>
      </c>
    </row>
    <row r="930" customFormat="false" ht="15" hidden="false" customHeight="false" outlineLevel="0" collapsed="false">
      <c r="L930" s="23" t="n">
        <f aca="false">IF($E930="",0,$D930*$E930*(1-$G930-$H930-$I930))</f>
        <v>0</v>
      </c>
      <c r="M930" s="23" t="n">
        <f aca="false">IF($E930="",0,$D930*$E930-($F930*$E930+$G930*$D930*$E930+$H930*$D930*$E930+$I930*$D930*$E930+$J930*$D930*$E930*(1-$G930)+$K930*$E930))</f>
        <v>0</v>
      </c>
      <c r="N930" s="23" t="str">
        <f aca="false">IF($B930="","",CONCATENATE("Örnek kalem: ",$B930))</f>
        <v/>
      </c>
    </row>
    <row r="931" customFormat="false" ht="15" hidden="false" customHeight="false" outlineLevel="0" collapsed="false">
      <c r="L931" s="23" t="n">
        <f aca="false">IF($E931="",0,$D931*$E931*(1-$G931-$H931-$I931))</f>
        <v>0</v>
      </c>
      <c r="M931" s="23" t="n">
        <f aca="false">IF($E931="",0,$D931*$E931-($F931*$E931+$G931*$D931*$E931+$H931*$D931*$E931+$I931*$D931*$E931+$J931*$D931*$E931*(1-$G931)+$K931*$E931))</f>
        <v>0</v>
      </c>
      <c r="N931" s="23" t="str">
        <f aca="false">IF($B931="","",CONCATENATE("Örnek kalem: ",$B931))</f>
        <v/>
      </c>
    </row>
    <row r="932" customFormat="false" ht="15" hidden="false" customHeight="false" outlineLevel="0" collapsed="false">
      <c r="L932" s="23" t="n">
        <f aca="false">IF($E932="",0,$D932*$E932*(1-$G932-$H932-$I932))</f>
        <v>0</v>
      </c>
      <c r="M932" s="23" t="n">
        <f aca="false">IF($E932="",0,$D932*$E932-($F932*$E932+$G932*$D932*$E932+$H932*$D932*$E932+$I932*$D932*$E932+$J932*$D932*$E932*(1-$G932)+$K932*$E932))</f>
        <v>0</v>
      </c>
      <c r="N932" s="23" t="str">
        <f aca="false">IF($B932="","",CONCATENATE("Örnek kalem: ",$B932))</f>
        <v/>
      </c>
    </row>
    <row r="933" customFormat="false" ht="15" hidden="false" customHeight="false" outlineLevel="0" collapsed="false">
      <c r="L933" s="23" t="n">
        <f aca="false">IF($E933="",0,$D933*$E933*(1-$G933-$H933-$I933))</f>
        <v>0</v>
      </c>
      <c r="M933" s="23" t="n">
        <f aca="false">IF($E933="",0,$D933*$E933-($F933*$E933+$G933*$D933*$E933+$H933*$D933*$E933+$I933*$D933*$E933+$J933*$D933*$E933*(1-$G933)+$K933*$E933))</f>
        <v>0</v>
      </c>
      <c r="N933" s="23" t="str">
        <f aca="false">IF($B933="","",CONCATENATE("Örnek kalem: ",$B933))</f>
        <v/>
      </c>
    </row>
    <row r="934" customFormat="false" ht="15" hidden="false" customHeight="false" outlineLevel="0" collapsed="false">
      <c r="L934" s="23" t="n">
        <f aca="false">IF($E934="",0,$D934*$E934*(1-$G934-$H934-$I934))</f>
        <v>0</v>
      </c>
      <c r="M934" s="23" t="n">
        <f aca="false">IF($E934="",0,$D934*$E934-($F934*$E934+$G934*$D934*$E934+$H934*$D934*$E934+$I934*$D934*$E934+$J934*$D934*$E934*(1-$G934)+$K934*$E934))</f>
        <v>0</v>
      </c>
      <c r="N934" s="23" t="str">
        <f aca="false">IF($B934="","",CONCATENATE("Örnek kalem: ",$B934))</f>
        <v/>
      </c>
    </row>
    <row r="935" customFormat="false" ht="15" hidden="false" customHeight="false" outlineLevel="0" collapsed="false">
      <c r="L935" s="23" t="n">
        <f aca="false">IF($E935="",0,$D935*$E935*(1-$G935-$H935-$I935))</f>
        <v>0</v>
      </c>
      <c r="M935" s="23" t="n">
        <f aca="false">IF($E935="",0,$D935*$E935-($F935*$E935+$G935*$D935*$E935+$H935*$D935*$E935+$I935*$D935*$E935+$J935*$D935*$E935*(1-$G935)+$K935*$E935))</f>
        <v>0</v>
      </c>
      <c r="N935" s="23" t="str">
        <f aca="false">IF($B935="","",CONCATENATE("Örnek kalem: ",$B935))</f>
        <v/>
      </c>
    </row>
    <row r="936" customFormat="false" ht="15" hidden="false" customHeight="false" outlineLevel="0" collapsed="false">
      <c r="L936" s="23" t="n">
        <f aca="false">IF($E936="",0,$D936*$E936*(1-$G936-$H936-$I936))</f>
        <v>0</v>
      </c>
      <c r="M936" s="23" t="n">
        <f aca="false">IF($E936="",0,$D936*$E936-($F936*$E936+$G936*$D936*$E936+$H936*$D936*$E936+$I936*$D936*$E936+$J936*$D936*$E936*(1-$G936)+$K936*$E936))</f>
        <v>0</v>
      </c>
      <c r="N936" s="23" t="str">
        <f aca="false">IF($B936="","",CONCATENATE("Örnek kalem: ",$B936))</f>
        <v/>
      </c>
    </row>
    <row r="937" customFormat="false" ht="15" hidden="false" customHeight="false" outlineLevel="0" collapsed="false">
      <c r="L937" s="23" t="n">
        <f aca="false">IF($E937="",0,$D937*$E937*(1-$G937-$H937-$I937))</f>
        <v>0</v>
      </c>
      <c r="M937" s="23" t="n">
        <f aca="false">IF($E937="",0,$D937*$E937-($F937*$E937+$G937*$D937*$E937+$H937*$D937*$E937+$I937*$D937*$E937+$J937*$D937*$E937*(1-$G937)+$K937*$E937))</f>
        <v>0</v>
      </c>
      <c r="N937" s="23" t="str">
        <f aca="false">IF($B937="","",CONCATENATE("Örnek kalem: ",$B937))</f>
        <v/>
      </c>
    </row>
    <row r="938" customFormat="false" ht="15" hidden="false" customHeight="false" outlineLevel="0" collapsed="false">
      <c r="L938" s="23" t="n">
        <f aca="false">IF($E938="",0,$D938*$E938*(1-$G938-$H938-$I938))</f>
        <v>0</v>
      </c>
      <c r="M938" s="23" t="n">
        <f aca="false">IF($E938="",0,$D938*$E938-($F938*$E938+$G938*$D938*$E938+$H938*$D938*$E938+$I938*$D938*$E938+$J938*$D938*$E938*(1-$G938)+$K938*$E938))</f>
        <v>0</v>
      </c>
      <c r="N938" s="23" t="str">
        <f aca="false">IF($B938="","",CONCATENATE("Örnek kalem: ",$B938))</f>
        <v/>
      </c>
    </row>
    <row r="939" customFormat="false" ht="15" hidden="false" customHeight="false" outlineLevel="0" collapsed="false">
      <c r="L939" s="23" t="n">
        <f aca="false">IF($E939="",0,$D939*$E939*(1-$G939-$H939-$I939))</f>
        <v>0</v>
      </c>
      <c r="M939" s="23" t="n">
        <f aca="false">IF($E939="",0,$D939*$E939-($F939*$E939+$G939*$D939*$E939+$H939*$D939*$E939+$I939*$D939*$E939+$J939*$D939*$E939*(1-$G939)+$K939*$E939))</f>
        <v>0</v>
      </c>
      <c r="N939" s="23" t="str">
        <f aca="false">IF($B939="","",CONCATENATE("Örnek kalem: ",$B939))</f>
        <v/>
      </c>
    </row>
    <row r="940" customFormat="false" ht="15" hidden="false" customHeight="false" outlineLevel="0" collapsed="false">
      <c r="L940" s="23" t="n">
        <f aca="false">IF($E940="",0,$D940*$E940*(1-$G940-$H940-$I940))</f>
        <v>0</v>
      </c>
      <c r="M940" s="23" t="n">
        <f aca="false">IF($E940="",0,$D940*$E940-($F940*$E940+$G940*$D940*$E940+$H940*$D940*$E940+$I940*$D940*$E940+$J940*$D940*$E940*(1-$G940)+$K940*$E940))</f>
        <v>0</v>
      </c>
      <c r="N940" s="23" t="str">
        <f aca="false">IF($B940="","",CONCATENATE("Örnek kalem: ",$B940))</f>
        <v/>
      </c>
    </row>
    <row r="941" customFormat="false" ht="15" hidden="false" customHeight="false" outlineLevel="0" collapsed="false">
      <c r="L941" s="23" t="n">
        <f aca="false">IF($E941="",0,$D941*$E941*(1-$G941-$H941-$I941))</f>
        <v>0</v>
      </c>
      <c r="M941" s="23" t="n">
        <f aca="false">IF($E941="",0,$D941*$E941-($F941*$E941+$G941*$D941*$E941+$H941*$D941*$E941+$I941*$D941*$E941+$J941*$D941*$E941*(1-$G941)+$K941*$E941))</f>
        <v>0</v>
      </c>
      <c r="N941" s="23" t="str">
        <f aca="false">IF($B941="","",CONCATENATE("Örnek kalem: ",$B941))</f>
        <v/>
      </c>
    </row>
    <row r="942" customFormat="false" ht="15" hidden="false" customHeight="false" outlineLevel="0" collapsed="false">
      <c r="L942" s="23" t="n">
        <f aca="false">IF($E942="",0,$D942*$E942*(1-$G942-$H942-$I942))</f>
        <v>0</v>
      </c>
      <c r="M942" s="23" t="n">
        <f aca="false">IF($E942="",0,$D942*$E942-($F942*$E942+$G942*$D942*$E942+$H942*$D942*$E942+$I942*$D942*$E942+$J942*$D942*$E942*(1-$G942)+$K942*$E942))</f>
        <v>0</v>
      </c>
      <c r="N942" s="23" t="str">
        <f aca="false">IF($B942="","",CONCATENATE("Örnek kalem: ",$B942))</f>
        <v/>
      </c>
    </row>
    <row r="943" customFormat="false" ht="15" hidden="false" customHeight="false" outlineLevel="0" collapsed="false">
      <c r="L943" s="23" t="n">
        <f aca="false">IF($E943="",0,$D943*$E943*(1-$G943-$H943-$I943))</f>
        <v>0</v>
      </c>
      <c r="M943" s="23" t="n">
        <f aca="false">IF($E943="",0,$D943*$E943-($F943*$E943+$G943*$D943*$E943+$H943*$D943*$E943+$I943*$D943*$E943+$J943*$D943*$E943*(1-$G943)+$K943*$E943))</f>
        <v>0</v>
      </c>
      <c r="N943" s="23" t="str">
        <f aca="false">IF($B943="","",CONCATENATE("Örnek kalem: ",$B943))</f>
        <v/>
      </c>
    </row>
    <row r="944" customFormat="false" ht="15" hidden="false" customHeight="false" outlineLevel="0" collapsed="false">
      <c r="L944" s="23" t="n">
        <f aca="false">IF($E944="",0,$D944*$E944*(1-$G944-$H944-$I944))</f>
        <v>0</v>
      </c>
      <c r="M944" s="23" t="n">
        <f aca="false">IF($E944="",0,$D944*$E944-($F944*$E944+$G944*$D944*$E944+$H944*$D944*$E944+$I944*$D944*$E944+$J944*$D944*$E944*(1-$G944)+$K944*$E944))</f>
        <v>0</v>
      </c>
      <c r="N944" s="23" t="str">
        <f aca="false">IF($B944="","",CONCATENATE("Örnek kalem: ",$B944))</f>
        <v/>
      </c>
    </row>
    <row r="945" customFormat="false" ht="15" hidden="false" customHeight="false" outlineLevel="0" collapsed="false">
      <c r="L945" s="23" t="n">
        <f aca="false">IF($E945="",0,$D945*$E945*(1-$G945-$H945-$I945))</f>
        <v>0</v>
      </c>
      <c r="M945" s="23" t="n">
        <f aca="false">IF($E945="",0,$D945*$E945-($F945*$E945+$G945*$D945*$E945+$H945*$D945*$E945+$I945*$D945*$E945+$J945*$D945*$E945*(1-$G945)+$K945*$E945))</f>
        <v>0</v>
      </c>
      <c r="N945" s="23" t="str">
        <f aca="false">IF($B945="","",CONCATENATE("Örnek kalem: ",$B945))</f>
        <v/>
      </c>
    </row>
    <row r="946" customFormat="false" ht="15" hidden="false" customHeight="false" outlineLevel="0" collapsed="false">
      <c r="L946" s="23" t="n">
        <f aca="false">IF($E946="",0,$D946*$E946*(1-$G946-$H946-$I946))</f>
        <v>0</v>
      </c>
      <c r="M946" s="23" t="n">
        <f aca="false">IF($E946="",0,$D946*$E946-($F946*$E946+$G946*$D946*$E946+$H946*$D946*$E946+$I946*$D946*$E946+$J946*$D946*$E946*(1-$G946)+$K946*$E946))</f>
        <v>0</v>
      </c>
      <c r="N946" s="23" t="str">
        <f aca="false">IF($B946="","",CONCATENATE("Örnek kalem: ",$B946))</f>
        <v/>
      </c>
    </row>
    <row r="947" customFormat="false" ht="15" hidden="false" customHeight="false" outlineLevel="0" collapsed="false">
      <c r="L947" s="23" t="n">
        <f aca="false">IF($E947="",0,$D947*$E947*(1-$G947-$H947-$I947))</f>
        <v>0</v>
      </c>
      <c r="M947" s="23" t="n">
        <f aca="false">IF($E947="",0,$D947*$E947-($F947*$E947+$G947*$D947*$E947+$H947*$D947*$E947+$I947*$D947*$E947+$J947*$D947*$E947*(1-$G947)+$K947*$E947))</f>
        <v>0</v>
      </c>
      <c r="N947" s="23" t="str">
        <f aca="false">IF($B947="","",CONCATENATE("Örnek kalem: ",$B947))</f>
        <v/>
      </c>
    </row>
    <row r="948" customFormat="false" ht="15" hidden="false" customHeight="false" outlineLevel="0" collapsed="false">
      <c r="L948" s="23" t="n">
        <f aca="false">IF($E948="",0,$D948*$E948*(1-$G948-$H948-$I948))</f>
        <v>0</v>
      </c>
      <c r="M948" s="23" t="n">
        <f aca="false">IF($E948="",0,$D948*$E948-($F948*$E948+$G948*$D948*$E948+$H948*$D948*$E948+$I948*$D948*$E948+$J948*$D948*$E948*(1-$G948)+$K948*$E948))</f>
        <v>0</v>
      </c>
      <c r="N948" s="23" t="str">
        <f aca="false">IF($B948="","",CONCATENATE("Örnek kalem: ",$B948))</f>
        <v/>
      </c>
    </row>
    <row r="949" customFormat="false" ht="15" hidden="false" customHeight="false" outlineLevel="0" collapsed="false">
      <c r="L949" s="23" t="n">
        <f aca="false">IF($E949="",0,$D949*$E949*(1-$G949-$H949-$I949))</f>
        <v>0</v>
      </c>
      <c r="M949" s="23" t="n">
        <f aca="false">IF($E949="",0,$D949*$E949-($F949*$E949+$G949*$D949*$E949+$H949*$D949*$E949+$I949*$D949*$E949+$J949*$D949*$E949*(1-$G949)+$K949*$E949))</f>
        <v>0</v>
      </c>
      <c r="N949" s="23" t="str">
        <f aca="false">IF($B949="","",CONCATENATE("Örnek kalem: ",$B949))</f>
        <v/>
      </c>
    </row>
    <row r="950" customFormat="false" ht="15" hidden="false" customHeight="false" outlineLevel="0" collapsed="false">
      <c r="L950" s="23" t="n">
        <f aca="false">IF($E950="",0,$D950*$E950*(1-$G950-$H950-$I950))</f>
        <v>0</v>
      </c>
      <c r="M950" s="23" t="n">
        <f aca="false">IF($E950="",0,$D950*$E950-($F950*$E950+$G950*$D950*$E950+$H950*$D950*$E950+$I950*$D950*$E950+$J950*$D950*$E950*(1-$G950)+$K950*$E950))</f>
        <v>0</v>
      </c>
      <c r="N950" s="23" t="str">
        <f aca="false">IF($B950="","",CONCATENATE("Örnek kalem: ",$B950))</f>
        <v/>
      </c>
    </row>
    <row r="951" customFormat="false" ht="15" hidden="false" customHeight="false" outlineLevel="0" collapsed="false">
      <c r="L951" s="23" t="n">
        <f aca="false">IF($E951="",0,$D951*$E951*(1-$G951-$H951-$I951))</f>
        <v>0</v>
      </c>
      <c r="M951" s="23" t="n">
        <f aca="false">IF($E951="",0,$D951*$E951-($F951*$E951+$G951*$D951*$E951+$H951*$D951*$E951+$I951*$D951*$E951+$J951*$D951*$E951*(1-$G951)+$K951*$E951))</f>
        <v>0</v>
      </c>
      <c r="N951" s="23" t="str">
        <f aca="false">IF($B951="","",CONCATENATE("Örnek kalem: ",$B951))</f>
        <v/>
      </c>
    </row>
    <row r="952" customFormat="false" ht="15" hidden="false" customHeight="false" outlineLevel="0" collapsed="false">
      <c r="L952" s="23" t="n">
        <f aca="false">IF($E952="",0,$D952*$E952*(1-$G952-$H952-$I952))</f>
        <v>0</v>
      </c>
      <c r="M952" s="23" t="n">
        <f aca="false">IF($E952="",0,$D952*$E952-($F952*$E952+$G952*$D952*$E952+$H952*$D952*$E952+$I952*$D952*$E952+$J952*$D952*$E952*(1-$G952)+$K952*$E952))</f>
        <v>0</v>
      </c>
      <c r="N952" s="23" t="str">
        <f aca="false">IF($B952="","",CONCATENATE("Örnek kalem: ",$B952))</f>
        <v/>
      </c>
    </row>
    <row r="953" customFormat="false" ht="15" hidden="false" customHeight="false" outlineLevel="0" collapsed="false">
      <c r="L953" s="23" t="n">
        <f aca="false">IF($E953="",0,$D953*$E953*(1-$G953-$H953-$I953))</f>
        <v>0</v>
      </c>
      <c r="M953" s="23" t="n">
        <f aca="false">IF($E953="",0,$D953*$E953-($F953*$E953+$G953*$D953*$E953+$H953*$D953*$E953+$I953*$D953*$E953+$J953*$D953*$E953*(1-$G953)+$K953*$E953))</f>
        <v>0</v>
      </c>
      <c r="N953" s="23" t="str">
        <f aca="false">IF($B953="","",CONCATENATE("Örnek kalem: ",$B953))</f>
        <v/>
      </c>
    </row>
    <row r="954" customFormat="false" ht="15" hidden="false" customHeight="false" outlineLevel="0" collapsed="false">
      <c r="L954" s="23" t="n">
        <f aca="false">IF($E954="",0,$D954*$E954*(1-$G954-$H954-$I954))</f>
        <v>0</v>
      </c>
      <c r="M954" s="23" t="n">
        <f aca="false">IF($E954="",0,$D954*$E954-($F954*$E954+$G954*$D954*$E954+$H954*$D954*$E954+$I954*$D954*$E954+$J954*$D954*$E954*(1-$G954)+$K954*$E954))</f>
        <v>0</v>
      </c>
      <c r="N954" s="23" t="str">
        <f aca="false">IF($B954="","",CONCATENATE("Örnek kalem: ",$B954))</f>
        <v/>
      </c>
    </row>
    <row r="955" customFormat="false" ht="15" hidden="false" customHeight="false" outlineLevel="0" collapsed="false">
      <c r="L955" s="23" t="n">
        <f aca="false">IF($E955="",0,$D955*$E955*(1-$G955-$H955-$I955))</f>
        <v>0</v>
      </c>
      <c r="M955" s="23" t="n">
        <f aca="false">IF($E955="",0,$D955*$E955-($F955*$E955+$G955*$D955*$E955+$H955*$D955*$E955+$I955*$D955*$E955+$J955*$D955*$E955*(1-$G955)+$K955*$E955))</f>
        <v>0</v>
      </c>
      <c r="N955" s="23" t="str">
        <f aca="false">IF($B955="","",CONCATENATE("Örnek kalem: ",$B955))</f>
        <v/>
      </c>
    </row>
    <row r="956" customFormat="false" ht="15" hidden="false" customHeight="false" outlineLevel="0" collapsed="false">
      <c r="L956" s="23" t="n">
        <f aca="false">IF($E956="",0,$D956*$E956*(1-$G956-$H956-$I956))</f>
        <v>0</v>
      </c>
      <c r="M956" s="23" t="n">
        <f aca="false">IF($E956="",0,$D956*$E956-($F956*$E956+$G956*$D956*$E956+$H956*$D956*$E956+$I956*$D956*$E956+$J956*$D956*$E956*(1-$G956)+$K956*$E956))</f>
        <v>0</v>
      </c>
      <c r="N956" s="23" t="str">
        <f aca="false">IF($B956="","",CONCATENATE("Örnek kalem: ",$B956))</f>
        <v/>
      </c>
    </row>
    <row r="957" customFormat="false" ht="15" hidden="false" customHeight="false" outlineLevel="0" collapsed="false">
      <c r="L957" s="23" t="n">
        <f aca="false">IF($E957="",0,$D957*$E957*(1-$G957-$H957-$I957))</f>
        <v>0</v>
      </c>
      <c r="M957" s="23" t="n">
        <f aca="false">IF($E957="",0,$D957*$E957-($F957*$E957+$G957*$D957*$E957+$H957*$D957*$E957+$I957*$D957*$E957+$J957*$D957*$E957*(1-$G957)+$K957*$E957))</f>
        <v>0</v>
      </c>
      <c r="N957" s="23" t="str">
        <f aca="false">IF($B957="","",CONCATENATE("Örnek kalem: ",$B957))</f>
        <v/>
      </c>
    </row>
    <row r="958" customFormat="false" ht="15" hidden="false" customHeight="false" outlineLevel="0" collapsed="false">
      <c r="L958" s="23" t="n">
        <f aca="false">IF($E958="",0,$D958*$E958*(1-$G958-$H958-$I958))</f>
        <v>0</v>
      </c>
      <c r="M958" s="23" t="n">
        <f aca="false">IF($E958="",0,$D958*$E958-($F958*$E958+$G958*$D958*$E958+$H958*$D958*$E958+$I958*$D958*$E958+$J958*$D958*$E958*(1-$G958)+$K958*$E958))</f>
        <v>0</v>
      </c>
      <c r="N958" s="23" t="str">
        <f aca="false">IF($B958="","",CONCATENATE("Örnek kalem: ",$B958))</f>
        <v/>
      </c>
    </row>
    <row r="959" customFormat="false" ht="15" hidden="false" customHeight="false" outlineLevel="0" collapsed="false">
      <c r="L959" s="23" t="n">
        <f aca="false">IF($E959="",0,$D959*$E959*(1-$G959-$H959-$I959))</f>
        <v>0</v>
      </c>
      <c r="M959" s="23" t="n">
        <f aca="false">IF($E959="",0,$D959*$E959-($F959*$E959+$G959*$D959*$E959+$H959*$D959*$E959+$I959*$D959*$E959+$J959*$D959*$E959*(1-$G959)+$K959*$E959))</f>
        <v>0</v>
      </c>
      <c r="N959" s="23" t="str">
        <f aca="false">IF($B959="","",CONCATENATE("Örnek kalem: ",$B959))</f>
        <v/>
      </c>
    </row>
    <row r="960" customFormat="false" ht="15" hidden="false" customHeight="false" outlineLevel="0" collapsed="false">
      <c r="L960" s="23" t="n">
        <f aca="false">IF($E960="",0,$D960*$E960*(1-$G960-$H960-$I960))</f>
        <v>0</v>
      </c>
      <c r="M960" s="23" t="n">
        <f aca="false">IF($E960="",0,$D960*$E960-($F960*$E960+$G960*$D960*$E960+$H960*$D960*$E960+$I960*$D960*$E960+$J960*$D960*$E960*(1-$G960)+$K960*$E960))</f>
        <v>0</v>
      </c>
      <c r="N960" s="23" t="str">
        <f aca="false">IF($B960="","",CONCATENATE("Örnek kalem: ",$B960))</f>
        <v/>
      </c>
    </row>
    <row r="961" customFormat="false" ht="15" hidden="false" customHeight="false" outlineLevel="0" collapsed="false">
      <c r="L961" s="23" t="n">
        <f aca="false">IF($E961="",0,$D961*$E961*(1-$G961-$H961-$I961))</f>
        <v>0</v>
      </c>
      <c r="M961" s="23" t="n">
        <f aca="false">IF($E961="",0,$D961*$E961-($F961*$E961+$G961*$D961*$E961+$H961*$D961*$E961+$I961*$D961*$E961+$J961*$D961*$E961*(1-$G961)+$K961*$E961))</f>
        <v>0</v>
      </c>
      <c r="N961" s="23" t="str">
        <f aca="false">IF($B961="","",CONCATENATE("Örnek kalem: ",$B961))</f>
        <v/>
      </c>
    </row>
    <row r="962" customFormat="false" ht="15" hidden="false" customHeight="false" outlineLevel="0" collapsed="false">
      <c r="L962" s="23" t="n">
        <f aca="false">IF($E962="",0,$D962*$E962*(1-$G962-$H962-$I962))</f>
        <v>0</v>
      </c>
      <c r="M962" s="23" t="n">
        <f aca="false">IF($E962="",0,$D962*$E962-($F962*$E962+$G962*$D962*$E962+$H962*$D962*$E962+$I962*$D962*$E962+$J962*$D962*$E962*(1-$G962)+$K962*$E962))</f>
        <v>0</v>
      </c>
      <c r="N962" s="23" t="str">
        <f aca="false">IF($B962="","",CONCATENATE("Örnek kalem: ",$B962))</f>
        <v/>
      </c>
    </row>
    <row r="963" customFormat="false" ht="15" hidden="false" customHeight="false" outlineLevel="0" collapsed="false">
      <c r="L963" s="23" t="n">
        <f aca="false">IF($E963="",0,$D963*$E963*(1-$G963-$H963-$I963))</f>
        <v>0</v>
      </c>
      <c r="M963" s="23" t="n">
        <f aca="false">IF($E963="",0,$D963*$E963-($F963*$E963+$G963*$D963*$E963+$H963*$D963*$E963+$I963*$D963*$E963+$J963*$D963*$E963*(1-$G963)+$K963*$E963))</f>
        <v>0</v>
      </c>
      <c r="N963" s="23" t="str">
        <f aca="false">IF($B963="","",CONCATENATE("Örnek kalem: ",$B963))</f>
        <v/>
      </c>
    </row>
    <row r="964" customFormat="false" ht="15" hidden="false" customHeight="false" outlineLevel="0" collapsed="false">
      <c r="L964" s="23" t="n">
        <f aca="false">IF($E964="",0,$D964*$E964*(1-$G964-$H964-$I964))</f>
        <v>0</v>
      </c>
      <c r="M964" s="23" t="n">
        <f aca="false">IF($E964="",0,$D964*$E964-($F964*$E964+$G964*$D964*$E964+$H964*$D964*$E964+$I964*$D964*$E964+$J964*$D964*$E964*(1-$G964)+$K964*$E964))</f>
        <v>0</v>
      </c>
      <c r="N964" s="23" t="str">
        <f aca="false">IF($B964="","",CONCATENATE("Örnek kalem: ",$B964))</f>
        <v/>
      </c>
    </row>
    <row r="965" customFormat="false" ht="15" hidden="false" customHeight="false" outlineLevel="0" collapsed="false">
      <c r="L965" s="23" t="n">
        <f aca="false">IF($E965="",0,$D965*$E965*(1-$G965-$H965-$I965))</f>
        <v>0</v>
      </c>
      <c r="M965" s="23" t="n">
        <f aca="false">IF($E965="",0,$D965*$E965-($F965*$E965+$G965*$D965*$E965+$H965*$D965*$E965+$I965*$D965*$E965+$J965*$D965*$E965*(1-$G965)+$K965*$E965))</f>
        <v>0</v>
      </c>
      <c r="N965" s="23" t="str">
        <f aca="false">IF($B965="","",CONCATENATE("Örnek kalem: ",$B965))</f>
        <v/>
      </c>
    </row>
    <row r="966" customFormat="false" ht="15" hidden="false" customHeight="false" outlineLevel="0" collapsed="false">
      <c r="L966" s="23" t="n">
        <f aca="false">IF($E966="",0,$D966*$E966*(1-$G966-$H966-$I966))</f>
        <v>0</v>
      </c>
      <c r="M966" s="23" t="n">
        <f aca="false">IF($E966="",0,$D966*$E966-($F966*$E966+$G966*$D966*$E966+$H966*$D966*$E966+$I966*$D966*$E966+$J966*$D966*$E966*(1-$G966)+$K966*$E966))</f>
        <v>0</v>
      </c>
      <c r="N966" s="23" t="str">
        <f aca="false">IF($B966="","",CONCATENATE("Örnek kalem: ",$B966))</f>
        <v/>
      </c>
    </row>
    <row r="967" customFormat="false" ht="15" hidden="false" customHeight="false" outlineLevel="0" collapsed="false">
      <c r="L967" s="23" t="n">
        <f aca="false">IF($E967="",0,$D967*$E967*(1-$G967-$H967-$I967))</f>
        <v>0</v>
      </c>
      <c r="M967" s="23" t="n">
        <f aca="false">IF($E967="",0,$D967*$E967-($F967*$E967+$G967*$D967*$E967+$H967*$D967*$E967+$I967*$D967*$E967+$J967*$D967*$E967*(1-$G967)+$K967*$E967))</f>
        <v>0</v>
      </c>
      <c r="N967" s="23" t="str">
        <f aca="false">IF($B967="","",CONCATENATE("Örnek kalem: ",$B967))</f>
        <v/>
      </c>
    </row>
    <row r="968" customFormat="false" ht="15" hidden="false" customHeight="false" outlineLevel="0" collapsed="false">
      <c r="L968" s="23" t="n">
        <f aca="false">IF($E968="",0,$D968*$E968*(1-$G968-$H968-$I968))</f>
        <v>0</v>
      </c>
      <c r="M968" s="23" t="n">
        <f aca="false">IF($E968="",0,$D968*$E968-($F968*$E968+$G968*$D968*$E968+$H968*$D968*$E968+$I968*$D968*$E968+$J968*$D968*$E968*(1-$G968)+$K968*$E968))</f>
        <v>0</v>
      </c>
      <c r="N968" s="23" t="str">
        <f aca="false">IF($B968="","",CONCATENATE("Örnek kalem: ",$B968))</f>
        <v/>
      </c>
    </row>
    <row r="969" customFormat="false" ht="15" hidden="false" customHeight="false" outlineLevel="0" collapsed="false">
      <c r="L969" s="23" t="n">
        <f aca="false">IF($E969="",0,$D969*$E969*(1-$G969-$H969-$I969))</f>
        <v>0</v>
      </c>
      <c r="M969" s="23" t="n">
        <f aca="false">IF($E969="",0,$D969*$E969-($F969*$E969+$G969*$D969*$E969+$H969*$D969*$E969+$I969*$D969*$E969+$J969*$D969*$E969*(1-$G969)+$K969*$E969))</f>
        <v>0</v>
      </c>
      <c r="N969" s="23" t="str">
        <f aca="false">IF($B969="","",CONCATENATE("Örnek kalem: ",$B969))</f>
        <v/>
      </c>
    </row>
    <row r="970" customFormat="false" ht="15" hidden="false" customHeight="false" outlineLevel="0" collapsed="false">
      <c r="L970" s="23" t="n">
        <f aca="false">IF($E970="",0,$D970*$E970*(1-$G970-$H970-$I970))</f>
        <v>0</v>
      </c>
      <c r="M970" s="23" t="n">
        <f aca="false">IF($E970="",0,$D970*$E970-($F970*$E970+$G970*$D970*$E970+$H970*$D970*$E970+$I970*$D970*$E970+$J970*$D970*$E970*(1-$G970)+$K970*$E970))</f>
        <v>0</v>
      </c>
      <c r="N970" s="23" t="str">
        <f aca="false">IF($B970="","",CONCATENATE("Örnek kalem: ",$B970))</f>
        <v/>
      </c>
    </row>
    <row r="971" customFormat="false" ht="15" hidden="false" customHeight="false" outlineLevel="0" collapsed="false">
      <c r="L971" s="23" t="n">
        <f aca="false">IF($E971="",0,$D971*$E971*(1-$G971-$H971-$I971))</f>
        <v>0</v>
      </c>
      <c r="M971" s="23" t="n">
        <f aca="false">IF($E971="",0,$D971*$E971-($F971*$E971+$G971*$D971*$E971+$H971*$D971*$E971+$I971*$D971*$E971+$J971*$D971*$E971*(1-$G971)+$K971*$E971))</f>
        <v>0</v>
      </c>
      <c r="N971" s="23" t="str">
        <f aca="false">IF($B971="","",CONCATENATE("Örnek kalem: ",$B971))</f>
        <v/>
      </c>
    </row>
    <row r="972" customFormat="false" ht="15" hidden="false" customHeight="false" outlineLevel="0" collapsed="false">
      <c r="L972" s="23" t="n">
        <f aca="false">IF($E972="",0,$D972*$E972*(1-$G972-$H972-$I972))</f>
        <v>0</v>
      </c>
      <c r="M972" s="23" t="n">
        <f aca="false">IF($E972="",0,$D972*$E972-($F972*$E972+$G972*$D972*$E972+$H972*$D972*$E972+$I972*$D972*$E972+$J972*$D972*$E972*(1-$G972)+$K972*$E972))</f>
        <v>0</v>
      </c>
      <c r="N972" s="23" t="str">
        <f aca="false">IF($B972="","",CONCATENATE("Örnek kalem: ",$B972))</f>
        <v/>
      </c>
    </row>
    <row r="973" customFormat="false" ht="15" hidden="false" customHeight="false" outlineLevel="0" collapsed="false">
      <c r="L973" s="23" t="n">
        <f aca="false">IF($E973="",0,$D973*$E973*(1-$G973-$H973-$I973))</f>
        <v>0</v>
      </c>
      <c r="M973" s="23" t="n">
        <f aca="false">IF($E973="",0,$D973*$E973-($F973*$E973+$G973*$D973*$E973+$H973*$D973*$E973+$I973*$D973*$E973+$J973*$D973*$E973*(1-$G973)+$K973*$E973))</f>
        <v>0</v>
      </c>
      <c r="N973" s="23" t="str">
        <f aca="false">IF($B973="","",CONCATENATE("Örnek kalem: ",$B973))</f>
        <v/>
      </c>
    </row>
    <row r="974" customFormat="false" ht="15" hidden="false" customHeight="false" outlineLevel="0" collapsed="false">
      <c r="L974" s="23" t="n">
        <f aca="false">IF($E974="",0,$D974*$E974*(1-$G974-$H974-$I974))</f>
        <v>0</v>
      </c>
      <c r="M974" s="23" t="n">
        <f aca="false">IF($E974="",0,$D974*$E974-($F974*$E974+$G974*$D974*$E974+$H974*$D974*$E974+$I974*$D974*$E974+$J974*$D974*$E974*(1-$G974)+$K974*$E974))</f>
        <v>0</v>
      </c>
      <c r="N974" s="23" t="str">
        <f aca="false">IF($B974="","",CONCATENATE("Örnek kalem: ",$B974))</f>
        <v/>
      </c>
    </row>
    <row r="975" customFormat="false" ht="15" hidden="false" customHeight="false" outlineLevel="0" collapsed="false">
      <c r="L975" s="23" t="n">
        <f aca="false">IF($E975="",0,$D975*$E975*(1-$G975-$H975-$I975))</f>
        <v>0</v>
      </c>
      <c r="M975" s="23" t="n">
        <f aca="false">IF($E975="",0,$D975*$E975-($F975*$E975+$G975*$D975*$E975+$H975*$D975*$E975+$I975*$D975*$E975+$J975*$D975*$E975*(1-$G975)+$K975*$E975))</f>
        <v>0</v>
      </c>
      <c r="N975" s="23" t="str">
        <f aca="false">IF($B975="","",CONCATENATE("Örnek kalem: ",$B975))</f>
        <v/>
      </c>
    </row>
    <row r="976" customFormat="false" ht="15" hidden="false" customHeight="false" outlineLevel="0" collapsed="false">
      <c r="L976" s="23" t="n">
        <f aca="false">IF($E976="",0,$D976*$E976*(1-$G976-$H976-$I976))</f>
        <v>0</v>
      </c>
      <c r="M976" s="23" t="n">
        <f aca="false">IF($E976="",0,$D976*$E976-($F976*$E976+$G976*$D976*$E976+$H976*$D976*$E976+$I976*$D976*$E976+$J976*$D976*$E976*(1-$G976)+$K976*$E976))</f>
        <v>0</v>
      </c>
      <c r="N976" s="23" t="str">
        <f aca="false">IF($B976="","",CONCATENATE("Örnek kalem: ",$B976))</f>
        <v/>
      </c>
    </row>
    <row r="977" customFormat="false" ht="15" hidden="false" customHeight="false" outlineLevel="0" collapsed="false">
      <c r="L977" s="23" t="n">
        <f aca="false">IF($E977="",0,$D977*$E977*(1-$G977-$H977-$I977))</f>
        <v>0</v>
      </c>
      <c r="M977" s="23" t="n">
        <f aca="false">IF($E977="",0,$D977*$E977-($F977*$E977+$G977*$D977*$E977+$H977*$D977*$E977+$I977*$D977*$E977+$J977*$D977*$E977*(1-$G977)+$K977*$E977))</f>
        <v>0</v>
      </c>
      <c r="N977" s="23" t="str">
        <f aca="false">IF($B977="","",CONCATENATE("Örnek kalem: ",$B977))</f>
        <v/>
      </c>
    </row>
    <row r="978" customFormat="false" ht="15" hidden="false" customHeight="false" outlineLevel="0" collapsed="false">
      <c r="L978" s="23" t="n">
        <f aca="false">IF($E978="",0,$D978*$E978*(1-$G978-$H978-$I978))</f>
        <v>0</v>
      </c>
      <c r="M978" s="23" t="n">
        <f aca="false">IF($E978="",0,$D978*$E978-($F978*$E978+$G978*$D978*$E978+$H978*$D978*$E978+$I978*$D978*$E978+$J978*$D978*$E978*(1-$G978)+$K978*$E978))</f>
        <v>0</v>
      </c>
      <c r="N978" s="23" t="str">
        <f aca="false">IF($B978="","",CONCATENATE("Örnek kalem: ",$B978))</f>
        <v/>
      </c>
    </row>
    <row r="979" customFormat="false" ht="15" hidden="false" customHeight="false" outlineLevel="0" collapsed="false">
      <c r="L979" s="23" t="n">
        <f aca="false">IF($E979="",0,$D979*$E979*(1-$G979-$H979-$I979))</f>
        <v>0</v>
      </c>
      <c r="M979" s="23" t="n">
        <f aca="false">IF($E979="",0,$D979*$E979-($F979*$E979+$G979*$D979*$E979+$H979*$D979*$E979+$I979*$D979*$E979+$J979*$D979*$E979*(1-$G979)+$K979*$E979))</f>
        <v>0</v>
      </c>
      <c r="N979" s="23" t="str">
        <f aca="false">IF($B979="","",CONCATENATE("Örnek kalem: ",$B979))</f>
        <v/>
      </c>
    </row>
    <row r="980" customFormat="false" ht="15" hidden="false" customHeight="false" outlineLevel="0" collapsed="false">
      <c r="L980" s="23" t="n">
        <f aca="false">IF($E980="",0,$D980*$E980*(1-$G980-$H980-$I980))</f>
        <v>0</v>
      </c>
      <c r="M980" s="23" t="n">
        <f aca="false">IF($E980="",0,$D980*$E980-($F980*$E980+$G980*$D980*$E980+$H980*$D980*$E980+$I980*$D980*$E980+$J980*$D980*$E980*(1-$G980)+$K980*$E980))</f>
        <v>0</v>
      </c>
      <c r="N980" s="23" t="str">
        <f aca="false">IF($B980="","",CONCATENATE("Örnek kalem: ",$B980))</f>
        <v/>
      </c>
    </row>
    <row r="981" customFormat="false" ht="15" hidden="false" customHeight="false" outlineLevel="0" collapsed="false">
      <c r="L981" s="23" t="n">
        <f aca="false">IF($E981="",0,$D981*$E981*(1-$G981-$H981-$I981))</f>
        <v>0</v>
      </c>
      <c r="M981" s="23" t="n">
        <f aca="false">IF($E981="",0,$D981*$E981-($F981*$E981+$G981*$D981*$E981+$H981*$D981*$E981+$I981*$D981*$E981+$J981*$D981*$E981*(1-$G981)+$K981*$E981))</f>
        <v>0</v>
      </c>
      <c r="N981" s="23" t="str">
        <f aca="false">IF($B981="","",CONCATENATE("Örnek kalem: ",$B981))</f>
        <v/>
      </c>
    </row>
    <row r="982" customFormat="false" ht="15" hidden="false" customHeight="false" outlineLevel="0" collapsed="false">
      <c r="L982" s="23" t="n">
        <f aca="false">IF($E982="",0,$D982*$E982*(1-$G982-$H982-$I982))</f>
        <v>0</v>
      </c>
      <c r="M982" s="23" t="n">
        <f aca="false">IF($E982="",0,$D982*$E982-($F982*$E982+$G982*$D982*$E982+$H982*$D982*$E982+$I982*$D982*$E982+$J982*$D982*$E982*(1-$G982)+$K982*$E982))</f>
        <v>0</v>
      </c>
      <c r="N982" s="23" t="str">
        <f aca="false">IF($B982="","",CONCATENATE("Örnek kalem: ",$B982))</f>
        <v/>
      </c>
    </row>
    <row r="983" customFormat="false" ht="15" hidden="false" customHeight="false" outlineLevel="0" collapsed="false">
      <c r="L983" s="23" t="n">
        <f aca="false">IF($E983="",0,$D983*$E983*(1-$G983-$H983-$I983))</f>
        <v>0</v>
      </c>
      <c r="M983" s="23" t="n">
        <f aca="false">IF($E983="",0,$D983*$E983-($F983*$E983+$G983*$D983*$E983+$H983*$D983*$E983+$I983*$D983*$E983+$J983*$D983*$E983*(1-$G983)+$K983*$E983))</f>
        <v>0</v>
      </c>
      <c r="N983" s="23" t="str">
        <f aca="false">IF($B983="","",CONCATENATE("Örnek kalem: ",$B983))</f>
        <v/>
      </c>
    </row>
    <row r="984" customFormat="false" ht="15" hidden="false" customHeight="false" outlineLevel="0" collapsed="false">
      <c r="L984" s="23" t="n">
        <f aca="false">IF($E984="",0,$D984*$E984*(1-$G984-$H984-$I984))</f>
        <v>0</v>
      </c>
      <c r="M984" s="23" t="n">
        <f aca="false">IF($E984="",0,$D984*$E984-($F984*$E984+$G984*$D984*$E984+$H984*$D984*$E984+$I984*$D984*$E984+$J984*$D984*$E984*(1-$G984)+$K984*$E984))</f>
        <v>0</v>
      </c>
      <c r="N984" s="23" t="str">
        <f aca="false">IF($B984="","",CONCATENATE("Örnek kalem: ",$B984))</f>
        <v/>
      </c>
    </row>
    <row r="985" customFormat="false" ht="15" hidden="false" customHeight="false" outlineLevel="0" collapsed="false">
      <c r="L985" s="23" t="n">
        <f aca="false">IF($E985="",0,$D985*$E985*(1-$G985-$H985-$I985))</f>
        <v>0</v>
      </c>
      <c r="M985" s="23" t="n">
        <f aca="false">IF($E985="",0,$D985*$E985-($F985*$E985+$G985*$D985*$E985+$H985*$D985*$E985+$I985*$D985*$E985+$J985*$D985*$E985*(1-$G985)+$K985*$E985))</f>
        <v>0</v>
      </c>
      <c r="N985" s="23" t="str">
        <f aca="false">IF($B985="","",CONCATENATE("Örnek kalem: ",$B985))</f>
        <v/>
      </c>
    </row>
    <row r="986" customFormat="false" ht="15" hidden="false" customHeight="false" outlineLevel="0" collapsed="false">
      <c r="L986" s="23" t="n">
        <f aca="false">IF($E986="",0,$D986*$E986*(1-$G986-$H986-$I986))</f>
        <v>0</v>
      </c>
      <c r="M986" s="23" t="n">
        <f aca="false">IF($E986="",0,$D986*$E986-($F986*$E986+$G986*$D986*$E986+$H986*$D986*$E986+$I986*$D986*$E986+$J986*$D986*$E986*(1-$G986)+$K986*$E986))</f>
        <v>0</v>
      </c>
      <c r="N986" s="23" t="str">
        <f aca="false">IF($B986="","",CONCATENATE("Örnek kalem: ",$B986))</f>
        <v/>
      </c>
    </row>
    <row r="987" customFormat="false" ht="15" hidden="false" customHeight="false" outlineLevel="0" collapsed="false">
      <c r="L987" s="23" t="n">
        <f aca="false">IF($E987="",0,$D987*$E987*(1-$G987-$H987-$I987))</f>
        <v>0</v>
      </c>
      <c r="M987" s="23" t="n">
        <f aca="false">IF($E987="",0,$D987*$E987-($F987*$E987+$G987*$D987*$E987+$H987*$D987*$E987+$I987*$D987*$E987+$J987*$D987*$E987*(1-$G987)+$K987*$E987))</f>
        <v>0</v>
      </c>
      <c r="N987" s="23" t="str">
        <f aca="false">IF($B987="","",CONCATENATE("Örnek kalem: ",$B987))</f>
        <v/>
      </c>
    </row>
    <row r="988" customFormat="false" ht="15" hidden="false" customHeight="false" outlineLevel="0" collapsed="false">
      <c r="L988" s="23" t="n">
        <f aca="false">IF($E988="",0,$D988*$E988*(1-$G988-$H988-$I988))</f>
        <v>0</v>
      </c>
      <c r="M988" s="23" t="n">
        <f aca="false">IF($E988="",0,$D988*$E988-($F988*$E988+$G988*$D988*$E988+$H988*$D988*$E988+$I988*$D988*$E988+$J988*$D988*$E988*(1-$G988)+$K988*$E988))</f>
        <v>0</v>
      </c>
      <c r="N988" s="23" t="str">
        <f aca="false">IF($B988="","",CONCATENATE("Örnek kalem: ",$B988))</f>
        <v/>
      </c>
    </row>
    <row r="989" customFormat="false" ht="15" hidden="false" customHeight="false" outlineLevel="0" collapsed="false">
      <c r="L989" s="23" t="n">
        <f aca="false">IF($E989="",0,$D989*$E989*(1-$G989-$H989-$I989))</f>
        <v>0</v>
      </c>
      <c r="M989" s="23" t="n">
        <f aca="false">IF($E989="",0,$D989*$E989-($F989*$E989+$G989*$D989*$E989+$H989*$D989*$E989+$I989*$D989*$E989+$J989*$D989*$E989*(1-$G989)+$K989*$E989))</f>
        <v>0</v>
      </c>
      <c r="N989" s="23" t="str">
        <f aca="false">IF($B989="","",CONCATENATE("Örnek kalem: ",$B989))</f>
        <v/>
      </c>
    </row>
    <row r="990" customFormat="false" ht="15" hidden="false" customHeight="false" outlineLevel="0" collapsed="false">
      <c r="L990" s="23" t="n">
        <f aca="false">IF($E990="",0,$D990*$E990*(1-$G990-$H990-$I990))</f>
        <v>0</v>
      </c>
      <c r="M990" s="23" t="n">
        <f aca="false">IF($E990="",0,$D990*$E990-($F990*$E990+$G990*$D990*$E990+$H990*$D990*$E990+$I990*$D990*$E990+$J990*$D990*$E990*(1-$G990)+$K990*$E990))</f>
        <v>0</v>
      </c>
      <c r="N990" s="23" t="str">
        <f aca="false">IF($B990="","",CONCATENATE("Örnek kalem: ",$B990))</f>
        <v/>
      </c>
    </row>
    <row r="991" customFormat="false" ht="15" hidden="false" customHeight="false" outlineLevel="0" collapsed="false">
      <c r="L991" s="23" t="n">
        <f aca="false">IF($E991="",0,$D991*$E991*(1-$G991-$H991-$I991))</f>
        <v>0</v>
      </c>
      <c r="M991" s="23" t="n">
        <f aca="false">IF($E991="",0,$D991*$E991-($F991*$E991+$G991*$D991*$E991+$H991*$D991*$E991+$I991*$D991*$E991+$J991*$D991*$E991*(1-$G991)+$K991*$E991))</f>
        <v>0</v>
      </c>
      <c r="N991" s="23" t="str">
        <f aca="false">IF($B991="","",CONCATENATE("Örnek kalem: ",$B991))</f>
        <v/>
      </c>
    </row>
    <row r="992" customFormat="false" ht="15" hidden="false" customHeight="false" outlineLevel="0" collapsed="false">
      <c r="L992" s="23" t="n">
        <f aca="false">IF($E992="",0,$D992*$E992*(1-$G992-$H992-$I992))</f>
        <v>0</v>
      </c>
      <c r="M992" s="23" t="n">
        <f aca="false">IF($E992="",0,$D992*$E992-($F992*$E992+$G992*$D992*$E992+$H992*$D992*$E992+$I992*$D992*$E992+$J992*$D992*$E992*(1-$G992)+$K992*$E992))</f>
        <v>0</v>
      </c>
      <c r="N992" s="23" t="str">
        <f aca="false">IF($B992="","",CONCATENATE("Örnek kalem: ",$B992))</f>
        <v/>
      </c>
    </row>
    <row r="993" customFormat="false" ht="15" hidden="false" customHeight="false" outlineLevel="0" collapsed="false">
      <c r="L993" s="23" t="n">
        <f aca="false">IF($E993="",0,$D993*$E993*(1-$G993-$H993-$I993))</f>
        <v>0</v>
      </c>
      <c r="M993" s="23" t="n">
        <f aca="false">IF($E993="",0,$D993*$E993-($F993*$E993+$G993*$D993*$E993+$H993*$D993*$E993+$I993*$D993*$E993+$J993*$D993*$E993*(1-$G993)+$K993*$E993))</f>
        <v>0</v>
      </c>
      <c r="N993" s="23" t="str">
        <f aca="false">IF($B993="","",CONCATENATE("Örnek kalem: ",$B993))</f>
        <v/>
      </c>
    </row>
    <row r="994" customFormat="false" ht="15" hidden="false" customHeight="false" outlineLevel="0" collapsed="false">
      <c r="L994" s="23" t="n">
        <f aca="false">IF($E994="",0,$D994*$E994*(1-$G994-$H994-$I994))</f>
        <v>0</v>
      </c>
      <c r="M994" s="23" t="n">
        <f aca="false">IF($E994="",0,$D994*$E994-($F994*$E994+$G994*$D994*$E994+$H994*$D994*$E994+$I994*$D994*$E994+$J994*$D994*$E994*(1-$G994)+$K994*$E994))</f>
        <v>0</v>
      </c>
      <c r="N994" s="23" t="str">
        <f aca="false">IF($B994="","",CONCATENATE("Örnek kalem: ",$B994))</f>
        <v/>
      </c>
    </row>
    <row r="995" customFormat="false" ht="15" hidden="false" customHeight="false" outlineLevel="0" collapsed="false">
      <c r="L995" s="23" t="n">
        <f aca="false">IF($E995="",0,$D995*$E995*(1-$G995-$H995-$I995))</f>
        <v>0</v>
      </c>
      <c r="M995" s="23" t="n">
        <f aca="false">IF($E995="",0,$D995*$E995-($F995*$E995+$G995*$D995*$E995+$H995*$D995*$E995+$I995*$D995*$E995+$J995*$D995*$E995*(1-$G995)+$K995*$E995))</f>
        <v>0</v>
      </c>
      <c r="N995" s="23" t="str">
        <f aca="false">IF($B995="","",CONCATENATE("Örnek kalem: ",$B995))</f>
        <v/>
      </c>
    </row>
    <row r="996" customFormat="false" ht="15" hidden="false" customHeight="false" outlineLevel="0" collapsed="false">
      <c r="L996" s="23" t="n">
        <f aca="false">IF($E996="",0,$D996*$E996*(1-$G996-$H996-$I996))</f>
        <v>0</v>
      </c>
      <c r="M996" s="23" t="n">
        <f aca="false">IF($E996="",0,$D996*$E996-($F996*$E996+$G996*$D996*$E996+$H996*$D996*$E996+$I996*$D996*$E996+$J996*$D996*$E996*(1-$G996)+$K996*$E996))</f>
        <v>0</v>
      </c>
      <c r="N996" s="23" t="str">
        <f aca="false">IF($B996="","",CONCATENATE("Örnek kalem: ",$B996))</f>
        <v/>
      </c>
    </row>
    <row r="997" customFormat="false" ht="15" hidden="false" customHeight="false" outlineLevel="0" collapsed="false">
      <c r="L997" s="23" t="n">
        <f aca="false">IF($E997="",0,$D997*$E997*(1-$G997-$H997-$I997))</f>
        <v>0</v>
      </c>
      <c r="M997" s="23" t="n">
        <f aca="false">IF($E997="",0,$D997*$E997-($F997*$E997+$G997*$D997*$E997+$H997*$D997*$E997+$I997*$D997*$E997+$J997*$D997*$E997*(1-$G997)+$K997*$E997))</f>
        <v>0</v>
      </c>
      <c r="N997" s="23" t="str">
        <f aca="false">IF($B997="","",CONCATENATE("Örnek kalem: ",$B997))</f>
        <v/>
      </c>
    </row>
    <row r="998" customFormat="false" ht="15" hidden="false" customHeight="false" outlineLevel="0" collapsed="false">
      <c r="L998" s="23" t="n">
        <f aca="false">IF($E998="",0,$D998*$E998*(1-$G998-$H998-$I998))</f>
        <v>0</v>
      </c>
      <c r="M998" s="23" t="n">
        <f aca="false">IF($E998="",0,$D998*$E998-($F998*$E998+$G998*$D998*$E998+$H998*$D998*$E998+$I998*$D998*$E998+$J998*$D998*$E998*(1-$G998)+$K998*$E998))</f>
        <v>0</v>
      </c>
      <c r="N998" s="23" t="str">
        <f aca="false">IF($B998="","",CONCATENATE("Örnek kalem: ",$B998))</f>
        <v/>
      </c>
    </row>
    <row r="999" customFormat="false" ht="15" hidden="false" customHeight="false" outlineLevel="0" collapsed="false">
      <c r="L999" s="23" t="n">
        <f aca="false">IF($E999="",0,$D999*$E999*(1-$G999-$H999-$I999))</f>
        <v>0</v>
      </c>
      <c r="M999" s="23" t="n">
        <f aca="false">IF($E999="",0,$D999*$E999-($F999*$E999+$G999*$D999*$E999+$H999*$D999*$E999+$I999*$D999*$E999+$J999*$D999*$E999*(1-$G999)+$K999*$E999))</f>
        <v>0</v>
      </c>
      <c r="N999" s="23" t="str">
        <f aca="false">IF($B999="","",CONCATENATE("Örnek kalem: ",$B999))</f>
        <v/>
      </c>
    </row>
    <row r="1000" customFormat="false" ht="15" hidden="false" customHeight="false" outlineLevel="0" collapsed="false">
      <c r="L1000" s="23" t="n">
        <f aca="false">IF($E1000="",0,$D1000*$E1000*(1-$G1000-$H1000-$I1000))</f>
        <v>0</v>
      </c>
      <c r="M1000" s="23" t="n">
        <f aca="false">IF($E1000="",0,$D1000*$E1000-($F1000*$E1000+$G1000*$D1000*$E1000+$H1000*$D1000*$E1000+$I1000*$D1000*$E1000+$J1000*$D1000*$E1000*(1-$G1000)+$K1000*$E1000))</f>
        <v>0</v>
      </c>
      <c r="N1000" s="23" t="str">
        <f aca="false">IF($B1000="","",CONCATENATE("Örnek kalem: ",$B1000))</f>
        <v/>
      </c>
    </row>
    <row r="1001" customFormat="false" ht="15" hidden="false" customHeight="false" outlineLevel="0" collapsed="false">
      <c r="L1001" s="23" t="n">
        <f aca="false">IF($E1001="",0,$D1001*$E1001*(1-$G1001-$H1001-$I1001))</f>
        <v>0</v>
      </c>
      <c r="M1001" s="23" t="n">
        <f aca="false">IF($E1001="",0,$D1001*$E1001-($F1001*$E1001+$G1001*$D1001*$E1001+$H1001*$D1001*$E1001+$I1001*$D1001*$E1001+$J1001*$D1001*$E1001*(1-$G1001)+$K1001*$E1001))</f>
        <v>0</v>
      </c>
      <c r="N1001" s="23" t="str">
        <f aca="false">IF($B1001="","",CONCATENATE("Örnek kalem: ",$B1001))</f>
        <v/>
      </c>
    </row>
    <row r="1002" customFormat="false" ht="15" hidden="false" customHeight="false" outlineLevel="0" collapsed="false">
      <c r="L1002" s="23" t="n">
        <f aca="false">IF($E1002="",0,$D1002*$E1002*(1-$G1002-$H1002-$I1002))</f>
        <v>0</v>
      </c>
      <c r="M1002" s="23" t="n">
        <f aca="false">IF($E1002="",0,$D1002*$E1002-($F1002*$E1002+$G1002*$D1002*$E1002+$H1002*$D1002*$E1002+$I1002*$D1002*$E1002+$J1002*$D1002*$E1002*(1-$G1002)+$K1002*$E1002))</f>
        <v>0</v>
      </c>
      <c r="N1002" s="23" t="str">
        <f aca="false">IF($B1002="","",CONCATENATE("Örnek kalem: ",$B1002))</f>
        <v/>
      </c>
    </row>
    <row r="1003" customFormat="false" ht="15" hidden="false" customHeight="false" outlineLevel="0" collapsed="false">
      <c r="L1003" s="23" t="n">
        <f aca="false">IF($E1003="",0,$D1003*$E1003*(1-$G1003-$H1003-$I1003))</f>
        <v>0</v>
      </c>
      <c r="M1003" s="23" t="n">
        <f aca="false">IF($E1003="",0,$D1003*$E1003-($F1003*$E1003+$G1003*$D1003*$E1003+$H1003*$D1003*$E1003+$I1003*$D1003*$E1003+$J1003*$D1003*$E1003*(1-$G1003)+$K1003*$E1003))</f>
        <v>0</v>
      </c>
      <c r="N1003" s="23" t="str">
        <f aca="false">IF($B1003="","",CONCATENATE("Örnek kalem: ",$B1003))</f>
        <v/>
      </c>
    </row>
    <row r="1004" customFormat="false" ht="15" hidden="false" customHeight="false" outlineLevel="0" collapsed="false">
      <c r="L1004" s="23" t="n">
        <f aca="false">IF($E1004="",0,$D1004*$E1004*(1-$G1004-$H1004-$I1004))</f>
        <v>0</v>
      </c>
      <c r="M1004" s="23" t="n">
        <f aca="false">IF($E1004="",0,$D1004*$E1004-($F1004*$E1004+$G1004*$D1004*$E1004+$H1004*$D1004*$E1004+$I1004*$D1004*$E1004+$J1004*$D1004*$E1004*(1-$G1004)+$K1004*$E1004))</f>
        <v>0</v>
      </c>
      <c r="N1004" s="23" t="str">
        <f aca="false">IF($B1004="","",CONCATENATE("Örnek kalem: ",$B1004))</f>
        <v/>
      </c>
    </row>
    <row r="1006" customFormat="false" ht="19.5" hidden="false" customHeight="true" outlineLevel="0" collapsed="false">
      <c r="A1006" s="27" t="s">
        <v>216</v>
      </c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218</v>
      </c>
    </row>
    <row r="4" customFormat="false" ht="30" hidden="false" customHeight="true" outlineLevel="0" collapsed="false">
      <c r="A4" s="15" t="s">
        <v>219</v>
      </c>
      <c r="B4" s="15" t="s">
        <v>220</v>
      </c>
      <c r="C4" s="15" t="s">
        <v>221</v>
      </c>
      <c r="D4" s="15" t="s">
        <v>222</v>
      </c>
      <c r="E4" s="15" t="s">
        <v>223</v>
      </c>
    </row>
    <row r="5" customFormat="false" ht="15" hidden="false" customHeight="false" outlineLevel="0" collapsed="false">
      <c r="A5" s="59" t="s">
        <v>224</v>
      </c>
      <c r="B5" s="59" t="s">
        <v>225</v>
      </c>
      <c r="C5" s="59" t="s">
        <v>226</v>
      </c>
      <c r="D5" s="59" t="s">
        <v>227</v>
      </c>
      <c r="E5" s="59" t="s">
        <v>228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5.5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230</v>
      </c>
    </row>
    <row r="4" customFormat="false" ht="55.2" hidden="false" customHeight="false" outlineLevel="0" collapsed="false">
      <c r="A4" s="14" t="s">
        <v>231</v>
      </c>
    </row>
    <row r="6" customFormat="false" ht="15" hidden="false" customHeight="false" outlineLevel="0" collapsed="false">
      <c r="A6" s="35" t="s">
        <v>232</v>
      </c>
    </row>
    <row r="7" customFormat="false" ht="15" hidden="false" customHeight="false" outlineLevel="0" collapsed="false">
      <c r="A7" s="63" t="s">
        <v>66</v>
      </c>
    </row>
    <row r="8" customFormat="false" ht="15" hidden="false" customHeight="false" outlineLevel="0" collapsed="false">
      <c r="A8" s="63" t="s">
        <v>69</v>
      </c>
    </row>
    <row r="9" customFormat="false" ht="15" hidden="false" customHeight="false" outlineLevel="0" collapsed="false">
      <c r="A9" s="63" t="s">
        <v>74</v>
      </c>
    </row>
    <row r="10" customFormat="false" ht="15" hidden="false" customHeight="false" outlineLevel="0" collapsed="false">
      <c r="A10" s="63" t="s">
        <v>77</v>
      </c>
    </row>
    <row r="11" customFormat="false" ht="15" hidden="false" customHeight="false" outlineLevel="0" collapsed="false">
      <c r="A11" s="63" t="s">
        <v>89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234</v>
      </c>
    </row>
    <row r="4" customFormat="false" ht="55.2" hidden="false" customHeight="false" outlineLevel="0" collapsed="false">
      <c r="A4" s="14" t="s">
        <v>235</v>
      </c>
    </row>
    <row r="6" customFormat="false" ht="30" hidden="false" customHeight="true" outlineLevel="0" collapsed="false">
      <c r="A6" s="15" t="s">
        <v>236</v>
      </c>
      <c r="B6" s="15" t="s">
        <v>237</v>
      </c>
      <c r="C6" s="15" t="s">
        <v>238</v>
      </c>
      <c r="D6" s="15" t="s">
        <v>239</v>
      </c>
      <c r="E6" s="15" t="s">
        <v>240</v>
      </c>
      <c r="F6" s="15" t="s">
        <v>241</v>
      </c>
      <c r="G6" s="15" t="s">
        <v>242</v>
      </c>
      <c r="H6" s="15" t="s">
        <v>243</v>
      </c>
      <c r="I6" s="15" t="s">
        <v>244</v>
      </c>
    </row>
    <row r="7" customFormat="false" ht="25.5" hidden="false" customHeight="true" outlineLevel="0" collapsed="false">
      <c r="A7" s="64" t="s">
        <v>245</v>
      </c>
      <c r="B7" s="65" t="s">
        <v>246</v>
      </c>
      <c r="C7" s="66" t="s">
        <v>247</v>
      </c>
      <c r="D7" s="67"/>
      <c r="E7" s="67"/>
      <c r="F7" s="12" t="s">
        <v>248</v>
      </c>
      <c r="G7" s="66" t="s">
        <v>249</v>
      </c>
      <c r="H7" s="68" t="n">
        <v>46244</v>
      </c>
      <c r="I7" s="68" t="n">
        <v>46244</v>
      </c>
    </row>
    <row r="8" customFormat="false" ht="25.5" hidden="false" customHeight="true" outlineLevel="0" collapsed="false">
      <c r="A8" s="64" t="s">
        <v>250</v>
      </c>
      <c r="B8" s="69" t="n">
        <v>46244</v>
      </c>
      <c r="C8" s="66" t="s">
        <v>219</v>
      </c>
      <c r="D8" s="67"/>
      <c r="E8" s="67"/>
      <c r="F8" s="12" t="s">
        <v>251</v>
      </c>
      <c r="G8" s="66" t="s">
        <v>249</v>
      </c>
      <c r="H8" s="68" t="n">
        <v>46244</v>
      </c>
      <c r="I8" s="68" t="n">
        <v>46244</v>
      </c>
    </row>
    <row r="9" customFormat="false" ht="25.5" hidden="false" customHeight="true" outlineLevel="0" collapsed="false">
      <c r="A9" s="64" t="s">
        <v>252</v>
      </c>
      <c r="B9" s="65" t="s">
        <v>253</v>
      </c>
      <c r="C9" s="66" t="s">
        <v>247</v>
      </c>
      <c r="D9" s="67"/>
      <c r="E9" s="67"/>
      <c r="F9" s="12" t="s">
        <v>254</v>
      </c>
      <c r="G9" s="66" t="s">
        <v>249</v>
      </c>
      <c r="H9" s="68" t="n">
        <v>46244</v>
      </c>
      <c r="I9" s="68" t="n">
        <v>46244</v>
      </c>
    </row>
    <row r="10" customFormat="false" ht="25.5" hidden="false" customHeight="true" outlineLevel="0" collapsed="false">
      <c r="A10" s="64" t="s">
        <v>255</v>
      </c>
      <c r="B10" s="65" t="s">
        <v>225</v>
      </c>
      <c r="C10" s="66" t="s">
        <v>247</v>
      </c>
      <c r="D10" s="67"/>
      <c r="E10" s="67"/>
      <c r="F10" s="12" t="s">
        <v>256</v>
      </c>
      <c r="G10" s="66" t="s">
        <v>249</v>
      </c>
      <c r="H10" s="68" t="n">
        <v>46244</v>
      </c>
      <c r="I10" s="68" t="n">
        <v>46244</v>
      </c>
    </row>
    <row r="11" customFormat="false" ht="25.5" hidden="false" customHeight="true" outlineLevel="0" collapsed="false">
      <c r="A11" s="64" t="s">
        <v>257</v>
      </c>
      <c r="B11" s="70" t="n">
        <v>0.01</v>
      </c>
      <c r="C11" s="66" t="s">
        <v>258</v>
      </c>
      <c r="D11" s="67" t="n">
        <v>0</v>
      </c>
      <c r="E11" s="67" t="n">
        <v>1</v>
      </c>
      <c r="F11" s="12" t="s">
        <v>259</v>
      </c>
      <c r="G11" s="66" t="s">
        <v>260</v>
      </c>
      <c r="H11" s="68" t="n">
        <v>46244</v>
      </c>
      <c r="I11" s="68" t="n">
        <v>46244</v>
      </c>
    </row>
    <row r="12" customFormat="false" ht="25.5" hidden="false" customHeight="true" outlineLevel="0" collapsed="false">
      <c r="A12" s="64" t="s">
        <v>261</v>
      </c>
      <c r="B12" s="71" t="n">
        <v>50</v>
      </c>
      <c r="C12" s="66" t="s">
        <v>262</v>
      </c>
      <c r="D12" s="67" t="n">
        <v>0</v>
      </c>
      <c r="E12" s="67" t="n">
        <v>1000000000</v>
      </c>
      <c r="F12" s="12" t="s">
        <v>263</v>
      </c>
      <c r="G12" s="66" t="s">
        <v>260</v>
      </c>
      <c r="H12" s="68" t="n">
        <v>46244</v>
      </c>
      <c r="I12" s="68" t="n">
        <v>46244</v>
      </c>
    </row>
    <row r="13" customFormat="false" ht="25.5" hidden="false" customHeight="true" outlineLevel="0" collapsed="false">
      <c r="A13" s="64" t="s">
        <v>264</v>
      </c>
      <c r="B13" s="70" t="n">
        <v>0.1</v>
      </c>
      <c r="C13" s="66" t="s">
        <v>258</v>
      </c>
      <c r="D13" s="67" t="n">
        <v>0</v>
      </c>
      <c r="E13" s="67" t="n">
        <v>1</v>
      </c>
      <c r="F13" s="12" t="s">
        <v>265</v>
      </c>
      <c r="G13" s="66" t="s">
        <v>260</v>
      </c>
      <c r="H13" s="68" t="n">
        <v>46244</v>
      </c>
      <c r="I13" s="68" t="n">
        <v>46244</v>
      </c>
    </row>
    <row r="14" customFormat="false" ht="25.5" hidden="false" customHeight="true" outlineLevel="0" collapsed="false">
      <c r="A14" s="64" t="s">
        <v>266</v>
      </c>
      <c r="B14" s="70" t="n">
        <v>0</v>
      </c>
      <c r="C14" s="66" t="s">
        <v>258</v>
      </c>
      <c r="D14" s="67" t="n">
        <v>-1</v>
      </c>
      <c r="E14" s="67" t="n">
        <v>1</v>
      </c>
      <c r="F14" s="12" t="s">
        <v>267</v>
      </c>
      <c r="G14" s="66" t="s">
        <v>260</v>
      </c>
      <c r="H14" s="68" t="n">
        <v>46244</v>
      </c>
      <c r="I14" s="68" t="n">
        <v>46244</v>
      </c>
    </row>
    <row r="15" customFormat="false" ht="25.5" hidden="false" customHeight="true" outlineLevel="0" collapsed="false">
      <c r="A15" s="64" t="s">
        <v>268</v>
      </c>
      <c r="B15" s="70" t="n">
        <v>0.05</v>
      </c>
      <c r="C15" s="66" t="s">
        <v>258</v>
      </c>
      <c r="D15" s="67" t="n">
        <v>0</v>
      </c>
      <c r="E15" s="67" t="n">
        <v>1</v>
      </c>
      <c r="F15" s="12" t="s">
        <v>269</v>
      </c>
      <c r="G15" s="66" t="s">
        <v>260</v>
      </c>
      <c r="H15" s="68" t="n">
        <v>46244</v>
      </c>
      <c r="I15" s="68" t="n">
        <v>46244</v>
      </c>
    </row>
    <row r="16" customFormat="false" ht="25.5" hidden="false" customHeight="true" outlineLevel="0" collapsed="false">
      <c r="A16" s="64" t="s">
        <v>270</v>
      </c>
      <c r="B16" s="70" t="n">
        <v>0.05</v>
      </c>
      <c r="C16" s="66" t="s">
        <v>258</v>
      </c>
      <c r="D16" s="67" t="n">
        <v>0</v>
      </c>
      <c r="E16" s="67" t="n">
        <v>1</v>
      </c>
      <c r="F16" s="12" t="s">
        <v>271</v>
      </c>
      <c r="G16" s="66" t="s">
        <v>260</v>
      </c>
      <c r="H16" s="68" t="n">
        <v>46244</v>
      </c>
      <c r="I16" s="68" t="n">
        <v>46244</v>
      </c>
    </row>
    <row r="17" customFormat="false" ht="25.5" hidden="false" customHeight="true" outlineLevel="0" collapsed="false">
      <c r="A17" s="64" t="s">
        <v>272</v>
      </c>
      <c r="B17" s="70" t="n">
        <v>0.05</v>
      </c>
      <c r="C17" s="66" t="s">
        <v>258</v>
      </c>
      <c r="D17" s="67" t="n">
        <v>0</v>
      </c>
      <c r="E17" s="67" t="n">
        <v>1</v>
      </c>
      <c r="F17" s="12" t="s">
        <v>273</v>
      </c>
      <c r="G17" s="66" t="s">
        <v>260</v>
      </c>
      <c r="H17" s="68" t="n">
        <v>46244</v>
      </c>
      <c r="I17" s="68" t="n">
        <v>46244</v>
      </c>
    </row>
    <row r="18" customFormat="false" ht="25.5" hidden="false" customHeight="true" outlineLevel="0" collapsed="false">
      <c r="A18" s="64" t="s">
        <v>274</v>
      </c>
      <c r="B18" s="70" t="n">
        <v>0.05</v>
      </c>
      <c r="C18" s="66" t="s">
        <v>258</v>
      </c>
      <c r="D18" s="67" t="n">
        <v>-0.5</v>
      </c>
      <c r="E18" s="67" t="n">
        <v>0.5</v>
      </c>
      <c r="F18" s="12" t="s">
        <v>275</v>
      </c>
      <c r="G18" s="66" t="s">
        <v>260</v>
      </c>
      <c r="H18" s="68" t="n">
        <v>46244</v>
      </c>
      <c r="I18" s="68" t="n">
        <v>46244</v>
      </c>
    </row>
    <row r="19" customFormat="false" ht="25.5" hidden="false" customHeight="true" outlineLevel="0" collapsed="false">
      <c r="A19" s="64" t="s">
        <v>276</v>
      </c>
      <c r="B19" s="70" t="n">
        <v>0</v>
      </c>
      <c r="C19" s="66" t="s">
        <v>258</v>
      </c>
      <c r="D19" s="67" t="n">
        <v>-0.5</v>
      </c>
      <c r="E19" s="67" t="n">
        <v>0.5</v>
      </c>
      <c r="F19" s="12" t="s">
        <v>277</v>
      </c>
      <c r="G19" s="66" t="s">
        <v>260</v>
      </c>
      <c r="H19" s="68" t="n">
        <v>46244</v>
      </c>
      <c r="I19" s="68" t="n">
        <v>46244</v>
      </c>
    </row>
    <row r="20" customFormat="false" ht="25.5" hidden="false" customHeight="true" outlineLevel="0" collapsed="false">
      <c r="A20" s="64" t="s">
        <v>278</v>
      </c>
      <c r="B20" s="70" t="n">
        <v>-0.05</v>
      </c>
      <c r="C20" s="66" t="s">
        <v>258</v>
      </c>
      <c r="D20" s="67" t="n">
        <v>-0.5</v>
      </c>
      <c r="E20" s="67" t="n">
        <v>0.5</v>
      </c>
      <c r="F20" s="12" t="s">
        <v>279</v>
      </c>
      <c r="G20" s="66" t="s">
        <v>260</v>
      </c>
      <c r="H20" s="68" t="n">
        <v>46244</v>
      </c>
      <c r="I20" s="68" t="n">
        <v>46244</v>
      </c>
    </row>
    <row r="21" customFormat="false" ht="25.5" hidden="false" customHeight="true" outlineLevel="0" collapsed="false">
      <c r="A21" s="64" t="s">
        <v>280</v>
      </c>
      <c r="B21" s="70" t="n">
        <v>-0.1</v>
      </c>
      <c r="C21" s="66" t="s">
        <v>258</v>
      </c>
      <c r="D21" s="67" t="n">
        <v>-0.5</v>
      </c>
      <c r="E21" s="67" t="n">
        <v>0.5</v>
      </c>
      <c r="F21" s="12" t="s">
        <v>281</v>
      </c>
      <c r="G21" s="66" t="s">
        <v>260</v>
      </c>
      <c r="H21" s="68" t="n">
        <v>46244</v>
      </c>
      <c r="I21" s="68" t="n">
        <v>46244</v>
      </c>
    </row>
    <row r="22" customFormat="false" ht="25.5" hidden="false" customHeight="true" outlineLevel="0" collapsed="false">
      <c r="A22" s="64" t="s">
        <v>282</v>
      </c>
      <c r="B22" s="72" t="n">
        <v>1.645</v>
      </c>
      <c r="C22" s="66" t="s">
        <v>283</v>
      </c>
      <c r="D22" s="67" t="n">
        <v>0</v>
      </c>
      <c r="E22" s="67" t="n">
        <v>10</v>
      </c>
      <c r="F22" s="12" t="s">
        <v>284</v>
      </c>
      <c r="G22" s="66" t="s">
        <v>260</v>
      </c>
      <c r="H22" s="68" t="n">
        <v>46244</v>
      </c>
      <c r="I22" s="68" t="n">
        <v>46244</v>
      </c>
    </row>
    <row r="23" customFormat="false" ht="25.5" hidden="false" customHeight="true" outlineLevel="0" collapsed="false">
      <c r="A23" s="64" t="s">
        <v>285</v>
      </c>
      <c r="B23" s="72" t="n">
        <v>90</v>
      </c>
      <c r="C23" s="66" t="s">
        <v>286</v>
      </c>
      <c r="D23" s="67" t="n">
        <v>0</v>
      </c>
      <c r="E23" s="67" t="n">
        <v>100</v>
      </c>
      <c r="F23" s="12" t="s">
        <v>287</v>
      </c>
      <c r="G23" s="66" t="s">
        <v>260</v>
      </c>
      <c r="H23" s="68" t="n">
        <v>46244</v>
      </c>
      <c r="I23" s="68" t="n">
        <v>46244</v>
      </c>
    </row>
    <row r="24" customFormat="false" ht="25.5" hidden="false" customHeight="true" outlineLevel="0" collapsed="false">
      <c r="A24" s="64" t="s">
        <v>288</v>
      </c>
      <c r="B24" s="72" t="n">
        <v>70</v>
      </c>
      <c r="C24" s="66" t="s">
        <v>286</v>
      </c>
      <c r="D24" s="67" t="n">
        <v>0</v>
      </c>
      <c r="E24" s="67" t="n">
        <v>100</v>
      </c>
      <c r="F24" s="12" t="s">
        <v>289</v>
      </c>
      <c r="G24" s="66" t="s">
        <v>260</v>
      </c>
      <c r="H24" s="68" t="n">
        <v>46244</v>
      </c>
      <c r="I24" s="68" t="n">
        <v>46244</v>
      </c>
    </row>
    <row r="25" customFormat="false" ht="25.5" hidden="false" customHeight="true" outlineLevel="0" collapsed="false">
      <c r="A25" s="64" t="s">
        <v>290</v>
      </c>
      <c r="B25" s="71" t="n">
        <v>500</v>
      </c>
      <c r="C25" s="66" t="s">
        <v>262</v>
      </c>
      <c r="D25" s="67" t="n">
        <v>0</v>
      </c>
      <c r="E25" s="67" t="n">
        <v>1000000000</v>
      </c>
      <c r="F25" s="12" t="s">
        <v>291</v>
      </c>
      <c r="G25" s="66" t="s">
        <v>260</v>
      </c>
      <c r="H25" s="68" t="n">
        <v>46244</v>
      </c>
      <c r="I25" s="68" t="n">
        <v>46244</v>
      </c>
    </row>
    <row r="26" customFormat="false" ht="25.5" hidden="false" customHeight="true" outlineLevel="0" collapsed="false">
      <c r="A26" s="64" t="s">
        <v>292</v>
      </c>
      <c r="B26" s="70" t="n">
        <v>0.9</v>
      </c>
      <c r="C26" s="66" t="s">
        <v>258</v>
      </c>
      <c r="D26" s="67" t="n">
        <v>0</v>
      </c>
      <c r="E26" s="67" t="n">
        <v>1</v>
      </c>
      <c r="F26" s="12" t="s">
        <v>293</v>
      </c>
      <c r="G26" s="66" t="s">
        <v>260</v>
      </c>
      <c r="H26" s="68" t="n">
        <v>46244</v>
      </c>
      <c r="I26" s="68" t="n">
        <v>46244</v>
      </c>
    </row>
    <row r="27" customFormat="false" ht="25.5" hidden="false" customHeight="true" outlineLevel="0" collapsed="false">
      <c r="A27" s="64" t="s">
        <v>294</v>
      </c>
      <c r="B27" s="72" t="n">
        <v>7</v>
      </c>
      <c r="C27" s="66" t="s">
        <v>84</v>
      </c>
      <c r="D27" s="67" t="n">
        <v>1</v>
      </c>
      <c r="E27" s="67" t="n">
        <v>20</v>
      </c>
      <c r="F27" s="12" t="s">
        <v>295</v>
      </c>
      <c r="G27" s="66" t="s">
        <v>260</v>
      </c>
      <c r="H27" s="68" t="n">
        <v>46244</v>
      </c>
      <c r="I27" s="68" t="n">
        <v>46244</v>
      </c>
    </row>
    <row r="28" customFormat="false" ht="25.5" hidden="false" customHeight="true" outlineLevel="0" collapsed="false">
      <c r="A28" s="64" t="s">
        <v>296</v>
      </c>
      <c r="B28" s="70" t="n">
        <v>0.01</v>
      </c>
      <c r="C28" s="66" t="s">
        <v>258</v>
      </c>
      <c r="D28" s="67" t="n">
        <v>0</v>
      </c>
      <c r="E28" s="67" t="n">
        <v>0.1</v>
      </c>
      <c r="F28" s="12" t="s">
        <v>297</v>
      </c>
      <c r="G28" s="66" t="s">
        <v>260</v>
      </c>
      <c r="H28" s="68" t="n">
        <v>46244</v>
      </c>
      <c r="I28" s="68" t="n">
        <v>46244</v>
      </c>
    </row>
    <row r="29" customFormat="false" ht="25.5" hidden="false" customHeight="true" outlineLevel="0" collapsed="false">
      <c r="A29" s="64" t="s">
        <v>298</v>
      </c>
      <c r="B29" s="70" t="n">
        <v>-0.05</v>
      </c>
      <c r="C29" s="66" t="s">
        <v>258</v>
      </c>
      <c r="D29" s="67" t="n">
        <v>-0.5</v>
      </c>
      <c r="E29" s="67" t="n">
        <v>0</v>
      </c>
      <c r="F29" s="12" t="s">
        <v>299</v>
      </c>
      <c r="G29" s="66" t="s">
        <v>260</v>
      </c>
      <c r="H29" s="68" t="n">
        <v>46244</v>
      </c>
      <c r="I29" s="68" t="n">
        <v>46244</v>
      </c>
    </row>
    <row r="30" customFormat="false" ht="25.5" hidden="false" customHeight="true" outlineLevel="0" collapsed="false">
      <c r="A30" s="64" t="s">
        <v>300</v>
      </c>
      <c r="B30" s="71" t="n">
        <v>1000000</v>
      </c>
      <c r="C30" s="66" t="s">
        <v>262</v>
      </c>
      <c r="D30" s="67" t="n">
        <v>0</v>
      </c>
      <c r="E30" s="67" t="n">
        <v>100000000000</v>
      </c>
      <c r="F30" s="12" t="s">
        <v>301</v>
      </c>
      <c r="G30" s="66" t="s">
        <v>260</v>
      </c>
      <c r="H30" s="68" t="n">
        <v>46244</v>
      </c>
      <c r="I30" s="68" t="n">
        <v>46244</v>
      </c>
    </row>
    <row r="31" customFormat="false" ht="25.5" hidden="false" customHeight="true" outlineLevel="0" collapsed="false">
      <c r="A31" s="64" t="s">
        <v>302</v>
      </c>
      <c r="B31" s="73" t="s">
        <v>303</v>
      </c>
      <c r="C31" s="66" t="s">
        <v>247</v>
      </c>
      <c r="D31" s="67"/>
      <c r="E31" s="67"/>
      <c r="F31" s="12" t="s">
        <v>304</v>
      </c>
      <c r="G31" s="66" t="s">
        <v>260</v>
      </c>
      <c r="H31" s="68" t="n">
        <v>46244</v>
      </c>
      <c r="I31" s="68" t="n">
        <v>46244</v>
      </c>
    </row>
    <row r="32" customFormat="false" ht="25.5" hidden="false" customHeight="true" outlineLevel="0" collapsed="false">
      <c r="A32" s="64" t="s">
        <v>305</v>
      </c>
      <c r="B32" s="73" t="s">
        <v>306</v>
      </c>
      <c r="C32" s="66" t="s">
        <v>247</v>
      </c>
      <c r="D32" s="67"/>
      <c r="E32" s="67"/>
      <c r="F32" s="12" t="s">
        <v>307</v>
      </c>
      <c r="G32" s="66" t="s">
        <v>260</v>
      </c>
      <c r="H32" s="68" t="n">
        <v>46244</v>
      </c>
      <c r="I32" s="68" t="n">
        <v>46244</v>
      </c>
    </row>
    <row r="33" customFormat="false" ht="25.5" hidden="false" customHeight="true" outlineLevel="0" collapsed="false">
      <c r="A33" s="64" t="s">
        <v>308</v>
      </c>
      <c r="B33" s="73" t="s">
        <v>309</v>
      </c>
      <c r="C33" s="66" t="s">
        <v>247</v>
      </c>
      <c r="D33" s="67"/>
      <c r="E33" s="67"/>
      <c r="F33" s="12" t="s">
        <v>310</v>
      </c>
      <c r="G33" s="66" t="s">
        <v>260</v>
      </c>
      <c r="H33" s="68" t="n">
        <v>46244</v>
      </c>
      <c r="I33" s="68" t="n">
        <v>46244</v>
      </c>
    </row>
    <row r="35" customFormat="false" ht="25.5" hidden="false" customHeight="true" outlineLevel="0" collapsed="false">
      <c r="A35" s="74" t="s">
        <v>311</v>
      </c>
      <c r="B35" s="75" t="n">
        <v>1</v>
      </c>
      <c r="C35" s="66" t="s">
        <v>312</v>
      </c>
      <c r="F35" s="12" t="s">
        <v>313</v>
      </c>
      <c r="G35" s="66" t="s">
        <v>249</v>
      </c>
      <c r="H35" s="68" t="n">
        <v>46244</v>
      </c>
      <c r="I35" s="68" t="n">
        <v>46244</v>
      </c>
    </row>
    <row r="36" customFormat="false" ht="25.5" hidden="false" customHeight="true" outlineLevel="0" collapsed="false">
      <c r="A36" s="74" t="s">
        <v>314</v>
      </c>
      <c r="B36" s="75" t="n">
        <v>2</v>
      </c>
      <c r="C36" s="66" t="s">
        <v>312</v>
      </c>
      <c r="F36" s="12" t="s">
        <v>315</v>
      </c>
      <c r="G36" s="66" t="s">
        <v>249</v>
      </c>
      <c r="H36" s="68" t="n">
        <v>46244</v>
      </c>
      <c r="I36" s="68" t="n">
        <v>46244</v>
      </c>
    </row>
    <row r="37" customFormat="false" ht="25.5" hidden="false" customHeight="true" outlineLevel="0" collapsed="false">
      <c r="A37" s="74" t="s">
        <v>316</v>
      </c>
      <c r="B37" s="75" t="n">
        <v>3</v>
      </c>
      <c r="C37" s="66" t="s">
        <v>312</v>
      </c>
      <c r="F37" s="12" t="s">
        <v>317</v>
      </c>
      <c r="G37" s="66" t="s">
        <v>249</v>
      </c>
      <c r="H37" s="68" t="n">
        <v>46244</v>
      </c>
      <c r="I37" s="68" t="n">
        <v>46244</v>
      </c>
    </row>
    <row r="38" customFormat="false" ht="25.5" hidden="false" customHeight="true" outlineLevel="0" collapsed="false">
      <c r="A38" s="74" t="s">
        <v>318</v>
      </c>
      <c r="B38" s="75" t="n">
        <v>4</v>
      </c>
      <c r="C38" s="66" t="s">
        <v>312</v>
      </c>
      <c r="F38" s="12" t="s">
        <v>319</v>
      </c>
      <c r="G38" s="66" t="s">
        <v>249</v>
      </c>
      <c r="H38" s="68" t="n">
        <v>46244</v>
      </c>
      <c r="I38" s="68" t="n">
        <v>46244</v>
      </c>
    </row>
    <row r="39" customFormat="false" ht="25.5" hidden="false" customHeight="true" outlineLevel="0" collapsed="false">
      <c r="A39" s="74" t="s">
        <v>320</v>
      </c>
      <c r="B39" s="75" t="n">
        <v>5</v>
      </c>
      <c r="C39" s="66" t="s">
        <v>312</v>
      </c>
      <c r="F39" s="12" t="s">
        <v>321</v>
      </c>
      <c r="G39" s="66" t="s">
        <v>249</v>
      </c>
      <c r="H39" s="68" t="n">
        <v>46244</v>
      </c>
      <c r="I39" s="68" t="n">
        <v>46244</v>
      </c>
    </row>
    <row r="40" customFormat="false" ht="25.5" hidden="false" customHeight="true" outlineLevel="0" collapsed="false">
      <c r="A40" s="74" t="s">
        <v>322</v>
      </c>
      <c r="B40" s="75" t="n">
        <v>6</v>
      </c>
      <c r="C40" s="66" t="s">
        <v>312</v>
      </c>
      <c r="F40" s="12" t="s">
        <v>323</v>
      </c>
      <c r="G40" s="66" t="s">
        <v>249</v>
      </c>
      <c r="H40" s="68" t="n">
        <v>46244</v>
      </c>
      <c r="I40" s="68" t="n">
        <v>46244</v>
      </c>
    </row>
    <row r="41" customFormat="false" ht="25.5" hidden="false" customHeight="true" outlineLevel="0" collapsed="false">
      <c r="A41" s="74" t="s">
        <v>324</v>
      </c>
      <c r="B41" s="75" t="n">
        <v>7</v>
      </c>
      <c r="C41" s="66" t="s">
        <v>312</v>
      </c>
      <c r="F41" s="12" t="s">
        <v>325</v>
      </c>
      <c r="G41" s="66" t="s">
        <v>249</v>
      </c>
      <c r="H41" s="68" t="n">
        <v>46244</v>
      </c>
      <c r="I41" s="68" t="n">
        <v>46244</v>
      </c>
    </row>
    <row r="42" customFormat="false" ht="25.5" hidden="false" customHeight="true" outlineLevel="0" collapsed="false">
      <c r="A42" s="74" t="s">
        <v>326</v>
      </c>
      <c r="B42" s="75" t="n">
        <v>8</v>
      </c>
      <c r="C42" s="66" t="s">
        <v>312</v>
      </c>
      <c r="F42" s="12" t="s">
        <v>327</v>
      </c>
      <c r="G42" s="66" t="s">
        <v>249</v>
      </c>
      <c r="H42" s="68" t="n">
        <v>46244</v>
      </c>
      <c r="I42" s="68" t="n">
        <v>46244</v>
      </c>
    </row>
    <row r="43" customFormat="false" ht="25.5" hidden="false" customHeight="true" outlineLevel="0" collapsed="false">
      <c r="A43" s="74" t="s">
        <v>328</v>
      </c>
      <c r="B43" s="75" t="n">
        <v>9</v>
      </c>
      <c r="C43" s="66" t="s">
        <v>312</v>
      </c>
      <c r="F43" s="12" t="s">
        <v>329</v>
      </c>
      <c r="G43" s="66" t="s">
        <v>249</v>
      </c>
      <c r="H43" s="68" t="n">
        <v>46244</v>
      </c>
      <c r="I43" s="68" t="n">
        <v>46244</v>
      </c>
    </row>
    <row r="44" customFormat="false" ht="25.5" hidden="false" customHeight="true" outlineLevel="0" collapsed="false">
      <c r="A44" s="74" t="s">
        <v>330</v>
      </c>
      <c r="B44" s="75" t="n">
        <v>10</v>
      </c>
      <c r="C44" s="66" t="s">
        <v>312</v>
      </c>
      <c r="F44" s="12" t="s">
        <v>331</v>
      </c>
      <c r="G44" s="66" t="s">
        <v>249</v>
      </c>
      <c r="H44" s="68" t="n">
        <v>46244</v>
      </c>
      <c r="I44" s="68" t="n">
        <v>46244</v>
      </c>
    </row>
    <row r="45" customFormat="false" ht="25.5" hidden="false" customHeight="true" outlineLevel="0" collapsed="false">
      <c r="A45" s="74" t="s">
        <v>332</v>
      </c>
      <c r="B45" s="75" t="n">
        <v>11</v>
      </c>
      <c r="C45" s="66" t="s">
        <v>312</v>
      </c>
      <c r="F45" s="12" t="s">
        <v>333</v>
      </c>
      <c r="G45" s="66" t="s">
        <v>249</v>
      </c>
      <c r="H45" s="68" t="n">
        <v>46244</v>
      </c>
      <c r="I45" s="68" t="n">
        <v>46244</v>
      </c>
    </row>
    <row r="46" customFormat="false" ht="25.5" hidden="false" customHeight="true" outlineLevel="0" collapsed="false">
      <c r="A46" s="74" t="s">
        <v>334</v>
      </c>
      <c r="B46" s="75" t="n">
        <v>12</v>
      </c>
      <c r="C46" s="66" t="s">
        <v>312</v>
      </c>
      <c r="F46" s="12" t="s">
        <v>335</v>
      </c>
      <c r="G46" s="66" t="s">
        <v>249</v>
      </c>
      <c r="H46" s="68" t="n">
        <v>46244</v>
      </c>
      <c r="I46" s="68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20">
    <dataValidation allowBlank="false" error="Fark oranı eşiği; üzerindeki farklar eksik hakediş sayılır." errorStyle="stop" errorTitle="Değer aralık dışı" operator="between" prompt="Fark oranı eşiği; üzerindeki farklar eksik hakediş sayılır." promptTitle="PazaryeriEksikHakedisEsik" showDropDown="false" showErrorMessage="true" showInputMessage="false" sqref="B11" type="decimal">
      <formula1>0</formula1>
      <formula2>1</formula2>
    </dataValidation>
    <dataValidation allowBlank="false" error="Fark tutarının ihmal edilmeyeceği asgari TL eşiği." errorStyle="stop" errorTitle="Değer aralık dışı" operator="between" prompt="Fark tutarının ihmal edilmeyeceği asgari TL eşiği." promptTitle="PazaryeriEksikHakedisTutarEsik" showDropDown="false" showErrorMessage="true" showInputMessage="false" sqref="B12" type="decimal">
      <formula1>0</formula1>
      <formula2>1000000000</formula2>
    </dataValidation>
    <dataValidation allowBlank="false" error="GÜÇLÜ kararı için genel marj hedefi." errorStyle="stop" errorTitle="Değer aralık dışı" operator="between" prompt="GÜÇLÜ kararı için genel marj hedefi." promptTitle="PazaryeriNetKarMarjiHedef" showDropDown="false" showErrorMessage="true" showInputMessage="false" sqref="B13" type="decimal">
      <formula1>0</formula1>
      <formula2>1</formula2>
    </dataValidation>
    <dataValidation allowBlank="false" error="Marjın altına inmesi durumunda İNCELE kararı üretilir." errorStyle="stop" errorTitle="Değer aralık dışı" operator="between" prompt="Marjın altına inmesi durumunda İNCELE kararı üretilir." promptTitle="PazaryeriNetKarMarjiKritik" showDropDown="false" showErrorMessage="true" showInputMessage="false" sqref="B14" type="decimal">
      <formula1>-1</formula1>
      <formula2>1</formula2>
    </dataValidation>
    <dataValidation allowBlank="false" error="Kargo/operasyon oranı varsayılanı (kalem girişinde öneri)." errorStyle="stop" errorTitle="Değer aralık dışı" operator="between" prompt="Kargo/operasyon oranı varsayılanı (kalem girişinde öneri)." promptTitle="PazaryeriKargoVarsayilanOran" showDropDown="false" showErrorMessage="true" showInputMessage="false" sqref="B15" type="decimal">
      <formula1>0</formula1>
      <formula2>1</formula2>
    </dataValidation>
    <dataValidation allowBlank="false" error="Reklam oranı varsayılanı." errorStyle="stop" errorTitle="Değer aralık dışı" operator="between" prompt="Reklam oranı varsayılanı." promptTitle="PazaryeriReklamVarsayilanOran" showDropDown="false" showErrorMessage="true" showInputMessage="false" sqref="B16" type="decimal">
      <formula1>0</formula1>
      <formula2>1</formula2>
    </dataValidation>
    <dataValidation allowBlank="false" error="İade oranı varsayılanı." errorStyle="stop" errorTitle="Değer aralık dışı" operator="between" prompt="İade oranı varsayılanı." promptTitle="PazaryeriIadeVarsayilanOran" showDropDown="false" showErrorMessage="true" showInputMessage="false" sqref="B17" type="decimal">
      <formula1>0</formula1>
      <formula2>1</formula2>
    </dataValidation>
    <dataValidation allowBlank="false" error="İyimser senaryo satış fiyatı çarpanı." errorStyle="stop" errorTitle="Değer aralık dışı" operator="between" prompt="İyimser senaryo satış fiyatı çarpanı." promptTitle="PazaryeriSenIyiSatis" showDropDown="false" showErrorMessage="true" showInputMessage="false" sqref="B18" type="decimal">
      <formula1>-0.5</formula1>
      <formula2>0.5</formula2>
    </dataValidation>
    <dataValidation allowBlank="false" error="Baz senaryo satış fiyatı çarpanı." errorStyle="stop" errorTitle="Değer aralık dışı" operator="between" prompt="Baz senaryo satış fiyatı çarpanı." promptTitle="PazaryeriSenBazSatis" showDropDown="false" showErrorMessage="true" showInputMessage="false" sqref="B19" type="decimal">
      <formula1>-0.5</formula1>
      <formula2>0.5</formula2>
    </dataValidation>
    <dataValidation allowBlank="false" error="Kötümser senaryo satış fiyatı çarpanı." errorStyle="stop" errorTitle="Değer aralık dışı" operator="between" prompt="Kötümser senaryo satış fiyatı çarpanı." promptTitle="PazaryeriSenKotuSatis" showDropDown="false" showErrorMessage="true" showInputMessage="false" sqref="B20" type="decimal">
      <formula1>-0.5</formula1>
      <formula2>0.5</formula2>
    </dataValidation>
    <dataValidation allowBlank="false" error="Kritik senaryo satış fiyatı çarpanı." errorStyle="stop" errorTitle="Değer aralık dışı" operator="between" prompt="Kritik senaryo satış fiyatı çarpanı." promptTitle="PazaryeriSenKritikSatis" showDropDown="false" showErrorMessage="true" showInputMessage="false" sqref="B21" type="decimal">
      <formula1>-0.5</formula1>
      <formula2>0.5</formula2>
    </dataValidation>
    <dataValidation allowBlank="false" error="Tahmin güven bandı çarpanı (%90 normal dağılım)." errorStyle="stop" errorTitle="Değer aralık dışı" operator="between" prompt="Tahmin güven bandı çarpanı (%90 normal dağılım)." promptTitle="PazaryeriTahminCarpan" showDropDown="false" showErrorMessage="true" showInputMessage="false" sqref="B22" type="decimal">
      <formula1>0</formula1>
      <formula2>10</formula2>
    </dataValidation>
    <dataValidation allowBlank="false" error="Yüksek kalite skoru eşiği." errorStyle="stop" errorTitle="Değer aralık dışı" operator="between" prompt="Yüksek kalite skoru eşiği." promptTitle="PazaryeriKaliteIyi" showDropDown="false" showErrorMessage="true" showInputMessage="false" sqref="B23" type="decimal">
      <formula1>0</formula1>
      <formula2>100</formula2>
    </dataValidation>
    <dataValidation allowBlank="false" error="Orta kalite skoru eşiği." errorStyle="stop" errorTitle="Değer aralık dışı" operator="between" prompt="Orta kalite skoru eşiği." promptTitle="PazaryeriKaliteOrta" showDropDown="false" showErrorMessage="true" showInputMessage="false" sqref="B24" type="decimal">
      <formula1>0</formula1>
      <formula2>100</formula2>
    </dataValidation>
    <dataValidation allowBlank="false" error="Toplam hakediş farkının kontrol edildiği eşik." errorStyle="stop" errorTitle="Değer aralık dışı" operator="between" prompt="Toplam hakediş farkının kontrol edildiği eşik." promptTitle="PazaryeriToplamFarkEsik" showDropDown="false" showErrorMessage="true" showInputMessage="false" sqref="B25" type="decimal">
      <formula1>0</formula1>
      <formula2>1000000000</formula2>
    </dataValidation>
    <dataValidation allowBlank="false" error="Satış fiyatı dağılımında üst yüzdelik dilimin oranı." errorStyle="stop" errorTitle="Değer aralık dışı" operator="between" prompt="Satış fiyatı dağılımında üst yüzdelik dilimin oranı." promptTitle="PazaryeriP90Oran" showDropDown="false" showErrorMessage="true" showInputMessage="false" sqref="B26" type="decimal">
      <formula1>0</formula1>
      <formula2>1</formula2>
    </dataValidation>
    <dataValidation allowBlank="false" error="Veri kalitesi skorunda temel kabul edilen zorunlu giriş kolonu sayısı." errorStyle="stop" errorTitle="Değer aralık dışı" operator="between" prompt="Veri kalitesi skorunda temel kabul edilen zorunlu giriş kolonu sayısı." promptTitle="PazaryeriTemelKolonSayisi" showDropDown="false" showErrorMessage="true" showInputMessage="false" sqref="B27" type="decimal">
      <formula1>1</formula1>
      <formula2>20</formula2>
    </dataValidation>
    <dataValidation allowBlank="false" error="Komisyon oranı tornado adımı (+1 puan)." errorStyle="stop" errorTitle="Değer aralık dışı" operator="between" prompt="Komisyon oranı tornado adımı (+1 puan)." promptTitle="PazaryeriTornadoKomisyonOran" showDropDown="false" showErrorMessage="true" showInputMessage="false" sqref="B28" type="decimal">
      <formula1>0</formula1>
      <formula2>0.1</formula2>
    </dataValidation>
    <dataValidation allowBlank="false" error="Satış fiyatı tornado adımı (−%5)." errorStyle="stop" errorTitle="Değer aralık dışı" operator="between" prompt="Satış fiyatı tornado adımı (−%5)." promptTitle="PazaryeriTornadoSatisOran" showDropDown="false" showErrorMessage="true" showInputMessage="false" sqref="B29" type="decimal">
      <formula1>-0.5</formula1>
      <formula2>0</formula2>
    </dataValidation>
    <dataValidation allowBlank="false" error="Yüksek toplam satış kontrol eşiği." errorStyle="stop" errorTitle="Değer aralık dışı" operator="between" prompt="Yüksek toplam satış kontrol eşiği." promptTitle="PazaryeriYuksekToplamSatisEsik" showDropDown="false" showErrorMessage="true" showInputMessage="false" sqref="B30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337</v>
      </c>
    </row>
    <row r="5" customFormat="false" ht="55.5" hidden="false" customHeight="true" outlineLevel="0" collapsed="false">
      <c r="A5" s="37" t="s">
        <v>338</v>
      </c>
      <c r="B5" s="5" t="s">
        <v>339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55.5" hidden="false" customHeight="true" outlineLevel="0" collapsed="false">
      <c r="A6" s="37" t="s">
        <v>340</v>
      </c>
      <c r="B6" s="5" t="s">
        <v>341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55.5" hidden="false" customHeight="true" outlineLevel="0" collapsed="false">
      <c r="A7" s="37" t="s">
        <v>342</v>
      </c>
      <c r="B7" s="5" t="s">
        <v>343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55.5" hidden="false" customHeight="true" outlineLevel="0" collapsed="false">
      <c r="A8" s="37" t="s">
        <v>344</v>
      </c>
      <c r="B8" s="5" t="s">
        <v>345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55.5" hidden="false" customHeight="true" outlineLevel="0" collapsed="false">
      <c r="A9" s="37" t="s">
        <v>346</v>
      </c>
      <c r="B9" s="5" t="s">
        <v>347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55.5" hidden="false" customHeight="true" outlineLevel="0" collapsed="false">
      <c r="A10" s="37" t="s">
        <v>348</v>
      </c>
      <c r="B10" s="5" t="s">
        <v>349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55.5" hidden="false" customHeight="true" outlineLevel="0" collapsed="false">
      <c r="A11" s="37" t="s">
        <v>350</v>
      </c>
      <c r="B11" s="5" t="s">
        <v>351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55.5" hidden="false" customHeight="true" outlineLevel="0" collapsed="false">
      <c r="A12" s="37" t="s">
        <v>352</v>
      </c>
      <c r="B12" s="5" t="s">
        <v>353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customFormat="false" ht="55.5" hidden="false" customHeight="true" outlineLevel="0" collapsed="false">
      <c r="A13" s="37" t="s">
        <v>354</v>
      </c>
      <c r="B13" s="5" t="s">
        <v>355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</sheetData>
  <sheetProtection sheet="true" password="cc3d" objects="true" scenarios="true" deleteColumns="false" deleteRows="false"/>
  <mergeCells count="10">
    <mergeCell ref="A1:AD1"/>
    <mergeCell ref="B5:T5"/>
    <mergeCell ref="B6:T6"/>
    <mergeCell ref="B7:T7"/>
    <mergeCell ref="B8:T8"/>
    <mergeCell ref="B9:T9"/>
    <mergeCell ref="B10:T10"/>
    <mergeCell ref="B11:T11"/>
    <mergeCell ref="B12:T12"/>
    <mergeCell ref="B13:T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2026-08-10T17:04:48Z</dcterms:created>
  <dc:creator>openpyxl</dc:creator>
  <dc:description/>
  <dc:language>tr-TR</dc:language>
  <cp:lastModifiedBy/>
  <dcterms:modified xsi:type="dcterms:W3CDTF">2026-08-10T17:04:48Z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