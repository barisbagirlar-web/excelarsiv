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7.xml" ContentType="application/vnd.openxmlformats-officedocument.spreadsheetml.comment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charts/style1.xml" ContentType="application/vnd.ms-office.chartstyle+xml"/>
  <Override PartName="/xl/charts/style2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chart7.xml" ContentType="application/vnd.openxmlformats-officedocument.drawingml.chart+xml"/>
  <Override PartName="/xl/charts/colors3.xml" ContentType="application/vnd.ms-office.chartcolorstyle+xml"/>
  <Override PartName="/xl/charts/chart2.xml" ContentType="application/vnd.openxmlformats-officedocument.drawingml.chart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8.xml" ContentType="application/vnd.ms-office.chartcolorstyle+xml"/>
  <Override PartName="/xl/charts/chart3.xml" ContentType="application/vnd.openxmlformats-officedocument.drawingml.chart+xml"/>
  <Override PartName="/xl/charts/colors5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harts/style5.xml" ContentType="application/vnd.ms-office.chartstyle+xml"/>
  <Override PartName="/xl/charts/chart4.xml" ContentType="application/vnd.openxmlformats-officedocument.drawingml.chart+xml"/>
  <Override PartName="/xl/charts/style3.xml" ContentType="application/vnd.ms-office.chart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7.xml" ContentType="application/vnd.ms-office.chartstyle+xml"/>
  <Override PartName="/xl/charts/colors4.xml" ContentType="application/vnd.ms-office.chartcolorstyle+xml"/>
  <Override PartName="/xl/charts/colors7.xml" ContentType="application/vnd.ms-office.chartcolorstyle+xml"/>
  <Override PartName="/xl/charts/style8.xml" ContentType="application/vnd.ms-office.chartstyle+xml"/>
  <Override PartName="/xl/comments14.xml" ContentType="application/vnd.openxmlformats-officedocument.spreadsheetml.comments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5.vml" ContentType="application/vnd.openxmlformats-officedocument.vmlDrawing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4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15.xml" ContentType="application/vnd.openxmlformats-officedocument.spreadsheetml.comments+xml"/>
  <Override PartName="/xl/comments5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APAK" sheetId="1" state="visible" r:id="rId3"/>
    <sheet name="HIZLI_BASLANGIC" sheetId="2" state="visible" r:id="rId4"/>
    <sheet name="DONEM_BILANCO" sheetId="3" state="visible" r:id="rId5"/>
    <sheet name="BORC_LISTESI" sheetId="4" state="visible" r:id="rId6"/>
    <sheet name="HESAP" sheetId="5" state="visible" r:id="rId7"/>
    <sheet name="ANALITIK_MOTOR" sheetId="6" state="visible" r:id="rId8"/>
    <sheet name="KONTROLLER" sheetId="7" state="visible" r:id="rId9"/>
    <sheet name="KARAR" sheetId="8" state="visible" r:id="rId10"/>
    <sheet name="PANO" sheetId="9" state="visible" r:id="rId11"/>
    <sheet name="SENARYO_DUYARLILIK" sheetId="10" state="visible" r:id="rId12"/>
    <sheet name="RAPOR" sheetId="11" state="visible" r:id="rId13"/>
    <sheet name="ORNEK_VERI" sheetId="12" state="visible" r:id="rId14"/>
    <sheet name="DEGISIKLIK_KAYDI" sheetId="13" state="visible" r:id="rId15"/>
    <sheet name="LISTELER" sheetId="14" state="visible" r:id="rId16"/>
    <sheet name="AYARLAR" sheetId="15" state="visible" r:id="rId17"/>
    <sheet name="KILAVUZ" sheetId="16" state="visible" r:id="rId18"/>
  </sheets>
  <definedNames>
    <definedName function="false" hidden="false" localSheetId="8" name="_xlnm.Print_Area" vbProcedure="false">PANO!$A$1:$M$56</definedName>
    <definedName function="false" hidden="false" localSheetId="10" name="_xlnm.Print_Area" vbProcedure="false">RAPOR!$A$1:$L$29</definedName>
    <definedName function="false" hidden="false" name="DosyaSurumu" vbProcedure="false">AYARLAR!$B$10</definedName>
    <definedName function="false" hidden="false" name="FirmaUnvan" vbProcedure="false">AYARLAR!$B$7</definedName>
    <definedName function="false" hidden="false" name="ListeAylar" vbProcedure="false">LISTELER!$C$7:$C$18</definedName>
    <definedName function="false" hidden="false" name="ListeBorcTurleri" vbProcedure="false">LISTELER!$A$7:$A$12</definedName>
    <definedName function="false" hidden="false" name="ListeEvetHayir" vbProcedure="false">LISTELER!$E$7:$E$8</definedName>
    <definedName function="false" hidden="false" name="modulI1OzKaynakTahmin" vbProcedure="false">ANALITIK_MOTOR!$C$13</definedName>
    <definedName function="false" hidden="false" name="modulI1OzKaynakTahminYorum" vbProcedure="false">ANALITIK_MOTOR!$D$13</definedName>
    <definedName function="false" hidden="false" name="modulI2YuzdelikP90" vbProcedure="false">ANALITIK_MOTOR!$C$14</definedName>
    <definedName function="false" hidden="false" name="modulI2YuzdelikP90Yorum" vbProcedure="false">ANALITIK_MOTOR!$D$14</definedName>
    <definedName function="false" hidden="false" name="modulO1Anomali" vbProcedure="false">ANALITIK_MOTOR!$C$8</definedName>
    <definedName function="false" hidden="false" name="modulO1AnomaliYorum" vbProcedure="false">ANALITIK_MOTOR!$D$8</definedName>
    <definedName function="false" hidden="false" name="modulO2Tornado" vbProcedure="false">ANALITIK_MOTOR!$C$9</definedName>
    <definedName function="false" hidden="false" name="modulO2TornadoYorum" vbProcedure="false">ANALITIK_MOTOR!$D$9</definedName>
    <definedName function="false" hidden="false" name="modulO3Senaryo" vbProcedure="false">ANALITIK_MOTOR!$C$10</definedName>
    <definedName function="false" hidden="false" name="modulO3SenaryoYorum" vbProcedure="false">ANALITIK_MOTOR!$D$10</definedName>
    <definedName function="false" hidden="false" name="modulO6Hhi" vbProcedure="false">ANALITIK_MOTOR!$C$11</definedName>
    <definedName function="false" hidden="false" name="modulO6HhiYorum" vbProcedure="false">ANALITIK_MOTOR!$D$11</definedName>
    <definedName function="false" hidden="false" name="modulO8KaliteSkor" vbProcedure="false">ANALITIK_MOTOR!$C$12</definedName>
    <definedName function="false" hidden="false" name="modulO8KaliteSkorYorum" vbProcedure="false">ANALITIK_MOTOR!$D$12</definedName>
    <definedName function="false" hidden="false" name="modulT1OzKaynakTrend" vbProcedure="false">ANALITIK_MOTOR!$C$6</definedName>
    <definedName function="false" hidden="false" name="modulT1OzKaynakTrendYorum" vbProcedure="false">ANALITIK_MOTOR!$D$6</definedName>
    <definedName function="false" hidden="false" name="modulT4OzKaynakFark" vbProcedure="false">ANALITIK_MOTOR!$C$7</definedName>
    <definedName function="false" hidden="false" name="modulT4OzKaynakFarkYorum" vbProcedure="false">ANALITIK_MOTOR!$D$7</definedName>
    <definedName function="false" hidden="false" name="RaporHazirlayan" vbProcedure="false">AYARLAR!$B$9</definedName>
    <definedName function="false" hidden="false" name="RaporTarihi" vbProcedure="false">AYARLAR!$B$8</definedName>
    <definedName function="false" hidden="false" name="TtkAksiyon1_ACIKLAMA" vbProcedure="false">AYARLAR!$B$20</definedName>
    <definedName function="false" hidden="false" name="TtkAksiyon2_ACIKLAMA" vbProcedure="false">AYARLAR!$B$21</definedName>
    <definedName function="false" hidden="false" name="TtkAksiyon3_ACIKLAMA" vbProcedure="false">AYARLAR!$B$22</definedName>
    <definedName function="false" hidden="false" name="TtkAzamiBilancoTutari" vbProcedure="false">AYARLAR!$B$24</definedName>
    <definedName function="false" hidden="false" name="TtkBazSenaryo" vbProcedure="false">AYARLAR!$B$15</definedName>
    <definedName function="false" hidden="false" name="TtkBorcaBatik" vbProcedure="false">HESAP!$B$26</definedName>
    <definedName function="false" hidden="false" name="TtkBorcGirisKolon" vbProcedure="false">AYARLAR!$B$39</definedName>
    <definedName function="false" hidden="false" name="TtkDoluGiris" vbProcedure="false">KONTROLLER!$B$18</definedName>
    <definedName function="false" hidden="false" name="TtkDonemGirisKolon" vbProcedure="false">AYARLAR!$B$38</definedName>
    <definedName function="false" hidden="false" name="TtkDonemKar" vbProcedure="false">HESAP!$B$17</definedName>
    <definedName function="false" hidden="false" name="TtkDonemZarar" vbProcedure="false">HESAP!$B$18</definedName>
    <definedName function="false" hidden="false" name="TtkGecmisYilKar" vbProcedure="false">HESAP!$B$15</definedName>
    <definedName function="false" hidden="false" name="TtkGecmisYilZarar" vbProcedure="false">HESAP!$B$16</definedName>
    <definedName function="false" hidden="false" name="TtkIlkSonFark" vbProcedure="false">HESAP!$B$28</definedName>
    <definedName function="false" hidden="false" name="TtkIyiSenaryo" vbProcedure="false">AYARLAR!$B$14</definedName>
    <definedName function="false" hidden="false" name="TtkKaliteIyi" vbProcedure="false">AYARLAR!$B$18</definedName>
    <definedName function="false" hidden="false" name="TtkKaliteOrta" vbProcedure="false">AYARLAR!$B$19</definedName>
    <definedName function="false" hidden="false" name="TtkKayipOrani" vbProcedure="false">HESAP!$B$21</definedName>
    <definedName function="false" hidden="false" name="TtkKayipTutari" vbProcedure="false">HESAP!$B$20</definedName>
    <definedName function="false" hidden="false" name="TtkKotuSenaryo" vbProcedure="false">AYARLAR!$B$16</definedName>
    <definedName function="false" hidden="false" name="TtkOdenmisSermaye" vbProcedure="false">HESAP!$B$13</definedName>
    <definedName function="false" hidden="false" name="TtkOzKaynakAktif" vbProcedure="false">HESAP!$B$27</definedName>
    <definedName function="false" hidden="false" name="TtkOzsermaye" vbProcedure="false">HESAP!$B$19</definedName>
    <definedName function="false" hidden="false" name="TtkP90Oran" vbProcedure="false">AYARLAR!$B$23</definedName>
    <definedName function="false" hidden="false" name="TtkPanelSatir1" vbProcedure="false">AYARLAR!$B$26</definedName>
    <definedName function="false" hidden="false" name="TtkPanelSatir10" vbProcedure="false">AYARLAR!$B$35</definedName>
    <definedName function="false" hidden="false" name="TtkPanelSatir11" vbProcedure="false">AYARLAR!$B$36</definedName>
    <definedName function="false" hidden="false" name="TtkPanelSatir12" vbProcedure="false">AYARLAR!$B$37</definedName>
    <definedName function="false" hidden="false" name="TtkPanelSatir2" vbProcedure="false">AYARLAR!$B$27</definedName>
    <definedName function="false" hidden="false" name="TtkPanelSatir3" vbProcedure="false">AYARLAR!$B$28</definedName>
    <definedName function="false" hidden="false" name="TtkPanelSatir4" vbProcedure="false">AYARLAR!$B$29</definedName>
    <definedName function="false" hidden="false" name="TtkPanelSatir5" vbProcedure="false">AYARLAR!$B$30</definedName>
    <definedName function="false" hidden="false" name="TtkPanelSatir6" vbProcedure="false">AYARLAR!$B$31</definedName>
    <definedName function="false" hidden="false" name="TtkPanelSatir7" vbProcedure="false">AYARLAR!$B$32</definedName>
    <definedName function="false" hidden="false" name="TtkPanelSatir8" vbProcedure="false">AYARLAR!$B$33</definedName>
    <definedName function="false" hidden="false" name="TtkPanelSatir9" vbProcedure="false">AYARLAR!$B$34</definedName>
    <definedName function="false" hidden="false" name="TtkTahminCarpan" vbProcedure="false">AYARLAR!$B$13</definedName>
    <definedName function="false" hidden="false" name="TtkToplamAktif" vbProcedure="false">HESAP!$B$25</definedName>
    <definedName function="false" hidden="false" name="TtkToplamBorc" vbProcedure="false">HESAP!$B$24</definedName>
    <definedName function="false" hidden="false" name="TtkToplamGiris" vbProcedure="false">KONTROLLER!$B$17</definedName>
    <definedName function="false" hidden="false" name="TtkTornadoZarar" vbProcedure="false">AYARLAR!$B$17</definedName>
    <definedName function="false" hidden="false" name="TtkUcteBirEsik" vbProcedure="false">AYARLAR!$B$11</definedName>
    <definedName function="false" hidden="false" name="TtkUcteBirEsikTutar" vbProcedure="false">HESAP!$B$22</definedName>
    <definedName function="false" hidden="false" name="TtkUcteIkiEsik" vbProcedure="false">AYARLAR!$B$12</definedName>
    <definedName function="false" hidden="false" name="TtkUcteIkiEsikTutar" vbProcedure="false">HESAP!$B$23</definedName>
    <definedName function="false" hidden="false" name="TtkYedekler" vbProcedure="false">HESAP!$B$14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5" authorId="0">
      <text>
        <r>
          <rPr>
            <sz val="10"/>
            <rFont val="Arial"/>
            <family val="2"/>
          </rPr>
          <t xml:space="preserve">Tanım: Adım 1 — Aylık bilanço verilerini girin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  <comment ref="A6" authorId="0">
      <text>
        <r>
          <rPr>
            <sz val="10"/>
            <rFont val="Arial"/>
            <family val="2"/>
          </rPr>
          <t xml:space="preserve">Tanım: Adım 2 — Borç listesini girin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Adım 3 — Sermaye kaybını izleyin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Adım 4 — Karar ve rapor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7</xdr:rowOff>
              </xdr:from>
              <xdr:to>
                <xdr:col>1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9</xdr:rowOff>
              </xdr:from>
              <xdr:to>
                <xdr:col>1</xdr:col>
                <xdr:colOff>127</xdr:colOff>
                <xdr:row>5</xdr:row>
                <xdr:rowOff>22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11</xdr:rowOff>
              </xdr:from>
              <xdr:to>
                <xdr:col>1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13</xdr:rowOff>
              </xdr:from>
              <xdr:to>
                <xdr:col>1</xdr:col>
                <xdr:colOff>127</xdr:colOff>
                <xdr:row>6</xdr:row>
                <xdr:rowOff>4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15</xdr:rowOff>
              </xdr:from>
              <xdr:to>
                <xdr:col>1</xdr:col>
                <xdr:colOff>127</xdr:colOff>
                <xdr:row>6</xdr:row>
                <xdr:rowOff>5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16</xdr:rowOff>
              </xdr:from>
              <xdr:to>
                <xdr:col>1</xdr:col>
                <xdr:colOff>127</xdr:colOff>
                <xdr:row>6</xdr:row>
                <xdr:rowOff>7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18</xdr:rowOff>
              </xdr:from>
              <xdr:to>
                <xdr:col>1</xdr:col>
                <xdr:colOff>127</xdr:colOff>
                <xdr:row>6</xdr:row>
                <xdr:rowOff>9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0</xdr:rowOff>
              </xdr:from>
              <xdr:to>
                <xdr:col>1</xdr:col>
                <xdr:colOff>127</xdr:colOff>
                <xdr:row>6</xdr:row>
                <xdr:rowOff>11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127</xdr:colOff>
                <xdr:row>6</xdr:row>
                <xdr:rowOff>13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127</xdr:colOff>
                <xdr:row>6</xdr:row>
                <xdr:rowOff>15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6</xdr:rowOff>
              </xdr:from>
              <xdr:to>
                <xdr:col>1</xdr:col>
                <xdr:colOff>127</xdr:colOff>
                <xdr:row>6</xdr:row>
                <xdr:rowOff>17</xdr:rowOff>
              </xdr:to>
            </anchor>
          </commentPr>
        </mc:Choice>
        <mc:Fallback/>
      </mc:AlternateContent>
    </comment>
    <comment ref="A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7</xdr:rowOff>
              </xdr:from>
              <xdr:to>
                <xdr:col>1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9</xdr:rowOff>
              </xdr:from>
              <xdr:to>
                <xdr:col>1</xdr:col>
                <xdr:colOff>127</xdr:colOff>
                <xdr:row>5</xdr:row>
                <xdr:rowOff>22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11</xdr:rowOff>
              </xdr:from>
              <xdr:to>
                <xdr:col>1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13</xdr:rowOff>
              </xdr:from>
              <xdr:to>
                <xdr:col>1</xdr:col>
                <xdr:colOff>127</xdr:colOff>
                <xdr:row>6</xdr:row>
                <xdr:rowOff>4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15</xdr:rowOff>
              </xdr:from>
              <xdr:to>
                <xdr:col>1</xdr:col>
                <xdr:colOff>127</xdr:colOff>
                <xdr:row>6</xdr:row>
                <xdr:rowOff>5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16</xdr:rowOff>
              </xdr:from>
              <xdr:to>
                <xdr:col>1</xdr:col>
                <xdr:colOff>127</xdr:colOff>
                <xdr:row>6</xdr:row>
                <xdr:rowOff>7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18</xdr:rowOff>
              </xdr:from>
              <xdr:to>
                <xdr:col>1</xdr:col>
                <xdr:colOff>127</xdr:colOff>
                <xdr:row>6</xdr:row>
                <xdr:rowOff>9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0</xdr:rowOff>
              </xdr:from>
              <xdr:to>
                <xdr:col>1</xdr:col>
                <xdr:colOff>127</xdr:colOff>
                <xdr:row>6</xdr:row>
                <xdr:rowOff>11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127</xdr:colOff>
                <xdr:row>6</xdr:row>
                <xdr:rowOff>13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127</xdr:colOff>
                <xdr:row>6</xdr:row>
                <xdr:rowOff>15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6</xdr:rowOff>
              </xdr:from>
              <xdr:to>
                <xdr:col>1</xdr:col>
                <xdr:colOff>127</xdr:colOff>
                <xdr:row>6</xdr:row>
                <xdr:rowOff>17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7</xdr:rowOff>
              </xdr:from>
              <xdr:to>
                <xdr:col>1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9</xdr:rowOff>
              </xdr:from>
              <xdr:to>
                <xdr:col>1</xdr:col>
                <xdr:colOff>127</xdr:colOff>
                <xdr:row>5</xdr:row>
                <xdr:rowOff>22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11</xdr:rowOff>
              </xdr:from>
              <xdr:to>
                <xdr:col>1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13</xdr:rowOff>
              </xdr:from>
              <xdr:to>
                <xdr:col>1</xdr:col>
                <xdr:colOff>127</xdr:colOff>
                <xdr:row>6</xdr:row>
                <xdr:rowOff>4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15</xdr:rowOff>
              </xdr:from>
              <xdr:to>
                <xdr:col>1</xdr:col>
                <xdr:colOff>127</xdr:colOff>
                <xdr:row>6</xdr:row>
                <xdr:rowOff>5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16</xdr:rowOff>
              </xdr:from>
              <xdr:to>
                <xdr:col>1</xdr:col>
                <xdr:colOff>127</xdr:colOff>
                <xdr:row>6</xdr:row>
                <xdr:rowOff>7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18</xdr:rowOff>
              </xdr:from>
              <xdr:to>
                <xdr:col>1</xdr:col>
                <xdr:colOff>127</xdr:colOff>
                <xdr:row>6</xdr:row>
                <xdr:rowOff>9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0</xdr:rowOff>
              </xdr:from>
              <xdr:to>
                <xdr:col>1</xdr:col>
                <xdr:colOff>127</xdr:colOff>
                <xdr:row>6</xdr:row>
                <xdr:rowOff>11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127</xdr:colOff>
                <xdr:row>6</xdr:row>
                <xdr:rowOff>13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127</xdr:colOff>
                <xdr:row>6</xdr:row>
                <xdr:rowOff>15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6</xdr:rowOff>
              </xdr:from>
              <xdr:to>
                <xdr:col>1</xdr:col>
                <xdr:colOff>127</xdr:colOff>
                <xdr:row>6</xdr:row>
                <xdr:rowOff>17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7</xdr:rowOff>
              </xdr:from>
              <xdr:to>
                <xdr:col>1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9</xdr:rowOff>
              </xdr:from>
              <xdr:to>
                <xdr:col>1</xdr:col>
                <xdr:colOff>127</xdr:colOff>
                <xdr:row>5</xdr:row>
                <xdr:rowOff>22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11</xdr:rowOff>
              </xdr:from>
              <xdr:to>
                <xdr:col>1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13</xdr:rowOff>
              </xdr:from>
              <xdr:to>
                <xdr:col>1</xdr:col>
                <xdr:colOff>127</xdr:colOff>
                <xdr:row>6</xdr:row>
                <xdr:rowOff>4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15</xdr:rowOff>
              </xdr:from>
              <xdr:to>
                <xdr:col>1</xdr:col>
                <xdr:colOff>127</xdr:colOff>
                <xdr:row>6</xdr:row>
                <xdr:rowOff>5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16</xdr:rowOff>
              </xdr:from>
              <xdr:to>
                <xdr:col>1</xdr:col>
                <xdr:colOff>127</xdr:colOff>
                <xdr:row>6</xdr:row>
                <xdr:rowOff>7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18</xdr:rowOff>
              </xdr:from>
              <xdr:to>
                <xdr:col>1</xdr:col>
                <xdr:colOff>127</xdr:colOff>
                <xdr:row>6</xdr:row>
                <xdr:rowOff>9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0</xdr:rowOff>
              </xdr:from>
              <xdr:to>
                <xdr:col>1</xdr:col>
                <xdr:colOff>127</xdr:colOff>
                <xdr:row>6</xdr:row>
                <xdr:rowOff>11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127</xdr:colOff>
                <xdr:row>6</xdr:row>
                <xdr:rowOff>13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127</xdr:colOff>
                <xdr:row>6</xdr:row>
                <xdr:rowOff>15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6</xdr:rowOff>
              </xdr:from>
              <xdr:to>
                <xdr:col>1</xdr:col>
                <xdr:colOff>127</xdr:colOff>
                <xdr:row>6</xdr:row>
                <xdr:rowOff>17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7</xdr:rowOff>
              </xdr:from>
              <xdr:to>
                <xdr:col>1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9</xdr:rowOff>
              </xdr:from>
              <xdr:to>
                <xdr:col>1</xdr:col>
                <xdr:colOff>127</xdr:colOff>
                <xdr:row>5</xdr:row>
                <xdr:rowOff>22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11</xdr:rowOff>
              </xdr:from>
              <xdr:to>
                <xdr:col>1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13</xdr:rowOff>
              </xdr:from>
              <xdr:to>
                <xdr:col>1</xdr:col>
                <xdr:colOff>127</xdr:colOff>
                <xdr:row>6</xdr:row>
                <xdr:rowOff>4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15</xdr:rowOff>
              </xdr:from>
              <xdr:to>
                <xdr:col>1</xdr:col>
                <xdr:colOff>127</xdr:colOff>
                <xdr:row>6</xdr:row>
                <xdr:rowOff>5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16</xdr:rowOff>
              </xdr:from>
              <xdr:to>
                <xdr:col>1</xdr:col>
                <xdr:colOff>127</xdr:colOff>
                <xdr:row>6</xdr:row>
                <xdr:rowOff>7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18</xdr:rowOff>
              </xdr:from>
              <xdr:to>
                <xdr:col>1</xdr:col>
                <xdr:colOff>127</xdr:colOff>
                <xdr:row>6</xdr:row>
                <xdr:rowOff>9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0</xdr:rowOff>
              </xdr:from>
              <xdr:to>
                <xdr:col>1</xdr:col>
                <xdr:colOff>127</xdr:colOff>
                <xdr:row>6</xdr:row>
                <xdr:rowOff>11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127</xdr:colOff>
                <xdr:row>6</xdr:row>
                <xdr:rowOff>13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127</xdr:colOff>
                <xdr:row>6</xdr:row>
                <xdr:rowOff>15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6</xdr:rowOff>
              </xdr:from>
              <xdr:to>
                <xdr:col>1</xdr:col>
                <xdr:colOff>127</xdr:colOff>
                <xdr:row>6</xdr:row>
                <xdr:rowOff>17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7</xdr:rowOff>
              </xdr:from>
              <xdr:to>
                <xdr:col>1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9</xdr:rowOff>
              </xdr:from>
              <xdr:to>
                <xdr:col>1</xdr:col>
                <xdr:colOff>127</xdr:colOff>
                <xdr:row>5</xdr:row>
                <xdr:rowOff>22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11</xdr:rowOff>
              </xdr:from>
              <xdr:to>
                <xdr:col>1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13</xdr:rowOff>
              </xdr:from>
              <xdr:to>
                <xdr:col>1</xdr:col>
                <xdr:colOff>127</xdr:colOff>
                <xdr:row>6</xdr:row>
                <xdr:rowOff>4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15</xdr:rowOff>
              </xdr:from>
              <xdr:to>
                <xdr:col>1</xdr:col>
                <xdr:colOff>127</xdr:colOff>
                <xdr:row>6</xdr:row>
                <xdr:rowOff>5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16</xdr:rowOff>
              </xdr:from>
              <xdr:to>
                <xdr:col>1</xdr:col>
                <xdr:colOff>127</xdr:colOff>
                <xdr:row>6</xdr:row>
                <xdr:rowOff>7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18</xdr:rowOff>
              </xdr:from>
              <xdr:to>
                <xdr:col>1</xdr:col>
                <xdr:colOff>127</xdr:colOff>
                <xdr:row>6</xdr:row>
                <xdr:rowOff>9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0</xdr:rowOff>
              </xdr:from>
              <xdr:to>
                <xdr:col>1</xdr:col>
                <xdr:colOff>127</xdr:colOff>
                <xdr:row>6</xdr:row>
                <xdr:rowOff>11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127</xdr:colOff>
                <xdr:row>6</xdr:row>
                <xdr:rowOff>13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127</xdr:colOff>
                <xdr:row>6</xdr:row>
                <xdr:rowOff>15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6</xdr:rowOff>
              </xdr:from>
              <xdr:to>
                <xdr:col>1</xdr:col>
                <xdr:colOff>127</xdr:colOff>
                <xdr:row>6</xdr:row>
                <xdr:rowOff>17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7</xdr:rowOff>
              </xdr:from>
              <xdr:to>
                <xdr:col>1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G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9</xdr:rowOff>
              </xdr:from>
              <xdr:to>
                <xdr:col>1</xdr:col>
                <xdr:colOff>127</xdr:colOff>
                <xdr:row>5</xdr:row>
                <xdr:rowOff>22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11</xdr:rowOff>
              </xdr:from>
              <xdr:to>
                <xdr:col>1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13</xdr:rowOff>
              </xdr:from>
              <xdr:to>
                <xdr:col>1</xdr:col>
                <xdr:colOff>127</xdr:colOff>
                <xdr:row>6</xdr:row>
                <xdr:rowOff>4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15</xdr:rowOff>
              </xdr:from>
              <xdr:to>
                <xdr:col>1</xdr:col>
                <xdr:colOff>127</xdr:colOff>
                <xdr:row>6</xdr:row>
                <xdr:rowOff>5</xdr:rowOff>
              </xdr:to>
            </anchor>
          </commentPr>
        </mc:Choice>
        <mc:Fallback/>
      </mc:AlternateContent>
    </comment>
    <comment ref="G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16</xdr:rowOff>
              </xdr:from>
              <xdr:to>
                <xdr:col>1</xdr:col>
                <xdr:colOff>127</xdr:colOff>
                <xdr:row>6</xdr:row>
                <xdr:rowOff>7</xdr:rowOff>
              </xdr:to>
            </anchor>
          </commentPr>
        </mc:Choice>
        <mc:Fallback/>
      </mc:AlternateContent>
    </comment>
    <comment ref="G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18</xdr:rowOff>
              </xdr:from>
              <xdr:to>
                <xdr:col>1</xdr:col>
                <xdr:colOff>127</xdr:colOff>
                <xdr:row>6</xdr:row>
                <xdr:rowOff>9</xdr:rowOff>
              </xdr:to>
            </anchor>
          </commentPr>
        </mc:Choice>
        <mc:Fallback/>
      </mc:AlternateContent>
    </comment>
    <comment ref="G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0</xdr:rowOff>
              </xdr:from>
              <xdr:to>
                <xdr:col>1</xdr:col>
                <xdr:colOff>127</xdr:colOff>
                <xdr:row>6</xdr:row>
                <xdr:rowOff>11</xdr:rowOff>
              </xdr:to>
            </anchor>
          </commentPr>
        </mc:Choice>
        <mc:Fallback/>
      </mc:AlternateContent>
    </comment>
    <comment ref="G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127</xdr:colOff>
                <xdr:row>6</xdr:row>
                <xdr:rowOff>13</xdr:rowOff>
              </xdr:to>
            </anchor>
          </commentPr>
        </mc:Choice>
        <mc:Fallback/>
      </mc:AlternateContent>
    </comment>
    <comment ref="G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127</xdr:colOff>
                <xdr:row>6</xdr:row>
                <xdr:rowOff>15</xdr:rowOff>
              </xdr:to>
            </anchor>
          </commentPr>
        </mc:Choice>
        <mc:Fallback/>
      </mc:AlternateContent>
    </comment>
    <comment ref="G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6</xdr:rowOff>
              </xdr:from>
              <xdr:to>
                <xdr:col>1</xdr:col>
                <xdr:colOff>127</xdr:colOff>
                <xdr:row>6</xdr:row>
                <xdr:rowOff>17</xdr:rowOff>
              </xdr:to>
            </anchor>
          </commentPr>
        </mc:Choice>
        <mc:Fallback/>
      </mc:AlternateContent>
    </comment>
    <comment ref="G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G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H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7</xdr:rowOff>
              </xdr:from>
              <xdr:to>
                <xdr:col>1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H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9</xdr:rowOff>
              </xdr:from>
              <xdr:to>
                <xdr:col>1</xdr:col>
                <xdr:colOff>127</xdr:colOff>
                <xdr:row>5</xdr:row>
                <xdr:rowOff>22</xdr:rowOff>
              </xdr:to>
            </anchor>
          </commentPr>
        </mc:Choice>
        <mc:Fallback/>
      </mc:AlternateContent>
    </comment>
    <comment ref="H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11</xdr:rowOff>
              </xdr:from>
              <xdr:to>
                <xdr:col>1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13</xdr:rowOff>
              </xdr:from>
              <xdr:to>
                <xdr:col>1</xdr:col>
                <xdr:colOff>127</xdr:colOff>
                <xdr:row>6</xdr:row>
                <xdr:rowOff>4</xdr:rowOff>
              </xdr:to>
            </anchor>
          </commentPr>
        </mc:Choice>
        <mc:Fallback/>
      </mc:AlternateContent>
    </comment>
    <comment ref="H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15</xdr:rowOff>
              </xdr:from>
              <xdr:to>
                <xdr:col>1</xdr:col>
                <xdr:colOff>127</xdr:colOff>
                <xdr:row>6</xdr:row>
                <xdr:rowOff>5</xdr:rowOff>
              </xdr:to>
            </anchor>
          </commentPr>
        </mc:Choice>
        <mc:Fallback/>
      </mc:AlternateContent>
    </comment>
    <comment ref="H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16</xdr:rowOff>
              </xdr:from>
              <xdr:to>
                <xdr:col>1</xdr:col>
                <xdr:colOff>127</xdr:colOff>
                <xdr:row>6</xdr:row>
                <xdr:rowOff>7</xdr:rowOff>
              </xdr:to>
            </anchor>
          </commentPr>
        </mc:Choice>
        <mc:Fallback/>
      </mc:AlternateContent>
    </comment>
    <comment ref="H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18</xdr:rowOff>
              </xdr:from>
              <xdr:to>
                <xdr:col>1</xdr:col>
                <xdr:colOff>127</xdr:colOff>
                <xdr:row>6</xdr:row>
                <xdr:rowOff>9</xdr:rowOff>
              </xdr:to>
            </anchor>
          </commentPr>
        </mc:Choice>
        <mc:Fallback/>
      </mc:AlternateContent>
    </comment>
    <comment ref="H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0</xdr:rowOff>
              </xdr:from>
              <xdr:to>
                <xdr:col>1</xdr:col>
                <xdr:colOff>127</xdr:colOff>
                <xdr:row>6</xdr:row>
                <xdr:rowOff>11</xdr:rowOff>
              </xdr:to>
            </anchor>
          </commentPr>
        </mc:Choice>
        <mc:Fallback/>
      </mc:AlternateContent>
    </comment>
    <comment ref="H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127</xdr:colOff>
                <xdr:row>6</xdr:row>
                <xdr:rowOff>13</xdr:rowOff>
              </xdr:to>
            </anchor>
          </commentPr>
        </mc:Choice>
        <mc:Fallback/>
      </mc:AlternateContent>
    </comment>
    <comment ref="H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127</xdr:colOff>
                <xdr:row>6</xdr:row>
                <xdr:rowOff>15</xdr:rowOff>
              </xdr:to>
            </anchor>
          </commentPr>
        </mc:Choice>
        <mc:Fallback/>
      </mc:AlternateContent>
    </comment>
    <comment ref="H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6</xdr:rowOff>
              </xdr:from>
              <xdr:to>
                <xdr:col>1</xdr:col>
                <xdr:colOff>127</xdr:colOff>
                <xdr:row>6</xdr:row>
                <xdr:rowOff>17</xdr:rowOff>
              </xdr:to>
            </anchor>
          </commentPr>
        </mc:Choice>
        <mc:Fallback/>
      </mc:AlternateContent>
    </comment>
    <comment ref="H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H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I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7</xdr:rowOff>
              </xdr:from>
              <xdr:to>
                <xdr:col>1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I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9</xdr:rowOff>
              </xdr:from>
              <xdr:to>
                <xdr:col>1</xdr:col>
                <xdr:colOff>127</xdr:colOff>
                <xdr:row>5</xdr:row>
                <xdr:rowOff>22</xdr:rowOff>
              </xdr:to>
            </anchor>
          </commentPr>
        </mc:Choice>
        <mc:Fallback/>
      </mc:AlternateContent>
    </comment>
    <comment ref="I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11</xdr:rowOff>
              </xdr:from>
              <xdr:to>
                <xdr:col>1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13</xdr:rowOff>
              </xdr:from>
              <xdr:to>
                <xdr:col>1</xdr:col>
                <xdr:colOff>127</xdr:colOff>
                <xdr:row>6</xdr:row>
                <xdr:rowOff>4</xdr:rowOff>
              </xdr:to>
            </anchor>
          </commentPr>
        </mc:Choice>
        <mc:Fallback/>
      </mc:AlternateContent>
    </comment>
    <comment ref="I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15</xdr:rowOff>
              </xdr:from>
              <xdr:to>
                <xdr:col>1</xdr:col>
                <xdr:colOff>127</xdr:colOff>
                <xdr:row>6</xdr:row>
                <xdr:rowOff>5</xdr:rowOff>
              </xdr:to>
            </anchor>
          </commentPr>
        </mc:Choice>
        <mc:Fallback/>
      </mc:AlternateContent>
    </comment>
    <comment ref="I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16</xdr:rowOff>
              </xdr:from>
              <xdr:to>
                <xdr:col>1</xdr:col>
                <xdr:colOff>127</xdr:colOff>
                <xdr:row>6</xdr:row>
                <xdr:rowOff>7</xdr:rowOff>
              </xdr:to>
            </anchor>
          </commentPr>
        </mc:Choice>
        <mc:Fallback/>
      </mc:AlternateContent>
    </comment>
    <comment ref="I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18</xdr:rowOff>
              </xdr:from>
              <xdr:to>
                <xdr:col>1</xdr:col>
                <xdr:colOff>127</xdr:colOff>
                <xdr:row>6</xdr:row>
                <xdr:rowOff>9</xdr:rowOff>
              </xdr:to>
            </anchor>
          </commentPr>
        </mc:Choice>
        <mc:Fallback/>
      </mc:AlternateContent>
    </comment>
    <comment ref="I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0</xdr:rowOff>
              </xdr:from>
              <xdr:to>
                <xdr:col>1</xdr:col>
                <xdr:colOff>127</xdr:colOff>
                <xdr:row>6</xdr:row>
                <xdr:rowOff>11</xdr:rowOff>
              </xdr:to>
            </anchor>
          </commentPr>
        </mc:Choice>
        <mc:Fallback/>
      </mc:AlternateContent>
    </comment>
    <comment ref="I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127</xdr:colOff>
                <xdr:row>6</xdr:row>
                <xdr:rowOff>13</xdr:rowOff>
              </xdr:to>
            </anchor>
          </commentPr>
        </mc:Choice>
        <mc:Fallback/>
      </mc:AlternateContent>
    </comment>
    <comment ref="I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127</xdr:colOff>
                <xdr:row>6</xdr:row>
                <xdr:rowOff>15</xdr:rowOff>
              </xdr:to>
            </anchor>
          </commentPr>
        </mc:Choice>
        <mc:Fallback/>
      </mc:AlternateContent>
    </comment>
    <comment ref="I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6</xdr:rowOff>
              </xdr:from>
              <xdr:to>
                <xdr:col>1</xdr:col>
                <xdr:colOff>127</xdr:colOff>
                <xdr:row>6</xdr:row>
                <xdr:rowOff>17</xdr:rowOff>
              </xdr:to>
            </anchor>
          </commentPr>
        </mc:Choice>
        <mc:Fallback/>
      </mc:AlternateContent>
    </comment>
    <comment ref="I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I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161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163</xdr:rowOff>
              </xdr:from>
              <xdr:to>
                <xdr:col>2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163</xdr:rowOff>
              </xdr:from>
              <xdr:to>
                <xdr:col>2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163</xdr:rowOff>
              </xdr:from>
              <xdr:to>
                <xdr:col>2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163</xdr:rowOff>
              </xdr:from>
              <xdr:to>
                <xdr:col>2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164</xdr:rowOff>
              </xdr:from>
              <xdr:to>
                <xdr:col>2</xdr:col>
                <xdr:colOff>127</xdr:colOff>
                <xdr:row>5</xdr:row>
                <xdr:rowOff>22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161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163</xdr:rowOff>
              </xdr:from>
              <xdr:to>
                <xdr:col>2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163</xdr:rowOff>
              </xdr:from>
              <xdr:to>
                <xdr:col>2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163</xdr:rowOff>
              </xdr:from>
              <xdr:to>
                <xdr:col>2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163</xdr:rowOff>
              </xdr:from>
              <xdr:to>
                <xdr:col>2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164</xdr:rowOff>
              </xdr:from>
              <xdr:to>
                <xdr:col>2</xdr:col>
                <xdr:colOff>127</xdr:colOff>
                <xdr:row>5</xdr:row>
                <xdr:rowOff>22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161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163</xdr:rowOff>
              </xdr:from>
              <xdr:to>
                <xdr:col>2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163</xdr:rowOff>
              </xdr:from>
              <xdr:to>
                <xdr:col>2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163</xdr:rowOff>
              </xdr:from>
              <xdr:to>
                <xdr:col>2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163</xdr:rowOff>
              </xdr:from>
              <xdr:to>
                <xdr:col>2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164</xdr:rowOff>
              </xdr:from>
              <xdr:to>
                <xdr:col>2</xdr:col>
                <xdr:colOff>127</xdr:colOff>
                <xdr:row>5</xdr:row>
                <xdr:rowOff>22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161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163</xdr:rowOff>
              </xdr:from>
              <xdr:to>
                <xdr:col>2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163</xdr:rowOff>
              </xdr:from>
              <xdr:to>
                <xdr:col>2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163</xdr:rowOff>
              </xdr:from>
              <xdr:to>
                <xdr:col>2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163</xdr:rowOff>
              </xdr:from>
              <xdr:to>
                <xdr:col>2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164</xdr:rowOff>
              </xdr:from>
              <xdr:to>
                <xdr:col>2</xdr:col>
                <xdr:colOff>127</xdr:colOff>
                <xdr:row>5</xdr:row>
                <xdr:rowOff>22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161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163</xdr:rowOff>
              </xdr:from>
              <xdr:to>
                <xdr:col>2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163</xdr:rowOff>
              </xdr:from>
              <xdr:to>
                <xdr:col>2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163</xdr:rowOff>
              </xdr:from>
              <xdr:to>
                <xdr:col>2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163</xdr:rowOff>
              </xdr:from>
              <xdr:to>
                <xdr:col>2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164</xdr:rowOff>
              </xdr:from>
              <xdr:to>
                <xdr:col>2</xdr:col>
                <xdr:colOff>127</xdr:colOff>
                <xdr:row>5</xdr:row>
                <xdr:rowOff>22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161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163</xdr:rowOff>
              </xdr:from>
              <xdr:to>
                <xdr:col>2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163</xdr:rowOff>
              </xdr:from>
              <xdr:to>
                <xdr:col>2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163</xdr:rowOff>
              </xdr:from>
              <xdr:to>
                <xdr:col>2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163</xdr:rowOff>
              </xdr:from>
              <xdr:to>
                <xdr:col>2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164</xdr:rowOff>
              </xdr:from>
              <xdr:to>
                <xdr:col>2</xdr:col>
                <xdr:colOff>127</xdr:colOff>
                <xdr:row>5</xdr:row>
                <xdr:rowOff>22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161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163</xdr:rowOff>
              </xdr:from>
              <xdr:to>
                <xdr:col>2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G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163</xdr:rowOff>
              </xdr:from>
              <xdr:to>
                <xdr:col>2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163</xdr:rowOff>
              </xdr:from>
              <xdr:to>
                <xdr:col>2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163</xdr:rowOff>
              </xdr:from>
              <xdr:to>
                <xdr:col>2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164</xdr:rowOff>
              </xdr:from>
              <xdr:to>
                <xdr:col>2</xdr:col>
                <xdr:colOff>127</xdr:colOff>
                <xdr:row>5</xdr:row>
                <xdr:rowOff>22</xdr:rowOff>
              </xdr:to>
            </anchor>
          </commentPr>
        </mc:Choice>
        <mc:Fallback/>
      </mc:AlternateContent>
    </comment>
    <comment ref="G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G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161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H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163</xdr:rowOff>
              </xdr:from>
              <xdr:to>
                <xdr:col>2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H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163</xdr:rowOff>
              </xdr:from>
              <xdr:to>
                <xdr:col>2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H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163</xdr:rowOff>
              </xdr:from>
              <xdr:to>
                <xdr:col>2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H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163</xdr:rowOff>
              </xdr:from>
              <xdr:to>
                <xdr:col>2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H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164</xdr:rowOff>
              </xdr:from>
              <xdr:to>
                <xdr:col>2</xdr:col>
                <xdr:colOff>127</xdr:colOff>
                <xdr:row>5</xdr:row>
                <xdr:rowOff>22</xdr:rowOff>
              </xdr:to>
            </anchor>
          </commentPr>
        </mc:Choice>
        <mc:Fallback/>
      </mc:AlternateContent>
    </comment>
    <comment ref="H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H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161</xdr:rowOff>
              </xdr:from>
              <xdr:to>
                <xdr:col>2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I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163</xdr:rowOff>
              </xdr:from>
              <xdr:to>
                <xdr:col>2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I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163</xdr:rowOff>
              </xdr:from>
              <xdr:to>
                <xdr:col>2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I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163</xdr:rowOff>
              </xdr:from>
              <xdr:to>
                <xdr:col>2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I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163</xdr:rowOff>
              </xdr:from>
              <xdr:to>
                <xdr:col>2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I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164</xdr:rowOff>
              </xdr:from>
              <xdr:to>
                <xdr:col>2</xdr:col>
                <xdr:colOff>127</xdr:colOff>
                <xdr:row>5</xdr:row>
                <xdr:rowOff>22</xdr:rowOff>
              </xdr:to>
            </anchor>
          </commentPr>
        </mc:Choice>
        <mc:Fallback/>
      </mc:AlternateContent>
    </comment>
    <comment ref="I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I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166</xdr:rowOff>
              </xdr:from>
              <xdr:to>
                <xdr:col>2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6" authorId="0">
      <text>
        <r>
          <rPr>
            <sz val="10"/>
            <rFont val="Arial"/>
            <family val="2"/>
          </rPr>
          <t xml:space="preserve">Tanım: Banka Kredisi borç metriği | Neden önemli: Borç yapısını ve yoğunlaşmayı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88</xdr:colOff>
                <xdr:row>7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Tedarikçi Borcu borç metriği | Neden önemli: Borç yapısını ve yoğunlaşmayı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88</xdr:colOff>
                <xdr:row>7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Finansal Kiralama borç metriği | Neden önemli: Borç yapısını ve yoğunlaşmayı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88</xdr:colOff>
                <xdr:row>7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Tahvil borç metriği | Neden önemli: Borç yapısını ve yoğunlaşmayı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88</xdr:colOff>
                <xdr:row>7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Ortak Borcu borç metriği | Neden önemli: Borç yapısını ve yoğunlaşmayı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88</xdr:colOff>
                <xdr:row>7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Diğer borç metriği | Neden önemli: Borç yapısını ve yoğunlaşmayı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88</xdr:colOff>
                <xdr:row>7</xdr:row>
                <xdr:rowOff>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Banka Kredisi borç metriği | Neden önemli: Borç yapısını ve yoğunlaşmayı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88</xdr:colOff>
                <xdr:row>7</xdr:row>
                <xdr:rowOff>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Tedarikçi Borcu borç metriği | Neden önemli: Borç yapısını ve yoğunlaşmayı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88</xdr:colOff>
                <xdr:row>7</xdr:row>
                <xdr:rowOff>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Finansal Kiralama borç metriği | Neden önemli: Borç yapısını ve yoğunlaşmayı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88</xdr:colOff>
                <xdr:row>7</xdr:row>
                <xdr:rowOff>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Tahvil borç metriği | Neden önemli: Borç yapısını ve yoğunlaşmayı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88</xdr:colOff>
                <xdr:row>7</xdr:row>
                <xdr:rowOff>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Ortak Borcu borç metriği | Neden önemli: Borç yapısını ve yoğunlaşmayı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88</xdr:colOff>
                <xdr:row>7</xdr:row>
                <xdr:rowOff>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Diğer borç metriği | Neden önemli: Borç yapısını ve yoğunlaşmayı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88</xdr:colOff>
                <xdr:row>7</xdr:row>
                <xdr:rowOff>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Banka Kredisi borç metriği | Neden önemli: Borç yapısını ve yoğunlaşmayı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88</xdr:colOff>
                <xdr:row>7</xdr:row>
                <xdr:rowOff>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Tedarikçi Borcu borç metriği | Neden önemli: Borç yapısını ve yoğunlaşmayı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88</xdr:colOff>
                <xdr:row>7</xdr:row>
                <xdr:rowOff>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Finansal Kiralama borç metriği | Neden önemli: Borç yapısını ve yoğunlaşmayı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88</xdr:colOff>
                <xdr:row>7</xdr:row>
                <xdr:rowOff>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Tahvil borç metriği | Neden önemli: Borç yapısını ve yoğunlaşmayı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88</xdr:colOff>
                <xdr:row>7</xdr:row>
                <xdr:rowOff>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Ortak Borcu borç metriği | Neden önemli: Borç yapısını ve yoğunlaşmayı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88</xdr:colOff>
                <xdr:row>7</xdr:row>
                <xdr:rowOff>8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Diğer borç metriği | Neden önemli: Borç yapısını ve yoğunlaşmayı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88</xdr:colOff>
                <xdr:row>7</xdr:row>
                <xdr:rowOff>8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Banka Kredisi borç metriği | Neden önemli: Borç yapısını ve yoğunlaşmayı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88</xdr:colOff>
                <xdr:row>7</xdr:row>
                <xdr:rowOff>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Tedarikçi Borcu borç metriği | Neden önemli: Borç yapısını ve yoğunlaşmayı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88</xdr:colOff>
                <xdr:row>7</xdr:row>
                <xdr:rowOff>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Finansal Kiralama borç metriği | Neden önemli: Borç yapısını ve yoğunlaşmayı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88</xdr:colOff>
                <xdr:row>7</xdr:row>
                <xdr:rowOff>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Tahvil borç metriği | Neden önemli: Borç yapısını ve yoğunlaşmayı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88</xdr:colOff>
                <xdr:row>7</xdr:row>
                <xdr:rowOff>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Ortak Borcu borç metriği | Neden önemli: Borç yapısını ve yoğunlaşmayı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88</xdr:colOff>
                <xdr:row>7</xdr:row>
                <xdr:rowOff>8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Diğer borç metriği | Neden önemli: Borç yapısını ve yoğunlaşmayı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88</xdr:colOff>
                <xdr:row>7</xdr:row>
                <xdr:rowOff>8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Banka Kredisi borç metriği | Neden önemli: Borç yapısını ve yoğunlaşmayı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88</xdr:colOff>
                <xdr:row>7</xdr:row>
                <xdr:rowOff>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Tedarikçi Borcu borç metriği | Neden önemli: Borç yapısını ve yoğunlaşmayı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88</xdr:colOff>
                <xdr:row>7</xdr:row>
                <xdr:rowOff>8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Finansal Kiralama borç metriği | Neden önemli: Borç yapısını ve yoğunlaşmayı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88</xdr:colOff>
                <xdr:row>7</xdr:row>
                <xdr:rowOff>8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Tahvil borç metriği | Neden önemli: Borç yapısını ve yoğunlaşmayı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88</xdr:colOff>
                <xdr:row>7</xdr:row>
                <xdr:rowOff>8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Ortak Borcu borç metriği | Neden önemli: Borç yapısını ve yoğunlaşmayı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88</xdr:colOff>
                <xdr:row>7</xdr:row>
                <xdr:rowOff>8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Tanım: Diğer borç metriği | Neden önemli: Borç yapısını ve yoğunlaşmayı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88</xdr:colOff>
                <xdr:row>7</xdr:row>
                <xdr:rowOff>8</xdr:rowOff>
              </xdr:to>
            </anchor>
          </commentPr>
        </mc:Choice>
        <mc:Fallback/>
      </mc:AlternateContent>
    </comment>
  </commentList>
</comments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6" authorId="0">
      <text>
        <r>
          <rPr>
            <sz val="10"/>
            <rFont val="Arial"/>
            <family val="2"/>
          </rPr>
          <t xml:space="preserve">Tanım: Boş ay satırı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Boş ödenmiş sermaye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Negatif değer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Ödenmiş sermaye sıfır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Borç türü boş mu?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Kayıp oranı 1/3 eşiğini aşıyor mu?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Kayıp oranı 2/3 eşiğini aşıyor mu?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Borca batıklık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1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7" authorId="0">
      <text>
        <r>
          <rPr>
            <sz val="10"/>
            <rFont val="Arial"/>
            <family val="2"/>
          </rPr>
          <t xml:space="preserve">Tanım: Borç türü | Neden önemli: Açılır listeyi besler | Doğru kullanım: Yeni tür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49</xdr:colOff>
                <xdr:row>8</xdr:row>
                <xdr:rowOff>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Borç türü | Neden önemli: Açılır listeyi besler | Doğru kullanım: Yeni tür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49</xdr:colOff>
                <xdr:row>8</xdr:row>
                <xdr:rowOff>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Borç türü | Neden önemli: Açılır listeyi besler | Doğru kullanım: Yeni tür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49</xdr:colOff>
                <xdr:row>8</xdr:row>
                <xdr:rowOff>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Borç türü | Neden önemli: Açılır listeyi besler | Doğru kullanım: Yeni tür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49</xdr:colOff>
                <xdr:row>8</xdr:row>
                <xdr:rowOff>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Borç türü | Neden önemli: Açılır listeyi besler | Doğru kullanım: Yeni tür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49</xdr:colOff>
                <xdr:row>8</xdr:row>
                <xdr:rowOff>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Borç türü | Neden önemli: Açılır listeyi besler | Doğru kullanım: Yeni tür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49</xdr:colOff>
                <xdr:row>8</xdr:row>
                <xdr:rowOff>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29</xdr:colOff>
                <xdr:row>6</xdr:row>
                <xdr:rowOff>18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29</xdr:colOff>
                <xdr:row>6</xdr:row>
                <xdr:rowOff>18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29</xdr:colOff>
                <xdr:row>6</xdr:row>
                <xdr:rowOff>18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29</xdr:colOff>
                <xdr:row>6</xdr:row>
                <xdr:rowOff>18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29</xdr:colOff>
                <xdr:row>6</xdr:row>
                <xdr:rowOff>18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29</xdr:colOff>
                <xdr:row>6</xdr:row>
                <xdr:rowOff>18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29</xdr:colOff>
                <xdr:row>6</xdr:row>
                <xdr:rowOff>18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29</xdr:colOff>
                <xdr:row>6</xdr:row>
                <xdr:rowOff>18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29</xdr:colOff>
                <xdr:row>6</xdr:row>
                <xdr:rowOff>18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29</xdr:colOff>
                <xdr:row>6</xdr:row>
                <xdr:rowOff>18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29</xdr:colOff>
                <xdr:row>6</xdr:row>
                <xdr:rowOff>18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29</xdr:colOff>
                <xdr:row>6</xdr:row>
                <xdr:rowOff>18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29</xdr:colOff>
                <xdr:row>6</xdr:row>
                <xdr:rowOff>18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29</xdr:colOff>
                <xdr:row>6</xdr:row>
                <xdr:rowOff>18</xdr:rowOff>
              </xdr:to>
            </anchor>
          </commentPr>
        </mc:Choice>
        <mc:Fallback/>
      </mc:AlternateContent>
    </comment>
  </commentList>
</comments>
</file>

<file path=xl/comments1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Panel satır numarası 1 | Neden önemli: PANO'daki aylık öz kaynak grafiğini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Panel satır numarası 2 | Neden önemli: PANO'daki aylık öz kaynak grafiğini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Panel satır numarası 3 | Neden önemli: PANO'daki aylık öz kaynak grafiğini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Panel satır numarası 4 | Neden önemli: PANO'daki aylık öz kaynak grafiğini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Panel satır numarası 5 | Neden önemli: PANO'daki aylık öz kaynak grafiğini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Panel satır numarası 6 | Neden önemli: PANO'daki aylık öz kaynak grafiğini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Panel satır numarası 7 | Neden önemli: PANO'daki aylık öz kaynak grafiğini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Panel satır numarası 8 | Neden önemli: PANO'daki aylık öz kaynak grafiğini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Panel satır numarası 9 | Neden önemli: PANO'daki aylık öz kaynak grafiğini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Panel satır numarası 10 | Neden önemli: PANO'daki aylık öz kaynak grafiğini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Panel satır numarası 11 | Neden önemli: PANO'daki aylık öz kaynak grafiğini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Panel satır numarası 12 | Neden önemli: PANO'daki aylık öz kaynak grafiğini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<sst xmlns="http://schemas.openxmlformats.org/spreadsheetml/2006/main" count="541" uniqueCount="365">
  <si>
    <t xml:space="preserve">KAPAK — Şirket Öz Kaynağı Eridi Mi? (TTK 376 Sermaye Tamamlama Cetveli)</t>
  </si>
  <si>
    <t xml:space="preserve">Şirket Öz Kaynağı Eridi Mi? (TTK 376 Sermaye Tamamlama Cetveli)</t>
  </si>
  <si>
    <t xml:space="preserve">Aylık bilanço verilerinizi girin; öz kaynağın sermayeyi karşılama durumunu, TTK 376 kapsamındaki sermaye kaybı eşiklerini, borca batıklığı ve yapılması gerekenleri otomatik hesaplayın.</t>
  </si>
  <si>
    <t xml:space="preserve">Bu ürün ne sağlar?</t>
  </si>
  <si>
    <t xml:space="preserve">• Aylık öz kaynak bileşenlerinden gerçek öz kaynağı ve sermaye kaybını otomatik hesaplar</t>
  </si>
  <si>
    <t xml:space="preserve">• TTK 376'daki 1/3 ve 2/3 sermaye kaybı eşiklerini canlı kontrol eder (hâlâ sağlıklı mı?)</t>
  </si>
  <si>
    <t xml:space="preserve">• Borca batıklık tespiti ve yönetim kurulu bildirim yükümlülüğü uyarısı</t>
  </si>
  <si>
    <t xml:space="preserve">• Sermaye artırımı / azaltımı / infisah senaryolarında öz kaynak ve kayıp oranı karşılaştırması</t>
  </si>
  <si>
    <t xml:space="preserve">• UYGUN / İNCELE / DURDUR karar kapısı ve yönetici raporu</t>
  </si>
  <si>
    <t xml:space="preserve">Kimler için?</t>
  </si>
  <si>
    <t xml:space="preserve">• Öz kaynağı eriyen ve TTK 376 riski taşıyan anonim / limited şirketler</t>
  </si>
  <si>
    <t xml:space="preserve">• Genel kurul toplantısı öncesi sermaye tamamlama veya azaltım kararı alacak yönetim kurulları</t>
  </si>
  <si>
    <t xml:space="preserve">• Borca batıklık bildirimi ve mali tablo sunumu hazırlayan mali müşavirler</t>
  </si>
  <si>
    <t xml:space="preserve">Nasıl başlanır?</t>
  </si>
  <si>
    <t xml:space="preserve">1. HIZLI_BASLANGIC sayfasını okuyun. 2. DONEM_BILANCO sayfasına aylık bilanço bileşenlerinizi girin. 3. BORC_LISTESI sayfasına borçlarınızı ekleyin. 4. PANO ve RAPOR sayfalarından öz kaynak durumunu ve kararı izleyin.</t>
  </si>
  <si>
    <t xml:space="preserve">Sürüm 1.0.0 | 2026 | ExcelArşiv | Lisans: Tek kullanıcı</t>
  </si>
  <si>
    <t xml:space="preserve">HIZLI BASLANGIC — Şirket Öz Kaynağı Eridi Mi? (TTK 376 Sermaye Tamamlama Cetveli)</t>
  </si>
  <si>
    <t xml:space="preserve">Nasıl kullanılır?</t>
  </si>
  <si>
    <t xml:space="preserve">Adım 1 — Aylık bilanço verilerini girin</t>
  </si>
  <si>
    <t xml:space="preserve">DONEM_BILANCO sayfasındaki sarı hücrelere her ayın ödenmiş sermaye, yedek, geçmiş yıl kâr/zarar, dönem kâr/zarar, borç ve aktif değerlerini girin. Öz kaynak otomatik hesaplanır.</t>
  </si>
  <si>
    <t xml:space="preserve">Adım 2 — Borç listesini girin</t>
  </si>
  <si>
    <t xml:space="preserve">BORC_LISTESI sayfasındaki sarı hücrelere borçlarınızı ve türlerini girin; yoğunlaşma analizi bu listeden beslenir.</t>
  </si>
  <si>
    <t xml:space="preserve">Adım 3 — Sermaye kaybını izleyin</t>
  </si>
  <si>
    <t xml:space="preserve">HESAP sayfası öz kaynağı, kayıp tutarını, kayıp oranını ve 1/3 ile 2/3 eşiklerini üretir.</t>
  </si>
  <si>
    <t xml:space="preserve">Adım 4 — Karar ve rapor</t>
  </si>
  <si>
    <t xml:space="preserve">KARAR sayfası UYGUN/İNCELE/DURDUR kararını üretir; RAPOR yöneticiye ve genel kurula sunulabilir.</t>
  </si>
  <si>
    <t xml:space="preserve">Sık yapılan hatalar</t>
  </si>
  <si>
    <t xml:space="preserve">• Ödenmiş sermayeyi cari değer yerine tarihsel değerle girmek (kayıp oranı bozulur)</t>
  </si>
  <si>
    <t xml:space="preserve">• Dönem zararını negatif işaretle girmek (önce ayrı bir zarar kolonu kullanılır)</t>
  </si>
  <si>
    <t xml:space="preserve">• Borç/aktif tutarlarını dönem sonu bilançosuyla mutabakat ettirmemek</t>
  </si>
  <si>
    <t xml:space="preserve">Bu dosya karar destek aracıdır; hukuki ve mali müşavir görüşü yerine geçmez.</t>
  </si>
  <si>
    <t xml:space="preserve">DONEM BILANCO — Şirket Öz Kaynağı Eridi Mi? (TTK 376 Sermaye Tamamlama Cetveli)</t>
  </si>
  <si>
    <t xml:space="preserve">Dönem Bilanço Bileşenleri</t>
  </si>
  <si>
    <t xml:space="preserve">Sarı hücrelere her ayın bilanço bileşenlerini girin. Öz kaynak, kayıp tutarı ve kayıp oranı otomatik hesaplanır.</t>
  </si>
  <si>
    <t xml:space="preserve">Ay</t>
  </si>
  <si>
    <t xml:space="preserve">Ödenmiş Sermaye (₺)</t>
  </si>
  <si>
    <t xml:space="preserve">Yedekler (₺)</t>
  </si>
  <si>
    <t xml:space="preserve">Geçmiş Yıl Kârı (₺)</t>
  </si>
  <si>
    <t xml:space="preserve">Geçmiş Yıl Zararı (₺)</t>
  </si>
  <si>
    <t xml:space="preserve">Dönem Kârı (₺)</t>
  </si>
  <si>
    <t xml:space="preserve">Dönem Zararı (₺)</t>
  </si>
  <si>
    <t xml:space="preserve">Toplam Borç (₺)</t>
  </si>
  <si>
    <t xml:space="preserve">Toplam Aktif (₺)</t>
  </si>
  <si>
    <t xml:space="preserve">Öz Kaynak (₺)</t>
  </si>
  <si>
    <t xml:space="preserve">Kayıp Tutarı (₺)</t>
  </si>
  <si>
    <t xml:space="preserve">Kayıp Oranı</t>
  </si>
  <si>
    <t xml:space="preserve">TTK 376 Durum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</si>
  <si>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</si>
  <si>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</si>
  <si>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</si>
  <si>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</si>
  <si>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</si>
  <si>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</si>
  <si>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</si>
  <si>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</si>
  <si>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</si>
  <si>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</si>
  <si>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</si>
  <si>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</si>
  <si>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Sarı hücreler manuel giriştir; formül hücreleri kilitli ve korumalıdır.</t>
  </si>
  <si>
    <t xml:space="preserve">BORC LISTESI — Şirket Öz Kaynağı Eridi Mi? (TTK 376 Sermaye Tamamlama Cetveli)</t>
  </si>
  <si>
    <t xml:space="preserve">Borç Listesi</t>
  </si>
  <si>
    <t xml:space="preserve">Sarı hücrelere dönem borçlarınızı girin. Yoğunlaşma (HHI) ve anomali analizleri bu listeden beslenir; borca batıklık kontrolünde dönem sonu toplam borç kullanılır.</t>
  </si>
  <si>
    <t xml:space="preserve">Borç Kodu</t>
  </si>
  <si>
    <t xml:space="preserve">Borç Türü</t>
  </si>
  <si>
    <t xml:space="preserve">Alacaklı</t>
  </si>
  <si>
    <t xml:space="preserve">Kullanım Tarihi</t>
  </si>
  <si>
    <t xml:space="preserve">Vade Tarihi</t>
  </si>
  <si>
    <t xml:space="preserve">Borç Tutarı (₺)</t>
  </si>
  <si>
    <t xml:space="preserve">Yıllık Faiz Oranı</t>
  </si>
  <si>
    <t xml:space="preserve">Teminat Var mı?</t>
  </si>
  <si>
    <t xml:space="preserve">Açıklama</t>
  </si>
  <si>
    <t xml:space="preserve">Faiz Yükü (₺)</t>
  </si>
  <si>
    <t xml:space="preserve">B-1001</t>
  </si>
  <si>
    <t xml:space="preserve">Banka Kredisi</t>
  </si>
  <si>
    <t xml:space="preserve">ABC Bank</t>
  </si>
  <si>
    <t xml:space="preserve">Evet</t>
  </si>
  <si>
    <t xml:space="preserve">İşletme kredisi</t>
  </si>
  <si>
    <t xml:space="preserve">B-1002</t>
  </si>
  <si>
    <t xml:space="preserve">Tedarikçi Borcu</t>
  </si>
  <si>
    <t xml:space="preserve">Tedarikçi X</t>
  </si>
  <si>
    <t xml:space="preserve">Hayır</t>
  </si>
  <si>
    <t xml:space="preserve">Vadeli alım</t>
  </si>
  <si>
    <t xml:space="preserve">B-1003</t>
  </si>
  <si>
    <t xml:space="preserve">Tahvil</t>
  </si>
  <si>
    <t xml:space="preserve">Kurumsal Tahvil</t>
  </si>
  <si>
    <t xml:space="preserve">Kurumsal tahvil</t>
  </si>
  <si>
    <t xml:space="preserve">B-1004</t>
  </si>
  <si>
    <t xml:space="preserve">Ortak Borcu</t>
  </si>
  <si>
    <t xml:space="preserve">Ortak A</t>
  </si>
  <si>
    <t xml:space="preserve">Ortak avansı</t>
  </si>
  <si>
    <t xml:space="preserve">B-1005</t>
  </si>
  <si>
    <t xml:space="preserve">Finansal Kiralama</t>
  </si>
  <si>
    <t xml:space="preserve">Kiralama A.Ş.</t>
  </si>
  <si>
    <t xml:space="preserve">Araç kiralaması</t>
  </si>
  <si>
    <t xml:space="preserve">B-1006</t>
  </si>
  <si>
    <t xml:space="preserve">XYZ Bank</t>
  </si>
  <si>
    <t xml:space="preserve">Yatırım kredisi</t>
  </si>
  <si>
    <t xml:space="preserve">HESAP — Şirket Öz Kaynağı Eridi Mi? (TTK 376 Sermaye Tamamlama Cetveli)</t>
  </si>
  <si>
    <t xml:space="preserve">TTK 376 Sermaye Tamamlama Hesabı</t>
  </si>
  <si>
    <t xml:space="preserve">Aşağıdaki özet, dönem bilanço ve borç tablolarından otomatik beslenir; elle değiştirilmez.</t>
  </si>
  <si>
    <t xml:space="preserve">Borç Adedi</t>
  </si>
  <si>
    <t xml:space="preserve">Ortalama Faiz Oranı</t>
  </si>
  <si>
    <t xml:space="preserve">Teminatlı Borç (₺)</t>
  </si>
  <si>
    <t xml:space="preserve">Borç Payı</t>
  </si>
  <si>
    <t xml:space="preserve">Diğer</t>
  </si>
  <si>
    <t xml:space="preserve">TOPLAM</t>
  </si>
  <si>
    <t xml:space="preserve">Dönem Sonu Ödenmiş Sermaye</t>
  </si>
  <si>
    <t xml:space="preserve">Dönem Sonu Yedekler</t>
  </si>
  <si>
    <t xml:space="preserve">Dönem Sonu Geçmiş Yıl Kârı</t>
  </si>
  <si>
    <t xml:space="preserve">Dönem Sonu Geçmiş Yıl Zararı</t>
  </si>
  <si>
    <t xml:space="preserve">Dönem Sonu Dönem Kârı</t>
  </si>
  <si>
    <t xml:space="preserve">Dönem Sonu Dönem Zararı</t>
  </si>
  <si>
    <t xml:space="preserve">Dönem Sonu Öz Kaynak Toplamı</t>
  </si>
  <si>
    <t xml:space="preserve">Sermaye Kaybı Tutarı</t>
  </si>
  <si>
    <t xml:space="preserve">Kayıp Oranı (Kayıp / Ödenmiş Sermaye)</t>
  </si>
  <si>
    <t xml:space="preserve">1/3 Sermaye Kaybı Eşiği (TTK 376)</t>
  </si>
  <si>
    <t xml:space="preserve">2/3 Sermaye Kaybı Eşiği (TTK 376)</t>
  </si>
  <si>
    <t xml:space="preserve">Dönem Sonu Toplam Borç</t>
  </si>
  <si>
    <t xml:space="preserve">Dönem Sonu Toplam Aktif</t>
  </si>
  <si>
    <t xml:space="preserve">Borca Batıklık Durumu</t>
  </si>
  <si>
    <t xml:space="preserve">Öz Kaynak / Aktif Oranı</t>
  </si>
  <si>
    <t xml:space="preserve">İlk-Son Ay Öz Kaynak Farkı</t>
  </si>
  <si>
    <t xml:space="preserve">Uç Değer Sinyali</t>
  </si>
  <si>
    <t xml:space="preserve">Hesap satırları yalnızca dönem bilanço ve borç tablolarından beslenir; korumalıdır.</t>
  </si>
  <si>
    <t xml:space="preserve">ANALITIK MOTOR — Şirket Öz Kaynağı Eridi Mi? (TTK 376 Sermaye Tamamlama Cetveli)</t>
  </si>
  <si>
    <t xml:space="preserve">ANALİTİK MOTOR — DERİNLİK KATMANI</t>
  </si>
  <si>
    <t xml:space="preserve">Kod</t>
  </si>
  <si>
    <t xml:space="preserve">Gösterge</t>
  </si>
  <si>
    <t xml:space="preserve">Değer</t>
  </si>
  <si>
    <t xml:space="preserve">Makine Yorumu</t>
  </si>
  <si>
    <t xml:space="preserve">T1</t>
  </si>
  <si>
    <t xml:space="preserve">Öz Kaynak Trendi (Son/İlk Ay)</t>
  </si>
  <si>
    <t xml:space="preserve">T4</t>
  </si>
  <si>
    <t xml:space="preserve">O1</t>
  </si>
  <si>
    <t xml:space="preserve">Aylık Kayıp Oranı Sapması (STDEV)</t>
  </si>
  <si>
    <t xml:space="preserve">O2</t>
  </si>
  <si>
    <t xml:space="preserve">Tornado: En Büyük Etki</t>
  </si>
  <si>
    <t xml:space="preserve">O3</t>
  </si>
  <si>
    <t xml:space="preserve">Senaryo Bant Genişliği (Kayıp Oranı)</t>
  </si>
  <si>
    <t xml:space="preserve">O6</t>
  </si>
  <si>
    <t xml:space="preserve">Borç Türü Yoğunlaşması (HHI)</t>
  </si>
  <si>
    <t xml:space="preserve">O8</t>
  </si>
  <si>
    <t xml:space="preserve">Veri Kalite Skoru</t>
  </si>
  <si>
    <t xml:space="preserve">I1</t>
  </si>
  <si>
    <t xml:space="preserve">Gelecek Dönem Öz Kaynak Tahmini</t>
  </si>
  <si>
    <t xml:space="preserve">I2</t>
  </si>
  <si>
    <t xml:space="preserve">Borç Tutarı Yüzdelik P90</t>
  </si>
  <si>
    <t xml:space="preserve">KONTROLLER — Şirket Öz Kaynağı Eridi Mi? (TTK 376 Sermaye Tamamlama Cetveli)</t>
  </si>
  <si>
    <t xml:space="preserve">Giriş Kalite Kontrolleri</t>
  </si>
  <si>
    <t xml:space="preserve">Aşağıdaki kontroller canlı formüllerle çalışır; sorun varsa uyarı üretir.</t>
  </si>
  <si>
    <t xml:space="preserve">Boş ay satırı var mı?</t>
  </si>
  <si>
    <t xml:space="preserve">Boş ödenmiş sermaye var mı?</t>
  </si>
  <si>
    <t xml:space="preserve">Negatif değer var mı?</t>
  </si>
  <si>
    <t xml:space="preserve">Ödenmiş sermaye sıfır mı?</t>
  </si>
  <si>
    <t xml:space="preserve">Borç türü boş mu?</t>
  </si>
  <si>
    <t xml:space="preserve">Kayıp oranı 1/3 eşiğini aşıyor mu?</t>
  </si>
  <si>
    <t xml:space="preserve">Kayıp oranı 2/3 eşiğini aşıyor mu?</t>
  </si>
  <si>
    <t xml:space="preserve">Borca batıklık var mı?</t>
  </si>
  <si>
    <t xml:space="preserve">Veri Kalitesi Skoru (0-100)</t>
  </si>
  <si>
    <t xml:space="preserve">Boş ve negatif girişlerin oranına göre üretilen kalite skoru.</t>
  </si>
  <si>
    <t xml:space="preserve">Toplam Giriş Hücresi</t>
  </si>
  <si>
    <t xml:space="preserve">Dolu Giriş Hücresi</t>
  </si>
  <si>
    <t xml:space="preserve">Kalite Skoru</t>
  </si>
  <si>
    <t xml:space="preserve">Kalite Seviyesi</t>
  </si>
  <si>
    <t xml:space="preserve">Kontroller yalnızca giriş verisini denetler; değerleri değiştirmez.</t>
  </si>
  <si>
    <t xml:space="preserve">KARAR — Şirket Öz Kaynağı Eridi Mi? (TTK 376 Sermaye Tamamlama Cetveli)</t>
  </si>
  <si>
    <t xml:space="preserve">Karar Kapısı — TTK 376 Sermaye Tamamlama</t>
  </si>
  <si>
    <t xml:space="preserve">Sermaye kaybı eşikleri ve borca batıklık durumuna göre üretilen karar.</t>
  </si>
  <si>
    <t xml:space="preserve">Dönem Sonu Öz Kaynak</t>
  </si>
  <si>
    <t xml:space="preserve">KARAR</t>
  </si>
  <si>
    <t xml:space="preserve">Gerekçe</t>
  </si>
  <si>
    <t xml:space="preserve">Önerilen Aksiyonlar</t>
  </si>
  <si>
    <t xml:space="preserve">Aksiyon 1</t>
  </si>
  <si>
    <t xml:space="preserve">Aksiyon 2</t>
  </si>
  <si>
    <t xml:space="preserve">Aksiyon 3</t>
  </si>
  <si>
    <t xml:space="preserve">Karar yalnızca giriş verisi ve AYARLAR'daki eşiklerden türetilir; kesin hukuki sonuç değildir.</t>
  </si>
  <si>
    <t xml:space="preserve">PANO — Şirket Öz Kaynağı Eridi Mi? (TTK 376 Sermaye Tamamlama Cetveli)</t>
  </si>
  <si>
    <t xml:space="preserve">Yönetim Paneli</t>
  </si>
  <si>
    <t xml:space="preserve">Sermaye Kaybı</t>
  </si>
  <si>
    <t xml:space="preserve">Öz Kaynak / Aktif</t>
  </si>
  <si>
    <t xml:space="preserve">Borca Batıklık</t>
  </si>
  <si>
    <t xml:space="preserve">Karar</t>
  </si>
  <si>
    <t xml:space="preserve">Toplam Borç</t>
  </si>
  <si>
    <t xml:space="preserve">Aylık Öz Kaynak</t>
  </si>
  <si>
    <t xml:space="preserve">AY1</t>
  </si>
  <si>
    <t xml:space="preserve">AY2</t>
  </si>
  <si>
    <t xml:space="preserve">AY3</t>
  </si>
  <si>
    <t xml:space="preserve">AY4</t>
  </si>
  <si>
    <t xml:space="preserve">AY5</t>
  </si>
  <si>
    <t xml:space="preserve">AY6</t>
  </si>
  <si>
    <t xml:space="preserve">AY7</t>
  </si>
  <si>
    <t xml:space="preserve">AY8</t>
  </si>
  <si>
    <t xml:space="preserve">AY9</t>
  </si>
  <si>
    <t xml:space="preserve">AY10</t>
  </si>
  <si>
    <t xml:space="preserve">AY11</t>
  </si>
  <si>
    <t xml:space="preserve">AY12</t>
  </si>
  <si>
    <t xml:space="preserve">Gelecek 1 Dönem Öz Kaynak Tahmini (Tahmin Aralıklı)</t>
  </si>
  <si>
    <t xml:space="preserve">Ortalama Aylık Öz Kaynak</t>
  </si>
  <si>
    <t xml:space="preserve">Öz Kaynak Standart Sapma</t>
  </si>
  <si>
    <t xml:space="preserve">Alt Tahmin Sınırı</t>
  </si>
  <si>
    <t xml:space="preserve">Üst Tahmin Sınırı</t>
  </si>
  <si>
    <t xml:space="preserve">Senaryo Kayıp Oranı</t>
  </si>
  <si>
    <t xml:space="preserve">İyimser</t>
  </si>
  <si>
    <t xml:space="preserve">Baz</t>
  </si>
  <si>
    <t xml:space="preserve">Kötümser</t>
  </si>
  <si>
    <t xml:space="preserve">Paneldeki tüm göstergeler canlı formüllerden beslenir.</t>
  </si>
  <si>
    <t xml:space="preserve">SENARYO DUYARLILIK — Şirket Öz Kaynağı Eridi Mi? (TTK 376 Sermaye Tamamlama Cetveli)</t>
  </si>
  <si>
    <t xml:space="preserve">Senaryo ve Duyarlılık Analizi</t>
  </si>
  <si>
    <t xml:space="preserve">İyimser, baz ve kötümser senaryolarda kayıp oranı; ardından hangi değişkenin sonucu en çok etkilediğini gösteren tornado analizi.</t>
  </si>
  <si>
    <t xml:space="preserve">Senaryo</t>
  </si>
  <si>
    <t xml:space="preserve">Dönem Zararı Çarpanı</t>
  </si>
  <si>
    <t xml:space="preserve">İYİMSER</t>
  </si>
  <si>
    <t xml:space="preserve">BAZ</t>
  </si>
  <si>
    <t xml:space="preserve">KÖTÜMSER</t>
  </si>
  <si>
    <t xml:space="preserve">Tornado: Kayıp Oranına Etki</t>
  </si>
  <si>
    <t xml:space="preserve">Ödenmiş Sermaye +%1</t>
  </si>
  <si>
    <t xml:space="preserve">Dönem Zararı +%1</t>
  </si>
  <si>
    <t xml:space="preserve">En Etkili Değişken</t>
  </si>
  <si>
    <t xml:space="preserve">Senaryo çarpanları AYARLAR'daki parametrelerden türetilir.</t>
  </si>
  <si>
    <t xml:space="preserve">ŞİRKET ÖZ KAYNAĞI — TTK 376 SERMAYE TAMAMLAMA YÖNETİCİ ÖZETİ</t>
  </si>
  <si>
    <t xml:space="preserve">1/3 Sermaye Kaybı Eşiği</t>
  </si>
  <si>
    <t xml:space="preserve">2/3 Sermaye Kaybı Eşiği</t>
  </si>
  <si>
    <t xml:space="preserve">Borç Yoğunlaşması (HHI)</t>
  </si>
  <si>
    <t xml:space="preserve">Varsayımlar ve Önemli Notlar</t>
  </si>
  <si>
    <t xml:space="preserve">• Öz kaynak, ödenmiş sermaye + yedekler + geçmiş yıl kârı - geçmiş yıl zararı + dönem kârı - dönem zararı olarak hesaplanır.</t>
  </si>
  <si>
    <t xml:space="preserve">• Sermaye kaybı eşikleri (1/3 ve 2/3) TTK 376 kapsamında değerlendirilir; kesin hukuki sonuç, genel kurul kararı ve tescil sürecine bağlıdır.</t>
  </si>
  <si>
    <t xml:space="preserve">• Borca batıklık: öz kaynak negatif ise veya aktifler borçları karşılamıyorsa işaretlenir; bu durumda yönetim kurulu bildirim yükümlülüğü değerlendirilmelidir.</t>
  </si>
  <si>
    <t xml:space="preserve">• Bu dosya hukuki ve mali müşavir görüşü yerine geçmez; mahkeme ve genel kurul süreçleri için uzman desteği gerektirir.</t>
  </si>
  <si>
    <t xml:space="preserve">• Demo veriler gerçek müşteri verisi değildir; kullanımdan önce temizlenmelidir.</t>
  </si>
  <si>
    <t xml:space="preserve">Bu rapor karar destek amaçlıdır; hukuki tavsiye niteliği taşımaz.</t>
  </si>
  <si>
    <t xml:space="preserve">ORNEK VERI — Şirket Öz Kaynağı Eridi Mi? (TTK 376 Sermaye Tamamlama Cetveli)</t>
  </si>
  <si>
    <t xml:space="preserve">Örnek Veri (Demo)</t>
  </si>
  <si>
    <t xml:space="preserve">Borç Listesi (Demo)</t>
  </si>
  <si>
    <t xml:space="preserve">Gerçek girişlere başlamadan önce demo veri ile ürünü deneyin. Bu satırlar örnektir; gerçek verilerle değiştirin.</t>
  </si>
  <si>
    <t xml:space="preserve">Demo veriler rapor sonuçlarını örnekler; satın alma sonrası silinerek gerçek veriler girilir.</t>
  </si>
  <si>
    <t xml:space="preserve">DEGISIKLIK KAYDI — Şirket Öz Kaynağı Eridi Mi? (TTK 376 Sermaye Tamamlama Cetveli)</t>
  </si>
  <si>
    <t xml:space="preserve">Değişiklik Kaydı</t>
  </si>
  <si>
    <t xml:space="preserve">Tarih</t>
  </si>
  <si>
    <t xml:space="preserve">Sürüm</t>
  </si>
  <si>
    <t xml:space="preserve">Değişiklik</t>
  </si>
  <si>
    <t xml:space="preserve">Neden</t>
  </si>
  <si>
    <t xml:space="preserve">Yapan</t>
  </si>
  <si>
    <t xml:space="preserve">01.08.2026</t>
  </si>
  <si>
    <t xml:space="preserve">1.0.0</t>
  </si>
  <si>
    <t xml:space="preserve">İlk üretim</t>
  </si>
  <si>
    <t xml:space="preserve">Ürünün yayına hazırlanması</t>
  </si>
  <si>
    <t xml:space="preserve">ExcelArşiv</t>
  </si>
  <si>
    <t xml:space="preserve">LISTELER — Şirket Öz Kaynağı Eridi Mi? (TTK 376 Sermaye Tamamlama Cetveli)</t>
  </si>
  <si>
    <t xml:space="preserve">Bağlı Listeler</t>
  </si>
  <si>
    <t xml:space="preserve">Bu sayfadaki listeler açılır menüleri besler; yeni seçenek eklemek için sarı hücrelere yazın.</t>
  </si>
  <si>
    <t xml:space="preserve">Evet / Hayır</t>
  </si>
  <si>
    <t xml:space="preserve">AYARLAR — Şirket Öz Kaynağı Eridi Mi? (TTK 376 Sermaye Tamamlama Cetveli)</t>
  </si>
  <si>
    <t xml:space="preserve">Sistem Ayarları ve Oranlar</t>
  </si>
  <si>
    <t xml:space="preserve">Tüm sabitler bu sayfadadır. Eşikleri ve çarpanları kendi işletmenize göre güncelleyin. Değişen her değer tüm hesaplamalara anında yansır.</t>
  </si>
  <si>
    <t xml:space="preserve">anahtar</t>
  </si>
  <si>
    <t xml:space="preserve">deger</t>
  </si>
  <si>
    <t xml:space="preserve">birim</t>
  </si>
  <si>
    <t xml:space="preserve">alt</t>
  </si>
  <si>
    <t xml:space="preserve">ust</t>
  </si>
  <si>
    <t xml:space="preserve">aciklama</t>
  </si>
  <si>
    <t xml:space="preserve">kaynak</t>
  </si>
  <si>
    <t xml:space="preserve">yururluk_tarihi</t>
  </si>
  <si>
    <t xml:space="preserve">dogrulama_tarihi</t>
  </si>
  <si>
    <t xml:space="preserve">FirmaUnvan</t>
  </si>
  <si>
    <t xml:space="preserve">Örnek Firma A.Ş.</t>
  </si>
  <si>
    <t xml:space="preserve">Metin</t>
  </si>
  <si>
    <t xml:space="preserve">Rapor ve kapakta görünen firma adı.</t>
  </si>
  <si>
    <t xml:space="preserve">Kullanıcı</t>
  </si>
  <si>
    <t xml:space="preserve">RaporTarihi</t>
  </si>
  <si>
    <t xml:space="preserve">Tüm hesapların ve kararın alındığı tarih.</t>
  </si>
  <si>
    <t xml:space="preserve">RaporHazirlayan</t>
  </si>
  <si>
    <t xml:space="preserve">Finans Direktörü</t>
  </si>
  <si>
    <t xml:space="preserve">Raporu hazırlayan kişi/rol.</t>
  </si>
  <si>
    <t xml:space="preserve">DosyaSurumu</t>
  </si>
  <si>
    <t xml:space="preserve">Ürün sürüm bilgisi; rapor alt bilgisinde görünür.</t>
  </si>
  <si>
    <t xml:space="preserve">TtkUcteBirEsik</t>
  </si>
  <si>
    <t xml:space="preserve">Oran</t>
  </si>
  <si>
    <t xml:space="preserve">TTK 376 1/3 sermaye kaybı eşiği; altına düşen öz kaynak işlemi tetikler.</t>
  </si>
  <si>
    <t xml:space="preserve">Mevzuat</t>
  </si>
  <si>
    <t xml:space="preserve">TtkUcteIkiEsik</t>
  </si>
  <si>
    <t xml:space="preserve">TTK 376 2/3 sermaye kaybı eşiği; bu eşikte genel kurul derhal toplanır.</t>
  </si>
  <si>
    <t xml:space="preserve">TtkTahminCarpan</t>
  </si>
  <si>
    <t xml:space="preserve">Tahmin bandı genişliği (standart sapma katı).</t>
  </si>
  <si>
    <t xml:space="preserve">Varsayım</t>
  </si>
  <si>
    <t xml:space="preserve">TtkIyiSenaryo</t>
  </si>
  <si>
    <t xml:space="preserve">İyimser senaryoda dönem zararı bu çarpanla hesaplanır (0.6 = %40 azalış).</t>
  </si>
  <si>
    <t xml:space="preserve">TtkBazSenaryo</t>
  </si>
  <si>
    <t xml:space="preserve">Baz senaryoda dönem zararı bu çarpanla hesaplanır.</t>
  </si>
  <si>
    <t xml:space="preserve">TtkKotuSenaryo</t>
  </si>
  <si>
    <t xml:space="preserve">Kötümser senaryoda dönem zararı bu çarpanla hesaplanır (1.5 = %50 artış).</t>
  </si>
  <si>
    <t xml:space="preserve">TtkTornadoZarar</t>
  </si>
  <si>
    <t xml:space="preserve">Tornado analizinde dönem zararının %1 artış etkisi.</t>
  </si>
  <si>
    <t xml:space="preserve">TtkKaliteIyi</t>
  </si>
  <si>
    <t xml:space="preserve">Skor</t>
  </si>
  <si>
    <t xml:space="preserve">Kalite skoru bu eşiğin üzerindeyse YÜKSEK kalite.</t>
  </si>
  <si>
    <t xml:space="preserve">TtkKaliteOrta</t>
  </si>
  <si>
    <t xml:space="preserve">Kalite skoru bu eşiğin üzerindeyse ORTA kalite.</t>
  </si>
  <si>
    <t xml:space="preserve">TtkAksiyon1_ACIKLAMA</t>
  </si>
  <si>
    <t xml:space="preserve">1/3 eşiğine yaklaşılıyorsa ödenmiş sermayeyi koruyacak şekilde ortaklardan sermaye taahhüdü veya borç/kâr transferi planlayın.</t>
  </si>
  <si>
    <t xml:space="preserve">İNCELE kararında gösterilen ilk öneri.</t>
  </si>
  <si>
    <t xml:space="preserve">TtkAksiyon2_ACIKLAMA</t>
  </si>
  <si>
    <t xml:space="preserve">2/3 kayıp durumunda genel kurulu derhal toplayın; sermaye artırımı, azaltım veya infisah kararı için hukuki ve mali danışman desteği alın.</t>
  </si>
  <si>
    <t xml:space="preserve">DURDUR kararında gösterilen ikinci öneri.</t>
  </si>
  <si>
    <t xml:space="preserve">TtkAksiyon3_ACIKLAMA</t>
  </si>
  <si>
    <t xml:space="preserve">Borca batıklıkta aktif değerlemesini yeniden yapın; bilanço güncellemesi ve mahkeme bildirimi sürecini mali müşavirle birlikte yürütün.</t>
  </si>
  <si>
    <t xml:space="preserve">DURDUR kararında gösterilen üçüncü öneri.</t>
  </si>
  <si>
    <t xml:space="preserve">TtkP90Oran</t>
  </si>
  <si>
    <t xml:space="preserve">Borç tutarı dağılımında üst yüzdelik dilimin oranı.</t>
  </si>
  <si>
    <t xml:space="preserve">TtkAzamiBilancoTutari</t>
  </si>
  <si>
    <t xml:space="preserve">TL</t>
  </si>
  <si>
    <t xml:space="preserve">Gerçekçilik üst sınırı; toplam borç bu tutarı aşarsa uç değer işareti üretilir ve karar İNCELE kalır.</t>
  </si>
  <si>
    <t xml:space="preserve">TtkPanelSatir1</t>
  </si>
  <si>
    <t xml:space="preserve">Satır</t>
  </si>
  <si>
    <t xml:space="preserve">PANO'daki aylık öz kaynak grafiği serisinin tablodaki veri satırı (1. veri).</t>
  </si>
  <si>
    <t xml:space="preserve">TtkPanelSatir2</t>
  </si>
  <si>
    <t xml:space="preserve">PANO'daki aylık öz kaynak grafiği serisinin tablodaki veri satırı (2. veri).</t>
  </si>
  <si>
    <t xml:space="preserve">TtkPanelSatir3</t>
  </si>
  <si>
    <t xml:space="preserve">PANO'daki aylık öz kaynak grafiği serisinin tablodaki veri satırı (3. veri).</t>
  </si>
  <si>
    <t xml:space="preserve">TtkPanelSatir4</t>
  </si>
  <si>
    <t xml:space="preserve">PANO'daki aylık öz kaynak grafiği serisinin tablodaki veri satırı (4. veri).</t>
  </si>
  <si>
    <t xml:space="preserve">TtkPanelSatir5</t>
  </si>
  <si>
    <t xml:space="preserve">PANO'daki aylık öz kaynak grafiği serisinin tablodaki veri satırı (5. veri).</t>
  </si>
  <si>
    <t xml:space="preserve">TtkPanelSatir6</t>
  </si>
  <si>
    <t xml:space="preserve">PANO'daki aylık öz kaynak grafiği serisinin tablodaki veri satırı (6. veri).</t>
  </si>
  <si>
    <t xml:space="preserve">TtkPanelSatir7</t>
  </si>
  <si>
    <t xml:space="preserve">PANO'daki aylık öz kaynak grafiği serisinin tablodaki veri satırı (7. veri).</t>
  </si>
  <si>
    <t xml:space="preserve">TtkPanelSatir8</t>
  </si>
  <si>
    <t xml:space="preserve">PANO'daki aylık öz kaynak grafiği serisinin tablodaki veri satırı (8. veri).</t>
  </si>
  <si>
    <t xml:space="preserve">TtkPanelSatir9</t>
  </si>
  <si>
    <t xml:space="preserve">PANO'daki aylık öz kaynak grafiği serisinin tablodaki veri satırı (9. veri).</t>
  </si>
  <si>
    <t xml:space="preserve">TtkPanelSatir10</t>
  </si>
  <si>
    <t xml:space="preserve">PANO'daki aylık öz kaynak grafiği serisinin tablodaki veri satırı (10. veri).</t>
  </si>
  <si>
    <t xml:space="preserve">TtkPanelSatir11</t>
  </si>
  <si>
    <t xml:space="preserve">PANO'daki aylık öz kaynak grafiği serisinin tablodaki veri satırı (11. veri).</t>
  </si>
  <si>
    <t xml:space="preserve">TtkPanelSatir12</t>
  </si>
  <si>
    <t xml:space="preserve">PANO'daki aylık öz kaynak grafiği serisinin tablodaki veri satırı (12. veri).</t>
  </si>
  <si>
    <t xml:space="preserve">TtkDonemGirisKolon</t>
  </si>
  <si>
    <t xml:space="preserve">Adet</t>
  </si>
  <si>
    <t xml:space="preserve">DONEM_BILANCO tablosunda satır başına manuel giriş kolonu sayısı.</t>
  </si>
  <si>
    <t xml:space="preserve">TtkBorcGirisKolon</t>
  </si>
  <si>
    <t xml:space="preserve">BORC_LISTESI tablosunda satır başına manuel giriş kolonu sayısı.</t>
  </si>
  <si>
    <t xml:space="preserve">KILAVUZ — Şirket Öz Kaynağı Eridi Mi? (TTK 376 Sermaye Tamamlama Cetveli)</t>
  </si>
  <si>
    <t xml:space="preserve">Kullanım Kılavuzu</t>
  </si>
  <si>
    <t xml:space="preserve">Veri girişi</t>
  </si>
  <si>
    <t xml:space="preserve">DONEM_BILANCO sayfasındaki sarı hücrelere aylık bilanço bileşenlerinizi (ödenmiş sermaye, yedekler, geçmiş yıl kâr/zarar, dönem kâr/zarar, borç ve aktif) girin; BORC_LISTESI sayfasına borçlarınızı ve türlerini ekleyin.</t>
  </si>
  <si>
    <t xml:space="preserve">Hesap katmanı</t>
  </si>
  <si>
    <t xml:space="preserve">HESAP sayfası öz kaynağı, sermaye kaybı tutarını, kayıp oranını ve TTK 376'daki 1/3 ile 2/3 eşiklerini otomatik özetler.</t>
  </si>
  <si>
    <t xml:space="preserve">Karar ve rapor</t>
  </si>
  <si>
    <t xml:space="preserve">KARAR sayfası UYGUN/İNCELE/DURDUR kararını üretir; RAPOR genel kurul ve yönetim kuruluna sunulabilir.</t>
  </si>
  <si>
    <t xml:space="preserve">Ayarlar</t>
  </si>
  <si>
    <t xml:space="preserve">AYARLAR sayfasındaki 1/3 ve 2/3 eşiklerini ve senaryo çarpanlarını mali müşavirinize göre güncelleyin.</t>
  </si>
  <si>
    <t xml:space="preserve">Koruma</t>
  </si>
  <si>
    <t xml:space="preserve">Tüm sayfalar 1234 şifresiyle korunur; sarı hücreler serbesttir, formül hücreleri kilitlidir.</t>
  </si>
  <si>
    <t xml:space="preserve">Bu dosya karar destek aracıdır; hukuki ve mali müşavir görüşü, genel kurul kararı ve tescil süreci yerine geçmez.</t>
  </si>
  <si>
    <t xml:space="preserve">Varsayım İşaretli Parametreler</t>
  </si>
  <si>
    <t xml:space="preserve">Aşağıdaki eşik ve çarpanlar AYARLAR sayfasında kaynak=Varsayım olarak işaretlidir; mevzuat zorunluluğu yoktur ve işletmeye göre güncellenmelidir.</t>
  </si>
  <si>
    <t xml:space="preserve">• Tahmin Çarpanı (standart sapma katı)</t>
  </si>
  <si>
    <t xml:space="preserve">• İyimser, Baz ve Kötümser Senaryo Çarpanları</t>
  </si>
  <si>
    <t xml:space="preserve">• Tornado Dönem Zararı Etkisi</t>
  </si>
  <si>
    <t xml:space="preserve">• Kalite Skoru İyi ve Orta Eşikleri</t>
  </si>
  <si>
    <t xml:space="preserve">• P90 Yüzdelik Oranı</t>
  </si>
  <si>
    <t xml:space="preserve">• Aksiyon Önerisi Açıklamaları</t>
  </si>
  <si>
    <t xml:space="preserve">• Panel Satır Numaraları</t>
  </si>
  <si>
    <t xml:space="preserve">Bu dosya tamamen çevrimdışı çalışır; verileriniz cihazınızdan çıkmaz. Makro ve dış bağlantı yoktur.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</si>
</sst>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₺ &quot;#,##0;[RED]&quot;(₺ &quot;#,##0\);\-"/>
    <numFmt numFmtId="166" formatCode="0.0%;[RED]\(0.0%\);\-"/>
    <numFmt numFmtId="167" formatCode="dd/mm/yyyy"/>
    <numFmt numFmtId="168" formatCode="#,##0"/>
    <numFmt numFmtId="169" formatCode="0.000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Segoe UI"/>
      <family val="0"/>
      <charset val="1"/>
    </font>
    <font>
      <b val="true"/>
      <sz val="18"/>
      <color rgb="FFFFFFFF"/>
      <name val="Segoe UI"/>
      <family val="0"/>
      <charset val="1"/>
    </font>
    <font>
      <sz val="10"/>
      <color rgb="FF595959"/>
      <name val="Segoe UI"/>
      <family val="0"/>
      <charset val="1"/>
    </font>
    <font>
      <b val="true"/>
      <sz val="12"/>
      <color rgb="FF0F2742"/>
      <name val="Segoe UI"/>
      <family val="0"/>
      <charset val="1"/>
    </font>
    <font>
      <sz val="10"/>
      <color rgb="FF333333"/>
      <name val="Segoe UI"/>
      <family val="0"/>
      <charset val="1"/>
    </font>
    <font>
      <sz val="9"/>
      <color rgb="FF595959"/>
      <name val="Segoe UI"/>
      <family val="0"/>
      <charset val="1"/>
    </font>
    <font>
      <b val="true"/>
      <sz val="13"/>
      <color rgb="FF0F2742"/>
      <name val="Segoe UI"/>
      <family val="0"/>
      <charset val="1"/>
    </font>
    <font>
      <b val="true"/>
      <sz val="10"/>
      <color rgb="FF0F2742"/>
      <name val="Segoe UI"/>
      <family val="0"/>
      <charset val="1"/>
    </font>
    <font>
      <b val="true"/>
      <sz val="12"/>
      <color rgb="FFB3261E"/>
      <name val="Segoe UI"/>
      <family val="0"/>
      <charset val="1"/>
    </font>
    <font>
      <sz val="10"/>
      <color rgb="FFB3261E"/>
      <name val="Segoe UI"/>
      <family val="0"/>
      <charset val="1"/>
    </font>
    <font>
      <sz val="10"/>
      <name val="Arial"/>
      <family val="2"/>
    </font>
    <font>
      <b val="true"/>
      <sz val="10"/>
      <color rgb="FFFFFFFF"/>
      <name val="Segoe UI"/>
      <family val="0"/>
      <charset val="1"/>
    </font>
    <font>
      <sz val="10"/>
      <color rgb="FF1F4E79"/>
      <name val="Segoe UI"/>
      <family val="0"/>
      <charset val="1"/>
    </font>
    <font>
      <b val="true"/>
      <sz val="10"/>
      <color rgb="FF333333"/>
      <name val="Segoe UI"/>
      <family val="0"/>
      <charset val="1"/>
    </font>
    <font>
      <sz val="10"/>
      <color rgb="FF006100"/>
      <name val="Segoe UI"/>
      <family val="0"/>
      <charset val="1"/>
    </font>
    <font>
      <b val="true"/>
      <sz val="10"/>
      <color rgb="FF006100"/>
      <name val="Segoe UI"/>
      <family val="0"/>
      <charset val="1"/>
    </font>
    <font>
      <b val="true"/>
      <sz val="10"/>
      <color rgb="FFB08948"/>
      <name val="Segoe UI"/>
      <family val="0"/>
      <charset val="1"/>
    </font>
    <font>
      <sz val="10"/>
      <color rgb="FF000000"/>
      <name val="Segoe UI"/>
      <family val="0"/>
      <charset val="1"/>
    </font>
    <font>
      <b val="true"/>
      <sz val="14"/>
      <color rgb="FF0F2742"/>
      <name val="Segoe UI"/>
      <family val="0"/>
      <charset val="1"/>
    </font>
    <font>
      <b val="true"/>
      <sz val="14"/>
      <color rgb="FF006100"/>
      <name val="Segoe UI"/>
      <family val="0"/>
      <charset val="1"/>
    </font>
    <font>
      <b val="true"/>
      <sz val="11"/>
      <color rgb="FF0F2742"/>
      <name val="Segoe UI"/>
      <family val="0"/>
      <charset val="1"/>
    </font>
    <font>
      <b val="true"/>
      <sz val="12"/>
      <color rgb="FF006100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FFFFFF"/>
      <name val="Segoe UI"/>
      <family val="0"/>
      <charset val="1"/>
    </font>
    <font>
      <i val="true"/>
      <sz val="9"/>
      <color rgb="FF595959"/>
      <name val="Segoe UI"/>
      <family val="0"/>
      <charset val="1"/>
    </font>
    <font>
      <b val="true"/>
      <sz val="9"/>
      <color rgb="FF000000"/>
      <name val="Segoe UI"/>
      <family val="0"/>
      <charset val="1"/>
    </font>
    <font>
      <b val="true"/>
      <sz val="10"/>
      <color rgb="FF1F4E79"/>
      <name val="Segoe UI"/>
      <family val="0"/>
      <charset val="1"/>
    </font>
    <font>
      <sz val="9"/>
      <color rgb="FF333333"/>
      <name val="Segoe U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000F2742"/>
        <bgColor rgb="FF333333"/>
      </patternFill>
    </fill>
    <fill>
      <patternFill patternType="solid">
        <fgColor rgb="001F4E79"/>
        <bgColor rgb="FF333333"/>
      </patternFill>
    </fill>
    <fill>
      <patternFill patternType="solid">
        <fgColor rgb="FFFFF2CC"/>
        <bgColor rgb="FFFDE9E9"/>
      </patternFill>
    </fill>
    <fill>
      <patternFill patternType="solid">
        <fgColor rgb="00EEF2F7"/>
        <bgColor rgb="00F2F2F2"/>
      </patternFill>
    </fill>
    <fill>
      <patternFill patternType="solid">
        <fgColor rgb="00DDEBF7"/>
        <bgColor rgb="FFE2EFDA"/>
      </patternFill>
    </fill>
    <fill>
      <patternFill patternType="solid">
        <fgColor rgb="00F2F2F2"/>
        <bgColor rgb="00EEF2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4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6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4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0" fillId="4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4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30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1" fillId="4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31" fillId="4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31" fillId="4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8" fontId="31" fillId="4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31" fillId="4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5" fontId="31" fillId="4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3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1" fillId="4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00EEF2F7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ill>
        <patternFill patternType="solid">
          <fgColor rgb="FF1F7A4D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DE9E9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ont>
        <name val="Segoe UI"/>
        <charset val="1"/>
        <family val="0"/>
        <color rgb="FFB3261E"/>
      </font>
    </dxf>
    <dxf>
      <font>
        <name val="Segoe UI"/>
        <charset val="1"/>
        <family val="0"/>
        <color rgb="FFB7791F"/>
      </font>
    </dxf>
    <dxf>
      <font>
        <name val="Segoe UI"/>
        <charset val="1"/>
        <family val="0"/>
        <color rgb="FF1F7A4D"/>
      </font>
    </dxf>
    <dxf>
      <font>
        <name val="Segoe UI"/>
        <charset val="1"/>
        <family val="0"/>
        <color rgb="FFB3261E"/>
      </font>
      <fill>
        <patternFill>
          <bgColor rgb="FFFDE9E9"/>
        </patternFill>
      </fill>
    </dxf>
    <dxf>
      <font>
        <name val="Segoe UI"/>
        <charset val="1"/>
        <family val="0"/>
        <color rgb="FFB7791F"/>
      </font>
      <fill>
        <patternFill>
          <bgColor rgb="FFFFF2CC"/>
        </patternFill>
      </fill>
    </dxf>
    <dxf>
      <font>
        <name val="Segoe UI"/>
        <charset val="1"/>
        <family val="0"/>
        <color rgb="FF1F7A4D"/>
      </font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C0C0C0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E2EFDA"/>
      <rgbColor rgb="FFFDE9E9"/>
      <rgbColor rgb="FF99CCFF"/>
      <rgbColor rgb="FFFF99CC"/>
      <rgbColor rgb="FFCC99FF"/>
      <rgbColor rgb="FFF2F2F2"/>
      <rgbColor rgb="FF4A7EBB"/>
      <rgbColor rgb="FF4BACC6"/>
      <rgbColor rgb="FF9BBB59"/>
      <rgbColor rgb="FFFFCC00"/>
      <rgbColor rgb="FFF79646"/>
      <rgbColor rgb="FFFF6600"/>
      <rgbColor rgb="FF8064A2"/>
      <rgbColor rgb="FFB08948"/>
      <rgbColor rgb="FF0F2742"/>
      <rgbColor rgb="FF4F81BD"/>
      <rgbColor rgb="FF003300"/>
      <rgbColor rgb="FF333300"/>
      <rgbColor rgb="FFB3261E"/>
      <rgbColor rgb="FF595959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Borç Türü Adet ve Tutar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PANO!B10</c:f>
              <c:strCache>
                <c:ptCount val="1"/>
                <c:pt idx="0">
                  <c:v>Borç Adedi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PANO!$A$11:$A$16</c:f>
              <c:strCache>
                <c:ptCount val="6"/>
                <c:pt idx="0">
                  <c:v>Banka Kredisi</c:v>
                </c:pt>
                <c:pt idx="1">
                  <c:v>Tedarikçi Borcu</c:v>
                </c:pt>
                <c:pt idx="2">
                  <c:v>Finansal Kiralama</c:v>
                </c:pt>
                <c:pt idx="3">
                  <c:v>Tahvil</c:v>
                </c:pt>
                <c:pt idx="4">
                  <c:v>Ortak Borcu</c:v>
                </c:pt>
                <c:pt idx="5">
                  <c:v>Diğer</c:v>
                </c:pt>
              </c:strCache>
            </c:strRef>
          </c:cat>
          <c:val>
            <c:numRef>
              <c:f>PANO!$B$11:$B$16</c:f>
              <c:numCache>
                <c:formatCode>#,##0</c:formatCode>
                <c:ptCount val="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PANO!C10</c:f>
              <c:strCache>
                <c:ptCount val="1"/>
                <c:pt idx="0">
                  <c:v>Toplam Borç (₺)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PANO!$A$11:$A$16</c:f>
              <c:strCache>
                <c:ptCount val="6"/>
                <c:pt idx="0">
                  <c:v>Banka Kredisi</c:v>
                </c:pt>
                <c:pt idx="1">
                  <c:v>Tedarikçi Borcu</c:v>
                </c:pt>
                <c:pt idx="2">
                  <c:v>Finansal Kiralama</c:v>
                </c:pt>
                <c:pt idx="3">
                  <c:v>Tahvil</c:v>
                </c:pt>
                <c:pt idx="4">
                  <c:v>Ortak Borcu</c:v>
                </c:pt>
                <c:pt idx="5">
                  <c:v>Diğer</c:v>
                </c:pt>
              </c:strCache>
            </c:strRef>
          </c:cat>
          <c:val>
            <c:numRef>
              <c:f>PANO!$C$11:$C$16</c:f>
              <c:numCache>
                <c:formatCode>"₺ "#,##0;[RED]"(₺ "#,##0\);\-</c:formatCode>
                <c:ptCount val="6"/>
                <c:pt idx="0">
                  <c:v>5000000</c:v>
                </c:pt>
                <c:pt idx="1">
                  <c:v>1200000</c:v>
                </c:pt>
                <c:pt idx="2">
                  <c:v>900000</c:v>
                </c:pt>
                <c:pt idx="3">
                  <c:v>2000000</c:v>
                </c:pt>
                <c:pt idx="4">
                  <c:v>1800000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43132534"/>
        <c:axId val="70060855"/>
      </c:barChart>
      <c:catAx>
        <c:axId val="431325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060855"/>
        <c:crosses val="autoZero"/>
        <c:auto val="1"/>
        <c:lblAlgn val="ctr"/>
        <c:lblOffset val="100"/>
        <c:noMultiLvlLbl val="0"/>
      </c:catAx>
      <c:valAx>
        <c:axId val="700608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13253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Borç Adedi Dağılımı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PANO!B10</c:f>
              <c:strCache>
                <c:ptCount val="1"/>
                <c:pt idx="0">
                  <c:v>Borç Adedi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PANO!$A$11:$A$16</c:f>
              <c:strCache>
                <c:ptCount val="6"/>
                <c:pt idx="0">
                  <c:v>Banka Kredisi</c:v>
                </c:pt>
                <c:pt idx="1">
                  <c:v>Tedarikçi Borcu</c:v>
                </c:pt>
                <c:pt idx="2">
                  <c:v>Finansal Kiralama</c:v>
                </c:pt>
                <c:pt idx="3">
                  <c:v>Tahvil</c:v>
                </c:pt>
                <c:pt idx="4">
                  <c:v>Ortak Borcu</c:v>
                </c:pt>
                <c:pt idx="5">
                  <c:v>Diğer</c:v>
                </c:pt>
              </c:strCache>
            </c:strRef>
          </c:cat>
          <c:val>
            <c:numRef>
              <c:f>PANO!$B$11:$B$16</c:f>
              <c:numCache>
                <c:formatCode>#,##0</c:formatCode>
                <c:ptCount val="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Borç Türü Teminatlı Borç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PANO!F10</c:f>
              <c:strCache>
                <c:ptCount val="1"/>
                <c:pt idx="0">
                  <c:v>Teminatlı Borç (₺)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PANO!$A$11:$A$16</c:f>
              <c:strCache>
                <c:ptCount val="6"/>
                <c:pt idx="0">
                  <c:v>Banka Kredisi</c:v>
                </c:pt>
                <c:pt idx="1">
                  <c:v>Tedarikçi Borcu</c:v>
                </c:pt>
                <c:pt idx="2">
                  <c:v>Finansal Kiralama</c:v>
                </c:pt>
                <c:pt idx="3">
                  <c:v>Tahvil</c:v>
                </c:pt>
                <c:pt idx="4">
                  <c:v>Ortak Borcu</c:v>
                </c:pt>
                <c:pt idx="5">
                  <c:v>Diğer</c:v>
                </c:pt>
              </c:strCache>
            </c:strRef>
          </c:cat>
          <c:val>
            <c:numRef>
              <c:f>PANO!$F$11:$F$16</c:f>
              <c:numCache>
                <c:formatCode>"₺ "#,##0;[RED]"(₺ "#,##0\);\-</c:formatCode>
                <c:ptCount val="6"/>
                <c:pt idx="0">
                  <c:v>5000000</c:v>
                </c:pt>
                <c:pt idx="1">
                  <c:v>0</c:v>
                </c:pt>
                <c:pt idx="2">
                  <c:v>900000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98009024"/>
        <c:axId val="66232600"/>
      </c:barChart>
      <c:catAx>
        <c:axId val="9800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232600"/>
        <c:crosses val="autoZero"/>
        <c:auto val="1"/>
        <c:lblAlgn val="ctr"/>
        <c:lblOffset val="100"/>
        <c:noMultiLvlLbl val="0"/>
      </c:catAx>
      <c:valAx>
        <c:axId val="662326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00902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Aylık Öz Kaynak Trendi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PANO!E10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PANO!$D$11:$D$22</c:f>
              <c:strCache>
                <c:ptCount val="12"/>
                <c:pt idx="0">
                  <c:v>AY1</c:v>
                </c:pt>
                <c:pt idx="1">
                  <c:v>AY2</c:v>
                </c:pt>
                <c:pt idx="2">
                  <c:v>AY3</c:v>
                </c:pt>
                <c:pt idx="3">
                  <c:v>AY4</c:v>
                </c:pt>
                <c:pt idx="4">
                  <c:v>AY5</c:v>
                </c:pt>
                <c:pt idx="5">
                  <c:v>AY6</c:v>
                </c:pt>
                <c:pt idx="6">
                  <c:v>AY7</c:v>
                </c:pt>
                <c:pt idx="7">
                  <c:v>AY8</c:v>
                </c:pt>
                <c:pt idx="8">
                  <c:v>AY9</c:v>
                </c:pt>
                <c:pt idx="9">
                  <c:v>AY10</c:v>
                </c:pt>
                <c:pt idx="10">
                  <c:v>AY11</c:v>
                </c:pt>
                <c:pt idx="11">
                  <c:v>AY12</c:v>
                </c:pt>
              </c:strCache>
            </c:strRef>
          </c:cat>
          <c:val>
            <c:numRef>
              <c:f>PANO!$E$11:$E$23</c:f>
              <c:numCache>
                <c:formatCode>"₺ "#,##0;[RED]"(₺ "#,##0\);\-</c:formatCode>
                <c:ptCount val="13"/>
                <c:pt idx="0">
                  <c:v>6350000</c:v>
                </c:pt>
                <c:pt idx="1">
                  <c:v>5390000</c:v>
                </c:pt>
                <c:pt idx="2">
                  <c:v>6350000</c:v>
                </c:pt>
                <c:pt idx="3">
                  <c:v>6350000</c:v>
                </c:pt>
                <c:pt idx="4">
                  <c:v>5020000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9228322"/>
        <c:axId val="71765485"/>
      </c:lineChart>
      <c:catAx>
        <c:axId val="992283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765485"/>
        <c:crosses val="autoZero"/>
        <c:auto val="1"/>
        <c:lblAlgn val="ctr"/>
        <c:lblOffset val="100"/>
        <c:noMultiLvlLbl val="0"/>
      </c:catAx>
      <c:valAx>
        <c:axId val="717654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22832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Projeksiyon: Ortalama, Alt ve Üst Sınır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PANO!B24</c:f>
              <c:strCache>
                <c:ptCount val="1"/>
                <c:pt idx="0">
                  <c:v>-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PANO!$A$25:$A$28</c:f>
              <c:strCache>
                <c:ptCount val="4"/>
                <c:pt idx="0">
                  <c:v>Ortalama Aylık Öz Kaynak</c:v>
                </c:pt>
                <c:pt idx="1">
                  <c:v>Öz Kaynak Standart Sapma</c:v>
                </c:pt>
                <c:pt idx="2">
                  <c:v>Alt Tahmin Sınırı</c:v>
                </c:pt>
                <c:pt idx="3">
                  <c:v>Üst Tahmin Sınırı</c:v>
                </c:pt>
              </c:strCache>
            </c:strRef>
          </c:cat>
          <c:val>
            <c:numRef>
              <c:f>PANO!$B$25:$B$28</c:f>
              <c:numCache>
                <c:formatCode>"₺ "#,##0;[RED]"(₺ "#,##0\);\-</c:formatCode>
                <c:ptCount val="4"/>
                <c:pt idx="0">
                  <c:v>5508333</c:v>
                </c:pt>
                <c:pt idx="1">
                  <c:v>0</c:v>
                </c:pt>
                <c:pt idx="2">
                  <c:v>5508333</c:v>
                </c:pt>
                <c:pt idx="3">
                  <c:v>5508333</c:v>
                </c:pt>
              </c:numCache>
            </c:numRef>
          </c:val>
        </c:ser>
        <c:gapWidth val="150"/>
        <c:overlap val="0"/>
        <c:axId val="76679930"/>
        <c:axId val="15082020"/>
      </c:barChart>
      <c:catAx>
        <c:axId val="766799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082020"/>
        <c:crosses val="autoZero"/>
        <c:auto val="1"/>
        <c:lblAlgn val="ctr"/>
        <c:lblOffset val="100"/>
        <c:noMultiLvlLbl val="0"/>
      </c:catAx>
      <c:valAx>
        <c:axId val="150820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67993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Borç Türü Toplam Borç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PANO!C10</c:f>
              <c:strCache>
                <c:ptCount val="1"/>
                <c:pt idx="0">
                  <c:v>Toplam Borç (₺)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PANO!$A$11:$A$16</c:f>
              <c:strCache>
                <c:ptCount val="6"/>
                <c:pt idx="0">
                  <c:v>Banka Kredisi</c:v>
                </c:pt>
                <c:pt idx="1">
                  <c:v>Tedarikçi Borcu</c:v>
                </c:pt>
                <c:pt idx="2">
                  <c:v>Finansal Kiralama</c:v>
                </c:pt>
                <c:pt idx="3">
                  <c:v>Tahvil</c:v>
                </c:pt>
                <c:pt idx="4">
                  <c:v>Ortak Borcu</c:v>
                </c:pt>
                <c:pt idx="5">
                  <c:v>Diğer</c:v>
                </c:pt>
              </c:strCache>
            </c:strRef>
          </c:cat>
          <c:val>
            <c:numRef>
              <c:f>PANO!$C$11:$C$16</c:f>
              <c:numCache>
                <c:formatCode>"₺ "#,##0;[RED]"(₺ "#,##0\);\-</c:formatCode>
                <c:ptCount val="6"/>
                <c:pt idx="0">
                  <c:v>5000000</c:v>
                </c:pt>
                <c:pt idx="1">
                  <c:v>1200000</c:v>
                </c:pt>
                <c:pt idx="2">
                  <c:v>900000</c:v>
                </c:pt>
                <c:pt idx="3">
                  <c:v>2000000</c:v>
                </c:pt>
                <c:pt idx="4">
                  <c:v>1800000</c:v>
                </c:pt>
                <c:pt idx="5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4145038"/>
        <c:axId val="54901645"/>
      </c:lineChart>
      <c:catAx>
        <c:axId val="941450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901645"/>
        <c:crosses val="autoZero"/>
        <c:auto val="1"/>
        <c:lblAlgn val="ctr"/>
        <c:lblOffset val="100"/>
        <c:noMultiLvlLbl val="0"/>
      </c:catAx>
      <c:valAx>
        <c:axId val="549016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14503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Senaryo Kayıp Oranı Karşılaştırması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PANO!C29</c:f>
              <c:strCache>
                <c:ptCount val="1"/>
                <c:pt idx="0">
                  <c:v>Senaryo Kayıp Oranı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PANO!$D$30:$D$32</c:f>
              <c:strCache>
                <c:ptCount val="3"/>
                <c:pt idx="0">
                  <c:v>İyimser</c:v>
                </c:pt>
                <c:pt idx="1">
                  <c:v>Baz</c:v>
                </c:pt>
                <c:pt idx="2">
                  <c:v>Kötümser</c:v>
                </c:pt>
              </c:strCache>
            </c:strRef>
          </c:cat>
          <c:val>
            <c:numRef>
              <c:f>PANO!$C$30:$C$32</c:f>
              <c:numCache>
                <c:formatCode>0.0%;[RED]\(0.0%\);\-</c:formatCode>
                <c:ptCount val="3"/>
                <c:pt idx="0">
                  <c:v>0</c:v>
                </c:pt>
                <c:pt idx="1">
                  <c:v>0.05</c:v>
                </c:pt>
                <c:pt idx="2">
                  <c:v>0.175</c:v>
                </c:pt>
              </c:numCache>
            </c:numRef>
          </c:val>
        </c:ser>
        <c:gapWidth val="150"/>
        <c:overlap val="0"/>
        <c:axId val="56900828"/>
        <c:axId val="99565191"/>
      </c:barChart>
      <c:catAx>
        <c:axId val="569008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565191"/>
        <c:crosses val="autoZero"/>
        <c:auto val="1"/>
        <c:lblAlgn val="ctr"/>
        <c:lblOffset val="100"/>
        <c:noMultiLvlLbl val="0"/>
      </c:catAx>
      <c:valAx>
        <c:axId val="995651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[RED]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90082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Öz Kaynak ve Sermaye Yapısı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PANO!B3</c:f>
              <c:strCache>
                <c:ptCount val="1"/>
                <c:pt idx="0">
                  <c:v>Dönem Sonu Öz Kaynak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PANO!$B$4</c:f>
              <c:numCache>
                <c:formatCode>"₺ "#,##0;[RED]"(₺ "#,##0\);\-</c:formatCode>
                <c:ptCount val="1"/>
                <c:pt idx="0">
                  <c:v>4750000</c:v>
                </c:pt>
              </c:numCache>
            </c:numRef>
          </c:val>
        </c:ser>
        <c:gapWidth val="150"/>
        <c:overlap val="0"/>
        <c:axId val="47292312"/>
        <c:axId val="71195168"/>
      </c:barChart>
      <c:catAx>
        <c:axId val="47292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195168"/>
        <c:crosses val="autoZero"/>
        <c:auto val="1"/>
        <c:lblAlgn val="ctr"/>
        <c:lblOffset val="100"/>
        <c:noMultiLvlLbl val="0"/>
      </c:catAx>
      <c:valAx>
        <c:axId val="711951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29231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5</xdr:row>
      <xdr:rowOff>0</xdr:rowOff>
    </xdr:from>
    <xdr:to>
      <xdr:col>12</xdr:col>
      <xdr:colOff>540000</xdr:colOff>
      <xdr:row>21</xdr:row>
      <xdr:rowOff>145080</xdr:rowOff>
    </xdr:to>
    <xdr:graphicFrame>
      <xdr:nvGraphicFramePr>
        <xdr:cNvPr id="1" name="Chart 1"/>
        <xdr:cNvGraphicFramePr/>
      </xdr:nvGraphicFramePr>
      <xdr:xfrm>
        <a:off x="9374400" y="12553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5</xdr:row>
      <xdr:rowOff>0</xdr:rowOff>
    </xdr:from>
    <xdr:to>
      <xdr:col>27</xdr:col>
      <xdr:colOff>38880</xdr:colOff>
      <xdr:row>21</xdr:row>
      <xdr:rowOff>145080</xdr:rowOff>
    </xdr:to>
    <xdr:graphicFrame>
      <xdr:nvGraphicFramePr>
        <xdr:cNvPr id="2" name="Chart 2"/>
        <xdr:cNvGraphicFramePr/>
      </xdr:nvGraphicFramePr>
      <xdr:xfrm>
        <a:off x="19486080" y="125532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18</xdr:row>
      <xdr:rowOff>0</xdr:rowOff>
    </xdr:from>
    <xdr:to>
      <xdr:col>11</xdr:col>
      <xdr:colOff>71280</xdr:colOff>
      <xdr:row>33</xdr:row>
      <xdr:rowOff>21960</xdr:rowOff>
    </xdr:to>
    <xdr:graphicFrame>
      <xdr:nvGraphicFramePr>
        <xdr:cNvPr id="3" name="Chart 3"/>
        <xdr:cNvGraphicFramePr/>
      </xdr:nvGraphicFramePr>
      <xdr:xfrm>
        <a:off x="9374400" y="377820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0</xdr:colOff>
      <xdr:row>18</xdr:row>
      <xdr:rowOff>0</xdr:rowOff>
    </xdr:from>
    <xdr:to>
      <xdr:col>29</xdr:col>
      <xdr:colOff>255960</xdr:colOff>
      <xdr:row>35</xdr:row>
      <xdr:rowOff>1080</xdr:rowOff>
    </xdr:to>
    <xdr:graphicFrame>
      <xdr:nvGraphicFramePr>
        <xdr:cNvPr id="4" name="Chart 4"/>
        <xdr:cNvGraphicFramePr/>
      </xdr:nvGraphicFramePr>
      <xdr:xfrm>
        <a:off x="19486080" y="37782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32</xdr:row>
      <xdr:rowOff>0</xdr:rowOff>
    </xdr:from>
    <xdr:to>
      <xdr:col>11</xdr:col>
      <xdr:colOff>71280</xdr:colOff>
      <xdr:row>47</xdr:row>
      <xdr:rowOff>21960</xdr:rowOff>
    </xdr:to>
    <xdr:graphicFrame>
      <xdr:nvGraphicFramePr>
        <xdr:cNvPr id="5" name="Chart 5"/>
        <xdr:cNvGraphicFramePr/>
      </xdr:nvGraphicFramePr>
      <xdr:xfrm>
        <a:off x="9374400" y="644508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20</xdr:col>
      <xdr:colOff>0</xdr:colOff>
      <xdr:row>32</xdr:row>
      <xdr:rowOff>0</xdr:rowOff>
    </xdr:from>
    <xdr:to>
      <xdr:col>27</xdr:col>
      <xdr:colOff>398880</xdr:colOff>
      <xdr:row>47</xdr:row>
      <xdr:rowOff>21960</xdr:rowOff>
    </xdr:to>
    <xdr:graphicFrame>
      <xdr:nvGraphicFramePr>
        <xdr:cNvPr id="6" name="Chart 6"/>
        <xdr:cNvGraphicFramePr/>
      </xdr:nvGraphicFramePr>
      <xdr:xfrm>
        <a:off x="19486080" y="644508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5</xdr:col>
      <xdr:colOff>0</xdr:colOff>
      <xdr:row>38</xdr:row>
      <xdr:rowOff>0</xdr:rowOff>
    </xdr:from>
    <xdr:to>
      <xdr:col>12</xdr:col>
      <xdr:colOff>540000</xdr:colOff>
      <xdr:row>53</xdr:row>
      <xdr:rowOff>21960</xdr:rowOff>
    </xdr:to>
    <xdr:graphicFrame>
      <xdr:nvGraphicFramePr>
        <xdr:cNvPr id="7" name="Chart 7"/>
        <xdr:cNvGraphicFramePr/>
      </xdr:nvGraphicFramePr>
      <xdr:xfrm>
        <a:off x="9374400" y="75880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20</xdr:col>
      <xdr:colOff>0</xdr:colOff>
      <xdr:row>38</xdr:row>
      <xdr:rowOff>0</xdr:rowOff>
    </xdr:from>
    <xdr:to>
      <xdr:col>27</xdr:col>
      <xdr:colOff>398880</xdr:colOff>
      <xdr:row>53</xdr:row>
      <xdr:rowOff>21960</xdr:rowOff>
    </xdr:to>
    <xdr:graphicFrame>
      <xdr:nvGraphicFramePr>
        <xdr:cNvPr id="8" name="Chart 8"/>
        <xdr:cNvGraphicFramePr/>
      </xdr:nvGraphicFramePr>
      <xdr:xfrm>
        <a:off x="19486080" y="758808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Bilanco" displayName="tblBilanco" ref="A5:M1004" headerRowCount="1" totalsRowCount="0" totalsRowShown="0">
  <tableColumns count="13">
    <tableColumn id="1" name="Ay"/>
    <tableColumn id="2" name="Ödenmiş Sermaye (₺)"/>
    <tableColumn id="3" name="Yedekler (₺)"/>
    <tableColumn id="4" name="Geçmiş Yıl Kârı (₺)"/>
    <tableColumn id="5" name="Geçmiş Yıl Zararı (₺)"/>
    <tableColumn id="6" name="Dönem Kârı (₺)"/>
    <tableColumn id="7" name="Dönem Zararı (₺)"/>
    <tableColumn id="8" name="Toplam Borç (₺)"/>
    <tableColumn id="9" name="Toplam Aktif (₺)"/>
    <tableColumn id="10" name="Öz Kaynak (₺)">
      <calculatedColumnFormula>=IF(tblBilanco[[#This Row],[Ay]]="","",tblBilanco[[#This Row],[Ödenmiş Sermaye (₺)]]+tblBilanco[[#This Row],[Yedekler (₺)]]+tblBilanco[[#This Row],[Geçmiş Yıl Kârı (₺)]]-tblBilanco[[#This Row],[Geçmiş Yıl Zararı (₺)]]+tblBilanco[[#This Row],[Dönem Kârı (₺)]]-tblBilanco[[#This Row],[Dönem Zararı (₺)]])</calculatedColumnFormula>
    </tableColumn>
    <tableColumn id="11" name="Kayıp Tutarı (₺)">
      <calculatedColumnFormula>=IF(tblBilanco[[#This Row],[Ay]]="","",MAX(0,tblBilanco[[#This Row],[Ödenmiş Sermaye (₺)]]-tblBilanco[[#This Row],[Öz Kaynak (₺)]]))</calculatedColumnFormula>
    </tableColumn>
    <tableColumn id="12" name="Kayıp Oranı">
      <calculatedColumnFormula>=IF(tblBilanco[[#This Row],[Ay]]="","",IF(tblBilanco[[#This Row],[Ödenmiş Sermaye (₺)]]=0,0,tblBilanco[[#This Row],[Kayıp Tutarı (₺)]]/tblBilanco[[#This Row],[Ödenmiş Sermaye (₺)]]))</calculatedColumnFormula>
    </tableColumn>
    <tableColumn id="13" name="TTK 376 Durum">
      <calculatedColumnFormula>=IF(tblBilanco[[#This Row],[Ay]]="","",IF(tblBilanco[[#This Row],[Öz Kaynak (₺)]]&lt;0,"BORCA BATIK",IF(tblBilanco[[#This Row],[Toplam Aktif (₺)]]&lt;tblBilanco[[#This Row],[Toplam Borç (₺)]],"BORCA BATIK",IF(tblBilanco[[#This Row],[Kayıp Oranı]]&gt;=TtkUcteIkiEsik,"2/3 KAYIP (KRİTİK)",IF(tblBilanco[[#This Row],[Kayıp Oranı]]&gt;=TtkUcteBirEsik,"1/3 KAYIP (DİKKAT)","UYGUN")))))</calculatedColumnFormula>
    </tableColumn>
  </tableColumns>
</table>
</file>

<file path=xl/tables/table2.xml><?xml version="1.0" encoding="utf-8"?>
<table xmlns="http://schemas.openxmlformats.org/spreadsheetml/2006/main" id="2" name="tblBorc" displayName="tblBorc" ref="A5:J1004" headerRowCount="1" totalsRowCount="0" totalsRowShown="0">
  <tableColumns count="10">
    <tableColumn id="1" name="Borç Kodu"/>
    <tableColumn id="2" name="Borç Türü"/>
    <tableColumn id="3" name="Alacaklı"/>
    <tableColumn id="4" name="Kullanım Tarihi"/>
    <tableColumn id="5" name="Vade Tarihi"/>
    <tableColumn id="6" name="Borç Tutarı (₺)"/>
    <tableColumn id="7" name="Yıllık Faiz Oranı"/>
    <tableColumn id="8" name="Teminat Var mı?"/>
    <tableColumn id="9" name="Açıklama"/>
    <tableColumn id="10" name="Faiz Yükü (₺)">
      <calculatedColumnFormula>=IF(tblBorc[[#This Row],[Borç Kodu]]="","",tblBorc[[#This Row],[Borç Tutarı (₺)]]*tblBorc[[#This Row],[Yıllık Faiz Oranı]])</calculatedColumnFormula>
    </tableColumn>
  </tableColumns>
</table>
</file>

<file path=xl/tables/table3.xml><?xml version="1.0" encoding="utf-8"?>
<table xmlns="http://schemas.openxmlformats.org/spreadsheetml/2006/main" id="3" name="tblOrnekBilanco" displayName="tblOrnekBilanco" ref="A5:M1004" headerRowCount="1" totalsRowCount="0" totalsRowShown="0">
  <tableColumns count="13">
    <tableColumn id="1" name="Ay"/>
    <tableColumn id="2" name="Ödenmiş Sermaye (₺)"/>
    <tableColumn id="3" name="Yedekler (₺)"/>
    <tableColumn id="4" name="Geçmiş Yıl Kârı (₺)"/>
    <tableColumn id="5" name="Geçmiş Yıl Zararı (₺)"/>
    <tableColumn id="6" name="Dönem Kârı (₺)"/>
    <tableColumn id="7" name="Dönem Zararı (₺)"/>
    <tableColumn id="8" name="Toplam Borç (₺)"/>
    <tableColumn id="9" name="Toplam Aktif (₺)"/>
    <tableColumn id="10" name="Öz Kaynak (₺)">
      <calculatedColumnFormula>=IF(tblOrnekBilanco[[#This Row],[Ay]]="","",tblOrnekBilanco[[#This Row],[Ödenmiş Sermaye (₺)]]+tblOrnekBilanco[[#This Row],[Yedekler (₺)]]+tblOrnekBilanco[[#This Row],[Geçmiş Yıl Kârı (₺)]]-tblOrnekBilanco[[#This Row],[Geçmiş Yıl Zararı (₺)]]+tblOrnekBilanco[[#This Row],[Dönem Kârı (₺)]]-tblOrnekBilanco[[#This Row],[Dönem Zararı (₺)]])</calculatedColumnFormula>
    </tableColumn>
    <tableColumn id="11" name="Kayıp Tutarı (₺)">
      <calculatedColumnFormula>=IF(tblOrnekBilanco[[#This Row],[Ay]]="","",MAX(0,tblOrnekBilanco[[#This Row],[Ödenmiş Sermaye (₺)]]-tblOrnekBilanco[[#This Row],[Öz Kaynak (₺)]]))</calculatedColumnFormula>
    </tableColumn>
    <tableColumn id="12" name="Kayıp Oranı">
      <calculatedColumnFormula>=IF(tblOrnekBilanco[[#This Row],[Ay]]="","",IF(tblOrnekBilanco[[#This Row],[Ödenmiş Sermaye (₺)]]=0,0,tblOrnekBilanco[[#This Row],[Kayıp Tutarı (₺)]]/tblOrnekBilanco[[#This Row],[Ödenmiş Sermaye (₺)]]))</calculatedColumnFormula>
    </tableColumn>
    <tableColumn id="13" name="TTK 376 Durum">
      <calculatedColumnFormula>=IF(tblOrnekBilanco[[#This Row],[Ay]]="","",IF(tblOrnekBilanco[[#This Row],[Öz Kaynak (₺)]]&lt;0,"BORCA BATIK",IF(tblOrnekBilanco[[#This Row],[Toplam Aktif (₺)]]&lt;tblOrnekBilanco[[#This Row],[Toplam Borç (₺)]],"BORCA BATIK",IF(tblOrnekBilanco[[#This Row],[Kayıp Oranı]]&gt;=TtkUcteIkiEsik,"2/3 KAYIP (KRİTİK)",IF(tblOrnekBilanco[[#This Row],[Kayıp Oranı]]&gt;=TtkUcteBirEsik,"1/3 KAYIP (DİKKAT)","UYGUN")))))</calculatedColumnFormula>
    </tableColumn>
  </tableColumns>
</table>
</file>

<file path=xl/tables/table4.xml><?xml version="1.0" encoding="utf-8"?>
<table xmlns="http://schemas.openxmlformats.org/spreadsheetml/2006/main" id="4" name="tblOrnekBorc" displayName="tblOrnekBorc" ref="N5:U1004" headerRowCount="1" totalsRowCount="0" totalsRowShown="0">
  <tableColumns count="8">
    <tableColumn id="1" name="Borç Kodu"/>
    <tableColumn id="2" name="Borç Türü"/>
    <tableColumn id="3" name="Alacaklı"/>
    <tableColumn id="4" name="Borç Tutarı (₺)"/>
    <tableColumn id="5" name="Yıllık Faiz Oranı"/>
    <tableColumn id="6" name="Teminat Var mı?"/>
    <tableColumn id="7" name="Açıklama"/>
    <tableColumn id="8" name="Faiz Yükü (₺)">
      <calculatedColumnFormula>=IF(tblOrnekBorc[[#This Row],[Borç Kodu]]="","",tblOrnekBorc[[#This Row],[Borç Tutarı (₺)]]*tblOrnekBorc[[#This Row],[Yıllık Faiz Oranı]])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4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6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30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6" customFormat="false" ht="15" hidden="false" customHeight="false" outlineLevel="0" collapsed="false">
      <c r="A6" s="4" t="s">
        <v>3</v>
      </c>
    </row>
    <row r="7" customFormat="false" ht="15" hidden="false" customHeight="true" outlineLevel="0" collapsed="false">
      <c r="A7" s="5" t="s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customFormat="false" ht="15" hidden="false" customHeight="true" outlineLevel="0" collapsed="false">
      <c r="A8" s="5" t="s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customFormat="false" ht="15" hidden="false" customHeight="true" outlineLevel="0" collapsed="false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customFormat="false" ht="15" hidden="false" customHeight="true" outlineLevel="0" collapsed="false">
      <c r="A10" s="5" t="s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customFormat="false" ht="15" hidden="false" customHeight="true" outlineLevel="0" collapsed="false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4" customFormat="false" ht="15" hidden="false" customHeight="false" outlineLevel="0" collapsed="false">
      <c r="A14" s="4" t="s">
        <v>9</v>
      </c>
    </row>
    <row r="15" customFormat="false" ht="15" hidden="false" customHeight="false" outlineLevel="0" collapsed="false">
      <c r="A15" s="6" t="s">
        <v>10</v>
      </c>
    </row>
    <row r="16" customFormat="false" ht="28.35" hidden="false" customHeight="false" outlineLevel="0" collapsed="false">
      <c r="A16" s="6" t="s">
        <v>11</v>
      </c>
    </row>
    <row r="17" customFormat="false" ht="15" hidden="false" customHeight="false" outlineLevel="0" collapsed="false">
      <c r="A17" s="6" t="s">
        <v>12</v>
      </c>
    </row>
    <row r="18" customFormat="false" ht="15" hidden="false" customHeight="false" outlineLevel="0" collapsed="false">
      <c r="A18" s="4" t="s">
        <v>13</v>
      </c>
    </row>
    <row r="19" customFormat="false" ht="15" hidden="false" customHeight="true" outlineLevel="0" collapsed="false">
      <c r="A19" s="5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1" customFormat="false" ht="15" hidden="false" customHeight="false" outlineLevel="0" collapsed="false">
      <c r="A21" s="7" t="s">
        <v>15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</sheetData>
  <sheetProtection sheet="true" password="cc3d" objects="true" scenarios="true" deleteColumns="false" deleteRows="false"/>
  <mergeCells count="10">
    <mergeCell ref="A1:AN1"/>
    <mergeCell ref="A3:AN3"/>
    <mergeCell ref="A4:P4"/>
    <mergeCell ref="A7:AD7"/>
    <mergeCell ref="A8:AD8"/>
    <mergeCell ref="A9:AD9"/>
    <mergeCell ref="A10:AD10"/>
    <mergeCell ref="A11:AD11"/>
    <mergeCell ref="A19:P19"/>
    <mergeCell ref="A21:P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17</v>
      </c>
    </row>
    <row r="5" customFormat="false" ht="15" hidden="false" customHeight="true" outlineLevel="0" collapsed="false">
      <c r="A5" s="9" t="s">
        <v>18</v>
      </c>
      <c r="B5" s="5" t="s">
        <v>19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customFormat="false" ht="15" hidden="false" customHeight="true" outlineLevel="0" collapsed="false">
      <c r="A6" s="9" t="s">
        <v>20</v>
      </c>
      <c r="B6" s="5" t="s">
        <v>21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customFormat="false" ht="15" hidden="false" customHeight="true" outlineLevel="0" collapsed="false">
      <c r="A7" s="9" t="s">
        <v>22</v>
      </c>
      <c r="B7" s="5" t="s">
        <v>23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customFormat="false" ht="15" hidden="false" customHeight="true" outlineLevel="0" collapsed="false">
      <c r="A8" s="9" t="s">
        <v>24</v>
      </c>
      <c r="B8" s="5" t="s">
        <v>25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11" customFormat="false" ht="15" hidden="false" customHeight="false" outlineLevel="0" collapsed="false">
      <c r="A11" s="10" t="s">
        <v>26</v>
      </c>
    </row>
    <row r="12" customFormat="false" ht="15" hidden="false" customHeight="false" outlineLevel="0" collapsed="false">
      <c r="A12" s="11" t="s">
        <v>27</v>
      </c>
    </row>
    <row r="13" customFormat="false" ht="15" hidden="false" customHeight="false" outlineLevel="0" collapsed="false">
      <c r="A13" s="11" t="s">
        <v>28</v>
      </c>
    </row>
    <row r="14" customFormat="false" ht="15" hidden="false" customHeight="false" outlineLevel="0" collapsed="false">
      <c r="A14" s="11" t="s">
        <v>29</v>
      </c>
    </row>
    <row r="15" customFormat="false" ht="15" hidden="false" customHeight="false" outlineLevel="0" collapsed="false">
      <c r="A15" s="12" t="s">
        <v>30</v>
      </c>
    </row>
  </sheetData>
  <sheetProtection sheet="true" password="cc3d" objects="true" scenarios="true" deleteColumns="false" deleteRows="false"/>
  <mergeCells count="5">
    <mergeCell ref="A1:AD1"/>
    <mergeCell ref="B5:T5"/>
    <mergeCell ref="B6:T6"/>
    <mergeCell ref="B7:T7"/>
    <mergeCell ref="B8:T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5" min="4" style="0" width="18"/>
    <col collapsed="false" customWidth="true" hidden="false" outlineLevel="0" max="7" min="6" style="0" width="14"/>
    <col collapsed="false" customWidth="true" hidden="false" outlineLevel="0" max="10" min="8" style="0" width="16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20"/>
  </cols>
  <sheetData>
    <row r="1" customFormat="false" ht="25.5" hidden="false" customHeight="true" outlineLevel="0" collapsed="false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32</v>
      </c>
    </row>
    <row r="4" customFormat="false" ht="41.75" hidden="false" customHeight="false" outlineLevel="0" collapsed="false">
      <c r="A4" s="13" t="s">
        <v>33</v>
      </c>
    </row>
    <row r="5" customFormat="false" ht="30" hidden="false" customHeight="true" outlineLevel="0" collapsed="false">
      <c r="A5" s="14" t="s">
        <v>34</v>
      </c>
      <c r="B5" s="14" t="s">
        <v>35</v>
      </c>
      <c r="C5" s="14" t="s">
        <v>36</v>
      </c>
      <c r="D5" s="14" t="s">
        <v>37</v>
      </c>
      <c r="E5" s="14" t="s">
        <v>38</v>
      </c>
      <c r="F5" s="14" t="s">
        <v>39</v>
      </c>
      <c r="G5" s="14" t="s">
        <v>40</v>
      </c>
      <c r="H5" s="14" t="s">
        <v>41</v>
      </c>
      <c r="I5" s="14" t="s">
        <v>42</v>
      </c>
      <c r="J5" s="14" t="s">
        <v>43</v>
      </c>
      <c r="K5" s="14" t="s">
        <v>44</v>
      </c>
      <c r="L5" s="14" t="s">
        <v>45</v>
      </c>
      <c r="M5" s="14" t="s">
        <v>46</v>
      </c>
    </row>
    <row r="6" customFormat="false" ht="16.4" hidden="false" customHeight="false" outlineLevel="0" collapsed="false">
      <c r="A6" s="15" t="s">
        <v>47</v>
      </c>
      <c r="B6" s="16" t="n">
        <v>5000000</v>
      </c>
      <c r="C6" s="16" t="n">
        <v>800000</v>
      </c>
      <c r="D6" s="16" t="n">
        <v>200000</v>
      </c>
      <c r="E6" s="17" t="n">
        <v>0</v>
      </c>
      <c r="F6" s="16" t="n">
        <v>350000</v>
      </c>
      <c r="G6" s="17" t="n">
        <v>0</v>
      </c>
      <c r="H6" s="16" t="n">
        <v>6200000</v>
      </c>
      <c r="I6" s="16" t="n">
        <v>9800000</v>
      </c>
      <c r="J6" s="18" t="n">
        <f aca="false">IF($A6="","",$B6+$C6+$D6-$E6+$F6-$G6)</f>
        <v>6350000</v>
      </c>
      <c r="K6" s="18" t="n">
        <f aca="false">IF($A6="","",MAX(0,$B6-$J6))</f>
        <v>0</v>
      </c>
      <c r="L6" s="19" t="n">
        <f aca="false">IF($A6="","",IF($B6=0,0,$K6/$B6))</f>
        <v>0</v>
      </c>
      <c r="M6" s="20" t="str">
        <f aca="false">IF($A6="","",IF($J6&lt;0,"BORCA BATIK",IF($I6&lt;$H6,"BORCA BATIK",IF($L6&gt;=TtkUcteIkiEsik,"2/3 KAYIP (KRİTİK)",IF($L6&gt;=TtkUcteBirEsik,"1/3 KAYIP (DİKKAT)","UYGUN")))))</f>
        <v>UYGUN</v>
      </c>
    </row>
    <row r="7" customFormat="false" ht="16.4" hidden="false" customHeight="false" outlineLevel="0" collapsed="false">
      <c r="A7" s="15" t="s">
        <v>48</v>
      </c>
      <c r="B7" s="16" t="n">
        <v>5000000</v>
      </c>
      <c r="C7" s="16" t="n">
        <v>800000</v>
      </c>
      <c r="D7" s="16" t="n">
        <v>200000</v>
      </c>
      <c r="E7" s="17" t="n">
        <v>0</v>
      </c>
      <c r="F7" s="16" t="n">
        <v>180000</v>
      </c>
      <c r="G7" s="17" t="n">
        <v>0</v>
      </c>
      <c r="H7" s="16" t="n">
        <v>6500000</v>
      </c>
      <c r="I7" s="16" t="n">
        <v>9600000</v>
      </c>
      <c r="J7" s="18" t="n">
        <f aca="false">IF($A7="","",$B7+$C7+$D7-$E7+$F7-$G7)</f>
        <v>6180000</v>
      </c>
      <c r="K7" s="18" t="n">
        <f aca="false">IF($A7="","",MAX(0,$B7-$J7))</f>
        <v>0</v>
      </c>
      <c r="L7" s="19" t="n">
        <f aca="false">IF($A7="","",IF($B7=0,0,$K7/$B7))</f>
        <v>0</v>
      </c>
      <c r="M7" s="20" t="str">
        <f aca="false">IF($A7="","",IF($J7&lt;0,"BORCA BATIK",IF($I7&lt;$H7,"BORCA BATIK",IF($L7&gt;=TtkUcteIkiEsik,"2/3 KAYIP (KRİTİK)",IF($L7&gt;=TtkUcteBirEsik,"1/3 KAYIP (DİKKAT)","UYGUN")))))</f>
        <v>UYGUN</v>
      </c>
    </row>
    <row r="8" customFormat="false" ht="16.4" hidden="false" customHeight="false" outlineLevel="0" collapsed="false">
      <c r="A8" s="15" t="s">
        <v>49</v>
      </c>
      <c r="B8" s="16" t="n">
        <v>5000000</v>
      </c>
      <c r="C8" s="16" t="n">
        <v>800000</v>
      </c>
      <c r="D8" s="16" t="n">
        <v>200000</v>
      </c>
      <c r="E8" s="17" t="n">
        <v>0</v>
      </c>
      <c r="F8" s="16" t="n">
        <v>90000</v>
      </c>
      <c r="G8" s="17" t="n">
        <v>0</v>
      </c>
      <c r="H8" s="16" t="n">
        <v>6900000</v>
      </c>
      <c r="I8" s="16" t="n">
        <v>9400000</v>
      </c>
      <c r="J8" s="18" t="n">
        <f aca="false">IF($A8="","",$B8+$C8+$D8-$E8+$F8-$G8)</f>
        <v>6090000</v>
      </c>
      <c r="K8" s="18" t="n">
        <f aca="false">IF($A8="","",MAX(0,$B8-$J8))</f>
        <v>0</v>
      </c>
      <c r="L8" s="19" t="n">
        <f aca="false">IF($A8="","",IF($B8=0,0,$K8/$B8))</f>
        <v>0</v>
      </c>
      <c r="M8" s="20" t="str">
        <f aca="false">IF($A8="","",IF($J8&lt;0,"BORCA BATIK",IF($I8&lt;$H8,"BORCA BATIK",IF($L8&gt;=TtkUcteIkiEsik,"2/3 KAYIP (KRİTİK)",IF($L8&gt;=TtkUcteBirEsik,"1/3 KAYIP (DİKKAT)","UYGUN")))))</f>
        <v>UYGUN</v>
      </c>
    </row>
    <row r="9" customFormat="false" ht="16.4" hidden="false" customHeight="false" outlineLevel="0" collapsed="false">
      <c r="A9" s="15" t="s">
        <v>50</v>
      </c>
      <c r="B9" s="16" t="n">
        <v>5000000</v>
      </c>
      <c r="C9" s="16" t="n">
        <v>800000</v>
      </c>
      <c r="D9" s="16" t="n">
        <v>200000</v>
      </c>
      <c r="E9" s="17" t="n">
        <v>0</v>
      </c>
      <c r="F9" s="17" t="n">
        <v>0</v>
      </c>
      <c r="G9" s="16" t="n">
        <v>150000</v>
      </c>
      <c r="H9" s="16" t="n">
        <v>7200000</v>
      </c>
      <c r="I9" s="16" t="n">
        <v>9100000</v>
      </c>
      <c r="J9" s="18" t="n">
        <f aca="false">IF($A9="","",$B9+$C9+$D9-$E9+$F9-$G9)</f>
        <v>5850000</v>
      </c>
      <c r="K9" s="18" t="n">
        <f aca="false">IF($A9="","",MAX(0,$B9-$J9))</f>
        <v>0</v>
      </c>
      <c r="L9" s="19" t="n">
        <f aca="false">IF($A9="","",IF($B9=0,0,$K9/$B9))</f>
        <v>0</v>
      </c>
      <c r="M9" s="20" t="str">
        <f aca="false">IF($A9="","",IF($J9&lt;0,"BORCA BATIK",IF($I9&lt;$H9,"BORCA BATIK",IF($L9&gt;=TtkUcteIkiEsik,"2/3 KAYIP (KRİTİK)",IF($L9&gt;=TtkUcteBirEsik,"1/3 KAYIP (DİKKAT)","UYGUN")))))</f>
        <v>UYGUN</v>
      </c>
    </row>
    <row r="10" customFormat="false" ht="16.4" hidden="false" customHeight="false" outlineLevel="0" collapsed="false">
      <c r="A10" s="15" t="s">
        <v>51</v>
      </c>
      <c r="B10" s="16" t="n">
        <v>5000000</v>
      </c>
      <c r="C10" s="16" t="n">
        <v>800000</v>
      </c>
      <c r="D10" s="16" t="n">
        <v>200000</v>
      </c>
      <c r="E10" s="17" t="n">
        <v>0</v>
      </c>
      <c r="F10" s="17" t="n">
        <v>0</v>
      </c>
      <c r="G10" s="16" t="n">
        <v>320000</v>
      </c>
      <c r="H10" s="16" t="n">
        <v>7500000</v>
      </c>
      <c r="I10" s="16" t="n">
        <v>8800000</v>
      </c>
      <c r="J10" s="18" t="n">
        <f aca="false">IF($A10="","",$B10+$C10+$D10-$E10+$F10-$G10)</f>
        <v>5680000</v>
      </c>
      <c r="K10" s="18" t="n">
        <f aca="false">IF($A10="","",MAX(0,$B10-$J10))</f>
        <v>0</v>
      </c>
      <c r="L10" s="19" t="n">
        <f aca="false">IF($A10="","",IF($B10=0,0,$K10/$B10))</f>
        <v>0</v>
      </c>
      <c r="M10" s="20" t="str">
        <f aca="false">IF($A10="","",IF($J10&lt;0,"BORCA BATIK",IF($I10&lt;$H10,"BORCA BATIK",IF($L10&gt;=TtkUcteIkiEsik,"2/3 KAYIP (KRİTİK)",IF($L10&gt;=TtkUcteBirEsik,"1/3 KAYIP (DİKKAT)","UYGUN")))))</f>
        <v>UYGUN</v>
      </c>
    </row>
    <row r="11" customFormat="false" ht="16.4" hidden="false" customHeight="false" outlineLevel="0" collapsed="false">
      <c r="A11" s="15" t="s">
        <v>52</v>
      </c>
      <c r="B11" s="16" t="n">
        <v>5000000</v>
      </c>
      <c r="C11" s="16" t="n">
        <v>800000</v>
      </c>
      <c r="D11" s="16" t="n">
        <v>200000</v>
      </c>
      <c r="E11" s="17" t="n">
        <v>0</v>
      </c>
      <c r="F11" s="17" t="n">
        <v>0</v>
      </c>
      <c r="G11" s="16" t="n">
        <v>480000</v>
      </c>
      <c r="H11" s="16" t="n">
        <v>7900000</v>
      </c>
      <c r="I11" s="16" t="n">
        <v>8500000</v>
      </c>
      <c r="J11" s="18" t="n">
        <f aca="false">IF($A11="","",$B11+$C11+$D11-$E11+$F11-$G11)</f>
        <v>5520000</v>
      </c>
      <c r="K11" s="18" t="n">
        <f aca="false">IF($A11="","",MAX(0,$B11-$J11))</f>
        <v>0</v>
      </c>
      <c r="L11" s="19" t="n">
        <f aca="false">IF($A11="","",IF($B11=0,0,$K11/$B11))</f>
        <v>0</v>
      </c>
      <c r="M11" s="20" t="str">
        <f aca="false">IF($A11="","",IF($J11&lt;0,"BORCA BATIK",IF($I11&lt;$H11,"BORCA BATIK",IF($L11&gt;=TtkUcteIkiEsik,"2/3 KAYIP (KRİTİK)",IF($L11&gt;=TtkUcteBirEsik,"1/3 KAYIP (DİKKAT)","UYGUN")))))</f>
        <v>UYGUN</v>
      </c>
    </row>
    <row r="12" customFormat="false" ht="16.4" hidden="false" customHeight="false" outlineLevel="0" collapsed="false">
      <c r="A12" s="15" t="s">
        <v>53</v>
      </c>
      <c r="B12" s="16" t="n">
        <v>5000000</v>
      </c>
      <c r="C12" s="16" t="n">
        <v>800000</v>
      </c>
      <c r="D12" s="16" t="n">
        <v>200000</v>
      </c>
      <c r="E12" s="17" t="n">
        <v>0</v>
      </c>
      <c r="F12" s="17" t="n">
        <v>0</v>
      </c>
      <c r="G12" s="16" t="n">
        <v>610000</v>
      </c>
      <c r="H12" s="16" t="n">
        <v>8300000</v>
      </c>
      <c r="I12" s="16" t="n">
        <v>8200000</v>
      </c>
      <c r="J12" s="18" t="n">
        <f aca="false">IF($A12="","",$B12+$C12+$D12-$E12+$F12-$G12)</f>
        <v>5390000</v>
      </c>
      <c r="K12" s="18" t="n">
        <f aca="false">IF($A12="","",MAX(0,$B12-$J12))</f>
        <v>0</v>
      </c>
      <c r="L12" s="19" t="n">
        <f aca="false">IF($A12="","",IF($B12=0,0,$K12/$B12))</f>
        <v>0</v>
      </c>
      <c r="M12" s="20" t="str">
        <f aca="false">IF($A12="","",IF($J12&lt;0,"BORCA BATIK",IF($I12&lt;$H12,"BORCA BATIK",IF($L12&gt;=TtkUcteIkiEsik,"2/3 KAYIP (KRİTİK)",IF($L12&gt;=TtkUcteBirEsik,"1/3 KAYIP (DİKKAT)","UYGUN")))))</f>
        <v>BORCA BATIK</v>
      </c>
    </row>
    <row r="13" customFormat="false" ht="16.4" hidden="false" customHeight="false" outlineLevel="0" collapsed="false">
      <c r="A13" s="15" t="s">
        <v>54</v>
      </c>
      <c r="B13" s="16" t="n">
        <v>5000000</v>
      </c>
      <c r="C13" s="16" t="n">
        <v>800000</v>
      </c>
      <c r="D13" s="16" t="n">
        <v>200000</v>
      </c>
      <c r="E13" s="17" t="n">
        <v>0</v>
      </c>
      <c r="F13" s="17" t="n">
        <v>0</v>
      </c>
      <c r="G13" s="16" t="n">
        <v>750000</v>
      </c>
      <c r="H13" s="16" t="n">
        <v>8700000</v>
      </c>
      <c r="I13" s="16" t="n">
        <v>7900000</v>
      </c>
      <c r="J13" s="18" t="n">
        <f aca="false">IF($A13="","",$B13+$C13+$D13-$E13+$F13-$G13)</f>
        <v>5250000</v>
      </c>
      <c r="K13" s="18" t="n">
        <f aca="false">IF($A13="","",MAX(0,$B13-$J13))</f>
        <v>0</v>
      </c>
      <c r="L13" s="19" t="n">
        <f aca="false">IF($A13="","",IF($B13=0,0,$K13/$B13))</f>
        <v>0</v>
      </c>
      <c r="M13" s="20" t="str">
        <f aca="false">IF($A13="","",IF($J13&lt;0,"BORCA BATIK",IF($I13&lt;$H13,"BORCA BATIK",IF($L13&gt;=TtkUcteIkiEsik,"2/3 KAYIP (KRİTİK)",IF($L13&gt;=TtkUcteBirEsik,"1/3 KAYIP (DİKKAT)","UYGUN")))))</f>
        <v>BORCA BATIK</v>
      </c>
    </row>
    <row r="14" customFormat="false" ht="16.4" hidden="false" customHeight="false" outlineLevel="0" collapsed="false">
      <c r="A14" s="15" t="s">
        <v>55</v>
      </c>
      <c r="B14" s="16" t="n">
        <v>5000000</v>
      </c>
      <c r="C14" s="16" t="n">
        <v>800000</v>
      </c>
      <c r="D14" s="16" t="n">
        <v>200000</v>
      </c>
      <c r="E14" s="17" t="n">
        <v>0</v>
      </c>
      <c r="F14" s="17" t="n">
        <v>0</v>
      </c>
      <c r="G14" s="16" t="n">
        <v>860000</v>
      </c>
      <c r="H14" s="16" t="n">
        <v>9100000</v>
      </c>
      <c r="I14" s="16" t="n">
        <v>7600000</v>
      </c>
      <c r="J14" s="18" t="n">
        <f aca="false">IF($A14="","",$B14+$C14+$D14-$E14+$F14-$G14)</f>
        <v>5140000</v>
      </c>
      <c r="K14" s="18" t="n">
        <f aca="false">IF($A14="","",MAX(0,$B14-$J14))</f>
        <v>0</v>
      </c>
      <c r="L14" s="19" t="n">
        <f aca="false">IF($A14="","",IF($B14=0,0,$K14/$B14))</f>
        <v>0</v>
      </c>
      <c r="M14" s="20" t="str">
        <f aca="false">IF($A14="","",IF($J14&lt;0,"BORCA BATIK",IF($I14&lt;$H14,"BORCA BATIK",IF($L14&gt;=TtkUcteIkiEsik,"2/3 KAYIP (KRİTİK)",IF($L14&gt;=TtkUcteBirEsik,"1/3 KAYIP (DİKKAT)","UYGUN")))))</f>
        <v>BORCA BATIK</v>
      </c>
    </row>
    <row r="15" customFormat="false" ht="16.4" hidden="false" customHeight="false" outlineLevel="0" collapsed="false">
      <c r="A15" s="15" t="s">
        <v>56</v>
      </c>
      <c r="B15" s="16" t="n">
        <v>5000000</v>
      </c>
      <c r="C15" s="16" t="n">
        <v>800000</v>
      </c>
      <c r="D15" s="16" t="n">
        <v>200000</v>
      </c>
      <c r="E15" s="17" t="n">
        <v>0</v>
      </c>
      <c r="F15" s="17" t="n">
        <v>0</v>
      </c>
      <c r="G15" s="16" t="n">
        <v>980000</v>
      </c>
      <c r="H15" s="16" t="n">
        <v>9500000</v>
      </c>
      <c r="I15" s="16" t="n">
        <v>7300000</v>
      </c>
      <c r="J15" s="18" t="n">
        <f aca="false">IF($A15="","",$B15+$C15+$D15-$E15+$F15-$G15)</f>
        <v>5020000</v>
      </c>
      <c r="K15" s="18" t="n">
        <f aca="false">IF($A15="","",MAX(0,$B15-$J15))</f>
        <v>0</v>
      </c>
      <c r="L15" s="19" t="n">
        <f aca="false">IF($A15="","",IF($B15=0,0,$K15/$B15))</f>
        <v>0</v>
      </c>
      <c r="M15" s="20" t="str">
        <f aca="false">IF($A15="","",IF($J15&lt;0,"BORCA BATIK",IF($I15&lt;$H15,"BORCA BATIK",IF($L15&gt;=TtkUcteIkiEsik,"2/3 KAYIP (KRİTİK)",IF($L15&gt;=TtkUcteBirEsik,"1/3 KAYIP (DİKKAT)","UYGUN")))))</f>
        <v>BORCA BATIK</v>
      </c>
    </row>
    <row r="16" customFormat="false" ht="16.4" hidden="false" customHeight="false" outlineLevel="0" collapsed="false">
      <c r="A16" s="15" t="s">
        <v>57</v>
      </c>
      <c r="B16" s="16" t="n">
        <v>5000000</v>
      </c>
      <c r="C16" s="16" t="n">
        <v>800000</v>
      </c>
      <c r="D16" s="16" t="n">
        <v>200000</v>
      </c>
      <c r="E16" s="17" t="n">
        <v>0</v>
      </c>
      <c r="F16" s="17" t="n">
        <v>0</v>
      </c>
      <c r="G16" s="16" t="n">
        <v>1120000</v>
      </c>
      <c r="H16" s="16" t="n">
        <v>9900000</v>
      </c>
      <c r="I16" s="16" t="n">
        <v>7000000</v>
      </c>
      <c r="J16" s="18" t="n">
        <f aca="false">IF($A16="","",$B16+$C16+$D16-$E16+$F16-$G16)</f>
        <v>4880000</v>
      </c>
      <c r="K16" s="18" t="n">
        <f aca="false">IF($A16="","",MAX(0,$B16-$J16))</f>
        <v>120000</v>
      </c>
      <c r="L16" s="19" t="n">
        <f aca="false">IF($A16="","",IF($B16=0,0,$K16/$B16))</f>
        <v>0.024</v>
      </c>
      <c r="M16" s="20" t="str">
        <f aca="false">IF($A16="","",IF($J16&lt;0,"BORCA BATIK",IF($I16&lt;$H16,"BORCA BATIK",IF($L16&gt;=TtkUcteIkiEsik,"2/3 KAYIP (KRİTİK)",IF($L16&gt;=TtkUcteBirEsik,"1/3 KAYIP (DİKKAT)","UYGUN")))))</f>
        <v>BORCA BATIK</v>
      </c>
    </row>
    <row r="17" customFormat="false" ht="16.4" hidden="false" customHeight="false" outlineLevel="0" collapsed="false">
      <c r="A17" s="15" t="s">
        <v>58</v>
      </c>
      <c r="B17" s="16" t="n">
        <v>5000000</v>
      </c>
      <c r="C17" s="16" t="n">
        <v>800000</v>
      </c>
      <c r="D17" s="16" t="n">
        <v>200000</v>
      </c>
      <c r="E17" s="17" t="n">
        <v>0</v>
      </c>
      <c r="F17" s="17" t="n">
        <v>0</v>
      </c>
      <c r="G17" s="16" t="n">
        <v>1250000</v>
      </c>
      <c r="H17" s="16" t="n">
        <v>10300000</v>
      </c>
      <c r="I17" s="16" t="n">
        <v>6700000</v>
      </c>
      <c r="J17" s="18" t="n">
        <f aca="false">IF($A17="","",$B17+$C17+$D17-$E17+$F17-$G17)</f>
        <v>4750000</v>
      </c>
      <c r="K17" s="18" t="n">
        <f aca="false">IF($A17="","",MAX(0,$B17-$J17))</f>
        <v>250000</v>
      </c>
      <c r="L17" s="19" t="n">
        <f aca="false">IF($A17="","",IF($B17=0,0,$K17/$B17))</f>
        <v>0.05</v>
      </c>
      <c r="M17" s="20" t="str">
        <f aca="false">IF($A17="","",IF($J17&lt;0,"BORCA BATIK",IF($I17&lt;$H17,"BORCA BATIK",IF($L17&gt;=TtkUcteIkiEsik,"2/3 KAYIP (KRİTİK)",IF($L17&gt;=TtkUcteBirEsik,"1/3 KAYIP (DİKKAT)","UYGUN")))))</f>
        <v>BORCA BATIK</v>
      </c>
    </row>
    <row r="18" customFormat="false" ht="15" hidden="false" customHeight="false" outlineLevel="0" collapsed="false">
      <c r="A18" s="21"/>
      <c r="B18" s="17"/>
      <c r="C18" s="17"/>
      <c r="D18" s="17"/>
      <c r="E18" s="17"/>
      <c r="F18" s="17"/>
      <c r="G18" s="17"/>
      <c r="H18" s="17"/>
      <c r="I18" s="17"/>
      <c r="J18" s="18" t="str">
        <f aca="false">IF($A18="","",$B18+$C18+$D18-$E18+$F18-$G18)</f>
        <v/>
      </c>
      <c r="K18" s="18" t="str">
        <f aca="false">IF($A18="","",MAX(0,$B18-$J18))</f>
        <v/>
      </c>
      <c r="L18" s="19" t="str">
        <f aca="false">IF($A18="","",IF($B18=0,0,$K18/$B18))</f>
        <v/>
      </c>
      <c r="M18" s="20" t="str">
        <f aca="false">IF($A18="","",IF($J18&lt;0,"BORCA BATIK",IF($I18&lt;$H18,"BORCA BATIK",IF($L18&gt;=TtkUcteIkiEsik,"2/3 KAYIP (KRİTİK)",IF($L18&gt;=TtkUcteBirEsik,"1/3 KAYIP (DİKKAT)","UYGUN")))))</f>
        <v/>
      </c>
    </row>
    <row r="19" customFormat="false" ht="15" hidden="false" customHeight="false" outlineLevel="0" collapsed="false">
      <c r="A19" s="21"/>
      <c r="B19" s="17"/>
      <c r="C19" s="17"/>
      <c r="D19" s="17"/>
      <c r="E19" s="17"/>
      <c r="F19" s="17"/>
      <c r="G19" s="17"/>
      <c r="H19" s="17"/>
      <c r="I19" s="17"/>
      <c r="J19" s="18" t="str">
        <f aca="false">IF($A19="","",$B19+$C19+$D19-$E19+$F19-$G19)</f>
        <v/>
      </c>
      <c r="K19" s="18" t="str">
        <f aca="false">IF($A19="","",MAX(0,$B19-$J19))</f>
        <v/>
      </c>
      <c r="L19" s="19" t="str">
        <f aca="false">IF($A19="","",IF($B19=0,0,$K19/$B19))</f>
        <v/>
      </c>
      <c r="M19" s="20" t="str">
        <f aca="false">IF($A19="","",IF($J19&lt;0,"BORCA BATIK",IF($I19&lt;$H19,"BORCA BATIK",IF($L19&gt;=TtkUcteIkiEsik,"2/3 KAYIP (KRİTİK)",IF($L19&gt;=TtkUcteBirEsik,"1/3 KAYIP (DİKKAT)","UYGUN")))))</f>
        <v/>
      </c>
    </row>
    <row r="20" customFormat="false" ht="15" hidden="false" customHeight="false" outlineLevel="0" collapsed="false">
      <c r="A20" s="21"/>
      <c r="B20" s="17"/>
      <c r="C20" s="17"/>
      <c r="D20" s="17"/>
      <c r="E20" s="17"/>
      <c r="F20" s="17"/>
      <c r="G20" s="17"/>
      <c r="H20" s="17"/>
      <c r="I20" s="17"/>
      <c r="J20" s="18" t="str">
        <f aca="false">IF($A20="","",$B20+$C20+$D20-$E20+$F20-$G20)</f>
        <v/>
      </c>
      <c r="K20" s="18" t="str">
        <f aca="false">IF($A20="","",MAX(0,$B20-$J20))</f>
        <v/>
      </c>
      <c r="L20" s="19" t="str">
        <f aca="false">IF($A20="","",IF($B20=0,0,$K20/$B20))</f>
        <v/>
      </c>
      <c r="M20" s="20" t="str">
        <f aca="false">IF($A20="","",IF($J20&lt;0,"BORCA BATIK",IF($I20&lt;$H20,"BORCA BATIK",IF($L20&gt;=TtkUcteIkiEsik,"2/3 KAYIP (KRİTİK)",IF($L20&gt;=TtkUcteBirEsik,"1/3 KAYIP (DİKKAT)","UYGUN")))))</f>
        <v/>
      </c>
    </row>
    <row r="21" customFormat="false" ht="15" hidden="false" customHeight="false" outlineLevel="0" collapsed="false">
      <c r="A21" s="21"/>
      <c r="B21" s="17"/>
      <c r="C21" s="17"/>
      <c r="D21" s="17"/>
      <c r="E21" s="17"/>
      <c r="F21" s="17"/>
      <c r="G21" s="17"/>
      <c r="H21" s="17"/>
      <c r="I21" s="17"/>
      <c r="J21" s="18" t="str">
        <f aca="false">IF($A21="","",$B21+$C21+$D21-$E21+$F21-$G21)</f>
        <v/>
      </c>
      <c r="K21" s="18" t="str">
        <f aca="false">IF($A21="","",MAX(0,$B21-$J21))</f>
        <v/>
      </c>
      <c r="L21" s="19" t="str">
        <f aca="false">IF($A21="","",IF($B21=0,0,$K21/$B21))</f>
        <v/>
      </c>
      <c r="M21" s="20" t="str">
        <f aca="false">IF($A21="","",IF($J21&lt;0,"BORCA BATIK",IF($I21&lt;$H21,"BORCA BATIK",IF($L21&gt;=TtkUcteIkiEsik,"2/3 KAYIP (KRİTİK)",IF($L21&gt;=TtkUcteBirEsik,"1/3 KAYIP (DİKKAT)","UYGUN")))))</f>
        <v/>
      </c>
    </row>
    <row r="22" customFormat="false" ht="15" hidden="false" customHeight="false" outlineLevel="0" collapsed="false">
      <c r="A22" s="21"/>
      <c r="B22" s="17"/>
      <c r="C22" s="17"/>
      <c r="D22" s="17"/>
      <c r="E22" s="17"/>
      <c r="F22" s="17"/>
      <c r="G22" s="17"/>
      <c r="H22" s="17"/>
      <c r="I22" s="17"/>
      <c r="J22" s="18" t="str">
        <f aca="false">IF($A22="","",$B22+$C22+$D22-$E22+$F22-$G22)</f>
        <v/>
      </c>
      <c r="K22" s="18" t="str">
        <f aca="false">IF($A22="","",MAX(0,$B22-$J22))</f>
        <v/>
      </c>
      <c r="L22" s="19" t="str">
        <f aca="false">IF($A22="","",IF($B22=0,0,$K22/$B22))</f>
        <v/>
      </c>
      <c r="M22" s="20" t="str">
        <f aca="false">IF($A22="","",IF($J22&lt;0,"BORCA BATIK",IF($I22&lt;$H22,"BORCA BATIK",IF($L22&gt;=TtkUcteIkiEsik,"2/3 KAYIP (KRİTİK)",IF($L22&gt;=TtkUcteBirEsik,"1/3 KAYIP (DİKKAT)","UYGUN")))))</f>
        <v/>
      </c>
    </row>
    <row r="23" customFormat="false" ht="15" hidden="false" customHeight="false" outlineLevel="0" collapsed="false">
      <c r="A23" s="21"/>
      <c r="B23" s="17"/>
      <c r="C23" s="17"/>
      <c r="D23" s="17"/>
      <c r="E23" s="17"/>
      <c r="F23" s="17"/>
      <c r="G23" s="17"/>
      <c r="H23" s="17"/>
      <c r="I23" s="17"/>
      <c r="J23" s="18" t="str">
        <f aca="false">IF($A23="","",$B23+$C23+$D23-$E23+$F23-$G23)</f>
        <v/>
      </c>
      <c r="K23" s="18" t="str">
        <f aca="false">IF($A23="","",MAX(0,$B23-$J23))</f>
        <v/>
      </c>
      <c r="L23" s="19" t="str">
        <f aca="false">IF($A23="","",IF($B23=0,0,$K23/$B23))</f>
        <v/>
      </c>
      <c r="M23" s="20" t="str">
        <f aca="false">IF($A23="","",IF($J23&lt;0,"BORCA BATIK",IF($I23&lt;$H23,"BORCA BATIK",IF($L23&gt;=TtkUcteIkiEsik,"2/3 KAYIP (KRİTİK)",IF($L23&gt;=TtkUcteBirEsik,"1/3 KAYIP (DİKKAT)","UYGUN")))))</f>
        <v/>
      </c>
    </row>
    <row r="24" customFormat="false" ht="15" hidden="false" customHeight="false" outlineLevel="0" collapsed="false">
      <c r="A24" s="21"/>
      <c r="B24" s="17"/>
      <c r="C24" s="17"/>
      <c r="D24" s="17"/>
      <c r="E24" s="17"/>
      <c r="F24" s="17"/>
      <c r="G24" s="17"/>
      <c r="H24" s="17"/>
      <c r="I24" s="17"/>
      <c r="J24" s="18" t="str">
        <f aca="false">IF($A24="","",$B24+$C24+$D24-$E24+$F24-$G24)</f>
        <v/>
      </c>
      <c r="K24" s="18" t="str">
        <f aca="false">IF($A24="","",MAX(0,$B24-$J24))</f>
        <v/>
      </c>
      <c r="L24" s="19" t="str">
        <f aca="false">IF($A24="","",IF($B24=0,0,$K24/$B24))</f>
        <v/>
      </c>
      <c r="M24" s="20" t="str">
        <f aca="false">IF($A24="","",IF($J24&lt;0,"BORCA BATIK",IF($I24&lt;$H24,"BORCA BATIK",IF($L24&gt;=TtkUcteIkiEsik,"2/3 KAYIP (KRİTİK)",IF($L24&gt;=TtkUcteBirEsik,"1/3 KAYIP (DİKKAT)","UYGUN")))))</f>
        <v/>
      </c>
    </row>
    <row r="25" customFormat="false" ht="15" hidden="false" customHeight="false" outlineLevel="0" collapsed="false">
      <c r="A25" s="21"/>
      <c r="B25" s="17"/>
      <c r="C25" s="17"/>
      <c r="D25" s="17"/>
      <c r="E25" s="17"/>
      <c r="F25" s="17"/>
      <c r="G25" s="17"/>
      <c r="H25" s="17"/>
      <c r="I25" s="17"/>
      <c r="J25" s="18" t="str">
        <f aca="false">IF($A25="","",$B25+$C25+$D25-$E25+$F25-$G25)</f>
        <v/>
      </c>
      <c r="K25" s="18" t="str">
        <f aca="false">IF($A25="","",MAX(0,$B25-$J25))</f>
        <v/>
      </c>
      <c r="L25" s="19" t="str">
        <f aca="false">IF($A25="","",IF($B25=0,0,$K25/$B25))</f>
        <v/>
      </c>
      <c r="M25" s="20" t="str">
        <f aca="false">IF($A25="","",IF($J25&lt;0,"BORCA BATIK",IF($I25&lt;$H25,"BORCA BATIK",IF($L25&gt;=TtkUcteIkiEsik,"2/3 KAYIP (KRİTİK)",IF($L25&gt;=TtkUcteBirEsik,"1/3 KAYIP (DİKKAT)","UYGUN")))))</f>
        <v/>
      </c>
    </row>
    <row r="26" customFormat="false" ht="15" hidden="false" customHeight="false" outlineLevel="0" collapsed="false">
      <c r="A26" s="21"/>
      <c r="B26" s="17"/>
      <c r="C26" s="17"/>
      <c r="D26" s="17"/>
      <c r="E26" s="17"/>
      <c r="F26" s="17"/>
      <c r="G26" s="17"/>
      <c r="H26" s="17"/>
      <c r="I26" s="17"/>
      <c r="J26" s="18" t="str">
        <f aca="false">IF($A26="","",$B26+$C26+$D26-$E26+$F26-$G26)</f>
        <v/>
      </c>
      <c r="K26" s="18" t="str">
        <f aca="false">IF($A26="","",MAX(0,$B26-$J26))</f>
        <v/>
      </c>
      <c r="L26" s="19" t="str">
        <f aca="false">IF($A26="","",IF($B26=0,0,$K26/$B26))</f>
        <v/>
      </c>
      <c r="M26" s="20" t="str">
        <f aca="false">IF($A26="","",IF($J26&lt;0,"BORCA BATIK",IF($I26&lt;$H26,"BORCA BATIK",IF($L26&gt;=TtkUcteIkiEsik,"2/3 KAYIP (KRİTİK)",IF($L26&gt;=TtkUcteBirEsik,"1/3 KAYIP (DİKKAT)","UYGUN")))))</f>
        <v/>
      </c>
    </row>
    <row r="27" customFormat="false" ht="15" hidden="false" customHeight="false" outlineLevel="0" collapsed="false">
      <c r="A27" s="21"/>
      <c r="B27" s="17"/>
      <c r="C27" s="17"/>
      <c r="D27" s="17"/>
      <c r="E27" s="17"/>
      <c r="F27" s="17"/>
      <c r="G27" s="17"/>
      <c r="H27" s="17"/>
      <c r="I27" s="17"/>
      <c r="J27" s="18" t="str">
        <f aca="false">IF($A27="","",$B27+$C27+$D27-$E27+$F27-$G27)</f>
        <v/>
      </c>
      <c r="K27" s="18" t="str">
        <f aca="false">IF($A27="","",MAX(0,$B27-$J27))</f>
        <v/>
      </c>
      <c r="L27" s="19" t="str">
        <f aca="false">IF($A27="","",IF($B27=0,0,$K27/$B27))</f>
        <v/>
      </c>
      <c r="M27" s="20" t="str">
        <f aca="false">IF($A27="","",IF($J27&lt;0,"BORCA BATIK",IF($I27&lt;$H27,"BORCA BATIK",IF($L27&gt;=TtkUcteIkiEsik,"2/3 KAYIP (KRİTİK)",IF($L27&gt;=TtkUcteBirEsik,"1/3 KAYIP (DİKKAT)","UYGUN")))))</f>
        <v/>
      </c>
    </row>
    <row r="28" customFormat="false" ht="15" hidden="false" customHeight="false" outlineLevel="0" collapsed="false">
      <c r="A28" s="21"/>
      <c r="B28" s="17"/>
      <c r="C28" s="17"/>
      <c r="D28" s="17"/>
      <c r="E28" s="17"/>
      <c r="F28" s="17"/>
      <c r="G28" s="17"/>
      <c r="H28" s="17"/>
      <c r="I28" s="17"/>
      <c r="J28" s="18" t="str">
        <f aca="false">IF($A28="","",$B28+$C28+$D28-$E28+$F28-$G28)</f>
        <v/>
      </c>
      <c r="K28" s="18" t="str">
        <f aca="false">IF($A28="","",MAX(0,$B28-$J28))</f>
        <v/>
      </c>
      <c r="L28" s="19" t="str">
        <f aca="false">IF($A28="","",IF($B28=0,0,$K28/$B28))</f>
        <v/>
      </c>
      <c r="M28" s="20" t="str">
        <f aca="false">IF($A28="","",IF($J28&lt;0,"BORCA BATIK",IF($I28&lt;$H28,"BORCA BATIK",IF($L28&gt;=TtkUcteIkiEsik,"2/3 KAYIP (KRİTİK)",IF($L28&gt;=TtkUcteBirEsik,"1/3 KAYIP (DİKKAT)","UYGUN")))))</f>
        <v/>
      </c>
    </row>
    <row r="29" customFormat="false" ht="15" hidden="false" customHeight="false" outlineLevel="0" collapsed="false">
      <c r="A29" s="21"/>
      <c r="B29" s="17"/>
      <c r="C29" s="17"/>
      <c r="D29" s="17"/>
      <c r="E29" s="17"/>
      <c r="F29" s="17"/>
      <c r="G29" s="17"/>
      <c r="H29" s="17"/>
      <c r="I29" s="17"/>
      <c r="J29" s="18" t="str">
        <f aca="false">IF($A29="","",$B29+$C29+$D29-$E29+$F29-$G29)</f>
        <v/>
      </c>
      <c r="K29" s="18" t="str">
        <f aca="false">IF($A29="","",MAX(0,$B29-$J29))</f>
        <v/>
      </c>
      <c r="L29" s="19" t="str">
        <f aca="false">IF($A29="","",IF($B29=0,0,$K29/$B29))</f>
        <v/>
      </c>
      <c r="M29" s="20" t="str">
        <f aca="false">IF($A29="","",IF($J29&lt;0,"BORCA BATIK",IF($I29&lt;$H29,"BORCA BATIK",IF($L29&gt;=TtkUcteIkiEsik,"2/3 KAYIP (KRİTİK)",IF($L29&gt;=TtkUcteBirEsik,"1/3 KAYIP (DİKKAT)","UYGUN")))))</f>
        <v/>
      </c>
    </row>
    <row r="30" customFormat="false" ht="15" hidden="false" customHeight="false" outlineLevel="0" collapsed="false">
      <c r="A30" s="21"/>
      <c r="B30" s="17"/>
      <c r="C30" s="17"/>
      <c r="D30" s="17"/>
      <c r="E30" s="17"/>
      <c r="F30" s="17"/>
      <c r="G30" s="17"/>
      <c r="H30" s="17"/>
      <c r="I30" s="17"/>
      <c r="J30" s="18" t="str">
        <f aca="false">IF($A30="","",$B30+$C30+$D30-$E30+$F30-$G30)</f>
        <v/>
      </c>
      <c r="K30" s="18" t="str">
        <f aca="false">IF($A30="","",MAX(0,$B30-$J30))</f>
        <v/>
      </c>
      <c r="L30" s="19" t="str">
        <f aca="false">IF($A30="","",IF($B30=0,0,$K30/$B30))</f>
        <v/>
      </c>
      <c r="M30" s="20" t="str">
        <f aca="false">IF($A30="","",IF($J30&lt;0,"BORCA BATIK",IF($I30&lt;$H30,"BORCA BATIK",IF($L30&gt;=TtkUcteIkiEsik,"2/3 KAYIP (KRİTİK)",IF($L30&gt;=TtkUcteBirEsik,"1/3 KAYIP (DİKKAT)","UYGUN")))))</f>
        <v/>
      </c>
    </row>
    <row r="31" customFormat="false" ht="15" hidden="false" customHeight="false" outlineLevel="0" collapsed="false">
      <c r="A31" s="21"/>
      <c r="B31" s="17"/>
      <c r="C31" s="17"/>
      <c r="D31" s="17"/>
      <c r="E31" s="17"/>
      <c r="F31" s="17"/>
      <c r="G31" s="17"/>
      <c r="H31" s="17"/>
      <c r="I31" s="17"/>
      <c r="J31" s="18" t="str">
        <f aca="false">IF($A31="","",$B31+$C31+$D31-$E31+$F31-$G31)</f>
        <v/>
      </c>
      <c r="K31" s="18" t="str">
        <f aca="false">IF($A31="","",MAX(0,$B31-$J31))</f>
        <v/>
      </c>
      <c r="L31" s="19" t="str">
        <f aca="false">IF($A31="","",IF($B31=0,0,$K31/$B31))</f>
        <v/>
      </c>
      <c r="M31" s="20" t="str">
        <f aca="false">IF($A31="","",IF($J31&lt;0,"BORCA BATIK",IF($I31&lt;$H31,"BORCA BATIK",IF($L31&gt;=TtkUcteIkiEsik,"2/3 KAYIP (KRİTİK)",IF($L31&gt;=TtkUcteBirEsik,"1/3 KAYIP (DİKKAT)","UYGUN")))))</f>
        <v/>
      </c>
    </row>
    <row r="32" customFormat="false" ht="15" hidden="false" customHeight="false" outlineLevel="0" collapsed="false">
      <c r="A32" s="21"/>
      <c r="B32" s="17"/>
      <c r="C32" s="17"/>
      <c r="D32" s="17"/>
      <c r="E32" s="17"/>
      <c r="F32" s="17"/>
      <c r="G32" s="17"/>
      <c r="H32" s="17"/>
      <c r="I32" s="17"/>
      <c r="J32" s="18" t="str">
        <f aca="false">IF($A32="","",$B32+$C32+$D32-$E32+$F32-$G32)</f>
        <v/>
      </c>
      <c r="K32" s="18" t="str">
        <f aca="false">IF($A32="","",MAX(0,$B32-$J32))</f>
        <v/>
      </c>
      <c r="L32" s="19" t="str">
        <f aca="false">IF($A32="","",IF($B32=0,0,$K32/$B32))</f>
        <v/>
      </c>
      <c r="M32" s="20" t="str">
        <f aca="false">IF($A32="","",IF($J32&lt;0,"BORCA BATIK",IF($I32&lt;$H32,"BORCA BATIK",IF($L32&gt;=TtkUcteIkiEsik,"2/3 KAYIP (KRİTİK)",IF($L32&gt;=TtkUcteBirEsik,"1/3 KAYIP (DİKKAT)","UYGUN")))))</f>
        <v/>
      </c>
    </row>
    <row r="33" customFormat="false" ht="15" hidden="false" customHeight="false" outlineLevel="0" collapsed="false">
      <c r="A33" s="21"/>
      <c r="B33" s="17"/>
      <c r="C33" s="17"/>
      <c r="D33" s="17"/>
      <c r="E33" s="17"/>
      <c r="F33" s="17"/>
      <c r="G33" s="17"/>
      <c r="H33" s="17"/>
      <c r="I33" s="17"/>
      <c r="J33" s="18" t="str">
        <f aca="false">IF($A33="","",$B33+$C33+$D33-$E33+$F33-$G33)</f>
        <v/>
      </c>
      <c r="K33" s="18" t="str">
        <f aca="false">IF($A33="","",MAX(0,$B33-$J33))</f>
        <v/>
      </c>
      <c r="L33" s="19" t="str">
        <f aca="false">IF($A33="","",IF($B33=0,0,$K33/$B33))</f>
        <v/>
      </c>
      <c r="M33" s="20" t="str">
        <f aca="false">IF($A33="","",IF($J33&lt;0,"BORCA BATIK",IF($I33&lt;$H33,"BORCA BATIK",IF($L33&gt;=TtkUcteIkiEsik,"2/3 KAYIP (KRİTİK)",IF($L33&gt;=TtkUcteBirEsik,"1/3 KAYIP (DİKKAT)","UYGUN")))))</f>
        <v/>
      </c>
    </row>
    <row r="34" customFormat="false" ht="15" hidden="false" customHeight="false" outlineLevel="0" collapsed="false">
      <c r="A34" s="21"/>
      <c r="B34" s="17"/>
      <c r="C34" s="17"/>
      <c r="D34" s="17"/>
      <c r="E34" s="17"/>
      <c r="F34" s="17"/>
      <c r="G34" s="17"/>
      <c r="H34" s="17"/>
      <c r="I34" s="17"/>
      <c r="J34" s="18" t="str">
        <f aca="false">IF($A34="","",$B34+$C34+$D34-$E34+$F34-$G34)</f>
        <v/>
      </c>
      <c r="K34" s="18" t="str">
        <f aca="false">IF($A34="","",MAX(0,$B34-$J34))</f>
        <v/>
      </c>
      <c r="L34" s="19" t="str">
        <f aca="false">IF($A34="","",IF($B34=0,0,$K34/$B34))</f>
        <v/>
      </c>
      <c r="M34" s="20" t="str">
        <f aca="false">IF($A34="","",IF($J34&lt;0,"BORCA BATIK",IF($I34&lt;$H34,"BORCA BATIK",IF($L34&gt;=TtkUcteIkiEsik,"2/3 KAYIP (KRİTİK)",IF($L34&gt;=TtkUcteBirEsik,"1/3 KAYIP (DİKKAT)","UYGUN")))))</f>
        <v/>
      </c>
    </row>
    <row r="35" customFormat="false" ht="15" hidden="false" customHeight="false" outlineLevel="0" collapsed="false">
      <c r="A35" s="21"/>
      <c r="B35" s="17"/>
      <c r="C35" s="17"/>
      <c r="D35" s="17"/>
      <c r="E35" s="17"/>
      <c r="F35" s="17"/>
      <c r="G35" s="17"/>
      <c r="H35" s="17"/>
      <c r="I35" s="17"/>
      <c r="J35" s="18" t="str">
        <f aca="false">IF($A35="","",$B35+$C35+$D35-$E35+$F35-$G35)</f>
        <v/>
      </c>
      <c r="K35" s="18" t="str">
        <f aca="false">IF($A35="","",MAX(0,$B35-$J35))</f>
        <v/>
      </c>
      <c r="L35" s="19" t="str">
        <f aca="false">IF($A35="","",IF($B35=0,0,$K35/$B35))</f>
        <v/>
      </c>
      <c r="M35" s="20" t="str">
        <f aca="false">IF($A35="","",IF($J35&lt;0,"BORCA BATIK",IF($I35&lt;$H35,"BORCA BATIK",IF($L35&gt;=TtkUcteIkiEsik,"2/3 KAYIP (KRİTİK)",IF($L35&gt;=TtkUcteBirEsik,"1/3 KAYIP (DİKKAT)","UYGUN")))))</f>
        <v/>
      </c>
    </row>
    <row r="36" customFormat="false" ht="15" hidden="false" customHeight="false" outlineLevel="0" collapsed="false">
      <c r="A36" s="21"/>
      <c r="B36" s="17"/>
      <c r="C36" s="17"/>
      <c r="D36" s="17"/>
      <c r="E36" s="17"/>
      <c r="F36" s="17"/>
      <c r="G36" s="17"/>
      <c r="H36" s="17"/>
      <c r="I36" s="17"/>
      <c r="J36" s="18" t="str">
        <f aca="false">IF($A36="","",$B36+$C36+$D36-$E36+$F36-$G36)</f>
        <v/>
      </c>
      <c r="K36" s="18" t="str">
        <f aca="false">IF($A36="","",MAX(0,$B36-$J36))</f>
        <v/>
      </c>
      <c r="L36" s="19" t="str">
        <f aca="false">IF($A36="","",IF($B36=0,0,$K36/$B36))</f>
        <v/>
      </c>
      <c r="M36" s="20" t="str">
        <f aca="false">IF($A36="","",IF($J36&lt;0,"BORCA BATIK",IF($I36&lt;$H36,"BORCA BATIK",IF($L36&gt;=TtkUcteIkiEsik,"2/3 KAYIP (KRİTİK)",IF($L36&gt;=TtkUcteBirEsik,"1/3 KAYIP (DİKKAT)","UYGUN")))))</f>
        <v/>
      </c>
    </row>
    <row r="37" customFormat="false" ht="15" hidden="false" customHeight="false" outlineLevel="0" collapsed="false">
      <c r="A37" s="21"/>
      <c r="B37" s="17"/>
      <c r="C37" s="17"/>
      <c r="D37" s="17"/>
      <c r="E37" s="17"/>
      <c r="F37" s="17"/>
      <c r="G37" s="17"/>
      <c r="H37" s="17"/>
      <c r="I37" s="17"/>
      <c r="J37" s="18" t="str">
        <f aca="false">IF($A37="","",$B37+$C37+$D37-$E37+$F37-$G37)</f>
        <v/>
      </c>
      <c r="K37" s="18" t="str">
        <f aca="false">IF($A37="","",MAX(0,$B37-$J37))</f>
        <v/>
      </c>
      <c r="L37" s="19" t="str">
        <f aca="false">IF($A37="","",IF($B37=0,0,$K37/$B37))</f>
        <v/>
      </c>
      <c r="M37" s="20" t="str">
        <f aca="false">IF($A37="","",IF($J37&lt;0,"BORCA BATIK",IF($I37&lt;$H37,"BORCA BATIK",IF($L37&gt;=TtkUcteIkiEsik,"2/3 KAYIP (KRİTİK)",IF($L37&gt;=TtkUcteBirEsik,"1/3 KAYIP (DİKKAT)","UYGUN")))))</f>
        <v/>
      </c>
    </row>
    <row r="38" customFormat="false" ht="15" hidden="false" customHeight="false" outlineLevel="0" collapsed="false">
      <c r="A38" s="21"/>
      <c r="B38" s="17"/>
      <c r="C38" s="17"/>
      <c r="D38" s="17"/>
      <c r="E38" s="17"/>
      <c r="F38" s="17"/>
      <c r="G38" s="17"/>
      <c r="H38" s="17"/>
      <c r="I38" s="17"/>
      <c r="J38" s="18" t="str">
        <f aca="false">IF($A38="","",$B38+$C38+$D38-$E38+$F38-$G38)</f>
        <v/>
      </c>
      <c r="K38" s="18" t="str">
        <f aca="false">IF($A38="","",MAX(0,$B38-$J38))</f>
        <v/>
      </c>
      <c r="L38" s="19" t="str">
        <f aca="false">IF($A38="","",IF($B38=0,0,$K38/$B38))</f>
        <v/>
      </c>
      <c r="M38" s="20" t="str">
        <f aca="false">IF($A38="","",IF($J38&lt;0,"BORCA BATIK",IF($I38&lt;$H38,"BORCA BATIK",IF($L38&gt;=TtkUcteIkiEsik,"2/3 KAYIP (KRİTİK)",IF($L38&gt;=TtkUcteBirEsik,"1/3 KAYIP (DİKKAT)","UYGUN")))))</f>
        <v/>
      </c>
    </row>
    <row r="39" customFormat="false" ht="15" hidden="false" customHeight="false" outlineLevel="0" collapsed="false">
      <c r="A39" s="21"/>
      <c r="B39" s="17"/>
      <c r="C39" s="17"/>
      <c r="D39" s="17"/>
      <c r="E39" s="17"/>
      <c r="F39" s="17"/>
      <c r="G39" s="17"/>
      <c r="H39" s="17"/>
      <c r="I39" s="17"/>
      <c r="J39" s="18" t="str">
        <f aca="false">IF($A39="","",$B39+$C39+$D39-$E39+$F39-$G39)</f>
        <v/>
      </c>
      <c r="K39" s="18" t="str">
        <f aca="false">IF($A39="","",MAX(0,$B39-$J39))</f>
        <v/>
      </c>
      <c r="L39" s="19" t="str">
        <f aca="false">IF($A39="","",IF($B39=0,0,$K39/$B39))</f>
        <v/>
      </c>
      <c r="M39" s="20" t="str">
        <f aca="false">IF($A39="","",IF($J39&lt;0,"BORCA BATIK",IF($I39&lt;$H39,"BORCA BATIK",IF($L39&gt;=TtkUcteIkiEsik,"2/3 KAYIP (KRİTİK)",IF($L39&gt;=TtkUcteBirEsik,"1/3 KAYIP (DİKKAT)","UYGUN")))))</f>
        <v/>
      </c>
    </row>
    <row r="40" customFormat="false" ht="15" hidden="false" customHeight="false" outlineLevel="0" collapsed="false">
      <c r="A40" s="21"/>
      <c r="B40" s="17"/>
      <c r="C40" s="17"/>
      <c r="D40" s="17"/>
      <c r="E40" s="17"/>
      <c r="F40" s="17"/>
      <c r="G40" s="17"/>
      <c r="H40" s="17"/>
      <c r="I40" s="17"/>
      <c r="J40" s="18" t="str">
        <f aca="false">IF($A40="","",$B40+$C40+$D40-$E40+$F40-$G40)</f>
        <v/>
      </c>
      <c r="K40" s="18" t="str">
        <f aca="false">IF($A40="","",MAX(0,$B40-$J40))</f>
        <v/>
      </c>
      <c r="L40" s="19" t="str">
        <f aca="false">IF($A40="","",IF($B40=0,0,$K40/$B40))</f>
        <v/>
      </c>
      <c r="M40" s="20" t="str">
        <f aca="false">IF($A40="","",IF($J40&lt;0,"BORCA BATIK",IF($I40&lt;$H40,"BORCA BATIK",IF($L40&gt;=TtkUcteIkiEsik,"2/3 KAYIP (KRİTİK)",IF($L40&gt;=TtkUcteBirEsik,"1/3 KAYIP (DİKKAT)","UYGUN")))))</f>
        <v/>
      </c>
    </row>
    <row r="41" customFormat="false" ht="15" hidden="false" customHeight="false" outlineLevel="0" collapsed="false">
      <c r="A41" s="21"/>
      <c r="B41" s="17"/>
      <c r="C41" s="17"/>
      <c r="D41" s="17"/>
      <c r="E41" s="17"/>
      <c r="F41" s="17"/>
      <c r="G41" s="17"/>
      <c r="H41" s="17"/>
      <c r="I41" s="17"/>
      <c r="J41" s="18" t="str">
        <f aca="false">IF($A41="","",$B41+$C41+$D41-$E41+$F41-$G41)</f>
        <v/>
      </c>
      <c r="K41" s="18" t="str">
        <f aca="false">IF($A41="","",MAX(0,$B41-$J41))</f>
        <v/>
      </c>
      <c r="L41" s="19" t="str">
        <f aca="false">IF($A41="","",IF($B41=0,0,$K41/$B41))</f>
        <v/>
      </c>
      <c r="M41" s="20" t="str">
        <f aca="false">IF($A41="","",IF($J41&lt;0,"BORCA BATIK",IF($I41&lt;$H41,"BORCA BATIK",IF($L41&gt;=TtkUcteIkiEsik,"2/3 KAYIP (KRİTİK)",IF($L41&gt;=TtkUcteBirEsik,"1/3 KAYIP (DİKKAT)","UYGUN")))))</f>
        <v/>
      </c>
    </row>
    <row r="42" customFormat="false" ht="15" hidden="false" customHeight="false" outlineLevel="0" collapsed="false">
      <c r="A42" s="21"/>
      <c r="B42" s="17"/>
      <c r="C42" s="17"/>
      <c r="D42" s="17"/>
      <c r="E42" s="17"/>
      <c r="F42" s="17"/>
      <c r="G42" s="17"/>
      <c r="H42" s="17"/>
      <c r="I42" s="17"/>
      <c r="J42" s="18" t="str">
        <f aca="false">IF($A42="","",$B42+$C42+$D42-$E42+$F42-$G42)</f>
        <v/>
      </c>
      <c r="K42" s="18" t="str">
        <f aca="false">IF($A42="","",MAX(0,$B42-$J42))</f>
        <v/>
      </c>
      <c r="L42" s="19" t="str">
        <f aca="false">IF($A42="","",IF($B42=0,0,$K42/$B42))</f>
        <v/>
      </c>
      <c r="M42" s="20" t="str">
        <f aca="false">IF($A42="","",IF($J42&lt;0,"BORCA BATIK",IF($I42&lt;$H42,"BORCA BATIK",IF($L42&gt;=TtkUcteIkiEsik,"2/3 KAYIP (KRİTİK)",IF($L42&gt;=TtkUcteBirEsik,"1/3 KAYIP (DİKKAT)","UYGUN")))))</f>
        <v/>
      </c>
    </row>
    <row r="43" customFormat="false" ht="15" hidden="false" customHeight="false" outlineLevel="0" collapsed="false">
      <c r="A43" s="21"/>
      <c r="B43" s="17"/>
      <c r="C43" s="17"/>
      <c r="D43" s="17"/>
      <c r="E43" s="17"/>
      <c r="F43" s="17"/>
      <c r="G43" s="17"/>
      <c r="H43" s="17"/>
      <c r="I43" s="17"/>
      <c r="J43" s="18" t="str">
        <f aca="false">IF($A43="","",$B43+$C43+$D43-$E43+$F43-$G43)</f>
        <v/>
      </c>
      <c r="K43" s="18" t="str">
        <f aca="false">IF($A43="","",MAX(0,$B43-$J43))</f>
        <v/>
      </c>
      <c r="L43" s="19" t="str">
        <f aca="false">IF($A43="","",IF($B43=0,0,$K43/$B43))</f>
        <v/>
      </c>
      <c r="M43" s="20" t="str">
        <f aca="false">IF($A43="","",IF($J43&lt;0,"BORCA BATIK",IF($I43&lt;$H43,"BORCA BATIK",IF($L43&gt;=TtkUcteIkiEsik,"2/3 KAYIP (KRİTİK)",IF($L43&gt;=TtkUcteBirEsik,"1/3 KAYIP (DİKKAT)","UYGUN")))))</f>
        <v/>
      </c>
    </row>
    <row r="44" customFormat="false" ht="15" hidden="false" customHeight="false" outlineLevel="0" collapsed="false">
      <c r="A44" s="21"/>
      <c r="B44" s="17"/>
      <c r="C44" s="17"/>
      <c r="D44" s="17"/>
      <c r="E44" s="17"/>
      <c r="F44" s="17"/>
      <c r="G44" s="17"/>
      <c r="H44" s="17"/>
      <c r="I44" s="17"/>
      <c r="J44" s="18" t="str">
        <f aca="false">IF($A44="","",$B44+$C44+$D44-$E44+$F44-$G44)</f>
        <v/>
      </c>
      <c r="K44" s="18" t="str">
        <f aca="false">IF($A44="","",MAX(0,$B44-$J44))</f>
        <v/>
      </c>
      <c r="L44" s="19" t="str">
        <f aca="false">IF($A44="","",IF($B44=0,0,$K44/$B44))</f>
        <v/>
      </c>
      <c r="M44" s="20" t="str">
        <f aca="false">IF($A44="","",IF($J44&lt;0,"BORCA BATIK",IF($I44&lt;$H44,"BORCA BATIK",IF($L44&gt;=TtkUcteIkiEsik,"2/3 KAYIP (KRİTİK)",IF($L44&gt;=TtkUcteBirEsik,"1/3 KAYIP (DİKKAT)","UYGUN")))))</f>
        <v/>
      </c>
    </row>
    <row r="45" customFormat="false" ht="15" hidden="false" customHeight="false" outlineLevel="0" collapsed="false">
      <c r="A45" s="21"/>
      <c r="B45" s="17"/>
      <c r="C45" s="17"/>
      <c r="D45" s="17"/>
      <c r="E45" s="17"/>
      <c r="F45" s="17"/>
      <c r="G45" s="17"/>
      <c r="H45" s="17"/>
      <c r="I45" s="17"/>
      <c r="J45" s="18" t="str">
        <f aca="false">IF($A45="","",$B45+$C45+$D45-$E45+$F45-$G45)</f>
        <v/>
      </c>
      <c r="K45" s="18" t="str">
        <f aca="false">IF($A45="","",MAX(0,$B45-$J45))</f>
        <v/>
      </c>
      <c r="L45" s="19" t="str">
        <f aca="false">IF($A45="","",IF($B45=0,0,$K45/$B45))</f>
        <v/>
      </c>
      <c r="M45" s="20" t="str">
        <f aca="false">IF($A45="","",IF($J45&lt;0,"BORCA BATIK",IF($I45&lt;$H45,"BORCA BATIK",IF($L45&gt;=TtkUcteIkiEsik,"2/3 KAYIP (KRİTİK)",IF($L45&gt;=TtkUcteBirEsik,"1/3 KAYIP (DİKKAT)","UYGUN")))))</f>
        <v/>
      </c>
    </row>
    <row r="46" customFormat="false" ht="15" hidden="false" customHeight="false" outlineLevel="0" collapsed="false">
      <c r="A46" s="21"/>
      <c r="B46" s="17"/>
      <c r="C46" s="17"/>
      <c r="D46" s="17"/>
      <c r="E46" s="17"/>
      <c r="F46" s="17"/>
      <c r="G46" s="17"/>
      <c r="H46" s="17"/>
      <c r="I46" s="17"/>
      <c r="J46" s="18" t="str">
        <f aca="false">IF($A46="","",$B46+$C46+$D46-$E46+$F46-$G46)</f>
        <v/>
      </c>
      <c r="K46" s="18" t="str">
        <f aca="false">IF($A46="","",MAX(0,$B46-$J46))</f>
        <v/>
      </c>
      <c r="L46" s="19" t="str">
        <f aca="false">IF($A46="","",IF($B46=0,0,$K46/$B46))</f>
        <v/>
      </c>
      <c r="M46" s="20" t="str">
        <f aca="false">IF($A46="","",IF($J46&lt;0,"BORCA BATIK",IF($I46&lt;$H46,"BORCA BATIK",IF($L46&gt;=TtkUcteIkiEsik,"2/3 KAYIP (KRİTİK)",IF($L46&gt;=TtkUcteBirEsik,"1/3 KAYIP (DİKKAT)","UYGUN")))))</f>
        <v/>
      </c>
    </row>
    <row r="47" customFormat="false" ht="15" hidden="false" customHeight="false" outlineLevel="0" collapsed="false">
      <c r="A47" s="21"/>
      <c r="B47" s="17"/>
      <c r="C47" s="17"/>
      <c r="D47" s="17"/>
      <c r="E47" s="17"/>
      <c r="F47" s="17"/>
      <c r="G47" s="17"/>
      <c r="H47" s="17"/>
      <c r="I47" s="17"/>
      <c r="J47" s="18" t="str">
        <f aca="false">IF($A47="","",$B47+$C47+$D47-$E47+$F47-$G47)</f>
        <v/>
      </c>
      <c r="K47" s="18" t="str">
        <f aca="false">IF($A47="","",MAX(0,$B47-$J47))</f>
        <v/>
      </c>
      <c r="L47" s="19" t="str">
        <f aca="false">IF($A47="","",IF($B47=0,0,$K47/$B47))</f>
        <v/>
      </c>
      <c r="M47" s="20" t="str">
        <f aca="false">IF($A47="","",IF($J47&lt;0,"BORCA BATIK",IF($I47&lt;$H47,"BORCA BATIK",IF($L47&gt;=TtkUcteIkiEsik,"2/3 KAYIP (KRİTİK)",IF($L47&gt;=TtkUcteBirEsik,"1/3 KAYIP (DİKKAT)","UYGUN")))))</f>
        <v/>
      </c>
    </row>
    <row r="48" customFormat="false" ht="15" hidden="false" customHeight="false" outlineLevel="0" collapsed="false">
      <c r="A48" s="21"/>
      <c r="B48" s="17"/>
      <c r="C48" s="17"/>
      <c r="D48" s="17"/>
      <c r="E48" s="17"/>
      <c r="F48" s="17"/>
      <c r="G48" s="17"/>
      <c r="H48" s="17"/>
      <c r="I48" s="17"/>
      <c r="J48" s="18" t="str">
        <f aca="false">IF($A48="","",$B48+$C48+$D48-$E48+$F48-$G48)</f>
        <v/>
      </c>
      <c r="K48" s="18" t="str">
        <f aca="false">IF($A48="","",MAX(0,$B48-$J48))</f>
        <v/>
      </c>
      <c r="L48" s="19" t="str">
        <f aca="false">IF($A48="","",IF($B48=0,0,$K48/$B48))</f>
        <v/>
      </c>
      <c r="M48" s="20" t="str">
        <f aca="false">IF($A48="","",IF($J48&lt;0,"BORCA BATIK",IF($I48&lt;$H48,"BORCA BATIK",IF($L48&gt;=TtkUcteIkiEsik,"2/3 KAYIP (KRİTİK)",IF($L48&gt;=TtkUcteBirEsik,"1/3 KAYIP (DİKKAT)","UYGUN")))))</f>
        <v/>
      </c>
    </row>
    <row r="49" customFormat="false" ht="15" hidden="false" customHeight="false" outlineLevel="0" collapsed="false">
      <c r="A49" s="21"/>
      <c r="B49" s="17"/>
      <c r="C49" s="17"/>
      <c r="D49" s="17"/>
      <c r="E49" s="17"/>
      <c r="F49" s="17"/>
      <c r="G49" s="17"/>
      <c r="H49" s="17"/>
      <c r="I49" s="17"/>
      <c r="J49" s="18" t="str">
        <f aca="false">IF($A49="","",$B49+$C49+$D49-$E49+$F49-$G49)</f>
        <v/>
      </c>
      <c r="K49" s="18" t="str">
        <f aca="false">IF($A49="","",MAX(0,$B49-$J49))</f>
        <v/>
      </c>
      <c r="L49" s="19" t="str">
        <f aca="false">IF($A49="","",IF($B49=0,0,$K49/$B49))</f>
        <v/>
      </c>
      <c r="M49" s="20" t="str">
        <f aca="false">IF($A49="","",IF($J49&lt;0,"BORCA BATIK",IF($I49&lt;$H49,"BORCA BATIK",IF($L49&gt;=TtkUcteIkiEsik,"2/3 KAYIP (KRİTİK)",IF($L49&gt;=TtkUcteBirEsik,"1/3 KAYIP (DİKKAT)","UYGUN")))))</f>
        <v/>
      </c>
    </row>
    <row r="50" customFormat="false" ht="15" hidden="false" customHeight="false" outlineLevel="0" collapsed="false">
      <c r="A50" s="21"/>
      <c r="B50" s="17"/>
      <c r="C50" s="17"/>
      <c r="D50" s="17"/>
      <c r="E50" s="17"/>
      <c r="F50" s="17"/>
      <c r="G50" s="17"/>
      <c r="H50" s="17"/>
      <c r="I50" s="17"/>
      <c r="J50" s="18" t="str">
        <f aca="false">IF($A50="","",$B50+$C50+$D50-$E50+$F50-$G50)</f>
        <v/>
      </c>
      <c r="K50" s="18" t="str">
        <f aca="false">IF($A50="","",MAX(0,$B50-$J50))</f>
        <v/>
      </c>
      <c r="L50" s="19" t="str">
        <f aca="false">IF($A50="","",IF($B50=0,0,$K50/$B50))</f>
        <v/>
      </c>
      <c r="M50" s="20" t="str">
        <f aca="false">IF($A50="","",IF($J50&lt;0,"BORCA BATIK",IF($I50&lt;$H50,"BORCA BATIK",IF($L50&gt;=TtkUcteIkiEsik,"2/3 KAYIP (KRİTİK)",IF($L50&gt;=TtkUcteBirEsik,"1/3 KAYIP (DİKKAT)","UYGUN")))))</f>
        <v/>
      </c>
    </row>
    <row r="51" customFormat="false" ht="15" hidden="false" customHeight="false" outlineLevel="0" collapsed="false">
      <c r="A51" s="21"/>
      <c r="B51" s="17"/>
      <c r="C51" s="17"/>
      <c r="D51" s="17"/>
      <c r="E51" s="17"/>
      <c r="F51" s="17"/>
      <c r="G51" s="17"/>
      <c r="H51" s="17"/>
      <c r="I51" s="17"/>
      <c r="J51" s="18" t="str">
        <f aca="false">IF($A51="","",$B51+$C51+$D51-$E51+$F51-$G51)</f>
        <v/>
      </c>
      <c r="K51" s="18" t="str">
        <f aca="false">IF($A51="","",MAX(0,$B51-$J51))</f>
        <v/>
      </c>
      <c r="L51" s="19" t="str">
        <f aca="false">IF($A51="","",IF($B51=0,0,$K51/$B51))</f>
        <v/>
      </c>
      <c r="M51" s="20" t="str">
        <f aca="false">IF($A51="","",IF($J51&lt;0,"BORCA BATIK",IF($I51&lt;$H51,"BORCA BATIK",IF($L51&gt;=TtkUcteIkiEsik,"2/3 KAYIP (KRİTİK)",IF($L51&gt;=TtkUcteBirEsik,"1/3 KAYIP (DİKKAT)","UYGUN")))))</f>
        <v/>
      </c>
    </row>
    <row r="52" customFormat="false" ht="15" hidden="false" customHeight="false" outlineLevel="0" collapsed="false">
      <c r="A52" s="21"/>
      <c r="B52" s="17"/>
      <c r="C52" s="17"/>
      <c r="D52" s="17"/>
      <c r="E52" s="17"/>
      <c r="F52" s="17"/>
      <c r="G52" s="17"/>
      <c r="H52" s="17"/>
      <c r="I52" s="17"/>
      <c r="J52" s="18" t="str">
        <f aca="false">IF($A52="","",$B52+$C52+$D52-$E52+$F52-$G52)</f>
        <v/>
      </c>
      <c r="K52" s="18" t="str">
        <f aca="false">IF($A52="","",MAX(0,$B52-$J52))</f>
        <v/>
      </c>
      <c r="L52" s="19" t="str">
        <f aca="false">IF($A52="","",IF($B52=0,0,$K52/$B52))</f>
        <v/>
      </c>
      <c r="M52" s="20" t="str">
        <f aca="false">IF($A52="","",IF($J52&lt;0,"BORCA BATIK",IF($I52&lt;$H52,"BORCA BATIK",IF($L52&gt;=TtkUcteIkiEsik,"2/3 KAYIP (KRİTİK)",IF($L52&gt;=TtkUcteBirEsik,"1/3 KAYIP (DİKKAT)","UYGUN")))))</f>
        <v/>
      </c>
    </row>
    <row r="53" customFormat="false" ht="15" hidden="false" customHeight="false" outlineLevel="0" collapsed="false">
      <c r="A53" s="21"/>
      <c r="B53" s="17"/>
      <c r="C53" s="17"/>
      <c r="D53" s="17"/>
      <c r="E53" s="17"/>
      <c r="F53" s="17"/>
      <c r="G53" s="17"/>
      <c r="H53" s="17"/>
      <c r="I53" s="17"/>
      <c r="J53" s="18" t="str">
        <f aca="false">IF($A53="","",$B53+$C53+$D53-$E53+$F53-$G53)</f>
        <v/>
      </c>
      <c r="K53" s="18" t="str">
        <f aca="false">IF($A53="","",MAX(0,$B53-$J53))</f>
        <v/>
      </c>
      <c r="L53" s="19" t="str">
        <f aca="false">IF($A53="","",IF($B53=0,0,$K53/$B53))</f>
        <v/>
      </c>
      <c r="M53" s="20" t="str">
        <f aca="false">IF($A53="","",IF($J53&lt;0,"BORCA BATIK",IF($I53&lt;$H53,"BORCA BATIK",IF($L53&gt;=TtkUcteIkiEsik,"2/3 KAYIP (KRİTİK)",IF($L53&gt;=TtkUcteBirEsik,"1/3 KAYIP (DİKKAT)","UYGUN")))))</f>
        <v/>
      </c>
    </row>
    <row r="54" customFormat="false" ht="15" hidden="false" customHeight="false" outlineLevel="0" collapsed="false">
      <c r="A54" s="21"/>
      <c r="B54" s="17"/>
      <c r="C54" s="17"/>
      <c r="D54" s="17"/>
      <c r="E54" s="17"/>
      <c r="F54" s="17"/>
      <c r="G54" s="17"/>
      <c r="H54" s="17"/>
      <c r="I54" s="17"/>
      <c r="J54" s="18" t="str">
        <f aca="false">IF($A54="","",$B54+$C54+$D54-$E54+$F54-$G54)</f>
        <v/>
      </c>
      <c r="K54" s="18" t="str">
        <f aca="false">IF($A54="","",MAX(0,$B54-$J54))</f>
        <v/>
      </c>
      <c r="L54" s="19" t="str">
        <f aca="false">IF($A54="","",IF($B54=0,0,$K54/$B54))</f>
        <v/>
      </c>
      <c r="M54" s="20" t="str">
        <f aca="false">IF($A54="","",IF($J54&lt;0,"BORCA BATIK",IF($I54&lt;$H54,"BORCA BATIK",IF($L54&gt;=TtkUcteIkiEsik,"2/3 KAYIP (KRİTİK)",IF($L54&gt;=TtkUcteBirEsik,"1/3 KAYIP (DİKKAT)","UYGUN")))))</f>
        <v/>
      </c>
    </row>
    <row r="55" customFormat="false" ht="15" hidden="false" customHeight="false" outlineLevel="0" collapsed="false">
      <c r="A55" s="21"/>
      <c r="B55" s="17"/>
      <c r="C55" s="17"/>
      <c r="D55" s="17"/>
      <c r="E55" s="17"/>
      <c r="F55" s="17"/>
      <c r="G55" s="17"/>
      <c r="H55" s="17"/>
      <c r="I55" s="17"/>
      <c r="J55" s="18" t="str">
        <f aca="false">IF($A55="","",$B55+$C55+$D55-$E55+$F55-$G55)</f>
        <v/>
      </c>
      <c r="K55" s="18" t="str">
        <f aca="false">IF($A55="","",MAX(0,$B55-$J55))</f>
        <v/>
      </c>
      <c r="L55" s="19" t="str">
        <f aca="false">IF($A55="","",IF($B55=0,0,$K55/$B55))</f>
        <v/>
      </c>
      <c r="M55" s="20" t="str">
        <f aca="false">IF($A55="","",IF($J55&lt;0,"BORCA BATIK",IF($I55&lt;$H55,"BORCA BATIK",IF($L55&gt;=TtkUcteIkiEsik,"2/3 KAYIP (KRİTİK)",IF($L55&gt;=TtkUcteBirEsik,"1/3 KAYIP (DİKKAT)","UYGUN")))))</f>
        <v/>
      </c>
    </row>
    <row r="56" customFormat="false" ht="15" hidden="false" customHeight="false" outlineLevel="0" collapsed="false">
      <c r="A56" s="21"/>
      <c r="B56" s="17"/>
      <c r="C56" s="17"/>
      <c r="D56" s="17"/>
      <c r="E56" s="17"/>
      <c r="F56" s="17"/>
      <c r="G56" s="17"/>
      <c r="H56" s="17"/>
      <c r="I56" s="17"/>
      <c r="J56" s="18" t="str">
        <f aca="false">IF($A56="","",$B56+$C56+$D56-$E56+$F56-$G56)</f>
        <v/>
      </c>
      <c r="K56" s="18" t="str">
        <f aca="false">IF($A56="","",MAX(0,$B56-$J56))</f>
        <v/>
      </c>
      <c r="L56" s="19" t="str">
        <f aca="false">IF($A56="","",IF($B56=0,0,$K56/$B56))</f>
        <v/>
      </c>
      <c r="M56" s="20" t="str">
        <f aca="false">IF($A56="","",IF($J56&lt;0,"BORCA BATIK",IF($I56&lt;$H56,"BORCA BATIK",IF($L56&gt;=TtkUcteIkiEsik,"2/3 KAYIP (KRİTİK)",IF($L56&gt;=TtkUcteBirEsik,"1/3 KAYIP (DİKKAT)","UYGUN")))))</f>
        <v/>
      </c>
    </row>
    <row r="57" customFormat="false" ht="15" hidden="false" customHeight="false" outlineLevel="0" collapsed="false">
      <c r="A57" s="21"/>
      <c r="B57" s="17"/>
      <c r="C57" s="17"/>
      <c r="D57" s="17"/>
      <c r="E57" s="17"/>
      <c r="F57" s="17"/>
      <c r="G57" s="17"/>
      <c r="H57" s="17"/>
      <c r="I57" s="17"/>
      <c r="J57" s="18" t="str">
        <f aca="false">IF($A57="","",$B57+$C57+$D57-$E57+$F57-$G57)</f>
        <v/>
      </c>
      <c r="K57" s="18" t="str">
        <f aca="false">IF($A57="","",MAX(0,$B57-$J57))</f>
        <v/>
      </c>
      <c r="L57" s="19" t="str">
        <f aca="false">IF($A57="","",IF($B57=0,0,$K57/$B57))</f>
        <v/>
      </c>
      <c r="M57" s="20" t="str">
        <f aca="false">IF($A57="","",IF($J57&lt;0,"BORCA BATIK",IF($I57&lt;$H57,"BORCA BATIK",IF($L57&gt;=TtkUcteIkiEsik,"2/3 KAYIP (KRİTİK)",IF($L57&gt;=TtkUcteBirEsik,"1/3 KAYIP (DİKKAT)","UYGUN")))))</f>
        <v/>
      </c>
    </row>
    <row r="58" customFormat="false" ht="15" hidden="false" customHeight="false" outlineLevel="0" collapsed="false">
      <c r="A58" s="21"/>
      <c r="B58" s="17"/>
      <c r="C58" s="17"/>
      <c r="D58" s="17"/>
      <c r="E58" s="17"/>
      <c r="F58" s="17"/>
      <c r="G58" s="17"/>
      <c r="H58" s="17"/>
      <c r="I58" s="17"/>
      <c r="J58" s="18" t="str">
        <f aca="false">IF($A58="","",$B58+$C58+$D58-$E58+$F58-$G58)</f>
        <v/>
      </c>
      <c r="K58" s="18" t="str">
        <f aca="false">IF($A58="","",MAX(0,$B58-$J58))</f>
        <v/>
      </c>
      <c r="L58" s="19" t="str">
        <f aca="false">IF($A58="","",IF($B58=0,0,$K58/$B58))</f>
        <v/>
      </c>
      <c r="M58" s="20" t="str">
        <f aca="false">IF($A58="","",IF($J58&lt;0,"BORCA BATIK",IF($I58&lt;$H58,"BORCA BATIK",IF($L58&gt;=TtkUcteIkiEsik,"2/3 KAYIP (KRİTİK)",IF($L58&gt;=TtkUcteBirEsik,"1/3 KAYIP (DİKKAT)","UYGUN")))))</f>
        <v/>
      </c>
    </row>
    <row r="59" customFormat="false" ht="15" hidden="false" customHeight="false" outlineLevel="0" collapsed="false">
      <c r="A59" s="21"/>
      <c r="B59" s="17"/>
      <c r="C59" s="17"/>
      <c r="D59" s="17"/>
      <c r="E59" s="17"/>
      <c r="F59" s="17"/>
      <c r="G59" s="17"/>
      <c r="H59" s="17"/>
      <c r="I59" s="17"/>
      <c r="J59" s="18" t="str">
        <f aca="false">IF($A59="","",$B59+$C59+$D59-$E59+$F59-$G59)</f>
        <v/>
      </c>
      <c r="K59" s="18" t="str">
        <f aca="false">IF($A59="","",MAX(0,$B59-$J59))</f>
        <v/>
      </c>
      <c r="L59" s="19" t="str">
        <f aca="false">IF($A59="","",IF($B59=0,0,$K59/$B59))</f>
        <v/>
      </c>
      <c r="M59" s="20" t="str">
        <f aca="false">IF($A59="","",IF($J59&lt;0,"BORCA BATIK",IF($I59&lt;$H59,"BORCA BATIK",IF($L59&gt;=TtkUcteIkiEsik,"2/3 KAYIP (KRİTİK)",IF($L59&gt;=TtkUcteBirEsik,"1/3 KAYIP (DİKKAT)","UYGUN")))))</f>
        <v/>
      </c>
    </row>
    <row r="60" customFormat="false" ht="15" hidden="false" customHeight="false" outlineLevel="0" collapsed="false">
      <c r="A60" s="21"/>
      <c r="B60" s="17"/>
      <c r="C60" s="17"/>
      <c r="D60" s="17"/>
      <c r="E60" s="17"/>
      <c r="F60" s="17"/>
      <c r="G60" s="17"/>
      <c r="H60" s="17"/>
      <c r="I60" s="17"/>
      <c r="J60" s="18" t="str">
        <f aca="false">IF($A60="","",$B60+$C60+$D60-$E60+$F60-$G60)</f>
        <v/>
      </c>
      <c r="K60" s="18" t="str">
        <f aca="false">IF($A60="","",MAX(0,$B60-$J60))</f>
        <v/>
      </c>
      <c r="L60" s="19" t="str">
        <f aca="false">IF($A60="","",IF($B60=0,0,$K60/$B60))</f>
        <v/>
      </c>
      <c r="M60" s="20" t="str">
        <f aca="false">IF($A60="","",IF($J60&lt;0,"BORCA BATIK",IF($I60&lt;$H60,"BORCA BATIK",IF($L60&gt;=TtkUcteIkiEsik,"2/3 KAYIP (KRİTİK)",IF($L60&gt;=TtkUcteBirEsik,"1/3 KAYIP (DİKKAT)","UYGUN")))))</f>
        <v/>
      </c>
    </row>
    <row r="61" customFormat="false" ht="15" hidden="false" customHeight="false" outlineLevel="0" collapsed="false">
      <c r="A61" s="21"/>
      <c r="B61" s="17"/>
      <c r="C61" s="17"/>
      <c r="D61" s="17"/>
      <c r="E61" s="17"/>
      <c r="F61" s="17"/>
      <c r="G61" s="17"/>
      <c r="H61" s="17"/>
      <c r="I61" s="17"/>
      <c r="J61" s="18" t="str">
        <f aca="false">IF($A61="","",$B61+$C61+$D61-$E61+$F61-$G61)</f>
        <v/>
      </c>
      <c r="K61" s="18" t="str">
        <f aca="false">IF($A61="","",MAX(0,$B61-$J61))</f>
        <v/>
      </c>
      <c r="L61" s="19" t="str">
        <f aca="false">IF($A61="","",IF($B61=0,0,$K61/$B61))</f>
        <v/>
      </c>
      <c r="M61" s="20" t="str">
        <f aca="false">IF($A61="","",IF($J61&lt;0,"BORCA BATIK",IF($I61&lt;$H61,"BORCA BATIK",IF($L61&gt;=TtkUcteIkiEsik,"2/3 KAYIP (KRİTİK)",IF($L61&gt;=TtkUcteBirEsik,"1/3 KAYIP (DİKKAT)","UYGUN")))))</f>
        <v/>
      </c>
    </row>
    <row r="62" customFormat="false" ht="15" hidden="false" customHeight="false" outlineLevel="0" collapsed="false">
      <c r="A62" s="21"/>
      <c r="B62" s="17"/>
      <c r="C62" s="17"/>
      <c r="D62" s="17"/>
      <c r="E62" s="17"/>
      <c r="F62" s="17"/>
      <c r="G62" s="17"/>
      <c r="H62" s="17"/>
      <c r="I62" s="17"/>
      <c r="J62" s="18" t="str">
        <f aca="false">IF($A62="","",$B62+$C62+$D62-$E62+$F62-$G62)</f>
        <v/>
      </c>
      <c r="K62" s="18" t="str">
        <f aca="false">IF($A62="","",MAX(0,$B62-$J62))</f>
        <v/>
      </c>
      <c r="L62" s="19" t="str">
        <f aca="false">IF($A62="","",IF($B62=0,0,$K62/$B62))</f>
        <v/>
      </c>
      <c r="M62" s="20" t="str">
        <f aca="false">IF($A62="","",IF($J62&lt;0,"BORCA BATIK",IF($I62&lt;$H62,"BORCA BATIK",IF($L62&gt;=TtkUcteIkiEsik,"2/3 KAYIP (KRİTİK)",IF($L62&gt;=TtkUcteBirEsik,"1/3 KAYIP (DİKKAT)","UYGUN")))))</f>
        <v/>
      </c>
    </row>
    <row r="63" customFormat="false" ht="15" hidden="false" customHeight="false" outlineLevel="0" collapsed="false">
      <c r="A63" s="21"/>
      <c r="B63" s="17"/>
      <c r="C63" s="17"/>
      <c r="D63" s="17"/>
      <c r="E63" s="17"/>
      <c r="F63" s="17"/>
      <c r="G63" s="17"/>
      <c r="H63" s="17"/>
      <c r="I63" s="17"/>
      <c r="J63" s="18" t="str">
        <f aca="false">IF($A63="","",$B63+$C63+$D63-$E63+$F63-$G63)</f>
        <v/>
      </c>
      <c r="K63" s="18" t="str">
        <f aca="false">IF($A63="","",MAX(0,$B63-$J63))</f>
        <v/>
      </c>
      <c r="L63" s="19" t="str">
        <f aca="false">IF($A63="","",IF($B63=0,0,$K63/$B63))</f>
        <v/>
      </c>
      <c r="M63" s="20" t="str">
        <f aca="false">IF($A63="","",IF($J63&lt;0,"BORCA BATIK",IF($I63&lt;$H63,"BORCA BATIK",IF($L63&gt;=TtkUcteIkiEsik,"2/3 KAYIP (KRİTİK)",IF($L63&gt;=TtkUcteBirEsik,"1/3 KAYIP (DİKKAT)","UYGUN")))))</f>
        <v/>
      </c>
    </row>
    <row r="64" customFormat="false" ht="15" hidden="false" customHeight="false" outlineLevel="0" collapsed="false">
      <c r="A64" s="21"/>
      <c r="B64" s="17"/>
      <c r="C64" s="17"/>
      <c r="D64" s="17"/>
      <c r="E64" s="17"/>
      <c r="F64" s="17"/>
      <c r="G64" s="17"/>
      <c r="H64" s="17"/>
      <c r="I64" s="17"/>
      <c r="J64" s="18" t="str">
        <f aca="false">IF($A64="","",$B64+$C64+$D64-$E64+$F64-$G64)</f>
        <v/>
      </c>
      <c r="K64" s="18" t="str">
        <f aca="false">IF($A64="","",MAX(0,$B64-$J64))</f>
        <v/>
      </c>
      <c r="L64" s="19" t="str">
        <f aca="false">IF($A64="","",IF($B64=0,0,$K64/$B64))</f>
        <v/>
      </c>
      <c r="M64" s="20" t="str">
        <f aca="false">IF($A64="","",IF($J64&lt;0,"BORCA BATIK",IF($I64&lt;$H64,"BORCA BATIK",IF($L64&gt;=TtkUcteIkiEsik,"2/3 KAYIP (KRİTİK)",IF($L64&gt;=TtkUcteBirEsik,"1/3 KAYIP (DİKKAT)","UYGUN")))))</f>
        <v/>
      </c>
    </row>
    <row r="65" customFormat="false" ht="15" hidden="false" customHeight="false" outlineLevel="0" collapsed="false">
      <c r="A65" s="21"/>
      <c r="B65" s="17"/>
      <c r="C65" s="17"/>
      <c r="D65" s="17"/>
      <c r="E65" s="17"/>
      <c r="F65" s="17"/>
      <c r="G65" s="17"/>
      <c r="H65" s="17"/>
      <c r="I65" s="17"/>
      <c r="J65" s="18" t="str">
        <f aca="false">IF($A65="","",$B65+$C65+$D65-$E65+$F65-$G65)</f>
        <v/>
      </c>
      <c r="K65" s="18" t="str">
        <f aca="false">IF($A65="","",MAX(0,$B65-$J65))</f>
        <v/>
      </c>
      <c r="L65" s="19" t="str">
        <f aca="false">IF($A65="","",IF($B65=0,0,$K65/$B65))</f>
        <v/>
      </c>
      <c r="M65" s="20" t="str">
        <f aca="false">IF($A65="","",IF($J65&lt;0,"BORCA BATIK",IF($I65&lt;$H65,"BORCA BATIK",IF($L65&gt;=TtkUcteIkiEsik,"2/3 KAYIP (KRİTİK)",IF($L65&gt;=TtkUcteBirEsik,"1/3 KAYIP (DİKKAT)","UYGUN")))))</f>
        <v/>
      </c>
    </row>
    <row r="66" customFormat="false" ht="15" hidden="false" customHeight="false" outlineLevel="0" collapsed="false">
      <c r="A66" s="21"/>
      <c r="B66" s="17"/>
      <c r="C66" s="17"/>
      <c r="D66" s="17"/>
      <c r="E66" s="17"/>
      <c r="F66" s="17"/>
      <c r="G66" s="17"/>
      <c r="H66" s="17"/>
      <c r="I66" s="17"/>
      <c r="J66" s="18" t="str">
        <f aca="false">IF($A66="","",$B66+$C66+$D66-$E66+$F66-$G66)</f>
        <v/>
      </c>
      <c r="K66" s="18" t="str">
        <f aca="false">IF($A66="","",MAX(0,$B66-$J66))</f>
        <v/>
      </c>
      <c r="L66" s="19" t="str">
        <f aca="false">IF($A66="","",IF($B66=0,0,$K66/$B66))</f>
        <v/>
      </c>
      <c r="M66" s="20" t="str">
        <f aca="false">IF($A66="","",IF($J66&lt;0,"BORCA BATIK",IF($I66&lt;$H66,"BORCA BATIK",IF($L66&gt;=TtkUcteIkiEsik,"2/3 KAYIP (KRİTİK)",IF($L66&gt;=TtkUcteBirEsik,"1/3 KAYIP (DİKKAT)","UYGUN")))))</f>
        <v/>
      </c>
    </row>
    <row r="67" customFormat="false" ht="15" hidden="false" customHeight="false" outlineLevel="0" collapsed="false">
      <c r="A67" s="21"/>
      <c r="B67" s="17"/>
      <c r="C67" s="17"/>
      <c r="D67" s="17"/>
      <c r="E67" s="17"/>
      <c r="F67" s="17"/>
      <c r="G67" s="17"/>
      <c r="H67" s="17"/>
      <c r="I67" s="17"/>
      <c r="J67" s="18" t="str">
        <f aca="false">IF($A67="","",$B67+$C67+$D67-$E67+$F67-$G67)</f>
        <v/>
      </c>
      <c r="K67" s="18" t="str">
        <f aca="false">IF($A67="","",MAX(0,$B67-$J67))</f>
        <v/>
      </c>
      <c r="L67" s="19" t="str">
        <f aca="false">IF($A67="","",IF($B67=0,0,$K67/$B67))</f>
        <v/>
      </c>
      <c r="M67" s="20" t="str">
        <f aca="false">IF($A67="","",IF($J67&lt;0,"BORCA BATIK",IF($I67&lt;$H67,"BORCA BATIK",IF($L67&gt;=TtkUcteIkiEsik,"2/3 KAYIP (KRİTİK)",IF($L67&gt;=TtkUcteBirEsik,"1/3 KAYIP (DİKKAT)","UYGUN")))))</f>
        <v/>
      </c>
    </row>
    <row r="68" customFormat="false" ht="15" hidden="false" customHeight="false" outlineLevel="0" collapsed="false">
      <c r="A68" s="21"/>
      <c r="B68" s="17"/>
      <c r="C68" s="17"/>
      <c r="D68" s="17"/>
      <c r="E68" s="17"/>
      <c r="F68" s="17"/>
      <c r="G68" s="17"/>
      <c r="H68" s="17"/>
      <c r="I68" s="17"/>
      <c r="J68" s="18" t="str">
        <f aca="false">IF($A68="","",$B68+$C68+$D68-$E68+$F68-$G68)</f>
        <v/>
      </c>
      <c r="K68" s="18" t="str">
        <f aca="false">IF($A68="","",MAX(0,$B68-$J68))</f>
        <v/>
      </c>
      <c r="L68" s="19" t="str">
        <f aca="false">IF($A68="","",IF($B68=0,0,$K68/$B68))</f>
        <v/>
      </c>
      <c r="M68" s="20" t="str">
        <f aca="false">IF($A68="","",IF($J68&lt;0,"BORCA BATIK",IF($I68&lt;$H68,"BORCA BATIK",IF($L68&gt;=TtkUcteIkiEsik,"2/3 KAYIP (KRİTİK)",IF($L68&gt;=TtkUcteBirEsik,"1/3 KAYIP (DİKKAT)","UYGUN")))))</f>
        <v/>
      </c>
    </row>
    <row r="69" customFormat="false" ht="15" hidden="false" customHeight="false" outlineLevel="0" collapsed="false">
      <c r="A69" s="21"/>
      <c r="B69" s="17"/>
      <c r="C69" s="17"/>
      <c r="D69" s="17"/>
      <c r="E69" s="17"/>
      <c r="F69" s="17"/>
      <c r="G69" s="17"/>
      <c r="H69" s="17"/>
      <c r="I69" s="17"/>
      <c r="J69" s="18" t="str">
        <f aca="false">IF($A69="","",$B69+$C69+$D69-$E69+$F69-$G69)</f>
        <v/>
      </c>
      <c r="K69" s="18" t="str">
        <f aca="false">IF($A69="","",MAX(0,$B69-$J69))</f>
        <v/>
      </c>
      <c r="L69" s="19" t="str">
        <f aca="false">IF($A69="","",IF($B69=0,0,$K69/$B69))</f>
        <v/>
      </c>
      <c r="M69" s="20" t="str">
        <f aca="false">IF($A69="","",IF($J69&lt;0,"BORCA BATIK",IF($I69&lt;$H69,"BORCA BATIK",IF($L69&gt;=TtkUcteIkiEsik,"2/3 KAYIP (KRİTİK)",IF($L69&gt;=TtkUcteBirEsik,"1/3 KAYIP (DİKKAT)","UYGUN")))))</f>
        <v/>
      </c>
    </row>
    <row r="70" customFormat="false" ht="15" hidden="false" customHeight="false" outlineLevel="0" collapsed="false">
      <c r="A70" s="21"/>
      <c r="B70" s="17"/>
      <c r="C70" s="17"/>
      <c r="D70" s="17"/>
      <c r="E70" s="17"/>
      <c r="F70" s="17"/>
      <c r="G70" s="17"/>
      <c r="H70" s="17"/>
      <c r="I70" s="17"/>
      <c r="J70" s="18" t="str">
        <f aca="false">IF($A70="","",$B70+$C70+$D70-$E70+$F70-$G70)</f>
        <v/>
      </c>
      <c r="K70" s="18" t="str">
        <f aca="false">IF($A70="","",MAX(0,$B70-$J70))</f>
        <v/>
      </c>
      <c r="L70" s="19" t="str">
        <f aca="false">IF($A70="","",IF($B70=0,0,$K70/$B70))</f>
        <v/>
      </c>
      <c r="M70" s="20" t="str">
        <f aca="false">IF($A70="","",IF($J70&lt;0,"BORCA BATIK",IF($I70&lt;$H70,"BORCA BATIK",IF($L70&gt;=TtkUcteIkiEsik,"2/3 KAYIP (KRİTİK)",IF($L70&gt;=TtkUcteBirEsik,"1/3 KAYIP (DİKKAT)","UYGUN")))))</f>
        <v/>
      </c>
    </row>
    <row r="71" customFormat="false" ht="15" hidden="false" customHeight="false" outlineLevel="0" collapsed="false">
      <c r="A71" s="21"/>
      <c r="B71" s="17"/>
      <c r="C71" s="17"/>
      <c r="D71" s="17"/>
      <c r="E71" s="17"/>
      <c r="F71" s="17"/>
      <c r="G71" s="17"/>
      <c r="H71" s="17"/>
      <c r="I71" s="17"/>
      <c r="J71" s="18" t="str">
        <f aca="false">IF($A71="","",$B71+$C71+$D71-$E71+$F71-$G71)</f>
        <v/>
      </c>
      <c r="K71" s="18" t="str">
        <f aca="false">IF($A71="","",MAX(0,$B71-$J71))</f>
        <v/>
      </c>
      <c r="L71" s="19" t="str">
        <f aca="false">IF($A71="","",IF($B71=0,0,$K71/$B71))</f>
        <v/>
      </c>
      <c r="M71" s="20" t="str">
        <f aca="false">IF($A71="","",IF($J71&lt;0,"BORCA BATIK",IF($I71&lt;$H71,"BORCA BATIK",IF($L71&gt;=TtkUcteIkiEsik,"2/3 KAYIP (KRİTİK)",IF($L71&gt;=TtkUcteBirEsik,"1/3 KAYIP (DİKKAT)","UYGUN")))))</f>
        <v/>
      </c>
    </row>
    <row r="72" customFormat="false" ht="15" hidden="false" customHeight="false" outlineLevel="0" collapsed="false">
      <c r="A72" s="21"/>
      <c r="B72" s="17"/>
      <c r="C72" s="17"/>
      <c r="D72" s="17"/>
      <c r="E72" s="17"/>
      <c r="F72" s="17"/>
      <c r="G72" s="17"/>
      <c r="H72" s="17"/>
      <c r="I72" s="17"/>
      <c r="J72" s="18" t="str">
        <f aca="false">IF($A72="","",$B72+$C72+$D72-$E72+$F72-$G72)</f>
        <v/>
      </c>
      <c r="K72" s="18" t="str">
        <f aca="false">IF($A72="","",MAX(0,$B72-$J72))</f>
        <v/>
      </c>
      <c r="L72" s="19" t="str">
        <f aca="false">IF($A72="","",IF($B72=0,0,$K72/$B72))</f>
        <v/>
      </c>
      <c r="M72" s="20" t="str">
        <f aca="false">IF($A72="","",IF($J72&lt;0,"BORCA BATIK",IF($I72&lt;$H72,"BORCA BATIK",IF($L72&gt;=TtkUcteIkiEsik,"2/3 KAYIP (KRİTİK)",IF($L72&gt;=TtkUcteBirEsik,"1/3 KAYIP (DİKKAT)","UYGUN")))))</f>
        <v/>
      </c>
    </row>
    <row r="73" customFormat="false" ht="15" hidden="false" customHeight="false" outlineLevel="0" collapsed="false">
      <c r="A73" s="21"/>
      <c r="B73" s="17"/>
      <c r="C73" s="17"/>
      <c r="D73" s="17"/>
      <c r="E73" s="17"/>
      <c r="F73" s="17"/>
      <c r="G73" s="17"/>
      <c r="H73" s="17"/>
      <c r="I73" s="17"/>
      <c r="J73" s="18" t="str">
        <f aca="false">IF($A73="","",$B73+$C73+$D73-$E73+$F73-$G73)</f>
        <v/>
      </c>
      <c r="K73" s="18" t="str">
        <f aca="false">IF($A73="","",MAX(0,$B73-$J73))</f>
        <v/>
      </c>
      <c r="L73" s="19" t="str">
        <f aca="false">IF($A73="","",IF($B73=0,0,$K73/$B73))</f>
        <v/>
      </c>
      <c r="M73" s="20" t="str">
        <f aca="false">IF($A73="","",IF($J73&lt;0,"BORCA BATIK",IF($I73&lt;$H73,"BORCA BATIK",IF($L73&gt;=TtkUcteIkiEsik,"2/3 KAYIP (KRİTİK)",IF($L73&gt;=TtkUcteBirEsik,"1/3 KAYIP (DİKKAT)","UYGUN")))))</f>
        <v/>
      </c>
    </row>
    <row r="74" customFormat="false" ht="15" hidden="false" customHeight="false" outlineLevel="0" collapsed="false">
      <c r="A74" s="21"/>
      <c r="B74" s="17"/>
      <c r="C74" s="17"/>
      <c r="D74" s="17"/>
      <c r="E74" s="17"/>
      <c r="F74" s="17"/>
      <c r="G74" s="17"/>
      <c r="H74" s="17"/>
      <c r="I74" s="17"/>
      <c r="J74" s="18" t="str">
        <f aca="false">IF($A74="","",$B74+$C74+$D74-$E74+$F74-$G74)</f>
        <v/>
      </c>
      <c r="K74" s="18" t="str">
        <f aca="false">IF($A74="","",MAX(0,$B74-$J74))</f>
        <v/>
      </c>
      <c r="L74" s="19" t="str">
        <f aca="false">IF($A74="","",IF($B74=0,0,$K74/$B74))</f>
        <v/>
      </c>
      <c r="M74" s="20" t="str">
        <f aca="false">IF($A74="","",IF($J74&lt;0,"BORCA BATIK",IF($I74&lt;$H74,"BORCA BATIK",IF($L74&gt;=TtkUcteIkiEsik,"2/3 KAYIP (KRİTİK)",IF($L74&gt;=TtkUcteBirEsik,"1/3 KAYIP (DİKKAT)","UYGUN")))))</f>
        <v/>
      </c>
    </row>
    <row r="75" customFormat="false" ht="15" hidden="false" customHeight="false" outlineLevel="0" collapsed="false">
      <c r="A75" s="21"/>
      <c r="B75" s="17"/>
      <c r="C75" s="17"/>
      <c r="D75" s="17"/>
      <c r="E75" s="17"/>
      <c r="F75" s="17"/>
      <c r="G75" s="17"/>
      <c r="H75" s="17"/>
      <c r="I75" s="17"/>
      <c r="J75" s="18" t="str">
        <f aca="false">IF($A75="","",$B75+$C75+$D75-$E75+$F75-$G75)</f>
        <v/>
      </c>
      <c r="K75" s="18" t="str">
        <f aca="false">IF($A75="","",MAX(0,$B75-$J75))</f>
        <v/>
      </c>
      <c r="L75" s="19" t="str">
        <f aca="false">IF($A75="","",IF($B75=0,0,$K75/$B75))</f>
        <v/>
      </c>
      <c r="M75" s="20" t="str">
        <f aca="false">IF($A75="","",IF($J75&lt;0,"BORCA BATIK",IF($I75&lt;$H75,"BORCA BATIK",IF($L75&gt;=TtkUcteIkiEsik,"2/3 KAYIP (KRİTİK)",IF($L75&gt;=TtkUcteBirEsik,"1/3 KAYIP (DİKKAT)","UYGUN")))))</f>
        <v/>
      </c>
    </row>
    <row r="76" customFormat="false" ht="15" hidden="false" customHeight="false" outlineLevel="0" collapsed="false">
      <c r="A76" s="21"/>
      <c r="B76" s="17"/>
      <c r="C76" s="17"/>
      <c r="D76" s="17"/>
      <c r="E76" s="17"/>
      <c r="F76" s="17"/>
      <c r="G76" s="17"/>
      <c r="H76" s="17"/>
      <c r="I76" s="17"/>
      <c r="J76" s="18" t="str">
        <f aca="false">IF($A76="","",$B76+$C76+$D76-$E76+$F76-$G76)</f>
        <v/>
      </c>
      <c r="K76" s="18" t="str">
        <f aca="false">IF($A76="","",MAX(0,$B76-$J76))</f>
        <v/>
      </c>
      <c r="L76" s="19" t="str">
        <f aca="false">IF($A76="","",IF($B76=0,0,$K76/$B76))</f>
        <v/>
      </c>
      <c r="M76" s="20" t="str">
        <f aca="false">IF($A76="","",IF($J76&lt;0,"BORCA BATIK",IF($I76&lt;$H76,"BORCA BATIK",IF($L76&gt;=TtkUcteIkiEsik,"2/3 KAYIP (KRİTİK)",IF($L76&gt;=TtkUcteBirEsik,"1/3 KAYIP (DİKKAT)","UYGUN")))))</f>
        <v/>
      </c>
    </row>
    <row r="77" customFormat="false" ht="15" hidden="false" customHeight="false" outlineLevel="0" collapsed="false">
      <c r="A77" s="21"/>
      <c r="B77" s="17"/>
      <c r="C77" s="17"/>
      <c r="D77" s="17"/>
      <c r="E77" s="17"/>
      <c r="F77" s="17"/>
      <c r="G77" s="17"/>
      <c r="H77" s="17"/>
      <c r="I77" s="17"/>
      <c r="J77" s="18" t="str">
        <f aca="false">IF($A77="","",$B77+$C77+$D77-$E77+$F77-$G77)</f>
        <v/>
      </c>
      <c r="K77" s="18" t="str">
        <f aca="false">IF($A77="","",MAX(0,$B77-$J77))</f>
        <v/>
      </c>
      <c r="L77" s="19" t="str">
        <f aca="false">IF($A77="","",IF($B77=0,0,$K77/$B77))</f>
        <v/>
      </c>
      <c r="M77" s="20" t="str">
        <f aca="false">IF($A77="","",IF($J77&lt;0,"BORCA BATIK",IF($I77&lt;$H77,"BORCA BATIK",IF($L77&gt;=TtkUcteIkiEsik,"2/3 KAYIP (KRİTİK)",IF($L77&gt;=TtkUcteBirEsik,"1/3 KAYIP (DİKKAT)","UYGUN")))))</f>
        <v/>
      </c>
    </row>
    <row r="78" customFormat="false" ht="15" hidden="false" customHeight="false" outlineLevel="0" collapsed="false">
      <c r="A78" s="21"/>
      <c r="B78" s="17"/>
      <c r="C78" s="17"/>
      <c r="D78" s="17"/>
      <c r="E78" s="17"/>
      <c r="F78" s="17"/>
      <c r="G78" s="17"/>
      <c r="H78" s="17"/>
      <c r="I78" s="17"/>
      <c r="J78" s="18" t="str">
        <f aca="false">IF($A78="","",$B78+$C78+$D78-$E78+$F78-$G78)</f>
        <v/>
      </c>
      <c r="K78" s="18" t="str">
        <f aca="false">IF($A78="","",MAX(0,$B78-$J78))</f>
        <v/>
      </c>
      <c r="L78" s="19" t="str">
        <f aca="false">IF($A78="","",IF($B78=0,0,$K78/$B78))</f>
        <v/>
      </c>
      <c r="M78" s="20" t="str">
        <f aca="false">IF($A78="","",IF($J78&lt;0,"BORCA BATIK",IF($I78&lt;$H78,"BORCA BATIK",IF($L78&gt;=TtkUcteIkiEsik,"2/3 KAYIP (KRİTİK)",IF($L78&gt;=TtkUcteBirEsik,"1/3 KAYIP (DİKKAT)","UYGUN")))))</f>
        <v/>
      </c>
    </row>
    <row r="79" customFormat="false" ht="15" hidden="false" customHeight="false" outlineLevel="0" collapsed="false">
      <c r="A79" s="21"/>
      <c r="B79" s="17"/>
      <c r="C79" s="17"/>
      <c r="D79" s="17"/>
      <c r="E79" s="17"/>
      <c r="F79" s="17"/>
      <c r="G79" s="17"/>
      <c r="H79" s="17"/>
      <c r="I79" s="17"/>
      <c r="J79" s="18" t="str">
        <f aca="false">IF($A79="","",$B79+$C79+$D79-$E79+$F79-$G79)</f>
        <v/>
      </c>
      <c r="K79" s="18" t="str">
        <f aca="false">IF($A79="","",MAX(0,$B79-$J79))</f>
        <v/>
      </c>
      <c r="L79" s="19" t="str">
        <f aca="false">IF($A79="","",IF($B79=0,0,$K79/$B79))</f>
        <v/>
      </c>
      <c r="M79" s="20" t="str">
        <f aca="false">IF($A79="","",IF($J79&lt;0,"BORCA BATIK",IF($I79&lt;$H79,"BORCA BATIK",IF($L79&gt;=TtkUcteIkiEsik,"2/3 KAYIP (KRİTİK)",IF($L79&gt;=TtkUcteBirEsik,"1/3 KAYIP (DİKKAT)","UYGUN")))))</f>
        <v/>
      </c>
    </row>
    <row r="80" customFormat="false" ht="15" hidden="false" customHeight="false" outlineLevel="0" collapsed="false">
      <c r="A80" s="21"/>
      <c r="B80" s="17"/>
      <c r="C80" s="17"/>
      <c r="D80" s="17"/>
      <c r="E80" s="17"/>
      <c r="F80" s="17"/>
      <c r="G80" s="17"/>
      <c r="H80" s="17"/>
      <c r="I80" s="17"/>
      <c r="J80" s="18" t="str">
        <f aca="false">IF($A80="","",$B80+$C80+$D80-$E80+$F80-$G80)</f>
        <v/>
      </c>
      <c r="K80" s="18" t="str">
        <f aca="false">IF($A80="","",MAX(0,$B80-$J80))</f>
        <v/>
      </c>
      <c r="L80" s="19" t="str">
        <f aca="false">IF($A80="","",IF($B80=0,0,$K80/$B80))</f>
        <v/>
      </c>
      <c r="M80" s="20" t="str">
        <f aca="false">IF($A80="","",IF($J80&lt;0,"BORCA BATIK",IF($I80&lt;$H80,"BORCA BATIK",IF($L80&gt;=TtkUcteIkiEsik,"2/3 KAYIP (KRİTİK)",IF($L80&gt;=TtkUcteBirEsik,"1/3 KAYIP (DİKKAT)","UYGUN")))))</f>
        <v/>
      </c>
    </row>
    <row r="81" customFormat="false" ht="15" hidden="false" customHeight="false" outlineLevel="0" collapsed="false">
      <c r="A81" s="21"/>
      <c r="B81" s="17"/>
      <c r="C81" s="17"/>
      <c r="D81" s="17"/>
      <c r="E81" s="17"/>
      <c r="F81" s="17"/>
      <c r="G81" s="17"/>
      <c r="H81" s="17"/>
      <c r="I81" s="17"/>
      <c r="J81" s="18" t="str">
        <f aca="false">IF($A81="","",$B81+$C81+$D81-$E81+$F81-$G81)</f>
        <v/>
      </c>
      <c r="K81" s="18" t="str">
        <f aca="false">IF($A81="","",MAX(0,$B81-$J81))</f>
        <v/>
      </c>
      <c r="L81" s="19" t="str">
        <f aca="false">IF($A81="","",IF($B81=0,0,$K81/$B81))</f>
        <v/>
      </c>
      <c r="M81" s="20" t="str">
        <f aca="false">IF($A81="","",IF($J81&lt;0,"BORCA BATIK",IF($I81&lt;$H81,"BORCA BATIK",IF($L81&gt;=TtkUcteIkiEsik,"2/3 KAYIP (KRİTİK)",IF($L81&gt;=TtkUcteBirEsik,"1/3 KAYIP (DİKKAT)","UYGUN")))))</f>
        <v/>
      </c>
    </row>
    <row r="82" customFormat="false" ht="15" hidden="false" customHeight="false" outlineLevel="0" collapsed="false">
      <c r="A82" s="21"/>
      <c r="B82" s="17"/>
      <c r="C82" s="17"/>
      <c r="D82" s="17"/>
      <c r="E82" s="17"/>
      <c r="F82" s="17"/>
      <c r="G82" s="17"/>
      <c r="H82" s="17"/>
      <c r="I82" s="17"/>
      <c r="J82" s="18" t="str">
        <f aca="false">IF($A82="","",$B82+$C82+$D82-$E82+$F82-$G82)</f>
        <v/>
      </c>
      <c r="K82" s="18" t="str">
        <f aca="false">IF($A82="","",MAX(0,$B82-$J82))</f>
        <v/>
      </c>
      <c r="L82" s="19" t="str">
        <f aca="false">IF($A82="","",IF($B82=0,0,$K82/$B82))</f>
        <v/>
      </c>
      <c r="M82" s="20" t="str">
        <f aca="false">IF($A82="","",IF($J82&lt;0,"BORCA BATIK",IF($I82&lt;$H82,"BORCA BATIK",IF($L82&gt;=TtkUcteIkiEsik,"2/3 KAYIP (KRİTİK)",IF($L82&gt;=TtkUcteBirEsik,"1/3 KAYIP (DİKKAT)","UYGUN")))))</f>
        <v/>
      </c>
    </row>
    <row r="83" customFormat="false" ht="15" hidden="false" customHeight="false" outlineLevel="0" collapsed="false">
      <c r="A83" s="21"/>
      <c r="B83" s="17"/>
      <c r="C83" s="17"/>
      <c r="D83" s="17"/>
      <c r="E83" s="17"/>
      <c r="F83" s="17"/>
      <c r="G83" s="17"/>
      <c r="H83" s="17"/>
      <c r="I83" s="17"/>
      <c r="J83" s="18" t="str">
        <f aca="false">IF($A83="","",$B83+$C83+$D83-$E83+$F83-$G83)</f>
        <v/>
      </c>
      <c r="K83" s="18" t="str">
        <f aca="false">IF($A83="","",MAX(0,$B83-$J83))</f>
        <v/>
      </c>
      <c r="L83" s="19" t="str">
        <f aca="false">IF($A83="","",IF($B83=0,0,$K83/$B83))</f>
        <v/>
      </c>
      <c r="M83" s="20" t="str">
        <f aca="false">IF($A83="","",IF($J83&lt;0,"BORCA BATIK",IF($I83&lt;$H83,"BORCA BATIK",IF($L83&gt;=TtkUcteIkiEsik,"2/3 KAYIP (KRİTİK)",IF($L83&gt;=TtkUcteBirEsik,"1/3 KAYIP (DİKKAT)","UYGUN")))))</f>
        <v/>
      </c>
    </row>
    <row r="84" customFormat="false" ht="15" hidden="false" customHeight="false" outlineLevel="0" collapsed="false">
      <c r="A84" s="21"/>
      <c r="B84" s="17"/>
      <c r="C84" s="17"/>
      <c r="D84" s="17"/>
      <c r="E84" s="17"/>
      <c r="F84" s="17"/>
      <c r="G84" s="17"/>
      <c r="H84" s="17"/>
      <c r="I84" s="17"/>
      <c r="J84" s="18" t="str">
        <f aca="false">IF($A84="","",$B84+$C84+$D84-$E84+$F84-$G84)</f>
        <v/>
      </c>
      <c r="K84" s="18" t="str">
        <f aca="false">IF($A84="","",MAX(0,$B84-$J84))</f>
        <v/>
      </c>
      <c r="L84" s="19" t="str">
        <f aca="false">IF($A84="","",IF($B84=0,0,$K84/$B84))</f>
        <v/>
      </c>
      <c r="M84" s="20" t="str">
        <f aca="false">IF($A84="","",IF($J84&lt;0,"BORCA BATIK",IF($I84&lt;$H84,"BORCA BATIK",IF($L84&gt;=TtkUcteIkiEsik,"2/3 KAYIP (KRİTİK)",IF($L84&gt;=TtkUcteBirEsik,"1/3 KAYIP (DİKKAT)","UYGUN")))))</f>
        <v/>
      </c>
    </row>
    <row r="85" customFormat="false" ht="15" hidden="false" customHeight="false" outlineLevel="0" collapsed="false">
      <c r="A85" s="21"/>
      <c r="B85" s="17"/>
      <c r="C85" s="17"/>
      <c r="D85" s="17"/>
      <c r="E85" s="17"/>
      <c r="F85" s="17"/>
      <c r="G85" s="17"/>
      <c r="H85" s="17"/>
      <c r="I85" s="17"/>
      <c r="J85" s="18" t="str">
        <f aca="false">IF($A85="","",$B85+$C85+$D85-$E85+$F85-$G85)</f>
        <v/>
      </c>
      <c r="K85" s="18" t="str">
        <f aca="false">IF($A85="","",MAX(0,$B85-$J85))</f>
        <v/>
      </c>
      <c r="L85" s="19" t="str">
        <f aca="false">IF($A85="","",IF($B85=0,0,$K85/$B85))</f>
        <v/>
      </c>
      <c r="M85" s="20" t="str">
        <f aca="false">IF($A85="","",IF($J85&lt;0,"BORCA BATIK",IF($I85&lt;$H85,"BORCA BATIK",IF($L85&gt;=TtkUcteIkiEsik,"2/3 KAYIP (KRİTİK)",IF($L85&gt;=TtkUcteBirEsik,"1/3 KAYIP (DİKKAT)","UYGUN")))))</f>
        <v/>
      </c>
    </row>
    <row r="86" customFormat="false" ht="15" hidden="false" customHeight="false" outlineLevel="0" collapsed="false">
      <c r="A86" s="21"/>
      <c r="B86" s="17"/>
      <c r="C86" s="17"/>
      <c r="D86" s="17"/>
      <c r="E86" s="17"/>
      <c r="F86" s="17"/>
      <c r="G86" s="17"/>
      <c r="H86" s="17"/>
      <c r="I86" s="17"/>
      <c r="J86" s="18" t="str">
        <f aca="false">IF($A86="","",$B86+$C86+$D86-$E86+$F86-$G86)</f>
        <v/>
      </c>
      <c r="K86" s="18" t="str">
        <f aca="false">IF($A86="","",MAX(0,$B86-$J86))</f>
        <v/>
      </c>
      <c r="L86" s="19" t="str">
        <f aca="false">IF($A86="","",IF($B86=0,0,$K86/$B86))</f>
        <v/>
      </c>
      <c r="M86" s="20" t="str">
        <f aca="false">IF($A86="","",IF($J86&lt;0,"BORCA BATIK",IF($I86&lt;$H86,"BORCA BATIK",IF($L86&gt;=TtkUcteIkiEsik,"2/3 KAYIP (KRİTİK)",IF($L86&gt;=TtkUcteBirEsik,"1/3 KAYIP (DİKKAT)","UYGUN")))))</f>
        <v/>
      </c>
    </row>
    <row r="87" customFormat="false" ht="15" hidden="false" customHeight="false" outlineLevel="0" collapsed="false">
      <c r="A87" s="21"/>
      <c r="B87" s="17"/>
      <c r="C87" s="17"/>
      <c r="D87" s="17"/>
      <c r="E87" s="17"/>
      <c r="F87" s="17"/>
      <c r="G87" s="17"/>
      <c r="H87" s="17"/>
      <c r="I87" s="17"/>
      <c r="J87" s="18" t="str">
        <f aca="false">IF($A87="","",$B87+$C87+$D87-$E87+$F87-$G87)</f>
        <v/>
      </c>
      <c r="K87" s="18" t="str">
        <f aca="false">IF($A87="","",MAX(0,$B87-$J87))</f>
        <v/>
      </c>
      <c r="L87" s="19" t="str">
        <f aca="false">IF($A87="","",IF($B87=0,0,$K87/$B87))</f>
        <v/>
      </c>
      <c r="M87" s="20" t="str">
        <f aca="false">IF($A87="","",IF($J87&lt;0,"BORCA BATIK",IF($I87&lt;$H87,"BORCA BATIK",IF($L87&gt;=TtkUcteIkiEsik,"2/3 KAYIP (KRİTİK)",IF($L87&gt;=TtkUcteBirEsik,"1/3 KAYIP (DİKKAT)","UYGUN")))))</f>
        <v/>
      </c>
    </row>
    <row r="88" customFormat="false" ht="15" hidden="false" customHeight="false" outlineLevel="0" collapsed="false">
      <c r="A88" s="21"/>
      <c r="B88" s="17"/>
      <c r="C88" s="17"/>
      <c r="D88" s="17"/>
      <c r="E88" s="17"/>
      <c r="F88" s="17"/>
      <c r="G88" s="17"/>
      <c r="H88" s="17"/>
      <c r="I88" s="17"/>
      <c r="J88" s="18" t="str">
        <f aca="false">IF($A88="","",$B88+$C88+$D88-$E88+$F88-$G88)</f>
        <v/>
      </c>
      <c r="K88" s="18" t="str">
        <f aca="false">IF($A88="","",MAX(0,$B88-$J88))</f>
        <v/>
      </c>
      <c r="L88" s="19" t="str">
        <f aca="false">IF($A88="","",IF($B88=0,0,$K88/$B88))</f>
        <v/>
      </c>
      <c r="M88" s="20" t="str">
        <f aca="false">IF($A88="","",IF($J88&lt;0,"BORCA BATIK",IF($I88&lt;$H88,"BORCA BATIK",IF($L88&gt;=TtkUcteIkiEsik,"2/3 KAYIP (KRİTİK)",IF($L88&gt;=TtkUcteBirEsik,"1/3 KAYIP (DİKKAT)","UYGUN")))))</f>
        <v/>
      </c>
    </row>
    <row r="89" customFormat="false" ht="15" hidden="false" customHeight="false" outlineLevel="0" collapsed="false">
      <c r="A89" s="21"/>
      <c r="B89" s="17"/>
      <c r="C89" s="17"/>
      <c r="D89" s="17"/>
      <c r="E89" s="17"/>
      <c r="F89" s="17"/>
      <c r="G89" s="17"/>
      <c r="H89" s="17"/>
      <c r="I89" s="17"/>
      <c r="J89" s="18" t="str">
        <f aca="false">IF($A89="","",$B89+$C89+$D89-$E89+$F89-$G89)</f>
        <v/>
      </c>
      <c r="K89" s="18" t="str">
        <f aca="false">IF($A89="","",MAX(0,$B89-$J89))</f>
        <v/>
      </c>
      <c r="L89" s="19" t="str">
        <f aca="false">IF($A89="","",IF($B89=0,0,$K89/$B89))</f>
        <v/>
      </c>
      <c r="M89" s="20" t="str">
        <f aca="false">IF($A89="","",IF($J89&lt;0,"BORCA BATIK",IF($I89&lt;$H89,"BORCA BATIK",IF($L89&gt;=TtkUcteIkiEsik,"2/3 KAYIP (KRİTİK)",IF($L89&gt;=TtkUcteBirEsik,"1/3 KAYIP (DİKKAT)","UYGUN")))))</f>
        <v/>
      </c>
    </row>
    <row r="90" customFormat="false" ht="15" hidden="false" customHeight="false" outlineLevel="0" collapsed="false">
      <c r="A90" s="21"/>
      <c r="B90" s="17"/>
      <c r="C90" s="17"/>
      <c r="D90" s="17"/>
      <c r="E90" s="17"/>
      <c r="F90" s="17"/>
      <c r="G90" s="17"/>
      <c r="H90" s="17"/>
      <c r="I90" s="17"/>
      <c r="J90" s="18" t="str">
        <f aca="false">IF($A90="","",$B90+$C90+$D90-$E90+$F90-$G90)</f>
        <v/>
      </c>
      <c r="K90" s="18" t="str">
        <f aca="false">IF($A90="","",MAX(0,$B90-$J90))</f>
        <v/>
      </c>
      <c r="L90" s="19" t="str">
        <f aca="false">IF($A90="","",IF($B90=0,0,$K90/$B90))</f>
        <v/>
      </c>
      <c r="M90" s="20" t="str">
        <f aca="false">IF($A90="","",IF($J90&lt;0,"BORCA BATIK",IF($I90&lt;$H90,"BORCA BATIK",IF($L90&gt;=TtkUcteIkiEsik,"2/3 KAYIP (KRİTİK)",IF($L90&gt;=TtkUcteBirEsik,"1/3 KAYIP (DİKKAT)","UYGUN")))))</f>
        <v/>
      </c>
    </row>
    <row r="91" customFormat="false" ht="15" hidden="false" customHeight="false" outlineLevel="0" collapsed="false">
      <c r="A91" s="21"/>
      <c r="B91" s="17"/>
      <c r="C91" s="17"/>
      <c r="D91" s="17"/>
      <c r="E91" s="17"/>
      <c r="F91" s="17"/>
      <c r="G91" s="17"/>
      <c r="H91" s="17"/>
      <c r="I91" s="17"/>
      <c r="J91" s="18" t="str">
        <f aca="false">IF($A91="","",$B91+$C91+$D91-$E91+$F91-$G91)</f>
        <v/>
      </c>
      <c r="K91" s="18" t="str">
        <f aca="false">IF($A91="","",MAX(0,$B91-$J91))</f>
        <v/>
      </c>
      <c r="L91" s="19" t="str">
        <f aca="false">IF($A91="","",IF($B91=0,0,$K91/$B91))</f>
        <v/>
      </c>
      <c r="M91" s="20" t="str">
        <f aca="false">IF($A91="","",IF($J91&lt;0,"BORCA BATIK",IF($I91&lt;$H91,"BORCA BATIK",IF($L91&gt;=TtkUcteIkiEsik,"2/3 KAYIP (KRİTİK)",IF($L91&gt;=TtkUcteBirEsik,"1/3 KAYIP (DİKKAT)","UYGUN")))))</f>
        <v/>
      </c>
    </row>
    <row r="92" customFormat="false" ht="15" hidden="false" customHeight="false" outlineLevel="0" collapsed="false">
      <c r="A92" s="21"/>
      <c r="B92" s="17"/>
      <c r="C92" s="17"/>
      <c r="D92" s="17"/>
      <c r="E92" s="17"/>
      <c r="F92" s="17"/>
      <c r="G92" s="17"/>
      <c r="H92" s="17"/>
      <c r="I92" s="17"/>
      <c r="J92" s="18" t="str">
        <f aca="false">IF($A92="","",$B92+$C92+$D92-$E92+$F92-$G92)</f>
        <v/>
      </c>
      <c r="K92" s="18" t="str">
        <f aca="false">IF($A92="","",MAX(0,$B92-$J92))</f>
        <v/>
      </c>
      <c r="L92" s="19" t="str">
        <f aca="false">IF($A92="","",IF($B92=0,0,$K92/$B92))</f>
        <v/>
      </c>
      <c r="M92" s="20" t="str">
        <f aca="false">IF($A92="","",IF($J92&lt;0,"BORCA BATIK",IF($I92&lt;$H92,"BORCA BATIK",IF($L92&gt;=TtkUcteIkiEsik,"2/3 KAYIP (KRİTİK)",IF($L92&gt;=TtkUcteBirEsik,"1/3 KAYIP (DİKKAT)","UYGUN")))))</f>
        <v/>
      </c>
    </row>
    <row r="93" customFormat="false" ht="15" hidden="false" customHeight="false" outlineLevel="0" collapsed="false">
      <c r="A93" s="21"/>
      <c r="B93" s="17"/>
      <c r="C93" s="17"/>
      <c r="D93" s="17"/>
      <c r="E93" s="17"/>
      <c r="F93" s="17"/>
      <c r="G93" s="17"/>
      <c r="H93" s="17"/>
      <c r="I93" s="17"/>
      <c r="J93" s="18" t="str">
        <f aca="false">IF($A93="","",$B93+$C93+$D93-$E93+$F93-$G93)</f>
        <v/>
      </c>
      <c r="K93" s="18" t="str">
        <f aca="false">IF($A93="","",MAX(0,$B93-$J93))</f>
        <v/>
      </c>
      <c r="L93" s="19" t="str">
        <f aca="false">IF($A93="","",IF($B93=0,0,$K93/$B93))</f>
        <v/>
      </c>
      <c r="M93" s="20" t="str">
        <f aca="false">IF($A93="","",IF($J93&lt;0,"BORCA BATIK",IF($I93&lt;$H93,"BORCA BATIK",IF($L93&gt;=TtkUcteIkiEsik,"2/3 KAYIP (KRİTİK)",IF($L93&gt;=TtkUcteBirEsik,"1/3 KAYIP (DİKKAT)","UYGUN")))))</f>
        <v/>
      </c>
    </row>
    <row r="94" customFormat="false" ht="15" hidden="false" customHeight="false" outlineLevel="0" collapsed="false">
      <c r="A94" s="21"/>
      <c r="B94" s="17"/>
      <c r="C94" s="17"/>
      <c r="D94" s="17"/>
      <c r="E94" s="17"/>
      <c r="F94" s="17"/>
      <c r="G94" s="17"/>
      <c r="H94" s="17"/>
      <c r="I94" s="17"/>
      <c r="J94" s="18" t="str">
        <f aca="false">IF($A94="","",$B94+$C94+$D94-$E94+$F94-$G94)</f>
        <v/>
      </c>
      <c r="K94" s="18" t="str">
        <f aca="false">IF($A94="","",MAX(0,$B94-$J94))</f>
        <v/>
      </c>
      <c r="L94" s="19" t="str">
        <f aca="false">IF($A94="","",IF($B94=0,0,$K94/$B94))</f>
        <v/>
      </c>
      <c r="M94" s="20" t="str">
        <f aca="false">IF($A94="","",IF($J94&lt;0,"BORCA BATIK",IF($I94&lt;$H94,"BORCA BATIK",IF($L94&gt;=TtkUcteIkiEsik,"2/3 KAYIP (KRİTİK)",IF($L94&gt;=TtkUcteBirEsik,"1/3 KAYIP (DİKKAT)","UYGUN")))))</f>
        <v/>
      </c>
    </row>
    <row r="95" customFormat="false" ht="15" hidden="false" customHeight="false" outlineLevel="0" collapsed="false">
      <c r="A95" s="21"/>
      <c r="B95" s="17"/>
      <c r="C95" s="17"/>
      <c r="D95" s="17"/>
      <c r="E95" s="17"/>
      <c r="F95" s="17"/>
      <c r="G95" s="17"/>
      <c r="H95" s="17"/>
      <c r="I95" s="17"/>
      <c r="J95" s="18" t="str">
        <f aca="false">IF($A95="","",$B95+$C95+$D95-$E95+$F95-$G95)</f>
        <v/>
      </c>
      <c r="K95" s="18" t="str">
        <f aca="false">IF($A95="","",MAX(0,$B95-$J95))</f>
        <v/>
      </c>
      <c r="L95" s="19" t="str">
        <f aca="false">IF($A95="","",IF($B95=0,0,$K95/$B95))</f>
        <v/>
      </c>
      <c r="M95" s="20" t="str">
        <f aca="false">IF($A95="","",IF($J95&lt;0,"BORCA BATIK",IF($I95&lt;$H95,"BORCA BATIK",IF($L95&gt;=TtkUcteIkiEsik,"2/3 KAYIP (KRİTİK)",IF($L95&gt;=TtkUcteBirEsik,"1/3 KAYIP (DİKKAT)","UYGUN")))))</f>
        <v/>
      </c>
    </row>
    <row r="96" customFormat="false" ht="15" hidden="false" customHeight="false" outlineLevel="0" collapsed="false">
      <c r="A96" s="21"/>
      <c r="B96" s="17"/>
      <c r="C96" s="17"/>
      <c r="D96" s="17"/>
      <c r="E96" s="17"/>
      <c r="F96" s="17"/>
      <c r="G96" s="17"/>
      <c r="H96" s="17"/>
      <c r="I96" s="17"/>
      <c r="J96" s="18" t="str">
        <f aca="false">IF($A96="","",$B96+$C96+$D96-$E96+$F96-$G96)</f>
        <v/>
      </c>
      <c r="K96" s="18" t="str">
        <f aca="false">IF($A96="","",MAX(0,$B96-$J96))</f>
        <v/>
      </c>
      <c r="L96" s="19" t="str">
        <f aca="false">IF($A96="","",IF($B96=0,0,$K96/$B96))</f>
        <v/>
      </c>
      <c r="M96" s="20" t="str">
        <f aca="false">IF($A96="","",IF($J96&lt;0,"BORCA BATIK",IF($I96&lt;$H96,"BORCA BATIK",IF($L96&gt;=TtkUcteIkiEsik,"2/3 KAYIP (KRİTİK)",IF($L96&gt;=TtkUcteBirEsik,"1/3 KAYIP (DİKKAT)","UYGUN")))))</f>
        <v/>
      </c>
    </row>
    <row r="97" customFormat="false" ht="15" hidden="false" customHeight="false" outlineLevel="0" collapsed="false">
      <c r="A97" s="21"/>
      <c r="B97" s="17"/>
      <c r="C97" s="17"/>
      <c r="D97" s="17"/>
      <c r="E97" s="17"/>
      <c r="F97" s="17"/>
      <c r="G97" s="17"/>
      <c r="H97" s="17"/>
      <c r="I97" s="17"/>
      <c r="J97" s="18" t="str">
        <f aca="false">IF($A97="","",$B97+$C97+$D97-$E97+$F97-$G97)</f>
        <v/>
      </c>
      <c r="K97" s="18" t="str">
        <f aca="false">IF($A97="","",MAX(0,$B97-$J97))</f>
        <v/>
      </c>
      <c r="L97" s="19" t="str">
        <f aca="false">IF($A97="","",IF($B97=0,0,$K97/$B97))</f>
        <v/>
      </c>
      <c r="M97" s="20" t="str">
        <f aca="false">IF($A97="","",IF($J97&lt;0,"BORCA BATIK",IF($I97&lt;$H97,"BORCA BATIK",IF($L97&gt;=TtkUcteIkiEsik,"2/3 KAYIP (KRİTİK)",IF($L97&gt;=TtkUcteBirEsik,"1/3 KAYIP (DİKKAT)","UYGUN")))))</f>
        <v/>
      </c>
    </row>
    <row r="98" customFormat="false" ht="15" hidden="false" customHeight="false" outlineLevel="0" collapsed="false">
      <c r="A98" s="21"/>
      <c r="B98" s="17"/>
      <c r="C98" s="17"/>
      <c r="D98" s="17"/>
      <c r="E98" s="17"/>
      <c r="F98" s="17"/>
      <c r="G98" s="17"/>
      <c r="H98" s="17"/>
      <c r="I98" s="17"/>
      <c r="J98" s="18" t="str">
        <f aca="false">IF($A98="","",$B98+$C98+$D98-$E98+$F98-$G98)</f>
        <v/>
      </c>
      <c r="K98" s="18" t="str">
        <f aca="false">IF($A98="","",MAX(0,$B98-$J98))</f>
        <v/>
      </c>
      <c r="L98" s="19" t="str">
        <f aca="false">IF($A98="","",IF($B98=0,0,$K98/$B98))</f>
        <v/>
      </c>
      <c r="M98" s="20" t="str">
        <f aca="false">IF($A98="","",IF($J98&lt;0,"BORCA BATIK",IF($I98&lt;$H98,"BORCA BATIK",IF($L98&gt;=TtkUcteIkiEsik,"2/3 KAYIP (KRİTİK)",IF($L98&gt;=TtkUcteBirEsik,"1/3 KAYIP (DİKKAT)","UYGUN")))))</f>
        <v/>
      </c>
    </row>
    <row r="99" customFormat="false" ht="15" hidden="false" customHeight="false" outlineLevel="0" collapsed="false">
      <c r="A99" s="21"/>
      <c r="B99" s="17"/>
      <c r="C99" s="17"/>
      <c r="D99" s="17"/>
      <c r="E99" s="17"/>
      <c r="F99" s="17"/>
      <c r="G99" s="17"/>
      <c r="H99" s="17"/>
      <c r="I99" s="17"/>
      <c r="J99" s="18" t="str">
        <f aca="false">IF($A99="","",$B99+$C99+$D99-$E99+$F99-$G99)</f>
        <v/>
      </c>
      <c r="K99" s="18" t="str">
        <f aca="false">IF($A99="","",MAX(0,$B99-$J99))</f>
        <v/>
      </c>
      <c r="L99" s="19" t="str">
        <f aca="false">IF($A99="","",IF($B99=0,0,$K99/$B99))</f>
        <v/>
      </c>
      <c r="M99" s="20" t="str">
        <f aca="false">IF($A99="","",IF($J99&lt;0,"BORCA BATIK",IF($I99&lt;$H99,"BORCA BATIK",IF($L99&gt;=TtkUcteIkiEsik,"2/3 KAYIP (KRİTİK)",IF($L99&gt;=TtkUcteBirEsik,"1/3 KAYIP (DİKKAT)","UYGUN")))))</f>
        <v/>
      </c>
    </row>
    <row r="100" customFormat="false" ht="15" hidden="false" customHeight="false" outlineLevel="0" collapsed="false">
      <c r="A100" s="21"/>
      <c r="B100" s="17"/>
      <c r="C100" s="17"/>
      <c r="D100" s="17"/>
      <c r="E100" s="17"/>
      <c r="F100" s="17"/>
      <c r="G100" s="17"/>
      <c r="H100" s="17"/>
      <c r="I100" s="17"/>
      <c r="J100" s="18" t="str">
        <f aca="false">IF($A100="","",$B100+$C100+$D100-$E100+$F100-$G100)</f>
        <v/>
      </c>
      <c r="K100" s="18" t="str">
        <f aca="false">IF($A100="","",MAX(0,$B100-$J100))</f>
        <v/>
      </c>
      <c r="L100" s="19" t="str">
        <f aca="false">IF($A100="","",IF($B100=0,0,$K100/$B100))</f>
        <v/>
      </c>
      <c r="M100" s="20" t="str">
        <f aca="false">IF($A100="","",IF($J100&lt;0,"BORCA BATIK",IF($I100&lt;$H100,"BORCA BATIK",IF($L100&gt;=TtkUcteIkiEsik,"2/3 KAYIP (KRİTİK)",IF($L100&gt;=TtkUcteBirEsik,"1/3 KAYIP (DİKKAT)","UYGUN")))))</f>
        <v/>
      </c>
    </row>
    <row r="101" customFormat="false" ht="15" hidden="false" customHeight="false" outlineLevel="0" collapsed="false">
      <c r="A101" s="21"/>
      <c r="B101" s="17"/>
      <c r="C101" s="17"/>
      <c r="D101" s="17"/>
      <c r="E101" s="17"/>
      <c r="F101" s="17"/>
      <c r="G101" s="17"/>
      <c r="H101" s="17"/>
      <c r="I101" s="17"/>
      <c r="J101" s="18" t="str">
        <f aca="false">IF($A101="","",$B101+$C101+$D101-$E101+$F101-$G101)</f>
        <v/>
      </c>
      <c r="K101" s="18" t="str">
        <f aca="false">IF($A101="","",MAX(0,$B101-$J101))</f>
        <v/>
      </c>
      <c r="L101" s="19" t="str">
        <f aca="false">IF($A101="","",IF($B101=0,0,$K101/$B101))</f>
        <v/>
      </c>
      <c r="M101" s="20" t="str">
        <f aca="false">IF($A101="","",IF($J101&lt;0,"BORCA BATIK",IF($I101&lt;$H101,"BORCA BATIK",IF($L101&gt;=TtkUcteIkiEsik,"2/3 KAYIP (KRİTİK)",IF($L101&gt;=TtkUcteBirEsik,"1/3 KAYIP (DİKKAT)","UYGUN")))))</f>
        <v/>
      </c>
    </row>
    <row r="102" customFormat="false" ht="15" hidden="false" customHeight="false" outlineLevel="0" collapsed="false">
      <c r="A102" s="21"/>
      <c r="B102" s="17"/>
      <c r="C102" s="17"/>
      <c r="D102" s="17"/>
      <c r="E102" s="17"/>
      <c r="F102" s="17"/>
      <c r="G102" s="17"/>
      <c r="H102" s="17"/>
      <c r="I102" s="17"/>
      <c r="J102" s="18" t="str">
        <f aca="false">IF($A102="","",$B102+$C102+$D102-$E102+$F102-$G102)</f>
        <v/>
      </c>
      <c r="K102" s="18" t="str">
        <f aca="false">IF($A102="","",MAX(0,$B102-$J102))</f>
        <v/>
      </c>
      <c r="L102" s="19" t="str">
        <f aca="false">IF($A102="","",IF($B102=0,0,$K102/$B102))</f>
        <v/>
      </c>
      <c r="M102" s="20" t="str">
        <f aca="false">IF($A102="","",IF($J102&lt;0,"BORCA BATIK",IF($I102&lt;$H102,"BORCA BATIK",IF($L102&gt;=TtkUcteIkiEsik,"2/3 KAYIP (KRİTİK)",IF($L102&gt;=TtkUcteBirEsik,"1/3 KAYIP (DİKKAT)","UYGUN")))))</f>
        <v/>
      </c>
    </row>
    <row r="103" customFormat="false" ht="15" hidden="false" customHeight="false" outlineLevel="0" collapsed="false">
      <c r="A103" s="21"/>
      <c r="B103" s="17"/>
      <c r="C103" s="17"/>
      <c r="D103" s="17"/>
      <c r="E103" s="17"/>
      <c r="F103" s="17"/>
      <c r="G103" s="17"/>
      <c r="H103" s="17"/>
      <c r="I103" s="17"/>
      <c r="J103" s="18" t="str">
        <f aca="false">IF($A103="","",$B103+$C103+$D103-$E103+$F103-$G103)</f>
        <v/>
      </c>
      <c r="K103" s="18" t="str">
        <f aca="false">IF($A103="","",MAX(0,$B103-$J103))</f>
        <v/>
      </c>
      <c r="L103" s="19" t="str">
        <f aca="false">IF($A103="","",IF($B103=0,0,$K103/$B103))</f>
        <v/>
      </c>
      <c r="M103" s="20" t="str">
        <f aca="false">IF($A103="","",IF($J103&lt;0,"BORCA BATIK",IF($I103&lt;$H103,"BORCA BATIK",IF($L103&gt;=TtkUcteIkiEsik,"2/3 KAYIP (KRİTİK)",IF($L103&gt;=TtkUcteBirEsik,"1/3 KAYIP (DİKKAT)","UYGUN")))))</f>
        <v/>
      </c>
    </row>
    <row r="104" customFormat="false" ht="15" hidden="false" customHeight="false" outlineLevel="0" collapsed="false">
      <c r="A104" s="21"/>
      <c r="B104" s="17"/>
      <c r="C104" s="17"/>
      <c r="D104" s="17"/>
      <c r="E104" s="17"/>
      <c r="F104" s="17"/>
      <c r="G104" s="17"/>
      <c r="H104" s="17"/>
      <c r="I104" s="17"/>
      <c r="J104" s="18" t="str">
        <f aca="false">IF($A104="","",$B104+$C104+$D104-$E104+$F104-$G104)</f>
        <v/>
      </c>
      <c r="K104" s="18" t="str">
        <f aca="false">IF($A104="","",MAX(0,$B104-$J104))</f>
        <v/>
      </c>
      <c r="L104" s="19" t="str">
        <f aca="false">IF($A104="","",IF($B104=0,0,$K104/$B104))</f>
        <v/>
      </c>
      <c r="M104" s="20" t="str">
        <f aca="false">IF($A104="","",IF($J104&lt;0,"BORCA BATIK",IF($I104&lt;$H104,"BORCA BATIK",IF($L104&gt;=TtkUcteIkiEsik,"2/3 KAYIP (KRİTİK)",IF($L104&gt;=TtkUcteBirEsik,"1/3 KAYIP (DİKKAT)","UYGUN")))))</f>
        <v/>
      </c>
    </row>
    <row r="105" customFormat="false" ht="15" hidden="false" customHeight="false" outlineLevel="0" collapsed="false">
      <c r="A105" s="21"/>
      <c r="B105" s="17"/>
      <c r="C105" s="17"/>
      <c r="D105" s="17"/>
      <c r="E105" s="17"/>
      <c r="F105" s="17"/>
      <c r="G105" s="17"/>
      <c r="H105" s="17"/>
      <c r="I105" s="17"/>
      <c r="J105" s="18" t="str">
        <f aca="false">IF($A105="","",$B105+$C105+$D105-$E105+$F105-$G105)</f>
        <v/>
      </c>
      <c r="K105" s="18" t="str">
        <f aca="false">IF($A105="","",MAX(0,$B105-$J105))</f>
        <v/>
      </c>
      <c r="L105" s="19" t="str">
        <f aca="false">IF($A105="","",IF($B105=0,0,$K105/$B105))</f>
        <v/>
      </c>
      <c r="M105" s="20" t="str">
        <f aca="false">IF($A105="","",IF($J105&lt;0,"BORCA BATIK",IF($I105&lt;$H105,"BORCA BATIK",IF($L105&gt;=TtkUcteIkiEsik,"2/3 KAYIP (KRİTİK)",IF($L105&gt;=TtkUcteBirEsik,"1/3 KAYIP (DİKKAT)","UYGUN")))))</f>
        <v/>
      </c>
    </row>
    <row r="106" customFormat="false" ht="15" hidden="false" customHeight="false" outlineLevel="0" collapsed="false">
      <c r="A106" s="21"/>
      <c r="B106" s="17"/>
      <c r="C106" s="17"/>
      <c r="D106" s="17"/>
      <c r="E106" s="17"/>
      <c r="F106" s="17"/>
      <c r="G106" s="17"/>
      <c r="H106" s="17"/>
      <c r="I106" s="17"/>
      <c r="J106" s="18" t="str">
        <f aca="false">IF($A106="","",$B106+$C106+$D106-$E106+$F106-$G106)</f>
        <v/>
      </c>
      <c r="K106" s="18" t="str">
        <f aca="false">IF($A106="","",MAX(0,$B106-$J106))</f>
        <v/>
      </c>
      <c r="L106" s="19" t="str">
        <f aca="false">IF($A106="","",IF($B106=0,0,$K106/$B106))</f>
        <v/>
      </c>
      <c r="M106" s="20" t="str">
        <f aca="false">IF($A106="","",IF($J106&lt;0,"BORCA BATIK",IF($I106&lt;$H106,"BORCA BATIK",IF($L106&gt;=TtkUcteIkiEsik,"2/3 KAYIP (KRİTİK)",IF($L106&gt;=TtkUcteBirEsik,"1/3 KAYIP (DİKKAT)","UYGUN")))))</f>
        <v/>
      </c>
    </row>
    <row r="107" customFormat="false" ht="15" hidden="false" customHeight="false" outlineLevel="0" collapsed="false">
      <c r="A107" s="21"/>
      <c r="B107" s="17"/>
      <c r="C107" s="17"/>
      <c r="D107" s="17"/>
      <c r="E107" s="17"/>
      <c r="F107" s="17"/>
      <c r="G107" s="17"/>
      <c r="H107" s="17"/>
      <c r="I107" s="17"/>
      <c r="J107" s="18" t="str">
        <f aca="false">IF($A107="","",$B107+$C107+$D107-$E107+$F107-$G107)</f>
        <v/>
      </c>
      <c r="K107" s="18" t="str">
        <f aca="false">IF($A107="","",MAX(0,$B107-$J107))</f>
        <v/>
      </c>
      <c r="L107" s="19" t="str">
        <f aca="false">IF($A107="","",IF($B107=0,0,$K107/$B107))</f>
        <v/>
      </c>
      <c r="M107" s="20" t="str">
        <f aca="false">IF($A107="","",IF($J107&lt;0,"BORCA BATIK",IF($I107&lt;$H107,"BORCA BATIK",IF($L107&gt;=TtkUcteIkiEsik,"2/3 KAYIP (KRİTİK)",IF($L107&gt;=TtkUcteBirEsik,"1/3 KAYIP (DİKKAT)","UYGUN")))))</f>
        <v/>
      </c>
    </row>
    <row r="108" customFormat="false" ht="15" hidden="false" customHeight="false" outlineLevel="0" collapsed="false">
      <c r="A108" s="21"/>
      <c r="B108" s="17"/>
      <c r="C108" s="17"/>
      <c r="D108" s="17"/>
      <c r="E108" s="17"/>
      <c r="F108" s="17"/>
      <c r="G108" s="17"/>
      <c r="H108" s="17"/>
      <c r="I108" s="17"/>
      <c r="J108" s="18" t="str">
        <f aca="false">IF($A108="","",$B108+$C108+$D108-$E108+$F108-$G108)</f>
        <v/>
      </c>
      <c r="K108" s="18" t="str">
        <f aca="false">IF($A108="","",MAX(0,$B108-$J108))</f>
        <v/>
      </c>
      <c r="L108" s="19" t="str">
        <f aca="false">IF($A108="","",IF($B108=0,0,$K108/$B108))</f>
        <v/>
      </c>
      <c r="M108" s="20" t="str">
        <f aca="false">IF($A108="","",IF($J108&lt;0,"BORCA BATIK",IF($I108&lt;$H108,"BORCA BATIK",IF($L108&gt;=TtkUcteIkiEsik,"2/3 KAYIP (KRİTİK)",IF($L108&gt;=TtkUcteBirEsik,"1/3 KAYIP (DİKKAT)","UYGUN")))))</f>
        <v/>
      </c>
    </row>
    <row r="109" customFormat="false" ht="15" hidden="false" customHeight="false" outlineLevel="0" collapsed="false">
      <c r="A109" s="21"/>
      <c r="B109" s="17"/>
      <c r="C109" s="17"/>
      <c r="D109" s="17"/>
      <c r="E109" s="17"/>
      <c r="F109" s="17"/>
      <c r="G109" s="17"/>
      <c r="H109" s="17"/>
      <c r="I109" s="17"/>
      <c r="J109" s="18" t="str">
        <f aca="false">IF($A109="","",$B109+$C109+$D109-$E109+$F109-$G109)</f>
        <v/>
      </c>
      <c r="K109" s="18" t="str">
        <f aca="false">IF($A109="","",MAX(0,$B109-$J109))</f>
        <v/>
      </c>
      <c r="L109" s="19" t="str">
        <f aca="false">IF($A109="","",IF($B109=0,0,$K109/$B109))</f>
        <v/>
      </c>
      <c r="M109" s="20" t="str">
        <f aca="false">IF($A109="","",IF($J109&lt;0,"BORCA BATIK",IF($I109&lt;$H109,"BORCA BATIK",IF($L109&gt;=TtkUcteIkiEsik,"2/3 KAYIP (KRİTİK)",IF($L109&gt;=TtkUcteBirEsik,"1/3 KAYIP (DİKKAT)","UYGUN")))))</f>
        <v/>
      </c>
    </row>
    <row r="110" customFormat="false" ht="15" hidden="false" customHeight="false" outlineLevel="0" collapsed="false">
      <c r="A110" s="21"/>
      <c r="B110" s="17"/>
      <c r="C110" s="17"/>
      <c r="D110" s="17"/>
      <c r="E110" s="17"/>
      <c r="F110" s="17"/>
      <c r="G110" s="17"/>
      <c r="H110" s="17"/>
      <c r="I110" s="17"/>
      <c r="J110" s="18" t="str">
        <f aca="false">IF($A110="","",$B110+$C110+$D110-$E110+$F110-$G110)</f>
        <v/>
      </c>
      <c r="K110" s="18" t="str">
        <f aca="false">IF($A110="","",MAX(0,$B110-$J110))</f>
        <v/>
      </c>
      <c r="L110" s="19" t="str">
        <f aca="false">IF($A110="","",IF($B110=0,0,$K110/$B110))</f>
        <v/>
      </c>
      <c r="M110" s="20" t="str">
        <f aca="false">IF($A110="","",IF($J110&lt;0,"BORCA BATIK",IF($I110&lt;$H110,"BORCA BATIK",IF($L110&gt;=TtkUcteIkiEsik,"2/3 KAYIP (KRİTİK)",IF($L110&gt;=TtkUcteBirEsik,"1/3 KAYIP (DİKKAT)","UYGUN")))))</f>
        <v/>
      </c>
    </row>
    <row r="111" customFormat="false" ht="15" hidden="false" customHeight="false" outlineLevel="0" collapsed="false">
      <c r="A111" s="21"/>
      <c r="B111" s="17"/>
      <c r="C111" s="17"/>
      <c r="D111" s="17"/>
      <c r="E111" s="17"/>
      <c r="F111" s="17"/>
      <c r="G111" s="17"/>
      <c r="H111" s="17"/>
      <c r="I111" s="17"/>
      <c r="J111" s="18" t="str">
        <f aca="false">IF($A111="","",$B111+$C111+$D111-$E111+$F111-$G111)</f>
        <v/>
      </c>
      <c r="K111" s="18" t="str">
        <f aca="false">IF($A111="","",MAX(0,$B111-$J111))</f>
        <v/>
      </c>
      <c r="L111" s="19" t="str">
        <f aca="false">IF($A111="","",IF($B111=0,0,$K111/$B111))</f>
        <v/>
      </c>
      <c r="M111" s="20" t="str">
        <f aca="false">IF($A111="","",IF($J111&lt;0,"BORCA BATIK",IF($I111&lt;$H111,"BORCA BATIK",IF($L111&gt;=TtkUcteIkiEsik,"2/3 KAYIP (KRİTİK)",IF($L111&gt;=TtkUcteBirEsik,"1/3 KAYIP (DİKKAT)","UYGUN")))))</f>
        <v/>
      </c>
    </row>
    <row r="112" customFormat="false" ht="15" hidden="false" customHeight="false" outlineLevel="0" collapsed="false">
      <c r="A112" s="21"/>
      <c r="B112" s="17"/>
      <c r="C112" s="17"/>
      <c r="D112" s="17"/>
      <c r="E112" s="17"/>
      <c r="F112" s="17"/>
      <c r="G112" s="17"/>
      <c r="H112" s="17"/>
      <c r="I112" s="17"/>
      <c r="J112" s="18" t="str">
        <f aca="false">IF($A112="","",$B112+$C112+$D112-$E112+$F112-$G112)</f>
        <v/>
      </c>
      <c r="K112" s="18" t="str">
        <f aca="false">IF($A112="","",MAX(0,$B112-$J112))</f>
        <v/>
      </c>
      <c r="L112" s="19" t="str">
        <f aca="false">IF($A112="","",IF($B112=0,0,$K112/$B112))</f>
        <v/>
      </c>
      <c r="M112" s="20" t="str">
        <f aca="false">IF($A112="","",IF($J112&lt;0,"BORCA BATIK",IF($I112&lt;$H112,"BORCA BATIK",IF($L112&gt;=TtkUcteIkiEsik,"2/3 KAYIP (KRİTİK)",IF($L112&gt;=TtkUcteBirEsik,"1/3 KAYIP (DİKKAT)","UYGUN")))))</f>
        <v/>
      </c>
    </row>
    <row r="113" customFormat="false" ht="15" hidden="false" customHeight="false" outlineLevel="0" collapsed="false">
      <c r="A113" s="21"/>
      <c r="B113" s="17"/>
      <c r="C113" s="17"/>
      <c r="D113" s="17"/>
      <c r="E113" s="17"/>
      <c r="F113" s="17"/>
      <c r="G113" s="17"/>
      <c r="H113" s="17"/>
      <c r="I113" s="17"/>
      <c r="J113" s="18" t="str">
        <f aca="false">IF($A113="","",$B113+$C113+$D113-$E113+$F113-$G113)</f>
        <v/>
      </c>
      <c r="K113" s="18" t="str">
        <f aca="false">IF($A113="","",MAX(0,$B113-$J113))</f>
        <v/>
      </c>
      <c r="L113" s="19" t="str">
        <f aca="false">IF($A113="","",IF($B113=0,0,$K113/$B113))</f>
        <v/>
      </c>
      <c r="M113" s="20" t="str">
        <f aca="false">IF($A113="","",IF($J113&lt;0,"BORCA BATIK",IF($I113&lt;$H113,"BORCA BATIK",IF($L113&gt;=TtkUcteIkiEsik,"2/3 KAYIP (KRİTİK)",IF($L113&gt;=TtkUcteBirEsik,"1/3 KAYIP (DİKKAT)","UYGUN")))))</f>
        <v/>
      </c>
    </row>
    <row r="114" customFormat="false" ht="15" hidden="false" customHeight="false" outlineLevel="0" collapsed="false">
      <c r="A114" s="21"/>
      <c r="B114" s="17"/>
      <c r="C114" s="17"/>
      <c r="D114" s="17"/>
      <c r="E114" s="17"/>
      <c r="F114" s="17"/>
      <c r="G114" s="17"/>
      <c r="H114" s="17"/>
      <c r="I114" s="17"/>
      <c r="J114" s="18" t="str">
        <f aca="false">IF($A114="","",$B114+$C114+$D114-$E114+$F114-$G114)</f>
        <v/>
      </c>
      <c r="K114" s="18" t="str">
        <f aca="false">IF($A114="","",MAX(0,$B114-$J114))</f>
        <v/>
      </c>
      <c r="L114" s="19" t="str">
        <f aca="false">IF($A114="","",IF($B114=0,0,$K114/$B114))</f>
        <v/>
      </c>
      <c r="M114" s="20" t="str">
        <f aca="false">IF($A114="","",IF($J114&lt;0,"BORCA BATIK",IF($I114&lt;$H114,"BORCA BATIK",IF($L114&gt;=TtkUcteIkiEsik,"2/3 KAYIP (KRİTİK)",IF($L114&gt;=TtkUcteBirEsik,"1/3 KAYIP (DİKKAT)","UYGUN")))))</f>
        <v/>
      </c>
    </row>
    <row r="115" customFormat="false" ht="15" hidden="false" customHeight="false" outlineLevel="0" collapsed="false">
      <c r="A115" s="21"/>
      <c r="B115" s="17"/>
      <c r="C115" s="17"/>
      <c r="D115" s="17"/>
      <c r="E115" s="17"/>
      <c r="F115" s="17"/>
      <c r="G115" s="17"/>
      <c r="H115" s="17"/>
      <c r="I115" s="17"/>
      <c r="J115" s="18" t="str">
        <f aca="false">IF($A115="","",$B115+$C115+$D115-$E115+$F115-$G115)</f>
        <v/>
      </c>
      <c r="K115" s="18" t="str">
        <f aca="false">IF($A115="","",MAX(0,$B115-$J115))</f>
        <v/>
      </c>
      <c r="L115" s="19" t="str">
        <f aca="false">IF($A115="","",IF($B115=0,0,$K115/$B115))</f>
        <v/>
      </c>
      <c r="M115" s="20" t="str">
        <f aca="false">IF($A115="","",IF($J115&lt;0,"BORCA BATIK",IF($I115&lt;$H115,"BORCA BATIK",IF($L115&gt;=TtkUcteIkiEsik,"2/3 KAYIP (KRİTİK)",IF($L115&gt;=TtkUcteBirEsik,"1/3 KAYIP (DİKKAT)","UYGUN")))))</f>
        <v/>
      </c>
    </row>
    <row r="116" customFormat="false" ht="15" hidden="false" customHeight="false" outlineLevel="0" collapsed="false">
      <c r="A116" s="21"/>
      <c r="B116" s="17"/>
      <c r="C116" s="17"/>
      <c r="D116" s="17"/>
      <c r="E116" s="17"/>
      <c r="F116" s="17"/>
      <c r="G116" s="17"/>
      <c r="H116" s="17"/>
      <c r="I116" s="17"/>
      <c r="J116" s="18" t="str">
        <f aca="false">IF($A116="","",$B116+$C116+$D116-$E116+$F116-$G116)</f>
        <v/>
      </c>
      <c r="K116" s="18" t="str">
        <f aca="false">IF($A116="","",MAX(0,$B116-$J116))</f>
        <v/>
      </c>
      <c r="L116" s="19" t="str">
        <f aca="false">IF($A116="","",IF($B116=0,0,$K116/$B116))</f>
        <v/>
      </c>
      <c r="M116" s="20" t="str">
        <f aca="false">IF($A116="","",IF($J116&lt;0,"BORCA BATIK",IF($I116&lt;$H116,"BORCA BATIK",IF($L116&gt;=TtkUcteIkiEsik,"2/3 KAYIP (KRİTİK)",IF($L116&gt;=TtkUcteBirEsik,"1/3 KAYIP (DİKKAT)","UYGUN")))))</f>
        <v/>
      </c>
    </row>
    <row r="117" customFormat="false" ht="15" hidden="false" customHeight="false" outlineLevel="0" collapsed="false">
      <c r="A117" s="21"/>
      <c r="B117" s="17"/>
      <c r="C117" s="17"/>
      <c r="D117" s="17"/>
      <c r="E117" s="17"/>
      <c r="F117" s="17"/>
      <c r="G117" s="17"/>
      <c r="H117" s="17"/>
      <c r="I117" s="17"/>
      <c r="J117" s="18" t="str">
        <f aca="false">IF($A117="","",$B117+$C117+$D117-$E117+$F117-$G117)</f>
        <v/>
      </c>
      <c r="K117" s="18" t="str">
        <f aca="false">IF($A117="","",MAX(0,$B117-$J117))</f>
        <v/>
      </c>
      <c r="L117" s="19" t="str">
        <f aca="false">IF($A117="","",IF($B117=0,0,$K117/$B117))</f>
        <v/>
      </c>
      <c r="M117" s="20" t="str">
        <f aca="false">IF($A117="","",IF($J117&lt;0,"BORCA BATIK",IF($I117&lt;$H117,"BORCA BATIK",IF($L117&gt;=TtkUcteIkiEsik,"2/3 KAYIP (KRİTİK)",IF($L117&gt;=TtkUcteBirEsik,"1/3 KAYIP (DİKKAT)","UYGUN")))))</f>
        <v/>
      </c>
    </row>
    <row r="118" customFormat="false" ht="15" hidden="false" customHeight="false" outlineLevel="0" collapsed="false">
      <c r="A118" s="21"/>
      <c r="B118" s="17"/>
      <c r="C118" s="17"/>
      <c r="D118" s="17"/>
      <c r="E118" s="17"/>
      <c r="F118" s="17"/>
      <c r="G118" s="17"/>
      <c r="H118" s="17"/>
      <c r="I118" s="17"/>
      <c r="J118" s="18" t="str">
        <f aca="false">IF($A118="","",$B118+$C118+$D118-$E118+$F118-$G118)</f>
        <v/>
      </c>
      <c r="K118" s="18" t="str">
        <f aca="false">IF($A118="","",MAX(0,$B118-$J118))</f>
        <v/>
      </c>
      <c r="L118" s="19" t="str">
        <f aca="false">IF($A118="","",IF($B118=0,0,$K118/$B118))</f>
        <v/>
      </c>
      <c r="M118" s="20" t="str">
        <f aca="false">IF($A118="","",IF($J118&lt;0,"BORCA BATIK",IF($I118&lt;$H118,"BORCA BATIK",IF($L118&gt;=TtkUcteIkiEsik,"2/3 KAYIP (KRİTİK)",IF($L118&gt;=TtkUcteBirEsik,"1/3 KAYIP (DİKKAT)","UYGUN")))))</f>
        <v/>
      </c>
    </row>
    <row r="119" customFormat="false" ht="15" hidden="false" customHeight="false" outlineLevel="0" collapsed="false">
      <c r="A119" s="21"/>
      <c r="B119" s="17"/>
      <c r="C119" s="17"/>
      <c r="D119" s="17"/>
      <c r="E119" s="17"/>
      <c r="F119" s="17"/>
      <c r="G119" s="17"/>
      <c r="H119" s="17"/>
      <c r="I119" s="17"/>
      <c r="J119" s="18" t="str">
        <f aca="false">IF($A119="","",$B119+$C119+$D119-$E119+$F119-$G119)</f>
        <v/>
      </c>
      <c r="K119" s="18" t="str">
        <f aca="false">IF($A119="","",MAX(0,$B119-$J119))</f>
        <v/>
      </c>
      <c r="L119" s="19" t="str">
        <f aca="false">IF($A119="","",IF($B119=0,0,$K119/$B119))</f>
        <v/>
      </c>
      <c r="M119" s="20" t="str">
        <f aca="false">IF($A119="","",IF($J119&lt;0,"BORCA BATIK",IF($I119&lt;$H119,"BORCA BATIK",IF($L119&gt;=TtkUcteIkiEsik,"2/3 KAYIP (KRİTİK)",IF($L119&gt;=TtkUcteBirEsik,"1/3 KAYIP (DİKKAT)","UYGUN")))))</f>
        <v/>
      </c>
    </row>
    <row r="120" customFormat="false" ht="15" hidden="false" customHeight="false" outlineLevel="0" collapsed="false">
      <c r="A120" s="21"/>
      <c r="B120" s="17"/>
      <c r="C120" s="17"/>
      <c r="D120" s="17"/>
      <c r="E120" s="17"/>
      <c r="F120" s="17"/>
      <c r="G120" s="17"/>
      <c r="H120" s="17"/>
      <c r="I120" s="17"/>
      <c r="J120" s="18" t="str">
        <f aca="false">IF($A120="","",$B120+$C120+$D120-$E120+$F120-$G120)</f>
        <v/>
      </c>
      <c r="K120" s="18" t="str">
        <f aca="false">IF($A120="","",MAX(0,$B120-$J120))</f>
        <v/>
      </c>
      <c r="L120" s="19" t="str">
        <f aca="false">IF($A120="","",IF($B120=0,0,$K120/$B120))</f>
        <v/>
      </c>
      <c r="M120" s="20" t="str">
        <f aca="false">IF($A120="","",IF($J120&lt;0,"BORCA BATIK",IF($I120&lt;$H120,"BORCA BATIK",IF($L120&gt;=TtkUcteIkiEsik,"2/3 KAYIP (KRİTİK)",IF($L120&gt;=TtkUcteBirEsik,"1/3 KAYIP (DİKKAT)","UYGUN")))))</f>
        <v/>
      </c>
    </row>
    <row r="121" customFormat="false" ht="15" hidden="false" customHeight="false" outlineLevel="0" collapsed="false">
      <c r="A121" s="21"/>
      <c r="B121" s="17"/>
      <c r="C121" s="17"/>
      <c r="D121" s="17"/>
      <c r="E121" s="17"/>
      <c r="F121" s="17"/>
      <c r="G121" s="17"/>
      <c r="H121" s="17"/>
      <c r="I121" s="17"/>
      <c r="J121" s="18" t="str">
        <f aca="false">IF($A121="","",$B121+$C121+$D121-$E121+$F121-$G121)</f>
        <v/>
      </c>
      <c r="K121" s="18" t="str">
        <f aca="false">IF($A121="","",MAX(0,$B121-$J121))</f>
        <v/>
      </c>
      <c r="L121" s="19" t="str">
        <f aca="false">IF($A121="","",IF($B121=0,0,$K121/$B121))</f>
        <v/>
      </c>
      <c r="M121" s="20" t="str">
        <f aca="false">IF($A121="","",IF($J121&lt;0,"BORCA BATIK",IF($I121&lt;$H121,"BORCA BATIK",IF($L121&gt;=TtkUcteIkiEsik,"2/3 KAYIP (KRİTİK)",IF($L121&gt;=TtkUcteBirEsik,"1/3 KAYIP (DİKKAT)","UYGUN")))))</f>
        <v/>
      </c>
    </row>
    <row r="122" customFormat="false" ht="15" hidden="false" customHeight="false" outlineLevel="0" collapsed="false">
      <c r="A122" s="21"/>
      <c r="B122" s="17"/>
      <c r="C122" s="17"/>
      <c r="D122" s="17"/>
      <c r="E122" s="17"/>
      <c r="F122" s="17"/>
      <c r="G122" s="17"/>
      <c r="H122" s="17"/>
      <c r="I122" s="17"/>
      <c r="J122" s="18" t="str">
        <f aca="false">IF($A122="","",$B122+$C122+$D122-$E122+$F122-$G122)</f>
        <v/>
      </c>
      <c r="K122" s="18" t="str">
        <f aca="false">IF($A122="","",MAX(0,$B122-$J122))</f>
        <v/>
      </c>
      <c r="L122" s="19" t="str">
        <f aca="false">IF($A122="","",IF($B122=0,0,$K122/$B122))</f>
        <v/>
      </c>
      <c r="M122" s="20" t="str">
        <f aca="false">IF($A122="","",IF($J122&lt;0,"BORCA BATIK",IF($I122&lt;$H122,"BORCA BATIK",IF($L122&gt;=TtkUcteIkiEsik,"2/3 KAYIP (KRİTİK)",IF($L122&gt;=TtkUcteBirEsik,"1/3 KAYIP (DİKKAT)","UYGUN")))))</f>
        <v/>
      </c>
    </row>
    <row r="123" customFormat="false" ht="15" hidden="false" customHeight="false" outlineLevel="0" collapsed="false">
      <c r="A123" s="21"/>
      <c r="B123" s="17"/>
      <c r="C123" s="17"/>
      <c r="D123" s="17"/>
      <c r="E123" s="17"/>
      <c r="F123" s="17"/>
      <c r="G123" s="17"/>
      <c r="H123" s="17"/>
      <c r="I123" s="17"/>
      <c r="J123" s="18" t="str">
        <f aca="false">IF($A123="","",$B123+$C123+$D123-$E123+$F123-$G123)</f>
        <v/>
      </c>
      <c r="K123" s="18" t="str">
        <f aca="false">IF($A123="","",MAX(0,$B123-$J123))</f>
        <v/>
      </c>
      <c r="L123" s="19" t="str">
        <f aca="false">IF($A123="","",IF($B123=0,0,$K123/$B123))</f>
        <v/>
      </c>
      <c r="M123" s="20" t="str">
        <f aca="false">IF($A123="","",IF($J123&lt;0,"BORCA BATIK",IF($I123&lt;$H123,"BORCA BATIK",IF($L123&gt;=TtkUcteIkiEsik,"2/3 KAYIP (KRİTİK)",IF($L123&gt;=TtkUcteBirEsik,"1/3 KAYIP (DİKKAT)","UYGUN")))))</f>
        <v/>
      </c>
    </row>
    <row r="124" customFormat="false" ht="15" hidden="false" customHeight="false" outlineLevel="0" collapsed="false">
      <c r="A124" s="21"/>
      <c r="B124" s="17"/>
      <c r="C124" s="17"/>
      <c r="D124" s="17"/>
      <c r="E124" s="17"/>
      <c r="F124" s="17"/>
      <c r="G124" s="17"/>
      <c r="H124" s="17"/>
      <c r="I124" s="17"/>
      <c r="J124" s="18" t="str">
        <f aca="false">IF($A124="","",$B124+$C124+$D124-$E124+$F124-$G124)</f>
        <v/>
      </c>
      <c r="K124" s="18" t="str">
        <f aca="false">IF($A124="","",MAX(0,$B124-$J124))</f>
        <v/>
      </c>
      <c r="L124" s="19" t="str">
        <f aca="false">IF($A124="","",IF($B124=0,0,$K124/$B124))</f>
        <v/>
      </c>
      <c r="M124" s="20" t="str">
        <f aca="false">IF($A124="","",IF($J124&lt;0,"BORCA BATIK",IF($I124&lt;$H124,"BORCA BATIK",IF($L124&gt;=TtkUcteIkiEsik,"2/3 KAYIP (KRİTİK)",IF($L124&gt;=TtkUcteBirEsik,"1/3 KAYIP (DİKKAT)","UYGUN")))))</f>
        <v/>
      </c>
    </row>
    <row r="125" customFormat="false" ht="15" hidden="false" customHeight="false" outlineLevel="0" collapsed="false">
      <c r="A125" s="21"/>
      <c r="B125" s="17"/>
      <c r="C125" s="17"/>
      <c r="D125" s="17"/>
      <c r="E125" s="17"/>
      <c r="F125" s="17"/>
      <c r="G125" s="17"/>
      <c r="H125" s="17"/>
      <c r="I125" s="17"/>
      <c r="J125" s="18" t="str">
        <f aca="false">IF($A125="","",$B125+$C125+$D125-$E125+$F125-$G125)</f>
        <v/>
      </c>
      <c r="K125" s="18" t="str">
        <f aca="false">IF($A125="","",MAX(0,$B125-$J125))</f>
        <v/>
      </c>
      <c r="L125" s="19" t="str">
        <f aca="false">IF($A125="","",IF($B125=0,0,$K125/$B125))</f>
        <v/>
      </c>
      <c r="M125" s="20" t="str">
        <f aca="false">IF($A125="","",IF($J125&lt;0,"BORCA BATIK",IF($I125&lt;$H125,"BORCA BATIK",IF($L125&gt;=TtkUcteIkiEsik,"2/3 KAYIP (KRİTİK)",IF($L125&gt;=TtkUcteBirEsik,"1/3 KAYIP (DİKKAT)","UYGUN")))))</f>
        <v/>
      </c>
    </row>
    <row r="126" customFormat="false" ht="15" hidden="false" customHeight="false" outlineLevel="0" collapsed="false">
      <c r="A126" s="21"/>
      <c r="B126" s="17"/>
      <c r="C126" s="17"/>
      <c r="D126" s="17"/>
      <c r="E126" s="17"/>
      <c r="F126" s="17"/>
      <c r="G126" s="17"/>
      <c r="H126" s="17"/>
      <c r="I126" s="17"/>
      <c r="J126" s="18" t="str">
        <f aca="false">IF($A126="","",$B126+$C126+$D126-$E126+$F126-$G126)</f>
        <v/>
      </c>
      <c r="K126" s="18" t="str">
        <f aca="false">IF($A126="","",MAX(0,$B126-$J126))</f>
        <v/>
      </c>
      <c r="L126" s="19" t="str">
        <f aca="false">IF($A126="","",IF($B126=0,0,$K126/$B126))</f>
        <v/>
      </c>
      <c r="M126" s="20" t="str">
        <f aca="false">IF($A126="","",IF($J126&lt;0,"BORCA BATIK",IF($I126&lt;$H126,"BORCA BATIK",IF($L126&gt;=TtkUcteIkiEsik,"2/3 KAYIP (KRİTİK)",IF($L126&gt;=TtkUcteBirEsik,"1/3 KAYIP (DİKKAT)","UYGUN")))))</f>
        <v/>
      </c>
    </row>
    <row r="127" customFormat="false" ht="15" hidden="false" customHeight="false" outlineLevel="0" collapsed="false">
      <c r="A127" s="21"/>
      <c r="B127" s="17"/>
      <c r="C127" s="17"/>
      <c r="D127" s="17"/>
      <c r="E127" s="17"/>
      <c r="F127" s="17"/>
      <c r="G127" s="17"/>
      <c r="H127" s="17"/>
      <c r="I127" s="17"/>
      <c r="J127" s="18" t="str">
        <f aca="false">IF($A127="","",$B127+$C127+$D127-$E127+$F127-$G127)</f>
        <v/>
      </c>
      <c r="K127" s="18" t="str">
        <f aca="false">IF($A127="","",MAX(0,$B127-$J127))</f>
        <v/>
      </c>
      <c r="L127" s="19" t="str">
        <f aca="false">IF($A127="","",IF($B127=0,0,$K127/$B127))</f>
        <v/>
      </c>
      <c r="M127" s="20" t="str">
        <f aca="false">IF($A127="","",IF($J127&lt;0,"BORCA BATIK",IF($I127&lt;$H127,"BORCA BATIK",IF($L127&gt;=TtkUcteIkiEsik,"2/3 KAYIP (KRİTİK)",IF($L127&gt;=TtkUcteBirEsik,"1/3 KAYIP (DİKKAT)","UYGUN")))))</f>
        <v/>
      </c>
    </row>
    <row r="128" customFormat="false" ht="15" hidden="false" customHeight="false" outlineLevel="0" collapsed="false">
      <c r="A128" s="21"/>
      <c r="B128" s="17"/>
      <c r="C128" s="17"/>
      <c r="D128" s="17"/>
      <c r="E128" s="17"/>
      <c r="F128" s="17"/>
      <c r="G128" s="17"/>
      <c r="H128" s="17"/>
      <c r="I128" s="17"/>
      <c r="J128" s="18" t="str">
        <f aca="false">IF($A128="","",$B128+$C128+$D128-$E128+$F128-$G128)</f>
        <v/>
      </c>
      <c r="K128" s="18" t="str">
        <f aca="false">IF($A128="","",MAX(0,$B128-$J128))</f>
        <v/>
      </c>
      <c r="L128" s="19" t="str">
        <f aca="false">IF($A128="","",IF($B128=0,0,$K128/$B128))</f>
        <v/>
      </c>
      <c r="M128" s="20" t="str">
        <f aca="false">IF($A128="","",IF($J128&lt;0,"BORCA BATIK",IF($I128&lt;$H128,"BORCA BATIK",IF($L128&gt;=TtkUcteIkiEsik,"2/3 KAYIP (KRİTİK)",IF($L128&gt;=TtkUcteBirEsik,"1/3 KAYIP (DİKKAT)","UYGUN")))))</f>
        <v/>
      </c>
    </row>
    <row r="129" customFormat="false" ht="15" hidden="false" customHeight="false" outlineLevel="0" collapsed="false">
      <c r="A129" s="21"/>
      <c r="B129" s="17"/>
      <c r="C129" s="17"/>
      <c r="D129" s="17"/>
      <c r="E129" s="17"/>
      <c r="F129" s="17"/>
      <c r="G129" s="17"/>
      <c r="H129" s="17"/>
      <c r="I129" s="17"/>
      <c r="J129" s="18" t="str">
        <f aca="false">IF($A129="","",$B129+$C129+$D129-$E129+$F129-$G129)</f>
        <v/>
      </c>
      <c r="K129" s="18" t="str">
        <f aca="false">IF($A129="","",MAX(0,$B129-$J129))</f>
        <v/>
      </c>
      <c r="L129" s="19" t="str">
        <f aca="false">IF($A129="","",IF($B129=0,0,$K129/$B129))</f>
        <v/>
      </c>
      <c r="M129" s="20" t="str">
        <f aca="false">IF($A129="","",IF($J129&lt;0,"BORCA BATIK",IF($I129&lt;$H129,"BORCA BATIK",IF($L129&gt;=TtkUcteIkiEsik,"2/3 KAYIP (KRİTİK)",IF($L129&gt;=TtkUcteBirEsik,"1/3 KAYIP (DİKKAT)","UYGUN")))))</f>
        <v/>
      </c>
    </row>
    <row r="130" customFormat="false" ht="15" hidden="false" customHeight="false" outlineLevel="0" collapsed="false">
      <c r="A130" s="21"/>
      <c r="B130" s="17"/>
      <c r="C130" s="17"/>
      <c r="D130" s="17"/>
      <c r="E130" s="17"/>
      <c r="F130" s="17"/>
      <c r="G130" s="17"/>
      <c r="H130" s="17"/>
      <c r="I130" s="17"/>
      <c r="J130" s="18" t="str">
        <f aca="false">IF($A130="","",$B130+$C130+$D130-$E130+$F130-$G130)</f>
        <v/>
      </c>
      <c r="K130" s="18" t="str">
        <f aca="false">IF($A130="","",MAX(0,$B130-$J130))</f>
        <v/>
      </c>
      <c r="L130" s="19" t="str">
        <f aca="false">IF($A130="","",IF($B130=0,0,$K130/$B130))</f>
        <v/>
      </c>
      <c r="M130" s="20" t="str">
        <f aca="false">IF($A130="","",IF($J130&lt;0,"BORCA BATIK",IF($I130&lt;$H130,"BORCA BATIK",IF($L130&gt;=TtkUcteIkiEsik,"2/3 KAYIP (KRİTİK)",IF($L130&gt;=TtkUcteBirEsik,"1/3 KAYIP (DİKKAT)","UYGUN")))))</f>
        <v/>
      </c>
    </row>
    <row r="131" customFormat="false" ht="15" hidden="false" customHeight="false" outlineLevel="0" collapsed="false">
      <c r="A131" s="21"/>
      <c r="B131" s="17"/>
      <c r="C131" s="17"/>
      <c r="D131" s="17"/>
      <c r="E131" s="17"/>
      <c r="F131" s="17"/>
      <c r="G131" s="17"/>
      <c r="H131" s="17"/>
      <c r="I131" s="17"/>
      <c r="J131" s="18" t="str">
        <f aca="false">IF($A131="","",$B131+$C131+$D131-$E131+$F131-$G131)</f>
        <v/>
      </c>
      <c r="K131" s="18" t="str">
        <f aca="false">IF($A131="","",MAX(0,$B131-$J131))</f>
        <v/>
      </c>
      <c r="L131" s="19" t="str">
        <f aca="false">IF($A131="","",IF($B131=0,0,$K131/$B131))</f>
        <v/>
      </c>
      <c r="M131" s="20" t="str">
        <f aca="false">IF($A131="","",IF($J131&lt;0,"BORCA BATIK",IF($I131&lt;$H131,"BORCA BATIK",IF($L131&gt;=TtkUcteIkiEsik,"2/3 KAYIP (KRİTİK)",IF($L131&gt;=TtkUcteBirEsik,"1/3 KAYIP (DİKKAT)","UYGUN")))))</f>
        <v/>
      </c>
    </row>
    <row r="132" customFormat="false" ht="15" hidden="false" customHeight="false" outlineLevel="0" collapsed="false">
      <c r="A132" s="21"/>
      <c r="B132" s="17"/>
      <c r="C132" s="17"/>
      <c r="D132" s="17"/>
      <c r="E132" s="17"/>
      <c r="F132" s="17"/>
      <c r="G132" s="17"/>
      <c r="H132" s="17"/>
      <c r="I132" s="17"/>
      <c r="J132" s="18" t="str">
        <f aca="false">IF($A132="","",$B132+$C132+$D132-$E132+$F132-$G132)</f>
        <v/>
      </c>
      <c r="K132" s="18" t="str">
        <f aca="false">IF($A132="","",MAX(0,$B132-$J132))</f>
        <v/>
      </c>
      <c r="L132" s="19" t="str">
        <f aca="false">IF($A132="","",IF($B132=0,0,$K132/$B132))</f>
        <v/>
      </c>
      <c r="M132" s="20" t="str">
        <f aca="false">IF($A132="","",IF($J132&lt;0,"BORCA BATIK",IF($I132&lt;$H132,"BORCA BATIK",IF($L132&gt;=TtkUcteIkiEsik,"2/3 KAYIP (KRİTİK)",IF($L132&gt;=TtkUcteBirEsik,"1/3 KAYIP (DİKKAT)","UYGUN")))))</f>
        <v/>
      </c>
    </row>
    <row r="133" customFormat="false" ht="15" hidden="false" customHeight="false" outlineLevel="0" collapsed="false">
      <c r="A133" s="21"/>
      <c r="B133" s="17"/>
      <c r="C133" s="17"/>
      <c r="D133" s="17"/>
      <c r="E133" s="17"/>
      <c r="F133" s="17"/>
      <c r="G133" s="17"/>
      <c r="H133" s="17"/>
      <c r="I133" s="17"/>
      <c r="J133" s="18" t="str">
        <f aca="false">IF($A133="","",$B133+$C133+$D133-$E133+$F133-$G133)</f>
        <v/>
      </c>
      <c r="K133" s="18" t="str">
        <f aca="false">IF($A133="","",MAX(0,$B133-$J133))</f>
        <v/>
      </c>
      <c r="L133" s="19" t="str">
        <f aca="false">IF($A133="","",IF($B133=0,0,$K133/$B133))</f>
        <v/>
      </c>
      <c r="M133" s="20" t="str">
        <f aca="false">IF($A133="","",IF($J133&lt;0,"BORCA BATIK",IF($I133&lt;$H133,"BORCA BATIK",IF($L133&gt;=TtkUcteIkiEsik,"2/3 KAYIP (KRİTİK)",IF($L133&gt;=TtkUcteBirEsik,"1/3 KAYIP (DİKKAT)","UYGUN")))))</f>
        <v/>
      </c>
    </row>
    <row r="134" customFormat="false" ht="15" hidden="false" customHeight="false" outlineLevel="0" collapsed="false">
      <c r="A134" s="21"/>
      <c r="B134" s="17"/>
      <c r="C134" s="17"/>
      <c r="D134" s="17"/>
      <c r="E134" s="17"/>
      <c r="F134" s="17"/>
      <c r="G134" s="17"/>
      <c r="H134" s="17"/>
      <c r="I134" s="17"/>
      <c r="J134" s="18" t="str">
        <f aca="false">IF($A134="","",$B134+$C134+$D134-$E134+$F134-$G134)</f>
        <v/>
      </c>
      <c r="K134" s="18" t="str">
        <f aca="false">IF($A134="","",MAX(0,$B134-$J134))</f>
        <v/>
      </c>
      <c r="L134" s="19" t="str">
        <f aca="false">IF($A134="","",IF($B134=0,0,$K134/$B134))</f>
        <v/>
      </c>
      <c r="M134" s="20" t="str">
        <f aca="false">IF($A134="","",IF($J134&lt;0,"BORCA BATIK",IF($I134&lt;$H134,"BORCA BATIK",IF($L134&gt;=TtkUcteIkiEsik,"2/3 KAYIP (KRİTİK)",IF($L134&gt;=TtkUcteBirEsik,"1/3 KAYIP (DİKKAT)","UYGUN")))))</f>
        <v/>
      </c>
    </row>
    <row r="135" customFormat="false" ht="15" hidden="false" customHeight="false" outlineLevel="0" collapsed="false">
      <c r="A135" s="21"/>
      <c r="B135" s="17"/>
      <c r="C135" s="17"/>
      <c r="D135" s="17"/>
      <c r="E135" s="17"/>
      <c r="F135" s="17"/>
      <c r="G135" s="17"/>
      <c r="H135" s="17"/>
      <c r="I135" s="17"/>
      <c r="J135" s="18" t="str">
        <f aca="false">IF($A135="","",$B135+$C135+$D135-$E135+$F135-$G135)</f>
        <v/>
      </c>
      <c r="K135" s="18" t="str">
        <f aca="false">IF($A135="","",MAX(0,$B135-$J135))</f>
        <v/>
      </c>
      <c r="L135" s="19" t="str">
        <f aca="false">IF($A135="","",IF($B135=0,0,$K135/$B135))</f>
        <v/>
      </c>
      <c r="M135" s="20" t="str">
        <f aca="false">IF($A135="","",IF($J135&lt;0,"BORCA BATIK",IF($I135&lt;$H135,"BORCA BATIK",IF($L135&gt;=TtkUcteIkiEsik,"2/3 KAYIP (KRİTİK)",IF($L135&gt;=TtkUcteBirEsik,"1/3 KAYIP (DİKKAT)","UYGUN")))))</f>
        <v/>
      </c>
    </row>
    <row r="136" customFormat="false" ht="15" hidden="false" customHeight="false" outlineLevel="0" collapsed="false">
      <c r="A136" s="21"/>
      <c r="B136" s="17"/>
      <c r="C136" s="17"/>
      <c r="D136" s="17"/>
      <c r="E136" s="17"/>
      <c r="F136" s="17"/>
      <c r="G136" s="17"/>
      <c r="H136" s="17"/>
      <c r="I136" s="17"/>
      <c r="J136" s="18" t="str">
        <f aca="false">IF($A136="","",$B136+$C136+$D136-$E136+$F136-$G136)</f>
        <v/>
      </c>
      <c r="K136" s="18" t="str">
        <f aca="false">IF($A136="","",MAX(0,$B136-$J136))</f>
        <v/>
      </c>
      <c r="L136" s="19" t="str">
        <f aca="false">IF($A136="","",IF($B136=0,0,$K136/$B136))</f>
        <v/>
      </c>
      <c r="M136" s="20" t="str">
        <f aca="false">IF($A136="","",IF($J136&lt;0,"BORCA BATIK",IF($I136&lt;$H136,"BORCA BATIK",IF($L136&gt;=TtkUcteIkiEsik,"2/3 KAYIP (KRİTİK)",IF($L136&gt;=TtkUcteBirEsik,"1/3 KAYIP (DİKKAT)","UYGUN")))))</f>
        <v/>
      </c>
    </row>
    <row r="137" customFormat="false" ht="15" hidden="false" customHeight="false" outlineLevel="0" collapsed="false">
      <c r="A137" s="21"/>
      <c r="B137" s="17"/>
      <c r="C137" s="17"/>
      <c r="D137" s="17"/>
      <c r="E137" s="17"/>
      <c r="F137" s="17"/>
      <c r="G137" s="17"/>
      <c r="H137" s="17"/>
      <c r="I137" s="17"/>
      <c r="J137" s="18" t="str">
        <f aca="false">IF($A137="","",$B137+$C137+$D137-$E137+$F137-$G137)</f>
        <v/>
      </c>
      <c r="K137" s="18" t="str">
        <f aca="false">IF($A137="","",MAX(0,$B137-$J137))</f>
        <v/>
      </c>
      <c r="L137" s="19" t="str">
        <f aca="false">IF($A137="","",IF($B137=0,0,$K137/$B137))</f>
        <v/>
      </c>
      <c r="M137" s="20" t="str">
        <f aca="false">IF($A137="","",IF($J137&lt;0,"BORCA BATIK",IF($I137&lt;$H137,"BORCA BATIK",IF($L137&gt;=TtkUcteIkiEsik,"2/3 KAYIP (KRİTİK)",IF($L137&gt;=TtkUcteBirEsik,"1/3 KAYIP (DİKKAT)","UYGUN")))))</f>
        <v/>
      </c>
    </row>
    <row r="138" customFormat="false" ht="15" hidden="false" customHeight="false" outlineLevel="0" collapsed="false">
      <c r="A138" s="21"/>
      <c r="B138" s="17"/>
      <c r="C138" s="17"/>
      <c r="D138" s="17"/>
      <c r="E138" s="17"/>
      <c r="F138" s="17"/>
      <c r="G138" s="17"/>
      <c r="H138" s="17"/>
      <c r="I138" s="17"/>
      <c r="J138" s="18" t="str">
        <f aca="false">IF($A138="","",$B138+$C138+$D138-$E138+$F138-$G138)</f>
        <v/>
      </c>
      <c r="K138" s="18" t="str">
        <f aca="false">IF($A138="","",MAX(0,$B138-$J138))</f>
        <v/>
      </c>
      <c r="L138" s="19" t="str">
        <f aca="false">IF($A138="","",IF($B138=0,0,$K138/$B138))</f>
        <v/>
      </c>
      <c r="M138" s="20" t="str">
        <f aca="false">IF($A138="","",IF($J138&lt;0,"BORCA BATIK",IF($I138&lt;$H138,"BORCA BATIK",IF($L138&gt;=TtkUcteIkiEsik,"2/3 KAYIP (KRİTİK)",IF($L138&gt;=TtkUcteBirEsik,"1/3 KAYIP (DİKKAT)","UYGUN")))))</f>
        <v/>
      </c>
    </row>
    <row r="139" customFormat="false" ht="15" hidden="false" customHeight="false" outlineLevel="0" collapsed="false">
      <c r="A139" s="21"/>
      <c r="B139" s="17"/>
      <c r="C139" s="17"/>
      <c r="D139" s="17"/>
      <c r="E139" s="17"/>
      <c r="F139" s="17"/>
      <c r="G139" s="17"/>
      <c r="H139" s="17"/>
      <c r="I139" s="17"/>
      <c r="J139" s="18" t="str">
        <f aca="false">IF($A139="","",$B139+$C139+$D139-$E139+$F139-$G139)</f>
        <v/>
      </c>
      <c r="K139" s="18" t="str">
        <f aca="false">IF($A139="","",MAX(0,$B139-$J139))</f>
        <v/>
      </c>
      <c r="L139" s="19" t="str">
        <f aca="false">IF($A139="","",IF($B139=0,0,$K139/$B139))</f>
        <v/>
      </c>
      <c r="M139" s="20" t="str">
        <f aca="false">IF($A139="","",IF($J139&lt;0,"BORCA BATIK",IF($I139&lt;$H139,"BORCA BATIK",IF($L139&gt;=TtkUcteIkiEsik,"2/3 KAYIP (KRİTİK)",IF($L139&gt;=TtkUcteBirEsik,"1/3 KAYIP (DİKKAT)","UYGUN")))))</f>
        <v/>
      </c>
    </row>
    <row r="140" customFormat="false" ht="15" hidden="false" customHeight="false" outlineLevel="0" collapsed="false">
      <c r="A140" s="21"/>
      <c r="B140" s="17"/>
      <c r="C140" s="17"/>
      <c r="D140" s="17"/>
      <c r="E140" s="17"/>
      <c r="F140" s="17"/>
      <c r="G140" s="17"/>
      <c r="H140" s="17"/>
      <c r="I140" s="17"/>
      <c r="J140" s="18" t="str">
        <f aca="false">IF($A140="","",$B140+$C140+$D140-$E140+$F140-$G140)</f>
        <v/>
      </c>
      <c r="K140" s="18" t="str">
        <f aca="false">IF($A140="","",MAX(0,$B140-$J140))</f>
        <v/>
      </c>
      <c r="L140" s="19" t="str">
        <f aca="false">IF($A140="","",IF($B140=0,0,$K140/$B140))</f>
        <v/>
      </c>
      <c r="M140" s="20" t="str">
        <f aca="false">IF($A140="","",IF($J140&lt;0,"BORCA BATIK",IF($I140&lt;$H140,"BORCA BATIK",IF($L140&gt;=TtkUcteIkiEsik,"2/3 KAYIP (KRİTİK)",IF($L140&gt;=TtkUcteBirEsik,"1/3 KAYIP (DİKKAT)","UYGUN")))))</f>
        <v/>
      </c>
    </row>
    <row r="141" customFormat="false" ht="15" hidden="false" customHeight="false" outlineLevel="0" collapsed="false">
      <c r="A141" s="21"/>
      <c r="B141" s="17"/>
      <c r="C141" s="17"/>
      <c r="D141" s="17"/>
      <c r="E141" s="17"/>
      <c r="F141" s="17"/>
      <c r="G141" s="17"/>
      <c r="H141" s="17"/>
      <c r="I141" s="17"/>
      <c r="J141" s="18" t="str">
        <f aca="false">IF($A141="","",$B141+$C141+$D141-$E141+$F141-$G141)</f>
        <v/>
      </c>
      <c r="K141" s="18" t="str">
        <f aca="false">IF($A141="","",MAX(0,$B141-$J141))</f>
        <v/>
      </c>
      <c r="L141" s="19" t="str">
        <f aca="false">IF($A141="","",IF($B141=0,0,$K141/$B141))</f>
        <v/>
      </c>
      <c r="M141" s="20" t="str">
        <f aca="false">IF($A141="","",IF($J141&lt;0,"BORCA BATIK",IF($I141&lt;$H141,"BORCA BATIK",IF($L141&gt;=TtkUcteIkiEsik,"2/3 KAYIP (KRİTİK)",IF($L141&gt;=TtkUcteBirEsik,"1/3 KAYIP (DİKKAT)","UYGUN")))))</f>
        <v/>
      </c>
    </row>
    <row r="142" customFormat="false" ht="15" hidden="false" customHeight="false" outlineLevel="0" collapsed="false">
      <c r="A142" s="21"/>
      <c r="B142" s="17"/>
      <c r="C142" s="17"/>
      <c r="D142" s="17"/>
      <c r="E142" s="17"/>
      <c r="F142" s="17"/>
      <c r="G142" s="17"/>
      <c r="H142" s="17"/>
      <c r="I142" s="17"/>
      <c r="J142" s="18" t="str">
        <f aca="false">IF($A142="","",$B142+$C142+$D142-$E142+$F142-$G142)</f>
        <v/>
      </c>
      <c r="K142" s="18" t="str">
        <f aca="false">IF($A142="","",MAX(0,$B142-$J142))</f>
        <v/>
      </c>
      <c r="L142" s="19" t="str">
        <f aca="false">IF($A142="","",IF($B142=0,0,$K142/$B142))</f>
        <v/>
      </c>
      <c r="M142" s="20" t="str">
        <f aca="false">IF($A142="","",IF($J142&lt;0,"BORCA BATIK",IF($I142&lt;$H142,"BORCA BATIK",IF($L142&gt;=TtkUcteIkiEsik,"2/3 KAYIP (KRİTİK)",IF($L142&gt;=TtkUcteBirEsik,"1/3 KAYIP (DİKKAT)","UYGUN")))))</f>
        <v/>
      </c>
    </row>
    <row r="143" customFormat="false" ht="15" hidden="false" customHeight="false" outlineLevel="0" collapsed="false">
      <c r="A143" s="21"/>
      <c r="B143" s="17"/>
      <c r="C143" s="17"/>
      <c r="D143" s="17"/>
      <c r="E143" s="17"/>
      <c r="F143" s="17"/>
      <c r="G143" s="17"/>
      <c r="H143" s="17"/>
      <c r="I143" s="17"/>
      <c r="J143" s="18" t="str">
        <f aca="false">IF($A143="","",$B143+$C143+$D143-$E143+$F143-$G143)</f>
        <v/>
      </c>
      <c r="K143" s="18" t="str">
        <f aca="false">IF($A143="","",MAX(0,$B143-$J143))</f>
        <v/>
      </c>
      <c r="L143" s="19" t="str">
        <f aca="false">IF($A143="","",IF($B143=0,0,$K143/$B143))</f>
        <v/>
      </c>
      <c r="M143" s="20" t="str">
        <f aca="false">IF($A143="","",IF($J143&lt;0,"BORCA BATIK",IF($I143&lt;$H143,"BORCA BATIK",IF($L143&gt;=TtkUcteIkiEsik,"2/3 KAYIP (KRİTİK)",IF($L143&gt;=TtkUcteBirEsik,"1/3 KAYIP (DİKKAT)","UYGUN")))))</f>
        <v/>
      </c>
    </row>
    <row r="144" customFormat="false" ht="15" hidden="false" customHeight="false" outlineLevel="0" collapsed="false">
      <c r="A144" s="21"/>
      <c r="B144" s="17"/>
      <c r="C144" s="17"/>
      <c r="D144" s="17"/>
      <c r="E144" s="17"/>
      <c r="F144" s="17"/>
      <c r="G144" s="17"/>
      <c r="H144" s="17"/>
      <c r="I144" s="17"/>
      <c r="J144" s="18" t="str">
        <f aca="false">IF($A144="","",$B144+$C144+$D144-$E144+$F144-$G144)</f>
        <v/>
      </c>
      <c r="K144" s="18" t="str">
        <f aca="false">IF($A144="","",MAX(0,$B144-$J144))</f>
        <v/>
      </c>
      <c r="L144" s="19" t="str">
        <f aca="false">IF($A144="","",IF($B144=0,0,$K144/$B144))</f>
        <v/>
      </c>
      <c r="M144" s="20" t="str">
        <f aca="false">IF($A144="","",IF($J144&lt;0,"BORCA BATIK",IF($I144&lt;$H144,"BORCA BATIK",IF($L144&gt;=TtkUcteIkiEsik,"2/3 KAYIP (KRİTİK)",IF($L144&gt;=TtkUcteBirEsik,"1/3 KAYIP (DİKKAT)","UYGUN")))))</f>
        <v/>
      </c>
    </row>
    <row r="145" customFormat="false" ht="15" hidden="false" customHeight="false" outlineLevel="0" collapsed="false">
      <c r="A145" s="21"/>
      <c r="B145" s="17"/>
      <c r="C145" s="17"/>
      <c r="D145" s="17"/>
      <c r="E145" s="17"/>
      <c r="F145" s="17"/>
      <c r="G145" s="17"/>
      <c r="H145" s="17"/>
      <c r="I145" s="17"/>
      <c r="J145" s="18" t="str">
        <f aca="false">IF($A145="","",$B145+$C145+$D145-$E145+$F145-$G145)</f>
        <v/>
      </c>
      <c r="K145" s="18" t="str">
        <f aca="false">IF($A145="","",MAX(0,$B145-$J145))</f>
        <v/>
      </c>
      <c r="L145" s="19" t="str">
        <f aca="false">IF($A145="","",IF($B145=0,0,$K145/$B145))</f>
        <v/>
      </c>
      <c r="M145" s="20" t="str">
        <f aca="false">IF($A145="","",IF($J145&lt;0,"BORCA BATIK",IF($I145&lt;$H145,"BORCA BATIK",IF($L145&gt;=TtkUcteIkiEsik,"2/3 KAYIP (KRİTİK)",IF($L145&gt;=TtkUcteBirEsik,"1/3 KAYIP (DİKKAT)","UYGUN")))))</f>
        <v/>
      </c>
    </row>
    <row r="146" customFormat="false" ht="15" hidden="false" customHeight="false" outlineLevel="0" collapsed="false">
      <c r="A146" s="21"/>
      <c r="B146" s="17"/>
      <c r="C146" s="17"/>
      <c r="D146" s="17"/>
      <c r="E146" s="17"/>
      <c r="F146" s="17"/>
      <c r="G146" s="17"/>
      <c r="H146" s="17"/>
      <c r="I146" s="17"/>
      <c r="J146" s="18" t="str">
        <f aca="false">IF($A146="","",$B146+$C146+$D146-$E146+$F146-$G146)</f>
        <v/>
      </c>
      <c r="K146" s="18" t="str">
        <f aca="false">IF($A146="","",MAX(0,$B146-$J146))</f>
        <v/>
      </c>
      <c r="L146" s="19" t="str">
        <f aca="false">IF($A146="","",IF($B146=0,0,$K146/$B146))</f>
        <v/>
      </c>
      <c r="M146" s="20" t="str">
        <f aca="false">IF($A146="","",IF($J146&lt;0,"BORCA BATIK",IF($I146&lt;$H146,"BORCA BATIK",IF($L146&gt;=TtkUcteIkiEsik,"2/3 KAYIP (KRİTİK)",IF($L146&gt;=TtkUcteBirEsik,"1/3 KAYIP (DİKKAT)","UYGUN")))))</f>
        <v/>
      </c>
    </row>
    <row r="147" customFormat="false" ht="15" hidden="false" customHeight="false" outlineLevel="0" collapsed="false">
      <c r="A147" s="21"/>
      <c r="B147" s="17"/>
      <c r="C147" s="17"/>
      <c r="D147" s="17"/>
      <c r="E147" s="17"/>
      <c r="F147" s="17"/>
      <c r="G147" s="17"/>
      <c r="H147" s="17"/>
      <c r="I147" s="17"/>
      <c r="J147" s="18" t="str">
        <f aca="false">IF($A147="","",$B147+$C147+$D147-$E147+$F147-$G147)</f>
        <v/>
      </c>
      <c r="K147" s="18" t="str">
        <f aca="false">IF($A147="","",MAX(0,$B147-$J147))</f>
        <v/>
      </c>
      <c r="L147" s="19" t="str">
        <f aca="false">IF($A147="","",IF($B147=0,0,$K147/$B147))</f>
        <v/>
      </c>
      <c r="M147" s="20" t="str">
        <f aca="false">IF($A147="","",IF($J147&lt;0,"BORCA BATIK",IF($I147&lt;$H147,"BORCA BATIK",IF($L147&gt;=TtkUcteIkiEsik,"2/3 KAYIP (KRİTİK)",IF($L147&gt;=TtkUcteBirEsik,"1/3 KAYIP (DİKKAT)","UYGUN")))))</f>
        <v/>
      </c>
    </row>
    <row r="148" customFormat="false" ht="15" hidden="false" customHeight="false" outlineLevel="0" collapsed="false">
      <c r="A148" s="21"/>
      <c r="B148" s="17"/>
      <c r="C148" s="17"/>
      <c r="D148" s="17"/>
      <c r="E148" s="17"/>
      <c r="F148" s="17"/>
      <c r="G148" s="17"/>
      <c r="H148" s="17"/>
      <c r="I148" s="17"/>
      <c r="J148" s="18" t="str">
        <f aca="false">IF($A148="","",$B148+$C148+$D148-$E148+$F148-$G148)</f>
        <v/>
      </c>
      <c r="K148" s="18" t="str">
        <f aca="false">IF($A148="","",MAX(0,$B148-$J148))</f>
        <v/>
      </c>
      <c r="L148" s="19" t="str">
        <f aca="false">IF($A148="","",IF($B148=0,0,$K148/$B148))</f>
        <v/>
      </c>
      <c r="M148" s="20" t="str">
        <f aca="false">IF($A148="","",IF($J148&lt;0,"BORCA BATIK",IF($I148&lt;$H148,"BORCA BATIK",IF($L148&gt;=TtkUcteIkiEsik,"2/3 KAYIP (KRİTİK)",IF($L148&gt;=TtkUcteBirEsik,"1/3 KAYIP (DİKKAT)","UYGUN")))))</f>
        <v/>
      </c>
    </row>
    <row r="149" customFormat="false" ht="15" hidden="false" customHeight="false" outlineLevel="0" collapsed="false">
      <c r="A149" s="21"/>
      <c r="B149" s="17"/>
      <c r="C149" s="17"/>
      <c r="D149" s="17"/>
      <c r="E149" s="17"/>
      <c r="F149" s="17"/>
      <c r="G149" s="17"/>
      <c r="H149" s="17"/>
      <c r="I149" s="17"/>
      <c r="J149" s="18" t="str">
        <f aca="false">IF($A149="","",$B149+$C149+$D149-$E149+$F149-$G149)</f>
        <v/>
      </c>
      <c r="K149" s="18" t="str">
        <f aca="false">IF($A149="","",MAX(0,$B149-$J149))</f>
        <v/>
      </c>
      <c r="L149" s="19" t="str">
        <f aca="false">IF($A149="","",IF($B149=0,0,$K149/$B149))</f>
        <v/>
      </c>
      <c r="M149" s="20" t="str">
        <f aca="false">IF($A149="","",IF($J149&lt;0,"BORCA BATIK",IF($I149&lt;$H149,"BORCA BATIK",IF($L149&gt;=TtkUcteIkiEsik,"2/3 KAYIP (KRİTİK)",IF($L149&gt;=TtkUcteBirEsik,"1/3 KAYIP (DİKKAT)","UYGUN")))))</f>
        <v/>
      </c>
    </row>
    <row r="150" customFormat="false" ht="15" hidden="false" customHeight="false" outlineLevel="0" collapsed="false">
      <c r="A150" s="21"/>
      <c r="B150" s="17"/>
      <c r="C150" s="17"/>
      <c r="D150" s="17"/>
      <c r="E150" s="17"/>
      <c r="F150" s="17"/>
      <c r="G150" s="17"/>
      <c r="H150" s="17"/>
      <c r="I150" s="17"/>
      <c r="J150" s="18" t="str">
        <f aca="false">IF($A150="","",$B150+$C150+$D150-$E150+$F150-$G150)</f>
        <v/>
      </c>
      <c r="K150" s="18" t="str">
        <f aca="false">IF($A150="","",MAX(0,$B150-$J150))</f>
        <v/>
      </c>
      <c r="L150" s="19" t="str">
        <f aca="false">IF($A150="","",IF($B150=0,0,$K150/$B150))</f>
        <v/>
      </c>
      <c r="M150" s="20" t="str">
        <f aca="false">IF($A150="","",IF($J150&lt;0,"BORCA BATIK",IF($I150&lt;$H150,"BORCA BATIK",IF($L150&gt;=TtkUcteIkiEsik,"2/3 KAYIP (KRİTİK)",IF($L150&gt;=TtkUcteBirEsik,"1/3 KAYIP (DİKKAT)","UYGUN")))))</f>
        <v/>
      </c>
    </row>
    <row r="151" customFormat="false" ht="15" hidden="false" customHeight="false" outlineLevel="0" collapsed="false">
      <c r="A151" s="21"/>
      <c r="B151" s="17"/>
      <c r="C151" s="17"/>
      <c r="D151" s="17"/>
      <c r="E151" s="17"/>
      <c r="F151" s="17"/>
      <c r="G151" s="17"/>
      <c r="H151" s="17"/>
      <c r="I151" s="17"/>
      <c r="J151" s="18" t="str">
        <f aca="false">IF($A151="","",$B151+$C151+$D151-$E151+$F151-$G151)</f>
        <v/>
      </c>
      <c r="K151" s="18" t="str">
        <f aca="false">IF($A151="","",MAX(0,$B151-$J151))</f>
        <v/>
      </c>
      <c r="L151" s="19" t="str">
        <f aca="false">IF($A151="","",IF($B151=0,0,$K151/$B151))</f>
        <v/>
      </c>
      <c r="M151" s="20" t="str">
        <f aca="false">IF($A151="","",IF($J151&lt;0,"BORCA BATIK",IF($I151&lt;$H151,"BORCA BATIK",IF($L151&gt;=TtkUcteIkiEsik,"2/3 KAYIP (KRİTİK)",IF($L151&gt;=TtkUcteBirEsik,"1/3 KAYIP (DİKKAT)","UYGUN")))))</f>
        <v/>
      </c>
    </row>
    <row r="152" customFormat="false" ht="15" hidden="false" customHeight="false" outlineLevel="0" collapsed="false">
      <c r="A152" s="21"/>
      <c r="B152" s="17"/>
      <c r="C152" s="17"/>
      <c r="D152" s="17"/>
      <c r="E152" s="17"/>
      <c r="F152" s="17"/>
      <c r="G152" s="17"/>
      <c r="H152" s="17"/>
      <c r="I152" s="17"/>
      <c r="J152" s="18" t="str">
        <f aca="false">IF($A152="","",$B152+$C152+$D152-$E152+$F152-$G152)</f>
        <v/>
      </c>
      <c r="K152" s="18" t="str">
        <f aca="false">IF($A152="","",MAX(0,$B152-$J152))</f>
        <v/>
      </c>
      <c r="L152" s="19" t="str">
        <f aca="false">IF($A152="","",IF($B152=0,0,$K152/$B152))</f>
        <v/>
      </c>
      <c r="M152" s="20" t="str">
        <f aca="false">IF($A152="","",IF($J152&lt;0,"BORCA BATIK",IF($I152&lt;$H152,"BORCA BATIK",IF($L152&gt;=TtkUcteIkiEsik,"2/3 KAYIP (KRİTİK)",IF($L152&gt;=TtkUcteBirEsik,"1/3 KAYIP (DİKKAT)","UYGUN")))))</f>
        <v/>
      </c>
    </row>
    <row r="153" customFormat="false" ht="15" hidden="false" customHeight="false" outlineLevel="0" collapsed="false">
      <c r="A153" s="21"/>
      <c r="B153" s="17"/>
      <c r="C153" s="17"/>
      <c r="D153" s="17"/>
      <c r="E153" s="17"/>
      <c r="F153" s="17"/>
      <c r="G153" s="17"/>
      <c r="H153" s="17"/>
      <c r="I153" s="17"/>
      <c r="J153" s="18" t="str">
        <f aca="false">IF($A153="","",$B153+$C153+$D153-$E153+$F153-$G153)</f>
        <v/>
      </c>
      <c r="K153" s="18" t="str">
        <f aca="false">IF($A153="","",MAX(0,$B153-$J153))</f>
        <v/>
      </c>
      <c r="L153" s="19" t="str">
        <f aca="false">IF($A153="","",IF($B153=0,0,$K153/$B153))</f>
        <v/>
      </c>
      <c r="M153" s="20" t="str">
        <f aca="false">IF($A153="","",IF($J153&lt;0,"BORCA BATIK",IF($I153&lt;$H153,"BORCA BATIK",IF($L153&gt;=TtkUcteIkiEsik,"2/3 KAYIP (KRİTİK)",IF($L153&gt;=TtkUcteBirEsik,"1/3 KAYIP (DİKKAT)","UYGUN")))))</f>
        <v/>
      </c>
    </row>
    <row r="154" customFormat="false" ht="15" hidden="false" customHeight="false" outlineLevel="0" collapsed="false">
      <c r="A154" s="21"/>
      <c r="B154" s="17"/>
      <c r="C154" s="17"/>
      <c r="D154" s="17"/>
      <c r="E154" s="17"/>
      <c r="F154" s="17"/>
      <c r="G154" s="17"/>
      <c r="H154" s="17"/>
      <c r="I154" s="17"/>
      <c r="J154" s="18" t="str">
        <f aca="false">IF($A154="","",$B154+$C154+$D154-$E154+$F154-$G154)</f>
        <v/>
      </c>
      <c r="K154" s="18" t="str">
        <f aca="false">IF($A154="","",MAX(0,$B154-$J154))</f>
        <v/>
      </c>
      <c r="L154" s="19" t="str">
        <f aca="false">IF($A154="","",IF($B154=0,0,$K154/$B154))</f>
        <v/>
      </c>
      <c r="M154" s="20" t="str">
        <f aca="false">IF($A154="","",IF($J154&lt;0,"BORCA BATIK",IF($I154&lt;$H154,"BORCA BATIK",IF($L154&gt;=TtkUcteIkiEsik,"2/3 KAYIP (KRİTİK)",IF($L154&gt;=TtkUcteBirEsik,"1/3 KAYIP (DİKKAT)","UYGUN")))))</f>
        <v/>
      </c>
    </row>
    <row r="155" customFormat="false" ht="15" hidden="false" customHeight="false" outlineLevel="0" collapsed="false">
      <c r="A155" s="21"/>
      <c r="B155" s="17"/>
      <c r="C155" s="17"/>
      <c r="D155" s="17"/>
      <c r="E155" s="17"/>
      <c r="F155" s="17"/>
      <c r="G155" s="17"/>
      <c r="H155" s="17"/>
      <c r="I155" s="17"/>
      <c r="J155" s="18" t="str">
        <f aca="false">IF($A155="","",$B155+$C155+$D155-$E155+$F155-$G155)</f>
        <v/>
      </c>
      <c r="K155" s="18" t="str">
        <f aca="false">IF($A155="","",MAX(0,$B155-$J155))</f>
        <v/>
      </c>
      <c r="L155" s="19" t="str">
        <f aca="false">IF($A155="","",IF($B155=0,0,$K155/$B155))</f>
        <v/>
      </c>
      <c r="M155" s="20" t="str">
        <f aca="false">IF($A155="","",IF($J155&lt;0,"BORCA BATIK",IF($I155&lt;$H155,"BORCA BATIK",IF($L155&gt;=TtkUcteIkiEsik,"2/3 KAYIP (KRİTİK)",IF($L155&gt;=TtkUcteBirEsik,"1/3 KAYIP (DİKKAT)","UYGUN")))))</f>
        <v/>
      </c>
    </row>
    <row r="156" customFormat="false" ht="15" hidden="false" customHeight="false" outlineLevel="0" collapsed="false">
      <c r="A156" s="21"/>
      <c r="B156" s="17"/>
      <c r="C156" s="17"/>
      <c r="D156" s="17"/>
      <c r="E156" s="17"/>
      <c r="F156" s="17"/>
      <c r="G156" s="17"/>
      <c r="H156" s="17"/>
      <c r="I156" s="17"/>
      <c r="J156" s="18" t="str">
        <f aca="false">IF($A156="","",$B156+$C156+$D156-$E156+$F156-$G156)</f>
        <v/>
      </c>
      <c r="K156" s="18" t="str">
        <f aca="false">IF($A156="","",MAX(0,$B156-$J156))</f>
        <v/>
      </c>
      <c r="L156" s="19" t="str">
        <f aca="false">IF($A156="","",IF($B156=0,0,$K156/$B156))</f>
        <v/>
      </c>
      <c r="M156" s="20" t="str">
        <f aca="false">IF($A156="","",IF($J156&lt;0,"BORCA BATIK",IF($I156&lt;$H156,"BORCA BATIK",IF($L156&gt;=TtkUcteIkiEsik,"2/3 KAYIP (KRİTİK)",IF($L156&gt;=TtkUcteBirEsik,"1/3 KAYIP (DİKKAT)","UYGUN")))))</f>
        <v/>
      </c>
    </row>
    <row r="157" customFormat="false" ht="15" hidden="false" customHeight="false" outlineLevel="0" collapsed="false">
      <c r="A157" s="21"/>
      <c r="B157" s="17"/>
      <c r="C157" s="17"/>
      <c r="D157" s="17"/>
      <c r="E157" s="17"/>
      <c r="F157" s="17"/>
      <c r="G157" s="17"/>
      <c r="H157" s="17"/>
      <c r="I157" s="17"/>
      <c r="J157" s="18" t="str">
        <f aca="false">IF($A157="","",$B157+$C157+$D157-$E157+$F157-$G157)</f>
        <v/>
      </c>
      <c r="K157" s="18" t="str">
        <f aca="false">IF($A157="","",MAX(0,$B157-$J157))</f>
        <v/>
      </c>
      <c r="L157" s="19" t="str">
        <f aca="false">IF($A157="","",IF($B157=0,0,$K157/$B157))</f>
        <v/>
      </c>
      <c r="M157" s="20" t="str">
        <f aca="false">IF($A157="","",IF($J157&lt;0,"BORCA BATIK",IF($I157&lt;$H157,"BORCA BATIK",IF($L157&gt;=TtkUcteIkiEsik,"2/3 KAYIP (KRİTİK)",IF($L157&gt;=TtkUcteBirEsik,"1/3 KAYIP (DİKKAT)","UYGUN")))))</f>
        <v/>
      </c>
    </row>
    <row r="158" customFormat="false" ht="15" hidden="false" customHeight="false" outlineLevel="0" collapsed="false">
      <c r="A158" s="21"/>
      <c r="B158" s="17"/>
      <c r="C158" s="17"/>
      <c r="D158" s="17"/>
      <c r="E158" s="17"/>
      <c r="F158" s="17"/>
      <c r="G158" s="17"/>
      <c r="H158" s="17"/>
      <c r="I158" s="17"/>
      <c r="J158" s="18" t="str">
        <f aca="false">IF($A158="","",$B158+$C158+$D158-$E158+$F158-$G158)</f>
        <v/>
      </c>
      <c r="K158" s="18" t="str">
        <f aca="false">IF($A158="","",MAX(0,$B158-$J158))</f>
        <v/>
      </c>
      <c r="L158" s="19" t="str">
        <f aca="false">IF($A158="","",IF($B158=0,0,$K158/$B158))</f>
        <v/>
      </c>
      <c r="M158" s="20" t="str">
        <f aca="false">IF($A158="","",IF($J158&lt;0,"BORCA BATIK",IF($I158&lt;$H158,"BORCA BATIK",IF($L158&gt;=TtkUcteIkiEsik,"2/3 KAYIP (KRİTİK)",IF($L158&gt;=TtkUcteBirEsik,"1/3 KAYIP (DİKKAT)","UYGUN")))))</f>
        <v/>
      </c>
    </row>
    <row r="159" customFormat="false" ht="15" hidden="false" customHeight="false" outlineLevel="0" collapsed="false">
      <c r="A159" s="21"/>
      <c r="B159" s="17"/>
      <c r="C159" s="17"/>
      <c r="D159" s="17"/>
      <c r="E159" s="17"/>
      <c r="F159" s="17"/>
      <c r="G159" s="17"/>
      <c r="H159" s="17"/>
      <c r="I159" s="17"/>
      <c r="J159" s="18" t="str">
        <f aca="false">IF($A159="","",$B159+$C159+$D159-$E159+$F159-$G159)</f>
        <v/>
      </c>
      <c r="K159" s="18" t="str">
        <f aca="false">IF($A159="","",MAX(0,$B159-$J159))</f>
        <v/>
      </c>
      <c r="L159" s="19" t="str">
        <f aca="false">IF($A159="","",IF($B159=0,0,$K159/$B159))</f>
        <v/>
      </c>
      <c r="M159" s="20" t="str">
        <f aca="false">IF($A159="","",IF($J159&lt;0,"BORCA BATIK",IF($I159&lt;$H159,"BORCA BATIK",IF($L159&gt;=TtkUcteIkiEsik,"2/3 KAYIP (KRİTİK)",IF($L159&gt;=TtkUcteBirEsik,"1/3 KAYIP (DİKKAT)","UYGUN")))))</f>
        <v/>
      </c>
    </row>
    <row r="160" customFormat="false" ht="15" hidden="false" customHeight="false" outlineLevel="0" collapsed="false">
      <c r="A160" s="21"/>
      <c r="B160" s="17"/>
      <c r="C160" s="17"/>
      <c r="D160" s="17"/>
      <c r="E160" s="17"/>
      <c r="F160" s="17"/>
      <c r="G160" s="17"/>
      <c r="H160" s="17"/>
      <c r="I160" s="17"/>
      <c r="J160" s="18" t="str">
        <f aca="false">IF($A160="","",$B160+$C160+$D160-$E160+$F160-$G160)</f>
        <v/>
      </c>
      <c r="K160" s="18" t="str">
        <f aca="false">IF($A160="","",MAX(0,$B160-$J160))</f>
        <v/>
      </c>
      <c r="L160" s="19" t="str">
        <f aca="false">IF($A160="","",IF($B160=0,0,$K160/$B160))</f>
        <v/>
      </c>
      <c r="M160" s="20" t="str">
        <f aca="false">IF($A160="","",IF($J160&lt;0,"BORCA BATIK",IF($I160&lt;$H160,"BORCA BATIK",IF($L160&gt;=TtkUcteIkiEsik,"2/3 KAYIP (KRİTİK)",IF($L160&gt;=TtkUcteBirEsik,"1/3 KAYIP (DİKKAT)","UYGUN")))))</f>
        <v/>
      </c>
    </row>
    <row r="161" customFormat="false" ht="15" hidden="false" customHeight="false" outlineLevel="0" collapsed="false">
      <c r="A161" s="21"/>
      <c r="B161" s="17"/>
      <c r="C161" s="17"/>
      <c r="D161" s="17"/>
      <c r="E161" s="17"/>
      <c r="F161" s="17"/>
      <c r="G161" s="17"/>
      <c r="H161" s="17"/>
      <c r="I161" s="17"/>
      <c r="J161" s="18" t="str">
        <f aca="false">IF($A161="","",$B161+$C161+$D161-$E161+$F161-$G161)</f>
        <v/>
      </c>
      <c r="K161" s="18" t="str">
        <f aca="false">IF($A161="","",MAX(0,$B161-$J161))</f>
        <v/>
      </c>
      <c r="L161" s="19" t="str">
        <f aca="false">IF($A161="","",IF($B161=0,0,$K161/$B161))</f>
        <v/>
      </c>
      <c r="M161" s="20" t="str">
        <f aca="false">IF($A161="","",IF($J161&lt;0,"BORCA BATIK",IF($I161&lt;$H161,"BORCA BATIK",IF($L161&gt;=TtkUcteIkiEsik,"2/3 KAYIP (KRİTİK)",IF($L161&gt;=TtkUcteBirEsik,"1/3 KAYIP (DİKKAT)","UYGUN")))))</f>
        <v/>
      </c>
    </row>
    <row r="162" customFormat="false" ht="15" hidden="false" customHeight="false" outlineLevel="0" collapsed="false">
      <c r="A162" s="21"/>
      <c r="B162" s="17"/>
      <c r="C162" s="17"/>
      <c r="D162" s="17"/>
      <c r="E162" s="17"/>
      <c r="F162" s="17"/>
      <c r="G162" s="17"/>
      <c r="H162" s="17"/>
      <c r="I162" s="17"/>
      <c r="J162" s="18" t="str">
        <f aca="false">IF($A162="","",$B162+$C162+$D162-$E162+$F162-$G162)</f>
        <v/>
      </c>
      <c r="K162" s="18" t="str">
        <f aca="false">IF($A162="","",MAX(0,$B162-$J162))</f>
        <v/>
      </c>
      <c r="L162" s="19" t="str">
        <f aca="false">IF($A162="","",IF($B162=0,0,$K162/$B162))</f>
        <v/>
      </c>
      <c r="M162" s="20" t="str">
        <f aca="false">IF($A162="","",IF($J162&lt;0,"BORCA BATIK",IF($I162&lt;$H162,"BORCA BATIK",IF($L162&gt;=TtkUcteIkiEsik,"2/3 KAYIP (KRİTİK)",IF($L162&gt;=TtkUcteBirEsik,"1/3 KAYIP (DİKKAT)","UYGUN")))))</f>
        <v/>
      </c>
    </row>
    <row r="163" customFormat="false" ht="15" hidden="false" customHeight="false" outlineLevel="0" collapsed="false">
      <c r="A163" s="21"/>
      <c r="B163" s="17"/>
      <c r="C163" s="17"/>
      <c r="D163" s="17"/>
      <c r="E163" s="17"/>
      <c r="F163" s="17"/>
      <c r="G163" s="17"/>
      <c r="H163" s="17"/>
      <c r="I163" s="17"/>
      <c r="J163" s="18" t="str">
        <f aca="false">IF($A163="","",$B163+$C163+$D163-$E163+$F163-$G163)</f>
        <v/>
      </c>
      <c r="K163" s="18" t="str">
        <f aca="false">IF($A163="","",MAX(0,$B163-$J163))</f>
        <v/>
      </c>
      <c r="L163" s="19" t="str">
        <f aca="false">IF($A163="","",IF($B163=0,0,$K163/$B163))</f>
        <v/>
      </c>
      <c r="M163" s="20" t="str">
        <f aca="false">IF($A163="","",IF($J163&lt;0,"BORCA BATIK",IF($I163&lt;$H163,"BORCA BATIK",IF($L163&gt;=TtkUcteIkiEsik,"2/3 KAYIP (KRİTİK)",IF($L163&gt;=TtkUcteBirEsik,"1/3 KAYIP (DİKKAT)","UYGUN")))))</f>
        <v/>
      </c>
    </row>
    <row r="164" customFormat="false" ht="15" hidden="false" customHeight="false" outlineLevel="0" collapsed="false">
      <c r="A164" s="21"/>
      <c r="B164" s="17"/>
      <c r="C164" s="17"/>
      <c r="D164" s="17"/>
      <c r="E164" s="17"/>
      <c r="F164" s="17"/>
      <c r="G164" s="17"/>
      <c r="H164" s="17"/>
      <c r="I164" s="17"/>
      <c r="J164" s="18" t="str">
        <f aca="false">IF($A164="","",$B164+$C164+$D164-$E164+$F164-$G164)</f>
        <v/>
      </c>
      <c r="K164" s="18" t="str">
        <f aca="false">IF($A164="","",MAX(0,$B164-$J164))</f>
        <v/>
      </c>
      <c r="L164" s="19" t="str">
        <f aca="false">IF($A164="","",IF($B164=0,0,$K164/$B164))</f>
        <v/>
      </c>
      <c r="M164" s="20" t="str">
        <f aca="false">IF($A164="","",IF($J164&lt;0,"BORCA BATIK",IF($I164&lt;$H164,"BORCA BATIK",IF($L164&gt;=TtkUcteIkiEsik,"2/3 KAYIP (KRİTİK)",IF($L164&gt;=TtkUcteBirEsik,"1/3 KAYIP (DİKKAT)","UYGUN")))))</f>
        <v/>
      </c>
    </row>
    <row r="165" customFormat="false" ht="15" hidden="false" customHeight="false" outlineLevel="0" collapsed="false">
      <c r="A165" s="21"/>
      <c r="B165" s="17"/>
      <c r="C165" s="17"/>
      <c r="D165" s="17"/>
      <c r="E165" s="17"/>
      <c r="F165" s="17"/>
      <c r="G165" s="17"/>
      <c r="H165" s="17"/>
      <c r="I165" s="17"/>
      <c r="J165" s="18" t="str">
        <f aca="false">IF($A165="","",$B165+$C165+$D165-$E165+$F165-$G165)</f>
        <v/>
      </c>
      <c r="K165" s="18" t="str">
        <f aca="false">IF($A165="","",MAX(0,$B165-$J165))</f>
        <v/>
      </c>
      <c r="L165" s="19" t="str">
        <f aca="false">IF($A165="","",IF($B165=0,0,$K165/$B165))</f>
        <v/>
      </c>
      <c r="M165" s="20" t="str">
        <f aca="false">IF($A165="","",IF($J165&lt;0,"BORCA BATIK",IF($I165&lt;$H165,"BORCA BATIK",IF($L165&gt;=TtkUcteIkiEsik,"2/3 KAYIP (KRİTİK)",IF($L165&gt;=TtkUcteBirEsik,"1/3 KAYIP (DİKKAT)","UYGUN")))))</f>
        <v/>
      </c>
    </row>
    <row r="166" customFormat="false" ht="15" hidden="false" customHeight="false" outlineLevel="0" collapsed="false">
      <c r="A166" s="21"/>
      <c r="B166" s="17"/>
      <c r="C166" s="17"/>
      <c r="D166" s="17"/>
      <c r="E166" s="17"/>
      <c r="F166" s="17"/>
      <c r="G166" s="17"/>
      <c r="H166" s="17"/>
      <c r="I166" s="17"/>
      <c r="J166" s="18" t="str">
        <f aca="false">IF($A166="","",$B166+$C166+$D166-$E166+$F166-$G166)</f>
        <v/>
      </c>
      <c r="K166" s="18" t="str">
        <f aca="false">IF($A166="","",MAX(0,$B166-$J166))</f>
        <v/>
      </c>
      <c r="L166" s="19" t="str">
        <f aca="false">IF($A166="","",IF($B166=0,0,$K166/$B166))</f>
        <v/>
      </c>
      <c r="M166" s="20" t="str">
        <f aca="false">IF($A166="","",IF($J166&lt;0,"BORCA BATIK",IF($I166&lt;$H166,"BORCA BATIK",IF($L166&gt;=TtkUcteIkiEsik,"2/3 KAYIP (KRİTİK)",IF($L166&gt;=TtkUcteBirEsik,"1/3 KAYIP (DİKKAT)","UYGUN")))))</f>
        <v/>
      </c>
    </row>
    <row r="167" customFormat="false" ht="15" hidden="false" customHeight="false" outlineLevel="0" collapsed="false">
      <c r="A167" s="21"/>
      <c r="B167" s="17"/>
      <c r="C167" s="17"/>
      <c r="D167" s="17"/>
      <c r="E167" s="17"/>
      <c r="F167" s="17"/>
      <c r="G167" s="17"/>
      <c r="H167" s="17"/>
      <c r="I167" s="17"/>
      <c r="J167" s="18" t="str">
        <f aca="false">IF($A167="","",$B167+$C167+$D167-$E167+$F167-$G167)</f>
        <v/>
      </c>
      <c r="K167" s="18" t="str">
        <f aca="false">IF($A167="","",MAX(0,$B167-$J167))</f>
        <v/>
      </c>
      <c r="L167" s="19" t="str">
        <f aca="false">IF($A167="","",IF($B167=0,0,$K167/$B167))</f>
        <v/>
      </c>
      <c r="M167" s="20" t="str">
        <f aca="false">IF($A167="","",IF($J167&lt;0,"BORCA BATIK",IF($I167&lt;$H167,"BORCA BATIK",IF($L167&gt;=TtkUcteIkiEsik,"2/3 KAYIP (KRİTİK)",IF($L167&gt;=TtkUcteBirEsik,"1/3 KAYIP (DİKKAT)","UYGUN")))))</f>
        <v/>
      </c>
    </row>
    <row r="168" customFormat="false" ht="15" hidden="false" customHeight="false" outlineLevel="0" collapsed="false">
      <c r="A168" s="21"/>
      <c r="B168" s="17"/>
      <c r="C168" s="17"/>
      <c r="D168" s="17"/>
      <c r="E168" s="17"/>
      <c r="F168" s="17"/>
      <c r="G168" s="17"/>
      <c r="H168" s="17"/>
      <c r="I168" s="17"/>
      <c r="J168" s="18" t="str">
        <f aca="false">IF($A168="","",$B168+$C168+$D168-$E168+$F168-$G168)</f>
        <v/>
      </c>
      <c r="K168" s="18" t="str">
        <f aca="false">IF($A168="","",MAX(0,$B168-$J168))</f>
        <v/>
      </c>
      <c r="L168" s="19" t="str">
        <f aca="false">IF($A168="","",IF($B168=0,0,$K168/$B168))</f>
        <v/>
      </c>
      <c r="M168" s="20" t="str">
        <f aca="false">IF($A168="","",IF($J168&lt;0,"BORCA BATIK",IF($I168&lt;$H168,"BORCA BATIK",IF($L168&gt;=TtkUcteIkiEsik,"2/3 KAYIP (KRİTİK)",IF($L168&gt;=TtkUcteBirEsik,"1/3 KAYIP (DİKKAT)","UYGUN")))))</f>
        <v/>
      </c>
    </row>
    <row r="169" customFormat="false" ht="15" hidden="false" customHeight="false" outlineLevel="0" collapsed="false">
      <c r="A169" s="21"/>
      <c r="B169" s="17"/>
      <c r="C169" s="17"/>
      <c r="D169" s="17"/>
      <c r="E169" s="17"/>
      <c r="F169" s="17"/>
      <c r="G169" s="17"/>
      <c r="H169" s="17"/>
      <c r="I169" s="17"/>
      <c r="J169" s="18" t="str">
        <f aca="false">IF($A169="","",$B169+$C169+$D169-$E169+$F169-$G169)</f>
        <v/>
      </c>
      <c r="K169" s="18" t="str">
        <f aca="false">IF($A169="","",MAX(0,$B169-$J169))</f>
        <v/>
      </c>
      <c r="L169" s="19" t="str">
        <f aca="false">IF($A169="","",IF($B169=0,0,$K169/$B169))</f>
        <v/>
      </c>
      <c r="M169" s="20" t="str">
        <f aca="false">IF($A169="","",IF($J169&lt;0,"BORCA BATIK",IF($I169&lt;$H169,"BORCA BATIK",IF($L169&gt;=TtkUcteIkiEsik,"2/3 KAYIP (KRİTİK)",IF($L169&gt;=TtkUcteBirEsik,"1/3 KAYIP (DİKKAT)","UYGUN")))))</f>
        <v/>
      </c>
    </row>
    <row r="170" customFormat="false" ht="15" hidden="false" customHeight="false" outlineLevel="0" collapsed="false">
      <c r="A170" s="21"/>
      <c r="B170" s="17"/>
      <c r="C170" s="17"/>
      <c r="D170" s="17"/>
      <c r="E170" s="17"/>
      <c r="F170" s="17"/>
      <c r="G170" s="17"/>
      <c r="H170" s="17"/>
      <c r="I170" s="17"/>
      <c r="J170" s="18" t="str">
        <f aca="false">IF($A170="","",$B170+$C170+$D170-$E170+$F170-$G170)</f>
        <v/>
      </c>
      <c r="K170" s="18" t="str">
        <f aca="false">IF($A170="","",MAX(0,$B170-$J170))</f>
        <v/>
      </c>
      <c r="L170" s="19" t="str">
        <f aca="false">IF($A170="","",IF($B170=0,0,$K170/$B170))</f>
        <v/>
      </c>
      <c r="M170" s="20" t="str">
        <f aca="false">IF($A170="","",IF($J170&lt;0,"BORCA BATIK",IF($I170&lt;$H170,"BORCA BATIK",IF($L170&gt;=TtkUcteIkiEsik,"2/3 KAYIP (KRİTİK)",IF($L170&gt;=TtkUcteBirEsik,"1/3 KAYIP (DİKKAT)","UYGUN")))))</f>
        <v/>
      </c>
    </row>
    <row r="171" customFormat="false" ht="15" hidden="false" customHeight="false" outlineLevel="0" collapsed="false">
      <c r="A171" s="21"/>
      <c r="B171" s="17"/>
      <c r="C171" s="17"/>
      <c r="D171" s="17"/>
      <c r="E171" s="17"/>
      <c r="F171" s="17"/>
      <c r="G171" s="17"/>
      <c r="H171" s="17"/>
      <c r="I171" s="17"/>
      <c r="J171" s="18" t="str">
        <f aca="false">IF($A171="","",$B171+$C171+$D171-$E171+$F171-$G171)</f>
        <v/>
      </c>
      <c r="K171" s="18" t="str">
        <f aca="false">IF($A171="","",MAX(0,$B171-$J171))</f>
        <v/>
      </c>
      <c r="L171" s="19" t="str">
        <f aca="false">IF($A171="","",IF($B171=0,0,$K171/$B171))</f>
        <v/>
      </c>
      <c r="M171" s="20" t="str">
        <f aca="false">IF($A171="","",IF($J171&lt;0,"BORCA BATIK",IF($I171&lt;$H171,"BORCA BATIK",IF($L171&gt;=TtkUcteIkiEsik,"2/3 KAYIP (KRİTİK)",IF($L171&gt;=TtkUcteBirEsik,"1/3 KAYIP (DİKKAT)","UYGUN")))))</f>
        <v/>
      </c>
    </row>
    <row r="172" customFormat="false" ht="15" hidden="false" customHeight="false" outlineLevel="0" collapsed="false">
      <c r="A172" s="21"/>
      <c r="B172" s="17"/>
      <c r="C172" s="17"/>
      <c r="D172" s="17"/>
      <c r="E172" s="17"/>
      <c r="F172" s="17"/>
      <c r="G172" s="17"/>
      <c r="H172" s="17"/>
      <c r="I172" s="17"/>
      <c r="J172" s="18" t="str">
        <f aca="false">IF($A172="","",$B172+$C172+$D172-$E172+$F172-$G172)</f>
        <v/>
      </c>
      <c r="K172" s="18" t="str">
        <f aca="false">IF($A172="","",MAX(0,$B172-$J172))</f>
        <v/>
      </c>
      <c r="L172" s="19" t="str">
        <f aca="false">IF($A172="","",IF($B172=0,0,$K172/$B172))</f>
        <v/>
      </c>
      <c r="M172" s="20" t="str">
        <f aca="false">IF($A172="","",IF($J172&lt;0,"BORCA BATIK",IF($I172&lt;$H172,"BORCA BATIK",IF($L172&gt;=TtkUcteIkiEsik,"2/3 KAYIP (KRİTİK)",IF($L172&gt;=TtkUcteBirEsik,"1/3 KAYIP (DİKKAT)","UYGUN")))))</f>
        <v/>
      </c>
    </row>
    <row r="173" customFormat="false" ht="15" hidden="false" customHeight="false" outlineLevel="0" collapsed="false">
      <c r="A173" s="21"/>
      <c r="B173" s="17"/>
      <c r="C173" s="17"/>
      <c r="D173" s="17"/>
      <c r="E173" s="17"/>
      <c r="F173" s="17"/>
      <c r="G173" s="17"/>
      <c r="H173" s="17"/>
      <c r="I173" s="17"/>
      <c r="J173" s="18" t="str">
        <f aca="false">IF($A173="","",$B173+$C173+$D173-$E173+$F173-$G173)</f>
        <v/>
      </c>
      <c r="K173" s="18" t="str">
        <f aca="false">IF($A173="","",MAX(0,$B173-$J173))</f>
        <v/>
      </c>
      <c r="L173" s="19" t="str">
        <f aca="false">IF($A173="","",IF($B173=0,0,$K173/$B173))</f>
        <v/>
      </c>
      <c r="M173" s="20" t="str">
        <f aca="false">IF($A173="","",IF($J173&lt;0,"BORCA BATIK",IF($I173&lt;$H173,"BORCA BATIK",IF($L173&gt;=TtkUcteIkiEsik,"2/3 KAYIP (KRİTİK)",IF($L173&gt;=TtkUcteBirEsik,"1/3 KAYIP (DİKKAT)","UYGUN")))))</f>
        <v/>
      </c>
    </row>
    <row r="174" customFormat="false" ht="15" hidden="false" customHeight="false" outlineLevel="0" collapsed="false">
      <c r="A174" s="21"/>
      <c r="B174" s="17"/>
      <c r="C174" s="17"/>
      <c r="D174" s="17"/>
      <c r="E174" s="17"/>
      <c r="F174" s="17"/>
      <c r="G174" s="17"/>
      <c r="H174" s="17"/>
      <c r="I174" s="17"/>
      <c r="J174" s="18" t="str">
        <f aca="false">IF($A174="","",$B174+$C174+$D174-$E174+$F174-$G174)</f>
        <v/>
      </c>
      <c r="K174" s="18" t="str">
        <f aca="false">IF($A174="","",MAX(0,$B174-$J174))</f>
        <v/>
      </c>
      <c r="L174" s="19" t="str">
        <f aca="false">IF($A174="","",IF($B174=0,0,$K174/$B174))</f>
        <v/>
      </c>
      <c r="M174" s="20" t="str">
        <f aca="false">IF($A174="","",IF($J174&lt;0,"BORCA BATIK",IF($I174&lt;$H174,"BORCA BATIK",IF($L174&gt;=TtkUcteIkiEsik,"2/3 KAYIP (KRİTİK)",IF($L174&gt;=TtkUcteBirEsik,"1/3 KAYIP (DİKKAT)","UYGUN")))))</f>
        <v/>
      </c>
    </row>
    <row r="175" customFormat="false" ht="15" hidden="false" customHeight="false" outlineLevel="0" collapsed="false">
      <c r="A175" s="21"/>
      <c r="B175" s="17"/>
      <c r="C175" s="17"/>
      <c r="D175" s="17"/>
      <c r="E175" s="17"/>
      <c r="F175" s="17"/>
      <c r="G175" s="17"/>
      <c r="H175" s="17"/>
      <c r="I175" s="17"/>
      <c r="J175" s="18" t="str">
        <f aca="false">IF($A175="","",$B175+$C175+$D175-$E175+$F175-$G175)</f>
        <v/>
      </c>
      <c r="K175" s="18" t="str">
        <f aca="false">IF($A175="","",MAX(0,$B175-$J175))</f>
        <v/>
      </c>
      <c r="L175" s="19" t="str">
        <f aca="false">IF($A175="","",IF($B175=0,0,$K175/$B175))</f>
        <v/>
      </c>
      <c r="M175" s="20" t="str">
        <f aca="false">IF($A175="","",IF($J175&lt;0,"BORCA BATIK",IF($I175&lt;$H175,"BORCA BATIK",IF($L175&gt;=TtkUcteIkiEsik,"2/3 KAYIP (KRİTİK)",IF($L175&gt;=TtkUcteBirEsik,"1/3 KAYIP (DİKKAT)","UYGUN")))))</f>
        <v/>
      </c>
    </row>
    <row r="176" customFormat="false" ht="15" hidden="false" customHeight="false" outlineLevel="0" collapsed="false">
      <c r="A176" s="21"/>
      <c r="B176" s="17"/>
      <c r="C176" s="17"/>
      <c r="D176" s="17"/>
      <c r="E176" s="17"/>
      <c r="F176" s="17"/>
      <c r="G176" s="17"/>
      <c r="H176" s="17"/>
      <c r="I176" s="17"/>
      <c r="J176" s="18" t="str">
        <f aca="false">IF($A176="","",$B176+$C176+$D176-$E176+$F176-$G176)</f>
        <v/>
      </c>
      <c r="K176" s="18" t="str">
        <f aca="false">IF($A176="","",MAX(0,$B176-$J176))</f>
        <v/>
      </c>
      <c r="L176" s="19" t="str">
        <f aca="false">IF($A176="","",IF($B176=0,0,$K176/$B176))</f>
        <v/>
      </c>
      <c r="M176" s="20" t="str">
        <f aca="false">IF($A176="","",IF($J176&lt;0,"BORCA BATIK",IF($I176&lt;$H176,"BORCA BATIK",IF($L176&gt;=TtkUcteIkiEsik,"2/3 KAYIP (KRİTİK)",IF($L176&gt;=TtkUcteBirEsik,"1/3 KAYIP (DİKKAT)","UYGUN")))))</f>
        <v/>
      </c>
    </row>
    <row r="177" customFormat="false" ht="15" hidden="false" customHeight="false" outlineLevel="0" collapsed="false">
      <c r="A177" s="21"/>
      <c r="B177" s="17"/>
      <c r="C177" s="17"/>
      <c r="D177" s="17"/>
      <c r="E177" s="17"/>
      <c r="F177" s="17"/>
      <c r="G177" s="17"/>
      <c r="H177" s="17"/>
      <c r="I177" s="17"/>
      <c r="J177" s="18" t="str">
        <f aca="false">IF($A177="","",$B177+$C177+$D177-$E177+$F177-$G177)</f>
        <v/>
      </c>
      <c r="K177" s="18" t="str">
        <f aca="false">IF($A177="","",MAX(0,$B177-$J177))</f>
        <v/>
      </c>
      <c r="L177" s="19" t="str">
        <f aca="false">IF($A177="","",IF($B177=0,0,$K177/$B177))</f>
        <v/>
      </c>
      <c r="M177" s="20" t="str">
        <f aca="false">IF($A177="","",IF($J177&lt;0,"BORCA BATIK",IF($I177&lt;$H177,"BORCA BATIK",IF($L177&gt;=TtkUcteIkiEsik,"2/3 KAYIP (KRİTİK)",IF($L177&gt;=TtkUcteBirEsik,"1/3 KAYIP (DİKKAT)","UYGUN")))))</f>
        <v/>
      </c>
    </row>
    <row r="178" customFormat="false" ht="15" hidden="false" customHeight="false" outlineLevel="0" collapsed="false">
      <c r="A178" s="21"/>
      <c r="B178" s="17"/>
      <c r="C178" s="17"/>
      <c r="D178" s="17"/>
      <c r="E178" s="17"/>
      <c r="F178" s="17"/>
      <c r="G178" s="17"/>
      <c r="H178" s="17"/>
      <c r="I178" s="17"/>
      <c r="J178" s="18" t="str">
        <f aca="false">IF($A178="","",$B178+$C178+$D178-$E178+$F178-$G178)</f>
        <v/>
      </c>
      <c r="K178" s="18" t="str">
        <f aca="false">IF($A178="","",MAX(0,$B178-$J178))</f>
        <v/>
      </c>
      <c r="L178" s="19" t="str">
        <f aca="false">IF($A178="","",IF($B178=0,0,$K178/$B178))</f>
        <v/>
      </c>
      <c r="M178" s="20" t="str">
        <f aca="false">IF($A178="","",IF($J178&lt;0,"BORCA BATIK",IF($I178&lt;$H178,"BORCA BATIK",IF($L178&gt;=TtkUcteIkiEsik,"2/3 KAYIP (KRİTİK)",IF($L178&gt;=TtkUcteBirEsik,"1/3 KAYIP (DİKKAT)","UYGUN")))))</f>
        <v/>
      </c>
    </row>
    <row r="179" customFormat="false" ht="15" hidden="false" customHeight="false" outlineLevel="0" collapsed="false">
      <c r="A179" s="21"/>
      <c r="B179" s="17"/>
      <c r="C179" s="17"/>
      <c r="D179" s="17"/>
      <c r="E179" s="17"/>
      <c r="F179" s="17"/>
      <c r="G179" s="17"/>
      <c r="H179" s="17"/>
      <c r="I179" s="17"/>
      <c r="J179" s="18" t="str">
        <f aca="false">IF($A179="","",$B179+$C179+$D179-$E179+$F179-$G179)</f>
        <v/>
      </c>
      <c r="K179" s="18" t="str">
        <f aca="false">IF($A179="","",MAX(0,$B179-$J179))</f>
        <v/>
      </c>
      <c r="L179" s="19" t="str">
        <f aca="false">IF($A179="","",IF($B179=0,0,$K179/$B179))</f>
        <v/>
      </c>
      <c r="M179" s="20" t="str">
        <f aca="false">IF($A179="","",IF($J179&lt;0,"BORCA BATIK",IF($I179&lt;$H179,"BORCA BATIK",IF($L179&gt;=TtkUcteIkiEsik,"2/3 KAYIP (KRİTİK)",IF($L179&gt;=TtkUcteBirEsik,"1/3 KAYIP (DİKKAT)","UYGUN")))))</f>
        <v/>
      </c>
    </row>
    <row r="180" customFormat="false" ht="15" hidden="false" customHeight="false" outlineLevel="0" collapsed="false">
      <c r="A180" s="21"/>
      <c r="B180" s="17"/>
      <c r="C180" s="17"/>
      <c r="D180" s="17"/>
      <c r="E180" s="17"/>
      <c r="F180" s="17"/>
      <c r="G180" s="17"/>
      <c r="H180" s="17"/>
      <c r="I180" s="17"/>
      <c r="J180" s="18" t="str">
        <f aca="false">IF($A180="","",$B180+$C180+$D180-$E180+$F180-$G180)</f>
        <v/>
      </c>
      <c r="K180" s="18" t="str">
        <f aca="false">IF($A180="","",MAX(0,$B180-$J180))</f>
        <v/>
      </c>
      <c r="L180" s="19" t="str">
        <f aca="false">IF($A180="","",IF($B180=0,0,$K180/$B180))</f>
        <v/>
      </c>
      <c r="M180" s="20" t="str">
        <f aca="false">IF($A180="","",IF($J180&lt;0,"BORCA BATIK",IF($I180&lt;$H180,"BORCA BATIK",IF($L180&gt;=TtkUcteIkiEsik,"2/3 KAYIP (KRİTİK)",IF($L180&gt;=TtkUcteBirEsik,"1/3 KAYIP (DİKKAT)","UYGUN")))))</f>
        <v/>
      </c>
    </row>
    <row r="181" customFormat="false" ht="15" hidden="false" customHeight="false" outlineLevel="0" collapsed="false">
      <c r="A181" s="21"/>
      <c r="B181" s="17"/>
      <c r="C181" s="17"/>
      <c r="D181" s="17"/>
      <c r="E181" s="17"/>
      <c r="F181" s="17"/>
      <c r="G181" s="17"/>
      <c r="H181" s="17"/>
      <c r="I181" s="17"/>
      <c r="J181" s="18" t="str">
        <f aca="false">IF($A181="","",$B181+$C181+$D181-$E181+$F181-$G181)</f>
        <v/>
      </c>
      <c r="K181" s="18" t="str">
        <f aca="false">IF($A181="","",MAX(0,$B181-$J181))</f>
        <v/>
      </c>
      <c r="L181" s="19" t="str">
        <f aca="false">IF($A181="","",IF($B181=0,0,$K181/$B181))</f>
        <v/>
      </c>
      <c r="M181" s="20" t="str">
        <f aca="false">IF($A181="","",IF($J181&lt;0,"BORCA BATIK",IF($I181&lt;$H181,"BORCA BATIK",IF($L181&gt;=TtkUcteIkiEsik,"2/3 KAYIP (KRİTİK)",IF($L181&gt;=TtkUcteBirEsik,"1/3 KAYIP (DİKKAT)","UYGUN")))))</f>
        <v/>
      </c>
    </row>
    <row r="182" customFormat="false" ht="15" hidden="false" customHeight="false" outlineLevel="0" collapsed="false">
      <c r="A182" s="21"/>
      <c r="B182" s="17"/>
      <c r="C182" s="17"/>
      <c r="D182" s="17"/>
      <c r="E182" s="17"/>
      <c r="F182" s="17"/>
      <c r="G182" s="17"/>
      <c r="H182" s="17"/>
      <c r="I182" s="17"/>
      <c r="J182" s="18" t="str">
        <f aca="false">IF($A182="","",$B182+$C182+$D182-$E182+$F182-$G182)</f>
        <v/>
      </c>
      <c r="K182" s="18" t="str">
        <f aca="false">IF($A182="","",MAX(0,$B182-$J182))</f>
        <v/>
      </c>
      <c r="L182" s="19" t="str">
        <f aca="false">IF($A182="","",IF($B182=0,0,$K182/$B182))</f>
        <v/>
      </c>
      <c r="M182" s="20" t="str">
        <f aca="false">IF($A182="","",IF($J182&lt;0,"BORCA BATIK",IF($I182&lt;$H182,"BORCA BATIK",IF($L182&gt;=TtkUcteIkiEsik,"2/3 KAYIP (KRİTİK)",IF($L182&gt;=TtkUcteBirEsik,"1/3 KAYIP (DİKKAT)","UYGUN")))))</f>
        <v/>
      </c>
    </row>
    <row r="183" customFormat="false" ht="15" hidden="false" customHeight="false" outlineLevel="0" collapsed="false">
      <c r="A183" s="21"/>
      <c r="B183" s="17"/>
      <c r="C183" s="17"/>
      <c r="D183" s="17"/>
      <c r="E183" s="17"/>
      <c r="F183" s="17"/>
      <c r="G183" s="17"/>
      <c r="H183" s="17"/>
      <c r="I183" s="17"/>
      <c r="J183" s="18" t="str">
        <f aca="false">IF($A183="","",$B183+$C183+$D183-$E183+$F183-$G183)</f>
        <v/>
      </c>
      <c r="K183" s="18" t="str">
        <f aca="false">IF($A183="","",MAX(0,$B183-$J183))</f>
        <v/>
      </c>
      <c r="L183" s="19" t="str">
        <f aca="false">IF($A183="","",IF($B183=0,0,$K183/$B183))</f>
        <v/>
      </c>
      <c r="M183" s="20" t="str">
        <f aca="false">IF($A183="","",IF($J183&lt;0,"BORCA BATIK",IF($I183&lt;$H183,"BORCA BATIK",IF($L183&gt;=TtkUcteIkiEsik,"2/3 KAYIP (KRİTİK)",IF($L183&gt;=TtkUcteBirEsik,"1/3 KAYIP (DİKKAT)","UYGUN")))))</f>
        <v/>
      </c>
    </row>
    <row r="184" customFormat="false" ht="15" hidden="false" customHeight="false" outlineLevel="0" collapsed="false">
      <c r="A184" s="21"/>
      <c r="B184" s="17"/>
      <c r="C184" s="17"/>
      <c r="D184" s="17"/>
      <c r="E184" s="17"/>
      <c r="F184" s="17"/>
      <c r="G184" s="17"/>
      <c r="H184" s="17"/>
      <c r="I184" s="17"/>
      <c r="J184" s="18" t="str">
        <f aca="false">IF($A184="","",$B184+$C184+$D184-$E184+$F184-$G184)</f>
        <v/>
      </c>
      <c r="K184" s="18" t="str">
        <f aca="false">IF($A184="","",MAX(0,$B184-$J184))</f>
        <v/>
      </c>
      <c r="L184" s="19" t="str">
        <f aca="false">IF($A184="","",IF($B184=0,0,$K184/$B184))</f>
        <v/>
      </c>
      <c r="M184" s="20" t="str">
        <f aca="false">IF($A184="","",IF($J184&lt;0,"BORCA BATIK",IF($I184&lt;$H184,"BORCA BATIK",IF($L184&gt;=TtkUcteIkiEsik,"2/3 KAYIP (KRİTİK)",IF($L184&gt;=TtkUcteBirEsik,"1/3 KAYIP (DİKKAT)","UYGUN")))))</f>
        <v/>
      </c>
    </row>
    <row r="185" customFormat="false" ht="15" hidden="false" customHeight="false" outlineLevel="0" collapsed="false">
      <c r="A185" s="21"/>
      <c r="B185" s="17"/>
      <c r="C185" s="17"/>
      <c r="D185" s="17"/>
      <c r="E185" s="17"/>
      <c r="F185" s="17"/>
      <c r="G185" s="17"/>
      <c r="H185" s="17"/>
      <c r="I185" s="17"/>
      <c r="J185" s="18" t="str">
        <f aca="false">IF($A185="","",$B185+$C185+$D185-$E185+$F185-$G185)</f>
        <v/>
      </c>
      <c r="K185" s="18" t="str">
        <f aca="false">IF($A185="","",MAX(0,$B185-$J185))</f>
        <v/>
      </c>
      <c r="L185" s="19" t="str">
        <f aca="false">IF($A185="","",IF($B185=0,0,$K185/$B185))</f>
        <v/>
      </c>
      <c r="M185" s="20" t="str">
        <f aca="false">IF($A185="","",IF($J185&lt;0,"BORCA BATIK",IF($I185&lt;$H185,"BORCA BATIK",IF($L185&gt;=TtkUcteIkiEsik,"2/3 KAYIP (KRİTİK)",IF($L185&gt;=TtkUcteBirEsik,"1/3 KAYIP (DİKKAT)","UYGUN")))))</f>
        <v/>
      </c>
    </row>
    <row r="186" customFormat="false" ht="15" hidden="false" customHeight="false" outlineLevel="0" collapsed="false">
      <c r="A186" s="21"/>
      <c r="B186" s="17"/>
      <c r="C186" s="17"/>
      <c r="D186" s="17"/>
      <c r="E186" s="17"/>
      <c r="F186" s="17"/>
      <c r="G186" s="17"/>
      <c r="H186" s="17"/>
      <c r="I186" s="17"/>
      <c r="J186" s="18" t="str">
        <f aca="false">IF($A186="","",$B186+$C186+$D186-$E186+$F186-$G186)</f>
        <v/>
      </c>
      <c r="K186" s="18" t="str">
        <f aca="false">IF($A186="","",MAX(0,$B186-$J186))</f>
        <v/>
      </c>
      <c r="L186" s="19" t="str">
        <f aca="false">IF($A186="","",IF($B186=0,0,$K186/$B186))</f>
        <v/>
      </c>
      <c r="M186" s="20" t="str">
        <f aca="false">IF($A186="","",IF($J186&lt;0,"BORCA BATIK",IF($I186&lt;$H186,"BORCA BATIK",IF($L186&gt;=TtkUcteIkiEsik,"2/3 KAYIP (KRİTİK)",IF($L186&gt;=TtkUcteBirEsik,"1/3 KAYIP (DİKKAT)","UYGUN")))))</f>
        <v/>
      </c>
    </row>
    <row r="187" customFormat="false" ht="15" hidden="false" customHeight="false" outlineLevel="0" collapsed="false">
      <c r="A187" s="21"/>
      <c r="B187" s="17"/>
      <c r="C187" s="17"/>
      <c r="D187" s="17"/>
      <c r="E187" s="17"/>
      <c r="F187" s="17"/>
      <c r="G187" s="17"/>
      <c r="H187" s="17"/>
      <c r="I187" s="17"/>
      <c r="J187" s="18" t="str">
        <f aca="false">IF($A187="","",$B187+$C187+$D187-$E187+$F187-$G187)</f>
        <v/>
      </c>
      <c r="K187" s="18" t="str">
        <f aca="false">IF($A187="","",MAX(0,$B187-$J187))</f>
        <v/>
      </c>
      <c r="L187" s="19" t="str">
        <f aca="false">IF($A187="","",IF($B187=0,0,$K187/$B187))</f>
        <v/>
      </c>
      <c r="M187" s="20" t="str">
        <f aca="false">IF($A187="","",IF($J187&lt;0,"BORCA BATIK",IF($I187&lt;$H187,"BORCA BATIK",IF($L187&gt;=TtkUcteIkiEsik,"2/3 KAYIP (KRİTİK)",IF($L187&gt;=TtkUcteBirEsik,"1/3 KAYIP (DİKKAT)","UYGUN")))))</f>
        <v/>
      </c>
    </row>
    <row r="188" customFormat="false" ht="15" hidden="false" customHeight="false" outlineLevel="0" collapsed="false">
      <c r="A188" s="21"/>
      <c r="B188" s="17"/>
      <c r="C188" s="17"/>
      <c r="D188" s="17"/>
      <c r="E188" s="17"/>
      <c r="F188" s="17"/>
      <c r="G188" s="17"/>
      <c r="H188" s="17"/>
      <c r="I188" s="17"/>
      <c r="J188" s="18" t="str">
        <f aca="false">IF($A188="","",$B188+$C188+$D188-$E188+$F188-$G188)</f>
        <v/>
      </c>
      <c r="K188" s="18" t="str">
        <f aca="false">IF($A188="","",MAX(0,$B188-$J188))</f>
        <v/>
      </c>
      <c r="L188" s="19" t="str">
        <f aca="false">IF($A188="","",IF($B188=0,0,$K188/$B188))</f>
        <v/>
      </c>
      <c r="M188" s="20" t="str">
        <f aca="false">IF($A188="","",IF($J188&lt;0,"BORCA BATIK",IF($I188&lt;$H188,"BORCA BATIK",IF($L188&gt;=TtkUcteIkiEsik,"2/3 KAYIP (KRİTİK)",IF($L188&gt;=TtkUcteBirEsik,"1/3 KAYIP (DİKKAT)","UYGUN")))))</f>
        <v/>
      </c>
    </row>
    <row r="189" customFormat="false" ht="15" hidden="false" customHeight="false" outlineLevel="0" collapsed="false">
      <c r="A189" s="21"/>
      <c r="B189" s="17"/>
      <c r="C189" s="17"/>
      <c r="D189" s="17"/>
      <c r="E189" s="17"/>
      <c r="F189" s="17"/>
      <c r="G189" s="17"/>
      <c r="H189" s="17"/>
      <c r="I189" s="17"/>
      <c r="J189" s="18" t="str">
        <f aca="false">IF($A189="","",$B189+$C189+$D189-$E189+$F189-$G189)</f>
        <v/>
      </c>
      <c r="K189" s="18" t="str">
        <f aca="false">IF($A189="","",MAX(0,$B189-$J189))</f>
        <v/>
      </c>
      <c r="L189" s="19" t="str">
        <f aca="false">IF($A189="","",IF($B189=0,0,$K189/$B189))</f>
        <v/>
      </c>
      <c r="M189" s="20" t="str">
        <f aca="false">IF($A189="","",IF($J189&lt;0,"BORCA BATIK",IF($I189&lt;$H189,"BORCA BATIK",IF($L189&gt;=TtkUcteIkiEsik,"2/3 KAYIP (KRİTİK)",IF($L189&gt;=TtkUcteBirEsik,"1/3 KAYIP (DİKKAT)","UYGUN")))))</f>
        <v/>
      </c>
    </row>
    <row r="190" customFormat="false" ht="15" hidden="false" customHeight="false" outlineLevel="0" collapsed="false">
      <c r="A190" s="21"/>
      <c r="B190" s="17"/>
      <c r="C190" s="17"/>
      <c r="D190" s="17"/>
      <c r="E190" s="17"/>
      <c r="F190" s="17"/>
      <c r="G190" s="17"/>
      <c r="H190" s="17"/>
      <c r="I190" s="17"/>
      <c r="J190" s="18" t="str">
        <f aca="false">IF($A190="","",$B190+$C190+$D190-$E190+$F190-$G190)</f>
        <v/>
      </c>
      <c r="K190" s="18" t="str">
        <f aca="false">IF($A190="","",MAX(0,$B190-$J190))</f>
        <v/>
      </c>
      <c r="L190" s="19" t="str">
        <f aca="false">IF($A190="","",IF($B190=0,0,$K190/$B190))</f>
        <v/>
      </c>
      <c r="M190" s="20" t="str">
        <f aca="false">IF($A190="","",IF($J190&lt;0,"BORCA BATIK",IF($I190&lt;$H190,"BORCA BATIK",IF($L190&gt;=TtkUcteIkiEsik,"2/3 KAYIP (KRİTİK)",IF($L190&gt;=TtkUcteBirEsik,"1/3 KAYIP (DİKKAT)","UYGUN")))))</f>
        <v/>
      </c>
    </row>
    <row r="191" customFormat="false" ht="15" hidden="false" customHeight="false" outlineLevel="0" collapsed="false">
      <c r="A191" s="21"/>
      <c r="B191" s="17"/>
      <c r="C191" s="17"/>
      <c r="D191" s="17"/>
      <c r="E191" s="17"/>
      <c r="F191" s="17"/>
      <c r="G191" s="17"/>
      <c r="H191" s="17"/>
      <c r="I191" s="17"/>
      <c r="J191" s="18" t="str">
        <f aca="false">IF($A191="","",$B191+$C191+$D191-$E191+$F191-$G191)</f>
        <v/>
      </c>
      <c r="K191" s="18" t="str">
        <f aca="false">IF($A191="","",MAX(0,$B191-$J191))</f>
        <v/>
      </c>
      <c r="L191" s="19" t="str">
        <f aca="false">IF($A191="","",IF($B191=0,0,$K191/$B191))</f>
        <v/>
      </c>
      <c r="M191" s="20" t="str">
        <f aca="false">IF($A191="","",IF($J191&lt;0,"BORCA BATIK",IF($I191&lt;$H191,"BORCA BATIK",IF($L191&gt;=TtkUcteIkiEsik,"2/3 KAYIP (KRİTİK)",IF($L191&gt;=TtkUcteBirEsik,"1/3 KAYIP (DİKKAT)","UYGUN")))))</f>
        <v/>
      </c>
    </row>
    <row r="192" customFormat="false" ht="15" hidden="false" customHeight="false" outlineLevel="0" collapsed="false">
      <c r="A192" s="21"/>
      <c r="B192" s="17"/>
      <c r="C192" s="17"/>
      <c r="D192" s="17"/>
      <c r="E192" s="17"/>
      <c r="F192" s="17"/>
      <c r="G192" s="17"/>
      <c r="H192" s="17"/>
      <c r="I192" s="17"/>
      <c r="J192" s="18" t="str">
        <f aca="false">IF($A192="","",$B192+$C192+$D192-$E192+$F192-$G192)</f>
        <v/>
      </c>
      <c r="K192" s="18" t="str">
        <f aca="false">IF($A192="","",MAX(0,$B192-$J192))</f>
        <v/>
      </c>
      <c r="L192" s="19" t="str">
        <f aca="false">IF($A192="","",IF($B192=0,0,$K192/$B192))</f>
        <v/>
      </c>
      <c r="M192" s="20" t="str">
        <f aca="false">IF($A192="","",IF($J192&lt;0,"BORCA BATIK",IF($I192&lt;$H192,"BORCA BATIK",IF($L192&gt;=TtkUcteIkiEsik,"2/3 KAYIP (KRİTİK)",IF($L192&gt;=TtkUcteBirEsik,"1/3 KAYIP (DİKKAT)","UYGUN")))))</f>
        <v/>
      </c>
    </row>
    <row r="193" customFormat="false" ht="15" hidden="false" customHeight="false" outlineLevel="0" collapsed="false">
      <c r="A193" s="21"/>
      <c r="B193" s="17"/>
      <c r="C193" s="17"/>
      <c r="D193" s="17"/>
      <c r="E193" s="17"/>
      <c r="F193" s="17"/>
      <c r="G193" s="17"/>
      <c r="H193" s="17"/>
      <c r="I193" s="17"/>
      <c r="J193" s="18" t="str">
        <f aca="false">IF($A193="","",$B193+$C193+$D193-$E193+$F193-$G193)</f>
        <v/>
      </c>
      <c r="K193" s="18" t="str">
        <f aca="false">IF($A193="","",MAX(0,$B193-$J193))</f>
        <v/>
      </c>
      <c r="L193" s="19" t="str">
        <f aca="false">IF($A193="","",IF($B193=0,0,$K193/$B193))</f>
        <v/>
      </c>
      <c r="M193" s="20" t="str">
        <f aca="false">IF($A193="","",IF($J193&lt;0,"BORCA BATIK",IF($I193&lt;$H193,"BORCA BATIK",IF($L193&gt;=TtkUcteIkiEsik,"2/3 KAYIP (KRİTİK)",IF($L193&gt;=TtkUcteBirEsik,"1/3 KAYIP (DİKKAT)","UYGUN")))))</f>
        <v/>
      </c>
    </row>
    <row r="194" customFormat="false" ht="15" hidden="false" customHeight="false" outlineLevel="0" collapsed="false">
      <c r="A194" s="21"/>
      <c r="B194" s="17"/>
      <c r="C194" s="17"/>
      <c r="D194" s="17"/>
      <c r="E194" s="17"/>
      <c r="F194" s="17"/>
      <c r="G194" s="17"/>
      <c r="H194" s="17"/>
      <c r="I194" s="17"/>
      <c r="J194" s="18" t="str">
        <f aca="false">IF($A194="","",$B194+$C194+$D194-$E194+$F194-$G194)</f>
        <v/>
      </c>
      <c r="K194" s="18" t="str">
        <f aca="false">IF($A194="","",MAX(0,$B194-$J194))</f>
        <v/>
      </c>
      <c r="L194" s="19" t="str">
        <f aca="false">IF($A194="","",IF($B194=0,0,$K194/$B194))</f>
        <v/>
      </c>
      <c r="M194" s="20" t="str">
        <f aca="false">IF($A194="","",IF($J194&lt;0,"BORCA BATIK",IF($I194&lt;$H194,"BORCA BATIK",IF($L194&gt;=TtkUcteIkiEsik,"2/3 KAYIP (KRİTİK)",IF($L194&gt;=TtkUcteBirEsik,"1/3 KAYIP (DİKKAT)","UYGUN")))))</f>
        <v/>
      </c>
    </row>
    <row r="195" customFormat="false" ht="15" hidden="false" customHeight="false" outlineLevel="0" collapsed="false">
      <c r="A195" s="21"/>
      <c r="B195" s="17"/>
      <c r="C195" s="17"/>
      <c r="D195" s="17"/>
      <c r="E195" s="17"/>
      <c r="F195" s="17"/>
      <c r="G195" s="17"/>
      <c r="H195" s="17"/>
      <c r="I195" s="17"/>
      <c r="J195" s="18" t="str">
        <f aca="false">IF($A195="","",$B195+$C195+$D195-$E195+$F195-$G195)</f>
        <v/>
      </c>
      <c r="K195" s="18" t="str">
        <f aca="false">IF($A195="","",MAX(0,$B195-$J195))</f>
        <v/>
      </c>
      <c r="L195" s="19" t="str">
        <f aca="false">IF($A195="","",IF($B195=0,0,$K195/$B195))</f>
        <v/>
      </c>
      <c r="M195" s="20" t="str">
        <f aca="false">IF($A195="","",IF($J195&lt;0,"BORCA BATIK",IF($I195&lt;$H195,"BORCA BATIK",IF($L195&gt;=TtkUcteIkiEsik,"2/3 KAYIP (KRİTİK)",IF($L195&gt;=TtkUcteBirEsik,"1/3 KAYIP (DİKKAT)","UYGUN")))))</f>
        <v/>
      </c>
    </row>
    <row r="196" customFormat="false" ht="15" hidden="false" customHeight="false" outlineLevel="0" collapsed="false">
      <c r="A196" s="21"/>
      <c r="B196" s="17"/>
      <c r="C196" s="17"/>
      <c r="D196" s="17"/>
      <c r="E196" s="17"/>
      <c r="F196" s="17"/>
      <c r="G196" s="17"/>
      <c r="H196" s="17"/>
      <c r="I196" s="17"/>
      <c r="J196" s="18" t="str">
        <f aca="false">IF($A196="","",$B196+$C196+$D196-$E196+$F196-$G196)</f>
        <v/>
      </c>
      <c r="K196" s="18" t="str">
        <f aca="false">IF($A196="","",MAX(0,$B196-$J196))</f>
        <v/>
      </c>
      <c r="L196" s="19" t="str">
        <f aca="false">IF($A196="","",IF($B196=0,0,$K196/$B196))</f>
        <v/>
      </c>
      <c r="M196" s="20" t="str">
        <f aca="false">IF($A196="","",IF($J196&lt;0,"BORCA BATIK",IF($I196&lt;$H196,"BORCA BATIK",IF($L196&gt;=TtkUcteIkiEsik,"2/3 KAYIP (KRİTİK)",IF($L196&gt;=TtkUcteBirEsik,"1/3 KAYIP (DİKKAT)","UYGUN")))))</f>
        <v/>
      </c>
    </row>
    <row r="197" customFormat="false" ht="15" hidden="false" customHeight="false" outlineLevel="0" collapsed="false">
      <c r="A197" s="21"/>
      <c r="B197" s="17"/>
      <c r="C197" s="17"/>
      <c r="D197" s="17"/>
      <c r="E197" s="17"/>
      <c r="F197" s="17"/>
      <c r="G197" s="17"/>
      <c r="H197" s="17"/>
      <c r="I197" s="17"/>
      <c r="J197" s="18" t="str">
        <f aca="false">IF($A197="","",$B197+$C197+$D197-$E197+$F197-$G197)</f>
        <v/>
      </c>
      <c r="K197" s="18" t="str">
        <f aca="false">IF($A197="","",MAX(0,$B197-$J197))</f>
        <v/>
      </c>
      <c r="L197" s="19" t="str">
        <f aca="false">IF($A197="","",IF($B197=0,0,$K197/$B197))</f>
        <v/>
      </c>
      <c r="M197" s="20" t="str">
        <f aca="false">IF($A197="","",IF($J197&lt;0,"BORCA BATIK",IF($I197&lt;$H197,"BORCA BATIK",IF($L197&gt;=TtkUcteIkiEsik,"2/3 KAYIP (KRİTİK)",IF($L197&gt;=TtkUcteBirEsik,"1/3 KAYIP (DİKKAT)","UYGUN")))))</f>
        <v/>
      </c>
    </row>
    <row r="198" customFormat="false" ht="15" hidden="false" customHeight="false" outlineLevel="0" collapsed="false">
      <c r="A198" s="21"/>
      <c r="B198" s="17"/>
      <c r="C198" s="17"/>
      <c r="D198" s="17"/>
      <c r="E198" s="17"/>
      <c r="F198" s="17"/>
      <c r="G198" s="17"/>
      <c r="H198" s="17"/>
      <c r="I198" s="17"/>
      <c r="J198" s="18" t="str">
        <f aca="false">IF($A198="","",$B198+$C198+$D198-$E198+$F198-$G198)</f>
        <v/>
      </c>
      <c r="K198" s="18" t="str">
        <f aca="false">IF($A198="","",MAX(0,$B198-$J198))</f>
        <v/>
      </c>
      <c r="L198" s="19" t="str">
        <f aca="false">IF($A198="","",IF($B198=0,0,$K198/$B198))</f>
        <v/>
      </c>
      <c r="M198" s="20" t="str">
        <f aca="false">IF($A198="","",IF($J198&lt;0,"BORCA BATIK",IF($I198&lt;$H198,"BORCA BATIK",IF($L198&gt;=TtkUcteIkiEsik,"2/3 KAYIP (KRİTİK)",IF($L198&gt;=TtkUcteBirEsik,"1/3 KAYIP (DİKKAT)","UYGUN")))))</f>
        <v/>
      </c>
    </row>
    <row r="199" customFormat="false" ht="15" hidden="false" customHeight="false" outlineLevel="0" collapsed="false">
      <c r="A199" s="21"/>
      <c r="B199" s="17"/>
      <c r="C199" s="17"/>
      <c r="D199" s="17"/>
      <c r="E199" s="17"/>
      <c r="F199" s="17"/>
      <c r="G199" s="17"/>
      <c r="H199" s="17"/>
      <c r="I199" s="17"/>
      <c r="J199" s="18" t="str">
        <f aca="false">IF($A199="","",$B199+$C199+$D199-$E199+$F199-$G199)</f>
        <v/>
      </c>
      <c r="K199" s="18" t="str">
        <f aca="false">IF($A199="","",MAX(0,$B199-$J199))</f>
        <v/>
      </c>
      <c r="L199" s="19" t="str">
        <f aca="false">IF($A199="","",IF($B199=0,0,$K199/$B199))</f>
        <v/>
      </c>
      <c r="M199" s="20" t="str">
        <f aca="false">IF($A199="","",IF($J199&lt;0,"BORCA BATIK",IF($I199&lt;$H199,"BORCA BATIK",IF($L199&gt;=TtkUcteIkiEsik,"2/3 KAYIP (KRİTİK)",IF($L199&gt;=TtkUcteBirEsik,"1/3 KAYIP (DİKKAT)","UYGUN")))))</f>
        <v/>
      </c>
    </row>
    <row r="200" customFormat="false" ht="15" hidden="false" customHeight="false" outlineLevel="0" collapsed="false">
      <c r="A200" s="21"/>
      <c r="B200" s="17"/>
      <c r="C200" s="17"/>
      <c r="D200" s="17"/>
      <c r="E200" s="17"/>
      <c r="F200" s="17"/>
      <c r="G200" s="17"/>
      <c r="H200" s="17"/>
      <c r="I200" s="17"/>
      <c r="J200" s="18" t="str">
        <f aca="false">IF($A200="","",$B200+$C200+$D200-$E200+$F200-$G200)</f>
        <v/>
      </c>
      <c r="K200" s="18" t="str">
        <f aca="false">IF($A200="","",MAX(0,$B200-$J200))</f>
        <v/>
      </c>
      <c r="L200" s="19" t="str">
        <f aca="false">IF($A200="","",IF($B200=0,0,$K200/$B200))</f>
        <v/>
      </c>
      <c r="M200" s="20" t="str">
        <f aca="false">IF($A200="","",IF($J200&lt;0,"BORCA BATIK",IF($I200&lt;$H200,"BORCA BATIK",IF($L200&gt;=TtkUcteIkiEsik,"2/3 KAYIP (KRİTİK)",IF($L200&gt;=TtkUcteBirEsik,"1/3 KAYIP (DİKKAT)","UYGUN")))))</f>
        <v/>
      </c>
    </row>
    <row r="201" customFormat="false" ht="15" hidden="false" customHeight="false" outlineLevel="0" collapsed="false">
      <c r="A201" s="21"/>
      <c r="B201" s="17"/>
      <c r="C201" s="17"/>
      <c r="D201" s="17"/>
      <c r="E201" s="17"/>
      <c r="F201" s="17"/>
      <c r="G201" s="17"/>
      <c r="H201" s="17"/>
      <c r="I201" s="17"/>
      <c r="J201" s="18" t="str">
        <f aca="false">IF($A201="","",$B201+$C201+$D201-$E201+$F201-$G201)</f>
        <v/>
      </c>
      <c r="K201" s="18" t="str">
        <f aca="false">IF($A201="","",MAX(0,$B201-$J201))</f>
        <v/>
      </c>
      <c r="L201" s="19" t="str">
        <f aca="false">IF($A201="","",IF($B201=0,0,$K201/$B201))</f>
        <v/>
      </c>
      <c r="M201" s="20" t="str">
        <f aca="false">IF($A201="","",IF($J201&lt;0,"BORCA BATIK",IF($I201&lt;$H201,"BORCA BATIK",IF($L201&gt;=TtkUcteIkiEsik,"2/3 KAYIP (KRİTİK)",IF($L201&gt;=TtkUcteBirEsik,"1/3 KAYIP (DİKKAT)","UYGUN")))))</f>
        <v/>
      </c>
    </row>
    <row r="202" customFormat="false" ht="15" hidden="false" customHeight="false" outlineLevel="0" collapsed="false">
      <c r="A202" s="21"/>
      <c r="B202" s="17"/>
      <c r="C202" s="17"/>
      <c r="D202" s="17"/>
      <c r="E202" s="17"/>
      <c r="F202" s="17"/>
      <c r="G202" s="17"/>
      <c r="H202" s="17"/>
      <c r="I202" s="17"/>
      <c r="J202" s="18" t="str">
        <f aca="false">IF($A202="","",$B202+$C202+$D202-$E202+$F202-$G202)</f>
        <v/>
      </c>
      <c r="K202" s="18" t="str">
        <f aca="false">IF($A202="","",MAX(0,$B202-$J202))</f>
        <v/>
      </c>
      <c r="L202" s="19" t="str">
        <f aca="false">IF($A202="","",IF($B202=0,0,$K202/$B202))</f>
        <v/>
      </c>
      <c r="M202" s="20" t="str">
        <f aca="false">IF($A202="","",IF($J202&lt;0,"BORCA BATIK",IF($I202&lt;$H202,"BORCA BATIK",IF($L202&gt;=TtkUcteIkiEsik,"2/3 KAYIP (KRİTİK)",IF($L202&gt;=TtkUcteBirEsik,"1/3 KAYIP (DİKKAT)","UYGUN")))))</f>
        <v/>
      </c>
    </row>
    <row r="203" customFormat="false" ht="15" hidden="false" customHeight="false" outlineLevel="0" collapsed="false">
      <c r="A203" s="21"/>
      <c r="B203" s="17"/>
      <c r="C203" s="17"/>
      <c r="D203" s="17"/>
      <c r="E203" s="17"/>
      <c r="F203" s="17"/>
      <c r="G203" s="17"/>
      <c r="H203" s="17"/>
      <c r="I203" s="17"/>
      <c r="J203" s="18" t="str">
        <f aca="false">IF($A203="","",$B203+$C203+$D203-$E203+$F203-$G203)</f>
        <v/>
      </c>
      <c r="K203" s="18" t="str">
        <f aca="false">IF($A203="","",MAX(0,$B203-$J203))</f>
        <v/>
      </c>
      <c r="L203" s="19" t="str">
        <f aca="false">IF($A203="","",IF($B203=0,0,$K203/$B203))</f>
        <v/>
      </c>
      <c r="M203" s="20" t="str">
        <f aca="false">IF($A203="","",IF($J203&lt;0,"BORCA BATIK",IF($I203&lt;$H203,"BORCA BATIK",IF($L203&gt;=TtkUcteIkiEsik,"2/3 KAYIP (KRİTİK)",IF($L203&gt;=TtkUcteBirEsik,"1/3 KAYIP (DİKKAT)","UYGUN")))))</f>
        <v/>
      </c>
    </row>
    <row r="204" customFormat="false" ht="15" hidden="false" customHeight="false" outlineLevel="0" collapsed="false">
      <c r="A204" s="21"/>
      <c r="B204" s="17"/>
      <c r="C204" s="17"/>
      <c r="D204" s="17"/>
      <c r="E204" s="17"/>
      <c r="F204" s="17"/>
      <c r="G204" s="17"/>
      <c r="H204" s="17"/>
      <c r="I204" s="17"/>
      <c r="J204" s="18" t="str">
        <f aca="false">IF($A204="","",$B204+$C204+$D204-$E204+$F204-$G204)</f>
        <v/>
      </c>
      <c r="K204" s="18" t="str">
        <f aca="false">IF($A204="","",MAX(0,$B204-$J204))</f>
        <v/>
      </c>
      <c r="L204" s="19" t="str">
        <f aca="false">IF($A204="","",IF($B204=0,0,$K204/$B204))</f>
        <v/>
      </c>
      <c r="M204" s="20" t="str">
        <f aca="false">IF($A204="","",IF($J204&lt;0,"BORCA BATIK",IF($I204&lt;$H204,"BORCA BATIK",IF($L204&gt;=TtkUcteIkiEsik,"2/3 KAYIP (KRİTİK)",IF($L204&gt;=TtkUcteBirEsik,"1/3 KAYIP (DİKKAT)","UYGUN")))))</f>
        <v/>
      </c>
    </row>
    <row r="205" customFormat="false" ht="15" hidden="false" customHeight="false" outlineLevel="0" collapsed="false">
      <c r="A205" s="21"/>
      <c r="B205" s="17"/>
      <c r="C205" s="17"/>
      <c r="D205" s="17"/>
      <c r="E205" s="17"/>
      <c r="F205" s="17"/>
      <c r="G205" s="17"/>
      <c r="H205" s="17"/>
      <c r="I205" s="17"/>
      <c r="J205" s="18" t="str">
        <f aca="false">IF($A205="","",$B205+$C205+$D205-$E205+$F205-$G205)</f>
        <v/>
      </c>
      <c r="K205" s="18" t="str">
        <f aca="false">IF($A205="","",MAX(0,$B205-$J205))</f>
        <v/>
      </c>
      <c r="L205" s="19" t="str">
        <f aca="false">IF($A205="","",IF($B205=0,0,$K205/$B205))</f>
        <v/>
      </c>
      <c r="M205" s="20" t="str">
        <f aca="false">IF($A205="","",IF($J205&lt;0,"BORCA BATIK",IF($I205&lt;$H205,"BORCA BATIK",IF($L205&gt;=TtkUcteIkiEsik,"2/3 KAYIP (KRİTİK)",IF($L205&gt;=TtkUcteBirEsik,"1/3 KAYIP (DİKKAT)","UYGUN")))))</f>
        <v/>
      </c>
    </row>
    <row r="206" customFormat="false" ht="15" hidden="false" customHeight="false" outlineLevel="0" collapsed="false">
      <c r="A206" s="21"/>
      <c r="B206" s="17"/>
      <c r="C206" s="17"/>
      <c r="D206" s="17"/>
      <c r="E206" s="17"/>
      <c r="F206" s="17"/>
      <c r="G206" s="17"/>
      <c r="H206" s="17"/>
      <c r="I206" s="17"/>
      <c r="J206" s="18" t="str">
        <f aca="false">IF($A206="","",$B206+$C206+$D206-$E206+$F206-$G206)</f>
        <v/>
      </c>
      <c r="K206" s="18" t="str">
        <f aca="false">IF($A206="","",MAX(0,$B206-$J206))</f>
        <v/>
      </c>
      <c r="L206" s="19" t="str">
        <f aca="false">IF($A206="","",IF($B206=0,0,$K206/$B206))</f>
        <v/>
      </c>
      <c r="M206" s="20" t="str">
        <f aca="false">IF($A206="","",IF($J206&lt;0,"BORCA BATIK",IF($I206&lt;$H206,"BORCA BATIK",IF($L206&gt;=TtkUcteIkiEsik,"2/3 KAYIP (KRİTİK)",IF($L206&gt;=TtkUcteBirEsik,"1/3 KAYIP (DİKKAT)","UYGUN")))))</f>
        <v/>
      </c>
    </row>
    <row r="207" customFormat="false" ht="15" hidden="false" customHeight="false" outlineLevel="0" collapsed="false">
      <c r="A207" s="21"/>
      <c r="B207" s="17"/>
      <c r="C207" s="17"/>
      <c r="D207" s="17"/>
      <c r="E207" s="17"/>
      <c r="F207" s="17"/>
      <c r="G207" s="17"/>
      <c r="H207" s="17"/>
      <c r="I207" s="17"/>
      <c r="J207" s="18" t="str">
        <f aca="false">IF($A207="","",$B207+$C207+$D207-$E207+$F207-$G207)</f>
        <v/>
      </c>
      <c r="K207" s="18" t="str">
        <f aca="false">IF($A207="","",MAX(0,$B207-$J207))</f>
        <v/>
      </c>
      <c r="L207" s="19" t="str">
        <f aca="false">IF($A207="","",IF($B207=0,0,$K207/$B207))</f>
        <v/>
      </c>
      <c r="M207" s="20" t="str">
        <f aca="false">IF($A207="","",IF($J207&lt;0,"BORCA BATIK",IF($I207&lt;$H207,"BORCA BATIK",IF($L207&gt;=TtkUcteIkiEsik,"2/3 KAYIP (KRİTİK)",IF($L207&gt;=TtkUcteBirEsik,"1/3 KAYIP (DİKKAT)","UYGUN")))))</f>
        <v/>
      </c>
    </row>
    <row r="208" customFormat="false" ht="15" hidden="false" customHeight="false" outlineLevel="0" collapsed="false">
      <c r="A208" s="21"/>
      <c r="B208" s="17"/>
      <c r="C208" s="17"/>
      <c r="D208" s="17"/>
      <c r="E208" s="17"/>
      <c r="F208" s="17"/>
      <c r="G208" s="17"/>
      <c r="H208" s="17"/>
      <c r="I208" s="17"/>
      <c r="J208" s="18" t="str">
        <f aca="false">IF($A208="","",$B208+$C208+$D208-$E208+$F208-$G208)</f>
        <v/>
      </c>
      <c r="K208" s="18" t="str">
        <f aca="false">IF($A208="","",MAX(0,$B208-$J208))</f>
        <v/>
      </c>
      <c r="L208" s="19" t="str">
        <f aca="false">IF($A208="","",IF($B208=0,0,$K208/$B208))</f>
        <v/>
      </c>
      <c r="M208" s="20" t="str">
        <f aca="false">IF($A208="","",IF($J208&lt;0,"BORCA BATIK",IF($I208&lt;$H208,"BORCA BATIK",IF($L208&gt;=TtkUcteIkiEsik,"2/3 KAYIP (KRİTİK)",IF($L208&gt;=TtkUcteBirEsik,"1/3 KAYIP (DİKKAT)","UYGUN")))))</f>
        <v/>
      </c>
    </row>
    <row r="209" customFormat="false" ht="15" hidden="false" customHeight="false" outlineLevel="0" collapsed="false">
      <c r="A209" s="21"/>
      <c r="B209" s="17"/>
      <c r="C209" s="17"/>
      <c r="D209" s="17"/>
      <c r="E209" s="17"/>
      <c r="F209" s="17"/>
      <c r="G209" s="17"/>
      <c r="H209" s="17"/>
      <c r="I209" s="17"/>
      <c r="J209" s="18" t="str">
        <f aca="false">IF($A209="","",$B209+$C209+$D209-$E209+$F209-$G209)</f>
        <v/>
      </c>
      <c r="K209" s="18" t="str">
        <f aca="false">IF($A209="","",MAX(0,$B209-$J209))</f>
        <v/>
      </c>
      <c r="L209" s="19" t="str">
        <f aca="false">IF($A209="","",IF($B209=0,0,$K209/$B209))</f>
        <v/>
      </c>
      <c r="M209" s="20" t="str">
        <f aca="false">IF($A209="","",IF($J209&lt;0,"BORCA BATIK",IF($I209&lt;$H209,"BORCA BATIK",IF($L209&gt;=TtkUcteIkiEsik,"2/3 KAYIP (KRİTİK)",IF($L209&gt;=TtkUcteBirEsik,"1/3 KAYIP (DİKKAT)","UYGUN")))))</f>
        <v/>
      </c>
    </row>
    <row r="210" customFormat="false" ht="15" hidden="false" customHeight="false" outlineLevel="0" collapsed="false">
      <c r="A210" s="21"/>
      <c r="B210" s="17"/>
      <c r="C210" s="17"/>
      <c r="D210" s="17"/>
      <c r="E210" s="17"/>
      <c r="F210" s="17"/>
      <c r="G210" s="17"/>
      <c r="H210" s="17"/>
      <c r="I210" s="17"/>
      <c r="J210" s="18" t="str">
        <f aca="false">IF($A210="","",$B210+$C210+$D210-$E210+$F210-$G210)</f>
        <v/>
      </c>
      <c r="K210" s="18" t="str">
        <f aca="false">IF($A210="","",MAX(0,$B210-$J210))</f>
        <v/>
      </c>
      <c r="L210" s="19" t="str">
        <f aca="false">IF($A210="","",IF($B210=0,0,$K210/$B210))</f>
        <v/>
      </c>
      <c r="M210" s="20" t="str">
        <f aca="false">IF($A210="","",IF($J210&lt;0,"BORCA BATIK",IF($I210&lt;$H210,"BORCA BATIK",IF($L210&gt;=TtkUcteIkiEsik,"2/3 KAYIP (KRİTİK)",IF($L210&gt;=TtkUcteBirEsik,"1/3 KAYIP (DİKKAT)","UYGUN")))))</f>
        <v/>
      </c>
    </row>
    <row r="211" customFormat="false" ht="15" hidden="false" customHeight="false" outlineLevel="0" collapsed="false">
      <c r="A211" s="21"/>
      <c r="B211" s="17"/>
      <c r="C211" s="17"/>
      <c r="D211" s="17"/>
      <c r="E211" s="17"/>
      <c r="F211" s="17"/>
      <c r="G211" s="17"/>
      <c r="H211" s="17"/>
      <c r="I211" s="17"/>
      <c r="J211" s="18" t="str">
        <f aca="false">IF($A211="","",$B211+$C211+$D211-$E211+$F211-$G211)</f>
        <v/>
      </c>
      <c r="K211" s="18" t="str">
        <f aca="false">IF($A211="","",MAX(0,$B211-$J211))</f>
        <v/>
      </c>
      <c r="L211" s="19" t="str">
        <f aca="false">IF($A211="","",IF($B211=0,0,$K211/$B211))</f>
        <v/>
      </c>
      <c r="M211" s="20" t="str">
        <f aca="false">IF($A211="","",IF($J211&lt;0,"BORCA BATIK",IF($I211&lt;$H211,"BORCA BATIK",IF($L211&gt;=TtkUcteIkiEsik,"2/3 KAYIP (KRİTİK)",IF($L211&gt;=TtkUcteBirEsik,"1/3 KAYIP (DİKKAT)","UYGUN")))))</f>
        <v/>
      </c>
    </row>
    <row r="212" customFormat="false" ht="15" hidden="false" customHeight="false" outlineLevel="0" collapsed="false">
      <c r="A212" s="21"/>
      <c r="B212" s="17"/>
      <c r="C212" s="17"/>
      <c r="D212" s="17"/>
      <c r="E212" s="17"/>
      <c r="F212" s="17"/>
      <c r="G212" s="17"/>
      <c r="H212" s="17"/>
      <c r="I212" s="17"/>
      <c r="J212" s="18" t="str">
        <f aca="false">IF($A212="","",$B212+$C212+$D212-$E212+$F212-$G212)</f>
        <v/>
      </c>
      <c r="K212" s="18" t="str">
        <f aca="false">IF($A212="","",MAX(0,$B212-$J212))</f>
        <v/>
      </c>
      <c r="L212" s="19" t="str">
        <f aca="false">IF($A212="","",IF($B212=0,0,$K212/$B212))</f>
        <v/>
      </c>
      <c r="M212" s="20" t="str">
        <f aca="false">IF($A212="","",IF($J212&lt;0,"BORCA BATIK",IF($I212&lt;$H212,"BORCA BATIK",IF($L212&gt;=TtkUcteIkiEsik,"2/3 KAYIP (KRİTİK)",IF($L212&gt;=TtkUcteBirEsik,"1/3 KAYIP (DİKKAT)","UYGUN")))))</f>
        <v/>
      </c>
    </row>
    <row r="213" customFormat="false" ht="15" hidden="false" customHeight="false" outlineLevel="0" collapsed="false">
      <c r="A213" s="21"/>
      <c r="B213" s="17"/>
      <c r="C213" s="17"/>
      <c r="D213" s="17"/>
      <c r="E213" s="17"/>
      <c r="F213" s="17"/>
      <c r="G213" s="17"/>
      <c r="H213" s="17"/>
      <c r="I213" s="17"/>
      <c r="J213" s="18" t="str">
        <f aca="false">IF($A213="","",$B213+$C213+$D213-$E213+$F213-$G213)</f>
        <v/>
      </c>
      <c r="K213" s="18" t="str">
        <f aca="false">IF($A213="","",MAX(0,$B213-$J213))</f>
        <v/>
      </c>
      <c r="L213" s="19" t="str">
        <f aca="false">IF($A213="","",IF($B213=0,0,$K213/$B213))</f>
        <v/>
      </c>
      <c r="M213" s="20" t="str">
        <f aca="false">IF($A213="","",IF($J213&lt;0,"BORCA BATIK",IF($I213&lt;$H213,"BORCA BATIK",IF($L213&gt;=TtkUcteIkiEsik,"2/3 KAYIP (KRİTİK)",IF($L213&gt;=TtkUcteBirEsik,"1/3 KAYIP (DİKKAT)","UYGUN")))))</f>
        <v/>
      </c>
    </row>
    <row r="214" customFormat="false" ht="15" hidden="false" customHeight="false" outlineLevel="0" collapsed="false">
      <c r="A214" s="21"/>
      <c r="B214" s="17"/>
      <c r="C214" s="17"/>
      <c r="D214" s="17"/>
      <c r="E214" s="17"/>
      <c r="F214" s="17"/>
      <c r="G214" s="17"/>
      <c r="H214" s="17"/>
      <c r="I214" s="17"/>
      <c r="J214" s="18" t="str">
        <f aca="false">IF($A214="","",$B214+$C214+$D214-$E214+$F214-$G214)</f>
        <v/>
      </c>
      <c r="K214" s="18" t="str">
        <f aca="false">IF($A214="","",MAX(0,$B214-$J214))</f>
        <v/>
      </c>
      <c r="L214" s="19" t="str">
        <f aca="false">IF($A214="","",IF($B214=0,0,$K214/$B214))</f>
        <v/>
      </c>
      <c r="M214" s="20" t="str">
        <f aca="false">IF($A214="","",IF($J214&lt;0,"BORCA BATIK",IF($I214&lt;$H214,"BORCA BATIK",IF($L214&gt;=TtkUcteIkiEsik,"2/3 KAYIP (KRİTİK)",IF($L214&gt;=TtkUcteBirEsik,"1/3 KAYIP (DİKKAT)","UYGUN")))))</f>
        <v/>
      </c>
    </row>
    <row r="215" customFormat="false" ht="15" hidden="false" customHeight="false" outlineLevel="0" collapsed="false">
      <c r="A215" s="21"/>
      <c r="B215" s="17"/>
      <c r="C215" s="17"/>
      <c r="D215" s="17"/>
      <c r="E215" s="17"/>
      <c r="F215" s="17"/>
      <c r="G215" s="17"/>
      <c r="H215" s="17"/>
      <c r="I215" s="17"/>
      <c r="J215" s="18" t="str">
        <f aca="false">IF($A215="","",$B215+$C215+$D215-$E215+$F215-$G215)</f>
        <v/>
      </c>
      <c r="K215" s="18" t="str">
        <f aca="false">IF($A215="","",MAX(0,$B215-$J215))</f>
        <v/>
      </c>
      <c r="L215" s="19" t="str">
        <f aca="false">IF($A215="","",IF($B215=0,0,$K215/$B215))</f>
        <v/>
      </c>
      <c r="M215" s="20" t="str">
        <f aca="false">IF($A215="","",IF($J215&lt;0,"BORCA BATIK",IF($I215&lt;$H215,"BORCA BATIK",IF($L215&gt;=TtkUcteIkiEsik,"2/3 KAYIP (KRİTİK)",IF($L215&gt;=TtkUcteBirEsik,"1/3 KAYIP (DİKKAT)","UYGUN")))))</f>
        <v/>
      </c>
    </row>
    <row r="216" customFormat="false" ht="15" hidden="false" customHeight="false" outlineLevel="0" collapsed="false">
      <c r="A216" s="21"/>
      <c r="B216" s="17"/>
      <c r="C216" s="17"/>
      <c r="D216" s="17"/>
      <c r="E216" s="17"/>
      <c r="F216" s="17"/>
      <c r="G216" s="17"/>
      <c r="H216" s="17"/>
      <c r="I216" s="17"/>
      <c r="J216" s="18" t="str">
        <f aca="false">IF($A216="","",$B216+$C216+$D216-$E216+$F216-$G216)</f>
        <v/>
      </c>
      <c r="K216" s="18" t="str">
        <f aca="false">IF($A216="","",MAX(0,$B216-$J216))</f>
        <v/>
      </c>
      <c r="L216" s="19" t="str">
        <f aca="false">IF($A216="","",IF($B216=0,0,$K216/$B216))</f>
        <v/>
      </c>
      <c r="M216" s="20" t="str">
        <f aca="false">IF($A216="","",IF($J216&lt;0,"BORCA BATIK",IF($I216&lt;$H216,"BORCA BATIK",IF($L216&gt;=TtkUcteIkiEsik,"2/3 KAYIP (KRİTİK)",IF($L216&gt;=TtkUcteBirEsik,"1/3 KAYIP (DİKKAT)","UYGUN")))))</f>
        <v/>
      </c>
    </row>
    <row r="217" customFormat="false" ht="15" hidden="false" customHeight="false" outlineLevel="0" collapsed="false">
      <c r="A217" s="21"/>
      <c r="B217" s="17"/>
      <c r="C217" s="17"/>
      <c r="D217" s="17"/>
      <c r="E217" s="17"/>
      <c r="F217" s="17"/>
      <c r="G217" s="17"/>
      <c r="H217" s="17"/>
      <c r="I217" s="17"/>
      <c r="J217" s="18" t="str">
        <f aca="false">IF($A217="","",$B217+$C217+$D217-$E217+$F217-$G217)</f>
        <v/>
      </c>
      <c r="K217" s="18" t="str">
        <f aca="false">IF($A217="","",MAX(0,$B217-$J217))</f>
        <v/>
      </c>
      <c r="L217" s="19" t="str">
        <f aca="false">IF($A217="","",IF($B217=0,0,$K217/$B217))</f>
        <v/>
      </c>
      <c r="M217" s="20" t="str">
        <f aca="false">IF($A217="","",IF($J217&lt;0,"BORCA BATIK",IF($I217&lt;$H217,"BORCA BATIK",IF($L217&gt;=TtkUcteIkiEsik,"2/3 KAYIP (KRİTİK)",IF($L217&gt;=TtkUcteBirEsik,"1/3 KAYIP (DİKKAT)","UYGUN")))))</f>
        <v/>
      </c>
    </row>
    <row r="218" customFormat="false" ht="15" hidden="false" customHeight="false" outlineLevel="0" collapsed="false">
      <c r="A218" s="21"/>
      <c r="B218" s="17"/>
      <c r="C218" s="17"/>
      <c r="D218" s="17"/>
      <c r="E218" s="17"/>
      <c r="F218" s="17"/>
      <c r="G218" s="17"/>
      <c r="H218" s="17"/>
      <c r="I218" s="17"/>
      <c r="J218" s="18" t="str">
        <f aca="false">IF($A218="","",$B218+$C218+$D218-$E218+$F218-$G218)</f>
        <v/>
      </c>
      <c r="K218" s="18" t="str">
        <f aca="false">IF($A218="","",MAX(0,$B218-$J218))</f>
        <v/>
      </c>
      <c r="L218" s="19" t="str">
        <f aca="false">IF($A218="","",IF($B218=0,0,$K218/$B218))</f>
        <v/>
      </c>
      <c r="M218" s="20" t="str">
        <f aca="false">IF($A218="","",IF($J218&lt;0,"BORCA BATIK",IF($I218&lt;$H218,"BORCA BATIK",IF($L218&gt;=TtkUcteIkiEsik,"2/3 KAYIP (KRİTİK)",IF($L218&gt;=TtkUcteBirEsik,"1/3 KAYIP (DİKKAT)","UYGUN")))))</f>
        <v/>
      </c>
    </row>
    <row r="219" customFormat="false" ht="15" hidden="false" customHeight="false" outlineLevel="0" collapsed="false">
      <c r="A219" s="21"/>
      <c r="B219" s="17"/>
      <c r="C219" s="17"/>
      <c r="D219" s="17"/>
      <c r="E219" s="17"/>
      <c r="F219" s="17"/>
      <c r="G219" s="17"/>
      <c r="H219" s="17"/>
      <c r="I219" s="17"/>
      <c r="J219" s="18" t="str">
        <f aca="false">IF($A219="","",$B219+$C219+$D219-$E219+$F219-$G219)</f>
        <v/>
      </c>
      <c r="K219" s="18" t="str">
        <f aca="false">IF($A219="","",MAX(0,$B219-$J219))</f>
        <v/>
      </c>
      <c r="L219" s="19" t="str">
        <f aca="false">IF($A219="","",IF($B219=0,0,$K219/$B219))</f>
        <v/>
      </c>
      <c r="M219" s="20" t="str">
        <f aca="false">IF($A219="","",IF($J219&lt;0,"BORCA BATIK",IF($I219&lt;$H219,"BORCA BATIK",IF($L219&gt;=TtkUcteIkiEsik,"2/3 KAYIP (KRİTİK)",IF($L219&gt;=TtkUcteBirEsik,"1/3 KAYIP (DİKKAT)","UYGUN")))))</f>
        <v/>
      </c>
    </row>
    <row r="220" customFormat="false" ht="15" hidden="false" customHeight="false" outlineLevel="0" collapsed="false">
      <c r="A220" s="21"/>
      <c r="B220" s="17"/>
      <c r="C220" s="17"/>
      <c r="D220" s="17"/>
      <c r="E220" s="17"/>
      <c r="F220" s="17"/>
      <c r="G220" s="17"/>
      <c r="H220" s="17"/>
      <c r="I220" s="17"/>
      <c r="J220" s="18" t="str">
        <f aca="false">IF($A220="","",$B220+$C220+$D220-$E220+$F220-$G220)</f>
        <v/>
      </c>
      <c r="K220" s="18" t="str">
        <f aca="false">IF($A220="","",MAX(0,$B220-$J220))</f>
        <v/>
      </c>
      <c r="L220" s="19" t="str">
        <f aca="false">IF($A220="","",IF($B220=0,0,$K220/$B220))</f>
        <v/>
      </c>
      <c r="M220" s="20" t="str">
        <f aca="false">IF($A220="","",IF($J220&lt;0,"BORCA BATIK",IF($I220&lt;$H220,"BORCA BATIK",IF($L220&gt;=TtkUcteIkiEsik,"2/3 KAYIP (KRİTİK)",IF($L220&gt;=TtkUcteBirEsik,"1/3 KAYIP (DİKKAT)","UYGUN")))))</f>
        <v/>
      </c>
    </row>
    <row r="221" customFormat="false" ht="15" hidden="false" customHeight="false" outlineLevel="0" collapsed="false">
      <c r="A221" s="21"/>
      <c r="B221" s="17"/>
      <c r="C221" s="17"/>
      <c r="D221" s="17"/>
      <c r="E221" s="17"/>
      <c r="F221" s="17"/>
      <c r="G221" s="17"/>
      <c r="H221" s="17"/>
      <c r="I221" s="17"/>
      <c r="J221" s="18" t="str">
        <f aca="false">IF($A221="","",$B221+$C221+$D221-$E221+$F221-$G221)</f>
        <v/>
      </c>
      <c r="K221" s="18" t="str">
        <f aca="false">IF($A221="","",MAX(0,$B221-$J221))</f>
        <v/>
      </c>
      <c r="L221" s="19" t="str">
        <f aca="false">IF($A221="","",IF($B221=0,0,$K221/$B221))</f>
        <v/>
      </c>
      <c r="M221" s="20" t="str">
        <f aca="false">IF($A221="","",IF($J221&lt;0,"BORCA BATIK",IF($I221&lt;$H221,"BORCA BATIK",IF($L221&gt;=TtkUcteIkiEsik,"2/3 KAYIP (KRİTİK)",IF($L221&gt;=TtkUcteBirEsik,"1/3 KAYIP (DİKKAT)","UYGUN")))))</f>
        <v/>
      </c>
    </row>
    <row r="222" customFormat="false" ht="15" hidden="false" customHeight="false" outlineLevel="0" collapsed="false">
      <c r="A222" s="21"/>
      <c r="B222" s="17"/>
      <c r="C222" s="17"/>
      <c r="D222" s="17"/>
      <c r="E222" s="17"/>
      <c r="F222" s="17"/>
      <c r="G222" s="17"/>
      <c r="H222" s="17"/>
      <c r="I222" s="17"/>
      <c r="J222" s="18" t="str">
        <f aca="false">IF($A222="","",$B222+$C222+$D222-$E222+$F222-$G222)</f>
        <v/>
      </c>
      <c r="K222" s="18" t="str">
        <f aca="false">IF($A222="","",MAX(0,$B222-$J222))</f>
        <v/>
      </c>
      <c r="L222" s="19" t="str">
        <f aca="false">IF($A222="","",IF($B222=0,0,$K222/$B222))</f>
        <v/>
      </c>
      <c r="M222" s="20" t="str">
        <f aca="false">IF($A222="","",IF($J222&lt;0,"BORCA BATIK",IF($I222&lt;$H222,"BORCA BATIK",IF($L222&gt;=TtkUcteIkiEsik,"2/3 KAYIP (KRİTİK)",IF($L222&gt;=TtkUcteBirEsik,"1/3 KAYIP (DİKKAT)","UYGUN")))))</f>
        <v/>
      </c>
    </row>
    <row r="223" customFormat="false" ht="15" hidden="false" customHeight="false" outlineLevel="0" collapsed="false">
      <c r="A223" s="21"/>
      <c r="B223" s="17"/>
      <c r="C223" s="17"/>
      <c r="D223" s="17"/>
      <c r="E223" s="17"/>
      <c r="F223" s="17"/>
      <c r="G223" s="17"/>
      <c r="H223" s="17"/>
      <c r="I223" s="17"/>
      <c r="J223" s="18" t="str">
        <f aca="false">IF($A223="","",$B223+$C223+$D223-$E223+$F223-$G223)</f>
        <v/>
      </c>
      <c r="K223" s="18" t="str">
        <f aca="false">IF($A223="","",MAX(0,$B223-$J223))</f>
        <v/>
      </c>
      <c r="L223" s="19" t="str">
        <f aca="false">IF($A223="","",IF($B223=0,0,$K223/$B223))</f>
        <v/>
      </c>
      <c r="M223" s="20" t="str">
        <f aca="false">IF($A223="","",IF($J223&lt;0,"BORCA BATIK",IF($I223&lt;$H223,"BORCA BATIK",IF($L223&gt;=TtkUcteIkiEsik,"2/3 KAYIP (KRİTİK)",IF($L223&gt;=TtkUcteBirEsik,"1/3 KAYIP (DİKKAT)","UYGUN")))))</f>
        <v/>
      </c>
    </row>
    <row r="224" customFormat="false" ht="15" hidden="false" customHeight="false" outlineLevel="0" collapsed="false">
      <c r="A224" s="21"/>
      <c r="B224" s="17"/>
      <c r="C224" s="17"/>
      <c r="D224" s="17"/>
      <c r="E224" s="17"/>
      <c r="F224" s="17"/>
      <c r="G224" s="17"/>
      <c r="H224" s="17"/>
      <c r="I224" s="17"/>
      <c r="J224" s="18" t="str">
        <f aca="false">IF($A224="","",$B224+$C224+$D224-$E224+$F224-$G224)</f>
        <v/>
      </c>
      <c r="K224" s="18" t="str">
        <f aca="false">IF($A224="","",MAX(0,$B224-$J224))</f>
        <v/>
      </c>
      <c r="L224" s="19" t="str">
        <f aca="false">IF($A224="","",IF($B224=0,0,$K224/$B224))</f>
        <v/>
      </c>
      <c r="M224" s="20" t="str">
        <f aca="false">IF($A224="","",IF($J224&lt;0,"BORCA BATIK",IF($I224&lt;$H224,"BORCA BATIK",IF($L224&gt;=TtkUcteIkiEsik,"2/3 KAYIP (KRİTİK)",IF($L224&gt;=TtkUcteBirEsik,"1/3 KAYIP (DİKKAT)","UYGUN")))))</f>
        <v/>
      </c>
    </row>
    <row r="225" customFormat="false" ht="15" hidden="false" customHeight="false" outlineLevel="0" collapsed="false">
      <c r="A225" s="21"/>
      <c r="B225" s="17"/>
      <c r="C225" s="17"/>
      <c r="D225" s="17"/>
      <c r="E225" s="17"/>
      <c r="F225" s="17"/>
      <c r="G225" s="17"/>
      <c r="H225" s="17"/>
      <c r="I225" s="17"/>
      <c r="J225" s="18" t="str">
        <f aca="false">IF($A225="","",$B225+$C225+$D225-$E225+$F225-$G225)</f>
        <v/>
      </c>
      <c r="K225" s="18" t="str">
        <f aca="false">IF($A225="","",MAX(0,$B225-$J225))</f>
        <v/>
      </c>
      <c r="L225" s="19" t="str">
        <f aca="false">IF($A225="","",IF($B225=0,0,$K225/$B225))</f>
        <v/>
      </c>
      <c r="M225" s="20" t="str">
        <f aca="false">IF($A225="","",IF($J225&lt;0,"BORCA BATIK",IF($I225&lt;$H225,"BORCA BATIK",IF($L225&gt;=TtkUcteIkiEsik,"2/3 KAYIP (KRİTİK)",IF($L225&gt;=TtkUcteBirEsik,"1/3 KAYIP (DİKKAT)","UYGUN")))))</f>
        <v/>
      </c>
    </row>
    <row r="226" customFormat="false" ht="15" hidden="false" customHeight="false" outlineLevel="0" collapsed="false">
      <c r="A226" s="21"/>
      <c r="B226" s="17"/>
      <c r="C226" s="17"/>
      <c r="D226" s="17"/>
      <c r="E226" s="17"/>
      <c r="F226" s="17"/>
      <c r="G226" s="17"/>
      <c r="H226" s="17"/>
      <c r="I226" s="17"/>
      <c r="J226" s="18" t="str">
        <f aca="false">IF($A226="","",$B226+$C226+$D226-$E226+$F226-$G226)</f>
        <v/>
      </c>
      <c r="K226" s="18" t="str">
        <f aca="false">IF($A226="","",MAX(0,$B226-$J226))</f>
        <v/>
      </c>
      <c r="L226" s="19" t="str">
        <f aca="false">IF($A226="","",IF($B226=0,0,$K226/$B226))</f>
        <v/>
      </c>
      <c r="M226" s="20" t="str">
        <f aca="false">IF($A226="","",IF($J226&lt;0,"BORCA BATIK",IF($I226&lt;$H226,"BORCA BATIK",IF($L226&gt;=TtkUcteIkiEsik,"2/3 KAYIP (KRİTİK)",IF($L226&gt;=TtkUcteBirEsik,"1/3 KAYIP (DİKKAT)","UYGUN")))))</f>
        <v/>
      </c>
    </row>
    <row r="227" customFormat="false" ht="15" hidden="false" customHeight="false" outlineLevel="0" collapsed="false">
      <c r="A227" s="21"/>
      <c r="B227" s="17"/>
      <c r="C227" s="17"/>
      <c r="D227" s="17"/>
      <c r="E227" s="17"/>
      <c r="F227" s="17"/>
      <c r="G227" s="17"/>
      <c r="H227" s="17"/>
      <c r="I227" s="17"/>
      <c r="J227" s="18" t="str">
        <f aca="false">IF($A227="","",$B227+$C227+$D227-$E227+$F227-$G227)</f>
        <v/>
      </c>
      <c r="K227" s="18" t="str">
        <f aca="false">IF($A227="","",MAX(0,$B227-$J227))</f>
        <v/>
      </c>
      <c r="L227" s="19" t="str">
        <f aca="false">IF($A227="","",IF($B227=0,0,$K227/$B227))</f>
        <v/>
      </c>
      <c r="M227" s="20" t="str">
        <f aca="false">IF($A227="","",IF($J227&lt;0,"BORCA BATIK",IF($I227&lt;$H227,"BORCA BATIK",IF($L227&gt;=TtkUcteIkiEsik,"2/3 KAYIP (KRİTİK)",IF($L227&gt;=TtkUcteBirEsik,"1/3 KAYIP (DİKKAT)","UYGUN")))))</f>
        <v/>
      </c>
    </row>
    <row r="228" customFormat="false" ht="15" hidden="false" customHeight="false" outlineLevel="0" collapsed="false">
      <c r="A228" s="21"/>
      <c r="B228" s="17"/>
      <c r="C228" s="17"/>
      <c r="D228" s="17"/>
      <c r="E228" s="17"/>
      <c r="F228" s="17"/>
      <c r="G228" s="17"/>
      <c r="H228" s="17"/>
      <c r="I228" s="17"/>
      <c r="J228" s="18" t="str">
        <f aca="false">IF($A228="","",$B228+$C228+$D228-$E228+$F228-$G228)</f>
        <v/>
      </c>
      <c r="K228" s="18" t="str">
        <f aca="false">IF($A228="","",MAX(0,$B228-$J228))</f>
        <v/>
      </c>
      <c r="L228" s="19" t="str">
        <f aca="false">IF($A228="","",IF($B228=0,0,$K228/$B228))</f>
        <v/>
      </c>
      <c r="M228" s="20" t="str">
        <f aca="false">IF($A228="","",IF($J228&lt;0,"BORCA BATIK",IF($I228&lt;$H228,"BORCA BATIK",IF($L228&gt;=TtkUcteIkiEsik,"2/3 KAYIP (KRİTİK)",IF($L228&gt;=TtkUcteBirEsik,"1/3 KAYIP (DİKKAT)","UYGUN")))))</f>
        <v/>
      </c>
    </row>
    <row r="229" customFormat="false" ht="15" hidden="false" customHeight="false" outlineLevel="0" collapsed="false">
      <c r="A229" s="21"/>
      <c r="B229" s="17"/>
      <c r="C229" s="17"/>
      <c r="D229" s="17"/>
      <c r="E229" s="17"/>
      <c r="F229" s="17"/>
      <c r="G229" s="17"/>
      <c r="H229" s="17"/>
      <c r="I229" s="17"/>
      <c r="J229" s="18" t="str">
        <f aca="false">IF($A229="","",$B229+$C229+$D229-$E229+$F229-$G229)</f>
        <v/>
      </c>
      <c r="K229" s="18" t="str">
        <f aca="false">IF($A229="","",MAX(0,$B229-$J229))</f>
        <v/>
      </c>
      <c r="L229" s="19" t="str">
        <f aca="false">IF($A229="","",IF($B229=0,0,$K229/$B229))</f>
        <v/>
      </c>
      <c r="M229" s="20" t="str">
        <f aca="false">IF($A229="","",IF($J229&lt;0,"BORCA BATIK",IF($I229&lt;$H229,"BORCA BATIK",IF($L229&gt;=TtkUcteIkiEsik,"2/3 KAYIP (KRİTİK)",IF($L229&gt;=TtkUcteBirEsik,"1/3 KAYIP (DİKKAT)","UYGUN")))))</f>
        <v/>
      </c>
    </row>
    <row r="230" customFormat="false" ht="15" hidden="false" customHeight="false" outlineLevel="0" collapsed="false">
      <c r="A230" s="21"/>
      <c r="B230" s="17"/>
      <c r="C230" s="17"/>
      <c r="D230" s="17"/>
      <c r="E230" s="17"/>
      <c r="F230" s="17"/>
      <c r="G230" s="17"/>
      <c r="H230" s="17"/>
      <c r="I230" s="17"/>
      <c r="J230" s="18" t="str">
        <f aca="false">IF($A230="","",$B230+$C230+$D230-$E230+$F230-$G230)</f>
        <v/>
      </c>
      <c r="K230" s="18" t="str">
        <f aca="false">IF($A230="","",MAX(0,$B230-$J230))</f>
        <v/>
      </c>
      <c r="L230" s="19" t="str">
        <f aca="false">IF($A230="","",IF($B230=0,0,$K230/$B230))</f>
        <v/>
      </c>
      <c r="M230" s="20" t="str">
        <f aca="false">IF($A230="","",IF($J230&lt;0,"BORCA BATIK",IF($I230&lt;$H230,"BORCA BATIK",IF($L230&gt;=TtkUcteIkiEsik,"2/3 KAYIP (KRİTİK)",IF($L230&gt;=TtkUcteBirEsik,"1/3 KAYIP (DİKKAT)","UYGUN")))))</f>
        <v/>
      </c>
    </row>
    <row r="231" customFormat="false" ht="15" hidden="false" customHeight="false" outlineLevel="0" collapsed="false">
      <c r="A231" s="21"/>
      <c r="B231" s="17"/>
      <c r="C231" s="17"/>
      <c r="D231" s="17"/>
      <c r="E231" s="17"/>
      <c r="F231" s="17"/>
      <c r="G231" s="17"/>
      <c r="H231" s="17"/>
      <c r="I231" s="17"/>
      <c r="J231" s="18" t="str">
        <f aca="false">IF($A231="","",$B231+$C231+$D231-$E231+$F231-$G231)</f>
        <v/>
      </c>
      <c r="K231" s="18" t="str">
        <f aca="false">IF($A231="","",MAX(0,$B231-$J231))</f>
        <v/>
      </c>
      <c r="L231" s="19" t="str">
        <f aca="false">IF($A231="","",IF($B231=0,0,$K231/$B231))</f>
        <v/>
      </c>
      <c r="M231" s="20" t="str">
        <f aca="false">IF($A231="","",IF($J231&lt;0,"BORCA BATIK",IF($I231&lt;$H231,"BORCA BATIK",IF($L231&gt;=TtkUcteIkiEsik,"2/3 KAYIP (KRİTİK)",IF($L231&gt;=TtkUcteBirEsik,"1/3 KAYIP (DİKKAT)","UYGUN")))))</f>
        <v/>
      </c>
    </row>
    <row r="232" customFormat="false" ht="15" hidden="false" customHeight="false" outlineLevel="0" collapsed="false">
      <c r="A232" s="21"/>
      <c r="B232" s="17"/>
      <c r="C232" s="17"/>
      <c r="D232" s="17"/>
      <c r="E232" s="17"/>
      <c r="F232" s="17"/>
      <c r="G232" s="17"/>
      <c r="H232" s="17"/>
      <c r="I232" s="17"/>
      <c r="J232" s="18" t="str">
        <f aca="false">IF($A232="","",$B232+$C232+$D232-$E232+$F232-$G232)</f>
        <v/>
      </c>
      <c r="K232" s="18" t="str">
        <f aca="false">IF($A232="","",MAX(0,$B232-$J232))</f>
        <v/>
      </c>
      <c r="L232" s="19" t="str">
        <f aca="false">IF($A232="","",IF($B232=0,0,$K232/$B232))</f>
        <v/>
      </c>
      <c r="M232" s="20" t="str">
        <f aca="false">IF($A232="","",IF($J232&lt;0,"BORCA BATIK",IF($I232&lt;$H232,"BORCA BATIK",IF($L232&gt;=TtkUcteIkiEsik,"2/3 KAYIP (KRİTİK)",IF($L232&gt;=TtkUcteBirEsik,"1/3 KAYIP (DİKKAT)","UYGUN")))))</f>
        <v/>
      </c>
    </row>
    <row r="233" customFormat="false" ht="15" hidden="false" customHeight="false" outlineLevel="0" collapsed="false">
      <c r="A233" s="21"/>
      <c r="B233" s="17"/>
      <c r="C233" s="17"/>
      <c r="D233" s="17"/>
      <c r="E233" s="17"/>
      <c r="F233" s="17"/>
      <c r="G233" s="17"/>
      <c r="H233" s="17"/>
      <c r="I233" s="17"/>
      <c r="J233" s="18" t="str">
        <f aca="false">IF($A233="","",$B233+$C233+$D233-$E233+$F233-$G233)</f>
        <v/>
      </c>
      <c r="K233" s="18" t="str">
        <f aca="false">IF($A233="","",MAX(0,$B233-$J233))</f>
        <v/>
      </c>
      <c r="L233" s="19" t="str">
        <f aca="false">IF($A233="","",IF($B233=0,0,$K233/$B233))</f>
        <v/>
      </c>
      <c r="M233" s="20" t="str">
        <f aca="false">IF($A233="","",IF($J233&lt;0,"BORCA BATIK",IF($I233&lt;$H233,"BORCA BATIK",IF($L233&gt;=TtkUcteIkiEsik,"2/3 KAYIP (KRİTİK)",IF($L233&gt;=TtkUcteBirEsik,"1/3 KAYIP (DİKKAT)","UYGUN")))))</f>
        <v/>
      </c>
    </row>
    <row r="234" customFormat="false" ht="15" hidden="false" customHeight="false" outlineLevel="0" collapsed="false">
      <c r="A234" s="21"/>
      <c r="B234" s="17"/>
      <c r="C234" s="17"/>
      <c r="D234" s="17"/>
      <c r="E234" s="17"/>
      <c r="F234" s="17"/>
      <c r="G234" s="17"/>
      <c r="H234" s="17"/>
      <c r="I234" s="17"/>
      <c r="J234" s="18" t="str">
        <f aca="false">IF($A234="","",$B234+$C234+$D234-$E234+$F234-$G234)</f>
        <v/>
      </c>
      <c r="K234" s="18" t="str">
        <f aca="false">IF($A234="","",MAX(0,$B234-$J234))</f>
        <v/>
      </c>
      <c r="L234" s="19" t="str">
        <f aca="false">IF($A234="","",IF($B234=0,0,$K234/$B234))</f>
        <v/>
      </c>
      <c r="M234" s="20" t="str">
        <f aca="false">IF($A234="","",IF($J234&lt;0,"BORCA BATIK",IF($I234&lt;$H234,"BORCA BATIK",IF($L234&gt;=TtkUcteIkiEsik,"2/3 KAYIP (KRİTİK)",IF($L234&gt;=TtkUcteBirEsik,"1/3 KAYIP (DİKKAT)","UYGUN")))))</f>
        <v/>
      </c>
    </row>
    <row r="235" customFormat="false" ht="15" hidden="false" customHeight="false" outlineLevel="0" collapsed="false">
      <c r="A235" s="21"/>
      <c r="B235" s="17"/>
      <c r="C235" s="17"/>
      <c r="D235" s="17"/>
      <c r="E235" s="17"/>
      <c r="F235" s="17"/>
      <c r="G235" s="17"/>
      <c r="H235" s="17"/>
      <c r="I235" s="17"/>
      <c r="J235" s="18" t="str">
        <f aca="false">IF($A235="","",$B235+$C235+$D235-$E235+$F235-$G235)</f>
        <v/>
      </c>
      <c r="K235" s="18" t="str">
        <f aca="false">IF($A235="","",MAX(0,$B235-$J235))</f>
        <v/>
      </c>
      <c r="L235" s="19" t="str">
        <f aca="false">IF($A235="","",IF($B235=0,0,$K235/$B235))</f>
        <v/>
      </c>
      <c r="M235" s="20" t="str">
        <f aca="false">IF($A235="","",IF($J235&lt;0,"BORCA BATIK",IF($I235&lt;$H235,"BORCA BATIK",IF($L235&gt;=TtkUcteIkiEsik,"2/3 KAYIP (KRİTİK)",IF($L235&gt;=TtkUcteBirEsik,"1/3 KAYIP (DİKKAT)","UYGUN")))))</f>
        <v/>
      </c>
    </row>
    <row r="236" customFormat="false" ht="15" hidden="false" customHeight="false" outlineLevel="0" collapsed="false">
      <c r="A236" s="21"/>
      <c r="B236" s="17"/>
      <c r="C236" s="17"/>
      <c r="D236" s="17"/>
      <c r="E236" s="17"/>
      <c r="F236" s="17"/>
      <c r="G236" s="17"/>
      <c r="H236" s="17"/>
      <c r="I236" s="17"/>
      <c r="J236" s="18" t="str">
        <f aca="false">IF($A236="","",$B236+$C236+$D236-$E236+$F236-$G236)</f>
        <v/>
      </c>
      <c r="K236" s="18" t="str">
        <f aca="false">IF($A236="","",MAX(0,$B236-$J236))</f>
        <v/>
      </c>
      <c r="L236" s="19" t="str">
        <f aca="false">IF($A236="","",IF($B236=0,0,$K236/$B236))</f>
        <v/>
      </c>
      <c r="M236" s="20" t="str">
        <f aca="false">IF($A236="","",IF($J236&lt;0,"BORCA BATIK",IF($I236&lt;$H236,"BORCA BATIK",IF($L236&gt;=TtkUcteIkiEsik,"2/3 KAYIP (KRİTİK)",IF($L236&gt;=TtkUcteBirEsik,"1/3 KAYIP (DİKKAT)","UYGUN")))))</f>
        <v/>
      </c>
    </row>
    <row r="237" customFormat="false" ht="15" hidden="false" customHeight="false" outlineLevel="0" collapsed="false">
      <c r="A237" s="21"/>
      <c r="B237" s="17"/>
      <c r="C237" s="17"/>
      <c r="D237" s="17"/>
      <c r="E237" s="17"/>
      <c r="F237" s="17"/>
      <c r="G237" s="17"/>
      <c r="H237" s="17"/>
      <c r="I237" s="17"/>
      <c r="J237" s="18" t="str">
        <f aca="false">IF($A237="","",$B237+$C237+$D237-$E237+$F237-$G237)</f>
        <v/>
      </c>
      <c r="K237" s="18" t="str">
        <f aca="false">IF($A237="","",MAX(0,$B237-$J237))</f>
        <v/>
      </c>
      <c r="L237" s="19" t="str">
        <f aca="false">IF($A237="","",IF($B237=0,0,$K237/$B237))</f>
        <v/>
      </c>
      <c r="M237" s="20" t="str">
        <f aca="false">IF($A237="","",IF($J237&lt;0,"BORCA BATIK",IF($I237&lt;$H237,"BORCA BATIK",IF($L237&gt;=TtkUcteIkiEsik,"2/3 KAYIP (KRİTİK)",IF($L237&gt;=TtkUcteBirEsik,"1/3 KAYIP (DİKKAT)","UYGUN")))))</f>
        <v/>
      </c>
    </row>
    <row r="238" customFormat="false" ht="15" hidden="false" customHeight="false" outlineLevel="0" collapsed="false">
      <c r="A238" s="21"/>
      <c r="B238" s="17"/>
      <c r="C238" s="17"/>
      <c r="D238" s="17"/>
      <c r="E238" s="17"/>
      <c r="F238" s="17"/>
      <c r="G238" s="17"/>
      <c r="H238" s="17"/>
      <c r="I238" s="17"/>
      <c r="J238" s="18" t="str">
        <f aca="false">IF($A238="","",$B238+$C238+$D238-$E238+$F238-$G238)</f>
        <v/>
      </c>
      <c r="K238" s="18" t="str">
        <f aca="false">IF($A238="","",MAX(0,$B238-$J238))</f>
        <v/>
      </c>
      <c r="L238" s="19" t="str">
        <f aca="false">IF($A238="","",IF($B238=0,0,$K238/$B238))</f>
        <v/>
      </c>
      <c r="M238" s="20" t="str">
        <f aca="false">IF($A238="","",IF($J238&lt;0,"BORCA BATIK",IF($I238&lt;$H238,"BORCA BATIK",IF($L238&gt;=TtkUcteIkiEsik,"2/3 KAYIP (KRİTİK)",IF($L238&gt;=TtkUcteBirEsik,"1/3 KAYIP (DİKKAT)","UYGUN")))))</f>
        <v/>
      </c>
    </row>
    <row r="239" customFormat="false" ht="15" hidden="false" customHeight="false" outlineLevel="0" collapsed="false">
      <c r="A239" s="21"/>
      <c r="B239" s="17"/>
      <c r="C239" s="17"/>
      <c r="D239" s="17"/>
      <c r="E239" s="17"/>
      <c r="F239" s="17"/>
      <c r="G239" s="17"/>
      <c r="H239" s="17"/>
      <c r="I239" s="17"/>
      <c r="J239" s="18" t="str">
        <f aca="false">IF($A239="","",$B239+$C239+$D239-$E239+$F239-$G239)</f>
        <v/>
      </c>
      <c r="K239" s="18" t="str">
        <f aca="false">IF($A239="","",MAX(0,$B239-$J239))</f>
        <v/>
      </c>
      <c r="L239" s="19" t="str">
        <f aca="false">IF($A239="","",IF($B239=0,0,$K239/$B239))</f>
        <v/>
      </c>
      <c r="M239" s="20" t="str">
        <f aca="false">IF($A239="","",IF($J239&lt;0,"BORCA BATIK",IF($I239&lt;$H239,"BORCA BATIK",IF($L239&gt;=TtkUcteIkiEsik,"2/3 KAYIP (KRİTİK)",IF($L239&gt;=TtkUcteBirEsik,"1/3 KAYIP (DİKKAT)","UYGUN")))))</f>
        <v/>
      </c>
    </row>
    <row r="240" customFormat="false" ht="15" hidden="false" customHeight="false" outlineLevel="0" collapsed="false">
      <c r="A240" s="21"/>
      <c r="B240" s="17"/>
      <c r="C240" s="17"/>
      <c r="D240" s="17"/>
      <c r="E240" s="17"/>
      <c r="F240" s="17"/>
      <c r="G240" s="17"/>
      <c r="H240" s="17"/>
      <c r="I240" s="17"/>
      <c r="J240" s="18" t="str">
        <f aca="false">IF($A240="","",$B240+$C240+$D240-$E240+$F240-$G240)</f>
        <v/>
      </c>
      <c r="K240" s="18" t="str">
        <f aca="false">IF($A240="","",MAX(0,$B240-$J240))</f>
        <v/>
      </c>
      <c r="L240" s="19" t="str">
        <f aca="false">IF($A240="","",IF($B240=0,0,$K240/$B240))</f>
        <v/>
      </c>
      <c r="M240" s="20" t="str">
        <f aca="false">IF($A240="","",IF($J240&lt;0,"BORCA BATIK",IF($I240&lt;$H240,"BORCA BATIK",IF($L240&gt;=TtkUcteIkiEsik,"2/3 KAYIP (KRİTİK)",IF($L240&gt;=TtkUcteBirEsik,"1/3 KAYIP (DİKKAT)","UYGUN")))))</f>
        <v/>
      </c>
    </row>
    <row r="241" customFormat="false" ht="15" hidden="false" customHeight="false" outlineLevel="0" collapsed="false">
      <c r="A241" s="21"/>
      <c r="B241" s="17"/>
      <c r="C241" s="17"/>
      <c r="D241" s="17"/>
      <c r="E241" s="17"/>
      <c r="F241" s="17"/>
      <c r="G241" s="17"/>
      <c r="H241" s="17"/>
      <c r="I241" s="17"/>
      <c r="J241" s="18" t="str">
        <f aca="false">IF($A241="","",$B241+$C241+$D241-$E241+$F241-$G241)</f>
        <v/>
      </c>
      <c r="K241" s="18" t="str">
        <f aca="false">IF($A241="","",MAX(0,$B241-$J241))</f>
        <v/>
      </c>
      <c r="L241" s="19" t="str">
        <f aca="false">IF($A241="","",IF($B241=0,0,$K241/$B241))</f>
        <v/>
      </c>
      <c r="M241" s="20" t="str">
        <f aca="false">IF($A241="","",IF($J241&lt;0,"BORCA BATIK",IF($I241&lt;$H241,"BORCA BATIK",IF($L241&gt;=TtkUcteIkiEsik,"2/3 KAYIP (KRİTİK)",IF($L241&gt;=TtkUcteBirEsik,"1/3 KAYIP (DİKKAT)","UYGUN")))))</f>
        <v/>
      </c>
    </row>
    <row r="242" customFormat="false" ht="15" hidden="false" customHeight="false" outlineLevel="0" collapsed="false">
      <c r="A242" s="21"/>
      <c r="B242" s="17"/>
      <c r="C242" s="17"/>
      <c r="D242" s="17"/>
      <c r="E242" s="17"/>
      <c r="F242" s="17"/>
      <c r="G242" s="17"/>
      <c r="H242" s="17"/>
      <c r="I242" s="17"/>
      <c r="J242" s="18" t="str">
        <f aca="false">IF($A242="","",$B242+$C242+$D242-$E242+$F242-$G242)</f>
        <v/>
      </c>
      <c r="K242" s="18" t="str">
        <f aca="false">IF($A242="","",MAX(0,$B242-$J242))</f>
        <v/>
      </c>
      <c r="L242" s="19" t="str">
        <f aca="false">IF($A242="","",IF($B242=0,0,$K242/$B242))</f>
        <v/>
      </c>
      <c r="M242" s="20" t="str">
        <f aca="false">IF($A242="","",IF($J242&lt;0,"BORCA BATIK",IF($I242&lt;$H242,"BORCA BATIK",IF($L242&gt;=TtkUcteIkiEsik,"2/3 KAYIP (KRİTİK)",IF($L242&gt;=TtkUcteBirEsik,"1/3 KAYIP (DİKKAT)","UYGUN")))))</f>
        <v/>
      </c>
    </row>
    <row r="243" customFormat="false" ht="15" hidden="false" customHeight="false" outlineLevel="0" collapsed="false">
      <c r="A243" s="21"/>
      <c r="B243" s="17"/>
      <c r="C243" s="17"/>
      <c r="D243" s="17"/>
      <c r="E243" s="17"/>
      <c r="F243" s="17"/>
      <c r="G243" s="17"/>
      <c r="H243" s="17"/>
      <c r="I243" s="17"/>
      <c r="J243" s="18" t="str">
        <f aca="false">IF($A243="","",$B243+$C243+$D243-$E243+$F243-$G243)</f>
        <v/>
      </c>
      <c r="K243" s="18" t="str">
        <f aca="false">IF($A243="","",MAX(0,$B243-$J243))</f>
        <v/>
      </c>
      <c r="L243" s="19" t="str">
        <f aca="false">IF($A243="","",IF($B243=0,0,$K243/$B243))</f>
        <v/>
      </c>
      <c r="M243" s="20" t="str">
        <f aca="false">IF($A243="","",IF($J243&lt;0,"BORCA BATIK",IF($I243&lt;$H243,"BORCA BATIK",IF($L243&gt;=TtkUcteIkiEsik,"2/3 KAYIP (KRİTİK)",IF($L243&gt;=TtkUcteBirEsik,"1/3 KAYIP (DİKKAT)","UYGUN")))))</f>
        <v/>
      </c>
    </row>
    <row r="244" customFormat="false" ht="15" hidden="false" customHeight="false" outlineLevel="0" collapsed="false">
      <c r="A244" s="21"/>
      <c r="B244" s="17"/>
      <c r="C244" s="17"/>
      <c r="D244" s="17"/>
      <c r="E244" s="17"/>
      <c r="F244" s="17"/>
      <c r="G244" s="17"/>
      <c r="H244" s="17"/>
      <c r="I244" s="17"/>
      <c r="J244" s="18" t="str">
        <f aca="false">IF($A244="","",$B244+$C244+$D244-$E244+$F244-$G244)</f>
        <v/>
      </c>
      <c r="K244" s="18" t="str">
        <f aca="false">IF($A244="","",MAX(0,$B244-$J244))</f>
        <v/>
      </c>
      <c r="L244" s="19" t="str">
        <f aca="false">IF($A244="","",IF($B244=0,0,$K244/$B244))</f>
        <v/>
      </c>
      <c r="M244" s="20" t="str">
        <f aca="false">IF($A244="","",IF($J244&lt;0,"BORCA BATIK",IF($I244&lt;$H244,"BORCA BATIK",IF($L244&gt;=TtkUcteIkiEsik,"2/3 KAYIP (KRİTİK)",IF($L244&gt;=TtkUcteBirEsik,"1/3 KAYIP (DİKKAT)","UYGUN")))))</f>
        <v/>
      </c>
    </row>
    <row r="245" customFormat="false" ht="15" hidden="false" customHeight="false" outlineLevel="0" collapsed="false">
      <c r="A245" s="21"/>
      <c r="B245" s="17"/>
      <c r="C245" s="17"/>
      <c r="D245" s="17"/>
      <c r="E245" s="17"/>
      <c r="F245" s="17"/>
      <c r="G245" s="17"/>
      <c r="H245" s="17"/>
      <c r="I245" s="17"/>
      <c r="J245" s="18" t="str">
        <f aca="false">IF($A245="","",$B245+$C245+$D245-$E245+$F245-$G245)</f>
        <v/>
      </c>
      <c r="K245" s="18" t="str">
        <f aca="false">IF($A245="","",MAX(0,$B245-$J245))</f>
        <v/>
      </c>
      <c r="L245" s="19" t="str">
        <f aca="false">IF($A245="","",IF($B245=0,0,$K245/$B245))</f>
        <v/>
      </c>
      <c r="M245" s="20" t="str">
        <f aca="false">IF($A245="","",IF($J245&lt;0,"BORCA BATIK",IF($I245&lt;$H245,"BORCA BATIK",IF($L245&gt;=TtkUcteIkiEsik,"2/3 KAYIP (KRİTİK)",IF($L245&gt;=TtkUcteBirEsik,"1/3 KAYIP (DİKKAT)","UYGUN")))))</f>
        <v/>
      </c>
    </row>
    <row r="246" customFormat="false" ht="15" hidden="false" customHeight="false" outlineLevel="0" collapsed="false">
      <c r="A246" s="21"/>
      <c r="B246" s="17"/>
      <c r="C246" s="17"/>
      <c r="D246" s="17"/>
      <c r="E246" s="17"/>
      <c r="F246" s="17"/>
      <c r="G246" s="17"/>
      <c r="H246" s="17"/>
      <c r="I246" s="17"/>
      <c r="J246" s="18" t="str">
        <f aca="false">IF($A246="","",$B246+$C246+$D246-$E246+$F246-$G246)</f>
        <v/>
      </c>
      <c r="K246" s="18" t="str">
        <f aca="false">IF($A246="","",MAX(0,$B246-$J246))</f>
        <v/>
      </c>
      <c r="L246" s="19" t="str">
        <f aca="false">IF($A246="","",IF($B246=0,0,$K246/$B246))</f>
        <v/>
      </c>
      <c r="M246" s="20" t="str">
        <f aca="false">IF($A246="","",IF($J246&lt;0,"BORCA BATIK",IF($I246&lt;$H246,"BORCA BATIK",IF($L246&gt;=TtkUcteIkiEsik,"2/3 KAYIP (KRİTİK)",IF($L246&gt;=TtkUcteBirEsik,"1/3 KAYIP (DİKKAT)","UYGUN")))))</f>
        <v/>
      </c>
    </row>
    <row r="247" customFormat="false" ht="15" hidden="false" customHeight="false" outlineLevel="0" collapsed="false">
      <c r="A247" s="21"/>
      <c r="B247" s="17"/>
      <c r="C247" s="17"/>
      <c r="D247" s="17"/>
      <c r="E247" s="17"/>
      <c r="F247" s="17"/>
      <c r="G247" s="17"/>
      <c r="H247" s="17"/>
      <c r="I247" s="17"/>
      <c r="J247" s="18" t="str">
        <f aca="false">IF($A247="","",$B247+$C247+$D247-$E247+$F247-$G247)</f>
        <v/>
      </c>
      <c r="K247" s="18" t="str">
        <f aca="false">IF($A247="","",MAX(0,$B247-$J247))</f>
        <v/>
      </c>
      <c r="L247" s="19" t="str">
        <f aca="false">IF($A247="","",IF($B247=0,0,$K247/$B247))</f>
        <v/>
      </c>
      <c r="M247" s="20" t="str">
        <f aca="false">IF($A247="","",IF($J247&lt;0,"BORCA BATIK",IF($I247&lt;$H247,"BORCA BATIK",IF($L247&gt;=TtkUcteIkiEsik,"2/3 KAYIP (KRİTİK)",IF($L247&gt;=TtkUcteBirEsik,"1/3 KAYIP (DİKKAT)","UYGUN")))))</f>
        <v/>
      </c>
    </row>
    <row r="248" customFormat="false" ht="15" hidden="false" customHeight="false" outlineLevel="0" collapsed="false">
      <c r="A248" s="21"/>
      <c r="B248" s="17"/>
      <c r="C248" s="17"/>
      <c r="D248" s="17"/>
      <c r="E248" s="17"/>
      <c r="F248" s="17"/>
      <c r="G248" s="17"/>
      <c r="H248" s="17"/>
      <c r="I248" s="17"/>
      <c r="J248" s="18" t="str">
        <f aca="false">IF($A248="","",$B248+$C248+$D248-$E248+$F248-$G248)</f>
        <v/>
      </c>
      <c r="K248" s="18" t="str">
        <f aca="false">IF($A248="","",MAX(0,$B248-$J248))</f>
        <v/>
      </c>
      <c r="L248" s="19" t="str">
        <f aca="false">IF($A248="","",IF($B248=0,0,$K248/$B248))</f>
        <v/>
      </c>
      <c r="M248" s="20" t="str">
        <f aca="false">IF($A248="","",IF($J248&lt;0,"BORCA BATIK",IF($I248&lt;$H248,"BORCA BATIK",IF($L248&gt;=TtkUcteIkiEsik,"2/3 KAYIP (KRİTİK)",IF($L248&gt;=TtkUcteBirEsik,"1/3 KAYIP (DİKKAT)","UYGUN")))))</f>
        <v/>
      </c>
    </row>
    <row r="249" customFormat="false" ht="15" hidden="false" customHeight="false" outlineLevel="0" collapsed="false">
      <c r="A249" s="21"/>
      <c r="B249" s="17"/>
      <c r="C249" s="17"/>
      <c r="D249" s="17"/>
      <c r="E249" s="17"/>
      <c r="F249" s="17"/>
      <c r="G249" s="17"/>
      <c r="H249" s="17"/>
      <c r="I249" s="17"/>
      <c r="J249" s="18" t="str">
        <f aca="false">IF($A249="","",$B249+$C249+$D249-$E249+$F249-$G249)</f>
        <v/>
      </c>
      <c r="K249" s="18" t="str">
        <f aca="false">IF($A249="","",MAX(0,$B249-$J249))</f>
        <v/>
      </c>
      <c r="L249" s="19" t="str">
        <f aca="false">IF($A249="","",IF($B249=0,0,$K249/$B249))</f>
        <v/>
      </c>
      <c r="M249" s="20" t="str">
        <f aca="false">IF($A249="","",IF($J249&lt;0,"BORCA BATIK",IF($I249&lt;$H249,"BORCA BATIK",IF($L249&gt;=TtkUcteIkiEsik,"2/3 KAYIP (KRİTİK)",IF($L249&gt;=TtkUcteBirEsik,"1/3 KAYIP (DİKKAT)","UYGUN")))))</f>
        <v/>
      </c>
    </row>
    <row r="250" customFormat="false" ht="15" hidden="false" customHeight="false" outlineLevel="0" collapsed="false">
      <c r="A250" s="21"/>
      <c r="B250" s="17"/>
      <c r="C250" s="17"/>
      <c r="D250" s="17"/>
      <c r="E250" s="17"/>
      <c r="F250" s="17"/>
      <c r="G250" s="17"/>
      <c r="H250" s="17"/>
      <c r="I250" s="17"/>
      <c r="J250" s="18" t="str">
        <f aca="false">IF($A250="","",$B250+$C250+$D250-$E250+$F250-$G250)</f>
        <v/>
      </c>
      <c r="K250" s="18" t="str">
        <f aca="false">IF($A250="","",MAX(0,$B250-$J250))</f>
        <v/>
      </c>
      <c r="L250" s="19" t="str">
        <f aca="false">IF($A250="","",IF($B250=0,0,$K250/$B250))</f>
        <v/>
      </c>
      <c r="M250" s="20" t="str">
        <f aca="false">IF($A250="","",IF($J250&lt;0,"BORCA BATIK",IF($I250&lt;$H250,"BORCA BATIK",IF($L250&gt;=TtkUcteIkiEsik,"2/3 KAYIP (KRİTİK)",IF($L250&gt;=TtkUcteBirEsik,"1/3 KAYIP (DİKKAT)","UYGUN")))))</f>
        <v/>
      </c>
    </row>
    <row r="251" customFormat="false" ht="15" hidden="false" customHeight="false" outlineLevel="0" collapsed="false">
      <c r="A251" s="21"/>
      <c r="B251" s="17"/>
      <c r="C251" s="17"/>
      <c r="D251" s="17"/>
      <c r="E251" s="17"/>
      <c r="F251" s="17"/>
      <c r="G251" s="17"/>
      <c r="H251" s="17"/>
      <c r="I251" s="17"/>
      <c r="J251" s="18" t="str">
        <f aca="false">IF($A251="","",$B251+$C251+$D251-$E251+$F251-$G251)</f>
        <v/>
      </c>
      <c r="K251" s="18" t="str">
        <f aca="false">IF($A251="","",MAX(0,$B251-$J251))</f>
        <v/>
      </c>
      <c r="L251" s="19" t="str">
        <f aca="false">IF($A251="","",IF($B251=0,0,$K251/$B251))</f>
        <v/>
      </c>
      <c r="M251" s="20" t="str">
        <f aca="false">IF($A251="","",IF($J251&lt;0,"BORCA BATIK",IF($I251&lt;$H251,"BORCA BATIK",IF($L251&gt;=TtkUcteIkiEsik,"2/3 KAYIP (KRİTİK)",IF($L251&gt;=TtkUcteBirEsik,"1/3 KAYIP (DİKKAT)","UYGUN")))))</f>
        <v/>
      </c>
    </row>
    <row r="252" customFormat="false" ht="15" hidden="false" customHeight="false" outlineLevel="0" collapsed="false">
      <c r="A252" s="21"/>
      <c r="B252" s="17"/>
      <c r="C252" s="17"/>
      <c r="D252" s="17"/>
      <c r="E252" s="17"/>
      <c r="F252" s="17"/>
      <c r="G252" s="17"/>
      <c r="H252" s="17"/>
      <c r="I252" s="17"/>
      <c r="J252" s="18" t="str">
        <f aca="false">IF($A252="","",$B252+$C252+$D252-$E252+$F252-$G252)</f>
        <v/>
      </c>
      <c r="K252" s="18" t="str">
        <f aca="false">IF($A252="","",MAX(0,$B252-$J252))</f>
        <v/>
      </c>
      <c r="L252" s="19" t="str">
        <f aca="false">IF($A252="","",IF($B252=0,0,$K252/$B252))</f>
        <v/>
      </c>
      <c r="M252" s="20" t="str">
        <f aca="false">IF($A252="","",IF($J252&lt;0,"BORCA BATIK",IF($I252&lt;$H252,"BORCA BATIK",IF($L252&gt;=TtkUcteIkiEsik,"2/3 KAYIP (KRİTİK)",IF($L252&gt;=TtkUcteBirEsik,"1/3 KAYIP (DİKKAT)","UYGUN")))))</f>
        <v/>
      </c>
    </row>
    <row r="253" customFormat="false" ht="15" hidden="false" customHeight="false" outlineLevel="0" collapsed="false">
      <c r="A253" s="21"/>
      <c r="B253" s="17"/>
      <c r="C253" s="17"/>
      <c r="D253" s="17"/>
      <c r="E253" s="17"/>
      <c r="F253" s="17"/>
      <c r="G253" s="17"/>
      <c r="H253" s="17"/>
      <c r="I253" s="17"/>
      <c r="J253" s="18" t="str">
        <f aca="false">IF($A253="","",$B253+$C253+$D253-$E253+$F253-$G253)</f>
        <v/>
      </c>
      <c r="K253" s="18" t="str">
        <f aca="false">IF($A253="","",MAX(0,$B253-$J253))</f>
        <v/>
      </c>
      <c r="L253" s="19" t="str">
        <f aca="false">IF($A253="","",IF($B253=0,0,$K253/$B253))</f>
        <v/>
      </c>
      <c r="M253" s="20" t="str">
        <f aca="false">IF($A253="","",IF($J253&lt;0,"BORCA BATIK",IF($I253&lt;$H253,"BORCA BATIK",IF($L253&gt;=TtkUcteIkiEsik,"2/3 KAYIP (KRİTİK)",IF($L253&gt;=TtkUcteBirEsik,"1/3 KAYIP (DİKKAT)","UYGUN")))))</f>
        <v/>
      </c>
    </row>
    <row r="254" customFormat="false" ht="15" hidden="false" customHeight="false" outlineLevel="0" collapsed="false">
      <c r="A254" s="21"/>
      <c r="B254" s="17"/>
      <c r="C254" s="17"/>
      <c r="D254" s="17"/>
      <c r="E254" s="17"/>
      <c r="F254" s="17"/>
      <c r="G254" s="17"/>
      <c r="H254" s="17"/>
      <c r="I254" s="17"/>
      <c r="J254" s="18" t="str">
        <f aca="false">IF($A254="","",$B254+$C254+$D254-$E254+$F254-$G254)</f>
        <v/>
      </c>
      <c r="K254" s="18" t="str">
        <f aca="false">IF($A254="","",MAX(0,$B254-$J254))</f>
        <v/>
      </c>
      <c r="L254" s="19" t="str">
        <f aca="false">IF($A254="","",IF($B254=0,0,$K254/$B254))</f>
        <v/>
      </c>
      <c r="M254" s="20" t="str">
        <f aca="false">IF($A254="","",IF($J254&lt;0,"BORCA BATIK",IF($I254&lt;$H254,"BORCA BATIK",IF($L254&gt;=TtkUcteIkiEsik,"2/3 KAYIP (KRİTİK)",IF($L254&gt;=TtkUcteBirEsik,"1/3 KAYIP (DİKKAT)","UYGUN")))))</f>
        <v/>
      </c>
    </row>
    <row r="255" customFormat="false" ht="15" hidden="false" customHeight="false" outlineLevel="0" collapsed="false">
      <c r="A255" s="21"/>
      <c r="B255" s="17"/>
      <c r="C255" s="17"/>
      <c r="D255" s="17"/>
      <c r="E255" s="17"/>
      <c r="F255" s="17"/>
      <c r="G255" s="17"/>
      <c r="H255" s="17"/>
      <c r="I255" s="17"/>
      <c r="J255" s="18" t="str">
        <f aca="false">IF($A255="","",$B255+$C255+$D255-$E255+$F255-$G255)</f>
        <v/>
      </c>
      <c r="K255" s="18" t="str">
        <f aca="false">IF($A255="","",MAX(0,$B255-$J255))</f>
        <v/>
      </c>
      <c r="L255" s="19" t="str">
        <f aca="false">IF($A255="","",IF($B255=0,0,$K255/$B255))</f>
        <v/>
      </c>
      <c r="M255" s="20" t="str">
        <f aca="false">IF($A255="","",IF($J255&lt;0,"BORCA BATIK",IF($I255&lt;$H255,"BORCA BATIK",IF($L255&gt;=TtkUcteIkiEsik,"2/3 KAYIP (KRİTİK)",IF($L255&gt;=TtkUcteBirEsik,"1/3 KAYIP (DİKKAT)","UYGUN")))))</f>
        <v/>
      </c>
    </row>
    <row r="256" customFormat="false" ht="15" hidden="false" customHeight="false" outlineLevel="0" collapsed="false">
      <c r="A256" s="21"/>
      <c r="B256" s="17"/>
      <c r="C256" s="17"/>
      <c r="D256" s="17"/>
      <c r="E256" s="17"/>
      <c r="F256" s="17"/>
      <c r="G256" s="17"/>
      <c r="H256" s="17"/>
      <c r="I256" s="17"/>
      <c r="J256" s="18" t="str">
        <f aca="false">IF($A256="","",$B256+$C256+$D256-$E256+$F256-$G256)</f>
        <v/>
      </c>
      <c r="K256" s="18" t="str">
        <f aca="false">IF($A256="","",MAX(0,$B256-$J256))</f>
        <v/>
      </c>
      <c r="L256" s="19" t="str">
        <f aca="false">IF($A256="","",IF($B256=0,0,$K256/$B256))</f>
        <v/>
      </c>
      <c r="M256" s="20" t="str">
        <f aca="false">IF($A256="","",IF($J256&lt;0,"BORCA BATIK",IF($I256&lt;$H256,"BORCA BATIK",IF($L256&gt;=TtkUcteIkiEsik,"2/3 KAYIP (KRİTİK)",IF($L256&gt;=TtkUcteBirEsik,"1/3 KAYIP (DİKKAT)","UYGUN")))))</f>
        <v/>
      </c>
    </row>
    <row r="257" customFormat="false" ht="15" hidden="false" customHeight="false" outlineLevel="0" collapsed="false">
      <c r="A257" s="21"/>
      <c r="B257" s="17"/>
      <c r="C257" s="17"/>
      <c r="D257" s="17"/>
      <c r="E257" s="17"/>
      <c r="F257" s="17"/>
      <c r="G257" s="17"/>
      <c r="H257" s="17"/>
      <c r="I257" s="17"/>
      <c r="J257" s="18" t="str">
        <f aca="false">IF($A257="","",$B257+$C257+$D257-$E257+$F257-$G257)</f>
        <v/>
      </c>
      <c r="K257" s="18" t="str">
        <f aca="false">IF($A257="","",MAX(0,$B257-$J257))</f>
        <v/>
      </c>
      <c r="L257" s="19" t="str">
        <f aca="false">IF($A257="","",IF($B257=0,0,$K257/$B257))</f>
        <v/>
      </c>
      <c r="M257" s="20" t="str">
        <f aca="false">IF($A257="","",IF($J257&lt;0,"BORCA BATIK",IF($I257&lt;$H257,"BORCA BATIK",IF($L257&gt;=TtkUcteIkiEsik,"2/3 KAYIP (KRİTİK)",IF($L257&gt;=TtkUcteBirEsik,"1/3 KAYIP (DİKKAT)","UYGUN")))))</f>
        <v/>
      </c>
    </row>
    <row r="258" customFormat="false" ht="15" hidden="false" customHeight="false" outlineLevel="0" collapsed="false">
      <c r="A258" s="21"/>
      <c r="B258" s="17"/>
      <c r="C258" s="17"/>
      <c r="D258" s="17"/>
      <c r="E258" s="17"/>
      <c r="F258" s="17"/>
      <c r="G258" s="17"/>
      <c r="H258" s="17"/>
      <c r="I258" s="17"/>
      <c r="J258" s="18" t="str">
        <f aca="false">IF($A258="","",$B258+$C258+$D258-$E258+$F258-$G258)</f>
        <v/>
      </c>
      <c r="K258" s="18" t="str">
        <f aca="false">IF($A258="","",MAX(0,$B258-$J258))</f>
        <v/>
      </c>
      <c r="L258" s="19" t="str">
        <f aca="false">IF($A258="","",IF($B258=0,0,$K258/$B258))</f>
        <v/>
      </c>
      <c r="M258" s="20" t="str">
        <f aca="false">IF($A258="","",IF($J258&lt;0,"BORCA BATIK",IF($I258&lt;$H258,"BORCA BATIK",IF($L258&gt;=TtkUcteIkiEsik,"2/3 KAYIP (KRİTİK)",IF($L258&gt;=TtkUcteBirEsik,"1/3 KAYIP (DİKKAT)","UYGUN")))))</f>
        <v/>
      </c>
    </row>
    <row r="259" customFormat="false" ht="15" hidden="false" customHeight="false" outlineLevel="0" collapsed="false">
      <c r="A259" s="21"/>
      <c r="B259" s="17"/>
      <c r="C259" s="17"/>
      <c r="D259" s="17"/>
      <c r="E259" s="17"/>
      <c r="F259" s="17"/>
      <c r="G259" s="17"/>
      <c r="H259" s="17"/>
      <c r="I259" s="17"/>
      <c r="J259" s="18" t="str">
        <f aca="false">IF($A259="","",$B259+$C259+$D259-$E259+$F259-$G259)</f>
        <v/>
      </c>
      <c r="K259" s="18" t="str">
        <f aca="false">IF($A259="","",MAX(0,$B259-$J259))</f>
        <v/>
      </c>
      <c r="L259" s="19" t="str">
        <f aca="false">IF($A259="","",IF($B259=0,0,$K259/$B259))</f>
        <v/>
      </c>
      <c r="M259" s="20" t="str">
        <f aca="false">IF($A259="","",IF($J259&lt;0,"BORCA BATIK",IF($I259&lt;$H259,"BORCA BATIK",IF($L259&gt;=TtkUcteIkiEsik,"2/3 KAYIP (KRİTİK)",IF($L259&gt;=TtkUcteBirEsik,"1/3 KAYIP (DİKKAT)","UYGUN")))))</f>
        <v/>
      </c>
    </row>
    <row r="260" customFormat="false" ht="15" hidden="false" customHeight="false" outlineLevel="0" collapsed="false">
      <c r="A260" s="21"/>
      <c r="B260" s="17"/>
      <c r="C260" s="17"/>
      <c r="D260" s="17"/>
      <c r="E260" s="17"/>
      <c r="F260" s="17"/>
      <c r="G260" s="17"/>
      <c r="H260" s="17"/>
      <c r="I260" s="17"/>
      <c r="J260" s="18" t="str">
        <f aca="false">IF($A260="","",$B260+$C260+$D260-$E260+$F260-$G260)</f>
        <v/>
      </c>
      <c r="K260" s="18" t="str">
        <f aca="false">IF($A260="","",MAX(0,$B260-$J260))</f>
        <v/>
      </c>
      <c r="L260" s="19" t="str">
        <f aca="false">IF($A260="","",IF($B260=0,0,$K260/$B260))</f>
        <v/>
      </c>
      <c r="M260" s="20" t="str">
        <f aca="false">IF($A260="","",IF($J260&lt;0,"BORCA BATIK",IF($I260&lt;$H260,"BORCA BATIK",IF($L260&gt;=TtkUcteIkiEsik,"2/3 KAYIP (KRİTİK)",IF($L260&gt;=TtkUcteBirEsik,"1/3 KAYIP (DİKKAT)","UYGUN")))))</f>
        <v/>
      </c>
    </row>
    <row r="261" customFormat="false" ht="15" hidden="false" customHeight="false" outlineLevel="0" collapsed="false">
      <c r="A261" s="21"/>
      <c r="B261" s="17"/>
      <c r="C261" s="17"/>
      <c r="D261" s="17"/>
      <c r="E261" s="17"/>
      <c r="F261" s="17"/>
      <c r="G261" s="17"/>
      <c r="H261" s="17"/>
      <c r="I261" s="17"/>
      <c r="J261" s="18" t="str">
        <f aca="false">IF($A261="","",$B261+$C261+$D261-$E261+$F261-$G261)</f>
        <v/>
      </c>
      <c r="K261" s="18" t="str">
        <f aca="false">IF($A261="","",MAX(0,$B261-$J261))</f>
        <v/>
      </c>
      <c r="L261" s="19" t="str">
        <f aca="false">IF($A261="","",IF($B261=0,0,$K261/$B261))</f>
        <v/>
      </c>
      <c r="M261" s="20" t="str">
        <f aca="false">IF($A261="","",IF($J261&lt;0,"BORCA BATIK",IF($I261&lt;$H261,"BORCA BATIK",IF($L261&gt;=TtkUcteIkiEsik,"2/3 KAYIP (KRİTİK)",IF($L261&gt;=TtkUcteBirEsik,"1/3 KAYIP (DİKKAT)","UYGUN")))))</f>
        <v/>
      </c>
    </row>
    <row r="262" customFormat="false" ht="15" hidden="false" customHeight="false" outlineLevel="0" collapsed="false">
      <c r="A262" s="21"/>
      <c r="B262" s="17"/>
      <c r="C262" s="17"/>
      <c r="D262" s="17"/>
      <c r="E262" s="17"/>
      <c r="F262" s="17"/>
      <c r="G262" s="17"/>
      <c r="H262" s="17"/>
      <c r="I262" s="17"/>
      <c r="J262" s="18" t="str">
        <f aca="false">IF($A262="","",$B262+$C262+$D262-$E262+$F262-$G262)</f>
        <v/>
      </c>
      <c r="K262" s="18" t="str">
        <f aca="false">IF($A262="","",MAX(0,$B262-$J262))</f>
        <v/>
      </c>
      <c r="L262" s="19" t="str">
        <f aca="false">IF($A262="","",IF($B262=0,0,$K262/$B262))</f>
        <v/>
      </c>
      <c r="M262" s="20" t="str">
        <f aca="false">IF($A262="","",IF($J262&lt;0,"BORCA BATIK",IF($I262&lt;$H262,"BORCA BATIK",IF($L262&gt;=TtkUcteIkiEsik,"2/3 KAYIP (KRİTİK)",IF($L262&gt;=TtkUcteBirEsik,"1/3 KAYIP (DİKKAT)","UYGUN")))))</f>
        <v/>
      </c>
    </row>
    <row r="263" customFormat="false" ht="15" hidden="false" customHeight="false" outlineLevel="0" collapsed="false">
      <c r="A263" s="21"/>
      <c r="B263" s="17"/>
      <c r="C263" s="17"/>
      <c r="D263" s="17"/>
      <c r="E263" s="17"/>
      <c r="F263" s="17"/>
      <c r="G263" s="17"/>
      <c r="H263" s="17"/>
      <c r="I263" s="17"/>
      <c r="J263" s="18" t="str">
        <f aca="false">IF($A263="","",$B263+$C263+$D263-$E263+$F263-$G263)</f>
        <v/>
      </c>
      <c r="K263" s="18" t="str">
        <f aca="false">IF($A263="","",MAX(0,$B263-$J263))</f>
        <v/>
      </c>
      <c r="L263" s="19" t="str">
        <f aca="false">IF($A263="","",IF($B263=0,0,$K263/$B263))</f>
        <v/>
      </c>
      <c r="M263" s="20" t="str">
        <f aca="false">IF($A263="","",IF($J263&lt;0,"BORCA BATIK",IF($I263&lt;$H263,"BORCA BATIK",IF($L263&gt;=TtkUcteIkiEsik,"2/3 KAYIP (KRİTİK)",IF($L263&gt;=TtkUcteBirEsik,"1/3 KAYIP (DİKKAT)","UYGUN")))))</f>
        <v/>
      </c>
    </row>
    <row r="264" customFormat="false" ht="15" hidden="false" customHeight="false" outlineLevel="0" collapsed="false">
      <c r="A264" s="21"/>
      <c r="B264" s="17"/>
      <c r="C264" s="17"/>
      <c r="D264" s="17"/>
      <c r="E264" s="17"/>
      <c r="F264" s="17"/>
      <c r="G264" s="17"/>
      <c r="H264" s="17"/>
      <c r="I264" s="17"/>
      <c r="J264" s="18" t="str">
        <f aca="false">IF($A264="","",$B264+$C264+$D264-$E264+$F264-$G264)</f>
        <v/>
      </c>
      <c r="K264" s="18" t="str">
        <f aca="false">IF($A264="","",MAX(0,$B264-$J264))</f>
        <v/>
      </c>
      <c r="L264" s="19" t="str">
        <f aca="false">IF($A264="","",IF($B264=0,0,$K264/$B264))</f>
        <v/>
      </c>
      <c r="M264" s="20" t="str">
        <f aca="false">IF($A264="","",IF($J264&lt;0,"BORCA BATIK",IF($I264&lt;$H264,"BORCA BATIK",IF($L264&gt;=TtkUcteIkiEsik,"2/3 KAYIP (KRİTİK)",IF($L264&gt;=TtkUcteBirEsik,"1/3 KAYIP (DİKKAT)","UYGUN")))))</f>
        <v/>
      </c>
    </row>
    <row r="265" customFormat="false" ht="15" hidden="false" customHeight="false" outlineLevel="0" collapsed="false">
      <c r="A265" s="21"/>
      <c r="B265" s="17"/>
      <c r="C265" s="17"/>
      <c r="D265" s="17"/>
      <c r="E265" s="17"/>
      <c r="F265" s="17"/>
      <c r="G265" s="17"/>
      <c r="H265" s="17"/>
      <c r="I265" s="17"/>
      <c r="J265" s="18" t="str">
        <f aca="false">IF($A265="","",$B265+$C265+$D265-$E265+$F265-$G265)</f>
        <v/>
      </c>
      <c r="K265" s="18" t="str">
        <f aca="false">IF($A265="","",MAX(0,$B265-$J265))</f>
        <v/>
      </c>
      <c r="L265" s="19" t="str">
        <f aca="false">IF($A265="","",IF($B265=0,0,$K265/$B265))</f>
        <v/>
      </c>
      <c r="M265" s="20" t="str">
        <f aca="false">IF($A265="","",IF($J265&lt;0,"BORCA BATIK",IF($I265&lt;$H265,"BORCA BATIK",IF($L265&gt;=TtkUcteIkiEsik,"2/3 KAYIP (KRİTİK)",IF($L265&gt;=TtkUcteBirEsik,"1/3 KAYIP (DİKKAT)","UYGUN")))))</f>
        <v/>
      </c>
    </row>
    <row r="266" customFormat="false" ht="15" hidden="false" customHeight="false" outlineLevel="0" collapsed="false">
      <c r="A266" s="21"/>
      <c r="B266" s="17"/>
      <c r="C266" s="17"/>
      <c r="D266" s="17"/>
      <c r="E266" s="17"/>
      <c r="F266" s="17"/>
      <c r="G266" s="17"/>
      <c r="H266" s="17"/>
      <c r="I266" s="17"/>
      <c r="J266" s="18" t="str">
        <f aca="false">IF($A266="","",$B266+$C266+$D266-$E266+$F266-$G266)</f>
        <v/>
      </c>
      <c r="K266" s="18" t="str">
        <f aca="false">IF($A266="","",MAX(0,$B266-$J266))</f>
        <v/>
      </c>
      <c r="L266" s="19" t="str">
        <f aca="false">IF($A266="","",IF($B266=0,0,$K266/$B266))</f>
        <v/>
      </c>
      <c r="M266" s="20" t="str">
        <f aca="false">IF($A266="","",IF($J266&lt;0,"BORCA BATIK",IF($I266&lt;$H266,"BORCA BATIK",IF($L266&gt;=TtkUcteIkiEsik,"2/3 KAYIP (KRİTİK)",IF($L266&gt;=TtkUcteBirEsik,"1/3 KAYIP (DİKKAT)","UYGUN")))))</f>
        <v/>
      </c>
    </row>
    <row r="267" customFormat="false" ht="15" hidden="false" customHeight="false" outlineLevel="0" collapsed="false">
      <c r="A267" s="21"/>
      <c r="B267" s="17"/>
      <c r="C267" s="17"/>
      <c r="D267" s="17"/>
      <c r="E267" s="17"/>
      <c r="F267" s="17"/>
      <c r="G267" s="17"/>
      <c r="H267" s="17"/>
      <c r="I267" s="17"/>
      <c r="J267" s="18" t="str">
        <f aca="false">IF($A267="","",$B267+$C267+$D267-$E267+$F267-$G267)</f>
        <v/>
      </c>
      <c r="K267" s="18" t="str">
        <f aca="false">IF($A267="","",MAX(0,$B267-$J267))</f>
        <v/>
      </c>
      <c r="L267" s="19" t="str">
        <f aca="false">IF($A267="","",IF($B267=0,0,$K267/$B267))</f>
        <v/>
      </c>
      <c r="M267" s="20" t="str">
        <f aca="false">IF($A267="","",IF($J267&lt;0,"BORCA BATIK",IF($I267&lt;$H267,"BORCA BATIK",IF($L267&gt;=TtkUcteIkiEsik,"2/3 KAYIP (KRİTİK)",IF($L267&gt;=TtkUcteBirEsik,"1/3 KAYIP (DİKKAT)","UYGUN")))))</f>
        <v/>
      </c>
    </row>
    <row r="268" customFormat="false" ht="15" hidden="false" customHeight="false" outlineLevel="0" collapsed="false">
      <c r="A268" s="21"/>
      <c r="B268" s="17"/>
      <c r="C268" s="17"/>
      <c r="D268" s="17"/>
      <c r="E268" s="17"/>
      <c r="F268" s="17"/>
      <c r="G268" s="17"/>
      <c r="H268" s="17"/>
      <c r="I268" s="17"/>
      <c r="J268" s="18" t="str">
        <f aca="false">IF($A268="","",$B268+$C268+$D268-$E268+$F268-$G268)</f>
        <v/>
      </c>
      <c r="K268" s="18" t="str">
        <f aca="false">IF($A268="","",MAX(0,$B268-$J268))</f>
        <v/>
      </c>
      <c r="L268" s="19" t="str">
        <f aca="false">IF($A268="","",IF($B268=0,0,$K268/$B268))</f>
        <v/>
      </c>
      <c r="M268" s="20" t="str">
        <f aca="false">IF($A268="","",IF($J268&lt;0,"BORCA BATIK",IF($I268&lt;$H268,"BORCA BATIK",IF($L268&gt;=TtkUcteIkiEsik,"2/3 KAYIP (KRİTİK)",IF($L268&gt;=TtkUcteBirEsik,"1/3 KAYIP (DİKKAT)","UYGUN")))))</f>
        <v/>
      </c>
    </row>
    <row r="269" customFormat="false" ht="15" hidden="false" customHeight="false" outlineLevel="0" collapsed="false">
      <c r="A269" s="21"/>
      <c r="B269" s="17"/>
      <c r="C269" s="17"/>
      <c r="D269" s="17"/>
      <c r="E269" s="17"/>
      <c r="F269" s="17"/>
      <c r="G269" s="17"/>
      <c r="H269" s="17"/>
      <c r="I269" s="17"/>
      <c r="J269" s="18" t="str">
        <f aca="false">IF($A269="","",$B269+$C269+$D269-$E269+$F269-$G269)</f>
        <v/>
      </c>
      <c r="K269" s="18" t="str">
        <f aca="false">IF($A269="","",MAX(0,$B269-$J269))</f>
        <v/>
      </c>
      <c r="L269" s="19" t="str">
        <f aca="false">IF($A269="","",IF($B269=0,0,$K269/$B269))</f>
        <v/>
      </c>
      <c r="M269" s="20" t="str">
        <f aca="false">IF($A269="","",IF($J269&lt;0,"BORCA BATIK",IF($I269&lt;$H269,"BORCA BATIK",IF($L269&gt;=TtkUcteIkiEsik,"2/3 KAYIP (KRİTİK)",IF($L269&gt;=TtkUcteBirEsik,"1/3 KAYIP (DİKKAT)","UYGUN")))))</f>
        <v/>
      </c>
    </row>
    <row r="270" customFormat="false" ht="15" hidden="false" customHeight="false" outlineLevel="0" collapsed="false">
      <c r="A270" s="21"/>
      <c r="B270" s="17"/>
      <c r="C270" s="17"/>
      <c r="D270" s="17"/>
      <c r="E270" s="17"/>
      <c r="F270" s="17"/>
      <c r="G270" s="17"/>
      <c r="H270" s="17"/>
      <c r="I270" s="17"/>
      <c r="J270" s="18" t="str">
        <f aca="false">IF($A270="","",$B270+$C270+$D270-$E270+$F270-$G270)</f>
        <v/>
      </c>
      <c r="K270" s="18" t="str">
        <f aca="false">IF($A270="","",MAX(0,$B270-$J270))</f>
        <v/>
      </c>
      <c r="L270" s="19" t="str">
        <f aca="false">IF($A270="","",IF($B270=0,0,$K270/$B270))</f>
        <v/>
      </c>
      <c r="M270" s="20" t="str">
        <f aca="false">IF($A270="","",IF($J270&lt;0,"BORCA BATIK",IF($I270&lt;$H270,"BORCA BATIK",IF($L270&gt;=TtkUcteIkiEsik,"2/3 KAYIP (KRİTİK)",IF($L270&gt;=TtkUcteBirEsik,"1/3 KAYIP (DİKKAT)","UYGUN")))))</f>
        <v/>
      </c>
    </row>
    <row r="271" customFormat="false" ht="15" hidden="false" customHeight="false" outlineLevel="0" collapsed="false">
      <c r="A271" s="21"/>
      <c r="B271" s="17"/>
      <c r="C271" s="17"/>
      <c r="D271" s="17"/>
      <c r="E271" s="17"/>
      <c r="F271" s="17"/>
      <c r="G271" s="17"/>
      <c r="H271" s="17"/>
      <c r="I271" s="17"/>
      <c r="J271" s="18" t="str">
        <f aca="false">IF($A271="","",$B271+$C271+$D271-$E271+$F271-$G271)</f>
        <v/>
      </c>
      <c r="K271" s="18" t="str">
        <f aca="false">IF($A271="","",MAX(0,$B271-$J271))</f>
        <v/>
      </c>
      <c r="L271" s="19" t="str">
        <f aca="false">IF($A271="","",IF($B271=0,0,$K271/$B271))</f>
        <v/>
      </c>
      <c r="M271" s="20" t="str">
        <f aca="false">IF($A271="","",IF($J271&lt;0,"BORCA BATIK",IF($I271&lt;$H271,"BORCA BATIK",IF($L271&gt;=TtkUcteIkiEsik,"2/3 KAYIP (KRİTİK)",IF($L271&gt;=TtkUcteBirEsik,"1/3 KAYIP (DİKKAT)","UYGUN")))))</f>
        <v/>
      </c>
    </row>
    <row r="272" customFormat="false" ht="15" hidden="false" customHeight="false" outlineLevel="0" collapsed="false">
      <c r="A272" s="21"/>
      <c r="B272" s="17"/>
      <c r="C272" s="17"/>
      <c r="D272" s="17"/>
      <c r="E272" s="17"/>
      <c r="F272" s="17"/>
      <c r="G272" s="17"/>
      <c r="H272" s="17"/>
      <c r="I272" s="17"/>
      <c r="J272" s="18" t="str">
        <f aca="false">IF($A272="","",$B272+$C272+$D272-$E272+$F272-$G272)</f>
        <v/>
      </c>
      <c r="K272" s="18" t="str">
        <f aca="false">IF($A272="","",MAX(0,$B272-$J272))</f>
        <v/>
      </c>
      <c r="L272" s="19" t="str">
        <f aca="false">IF($A272="","",IF($B272=0,0,$K272/$B272))</f>
        <v/>
      </c>
      <c r="M272" s="20" t="str">
        <f aca="false">IF($A272="","",IF($J272&lt;0,"BORCA BATIK",IF($I272&lt;$H272,"BORCA BATIK",IF($L272&gt;=TtkUcteIkiEsik,"2/3 KAYIP (KRİTİK)",IF($L272&gt;=TtkUcteBirEsik,"1/3 KAYIP (DİKKAT)","UYGUN")))))</f>
        <v/>
      </c>
    </row>
    <row r="273" customFormat="false" ht="15" hidden="false" customHeight="false" outlineLevel="0" collapsed="false">
      <c r="A273" s="21"/>
      <c r="B273" s="17"/>
      <c r="C273" s="17"/>
      <c r="D273" s="17"/>
      <c r="E273" s="17"/>
      <c r="F273" s="17"/>
      <c r="G273" s="17"/>
      <c r="H273" s="17"/>
      <c r="I273" s="17"/>
      <c r="J273" s="18" t="str">
        <f aca="false">IF($A273="","",$B273+$C273+$D273-$E273+$F273-$G273)</f>
        <v/>
      </c>
      <c r="K273" s="18" t="str">
        <f aca="false">IF($A273="","",MAX(0,$B273-$J273))</f>
        <v/>
      </c>
      <c r="L273" s="19" t="str">
        <f aca="false">IF($A273="","",IF($B273=0,0,$K273/$B273))</f>
        <v/>
      </c>
      <c r="M273" s="20" t="str">
        <f aca="false">IF($A273="","",IF($J273&lt;0,"BORCA BATIK",IF($I273&lt;$H273,"BORCA BATIK",IF($L273&gt;=TtkUcteIkiEsik,"2/3 KAYIP (KRİTİK)",IF($L273&gt;=TtkUcteBirEsik,"1/3 KAYIP (DİKKAT)","UYGUN")))))</f>
        <v/>
      </c>
    </row>
    <row r="274" customFormat="false" ht="15" hidden="false" customHeight="false" outlineLevel="0" collapsed="false">
      <c r="A274" s="21"/>
      <c r="B274" s="17"/>
      <c r="C274" s="17"/>
      <c r="D274" s="17"/>
      <c r="E274" s="17"/>
      <c r="F274" s="17"/>
      <c r="G274" s="17"/>
      <c r="H274" s="17"/>
      <c r="I274" s="17"/>
      <c r="J274" s="18" t="str">
        <f aca="false">IF($A274="","",$B274+$C274+$D274-$E274+$F274-$G274)</f>
        <v/>
      </c>
      <c r="K274" s="18" t="str">
        <f aca="false">IF($A274="","",MAX(0,$B274-$J274))</f>
        <v/>
      </c>
      <c r="L274" s="19" t="str">
        <f aca="false">IF($A274="","",IF($B274=0,0,$K274/$B274))</f>
        <v/>
      </c>
      <c r="M274" s="20" t="str">
        <f aca="false">IF($A274="","",IF($J274&lt;0,"BORCA BATIK",IF($I274&lt;$H274,"BORCA BATIK",IF($L274&gt;=TtkUcteIkiEsik,"2/3 KAYIP (KRİTİK)",IF($L274&gt;=TtkUcteBirEsik,"1/3 KAYIP (DİKKAT)","UYGUN")))))</f>
        <v/>
      </c>
    </row>
    <row r="275" customFormat="false" ht="15" hidden="false" customHeight="false" outlineLevel="0" collapsed="false">
      <c r="A275" s="21"/>
      <c r="B275" s="17"/>
      <c r="C275" s="17"/>
      <c r="D275" s="17"/>
      <c r="E275" s="17"/>
      <c r="F275" s="17"/>
      <c r="G275" s="17"/>
      <c r="H275" s="17"/>
      <c r="I275" s="17"/>
      <c r="J275" s="18" t="str">
        <f aca="false">IF($A275="","",$B275+$C275+$D275-$E275+$F275-$G275)</f>
        <v/>
      </c>
      <c r="K275" s="18" t="str">
        <f aca="false">IF($A275="","",MAX(0,$B275-$J275))</f>
        <v/>
      </c>
      <c r="L275" s="19" t="str">
        <f aca="false">IF($A275="","",IF($B275=0,0,$K275/$B275))</f>
        <v/>
      </c>
      <c r="M275" s="20" t="str">
        <f aca="false">IF($A275="","",IF($J275&lt;0,"BORCA BATIK",IF($I275&lt;$H275,"BORCA BATIK",IF($L275&gt;=TtkUcteIkiEsik,"2/3 KAYIP (KRİTİK)",IF($L275&gt;=TtkUcteBirEsik,"1/3 KAYIP (DİKKAT)","UYGUN")))))</f>
        <v/>
      </c>
    </row>
    <row r="276" customFormat="false" ht="15" hidden="false" customHeight="false" outlineLevel="0" collapsed="false">
      <c r="A276" s="21"/>
      <c r="B276" s="17"/>
      <c r="C276" s="17"/>
      <c r="D276" s="17"/>
      <c r="E276" s="17"/>
      <c r="F276" s="17"/>
      <c r="G276" s="17"/>
      <c r="H276" s="17"/>
      <c r="I276" s="17"/>
      <c r="J276" s="18" t="str">
        <f aca="false">IF($A276="","",$B276+$C276+$D276-$E276+$F276-$G276)</f>
        <v/>
      </c>
      <c r="K276" s="18" t="str">
        <f aca="false">IF($A276="","",MAX(0,$B276-$J276))</f>
        <v/>
      </c>
      <c r="L276" s="19" t="str">
        <f aca="false">IF($A276="","",IF($B276=0,0,$K276/$B276))</f>
        <v/>
      </c>
      <c r="M276" s="20" t="str">
        <f aca="false">IF($A276="","",IF($J276&lt;0,"BORCA BATIK",IF($I276&lt;$H276,"BORCA BATIK",IF($L276&gt;=TtkUcteIkiEsik,"2/3 KAYIP (KRİTİK)",IF($L276&gt;=TtkUcteBirEsik,"1/3 KAYIP (DİKKAT)","UYGUN")))))</f>
        <v/>
      </c>
    </row>
    <row r="277" customFormat="false" ht="15" hidden="false" customHeight="false" outlineLevel="0" collapsed="false">
      <c r="A277" s="21"/>
      <c r="B277" s="17"/>
      <c r="C277" s="17"/>
      <c r="D277" s="17"/>
      <c r="E277" s="17"/>
      <c r="F277" s="17"/>
      <c r="G277" s="17"/>
      <c r="H277" s="17"/>
      <c r="I277" s="17"/>
      <c r="J277" s="18" t="str">
        <f aca="false">IF($A277="","",$B277+$C277+$D277-$E277+$F277-$G277)</f>
        <v/>
      </c>
      <c r="K277" s="18" t="str">
        <f aca="false">IF($A277="","",MAX(0,$B277-$J277))</f>
        <v/>
      </c>
      <c r="L277" s="19" t="str">
        <f aca="false">IF($A277="","",IF($B277=0,0,$K277/$B277))</f>
        <v/>
      </c>
      <c r="M277" s="20" t="str">
        <f aca="false">IF($A277="","",IF($J277&lt;0,"BORCA BATIK",IF($I277&lt;$H277,"BORCA BATIK",IF($L277&gt;=TtkUcteIkiEsik,"2/3 KAYIP (KRİTİK)",IF($L277&gt;=TtkUcteBirEsik,"1/3 KAYIP (DİKKAT)","UYGUN")))))</f>
        <v/>
      </c>
    </row>
    <row r="278" customFormat="false" ht="15" hidden="false" customHeight="false" outlineLevel="0" collapsed="false">
      <c r="A278" s="21"/>
      <c r="B278" s="17"/>
      <c r="C278" s="17"/>
      <c r="D278" s="17"/>
      <c r="E278" s="17"/>
      <c r="F278" s="17"/>
      <c r="G278" s="17"/>
      <c r="H278" s="17"/>
      <c r="I278" s="17"/>
      <c r="J278" s="18" t="str">
        <f aca="false">IF($A278="","",$B278+$C278+$D278-$E278+$F278-$G278)</f>
        <v/>
      </c>
      <c r="K278" s="18" t="str">
        <f aca="false">IF($A278="","",MAX(0,$B278-$J278))</f>
        <v/>
      </c>
      <c r="L278" s="19" t="str">
        <f aca="false">IF($A278="","",IF($B278=0,0,$K278/$B278))</f>
        <v/>
      </c>
      <c r="M278" s="20" t="str">
        <f aca="false">IF($A278="","",IF($J278&lt;0,"BORCA BATIK",IF($I278&lt;$H278,"BORCA BATIK",IF($L278&gt;=TtkUcteIkiEsik,"2/3 KAYIP (KRİTİK)",IF($L278&gt;=TtkUcteBirEsik,"1/3 KAYIP (DİKKAT)","UYGUN")))))</f>
        <v/>
      </c>
    </row>
    <row r="279" customFormat="false" ht="15" hidden="false" customHeight="false" outlineLevel="0" collapsed="false">
      <c r="A279" s="21"/>
      <c r="B279" s="17"/>
      <c r="C279" s="17"/>
      <c r="D279" s="17"/>
      <c r="E279" s="17"/>
      <c r="F279" s="17"/>
      <c r="G279" s="17"/>
      <c r="H279" s="17"/>
      <c r="I279" s="17"/>
      <c r="J279" s="18" t="str">
        <f aca="false">IF($A279="","",$B279+$C279+$D279-$E279+$F279-$G279)</f>
        <v/>
      </c>
      <c r="K279" s="18" t="str">
        <f aca="false">IF($A279="","",MAX(0,$B279-$J279))</f>
        <v/>
      </c>
      <c r="L279" s="19" t="str">
        <f aca="false">IF($A279="","",IF($B279=0,0,$K279/$B279))</f>
        <v/>
      </c>
      <c r="M279" s="20" t="str">
        <f aca="false">IF($A279="","",IF($J279&lt;0,"BORCA BATIK",IF($I279&lt;$H279,"BORCA BATIK",IF($L279&gt;=TtkUcteIkiEsik,"2/3 KAYIP (KRİTİK)",IF($L279&gt;=TtkUcteBirEsik,"1/3 KAYIP (DİKKAT)","UYGUN")))))</f>
        <v/>
      </c>
    </row>
    <row r="280" customFormat="false" ht="15" hidden="false" customHeight="false" outlineLevel="0" collapsed="false">
      <c r="A280" s="21"/>
      <c r="B280" s="17"/>
      <c r="C280" s="17"/>
      <c r="D280" s="17"/>
      <c r="E280" s="17"/>
      <c r="F280" s="17"/>
      <c r="G280" s="17"/>
      <c r="H280" s="17"/>
      <c r="I280" s="17"/>
      <c r="J280" s="18" t="str">
        <f aca="false">IF($A280="","",$B280+$C280+$D280-$E280+$F280-$G280)</f>
        <v/>
      </c>
      <c r="K280" s="18" t="str">
        <f aca="false">IF($A280="","",MAX(0,$B280-$J280))</f>
        <v/>
      </c>
      <c r="L280" s="19" t="str">
        <f aca="false">IF($A280="","",IF($B280=0,0,$K280/$B280))</f>
        <v/>
      </c>
      <c r="M280" s="20" t="str">
        <f aca="false">IF($A280="","",IF($J280&lt;0,"BORCA BATIK",IF($I280&lt;$H280,"BORCA BATIK",IF($L280&gt;=TtkUcteIkiEsik,"2/3 KAYIP (KRİTİK)",IF($L280&gt;=TtkUcteBirEsik,"1/3 KAYIP (DİKKAT)","UYGUN")))))</f>
        <v/>
      </c>
    </row>
    <row r="281" customFormat="false" ht="15" hidden="false" customHeight="false" outlineLevel="0" collapsed="false">
      <c r="A281" s="21"/>
      <c r="B281" s="17"/>
      <c r="C281" s="17"/>
      <c r="D281" s="17"/>
      <c r="E281" s="17"/>
      <c r="F281" s="17"/>
      <c r="G281" s="17"/>
      <c r="H281" s="17"/>
      <c r="I281" s="17"/>
      <c r="J281" s="18" t="str">
        <f aca="false">IF($A281="","",$B281+$C281+$D281-$E281+$F281-$G281)</f>
        <v/>
      </c>
      <c r="K281" s="18" t="str">
        <f aca="false">IF($A281="","",MAX(0,$B281-$J281))</f>
        <v/>
      </c>
      <c r="L281" s="19" t="str">
        <f aca="false">IF($A281="","",IF($B281=0,0,$K281/$B281))</f>
        <v/>
      </c>
      <c r="M281" s="20" t="str">
        <f aca="false">IF($A281="","",IF($J281&lt;0,"BORCA BATIK",IF($I281&lt;$H281,"BORCA BATIK",IF($L281&gt;=TtkUcteIkiEsik,"2/3 KAYIP (KRİTİK)",IF($L281&gt;=TtkUcteBirEsik,"1/3 KAYIP (DİKKAT)","UYGUN")))))</f>
        <v/>
      </c>
    </row>
    <row r="282" customFormat="false" ht="15" hidden="false" customHeight="false" outlineLevel="0" collapsed="false">
      <c r="A282" s="21"/>
      <c r="B282" s="17"/>
      <c r="C282" s="17"/>
      <c r="D282" s="17"/>
      <c r="E282" s="17"/>
      <c r="F282" s="17"/>
      <c r="G282" s="17"/>
      <c r="H282" s="17"/>
      <c r="I282" s="17"/>
      <c r="J282" s="18" t="str">
        <f aca="false">IF($A282="","",$B282+$C282+$D282-$E282+$F282-$G282)</f>
        <v/>
      </c>
      <c r="K282" s="18" t="str">
        <f aca="false">IF($A282="","",MAX(0,$B282-$J282))</f>
        <v/>
      </c>
      <c r="L282" s="19" t="str">
        <f aca="false">IF($A282="","",IF($B282=0,0,$K282/$B282))</f>
        <v/>
      </c>
      <c r="M282" s="20" t="str">
        <f aca="false">IF($A282="","",IF($J282&lt;0,"BORCA BATIK",IF($I282&lt;$H282,"BORCA BATIK",IF($L282&gt;=TtkUcteIkiEsik,"2/3 KAYIP (KRİTİK)",IF($L282&gt;=TtkUcteBirEsik,"1/3 KAYIP (DİKKAT)","UYGUN")))))</f>
        <v/>
      </c>
    </row>
    <row r="283" customFormat="false" ht="15" hidden="false" customHeight="false" outlineLevel="0" collapsed="false">
      <c r="A283" s="21"/>
      <c r="B283" s="17"/>
      <c r="C283" s="17"/>
      <c r="D283" s="17"/>
      <c r="E283" s="17"/>
      <c r="F283" s="17"/>
      <c r="G283" s="17"/>
      <c r="H283" s="17"/>
      <c r="I283" s="17"/>
      <c r="J283" s="18" t="str">
        <f aca="false">IF($A283="","",$B283+$C283+$D283-$E283+$F283-$G283)</f>
        <v/>
      </c>
      <c r="K283" s="18" t="str">
        <f aca="false">IF($A283="","",MAX(0,$B283-$J283))</f>
        <v/>
      </c>
      <c r="L283" s="19" t="str">
        <f aca="false">IF($A283="","",IF($B283=0,0,$K283/$B283))</f>
        <v/>
      </c>
      <c r="M283" s="20" t="str">
        <f aca="false">IF($A283="","",IF($J283&lt;0,"BORCA BATIK",IF($I283&lt;$H283,"BORCA BATIK",IF($L283&gt;=TtkUcteIkiEsik,"2/3 KAYIP (KRİTİK)",IF($L283&gt;=TtkUcteBirEsik,"1/3 KAYIP (DİKKAT)","UYGUN")))))</f>
        <v/>
      </c>
    </row>
    <row r="284" customFormat="false" ht="15" hidden="false" customHeight="false" outlineLevel="0" collapsed="false">
      <c r="A284" s="21"/>
      <c r="B284" s="17"/>
      <c r="C284" s="17"/>
      <c r="D284" s="17"/>
      <c r="E284" s="17"/>
      <c r="F284" s="17"/>
      <c r="G284" s="17"/>
      <c r="H284" s="17"/>
      <c r="I284" s="17"/>
      <c r="J284" s="18" t="str">
        <f aca="false">IF($A284="","",$B284+$C284+$D284-$E284+$F284-$G284)</f>
        <v/>
      </c>
      <c r="K284" s="18" t="str">
        <f aca="false">IF($A284="","",MAX(0,$B284-$J284))</f>
        <v/>
      </c>
      <c r="L284" s="19" t="str">
        <f aca="false">IF($A284="","",IF($B284=0,0,$K284/$B284))</f>
        <v/>
      </c>
      <c r="M284" s="20" t="str">
        <f aca="false">IF($A284="","",IF($J284&lt;0,"BORCA BATIK",IF($I284&lt;$H284,"BORCA BATIK",IF($L284&gt;=TtkUcteIkiEsik,"2/3 KAYIP (KRİTİK)",IF($L284&gt;=TtkUcteBirEsik,"1/3 KAYIP (DİKKAT)","UYGUN")))))</f>
        <v/>
      </c>
    </row>
    <row r="285" customFormat="false" ht="15" hidden="false" customHeight="false" outlineLevel="0" collapsed="false">
      <c r="A285" s="21"/>
      <c r="B285" s="17"/>
      <c r="C285" s="17"/>
      <c r="D285" s="17"/>
      <c r="E285" s="17"/>
      <c r="F285" s="17"/>
      <c r="G285" s="17"/>
      <c r="H285" s="17"/>
      <c r="I285" s="17"/>
      <c r="J285" s="18" t="str">
        <f aca="false">IF($A285="","",$B285+$C285+$D285-$E285+$F285-$G285)</f>
        <v/>
      </c>
      <c r="K285" s="18" t="str">
        <f aca="false">IF($A285="","",MAX(0,$B285-$J285))</f>
        <v/>
      </c>
      <c r="L285" s="19" t="str">
        <f aca="false">IF($A285="","",IF($B285=0,0,$K285/$B285))</f>
        <v/>
      </c>
      <c r="M285" s="20" t="str">
        <f aca="false">IF($A285="","",IF($J285&lt;0,"BORCA BATIK",IF($I285&lt;$H285,"BORCA BATIK",IF($L285&gt;=TtkUcteIkiEsik,"2/3 KAYIP (KRİTİK)",IF($L285&gt;=TtkUcteBirEsik,"1/3 KAYIP (DİKKAT)","UYGUN")))))</f>
        <v/>
      </c>
    </row>
    <row r="286" customFormat="false" ht="15" hidden="false" customHeight="false" outlineLevel="0" collapsed="false">
      <c r="A286" s="21"/>
      <c r="B286" s="17"/>
      <c r="C286" s="17"/>
      <c r="D286" s="17"/>
      <c r="E286" s="17"/>
      <c r="F286" s="17"/>
      <c r="G286" s="17"/>
      <c r="H286" s="17"/>
      <c r="I286" s="17"/>
      <c r="J286" s="18" t="str">
        <f aca="false">IF($A286="","",$B286+$C286+$D286-$E286+$F286-$G286)</f>
        <v/>
      </c>
      <c r="K286" s="18" t="str">
        <f aca="false">IF($A286="","",MAX(0,$B286-$J286))</f>
        <v/>
      </c>
      <c r="L286" s="19" t="str">
        <f aca="false">IF($A286="","",IF($B286=0,0,$K286/$B286))</f>
        <v/>
      </c>
      <c r="M286" s="20" t="str">
        <f aca="false">IF($A286="","",IF($J286&lt;0,"BORCA BATIK",IF($I286&lt;$H286,"BORCA BATIK",IF($L286&gt;=TtkUcteIkiEsik,"2/3 KAYIP (KRİTİK)",IF($L286&gt;=TtkUcteBirEsik,"1/3 KAYIP (DİKKAT)","UYGUN")))))</f>
        <v/>
      </c>
    </row>
    <row r="287" customFormat="false" ht="15" hidden="false" customHeight="false" outlineLevel="0" collapsed="false">
      <c r="A287" s="21"/>
      <c r="B287" s="17"/>
      <c r="C287" s="17"/>
      <c r="D287" s="17"/>
      <c r="E287" s="17"/>
      <c r="F287" s="17"/>
      <c r="G287" s="17"/>
      <c r="H287" s="17"/>
      <c r="I287" s="17"/>
      <c r="J287" s="18" t="str">
        <f aca="false">IF($A287="","",$B287+$C287+$D287-$E287+$F287-$G287)</f>
        <v/>
      </c>
      <c r="K287" s="18" t="str">
        <f aca="false">IF($A287="","",MAX(0,$B287-$J287))</f>
        <v/>
      </c>
      <c r="L287" s="19" t="str">
        <f aca="false">IF($A287="","",IF($B287=0,0,$K287/$B287))</f>
        <v/>
      </c>
      <c r="M287" s="20" t="str">
        <f aca="false">IF($A287="","",IF($J287&lt;0,"BORCA BATIK",IF($I287&lt;$H287,"BORCA BATIK",IF($L287&gt;=TtkUcteIkiEsik,"2/3 KAYIP (KRİTİK)",IF($L287&gt;=TtkUcteBirEsik,"1/3 KAYIP (DİKKAT)","UYGUN")))))</f>
        <v/>
      </c>
    </row>
    <row r="288" customFormat="false" ht="15" hidden="false" customHeight="false" outlineLevel="0" collapsed="false">
      <c r="A288" s="21"/>
      <c r="B288" s="17"/>
      <c r="C288" s="17"/>
      <c r="D288" s="17"/>
      <c r="E288" s="17"/>
      <c r="F288" s="17"/>
      <c r="G288" s="17"/>
      <c r="H288" s="17"/>
      <c r="I288" s="17"/>
      <c r="J288" s="18" t="str">
        <f aca="false">IF($A288="","",$B288+$C288+$D288-$E288+$F288-$G288)</f>
        <v/>
      </c>
      <c r="K288" s="18" t="str">
        <f aca="false">IF($A288="","",MAX(0,$B288-$J288))</f>
        <v/>
      </c>
      <c r="L288" s="19" t="str">
        <f aca="false">IF($A288="","",IF($B288=0,0,$K288/$B288))</f>
        <v/>
      </c>
      <c r="M288" s="20" t="str">
        <f aca="false">IF($A288="","",IF($J288&lt;0,"BORCA BATIK",IF($I288&lt;$H288,"BORCA BATIK",IF($L288&gt;=TtkUcteIkiEsik,"2/3 KAYIP (KRİTİK)",IF($L288&gt;=TtkUcteBirEsik,"1/3 KAYIP (DİKKAT)","UYGUN")))))</f>
        <v/>
      </c>
    </row>
    <row r="289" customFormat="false" ht="15" hidden="false" customHeight="false" outlineLevel="0" collapsed="false">
      <c r="A289" s="21"/>
      <c r="B289" s="17"/>
      <c r="C289" s="17"/>
      <c r="D289" s="17"/>
      <c r="E289" s="17"/>
      <c r="F289" s="17"/>
      <c r="G289" s="17"/>
      <c r="H289" s="17"/>
      <c r="I289" s="17"/>
      <c r="J289" s="18" t="str">
        <f aca="false">IF($A289="","",$B289+$C289+$D289-$E289+$F289-$G289)</f>
        <v/>
      </c>
      <c r="K289" s="18" t="str">
        <f aca="false">IF($A289="","",MAX(0,$B289-$J289))</f>
        <v/>
      </c>
      <c r="L289" s="19" t="str">
        <f aca="false">IF($A289="","",IF($B289=0,0,$K289/$B289))</f>
        <v/>
      </c>
      <c r="M289" s="20" t="str">
        <f aca="false">IF($A289="","",IF($J289&lt;0,"BORCA BATIK",IF($I289&lt;$H289,"BORCA BATIK",IF($L289&gt;=TtkUcteIkiEsik,"2/3 KAYIP (KRİTİK)",IF($L289&gt;=TtkUcteBirEsik,"1/3 KAYIP (DİKKAT)","UYGUN")))))</f>
        <v/>
      </c>
    </row>
    <row r="290" customFormat="false" ht="15" hidden="false" customHeight="false" outlineLevel="0" collapsed="false">
      <c r="A290" s="21"/>
      <c r="B290" s="17"/>
      <c r="C290" s="17"/>
      <c r="D290" s="17"/>
      <c r="E290" s="17"/>
      <c r="F290" s="17"/>
      <c r="G290" s="17"/>
      <c r="H290" s="17"/>
      <c r="I290" s="17"/>
      <c r="J290" s="18" t="str">
        <f aca="false">IF($A290="","",$B290+$C290+$D290-$E290+$F290-$G290)</f>
        <v/>
      </c>
      <c r="K290" s="18" t="str">
        <f aca="false">IF($A290="","",MAX(0,$B290-$J290))</f>
        <v/>
      </c>
      <c r="L290" s="19" t="str">
        <f aca="false">IF($A290="","",IF($B290=0,0,$K290/$B290))</f>
        <v/>
      </c>
      <c r="M290" s="20" t="str">
        <f aca="false">IF($A290="","",IF($J290&lt;0,"BORCA BATIK",IF($I290&lt;$H290,"BORCA BATIK",IF($L290&gt;=TtkUcteIkiEsik,"2/3 KAYIP (KRİTİK)",IF($L290&gt;=TtkUcteBirEsik,"1/3 KAYIP (DİKKAT)","UYGUN")))))</f>
        <v/>
      </c>
    </row>
    <row r="291" customFormat="false" ht="15" hidden="false" customHeight="false" outlineLevel="0" collapsed="false">
      <c r="A291" s="21"/>
      <c r="B291" s="17"/>
      <c r="C291" s="17"/>
      <c r="D291" s="17"/>
      <c r="E291" s="17"/>
      <c r="F291" s="17"/>
      <c r="G291" s="17"/>
      <c r="H291" s="17"/>
      <c r="I291" s="17"/>
      <c r="J291" s="18" t="str">
        <f aca="false">IF($A291="","",$B291+$C291+$D291-$E291+$F291-$G291)</f>
        <v/>
      </c>
      <c r="K291" s="18" t="str">
        <f aca="false">IF($A291="","",MAX(0,$B291-$J291))</f>
        <v/>
      </c>
      <c r="L291" s="19" t="str">
        <f aca="false">IF($A291="","",IF($B291=0,0,$K291/$B291))</f>
        <v/>
      </c>
      <c r="M291" s="20" t="str">
        <f aca="false">IF($A291="","",IF($J291&lt;0,"BORCA BATIK",IF($I291&lt;$H291,"BORCA BATIK",IF($L291&gt;=TtkUcteIkiEsik,"2/3 KAYIP (KRİTİK)",IF($L291&gt;=TtkUcteBirEsik,"1/3 KAYIP (DİKKAT)","UYGUN")))))</f>
        <v/>
      </c>
    </row>
    <row r="292" customFormat="false" ht="15" hidden="false" customHeight="false" outlineLevel="0" collapsed="false">
      <c r="A292" s="21"/>
      <c r="B292" s="17"/>
      <c r="C292" s="17"/>
      <c r="D292" s="17"/>
      <c r="E292" s="17"/>
      <c r="F292" s="17"/>
      <c r="G292" s="17"/>
      <c r="H292" s="17"/>
      <c r="I292" s="17"/>
      <c r="J292" s="18" t="str">
        <f aca="false">IF($A292="","",$B292+$C292+$D292-$E292+$F292-$G292)</f>
        <v/>
      </c>
      <c r="K292" s="18" t="str">
        <f aca="false">IF($A292="","",MAX(0,$B292-$J292))</f>
        <v/>
      </c>
      <c r="L292" s="19" t="str">
        <f aca="false">IF($A292="","",IF($B292=0,0,$K292/$B292))</f>
        <v/>
      </c>
      <c r="M292" s="20" t="str">
        <f aca="false">IF($A292="","",IF($J292&lt;0,"BORCA BATIK",IF($I292&lt;$H292,"BORCA BATIK",IF($L292&gt;=TtkUcteIkiEsik,"2/3 KAYIP (KRİTİK)",IF($L292&gt;=TtkUcteBirEsik,"1/3 KAYIP (DİKKAT)","UYGUN")))))</f>
        <v/>
      </c>
    </row>
    <row r="293" customFormat="false" ht="15" hidden="false" customHeight="false" outlineLevel="0" collapsed="false">
      <c r="A293" s="21"/>
      <c r="B293" s="17"/>
      <c r="C293" s="17"/>
      <c r="D293" s="17"/>
      <c r="E293" s="17"/>
      <c r="F293" s="17"/>
      <c r="G293" s="17"/>
      <c r="H293" s="17"/>
      <c r="I293" s="17"/>
      <c r="J293" s="18" t="str">
        <f aca="false">IF($A293="","",$B293+$C293+$D293-$E293+$F293-$G293)</f>
        <v/>
      </c>
      <c r="K293" s="18" t="str">
        <f aca="false">IF($A293="","",MAX(0,$B293-$J293))</f>
        <v/>
      </c>
      <c r="L293" s="19" t="str">
        <f aca="false">IF($A293="","",IF($B293=0,0,$K293/$B293))</f>
        <v/>
      </c>
      <c r="M293" s="20" t="str">
        <f aca="false">IF($A293="","",IF($J293&lt;0,"BORCA BATIK",IF($I293&lt;$H293,"BORCA BATIK",IF($L293&gt;=TtkUcteIkiEsik,"2/3 KAYIP (KRİTİK)",IF($L293&gt;=TtkUcteBirEsik,"1/3 KAYIP (DİKKAT)","UYGUN")))))</f>
        <v/>
      </c>
    </row>
    <row r="294" customFormat="false" ht="15" hidden="false" customHeight="false" outlineLevel="0" collapsed="false">
      <c r="A294" s="21"/>
      <c r="B294" s="17"/>
      <c r="C294" s="17"/>
      <c r="D294" s="17"/>
      <c r="E294" s="17"/>
      <c r="F294" s="17"/>
      <c r="G294" s="17"/>
      <c r="H294" s="17"/>
      <c r="I294" s="17"/>
      <c r="J294" s="18" t="str">
        <f aca="false">IF($A294="","",$B294+$C294+$D294-$E294+$F294-$G294)</f>
        <v/>
      </c>
      <c r="K294" s="18" t="str">
        <f aca="false">IF($A294="","",MAX(0,$B294-$J294))</f>
        <v/>
      </c>
      <c r="L294" s="19" t="str">
        <f aca="false">IF($A294="","",IF($B294=0,0,$K294/$B294))</f>
        <v/>
      </c>
      <c r="M294" s="20" t="str">
        <f aca="false">IF($A294="","",IF($J294&lt;0,"BORCA BATIK",IF($I294&lt;$H294,"BORCA BATIK",IF($L294&gt;=TtkUcteIkiEsik,"2/3 KAYIP (KRİTİK)",IF($L294&gt;=TtkUcteBirEsik,"1/3 KAYIP (DİKKAT)","UYGUN")))))</f>
        <v/>
      </c>
    </row>
    <row r="295" customFormat="false" ht="15" hidden="false" customHeight="false" outlineLevel="0" collapsed="false">
      <c r="A295" s="21"/>
      <c r="B295" s="17"/>
      <c r="C295" s="17"/>
      <c r="D295" s="17"/>
      <c r="E295" s="17"/>
      <c r="F295" s="17"/>
      <c r="G295" s="17"/>
      <c r="H295" s="17"/>
      <c r="I295" s="17"/>
      <c r="J295" s="18" t="str">
        <f aca="false">IF($A295="","",$B295+$C295+$D295-$E295+$F295-$G295)</f>
        <v/>
      </c>
      <c r="K295" s="18" t="str">
        <f aca="false">IF($A295="","",MAX(0,$B295-$J295))</f>
        <v/>
      </c>
      <c r="L295" s="19" t="str">
        <f aca="false">IF($A295="","",IF($B295=0,0,$K295/$B295))</f>
        <v/>
      </c>
      <c r="M295" s="20" t="str">
        <f aca="false">IF($A295="","",IF($J295&lt;0,"BORCA BATIK",IF($I295&lt;$H295,"BORCA BATIK",IF($L295&gt;=TtkUcteIkiEsik,"2/3 KAYIP (KRİTİK)",IF($L295&gt;=TtkUcteBirEsik,"1/3 KAYIP (DİKKAT)","UYGUN")))))</f>
        <v/>
      </c>
    </row>
    <row r="296" customFormat="false" ht="15" hidden="false" customHeight="false" outlineLevel="0" collapsed="false">
      <c r="A296" s="21"/>
      <c r="B296" s="17"/>
      <c r="C296" s="17"/>
      <c r="D296" s="17"/>
      <c r="E296" s="17"/>
      <c r="F296" s="17"/>
      <c r="G296" s="17"/>
      <c r="H296" s="17"/>
      <c r="I296" s="17"/>
      <c r="J296" s="18" t="str">
        <f aca="false">IF($A296="","",$B296+$C296+$D296-$E296+$F296-$G296)</f>
        <v/>
      </c>
      <c r="K296" s="18" t="str">
        <f aca="false">IF($A296="","",MAX(0,$B296-$J296))</f>
        <v/>
      </c>
      <c r="L296" s="19" t="str">
        <f aca="false">IF($A296="","",IF($B296=0,0,$K296/$B296))</f>
        <v/>
      </c>
      <c r="M296" s="20" t="str">
        <f aca="false">IF($A296="","",IF($J296&lt;0,"BORCA BATIK",IF($I296&lt;$H296,"BORCA BATIK",IF($L296&gt;=TtkUcteIkiEsik,"2/3 KAYIP (KRİTİK)",IF($L296&gt;=TtkUcteBirEsik,"1/3 KAYIP (DİKKAT)","UYGUN")))))</f>
        <v/>
      </c>
    </row>
    <row r="297" customFormat="false" ht="15" hidden="false" customHeight="false" outlineLevel="0" collapsed="false">
      <c r="A297" s="21"/>
      <c r="B297" s="17"/>
      <c r="C297" s="17"/>
      <c r="D297" s="17"/>
      <c r="E297" s="17"/>
      <c r="F297" s="17"/>
      <c r="G297" s="17"/>
      <c r="H297" s="17"/>
      <c r="I297" s="17"/>
      <c r="J297" s="18" t="str">
        <f aca="false">IF($A297="","",$B297+$C297+$D297-$E297+$F297-$G297)</f>
        <v/>
      </c>
      <c r="K297" s="18" t="str">
        <f aca="false">IF($A297="","",MAX(0,$B297-$J297))</f>
        <v/>
      </c>
      <c r="L297" s="19" t="str">
        <f aca="false">IF($A297="","",IF($B297=0,0,$K297/$B297))</f>
        <v/>
      </c>
      <c r="M297" s="20" t="str">
        <f aca="false">IF($A297="","",IF($J297&lt;0,"BORCA BATIK",IF($I297&lt;$H297,"BORCA BATIK",IF($L297&gt;=TtkUcteIkiEsik,"2/3 KAYIP (KRİTİK)",IF($L297&gt;=TtkUcteBirEsik,"1/3 KAYIP (DİKKAT)","UYGUN")))))</f>
        <v/>
      </c>
    </row>
    <row r="298" customFormat="false" ht="15" hidden="false" customHeight="false" outlineLevel="0" collapsed="false">
      <c r="A298" s="21"/>
      <c r="B298" s="17"/>
      <c r="C298" s="17"/>
      <c r="D298" s="17"/>
      <c r="E298" s="17"/>
      <c r="F298" s="17"/>
      <c r="G298" s="17"/>
      <c r="H298" s="17"/>
      <c r="I298" s="17"/>
      <c r="J298" s="18" t="str">
        <f aca="false">IF($A298="","",$B298+$C298+$D298-$E298+$F298-$G298)</f>
        <v/>
      </c>
      <c r="K298" s="18" t="str">
        <f aca="false">IF($A298="","",MAX(0,$B298-$J298))</f>
        <v/>
      </c>
      <c r="L298" s="19" t="str">
        <f aca="false">IF($A298="","",IF($B298=0,0,$K298/$B298))</f>
        <v/>
      </c>
      <c r="M298" s="20" t="str">
        <f aca="false">IF($A298="","",IF($J298&lt;0,"BORCA BATIK",IF($I298&lt;$H298,"BORCA BATIK",IF($L298&gt;=TtkUcteIkiEsik,"2/3 KAYIP (KRİTİK)",IF($L298&gt;=TtkUcteBirEsik,"1/3 KAYIP (DİKKAT)","UYGUN")))))</f>
        <v/>
      </c>
    </row>
    <row r="299" customFormat="false" ht="15" hidden="false" customHeight="false" outlineLevel="0" collapsed="false">
      <c r="A299" s="21"/>
      <c r="B299" s="17"/>
      <c r="C299" s="17"/>
      <c r="D299" s="17"/>
      <c r="E299" s="17"/>
      <c r="F299" s="17"/>
      <c r="G299" s="17"/>
      <c r="H299" s="17"/>
      <c r="I299" s="17"/>
      <c r="J299" s="18" t="str">
        <f aca="false">IF($A299="","",$B299+$C299+$D299-$E299+$F299-$G299)</f>
        <v/>
      </c>
      <c r="K299" s="18" t="str">
        <f aca="false">IF($A299="","",MAX(0,$B299-$J299))</f>
        <v/>
      </c>
      <c r="L299" s="19" t="str">
        <f aca="false">IF($A299="","",IF($B299=0,0,$K299/$B299))</f>
        <v/>
      </c>
      <c r="M299" s="20" t="str">
        <f aca="false">IF($A299="","",IF($J299&lt;0,"BORCA BATIK",IF($I299&lt;$H299,"BORCA BATIK",IF($L299&gt;=TtkUcteIkiEsik,"2/3 KAYIP (KRİTİK)",IF($L299&gt;=TtkUcteBirEsik,"1/3 KAYIP (DİKKAT)","UYGUN")))))</f>
        <v/>
      </c>
    </row>
    <row r="300" customFormat="false" ht="15" hidden="false" customHeight="false" outlineLevel="0" collapsed="false">
      <c r="A300" s="21"/>
      <c r="B300" s="17"/>
      <c r="C300" s="17"/>
      <c r="D300" s="17"/>
      <c r="E300" s="17"/>
      <c r="F300" s="17"/>
      <c r="G300" s="17"/>
      <c r="H300" s="17"/>
      <c r="I300" s="17"/>
      <c r="J300" s="18" t="str">
        <f aca="false">IF($A300="","",$B300+$C300+$D300-$E300+$F300-$G300)</f>
        <v/>
      </c>
      <c r="K300" s="18" t="str">
        <f aca="false">IF($A300="","",MAX(0,$B300-$J300))</f>
        <v/>
      </c>
      <c r="L300" s="19" t="str">
        <f aca="false">IF($A300="","",IF($B300=0,0,$K300/$B300))</f>
        <v/>
      </c>
      <c r="M300" s="20" t="str">
        <f aca="false">IF($A300="","",IF($J300&lt;0,"BORCA BATIK",IF($I300&lt;$H300,"BORCA BATIK",IF($L300&gt;=TtkUcteIkiEsik,"2/3 KAYIP (KRİTİK)",IF($L300&gt;=TtkUcteBirEsik,"1/3 KAYIP (DİKKAT)","UYGUN")))))</f>
        <v/>
      </c>
    </row>
    <row r="301" customFormat="false" ht="15" hidden="false" customHeight="false" outlineLevel="0" collapsed="false">
      <c r="A301" s="21"/>
      <c r="B301" s="17"/>
      <c r="C301" s="17"/>
      <c r="D301" s="17"/>
      <c r="E301" s="17"/>
      <c r="F301" s="17"/>
      <c r="G301" s="17"/>
      <c r="H301" s="17"/>
      <c r="I301" s="17"/>
      <c r="J301" s="18" t="str">
        <f aca="false">IF($A301="","",$B301+$C301+$D301-$E301+$F301-$G301)</f>
        <v/>
      </c>
      <c r="K301" s="18" t="str">
        <f aca="false">IF($A301="","",MAX(0,$B301-$J301))</f>
        <v/>
      </c>
      <c r="L301" s="19" t="str">
        <f aca="false">IF($A301="","",IF($B301=0,0,$K301/$B301))</f>
        <v/>
      </c>
      <c r="M301" s="20" t="str">
        <f aca="false">IF($A301="","",IF($J301&lt;0,"BORCA BATIK",IF($I301&lt;$H301,"BORCA BATIK",IF($L301&gt;=TtkUcteIkiEsik,"2/3 KAYIP (KRİTİK)",IF($L301&gt;=TtkUcteBirEsik,"1/3 KAYIP (DİKKAT)","UYGUN")))))</f>
        <v/>
      </c>
    </row>
    <row r="302" customFormat="false" ht="15" hidden="false" customHeight="false" outlineLevel="0" collapsed="false">
      <c r="A302" s="21"/>
      <c r="B302" s="17"/>
      <c r="C302" s="17"/>
      <c r="D302" s="17"/>
      <c r="E302" s="17"/>
      <c r="F302" s="17"/>
      <c r="G302" s="17"/>
      <c r="H302" s="17"/>
      <c r="I302" s="17"/>
      <c r="J302" s="18" t="str">
        <f aca="false">IF($A302="","",$B302+$C302+$D302-$E302+$F302-$G302)</f>
        <v/>
      </c>
      <c r="K302" s="18" t="str">
        <f aca="false">IF($A302="","",MAX(0,$B302-$J302))</f>
        <v/>
      </c>
      <c r="L302" s="19" t="str">
        <f aca="false">IF($A302="","",IF($B302=0,0,$K302/$B302))</f>
        <v/>
      </c>
      <c r="M302" s="20" t="str">
        <f aca="false">IF($A302="","",IF($J302&lt;0,"BORCA BATIK",IF($I302&lt;$H302,"BORCA BATIK",IF($L302&gt;=TtkUcteIkiEsik,"2/3 KAYIP (KRİTİK)",IF($L302&gt;=TtkUcteBirEsik,"1/3 KAYIP (DİKKAT)","UYGUN")))))</f>
        <v/>
      </c>
    </row>
    <row r="303" customFormat="false" ht="15" hidden="false" customHeight="false" outlineLevel="0" collapsed="false">
      <c r="A303" s="21"/>
      <c r="B303" s="17"/>
      <c r="C303" s="17"/>
      <c r="D303" s="17"/>
      <c r="E303" s="17"/>
      <c r="F303" s="17"/>
      <c r="G303" s="17"/>
      <c r="H303" s="17"/>
      <c r="I303" s="17"/>
      <c r="J303" s="18" t="str">
        <f aca="false">IF($A303="","",$B303+$C303+$D303-$E303+$F303-$G303)</f>
        <v/>
      </c>
      <c r="K303" s="18" t="str">
        <f aca="false">IF($A303="","",MAX(0,$B303-$J303))</f>
        <v/>
      </c>
      <c r="L303" s="19" t="str">
        <f aca="false">IF($A303="","",IF($B303=0,0,$K303/$B303))</f>
        <v/>
      </c>
      <c r="M303" s="20" t="str">
        <f aca="false">IF($A303="","",IF($J303&lt;0,"BORCA BATIK",IF($I303&lt;$H303,"BORCA BATIK",IF($L303&gt;=TtkUcteIkiEsik,"2/3 KAYIP (KRİTİK)",IF($L303&gt;=TtkUcteBirEsik,"1/3 KAYIP (DİKKAT)","UYGUN")))))</f>
        <v/>
      </c>
    </row>
    <row r="304" customFormat="false" ht="15" hidden="false" customHeight="false" outlineLevel="0" collapsed="false">
      <c r="A304" s="21"/>
      <c r="B304" s="17"/>
      <c r="C304" s="17"/>
      <c r="D304" s="17"/>
      <c r="E304" s="17"/>
      <c r="F304" s="17"/>
      <c r="G304" s="17"/>
      <c r="H304" s="17"/>
      <c r="I304" s="17"/>
      <c r="J304" s="18" t="str">
        <f aca="false">IF($A304="","",$B304+$C304+$D304-$E304+$F304-$G304)</f>
        <v/>
      </c>
      <c r="K304" s="18" t="str">
        <f aca="false">IF($A304="","",MAX(0,$B304-$J304))</f>
        <v/>
      </c>
      <c r="L304" s="19" t="str">
        <f aca="false">IF($A304="","",IF($B304=0,0,$K304/$B304))</f>
        <v/>
      </c>
      <c r="M304" s="20" t="str">
        <f aca="false">IF($A304="","",IF($J304&lt;0,"BORCA BATIK",IF($I304&lt;$H304,"BORCA BATIK",IF($L304&gt;=TtkUcteIkiEsik,"2/3 KAYIP (KRİTİK)",IF($L304&gt;=TtkUcteBirEsik,"1/3 KAYIP (DİKKAT)","UYGUN")))))</f>
        <v/>
      </c>
    </row>
    <row r="305" customFormat="false" ht="15" hidden="false" customHeight="false" outlineLevel="0" collapsed="false">
      <c r="A305" s="21"/>
      <c r="B305" s="17"/>
      <c r="C305" s="17"/>
      <c r="D305" s="17"/>
      <c r="E305" s="17"/>
      <c r="F305" s="17"/>
      <c r="G305" s="17"/>
      <c r="H305" s="17"/>
      <c r="I305" s="17"/>
      <c r="J305" s="18" t="str">
        <f aca="false">IF($A305="","",$B305+$C305+$D305-$E305+$F305-$G305)</f>
        <v/>
      </c>
      <c r="K305" s="18" t="str">
        <f aca="false">IF($A305="","",MAX(0,$B305-$J305))</f>
        <v/>
      </c>
      <c r="L305" s="19" t="str">
        <f aca="false">IF($A305="","",IF($B305=0,0,$K305/$B305))</f>
        <v/>
      </c>
      <c r="M305" s="20" t="str">
        <f aca="false">IF($A305="","",IF($J305&lt;0,"BORCA BATIK",IF($I305&lt;$H305,"BORCA BATIK",IF($L305&gt;=TtkUcteIkiEsik,"2/3 KAYIP (KRİTİK)",IF($L305&gt;=TtkUcteBirEsik,"1/3 KAYIP (DİKKAT)","UYGUN")))))</f>
        <v/>
      </c>
    </row>
    <row r="306" customFormat="false" ht="15" hidden="false" customHeight="false" outlineLevel="0" collapsed="false">
      <c r="A306" s="21"/>
      <c r="B306" s="17"/>
      <c r="C306" s="17"/>
      <c r="D306" s="17"/>
      <c r="E306" s="17"/>
      <c r="F306" s="17"/>
      <c r="G306" s="17"/>
      <c r="H306" s="17"/>
      <c r="I306" s="17"/>
      <c r="J306" s="18" t="str">
        <f aca="false">IF($A306="","",$B306+$C306+$D306-$E306+$F306-$G306)</f>
        <v/>
      </c>
      <c r="K306" s="18" t="str">
        <f aca="false">IF($A306="","",MAX(0,$B306-$J306))</f>
        <v/>
      </c>
      <c r="L306" s="19" t="str">
        <f aca="false">IF($A306="","",IF($B306=0,0,$K306/$B306))</f>
        <v/>
      </c>
      <c r="M306" s="20" t="str">
        <f aca="false">IF($A306="","",IF($J306&lt;0,"BORCA BATIK",IF($I306&lt;$H306,"BORCA BATIK",IF($L306&gt;=TtkUcteIkiEsik,"2/3 KAYIP (KRİTİK)",IF($L306&gt;=TtkUcteBirEsik,"1/3 KAYIP (DİKKAT)","UYGUN")))))</f>
        <v/>
      </c>
    </row>
    <row r="307" customFormat="false" ht="15" hidden="false" customHeight="false" outlineLevel="0" collapsed="false">
      <c r="A307" s="21"/>
      <c r="B307" s="17"/>
      <c r="C307" s="17"/>
      <c r="D307" s="17"/>
      <c r="E307" s="17"/>
      <c r="F307" s="17"/>
      <c r="G307" s="17"/>
      <c r="H307" s="17"/>
      <c r="I307" s="17"/>
      <c r="J307" s="18" t="str">
        <f aca="false">IF($A307="","",$B307+$C307+$D307-$E307+$F307-$G307)</f>
        <v/>
      </c>
      <c r="K307" s="18" t="str">
        <f aca="false">IF($A307="","",MAX(0,$B307-$J307))</f>
        <v/>
      </c>
      <c r="L307" s="19" t="str">
        <f aca="false">IF($A307="","",IF($B307=0,0,$K307/$B307))</f>
        <v/>
      </c>
      <c r="M307" s="20" t="str">
        <f aca="false">IF($A307="","",IF($J307&lt;0,"BORCA BATIK",IF($I307&lt;$H307,"BORCA BATIK",IF($L307&gt;=TtkUcteIkiEsik,"2/3 KAYIP (KRİTİK)",IF($L307&gt;=TtkUcteBirEsik,"1/3 KAYIP (DİKKAT)","UYGUN")))))</f>
        <v/>
      </c>
    </row>
    <row r="308" customFormat="false" ht="15" hidden="false" customHeight="false" outlineLevel="0" collapsed="false">
      <c r="A308" s="21"/>
      <c r="B308" s="17"/>
      <c r="C308" s="17"/>
      <c r="D308" s="17"/>
      <c r="E308" s="17"/>
      <c r="F308" s="17"/>
      <c r="G308" s="17"/>
      <c r="H308" s="17"/>
      <c r="I308" s="17"/>
      <c r="J308" s="18" t="str">
        <f aca="false">IF($A308="","",$B308+$C308+$D308-$E308+$F308-$G308)</f>
        <v/>
      </c>
      <c r="K308" s="18" t="str">
        <f aca="false">IF($A308="","",MAX(0,$B308-$J308))</f>
        <v/>
      </c>
      <c r="L308" s="19" t="str">
        <f aca="false">IF($A308="","",IF($B308=0,0,$K308/$B308))</f>
        <v/>
      </c>
      <c r="M308" s="20" t="str">
        <f aca="false">IF($A308="","",IF($J308&lt;0,"BORCA BATIK",IF($I308&lt;$H308,"BORCA BATIK",IF($L308&gt;=TtkUcteIkiEsik,"2/3 KAYIP (KRİTİK)",IF($L308&gt;=TtkUcteBirEsik,"1/3 KAYIP (DİKKAT)","UYGUN")))))</f>
        <v/>
      </c>
    </row>
    <row r="309" customFormat="false" ht="15" hidden="false" customHeight="false" outlineLevel="0" collapsed="false">
      <c r="A309" s="21"/>
      <c r="B309" s="17"/>
      <c r="C309" s="17"/>
      <c r="D309" s="17"/>
      <c r="E309" s="17"/>
      <c r="F309" s="17"/>
      <c r="G309" s="17"/>
      <c r="H309" s="17"/>
      <c r="I309" s="17"/>
      <c r="J309" s="18" t="str">
        <f aca="false">IF($A309="","",$B309+$C309+$D309-$E309+$F309-$G309)</f>
        <v/>
      </c>
      <c r="K309" s="18" t="str">
        <f aca="false">IF($A309="","",MAX(0,$B309-$J309))</f>
        <v/>
      </c>
      <c r="L309" s="19" t="str">
        <f aca="false">IF($A309="","",IF($B309=0,0,$K309/$B309))</f>
        <v/>
      </c>
      <c r="M309" s="20" t="str">
        <f aca="false">IF($A309="","",IF($J309&lt;0,"BORCA BATIK",IF($I309&lt;$H309,"BORCA BATIK",IF($L309&gt;=TtkUcteIkiEsik,"2/3 KAYIP (KRİTİK)",IF($L309&gt;=TtkUcteBirEsik,"1/3 KAYIP (DİKKAT)","UYGUN")))))</f>
        <v/>
      </c>
    </row>
    <row r="310" customFormat="false" ht="15" hidden="false" customHeight="false" outlineLevel="0" collapsed="false">
      <c r="A310" s="21"/>
      <c r="B310" s="17"/>
      <c r="C310" s="17"/>
      <c r="D310" s="17"/>
      <c r="E310" s="17"/>
      <c r="F310" s="17"/>
      <c r="G310" s="17"/>
      <c r="H310" s="17"/>
      <c r="I310" s="17"/>
      <c r="J310" s="18" t="str">
        <f aca="false">IF($A310="","",$B310+$C310+$D310-$E310+$F310-$G310)</f>
        <v/>
      </c>
      <c r="K310" s="18" t="str">
        <f aca="false">IF($A310="","",MAX(0,$B310-$J310))</f>
        <v/>
      </c>
      <c r="L310" s="19" t="str">
        <f aca="false">IF($A310="","",IF($B310=0,0,$K310/$B310))</f>
        <v/>
      </c>
      <c r="M310" s="20" t="str">
        <f aca="false">IF($A310="","",IF($J310&lt;0,"BORCA BATIK",IF($I310&lt;$H310,"BORCA BATIK",IF($L310&gt;=TtkUcteIkiEsik,"2/3 KAYIP (KRİTİK)",IF($L310&gt;=TtkUcteBirEsik,"1/3 KAYIP (DİKKAT)","UYGUN")))))</f>
        <v/>
      </c>
    </row>
    <row r="311" customFormat="false" ht="15" hidden="false" customHeight="false" outlineLevel="0" collapsed="false">
      <c r="A311" s="21"/>
      <c r="B311" s="17"/>
      <c r="C311" s="17"/>
      <c r="D311" s="17"/>
      <c r="E311" s="17"/>
      <c r="F311" s="17"/>
      <c r="G311" s="17"/>
      <c r="H311" s="17"/>
      <c r="I311" s="17"/>
      <c r="J311" s="18" t="str">
        <f aca="false">IF($A311="","",$B311+$C311+$D311-$E311+$F311-$G311)</f>
        <v/>
      </c>
      <c r="K311" s="18" t="str">
        <f aca="false">IF($A311="","",MAX(0,$B311-$J311))</f>
        <v/>
      </c>
      <c r="L311" s="19" t="str">
        <f aca="false">IF($A311="","",IF($B311=0,0,$K311/$B311))</f>
        <v/>
      </c>
      <c r="M311" s="20" t="str">
        <f aca="false">IF($A311="","",IF($J311&lt;0,"BORCA BATIK",IF($I311&lt;$H311,"BORCA BATIK",IF($L311&gt;=TtkUcteIkiEsik,"2/3 KAYIP (KRİTİK)",IF($L311&gt;=TtkUcteBirEsik,"1/3 KAYIP (DİKKAT)","UYGUN")))))</f>
        <v/>
      </c>
    </row>
    <row r="312" customFormat="false" ht="15" hidden="false" customHeight="false" outlineLevel="0" collapsed="false">
      <c r="A312" s="21"/>
      <c r="B312" s="17"/>
      <c r="C312" s="17"/>
      <c r="D312" s="17"/>
      <c r="E312" s="17"/>
      <c r="F312" s="17"/>
      <c r="G312" s="17"/>
      <c r="H312" s="17"/>
      <c r="I312" s="17"/>
      <c r="J312" s="18" t="str">
        <f aca="false">IF($A312="","",$B312+$C312+$D312-$E312+$F312-$G312)</f>
        <v/>
      </c>
      <c r="K312" s="18" t="str">
        <f aca="false">IF($A312="","",MAX(0,$B312-$J312))</f>
        <v/>
      </c>
      <c r="L312" s="19" t="str">
        <f aca="false">IF($A312="","",IF($B312=0,0,$K312/$B312))</f>
        <v/>
      </c>
      <c r="M312" s="20" t="str">
        <f aca="false">IF($A312="","",IF($J312&lt;0,"BORCA BATIK",IF($I312&lt;$H312,"BORCA BATIK",IF($L312&gt;=TtkUcteIkiEsik,"2/3 KAYIP (KRİTİK)",IF($L312&gt;=TtkUcteBirEsik,"1/3 KAYIP (DİKKAT)","UYGUN")))))</f>
        <v/>
      </c>
    </row>
    <row r="313" customFormat="false" ht="15" hidden="false" customHeight="false" outlineLevel="0" collapsed="false">
      <c r="A313" s="21"/>
      <c r="B313" s="17"/>
      <c r="C313" s="17"/>
      <c r="D313" s="17"/>
      <c r="E313" s="17"/>
      <c r="F313" s="17"/>
      <c r="G313" s="17"/>
      <c r="H313" s="17"/>
      <c r="I313" s="17"/>
      <c r="J313" s="18" t="str">
        <f aca="false">IF($A313="","",$B313+$C313+$D313-$E313+$F313-$G313)</f>
        <v/>
      </c>
      <c r="K313" s="18" t="str">
        <f aca="false">IF($A313="","",MAX(0,$B313-$J313))</f>
        <v/>
      </c>
      <c r="L313" s="19" t="str">
        <f aca="false">IF($A313="","",IF($B313=0,0,$K313/$B313))</f>
        <v/>
      </c>
      <c r="M313" s="20" t="str">
        <f aca="false">IF($A313="","",IF($J313&lt;0,"BORCA BATIK",IF($I313&lt;$H313,"BORCA BATIK",IF($L313&gt;=TtkUcteIkiEsik,"2/3 KAYIP (KRİTİK)",IF($L313&gt;=TtkUcteBirEsik,"1/3 KAYIP (DİKKAT)","UYGUN")))))</f>
        <v/>
      </c>
    </row>
    <row r="314" customFormat="false" ht="15" hidden="false" customHeight="false" outlineLevel="0" collapsed="false">
      <c r="A314" s="21"/>
      <c r="B314" s="17"/>
      <c r="C314" s="17"/>
      <c r="D314" s="17"/>
      <c r="E314" s="17"/>
      <c r="F314" s="17"/>
      <c r="G314" s="17"/>
      <c r="H314" s="17"/>
      <c r="I314" s="17"/>
      <c r="J314" s="18" t="str">
        <f aca="false">IF($A314="","",$B314+$C314+$D314-$E314+$F314-$G314)</f>
        <v/>
      </c>
      <c r="K314" s="18" t="str">
        <f aca="false">IF($A314="","",MAX(0,$B314-$J314))</f>
        <v/>
      </c>
      <c r="L314" s="19" t="str">
        <f aca="false">IF($A314="","",IF($B314=0,0,$K314/$B314))</f>
        <v/>
      </c>
      <c r="M314" s="20" t="str">
        <f aca="false">IF($A314="","",IF($J314&lt;0,"BORCA BATIK",IF($I314&lt;$H314,"BORCA BATIK",IF($L314&gt;=TtkUcteIkiEsik,"2/3 KAYIP (KRİTİK)",IF($L314&gt;=TtkUcteBirEsik,"1/3 KAYIP (DİKKAT)","UYGUN")))))</f>
        <v/>
      </c>
    </row>
    <row r="315" customFormat="false" ht="15" hidden="false" customHeight="false" outlineLevel="0" collapsed="false">
      <c r="A315" s="21"/>
      <c r="B315" s="17"/>
      <c r="C315" s="17"/>
      <c r="D315" s="17"/>
      <c r="E315" s="17"/>
      <c r="F315" s="17"/>
      <c r="G315" s="17"/>
      <c r="H315" s="17"/>
      <c r="I315" s="17"/>
      <c r="J315" s="18" t="str">
        <f aca="false">IF($A315="","",$B315+$C315+$D315-$E315+$F315-$G315)</f>
        <v/>
      </c>
      <c r="K315" s="18" t="str">
        <f aca="false">IF($A315="","",MAX(0,$B315-$J315))</f>
        <v/>
      </c>
      <c r="L315" s="19" t="str">
        <f aca="false">IF($A315="","",IF($B315=0,0,$K315/$B315))</f>
        <v/>
      </c>
      <c r="M315" s="20" t="str">
        <f aca="false">IF($A315="","",IF($J315&lt;0,"BORCA BATIK",IF($I315&lt;$H315,"BORCA BATIK",IF($L315&gt;=TtkUcteIkiEsik,"2/3 KAYIP (KRİTİK)",IF($L315&gt;=TtkUcteBirEsik,"1/3 KAYIP (DİKKAT)","UYGUN")))))</f>
        <v/>
      </c>
    </row>
    <row r="316" customFormat="false" ht="15" hidden="false" customHeight="false" outlineLevel="0" collapsed="false">
      <c r="A316" s="21"/>
      <c r="B316" s="17"/>
      <c r="C316" s="17"/>
      <c r="D316" s="17"/>
      <c r="E316" s="17"/>
      <c r="F316" s="17"/>
      <c r="G316" s="17"/>
      <c r="H316" s="17"/>
      <c r="I316" s="17"/>
      <c r="J316" s="18" t="str">
        <f aca="false">IF($A316="","",$B316+$C316+$D316-$E316+$F316-$G316)</f>
        <v/>
      </c>
      <c r="K316" s="18" t="str">
        <f aca="false">IF($A316="","",MAX(0,$B316-$J316))</f>
        <v/>
      </c>
      <c r="L316" s="19" t="str">
        <f aca="false">IF($A316="","",IF($B316=0,0,$K316/$B316))</f>
        <v/>
      </c>
      <c r="M316" s="20" t="str">
        <f aca="false">IF($A316="","",IF($J316&lt;0,"BORCA BATIK",IF($I316&lt;$H316,"BORCA BATIK",IF($L316&gt;=TtkUcteIkiEsik,"2/3 KAYIP (KRİTİK)",IF($L316&gt;=TtkUcteBirEsik,"1/3 KAYIP (DİKKAT)","UYGUN")))))</f>
        <v/>
      </c>
    </row>
    <row r="317" customFormat="false" ht="15" hidden="false" customHeight="false" outlineLevel="0" collapsed="false">
      <c r="A317" s="21"/>
      <c r="B317" s="17"/>
      <c r="C317" s="17"/>
      <c r="D317" s="17"/>
      <c r="E317" s="17"/>
      <c r="F317" s="17"/>
      <c r="G317" s="17"/>
      <c r="H317" s="17"/>
      <c r="I317" s="17"/>
      <c r="J317" s="18" t="str">
        <f aca="false">IF($A317="","",$B317+$C317+$D317-$E317+$F317-$G317)</f>
        <v/>
      </c>
      <c r="K317" s="18" t="str">
        <f aca="false">IF($A317="","",MAX(0,$B317-$J317))</f>
        <v/>
      </c>
      <c r="L317" s="19" t="str">
        <f aca="false">IF($A317="","",IF($B317=0,0,$K317/$B317))</f>
        <v/>
      </c>
      <c r="M317" s="20" t="str">
        <f aca="false">IF($A317="","",IF($J317&lt;0,"BORCA BATIK",IF($I317&lt;$H317,"BORCA BATIK",IF($L317&gt;=TtkUcteIkiEsik,"2/3 KAYIP (KRİTİK)",IF($L317&gt;=TtkUcteBirEsik,"1/3 KAYIP (DİKKAT)","UYGUN")))))</f>
        <v/>
      </c>
    </row>
    <row r="318" customFormat="false" ht="15" hidden="false" customHeight="false" outlineLevel="0" collapsed="false">
      <c r="A318" s="21"/>
      <c r="B318" s="17"/>
      <c r="C318" s="17"/>
      <c r="D318" s="17"/>
      <c r="E318" s="17"/>
      <c r="F318" s="17"/>
      <c r="G318" s="17"/>
      <c r="H318" s="17"/>
      <c r="I318" s="17"/>
      <c r="J318" s="18" t="str">
        <f aca="false">IF($A318="","",$B318+$C318+$D318-$E318+$F318-$G318)</f>
        <v/>
      </c>
      <c r="K318" s="18" t="str">
        <f aca="false">IF($A318="","",MAX(0,$B318-$J318))</f>
        <v/>
      </c>
      <c r="L318" s="19" t="str">
        <f aca="false">IF($A318="","",IF($B318=0,0,$K318/$B318))</f>
        <v/>
      </c>
      <c r="M318" s="20" t="str">
        <f aca="false">IF($A318="","",IF($J318&lt;0,"BORCA BATIK",IF($I318&lt;$H318,"BORCA BATIK",IF($L318&gt;=TtkUcteIkiEsik,"2/3 KAYIP (KRİTİK)",IF($L318&gt;=TtkUcteBirEsik,"1/3 KAYIP (DİKKAT)","UYGUN")))))</f>
        <v/>
      </c>
    </row>
    <row r="319" customFormat="false" ht="15" hidden="false" customHeight="false" outlineLevel="0" collapsed="false">
      <c r="A319" s="21"/>
      <c r="B319" s="17"/>
      <c r="C319" s="17"/>
      <c r="D319" s="17"/>
      <c r="E319" s="17"/>
      <c r="F319" s="17"/>
      <c r="G319" s="17"/>
      <c r="H319" s="17"/>
      <c r="I319" s="17"/>
      <c r="J319" s="18" t="str">
        <f aca="false">IF($A319="","",$B319+$C319+$D319-$E319+$F319-$G319)</f>
        <v/>
      </c>
      <c r="K319" s="18" t="str">
        <f aca="false">IF($A319="","",MAX(0,$B319-$J319))</f>
        <v/>
      </c>
      <c r="L319" s="19" t="str">
        <f aca="false">IF($A319="","",IF($B319=0,0,$K319/$B319))</f>
        <v/>
      </c>
      <c r="M319" s="20" t="str">
        <f aca="false">IF($A319="","",IF($J319&lt;0,"BORCA BATIK",IF($I319&lt;$H319,"BORCA BATIK",IF($L319&gt;=TtkUcteIkiEsik,"2/3 KAYIP (KRİTİK)",IF($L319&gt;=TtkUcteBirEsik,"1/3 KAYIP (DİKKAT)","UYGUN")))))</f>
        <v/>
      </c>
    </row>
    <row r="320" customFormat="false" ht="15" hidden="false" customHeight="false" outlineLevel="0" collapsed="false">
      <c r="A320" s="21"/>
      <c r="B320" s="17"/>
      <c r="C320" s="17"/>
      <c r="D320" s="17"/>
      <c r="E320" s="17"/>
      <c r="F320" s="17"/>
      <c r="G320" s="17"/>
      <c r="H320" s="17"/>
      <c r="I320" s="17"/>
      <c r="J320" s="18" t="str">
        <f aca="false">IF($A320="","",$B320+$C320+$D320-$E320+$F320-$G320)</f>
        <v/>
      </c>
      <c r="K320" s="18" t="str">
        <f aca="false">IF($A320="","",MAX(0,$B320-$J320))</f>
        <v/>
      </c>
      <c r="L320" s="19" t="str">
        <f aca="false">IF($A320="","",IF($B320=0,0,$K320/$B320))</f>
        <v/>
      </c>
      <c r="M320" s="20" t="str">
        <f aca="false">IF($A320="","",IF($J320&lt;0,"BORCA BATIK",IF($I320&lt;$H320,"BORCA BATIK",IF($L320&gt;=TtkUcteIkiEsik,"2/3 KAYIP (KRİTİK)",IF($L320&gt;=TtkUcteBirEsik,"1/3 KAYIP (DİKKAT)","UYGUN")))))</f>
        <v/>
      </c>
    </row>
    <row r="321" customFormat="false" ht="15" hidden="false" customHeight="false" outlineLevel="0" collapsed="false">
      <c r="A321" s="21"/>
      <c r="B321" s="17"/>
      <c r="C321" s="17"/>
      <c r="D321" s="17"/>
      <c r="E321" s="17"/>
      <c r="F321" s="17"/>
      <c r="G321" s="17"/>
      <c r="H321" s="17"/>
      <c r="I321" s="17"/>
      <c r="J321" s="18" t="str">
        <f aca="false">IF($A321="","",$B321+$C321+$D321-$E321+$F321-$G321)</f>
        <v/>
      </c>
      <c r="K321" s="18" t="str">
        <f aca="false">IF($A321="","",MAX(0,$B321-$J321))</f>
        <v/>
      </c>
      <c r="L321" s="19" t="str">
        <f aca="false">IF($A321="","",IF($B321=0,0,$K321/$B321))</f>
        <v/>
      </c>
      <c r="M321" s="20" t="str">
        <f aca="false">IF($A321="","",IF($J321&lt;0,"BORCA BATIK",IF($I321&lt;$H321,"BORCA BATIK",IF($L321&gt;=TtkUcteIkiEsik,"2/3 KAYIP (KRİTİK)",IF($L321&gt;=TtkUcteBirEsik,"1/3 KAYIP (DİKKAT)","UYGUN")))))</f>
        <v/>
      </c>
    </row>
    <row r="322" customFormat="false" ht="15" hidden="false" customHeight="false" outlineLevel="0" collapsed="false">
      <c r="A322" s="21"/>
      <c r="B322" s="17"/>
      <c r="C322" s="17"/>
      <c r="D322" s="17"/>
      <c r="E322" s="17"/>
      <c r="F322" s="17"/>
      <c r="G322" s="17"/>
      <c r="H322" s="17"/>
      <c r="I322" s="17"/>
      <c r="J322" s="18" t="str">
        <f aca="false">IF($A322="","",$B322+$C322+$D322-$E322+$F322-$G322)</f>
        <v/>
      </c>
      <c r="K322" s="18" t="str">
        <f aca="false">IF($A322="","",MAX(0,$B322-$J322))</f>
        <v/>
      </c>
      <c r="L322" s="19" t="str">
        <f aca="false">IF($A322="","",IF($B322=0,0,$K322/$B322))</f>
        <v/>
      </c>
      <c r="M322" s="20" t="str">
        <f aca="false">IF($A322="","",IF($J322&lt;0,"BORCA BATIK",IF($I322&lt;$H322,"BORCA BATIK",IF($L322&gt;=TtkUcteIkiEsik,"2/3 KAYIP (KRİTİK)",IF($L322&gt;=TtkUcteBirEsik,"1/3 KAYIP (DİKKAT)","UYGUN")))))</f>
        <v/>
      </c>
    </row>
    <row r="323" customFormat="false" ht="15" hidden="false" customHeight="false" outlineLevel="0" collapsed="false">
      <c r="A323" s="21"/>
      <c r="B323" s="17"/>
      <c r="C323" s="17"/>
      <c r="D323" s="17"/>
      <c r="E323" s="17"/>
      <c r="F323" s="17"/>
      <c r="G323" s="17"/>
      <c r="H323" s="17"/>
      <c r="I323" s="17"/>
      <c r="J323" s="18" t="str">
        <f aca="false">IF($A323="","",$B323+$C323+$D323-$E323+$F323-$G323)</f>
        <v/>
      </c>
      <c r="K323" s="18" t="str">
        <f aca="false">IF($A323="","",MAX(0,$B323-$J323))</f>
        <v/>
      </c>
      <c r="L323" s="19" t="str">
        <f aca="false">IF($A323="","",IF($B323=0,0,$K323/$B323))</f>
        <v/>
      </c>
      <c r="M323" s="20" t="str">
        <f aca="false">IF($A323="","",IF($J323&lt;0,"BORCA BATIK",IF($I323&lt;$H323,"BORCA BATIK",IF($L323&gt;=TtkUcteIkiEsik,"2/3 KAYIP (KRİTİK)",IF($L323&gt;=TtkUcteBirEsik,"1/3 KAYIP (DİKKAT)","UYGUN")))))</f>
        <v/>
      </c>
    </row>
    <row r="324" customFormat="false" ht="15" hidden="false" customHeight="false" outlineLevel="0" collapsed="false">
      <c r="A324" s="21"/>
      <c r="B324" s="17"/>
      <c r="C324" s="17"/>
      <c r="D324" s="17"/>
      <c r="E324" s="17"/>
      <c r="F324" s="17"/>
      <c r="G324" s="17"/>
      <c r="H324" s="17"/>
      <c r="I324" s="17"/>
      <c r="J324" s="18" t="str">
        <f aca="false">IF($A324="","",$B324+$C324+$D324-$E324+$F324-$G324)</f>
        <v/>
      </c>
      <c r="K324" s="18" t="str">
        <f aca="false">IF($A324="","",MAX(0,$B324-$J324))</f>
        <v/>
      </c>
      <c r="L324" s="19" t="str">
        <f aca="false">IF($A324="","",IF($B324=0,0,$K324/$B324))</f>
        <v/>
      </c>
      <c r="M324" s="20" t="str">
        <f aca="false">IF($A324="","",IF($J324&lt;0,"BORCA BATIK",IF($I324&lt;$H324,"BORCA BATIK",IF($L324&gt;=TtkUcteIkiEsik,"2/3 KAYIP (KRİTİK)",IF($L324&gt;=TtkUcteBirEsik,"1/3 KAYIP (DİKKAT)","UYGUN")))))</f>
        <v/>
      </c>
    </row>
    <row r="325" customFormat="false" ht="15" hidden="false" customHeight="false" outlineLevel="0" collapsed="false">
      <c r="A325" s="21"/>
      <c r="B325" s="17"/>
      <c r="C325" s="17"/>
      <c r="D325" s="17"/>
      <c r="E325" s="17"/>
      <c r="F325" s="17"/>
      <c r="G325" s="17"/>
      <c r="H325" s="17"/>
      <c r="I325" s="17"/>
      <c r="J325" s="18" t="str">
        <f aca="false">IF($A325="","",$B325+$C325+$D325-$E325+$F325-$G325)</f>
        <v/>
      </c>
      <c r="K325" s="18" t="str">
        <f aca="false">IF($A325="","",MAX(0,$B325-$J325))</f>
        <v/>
      </c>
      <c r="L325" s="19" t="str">
        <f aca="false">IF($A325="","",IF($B325=0,0,$K325/$B325))</f>
        <v/>
      </c>
      <c r="M325" s="20" t="str">
        <f aca="false">IF($A325="","",IF($J325&lt;0,"BORCA BATIK",IF($I325&lt;$H325,"BORCA BATIK",IF($L325&gt;=TtkUcteIkiEsik,"2/3 KAYIP (KRİTİK)",IF($L325&gt;=TtkUcteBirEsik,"1/3 KAYIP (DİKKAT)","UYGUN")))))</f>
        <v/>
      </c>
    </row>
    <row r="326" customFormat="false" ht="15" hidden="false" customHeight="false" outlineLevel="0" collapsed="false">
      <c r="A326" s="21"/>
      <c r="B326" s="17"/>
      <c r="C326" s="17"/>
      <c r="D326" s="17"/>
      <c r="E326" s="17"/>
      <c r="F326" s="17"/>
      <c r="G326" s="17"/>
      <c r="H326" s="17"/>
      <c r="I326" s="17"/>
      <c r="J326" s="18" t="str">
        <f aca="false">IF($A326="","",$B326+$C326+$D326-$E326+$F326-$G326)</f>
        <v/>
      </c>
      <c r="K326" s="18" t="str">
        <f aca="false">IF($A326="","",MAX(0,$B326-$J326))</f>
        <v/>
      </c>
      <c r="L326" s="19" t="str">
        <f aca="false">IF($A326="","",IF($B326=0,0,$K326/$B326))</f>
        <v/>
      </c>
      <c r="M326" s="20" t="str">
        <f aca="false">IF($A326="","",IF($J326&lt;0,"BORCA BATIK",IF($I326&lt;$H326,"BORCA BATIK",IF($L326&gt;=TtkUcteIkiEsik,"2/3 KAYIP (KRİTİK)",IF($L326&gt;=TtkUcteBirEsik,"1/3 KAYIP (DİKKAT)","UYGUN")))))</f>
        <v/>
      </c>
    </row>
    <row r="327" customFormat="false" ht="15" hidden="false" customHeight="false" outlineLevel="0" collapsed="false">
      <c r="A327" s="21"/>
      <c r="B327" s="17"/>
      <c r="C327" s="17"/>
      <c r="D327" s="17"/>
      <c r="E327" s="17"/>
      <c r="F327" s="17"/>
      <c r="G327" s="17"/>
      <c r="H327" s="17"/>
      <c r="I327" s="17"/>
      <c r="J327" s="18" t="str">
        <f aca="false">IF($A327="","",$B327+$C327+$D327-$E327+$F327-$G327)</f>
        <v/>
      </c>
      <c r="K327" s="18" t="str">
        <f aca="false">IF($A327="","",MAX(0,$B327-$J327))</f>
        <v/>
      </c>
      <c r="L327" s="19" t="str">
        <f aca="false">IF($A327="","",IF($B327=0,0,$K327/$B327))</f>
        <v/>
      </c>
      <c r="M327" s="20" t="str">
        <f aca="false">IF($A327="","",IF($J327&lt;0,"BORCA BATIK",IF($I327&lt;$H327,"BORCA BATIK",IF($L327&gt;=TtkUcteIkiEsik,"2/3 KAYIP (KRİTİK)",IF($L327&gt;=TtkUcteBirEsik,"1/3 KAYIP (DİKKAT)","UYGUN")))))</f>
        <v/>
      </c>
    </row>
    <row r="328" customFormat="false" ht="15" hidden="false" customHeight="false" outlineLevel="0" collapsed="false">
      <c r="A328" s="21"/>
      <c r="B328" s="17"/>
      <c r="C328" s="17"/>
      <c r="D328" s="17"/>
      <c r="E328" s="17"/>
      <c r="F328" s="17"/>
      <c r="G328" s="17"/>
      <c r="H328" s="17"/>
      <c r="I328" s="17"/>
      <c r="J328" s="18" t="str">
        <f aca="false">IF($A328="","",$B328+$C328+$D328-$E328+$F328-$G328)</f>
        <v/>
      </c>
      <c r="K328" s="18" t="str">
        <f aca="false">IF($A328="","",MAX(0,$B328-$J328))</f>
        <v/>
      </c>
      <c r="L328" s="19" t="str">
        <f aca="false">IF($A328="","",IF($B328=0,0,$K328/$B328))</f>
        <v/>
      </c>
      <c r="M328" s="20" t="str">
        <f aca="false">IF($A328="","",IF($J328&lt;0,"BORCA BATIK",IF($I328&lt;$H328,"BORCA BATIK",IF($L328&gt;=TtkUcteIkiEsik,"2/3 KAYIP (KRİTİK)",IF($L328&gt;=TtkUcteBirEsik,"1/3 KAYIP (DİKKAT)","UYGUN")))))</f>
        <v/>
      </c>
    </row>
    <row r="329" customFormat="false" ht="15" hidden="false" customHeight="false" outlineLevel="0" collapsed="false">
      <c r="A329" s="21"/>
      <c r="B329" s="17"/>
      <c r="C329" s="17"/>
      <c r="D329" s="17"/>
      <c r="E329" s="17"/>
      <c r="F329" s="17"/>
      <c r="G329" s="17"/>
      <c r="H329" s="17"/>
      <c r="I329" s="17"/>
      <c r="J329" s="18" t="str">
        <f aca="false">IF($A329="","",$B329+$C329+$D329-$E329+$F329-$G329)</f>
        <v/>
      </c>
      <c r="K329" s="18" t="str">
        <f aca="false">IF($A329="","",MAX(0,$B329-$J329))</f>
        <v/>
      </c>
      <c r="L329" s="19" t="str">
        <f aca="false">IF($A329="","",IF($B329=0,0,$K329/$B329))</f>
        <v/>
      </c>
      <c r="M329" s="20" t="str">
        <f aca="false">IF($A329="","",IF($J329&lt;0,"BORCA BATIK",IF($I329&lt;$H329,"BORCA BATIK",IF($L329&gt;=TtkUcteIkiEsik,"2/3 KAYIP (KRİTİK)",IF($L329&gt;=TtkUcteBirEsik,"1/3 KAYIP (DİKKAT)","UYGUN")))))</f>
        <v/>
      </c>
    </row>
    <row r="330" customFormat="false" ht="15" hidden="false" customHeight="false" outlineLevel="0" collapsed="false">
      <c r="A330" s="21"/>
      <c r="B330" s="17"/>
      <c r="C330" s="17"/>
      <c r="D330" s="17"/>
      <c r="E330" s="17"/>
      <c r="F330" s="17"/>
      <c r="G330" s="17"/>
      <c r="H330" s="17"/>
      <c r="I330" s="17"/>
      <c r="J330" s="18" t="str">
        <f aca="false">IF($A330="","",$B330+$C330+$D330-$E330+$F330-$G330)</f>
        <v/>
      </c>
      <c r="K330" s="18" t="str">
        <f aca="false">IF($A330="","",MAX(0,$B330-$J330))</f>
        <v/>
      </c>
      <c r="L330" s="19" t="str">
        <f aca="false">IF($A330="","",IF($B330=0,0,$K330/$B330))</f>
        <v/>
      </c>
      <c r="M330" s="20" t="str">
        <f aca="false">IF($A330="","",IF($J330&lt;0,"BORCA BATIK",IF($I330&lt;$H330,"BORCA BATIK",IF($L330&gt;=TtkUcteIkiEsik,"2/3 KAYIP (KRİTİK)",IF($L330&gt;=TtkUcteBirEsik,"1/3 KAYIP (DİKKAT)","UYGUN")))))</f>
        <v/>
      </c>
    </row>
    <row r="331" customFormat="false" ht="15" hidden="false" customHeight="false" outlineLevel="0" collapsed="false">
      <c r="A331" s="21"/>
      <c r="B331" s="17"/>
      <c r="C331" s="17"/>
      <c r="D331" s="17"/>
      <c r="E331" s="17"/>
      <c r="F331" s="17"/>
      <c r="G331" s="17"/>
      <c r="H331" s="17"/>
      <c r="I331" s="17"/>
      <c r="J331" s="18" t="str">
        <f aca="false">IF($A331="","",$B331+$C331+$D331-$E331+$F331-$G331)</f>
        <v/>
      </c>
      <c r="K331" s="18" t="str">
        <f aca="false">IF($A331="","",MAX(0,$B331-$J331))</f>
        <v/>
      </c>
      <c r="L331" s="19" t="str">
        <f aca="false">IF($A331="","",IF($B331=0,0,$K331/$B331))</f>
        <v/>
      </c>
      <c r="M331" s="20" t="str">
        <f aca="false">IF($A331="","",IF($J331&lt;0,"BORCA BATIK",IF($I331&lt;$H331,"BORCA BATIK",IF($L331&gt;=TtkUcteIkiEsik,"2/3 KAYIP (KRİTİK)",IF($L331&gt;=TtkUcteBirEsik,"1/3 KAYIP (DİKKAT)","UYGUN")))))</f>
        <v/>
      </c>
    </row>
    <row r="332" customFormat="false" ht="15" hidden="false" customHeight="false" outlineLevel="0" collapsed="false">
      <c r="A332" s="21"/>
      <c r="B332" s="17"/>
      <c r="C332" s="17"/>
      <c r="D332" s="17"/>
      <c r="E332" s="17"/>
      <c r="F332" s="17"/>
      <c r="G332" s="17"/>
      <c r="H332" s="17"/>
      <c r="I332" s="17"/>
      <c r="J332" s="18" t="str">
        <f aca="false">IF($A332="","",$B332+$C332+$D332-$E332+$F332-$G332)</f>
        <v/>
      </c>
      <c r="K332" s="18" t="str">
        <f aca="false">IF($A332="","",MAX(0,$B332-$J332))</f>
        <v/>
      </c>
      <c r="L332" s="19" t="str">
        <f aca="false">IF($A332="","",IF($B332=0,0,$K332/$B332))</f>
        <v/>
      </c>
      <c r="M332" s="20" t="str">
        <f aca="false">IF($A332="","",IF($J332&lt;0,"BORCA BATIK",IF($I332&lt;$H332,"BORCA BATIK",IF($L332&gt;=TtkUcteIkiEsik,"2/3 KAYIP (KRİTİK)",IF($L332&gt;=TtkUcteBirEsik,"1/3 KAYIP (DİKKAT)","UYGUN")))))</f>
        <v/>
      </c>
    </row>
    <row r="333" customFormat="false" ht="15" hidden="false" customHeight="false" outlineLevel="0" collapsed="false">
      <c r="A333" s="21"/>
      <c r="B333" s="17"/>
      <c r="C333" s="17"/>
      <c r="D333" s="17"/>
      <c r="E333" s="17"/>
      <c r="F333" s="17"/>
      <c r="G333" s="17"/>
      <c r="H333" s="17"/>
      <c r="I333" s="17"/>
      <c r="J333" s="18" t="str">
        <f aca="false">IF($A333="","",$B333+$C333+$D333-$E333+$F333-$G333)</f>
        <v/>
      </c>
      <c r="K333" s="18" t="str">
        <f aca="false">IF($A333="","",MAX(0,$B333-$J333))</f>
        <v/>
      </c>
      <c r="L333" s="19" t="str">
        <f aca="false">IF($A333="","",IF($B333=0,0,$K333/$B333))</f>
        <v/>
      </c>
      <c r="M333" s="20" t="str">
        <f aca="false">IF($A333="","",IF($J333&lt;0,"BORCA BATIK",IF($I333&lt;$H333,"BORCA BATIK",IF($L333&gt;=TtkUcteIkiEsik,"2/3 KAYIP (KRİTİK)",IF($L333&gt;=TtkUcteBirEsik,"1/3 KAYIP (DİKKAT)","UYGUN")))))</f>
        <v/>
      </c>
    </row>
    <row r="334" customFormat="false" ht="15" hidden="false" customHeight="false" outlineLevel="0" collapsed="false">
      <c r="A334" s="21"/>
      <c r="B334" s="17"/>
      <c r="C334" s="17"/>
      <c r="D334" s="17"/>
      <c r="E334" s="17"/>
      <c r="F334" s="17"/>
      <c r="G334" s="17"/>
      <c r="H334" s="17"/>
      <c r="I334" s="17"/>
      <c r="J334" s="18" t="str">
        <f aca="false">IF($A334="","",$B334+$C334+$D334-$E334+$F334-$G334)</f>
        <v/>
      </c>
      <c r="K334" s="18" t="str">
        <f aca="false">IF($A334="","",MAX(0,$B334-$J334))</f>
        <v/>
      </c>
      <c r="L334" s="19" t="str">
        <f aca="false">IF($A334="","",IF($B334=0,0,$K334/$B334))</f>
        <v/>
      </c>
      <c r="M334" s="20" t="str">
        <f aca="false">IF($A334="","",IF($J334&lt;0,"BORCA BATIK",IF($I334&lt;$H334,"BORCA BATIK",IF($L334&gt;=TtkUcteIkiEsik,"2/3 KAYIP (KRİTİK)",IF($L334&gt;=TtkUcteBirEsik,"1/3 KAYIP (DİKKAT)","UYGUN")))))</f>
        <v/>
      </c>
    </row>
    <row r="335" customFormat="false" ht="15" hidden="false" customHeight="false" outlineLevel="0" collapsed="false">
      <c r="A335" s="21"/>
      <c r="B335" s="17"/>
      <c r="C335" s="17"/>
      <c r="D335" s="17"/>
      <c r="E335" s="17"/>
      <c r="F335" s="17"/>
      <c r="G335" s="17"/>
      <c r="H335" s="17"/>
      <c r="I335" s="17"/>
      <c r="J335" s="18" t="str">
        <f aca="false">IF($A335="","",$B335+$C335+$D335-$E335+$F335-$G335)</f>
        <v/>
      </c>
      <c r="K335" s="18" t="str">
        <f aca="false">IF($A335="","",MAX(0,$B335-$J335))</f>
        <v/>
      </c>
      <c r="L335" s="19" t="str">
        <f aca="false">IF($A335="","",IF($B335=0,0,$K335/$B335))</f>
        <v/>
      </c>
      <c r="M335" s="20" t="str">
        <f aca="false">IF($A335="","",IF($J335&lt;0,"BORCA BATIK",IF($I335&lt;$H335,"BORCA BATIK",IF($L335&gt;=TtkUcteIkiEsik,"2/3 KAYIP (KRİTİK)",IF($L335&gt;=TtkUcteBirEsik,"1/3 KAYIP (DİKKAT)","UYGUN")))))</f>
        <v/>
      </c>
    </row>
    <row r="336" customFormat="false" ht="15" hidden="false" customHeight="false" outlineLevel="0" collapsed="false">
      <c r="A336" s="21"/>
      <c r="B336" s="17"/>
      <c r="C336" s="17"/>
      <c r="D336" s="17"/>
      <c r="E336" s="17"/>
      <c r="F336" s="17"/>
      <c r="G336" s="17"/>
      <c r="H336" s="17"/>
      <c r="I336" s="17"/>
      <c r="J336" s="18" t="str">
        <f aca="false">IF($A336="","",$B336+$C336+$D336-$E336+$F336-$G336)</f>
        <v/>
      </c>
      <c r="K336" s="18" t="str">
        <f aca="false">IF($A336="","",MAX(0,$B336-$J336))</f>
        <v/>
      </c>
      <c r="L336" s="19" t="str">
        <f aca="false">IF($A336="","",IF($B336=0,0,$K336/$B336))</f>
        <v/>
      </c>
      <c r="M336" s="20" t="str">
        <f aca="false">IF($A336="","",IF($J336&lt;0,"BORCA BATIK",IF($I336&lt;$H336,"BORCA BATIK",IF($L336&gt;=TtkUcteIkiEsik,"2/3 KAYIP (KRİTİK)",IF($L336&gt;=TtkUcteBirEsik,"1/3 KAYIP (DİKKAT)","UYGUN")))))</f>
        <v/>
      </c>
    </row>
    <row r="337" customFormat="false" ht="15" hidden="false" customHeight="false" outlineLevel="0" collapsed="false">
      <c r="A337" s="21"/>
      <c r="B337" s="17"/>
      <c r="C337" s="17"/>
      <c r="D337" s="17"/>
      <c r="E337" s="17"/>
      <c r="F337" s="17"/>
      <c r="G337" s="17"/>
      <c r="H337" s="17"/>
      <c r="I337" s="17"/>
      <c r="J337" s="18" t="str">
        <f aca="false">IF($A337="","",$B337+$C337+$D337-$E337+$F337-$G337)</f>
        <v/>
      </c>
      <c r="K337" s="18" t="str">
        <f aca="false">IF($A337="","",MAX(0,$B337-$J337))</f>
        <v/>
      </c>
      <c r="L337" s="19" t="str">
        <f aca="false">IF($A337="","",IF($B337=0,0,$K337/$B337))</f>
        <v/>
      </c>
      <c r="M337" s="20" t="str">
        <f aca="false">IF($A337="","",IF($J337&lt;0,"BORCA BATIK",IF($I337&lt;$H337,"BORCA BATIK",IF($L337&gt;=TtkUcteIkiEsik,"2/3 KAYIP (KRİTİK)",IF($L337&gt;=TtkUcteBirEsik,"1/3 KAYIP (DİKKAT)","UYGUN")))))</f>
        <v/>
      </c>
    </row>
    <row r="338" customFormat="false" ht="15" hidden="false" customHeight="false" outlineLevel="0" collapsed="false">
      <c r="A338" s="21"/>
      <c r="B338" s="17"/>
      <c r="C338" s="17"/>
      <c r="D338" s="17"/>
      <c r="E338" s="17"/>
      <c r="F338" s="17"/>
      <c r="G338" s="17"/>
      <c r="H338" s="17"/>
      <c r="I338" s="17"/>
      <c r="J338" s="18" t="str">
        <f aca="false">IF($A338="","",$B338+$C338+$D338-$E338+$F338-$G338)</f>
        <v/>
      </c>
      <c r="K338" s="18" t="str">
        <f aca="false">IF($A338="","",MAX(0,$B338-$J338))</f>
        <v/>
      </c>
      <c r="L338" s="19" t="str">
        <f aca="false">IF($A338="","",IF($B338=0,0,$K338/$B338))</f>
        <v/>
      </c>
      <c r="M338" s="20" t="str">
        <f aca="false">IF($A338="","",IF($J338&lt;0,"BORCA BATIK",IF($I338&lt;$H338,"BORCA BATIK",IF($L338&gt;=TtkUcteIkiEsik,"2/3 KAYIP (KRİTİK)",IF($L338&gt;=TtkUcteBirEsik,"1/3 KAYIP (DİKKAT)","UYGUN")))))</f>
        <v/>
      </c>
    </row>
    <row r="339" customFormat="false" ht="15" hidden="false" customHeight="false" outlineLevel="0" collapsed="false">
      <c r="A339" s="21"/>
      <c r="B339" s="17"/>
      <c r="C339" s="17"/>
      <c r="D339" s="17"/>
      <c r="E339" s="17"/>
      <c r="F339" s="17"/>
      <c r="G339" s="17"/>
      <c r="H339" s="17"/>
      <c r="I339" s="17"/>
      <c r="J339" s="18" t="str">
        <f aca="false">IF($A339="","",$B339+$C339+$D339-$E339+$F339-$G339)</f>
        <v/>
      </c>
      <c r="K339" s="18" t="str">
        <f aca="false">IF($A339="","",MAX(0,$B339-$J339))</f>
        <v/>
      </c>
      <c r="L339" s="19" t="str">
        <f aca="false">IF($A339="","",IF($B339=0,0,$K339/$B339))</f>
        <v/>
      </c>
      <c r="M339" s="20" t="str">
        <f aca="false">IF($A339="","",IF($J339&lt;0,"BORCA BATIK",IF($I339&lt;$H339,"BORCA BATIK",IF($L339&gt;=TtkUcteIkiEsik,"2/3 KAYIP (KRİTİK)",IF($L339&gt;=TtkUcteBirEsik,"1/3 KAYIP (DİKKAT)","UYGUN")))))</f>
        <v/>
      </c>
    </row>
    <row r="340" customFormat="false" ht="15" hidden="false" customHeight="false" outlineLevel="0" collapsed="false">
      <c r="A340" s="21"/>
      <c r="B340" s="17"/>
      <c r="C340" s="17"/>
      <c r="D340" s="17"/>
      <c r="E340" s="17"/>
      <c r="F340" s="17"/>
      <c r="G340" s="17"/>
      <c r="H340" s="17"/>
      <c r="I340" s="17"/>
      <c r="J340" s="18" t="str">
        <f aca="false">IF($A340="","",$B340+$C340+$D340-$E340+$F340-$G340)</f>
        <v/>
      </c>
      <c r="K340" s="18" t="str">
        <f aca="false">IF($A340="","",MAX(0,$B340-$J340))</f>
        <v/>
      </c>
      <c r="L340" s="19" t="str">
        <f aca="false">IF($A340="","",IF($B340=0,0,$K340/$B340))</f>
        <v/>
      </c>
      <c r="M340" s="20" t="str">
        <f aca="false">IF($A340="","",IF($J340&lt;0,"BORCA BATIK",IF($I340&lt;$H340,"BORCA BATIK",IF($L340&gt;=TtkUcteIkiEsik,"2/3 KAYIP (KRİTİK)",IF($L340&gt;=TtkUcteBirEsik,"1/3 KAYIP (DİKKAT)","UYGUN")))))</f>
        <v/>
      </c>
    </row>
    <row r="341" customFormat="false" ht="15" hidden="false" customHeight="false" outlineLevel="0" collapsed="false">
      <c r="A341" s="21"/>
      <c r="B341" s="17"/>
      <c r="C341" s="17"/>
      <c r="D341" s="17"/>
      <c r="E341" s="17"/>
      <c r="F341" s="17"/>
      <c r="G341" s="17"/>
      <c r="H341" s="17"/>
      <c r="I341" s="17"/>
      <c r="J341" s="18" t="str">
        <f aca="false">IF($A341="","",$B341+$C341+$D341-$E341+$F341-$G341)</f>
        <v/>
      </c>
      <c r="K341" s="18" t="str">
        <f aca="false">IF($A341="","",MAX(0,$B341-$J341))</f>
        <v/>
      </c>
      <c r="L341" s="19" t="str">
        <f aca="false">IF($A341="","",IF($B341=0,0,$K341/$B341))</f>
        <v/>
      </c>
      <c r="M341" s="20" t="str">
        <f aca="false">IF($A341="","",IF($J341&lt;0,"BORCA BATIK",IF($I341&lt;$H341,"BORCA BATIK",IF($L341&gt;=TtkUcteIkiEsik,"2/3 KAYIP (KRİTİK)",IF($L341&gt;=TtkUcteBirEsik,"1/3 KAYIP (DİKKAT)","UYGUN")))))</f>
        <v/>
      </c>
    </row>
    <row r="342" customFormat="false" ht="15" hidden="false" customHeight="false" outlineLevel="0" collapsed="false">
      <c r="A342" s="21"/>
      <c r="B342" s="17"/>
      <c r="C342" s="17"/>
      <c r="D342" s="17"/>
      <c r="E342" s="17"/>
      <c r="F342" s="17"/>
      <c r="G342" s="17"/>
      <c r="H342" s="17"/>
      <c r="I342" s="17"/>
      <c r="J342" s="18" t="str">
        <f aca="false">IF($A342="","",$B342+$C342+$D342-$E342+$F342-$G342)</f>
        <v/>
      </c>
      <c r="K342" s="18" t="str">
        <f aca="false">IF($A342="","",MAX(0,$B342-$J342))</f>
        <v/>
      </c>
      <c r="L342" s="19" t="str">
        <f aca="false">IF($A342="","",IF($B342=0,0,$K342/$B342))</f>
        <v/>
      </c>
      <c r="M342" s="20" t="str">
        <f aca="false">IF($A342="","",IF($J342&lt;0,"BORCA BATIK",IF($I342&lt;$H342,"BORCA BATIK",IF($L342&gt;=TtkUcteIkiEsik,"2/3 KAYIP (KRİTİK)",IF($L342&gt;=TtkUcteBirEsik,"1/3 KAYIP (DİKKAT)","UYGUN")))))</f>
        <v/>
      </c>
    </row>
    <row r="343" customFormat="false" ht="15" hidden="false" customHeight="false" outlineLevel="0" collapsed="false">
      <c r="A343" s="21"/>
      <c r="B343" s="17"/>
      <c r="C343" s="17"/>
      <c r="D343" s="17"/>
      <c r="E343" s="17"/>
      <c r="F343" s="17"/>
      <c r="G343" s="17"/>
      <c r="H343" s="17"/>
      <c r="I343" s="17"/>
      <c r="J343" s="18" t="str">
        <f aca="false">IF($A343="","",$B343+$C343+$D343-$E343+$F343-$G343)</f>
        <v/>
      </c>
      <c r="K343" s="18" t="str">
        <f aca="false">IF($A343="","",MAX(0,$B343-$J343))</f>
        <v/>
      </c>
      <c r="L343" s="19" t="str">
        <f aca="false">IF($A343="","",IF($B343=0,0,$K343/$B343))</f>
        <v/>
      </c>
      <c r="M343" s="20" t="str">
        <f aca="false">IF($A343="","",IF($J343&lt;0,"BORCA BATIK",IF($I343&lt;$H343,"BORCA BATIK",IF($L343&gt;=TtkUcteIkiEsik,"2/3 KAYIP (KRİTİK)",IF($L343&gt;=TtkUcteBirEsik,"1/3 KAYIP (DİKKAT)","UYGUN")))))</f>
        <v/>
      </c>
    </row>
    <row r="344" customFormat="false" ht="15" hidden="false" customHeight="false" outlineLevel="0" collapsed="false">
      <c r="A344" s="21"/>
      <c r="B344" s="17"/>
      <c r="C344" s="17"/>
      <c r="D344" s="17"/>
      <c r="E344" s="17"/>
      <c r="F344" s="17"/>
      <c r="G344" s="17"/>
      <c r="H344" s="17"/>
      <c r="I344" s="17"/>
      <c r="J344" s="18" t="str">
        <f aca="false">IF($A344="","",$B344+$C344+$D344-$E344+$F344-$G344)</f>
        <v/>
      </c>
      <c r="K344" s="18" t="str">
        <f aca="false">IF($A344="","",MAX(0,$B344-$J344))</f>
        <v/>
      </c>
      <c r="L344" s="19" t="str">
        <f aca="false">IF($A344="","",IF($B344=0,0,$K344/$B344))</f>
        <v/>
      </c>
      <c r="M344" s="20" t="str">
        <f aca="false">IF($A344="","",IF($J344&lt;0,"BORCA BATIK",IF($I344&lt;$H344,"BORCA BATIK",IF($L344&gt;=TtkUcteIkiEsik,"2/3 KAYIP (KRİTİK)",IF($L344&gt;=TtkUcteBirEsik,"1/3 KAYIP (DİKKAT)","UYGUN")))))</f>
        <v/>
      </c>
    </row>
    <row r="345" customFormat="false" ht="15" hidden="false" customHeight="false" outlineLevel="0" collapsed="false">
      <c r="A345" s="21"/>
      <c r="B345" s="17"/>
      <c r="C345" s="17"/>
      <c r="D345" s="17"/>
      <c r="E345" s="17"/>
      <c r="F345" s="17"/>
      <c r="G345" s="17"/>
      <c r="H345" s="17"/>
      <c r="I345" s="17"/>
      <c r="J345" s="18" t="str">
        <f aca="false">IF($A345="","",$B345+$C345+$D345-$E345+$F345-$G345)</f>
        <v/>
      </c>
      <c r="K345" s="18" t="str">
        <f aca="false">IF($A345="","",MAX(0,$B345-$J345))</f>
        <v/>
      </c>
      <c r="L345" s="19" t="str">
        <f aca="false">IF($A345="","",IF($B345=0,0,$K345/$B345))</f>
        <v/>
      </c>
      <c r="M345" s="20" t="str">
        <f aca="false">IF($A345="","",IF($J345&lt;0,"BORCA BATIK",IF($I345&lt;$H345,"BORCA BATIK",IF($L345&gt;=TtkUcteIkiEsik,"2/3 KAYIP (KRİTİK)",IF($L345&gt;=TtkUcteBirEsik,"1/3 KAYIP (DİKKAT)","UYGUN")))))</f>
        <v/>
      </c>
    </row>
    <row r="346" customFormat="false" ht="15" hidden="false" customHeight="false" outlineLevel="0" collapsed="false">
      <c r="A346" s="21"/>
      <c r="B346" s="17"/>
      <c r="C346" s="17"/>
      <c r="D346" s="17"/>
      <c r="E346" s="17"/>
      <c r="F346" s="17"/>
      <c r="G346" s="17"/>
      <c r="H346" s="17"/>
      <c r="I346" s="17"/>
      <c r="J346" s="18" t="str">
        <f aca="false">IF($A346="","",$B346+$C346+$D346-$E346+$F346-$G346)</f>
        <v/>
      </c>
      <c r="K346" s="18" t="str">
        <f aca="false">IF($A346="","",MAX(0,$B346-$J346))</f>
        <v/>
      </c>
      <c r="L346" s="19" t="str">
        <f aca="false">IF($A346="","",IF($B346=0,0,$K346/$B346))</f>
        <v/>
      </c>
      <c r="M346" s="20" t="str">
        <f aca="false">IF($A346="","",IF($J346&lt;0,"BORCA BATIK",IF($I346&lt;$H346,"BORCA BATIK",IF($L346&gt;=TtkUcteIkiEsik,"2/3 KAYIP (KRİTİK)",IF($L346&gt;=TtkUcteBirEsik,"1/3 KAYIP (DİKKAT)","UYGUN")))))</f>
        <v/>
      </c>
    </row>
    <row r="347" customFormat="false" ht="15" hidden="false" customHeight="false" outlineLevel="0" collapsed="false">
      <c r="A347" s="21"/>
      <c r="B347" s="17"/>
      <c r="C347" s="17"/>
      <c r="D347" s="17"/>
      <c r="E347" s="17"/>
      <c r="F347" s="17"/>
      <c r="G347" s="17"/>
      <c r="H347" s="17"/>
      <c r="I347" s="17"/>
      <c r="J347" s="18" t="str">
        <f aca="false">IF($A347="","",$B347+$C347+$D347-$E347+$F347-$G347)</f>
        <v/>
      </c>
      <c r="K347" s="18" t="str">
        <f aca="false">IF($A347="","",MAX(0,$B347-$J347))</f>
        <v/>
      </c>
      <c r="L347" s="19" t="str">
        <f aca="false">IF($A347="","",IF($B347=0,0,$K347/$B347))</f>
        <v/>
      </c>
      <c r="M347" s="20" t="str">
        <f aca="false">IF($A347="","",IF($J347&lt;0,"BORCA BATIK",IF($I347&lt;$H347,"BORCA BATIK",IF($L347&gt;=TtkUcteIkiEsik,"2/3 KAYIP (KRİTİK)",IF($L347&gt;=TtkUcteBirEsik,"1/3 KAYIP (DİKKAT)","UYGUN")))))</f>
        <v/>
      </c>
    </row>
    <row r="348" customFormat="false" ht="15" hidden="false" customHeight="false" outlineLevel="0" collapsed="false">
      <c r="A348" s="21"/>
      <c r="B348" s="17"/>
      <c r="C348" s="17"/>
      <c r="D348" s="17"/>
      <c r="E348" s="17"/>
      <c r="F348" s="17"/>
      <c r="G348" s="17"/>
      <c r="H348" s="17"/>
      <c r="I348" s="17"/>
      <c r="J348" s="18" t="str">
        <f aca="false">IF($A348="","",$B348+$C348+$D348-$E348+$F348-$G348)</f>
        <v/>
      </c>
      <c r="K348" s="18" t="str">
        <f aca="false">IF($A348="","",MAX(0,$B348-$J348))</f>
        <v/>
      </c>
      <c r="L348" s="19" t="str">
        <f aca="false">IF($A348="","",IF($B348=0,0,$K348/$B348))</f>
        <v/>
      </c>
      <c r="M348" s="20" t="str">
        <f aca="false">IF($A348="","",IF($J348&lt;0,"BORCA BATIK",IF($I348&lt;$H348,"BORCA BATIK",IF($L348&gt;=TtkUcteIkiEsik,"2/3 KAYIP (KRİTİK)",IF($L348&gt;=TtkUcteBirEsik,"1/3 KAYIP (DİKKAT)","UYGUN")))))</f>
        <v/>
      </c>
    </row>
    <row r="349" customFormat="false" ht="15" hidden="false" customHeight="false" outlineLevel="0" collapsed="false">
      <c r="A349" s="21"/>
      <c r="B349" s="17"/>
      <c r="C349" s="17"/>
      <c r="D349" s="17"/>
      <c r="E349" s="17"/>
      <c r="F349" s="17"/>
      <c r="G349" s="17"/>
      <c r="H349" s="17"/>
      <c r="I349" s="17"/>
      <c r="J349" s="18" t="str">
        <f aca="false">IF($A349="","",$B349+$C349+$D349-$E349+$F349-$G349)</f>
        <v/>
      </c>
      <c r="K349" s="18" t="str">
        <f aca="false">IF($A349="","",MAX(0,$B349-$J349))</f>
        <v/>
      </c>
      <c r="L349" s="19" t="str">
        <f aca="false">IF($A349="","",IF($B349=0,0,$K349/$B349))</f>
        <v/>
      </c>
      <c r="M349" s="20" t="str">
        <f aca="false">IF($A349="","",IF($J349&lt;0,"BORCA BATIK",IF($I349&lt;$H349,"BORCA BATIK",IF($L349&gt;=TtkUcteIkiEsik,"2/3 KAYIP (KRİTİK)",IF($L349&gt;=TtkUcteBirEsik,"1/3 KAYIP (DİKKAT)","UYGUN")))))</f>
        <v/>
      </c>
    </row>
    <row r="350" customFormat="false" ht="15" hidden="false" customHeight="false" outlineLevel="0" collapsed="false">
      <c r="A350" s="21"/>
      <c r="B350" s="17"/>
      <c r="C350" s="17"/>
      <c r="D350" s="17"/>
      <c r="E350" s="17"/>
      <c r="F350" s="17"/>
      <c r="G350" s="17"/>
      <c r="H350" s="17"/>
      <c r="I350" s="17"/>
      <c r="J350" s="18" t="str">
        <f aca="false">IF($A350="","",$B350+$C350+$D350-$E350+$F350-$G350)</f>
        <v/>
      </c>
      <c r="K350" s="18" t="str">
        <f aca="false">IF($A350="","",MAX(0,$B350-$J350))</f>
        <v/>
      </c>
      <c r="L350" s="19" t="str">
        <f aca="false">IF($A350="","",IF($B350=0,0,$K350/$B350))</f>
        <v/>
      </c>
      <c r="M350" s="20" t="str">
        <f aca="false">IF($A350="","",IF($J350&lt;0,"BORCA BATIK",IF($I350&lt;$H350,"BORCA BATIK",IF($L350&gt;=TtkUcteIkiEsik,"2/3 KAYIP (KRİTİK)",IF($L350&gt;=TtkUcteBirEsik,"1/3 KAYIP (DİKKAT)","UYGUN")))))</f>
        <v/>
      </c>
    </row>
    <row r="351" customFormat="false" ht="15" hidden="false" customHeight="false" outlineLevel="0" collapsed="false">
      <c r="A351" s="21"/>
      <c r="B351" s="17"/>
      <c r="C351" s="17"/>
      <c r="D351" s="17"/>
      <c r="E351" s="17"/>
      <c r="F351" s="17"/>
      <c r="G351" s="17"/>
      <c r="H351" s="17"/>
      <c r="I351" s="17"/>
      <c r="J351" s="18" t="str">
        <f aca="false">IF($A351="","",$B351+$C351+$D351-$E351+$F351-$G351)</f>
        <v/>
      </c>
      <c r="K351" s="18" t="str">
        <f aca="false">IF($A351="","",MAX(0,$B351-$J351))</f>
        <v/>
      </c>
      <c r="L351" s="19" t="str">
        <f aca="false">IF($A351="","",IF($B351=0,0,$K351/$B351))</f>
        <v/>
      </c>
      <c r="M351" s="20" t="str">
        <f aca="false">IF($A351="","",IF($J351&lt;0,"BORCA BATIK",IF($I351&lt;$H351,"BORCA BATIK",IF($L351&gt;=TtkUcteIkiEsik,"2/3 KAYIP (KRİTİK)",IF($L351&gt;=TtkUcteBirEsik,"1/3 KAYIP (DİKKAT)","UYGUN")))))</f>
        <v/>
      </c>
    </row>
    <row r="352" customFormat="false" ht="15" hidden="false" customHeight="false" outlineLevel="0" collapsed="false">
      <c r="A352" s="21"/>
      <c r="B352" s="17"/>
      <c r="C352" s="17"/>
      <c r="D352" s="17"/>
      <c r="E352" s="17"/>
      <c r="F352" s="17"/>
      <c r="G352" s="17"/>
      <c r="H352" s="17"/>
      <c r="I352" s="17"/>
      <c r="J352" s="18" t="str">
        <f aca="false">IF($A352="","",$B352+$C352+$D352-$E352+$F352-$G352)</f>
        <v/>
      </c>
      <c r="K352" s="18" t="str">
        <f aca="false">IF($A352="","",MAX(0,$B352-$J352))</f>
        <v/>
      </c>
      <c r="L352" s="19" t="str">
        <f aca="false">IF($A352="","",IF($B352=0,0,$K352/$B352))</f>
        <v/>
      </c>
      <c r="M352" s="20" t="str">
        <f aca="false">IF($A352="","",IF($J352&lt;0,"BORCA BATIK",IF($I352&lt;$H352,"BORCA BATIK",IF($L352&gt;=TtkUcteIkiEsik,"2/3 KAYIP (KRİTİK)",IF($L352&gt;=TtkUcteBirEsik,"1/3 KAYIP (DİKKAT)","UYGUN")))))</f>
        <v/>
      </c>
    </row>
    <row r="353" customFormat="false" ht="15" hidden="false" customHeight="false" outlineLevel="0" collapsed="false">
      <c r="A353" s="21"/>
      <c r="B353" s="17"/>
      <c r="C353" s="17"/>
      <c r="D353" s="17"/>
      <c r="E353" s="17"/>
      <c r="F353" s="17"/>
      <c r="G353" s="17"/>
      <c r="H353" s="17"/>
      <c r="I353" s="17"/>
      <c r="J353" s="18" t="str">
        <f aca="false">IF($A353="","",$B353+$C353+$D353-$E353+$F353-$G353)</f>
        <v/>
      </c>
      <c r="K353" s="18" t="str">
        <f aca="false">IF($A353="","",MAX(0,$B353-$J353))</f>
        <v/>
      </c>
      <c r="L353" s="19" t="str">
        <f aca="false">IF($A353="","",IF($B353=0,0,$K353/$B353))</f>
        <v/>
      </c>
      <c r="M353" s="20" t="str">
        <f aca="false">IF($A353="","",IF($J353&lt;0,"BORCA BATIK",IF($I353&lt;$H353,"BORCA BATIK",IF($L353&gt;=TtkUcteIkiEsik,"2/3 KAYIP (KRİTİK)",IF($L353&gt;=TtkUcteBirEsik,"1/3 KAYIP (DİKKAT)","UYGUN")))))</f>
        <v/>
      </c>
    </row>
    <row r="354" customFormat="false" ht="15" hidden="false" customHeight="false" outlineLevel="0" collapsed="false">
      <c r="A354" s="21"/>
      <c r="B354" s="17"/>
      <c r="C354" s="17"/>
      <c r="D354" s="17"/>
      <c r="E354" s="17"/>
      <c r="F354" s="17"/>
      <c r="G354" s="17"/>
      <c r="H354" s="17"/>
      <c r="I354" s="17"/>
      <c r="J354" s="18" t="str">
        <f aca="false">IF($A354="","",$B354+$C354+$D354-$E354+$F354-$G354)</f>
        <v/>
      </c>
      <c r="K354" s="18" t="str">
        <f aca="false">IF($A354="","",MAX(0,$B354-$J354))</f>
        <v/>
      </c>
      <c r="L354" s="19" t="str">
        <f aca="false">IF($A354="","",IF($B354=0,0,$K354/$B354))</f>
        <v/>
      </c>
      <c r="M354" s="20" t="str">
        <f aca="false">IF($A354="","",IF($J354&lt;0,"BORCA BATIK",IF($I354&lt;$H354,"BORCA BATIK",IF($L354&gt;=TtkUcteIkiEsik,"2/3 KAYIP (KRİTİK)",IF($L354&gt;=TtkUcteBirEsik,"1/3 KAYIP (DİKKAT)","UYGUN")))))</f>
        <v/>
      </c>
    </row>
    <row r="355" customFormat="false" ht="15" hidden="false" customHeight="false" outlineLevel="0" collapsed="false">
      <c r="A355" s="21"/>
      <c r="B355" s="17"/>
      <c r="C355" s="17"/>
      <c r="D355" s="17"/>
      <c r="E355" s="17"/>
      <c r="F355" s="17"/>
      <c r="G355" s="17"/>
      <c r="H355" s="17"/>
      <c r="I355" s="17"/>
      <c r="J355" s="18" t="str">
        <f aca="false">IF($A355="","",$B355+$C355+$D355-$E355+$F355-$G355)</f>
        <v/>
      </c>
      <c r="K355" s="18" t="str">
        <f aca="false">IF($A355="","",MAX(0,$B355-$J355))</f>
        <v/>
      </c>
      <c r="L355" s="19" t="str">
        <f aca="false">IF($A355="","",IF($B355=0,0,$K355/$B355))</f>
        <v/>
      </c>
      <c r="M355" s="20" t="str">
        <f aca="false">IF($A355="","",IF($J355&lt;0,"BORCA BATIK",IF($I355&lt;$H355,"BORCA BATIK",IF($L355&gt;=TtkUcteIkiEsik,"2/3 KAYIP (KRİTİK)",IF($L355&gt;=TtkUcteBirEsik,"1/3 KAYIP (DİKKAT)","UYGUN")))))</f>
        <v/>
      </c>
    </row>
    <row r="356" customFormat="false" ht="15" hidden="false" customHeight="false" outlineLevel="0" collapsed="false">
      <c r="A356" s="21"/>
      <c r="B356" s="17"/>
      <c r="C356" s="17"/>
      <c r="D356" s="17"/>
      <c r="E356" s="17"/>
      <c r="F356" s="17"/>
      <c r="G356" s="17"/>
      <c r="H356" s="17"/>
      <c r="I356" s="17"/>
      <c r="J356" s="18" t="str">
        <f aca="false">IF($A356="","",$B356+$C356+$D356-$E356+$F356-$G356)</f>
        <v/>
      </c>
      <c r="K356" s="18" t="str">
        <f aca="false">IF($A356="","",MAX(0,$B356-$J356))</f>
        <v/>
      </c>
      <c r="L356" s="19" t="str">
        <f aca="false">IF($A356="","",IF($B356=0,0,$K356/$B356))</f>
        <v/>
      </c>
      <c r="M356" s="20" t="str">
        <f aca="false">IF($A356="","",IF($J356&lt;0,"BORCA BATIK",IF($I356&lt;$H356,"BORCA BATIK",IF($L356&gt;=TtkUcteIkiEsik,"2/3 KAYIP (KRİTİK)",IF($L356&gt;=TtkUcteBirEsik,"1/3 KAYIP (DİKKAT)","UYGUN")))))</f>
        <v/>
      </c>
    </row>
    <row r="357" customFormat="false" ht="15" hidden="false" customHeight="false" outlineLevel="0" collapsed="false">
      <c r="A357" s="21"/>
      <c r="B357" s="17"/>
      <c r="C357" s="17"/>
      <c r="D357" s="17"/>
      <c r="E357" s="17"/>
      <c r="F357" s="17"/>
      <c r="G357" s="17"/>
      <c r="H357" s="17"/>
      <c r="I357" s="17"/>
      <c r="J357" s="18" t="str">
        <f aca="false">IF($A357="","",$B357+$C357+$D357-$E357+$F357-$G357)</f>
        <v/>
      </c>
      <c r="K357" s="18" t="str">
        <f aca="false">IF($A357="","",MAX(0,$B357-$J357))</f>
        <v/>
      </c>
      <c r="L357" s="19" t="str">
        <f aca="false">IF($A357="","",IF($B357=0,0,$K357/$B357))</f>
        <v/>
      </c>
      <c r="M357" s="20" t="str">
        <f aca="false">IF($A357="","",IF($J357&lt;0,"BORCA BATIK",IF($I357&lt;$H357,"BORCA BATIK",IF($L357&gt;=TtkUcteIkiEsik,"2/3 KAYIP (KRİTİK)",IF($L357&gt;=TtkUcteBirEsik,"1/3 KAYIP (DİKKAT)","UYGUN")))))</f>
        <v/>
      </c>
    </row>
    <row r="358" customFormat="false" ht="15" hidden="false" customHeight="false" outlineLevel="0" collapsed="false">
      <c r="A358" s="21"/>
      <c r="B358" s="17"/>
      <c r="C358" s="17"/>
      <c r="D358" s="17"/>
      <c r="E358" s="17"/>
      <c r="F358" s="17"/>
      <c r="G358" s="17"/>
      <c r="H358" s="17"/>
      <c r="I358" s="17"/>
      <c r="J358" s="18" t="str">
        <f aca="false">IF($A358="","",$B358+$C358+$D358-$E358+$F358-$G358)</f>
        <v/>
      </c>
      <c r="K358" s="18" t="str">
        <f aca="false">IF($A358="","",MAX(0,$B358-$J358))</f>
        <v/>
      </c>
      <c r="L358" s="19" t="str">
        <f aca="false">IF($A358="","",IF($B358=0,0,$K358/$B358))</f>
        <v/>
      </c>
      <c r="M358" s="20" t="str">
        <f aca="false">IF($A358="","",IF($J358&lt;0,"BORCA BATIK",IF($I358&lt;$H358,"BORCA BATIK",IF($L358&gt;=TtkUcteIkiEsik,"2/3 KAYIP (KRİTİK)",IF($L358&gt;=TtkUcteBirEsik,"1/3 KAYIP (DİKKAT)","UYGUN")))))</f>
        <v/>
      </c>
    </row>
    <row r="359" customFormat="false" ht="15" hidden="false" customHeight="false" outlineLevel="0" collapsed="false">
      <c r="A359" s="21"/>
      <c r="B359" s="17"/>
      <c r="C359" s="17"/>
      <c r="D359" s="17"/>
      <c r="E359" s="17"/>
      <c r="F359" s="17"/>
      <c r="G359" s="17"/>
      <c r="H359" s="17"/>
      <c r="I359" s="17"/>
      <c r="J359" s="18" t="str">
        <f aca="false">IF($A359="","",$B359+$C359+$D359-$E359+$F359-$G359)</f>
        <v/>
      </c>
      <c r="K359" s="18" t="str">
        <f aca="false">IF($A359="","",MAX(0,$B359-$J359))</f>
        <v/>
      </c>
      <c r="L359" s="19" t="str">
        <f aca="false">IF($A359="","",IF($B359=0,0,$K359/$B359))</f>
        <v/>
      </c>
      <c r="M359" s="20" t="str">
        <f aca="false">IF($A359="","",IF($J359&lt;0,"BORCA BATIK",IF($I359&lt;$H359,"BORCA BATIK",IF($L359&gt;=TtkUcteIkiEsik,"2/3 KAYIP (KRİTİK)",IF($L359&gt;=TtkUcteBirEsik,"1/3 KAYIP (DİKKAT)","UYGUN")))))</f>
        <v/>
      </c>
    </row>
    <row r="360" customFormat="false" ht="15" hidden="false" customHeight="false" outlineLevel="0" collapsed="false">
      <c r="A360" s="21"/>
      <c r="B360" s="17"/>
      <c r="C360" s="17"/>
      <c r="D360" s="17"/>
      <c r="E360" s="17"/>
      <c r="F360" s="17"/>
      <c r="G360" s="17"/>
      <c r="H360" s="17"/>
      <c r="I360" s="17"/>
      <c r="J360" s="18" t="str">
        <f aca="false">IF($A360="","",$B360+$C360+$D360-$E360+$F360-$G360)</f>
        <v/>
      </c>
      <c r="K360" s="18" t="str">
        <f aca="false">IF($A360="","",MAX(0,$B360-$J360))</f>
        <v/>
      </c>
      <c r="L360" s="19" t="str">
        <f aca="false">IF($A360="","",IF($B360=0,0,$K360/$B360))</f>
        <v/>
      </c>
      <c r="M360" s="20" t="str">
        <f aca="false">IF($A360="","",IF($J360&lt;0,"BORCA BATIK",IF($I360&lt;$H360,"BORCA BATIK",IF($L360&gt;=TtkUcteIkiEsik,"2/3 KAYIP (KRİTİK)",IF($L360&gt;=TtkUcteBirEsik,"1/3 KAYIP (DİKKAT)","UYGUN")))))</f>
        <v/>
      </c>
    </row>
    <row r="361" customFormat="false" ht="15" hidden="false" customHeight="false" outlineLevel="0" collapsed="false">
      <c r="A361" s="21"/>
      <c r="B361" s="17"/>
      <c r="C361" s="17"/>
      <c r="D361" s="17"/>
      <c r="E361" s="17"/>
      <c r="F361" s="17"/>
      <c r="G361" s="17"/>
      <c r="H361" s="17"/>
      <c r="I361" s="17"/>
      <c r="J361" s="18" t="str">
        <f aca="false">IF($A361="","",$B361+$C361+$D361-$E361+$F361-$G361)</f>
        <v/>
      </c>
      <c r="K361" s="18" t="str">
        <f aca="false">IF($A361="","",MAX(0,$B361-$J361))</f>
        <v/>
      </c>
      <c r="L361" s="19" t="str">
        <f aca="false">IF($A361="","",IF($B361=0,0,$K361/$B361))</f>
        <v/>
      </c>
      <c r="M361" s="20" t="str">
        <f aca="false">IF($A361="","",IF($J361&lt;0,"BORCA BATIK",IF($I361&lt;$H361,"BORCA BATIK",IF($L361&gt;=TtkUcteIkiEsik,"2/3 KAYIP (KRİTİK)",IF($L361&gt;=TtkUcteBirEsik,"1/3 KAYIP (DİKKAT)","UYGUN")))))</f>
        <v/>
      </c>
    </row>
    <row r="362" customFormat="false" ht="15" hidden="false" customHeight="false" outlineLevel="0" collapsed="false">
      <c r="A362" s="21"/>
      <c r="B362" s="17"/>
      <c r="C362" s="17"/>
      <c r="D362" s="17"/>
      <c r="E362" s="17"/>
      <c r="F362" s="17"/>
      <c r="G362" s="17"/>
      <c r="H362" s="17"/>
      <c r="I362" s="17"/>
      <c r="J362" s="18" t="str">
        <f aca="false">IF($A362="","",$B362+$C362+$D362-$E362+$F362-$G362)</f>
        <v/>
      </c>
      <c r="K362" s="18" t="str">
        <f aca="false">IF($A362="","",MAX(0,$B362-$J362))</f>
        <v/>
      </c>
      <c r="L362" s="19" t="str">
        <f aca="false">IF($A362="","",IF($B362=0,0,$K362/$B362))</f>
        <v/>
      </c>
      <c r="M362" s="20" t="str">
        <f aca="false">IF($A362="","",IF($J362&lt;0,"BORCA BATIK",IF($I362&lt;$H362,"BORCA BATIK",IF($L362&gt;=TtkUcteIkiEsik,"2/3 KAYIP (KRİTİK)",IF($L362&gt;=TtkUcteBirEsik,"1/3 KAYIP (DİKKAT)","UYGUN")))))</f>
        <v/>
      </c>
    </row>
    <row r="363" customFormat="false" ht="15" hidden="false" customHeight="false" outlineLevel="0" collapsed="false">
      <c r="A363" s="21"/>
      <c r="B363" s="17"/>
      <c r="C363" s="17"/>
      <c r="D363" s="17"/>
      <c r="E363" s="17"/>
      <c r="F363" s="17"/>
      <c r="G363" s="17"/>
      <c r="H363" s="17"/>
      <c r="I363" s="17"/>
      <c r="J363" s="18" t="str">
        <f aca="false">IF($A363="","",$B363+$C363+$D363-$E363+$F363-$G363)</f>
        <v/>
      </c>
      <c r="K363" s="18" t="str">
        <f aca="false">IF($A363="","",MAX(0,$B363-$J363))</f>
        <v/>
      </c>
      <c r="L363" s="19" t="str">
        <f aca="false">IF($A363="","",IF($B363=0,0,$K363/$B363))</f>
        <v/>
      </c>
      <c r="M363" s="20" t="str">
        <f aca="false">IF($A363="","",IF($J363&lt;0,"BORCA BATIK",IF($I363&lt;$H363,"BORCA BATIK",IF($L363&gt;=TtkUcteIkiEsik,"2/3 KAYIP (KRİTİK)",IF($L363&gt;=TtkUcteBirEsik,"1/3 KAYIP (DİKKAT)","UYGUN")))))</f>
        <v/>
      </c>
    </row>
    <row r="364" customFormat="false" ht="15" hidden="false" customHeight="false" outlineLevel="0" collapsed="false">
      <c r="A364" s="21"/>
      <c r="B364" s="17"/>
      <c r="C364" s="17"/>
      <c r="D364" s="17"/>
      <c r="E364" s="17"/>
      <c r="F364" s="17"/>
      <c r="G364" s="17"/>
      <c r="H364" s="17"/>
      <c r="I364" s="17"/>
      <c r="J364" s="18" t="str">
        <f aca="false">IF($A364="","",$B364+$C364+$D364-$E364+$F364-$G364)</f>
        <v/>
      </c>
      <c r="K364" s="18" t="str">
        <f aca="false">IF($A364="","",MAX(0,$B364-$J364))</f>
        <v/>
      </c>
      <c r="L364" s="19" t="str">
        <f aca="false">IF($A364="","",IF($B364=0,0,$K364/$B364))</f>
        <v/>
      </c>
      <c r="M364" s="20" t="str">
        <f aca="false">IF($A364="","",IF($J364&lt;0,"BORCA BATIK",IF($I364&lt;$H364,"BORCA BATIK",IF($L364&gt;=TtkUcteIkiEsik,"2/3 KAYIP (KRİTİK)",IF($L364&gt;=TtkUcteBirEsik,"1/3 KAYIP (DİKKAT)","UYGUN")))))</f>
        <v/>
      </c>
    </row>
    <row r="365" customFormat="false" ht="15" hidden="false" customHeight="false" outlineLevel="0" collapsed="false">
      <c r="A365" s="21"/>
      <c r="B365" s="17"/>
      <c r="C365" s="17"/>
      <c r="D365" s="17"/>
      <c r="E365" s="17"/>
      <c r="F365" s="17"/>
      <c r="G365" s="17"/>
      <c r="H365" s="17"/>
      <c r="I365" s="17"/>
      <c r="J365" s="18" t="str">
        <f aca="false">IF($A365="","",$B365+$C365+$D365-$E365+$F365-$G365)</f>
        <v/>
      </c>
      <c r="K365" s="18" t="str">
        <f aca="false">IF($A365="","",MAX(0,$B365-$J365))</f>
        <v/>
      </c>
      <c r="L365" s="19" t="str">
        <f aca="false">IF($A365="","",IF($B365=0,0,$K365/$B365))</f>
        <v/>
      </c>
      <c r="M365" s="20" t="str">
        <f aca="false">IF($A365="","",IF($J365&lt;0,"BORCA BATIK",IF($I365&lt;$H365,"BORCA BATIK",IF($L365&gt;=TtkUcteIkiEsik,"2/3 KAYIP (KRİTİK)",IF($L365&gt;=TtkUcteBirEsik,"1/3 KAYIP (DİKKAT)","UYGUN")))))</f>
        <v/>
      </c>
    </row>
    <row r="366" customFormat="false" ht="15" hidden="false" customHeight="false" outlineLevel="0" collapsed="false">
      <c r="A366" s="21"/>
      <c r="B366" s="17"/>
      <c r="C366" s="17"/>
      <c r="D366" s="17"/>
      <c r="E366" s="17"/>
      <c r="F366" s="17"/>
      <c r="G366" s="17"/>
      <c r="H366" s="17"/>
      <c r="I366" s="17"/>
      <c r="J366" s="18" t="str">
        <f aca="false">IF($A366="","",$B366+$C366+$D366-$E366+$F366-$G366)</f>
        <v/>
      </c>
      <c r="K366" s="18" t="str">
        <f aca="false">IF($A366="","",MAX(0,$B366-$J366))</f>
        <v/>
      </c>
      <c r="L366" s="19" t="str">
        <f aca="false">IF($A366="","",IF($B366=0,0,$K366/$B366))</f>
        <v/>
      </c>
      <c r="M366" s="20" t="str">
        <f aca="false">IF($A366="","",IF($J366&lt;0,"BORCA BATIK",IF($I366&lt;$H366,"BORCA BATIK",IF($L366&gt;=TtkUcteIkiEsik,"2/3 KAYIP (KRİTİK)",IF($L366&gt;=TtkUcteBirEsik,"1/3 KAYIP (DİKKAT)","UYGUN")))))</f>
        <v/>
      </c>
    </row>
    <row r="367" customFormat="false" ht="15" hidden="false" customHeight="false" outlineLevel="0" collapsed="false">
      <c r="A367" s="21"/>
      <c r="B367" s="17"/>
      <c r="C367" s="17"/>
      <c r="D367" s="17"/>
      <c r="E367" s="17"/>
      <c r="F367" s="17"/>
      <c r="G367" s="17"/>
      <c r="H367" s="17"/>
      <c r="I367" s="17"/>
      <c r="J367" s="18" t="str">
        <f aca="false">IF($A367="","",$B367+$C367+$D367-$E367+$F367-$G367)</f>
        <v/>
      </c>
      <c r="K367" s="18" t="str">
        <f aca="false">IF($A367="","",MAX(0,$B367-$J367))</f>
        <v/>
      </c>
      <c r="L367" s="19" t="str">
        <f aca="false">IF($A367="","",IF($B367=0,0,$K367/$B367))</f>
        <v/>
      </c>
      <c r="M367" s="20" t="str">
        <f aca="false">IF($A367="","",IF($J367&lt;0,"BORCA BATIK",IF($I367&lt;$H367,"BORCA BATIK",IF($L367&gt;=TtkUcteIkiEsik,"2/3 KAYIP (KRİTİK)",IF($L367&gt;=TtkUcteBirEsik,"1/3 KAYIP (DİKKAT)","UYGUN")))))</f>
        <v/>
      </c>
    </row>
    <row r="368" customFormat="false" ht="15" hidden="false" customHeight="false" outlineLevel="0" collapsed="false">
      <c r="A368" s="21"/>
      <c r="B368" s="17"/>
      <c r="C368" s="17"/>
      <c r="D368" s="17"/>
      <c r="E368" s="17"/>
      <c r="F368" s="17"/>
      <c r="G368" s="17"/>
      <c r="H368" s="17"/>
      <c r="I368" s="17"/>
      <c r="J368" s="18" t="str">
        <f aca="false">IF($A368="","",$B368+$C368+$D368-$E368+$F368-$G368)</f>
        <v/>
      </c>
      <c r="K368" s="18" t="str">
        <f aca="false">IF($A368="","",MAX(0,$B368-$J368))</f>
        <v/>
      </c>
      <c r="L368" s="19" t="str">
        <f aca="false">IF($A368="","",IF($B368=0,0,$K368/$B368))</f>
        <v/>
      </c>
      <c r="M368" s="20" t="str">
        <f aca="false">IF($A368="","",IF($J368&lt;0,"BORCA BATIK",IF($I368&lt;$H368,"BORCA BATIK",IF($L368&gt;=TtkUcteIkiEsik,"2/3 KAYIP (KRİTİK)",IF($L368&gt;=TtkUcteBirEsik,"1/3 KAYIP (DİKKAT)","UYGUN")))))</f>
        <v/>
      </c>
    </row>
    <row r="369" customFormat="false" ht="15" hidden="false" customHeight="false" outlineLevel="0" collapsed="false">
      <c r="A369" s="21"/>
      <c r="B369" s="17"/>
      <c r="C369" s="17"/>
      <c r="D369" s="17"/>
      <c r="E369" s="17"/>
      <c r="F369" s="17"/>
      <c r="G369" s="17"/>
      <c r="H369" s="17"/>
      <c r="I369" s="17"/>
      <c r="J369" s="18" t="str">
        <f aca="false">IF($A369="","",$B369+$C369+$D369-$E369+$F369-$G369)</f>
        <v/>
      </c>
      <c r="K369" s="18" t="str">
        <f aca="false">IF($A369="","",MAX(0,$B369-$J369))</f>
        <v/>
      </c>
      <c r="L369" s="19" t="str">
        <f aca="false">IF($A369="","",IF($B369=0,0,$K369/$B369))</f>
        <v/>
      </c>
      <c r="M369" s="20" t="str">
        <f aca="false">IF($A369="","",IF($J369&lt;0,"BORCA BATIK",IF($I369&lt;$H369,"BORCA BATIK",IF($L369&gt;=TtkUcteIkiEsik,"2/3 KAYIP (KRİTİK)",IF($L369&gt;=TtkUcteBirEsik,"1/3 KAYIP (DİKKAT)","UYGUN")))))</f>
        <v/>
      </c>
    </row>
    <row r="370" customFormat="false" ht="15" hidden="false" customHeight="false" outlineLevel="0" collapsed="false">
      <c r="A370" s="21"/>
      <c r="B370" s="17"/>
      <c r="C370" s="17"/>
      <c r="D370" s="17"/>
      <c r="E370" s="17"/>
      <c r="F370" s="17"/>
      <c r="G370" s="17"/>
      <c r="H370" s="17"/>
      <c r="I370" s="17"/>
      <c r="J370" s="18" t="str">
        <f aca="false">IF($A370="","",$B370+$C370+$D370-$E370+$F370-$G370)</f>
        <v/>
      </c>
      <c r="K370" s="18" t="str">
        <f aca="false">IF($A370="","",MAX(0,$B370-$J370))</f>
        <v/>
      </c>
      <c r="L370" s="19" t="str">
        <f aca="false">IF($A370="","",IF($B370=0,0,$K370/$B370))</f>
        <v/>
      </c>
      <c r="M370" s="20" t="str">
        <f aca="false">IF($A370="","",IF($J370&lt;0,"BORCA BATIK",IF($I370&lt;$H370,"BORCA BATIK",IF($L370&gt;=TtkUcteIkiEsik,"2/3 KAYIP (KRİTİK)",IF($L370&gt;=TtkUcteBirEsik,"1/3 KAYIP (DİKKAT)","UYGUN")))))</f>
        <v/>
      </c>
    </row>
    <row r="371" customFormat="false" ht="15" hidden="false" customHeight="false" outlineLevel="0" collapsed="false">
      <c r="A371" s="21"/>
      <c r="B371" s="17"/>
      <c r="C371" s="17"/>
      <c r="D371" s="17"/>
      <c r="E371" s="17"/>
      <c r="F371" s="17"/>
      <c r="G371" s="17"/>
      <c r="H371" s="17"/>
      <c r="I371" s="17"/>
      <c r="J371" s="18" t="str">
        <f aca="false">IF($A371="","",$B371+$C371+$D371-$E371+$F371-$G371)</f>
        <v/>
      </c>
      <c r="K371" s="18" t="str">
        <f aca="false">IF($A371="","",MAX(0,$B371-$J371))</f>
        <v/>
      </c>
      <c r="L371" s="19" t="str">
        <f aca="false">IF($A371="","",IF($B371=0,0,$K371/$B371))</f>
        <v/>
      </c>
      <c r="M371" s="20" t="str">
        <f aca="false">IF($A371="","",IF($J371&lt;0,"BORCA BATIK",IF($I371&lt;$H371,"BORCA BATIK",IF($L371&gt;=TtkUcteIkiEsik,"2/3 KAYIP (KRİTİK)",IF($L371&gt;=TtkUcteBirEsik,"1/3 KAYIP (DİKKAT)","UYGUN")))))</f>
        <v/>
      </c>
    </row>
    <row r="372" customFormat="false" ht="15" hidden="false" customHeight="false" outlineLevel="0" collapsed="false">
      <c r="A372" s="21"/>
      <c r="B372" s="17"/>
      <c r="C372" s="17"/>
      <c r="D372" s="17"/>
      <c r="E372" s="17"/>
      <c r="F372" s="17"/>
      <c r="G372" s="17"/>
      <c r="H372" s="17"/>
      <c r="I372" s="17"/>
      <c r="J372" s="18" t="str">
        <f aca="false">IF($A372="","",$B372+$C372+$D372-$E372+$F372-$G372)</f>
        <v/>
      </c>
      <c r="K372" s="18" t="str">
        <f aca="false">IF($A372="","",MAX(0,$B372-$J372))</f>
        <v/>
      </c>
      <c r="L372" s="19" t="str">
        <f aca="false">IF($A372="","",IF($B372=0,0,$K372/$B372))</f>
        <v/>
      </c>
      <c r="M372" s="20" t="str">
        <f aca="false">IF($A372="","",IF($J372&lt;0,"BORCA BATIK",IF($I372&lt;$H372,"BORCA BATIK",IF($L372&gt;=TtkUcteIkiEsik,"2/3 KAYIP (KRİTİK)",IF($L372&gt;=TtkUcteBirEsik,"1/3 KAYIP (DİKKAT)","UYGUN")))))</f>
        <v/>
      </c>
    </row>
    <row r="373" customFormat="false" ht="15" hidden="false" customHeight="false" outlineLevel="0" collapsed="false">
      <c r="A373" s="21"/>
      <c r="B373" s="17"/>
      <c r="C373" s="17"/>
      <c r="D373" s="17"/>
      <c r="E373" s="17"/>
      <c r="F373" s="17"/>
      <c r="G373" s="17"/>
      <c r="H373" s="17"/>
      <c r="I373" s="17"/>
      <c r="J373" s="18" t="str">
        <f aca="false">IF($A373="","",$B373+$C373+$D373-$E373+$F373-$G373)</f>
        <v/>
      </c>
      <c r="K373" s="18" t="str">
        <f aca="false">IF($A373="","",MAX(0,$B373-$J373))</f>
        <v/>
      </c>
      <c r="L373" s="19" t="str">
        <f aca="false">IF($A373="","",IF($B373=0,0,$K373/$B373))</f>
        <v/>
      </c>
      <c r="M373" s="20" t="str">
        <f aca="false">IF($A373="","",IF($J373&lt;0,"BORCA BATIK",IF($I373&lt;$H373,"BORCA BATIK",IF($L373&gt;=TtkUcteIkiEsik,"2/3 KAYIP (KRİTİK)",IF($L373&gt;=TtkUcteBirEsik,"1/3 KAYIP (DİKKAT)","UYGUN")))))</f>
        <v/>
      </c>
    </row>
    <row r="374" customFormat="false" ht="15" hidden="false" customHeight="false" outlineLevel="0" collapsed="false">
      <c r="A374" s="21"/>
      <c r="B374" s="17"/>
      <c r="C374" s="17"/>
      <c r="D374" s="17"/>
      <c r="E374" s="17"/>
      <c r="F374" s="17"/>
      <c r="G374" s="17"/>
      <c r="H374" s="17"/>
      <c r="I374" s="17"/>
      <c r="J374" s="18" t="str">
        <f aca="false">IF($A374="","",$B374+$C374+$D374-$E374+$F374-$G374)</f>
        <v/>
      </c>
      <c r="K374" s="18" t="str">
        <f aca="false">IF($A374="","",MAX(0,$B374-$J374))</f>
        <v/>
      </c>
      <c r="L374" s="19" t="str">
        <f aca="false">IF($A374="","",IF($B374=0,0,$K374/$B374))</f>
        <v/>
      </c>
      <c r="M374" s="20" t="str">
        <f aca="false">IF($A374="","",IF($J374&lt;0,"BORCA BATIK",IF($I374&lt;$H374,"BORCA BATIK",IF($L374&gt;=TtkUcteIkiEsik,"2/3 KAYIP (KRİTİK)",IF($L374&gt;=TtkUcteBirEsik,"1/3 KAYIP (DİKKAT)","UYGUN")))))</f>
        <v/>
      </c>
    </row>
    <row r="375" customFormat="false" ht="15" hidden="false" customHeight="false" outlineLevel="0" collapsed="false">
      <c r="A375" s="21"/>
      <c r="B375" s="17"/>
      <c r="C375" s="17"/>
      <c r="D375" s="17"/>
      <c r="E375" s="17"/>
      <c r="F375" s="17"/>
      <c r="G375" s="17"/>
      <c r="H375" s="17"/>
      <c r="I375" s="17"/>
      <c r="J375" s="18" t="str">
        <f aca="false">IF($A375="","",$B375+$C375+$D375-$E375+$F375-$G375)</f>
        <v/>
      </c>
      <c r="K375" s="18" t="str">
        <f aca="false">IF($A375="","",MAX(0,$B375-$J375))</f>
        <v/>
      </c>
      <c r="L375" s="19" t="str">
        <f aca="false">IF($A375="","",IF($B375=0,0,$K375/$B375))</f>
        <v/>
      </c>
      <c r="M375" s="20" t="str">
        <f aca="false">IF($A375="","",IF($J375&lt;0,"BORCA BATIK",IF($I375&lt;$H375,"BORCA BATIK",IF($L375&gt;=TtkUcteIkiEsik,"2/3 KAYIP (KRİTİK)",IF($L375&gt;=TtkUcteBirEsik,"1/3 KAYIP (DİKKAT)","UYGUN")))))</f>
        <v/>
      </c>
    </row>
    <row r="376" customFormat="false" ht="15" hidden="false" customHeight="false" outlineLevel="0" collapsed="false">
      <c r="A376" s="21"/>
      <c r="B376" s="17"/>
      <c r="C376" s="17"/>
      <c r="D376" s="17"/>
      <c r="E376" s="17"/>
      <c r="F376" s="17"/>
      <c r="G376" s="17"/>
      <c r="H376" s="17"/>
      <c r="I376" s="17"/>
      <c r="J376" s="18" t="str">
        <f aca="false">IF($A376="","",$B376+$C376+$D376-$E376+$F376-$G376)</f>
        <v/>
      </c>
      <c r="K376" s="18" t="str">
        <f aca="false">IF($A376="","",MAX(0,$B376-$J376))</f>
        <v/>
      </c>
      <c r="L376" s="19" t="str">
        <f aca="false">IF($A376="","",IF($B376=0,0,$K376/$B376))</f>
        <v/>
      </c>
      <c r="M376" s="20" t="str">
        <f aca="false">IF($A376="","",IF($J376&lt;0,"BORCA BATIK",IF($I376&lt;$H376,"BORCA BATIK",IF($L376&gt;=TtkUcteIkiEsik,"2/3 KAYIP (KRİTİK)",IF($L376&gt;=TtkUcteBirEsik,"1/3 KAYIP (DİKKAT)","UYGUN")))))</f>
        <v/>
      </c>
    </row>
    <row r="377" customFormat="false" ht="15" hidden="false" customHeight="false" outlineLevel="0" collapsed="false">
      <c r="A377" s="21"/>
      <c r="B377" s="17"/>
      <c r="C377" s="17"/>
      <c r="D377" s="17"/>
      <c r="E377" s="17"/>
      <c r="F377" s="17"/>
      <c r="G377" s="17"/>
      <c r="H377" s="17"/>
      <c r="I377" s="17"/>
      <c r="J377" s="18" t="str">
        <f aca="false">IF($A377="","",$B377+$C377+$D377-$E377+$F377-$G377)</f>
        <v/>
      </c>
      <c r="K377" s="18" t="str">
        <f aca="false">IF($A377="","",MAX(0,$B377-$J377))</f>
        <v/>
      </c>
      <c r="L377" s="19" t="str">
        <f aca="false">IF($A377="","",IF($B377=0,0,$K377/$B377))</f>
        <v/>
      </c>
      <c r="M377" s="20" t="str">
        <f aca="false">IF($A377="","",IF($J377&lt;0,"BORCA BATIK",IF($I377&lt;$H377,"BORCA BATIK",IF($L377&gt;=TtkUcteIkiEsik,"2/3 KAYIP (KRİTİK)",IF($L377&gt;=TtkUcteBirEsik,"1/3 KAYIP (DİKKAT)","UYGUN")))))</f>
        <v/>
      </c>
    </row>
    <row r="378" customFormat="false" ht="15" hidden="false" customHeight="false" outlineLevel="0" collapsed="false">
      <c r="A378" s="21"/>
      <c r="B378" s="17"/>
      <c r="C378" s="17"/>
      <c r="D378" s="17"/>
      <c r="E378" s="17"/>
      <c r="F378" s="17"/>
      <c r="G378" s="17"/>
      <c r="H378" s="17"/>
      <c r="I378" s="17"/>
      <c r="J378" s="18" t="str">
        <f aca="false">IF($A378="","",$B378+$C378+$D378-$E378+$F378-$G378)</f>
        <v/>
      </c>
      <c r="K378" s="18" t="str">
        <f aca="false">IF($A378="","",MAX(0,$B378-$J378))</f>
        <v/>
      </c>
      <c r="L378" s="19" t="str">
        <f aca="false">IF($A378="","",IF($B378=0,0,$K378/$B378))</f>
        <v/>
      </c>
      <c r="M378" s="20" t="str">
        <f aca="false">IF($A378="","",IF($J378&lt;0,"BORCA BATIK",IF($I378&lt;$H378,"BORCA BATIK",IF($L378&gt;=TtkUcteIkiEsik,"2/3 KAYIP (KRİTİK)",IF($L378&gt;=TtkUcteBirEsik,"1/3 KAYIP (DİKKAT)","UYGUN")))))</f>
        <v/>
      </c>
    </row>
    <row r="379" customFormat="false" ht="15" hidden="false" customHeight="false" outlineLevel="0" collapsed="false">
      <c r="A379" s="21"/>
      <c r="B379" s="17"/>
      <c r="C379" s="17"/>
      <c r="D379" s="17"/>
      <c r="E379" s="17"/>
      <c r="F379" s="17"/>
      <c r="G379" s="17"/>
      <c r="H379" s="17"/>
      <c r="I379" s="17"/>
      <c r="J379" s="18" t="str">
        <f aca="false">IF($A379="","",$B379+$C379+$D379-$E379+$F379-$G379)</f>
        <v/>
      </c>
      <c r="K379" s="18" t="str">
        <f aca="false">IF($A379="","",MAX(0,$B379-$J379))</f>
        <v/>
      </c>
      <c r="L379" s="19" t="str">
        <f aca="false">IF($A379="","",IF($B379=0,0,$K379/$B379))</f>
        <v/>
      </c>
      <c r="M379" s="20" t="str">
        <f aca="false">IF($A379="","",IF($J379&lt;0,"BORCA BATIK",IF($I379&lt;$H379,"BORCA BATIK",IF($L379&gt;=TtkUcteIkiEsik,"2/3 KAYIP (KRİTİK)",IF($L379&gt;=TtkUcteBirEsik,"1/3 KAYIP (DİKKAT)","UYGUN")))))</f>
        <v/>
      </c>
    </row>
    <row r="380" customFormat="false" ht="15" hidden="false" customHeight="false" outlineLevel="0" collapsed="false">
      <c r="A380" s="21"/>
      <c r="B380" s="17"/>
      <c r="C380" s="17"/>
      <c r="D380" s="17"/>
      <c r="E380" s="17"/>
      <c r="F380" s="17"/>
      <c r="G380" s="17"/>
      <c r="H380" s="17"/>
      <c r="I380" s="17"/>
      <c r="J380" s="18" t="str">
        <f aca="false">IF($A380="","",$B380+$C380+$D380-$E380+$F380-$G380)</f>
        <v/>
      </c>
      <c r="K380" s="18" t="str">
        <f aca="false">IF($A380="","",MAX(0,$B380-$J380))</f>
        <v/>
      </c>
      <c r="L380" s="19" t="str">
        <f aca="false">IF($A380="","",IF($B380=0,0,$K380/$B380))</f>
        <v/>
      </c>
      <c r="M380" s="20" t="str">
        <f aca="false">IF($A380="","",IF($J380&lt;0,"BORCA BATIK",IF($I380&lt;$H380,"BORCA BATIK",IF($L380&gt;=TtkUcteIkiEsik,"2/3 KAYIP (KRİTİK)",IF($L380&gt;=TtkUcteBirEsik,"1/3 KAYIP (DİKKAT)","UYGUN")))))</f>
        <v/>
      </c>
    </row>
    <row r="381" customFormat="false" ht="15" hidden="false" customHeight="false" outlineLevel="0" collapsed="false">
      <c r="A381" s="21"/>
      <c r="B381" s="17"/>
      <c r="C381" s="17"/>
      <c r="D381" s="17"/>
      <c r="E381" s="17"/>
      <c r="F381" s="17"/>
      <c r="G381" s="17"/>
      <c r="H381" s="17"/>
      <c r="I381" s="17"/>
      <c r="J381" s="18" t="str">
        <f aca="false">IF($A381="","",$B381+$C381+$D381-$E381+$F381-$G381)</f>
        <v/>
      </c>
      <c r="K381" s="18" t="str">
        <f aca="false">IF($A381="","",MAX(0,$B381-$J381))</f>
        <v/>
      </c>
      <c r="L381" s="19" t="str">
        <f aca="false">IF($A381="","",IF($B381=0,0,$K381/$B381))</f>
        <v/>
      </c>
      <c r="M381" s="20" t="str">
        <f aca="false">IF($A381="","",IF($J381&lt;0,"BORCA BATIK",IF($I381&lt;$H381,"BORCA BATIK",IF($L381&gt;=TtkUcteIkiEsik,"2/3 KAYIP (KRİTİK)",IF($L381&gt;=TtkUcteBirEsik,"1/3 KAYIP (DİKKAT)","UYGUN")))))</f>
        <v/>
      </c>
    </row>
    <row r="382" customFormat="false" ht="15" hidden="false" customHeight="false" outlineLevel="0" collapsed="false">
      <c r="A382" s="21"/>
      <c r="B382" s="17"/>
      <c r="C382" s="17"/>
      <c r="D382" s="17"/>
      <c r="E382" s="17"/>
      <c r="F382" s="17"/>
      <c r="G382" s="17"/>
      <c r="H382" s="17"/>
      <c r="I382" s="17"/>
      <c r="J382" s="18" t="str">
        <f aca="false">IF($A382="","",$B382+$C382+$D382-$E382+$F382-$G382)</f>
        <v/>
      </c>
      <c r="K382" s="18" t="str">
        <f aca="false">IF($A382="","",MAX(0,$B382-$J382))</f>
        <v/>
      </c>
      <c r="L382" s="19" t="str">
        <f aca="false">IF($A382="","",IF($B382=0,0,$K382/$B382))</f>
        <v/>
      </c>
      <c r="M382" s="20" t="str">
        <f aca="false">IF($A382="","",IF($J382&lt;0,"BORCA BATIK",IF($I382&lt;$H382,"BORCA BATIK",IF($L382&gt;=TtkUcteIkiEsik,"2/3 KAYIP (KRİTİK)",IF($L382&gt;=TtkUcteBirEsik,"1/3 KAYIP (DİKKAT)","UYGUN")))))</f>
        <v/>
      </c>
    </row>
    <row r="383" customFormat="false" ht="15" hidden="false" customHeight="false" outlineLevel="0" collapsed="false">
      <c r="A383" s="21"/>
      <c r="B383" s="17"/>
      <c r="C383" s="17"/>
      <c r="D383" s="17"/>
      <c r="E383" s="17"/>
      <c r="F383" s="17"/>
      <c r="G383" s="17"/>
      <c r="H383" s="17"/>
      <c r="I383" s="17"/>
      <c r="J383" s="18" t="str">
        <f aca="false">IF($A383="","",$B383+$C383+$D383-$E383+$F383-$G383)</f>
        <v/>
      </c>
      <c r="K383" s="18" t="str">
        <f aca="false">IF($A383="","",MAX(0,$B383-$J383))</f>
        <v/>
      </c>
      <c r="L383" s="19" t="str">
        <f aca="false">IF($A383="","",IF($B383=0,0,$K383/$B383))</f>
        <v/>
      </c>
      <c r="M383" s="20" t="str">
        <f aca="false">IF($A383="","",IF($J383&lt;0,"BORCA BATIK",IF($I383&lt;$H383,"BORCA BATIK",IF($L383&gt;=TtkUcteIkiEsik,"2/3 KAYIP (KRİTİK)",IF($L383&gt;=TtkUcteBirEsik,"1/3 KAYIP (DİKKAT)","UYGUN")))))</f>
        <v/>
      </c>
    </row>
    <row r="384" customFormat="false" ht="15" hidden="false" customHeight="false" outlineLevel="0" collapsed="false">
      <c r="A384" s="21"/>
      <c r="B384" s="17"/>
      <c r="C384" s="17"/>
      <c r="D384" s="17"/>
      <c r="E384" s="17"/>
      <c r="F384" s="17"/>
      <c r="G384" s="17"/>
      <c r="H384" s="17"/>
      <c r="I384" s="17"/>
      <c r="J384" s="18" t="str">
        <f aca="false">IF($A384="","",$B384+$C384+$D384-$E384+$F384-$G384)</f>
        <v/>
      </c>
      <c r="K384" s="18" t="str">
        <f aca="false">IF($A384="","",MAX(0,$B384-$J384))</f>
        <v/>
      </c>
      <c r="L384" s="19" t="str">
        <f aca="false">IF($A384="","",IF($B384=0,0,$K384/$B384))</f>
        <v/>
      </c>
      <c r="M384" s="20" t="str">
        <f aca="false">IF($A384="","",IF($J384&lt;0,"BORCA BATIK",IF($I384&lt;$H384,"BORCA BATIK",IF($L384&gt;=TtkUcteIkiEsik,"2/3 KAYIP (KRİTİK)",IF($L384&gt;=TtkUcteBirEsik,"1/3 KAYIP (DİKKAT)","UYGUN")))))</f>
        <v/>
      </c>
    </row>
    <row r="385" customFormat="false" ht="15" hidden="false" customHeight="false" outlineLevel="0" collapsed="false">
      <c r="A385" s="21"/>
      <c r="B385" s="17"/>
      <c r="C385" s="17"/>
      <c r="D385" s="17"/>
      <c r="E385" s="17"/>
      <c r="F385" s="17"/>
      <c r="G385" s="17"/>
      <c r="H385" s="17"/>
      <c r="I385" s="17"/>
      <c r="J385" s="18" t="str">
        <f aca="false">IF($A385="","",$B385+$C385+$D385-$E385+$F385-$G385)</f>
        <v/>
      </c>
      <c r="K385" s="18" t="str">
        <f aca="false">IF($A385="","",MAX(0,$B385-$J385))</f>
        <v/>
      </c>
      <c r="L385" s="19" t="str">
        <f aca="false">IF($A385="","",IF($B385=0,0,$K385/$B385))</f>
        <v/>
      </c>
      <c r="M385" s="20" t="str">
        <f aca="false">IF($A385="","",IF($J385&lt;0,"BORCA BATIK",IF($I385&lt;$H385,"BORCA BATIK",IF($L385&gt;=TtkUcteIkiEsik,"2/3 KAYIP (KRİTİK)",IF($L385&gt;=TtkUcteBirEsik,"1/3 KAYIP (DİKKAT)","UYGUN")))))</f>
        <v/>
      </c>
    </row>
    <row r="386" customFormat="false" ht="15" hidden="false" customHeight="false" outlineLevel="0" collapsed="false">
      <c r="A386" s="21"/>
      <c r="B386" s="17"/>
      <c r="C386" s="17"/>
      <c r="D386" s="17"/>
      <c r="E386" s="17"/>
      <c r="F386" s="17"/>
      <c r="G386" s="17"/>
      <c r="H386" s="17"/>
      <c r="I386" s="17"/>
      <c r="J386" s="18" t="str">
        <f aca="false">IF($A386="","",$B386+$C386+$D386-$E386+$F386-$G386)</f>
        <v/>
      </c>
      <c r="K386" s="18" t="str">
        <f aca="false">IF($A386="","",MAX(0,$B386-$J386))</f>
        <v/>
      </c>
      <c r="L386" s="19" t="str">
        <f aca="false">IF($A386="","",IF($B386=0,0,$K386/$B386))</f>
        <v/>
      </c>
      <c r="M386" s="20" t="str">
        <f aca="false">IF($A386="","",IF($J386&lt;0,"BORCA BATIK",IF($I386&lt;$H386,"BORCA BATIK",IF($L386&gt;=TtkUcteIkiEsik,"2/3 KAYIP (KRİTİK)",IF($L386&gt;=TtkUcteBirEsik,"1/3 KAYIP (DİKKAT)","UYGUN")))))</f>
        <v/>
      </c>
    </row>
    <row r="387" customFormat="false" ht="15" hidden="false" customHeight="false" outlineLevel="0" collapsed="false">
      <c r="A387" s="21"/>
      <c r="B387" s="17"/>
      <c r="C387" s="17"/>
      <c r="D387" s="17"/>
      <c r="E387" s="17"/>
      <c r="F387" s="17"/>
      <c r="G387" s="17"/>
      <c r="H387" s="17"/>
      <c r="I387" s="17"/>
      <c r="J387" s="18" t="str">
        <f aca="false">IF($A387="","",$B387+$C387+$D387-$E387+$F387-$G387)</f>
        <v/>
      </c>
      <c r="K387" s="18" t="str">
        <f aca="false">IF($A387="","",MAX(0,$B387-$J387))</f>
        <v/>
      </c>
      <c r="L387" s="19" t="str">
        <f aca="false">IF($A387="","",IF($B387=0,0,$K387/$B387))</f>
        <v/>
      </c>
      <c r="M387" s="20" t="str">
        <f aca="false">IF($A387="","",IF($J387&lt;0,"BORCA BATIK",IF($I387&lt;$H387,"BORCA BATIK",IF($L387&gt;=TtkUcteIkiEsik,"2/3 KAYIP (KRİTİK)",IF($L387&gt;=TtkUcteBirEsik,"1/3 KAYIP (DİKKAT)","UYGUN")))))</f>
        <v/>
      </c>
    </row>
    <row r="388" customFormat="false" ht="15" hidden="false" customHeight="false" outlineLevel="0" collapsed="false">
      <c r="A388" s="21"/>
      <c r="B388" s="17"/>
      <c r="C388" s="17"/>
      <c r="D388" s="17"/>
      <c r="E388" s="17"/>
      <c r="F388" s="17"/>
      <c r="G388" s="17"/>
      <c r="H388" s="17"/>
      <c r="I388" s="17"/>
      <c r="J388" s="18" t="str">
        <f aca="false">IF($A388="","",$B388+$C388+$D388-$E388+$F388-$G388)</f>
        <v/>
      </c>
      <c r="K388" s="18" t="str">
        <f aca="false">IF($A388="","",MAX(0,$B388-$J388))</f>
        <v/>
      </c>
      <c r="L388" s="19" t="str">
        <f aca="false">IF($A388="","",IF($B388=0,0,$K388/$B388))</f>
        <v/>
      </c>
      <c r="M388" s="20" t="str">
        <f aca="false">IF($A388="","",IF($J388&lt;0,"BORCA BATIK",IF($I388&lt;$H388,"BORCA BATIK",IF($L388&gt;=TtkUcteIkiEsik,"2/3 KAYIP (KRİTİK)",IF($L388&gt;=TtkUcteBirEsik,"1/3 KAYIP (DİKKAT)","UYGUN")))))</f>
        <v/>
      </c>
    </row>
    <row r="389" customFormat="false" ht="15" hidden="false" customHeight="false" outlineLevel="0" collapsed="false">
      <c r="A389" s="21"/>
      <c r="B389" s="17"/>
      <c r="C389" s="17"/>
      <c r="D389" s="17"/>
      <c r="E389" s="17"/>
      <c r="F389" s="17"/>
      <c r="G389" s="17"/>
      <c r="H389" s="17"/>
      <c r="I389" s="17"/>
      <c r="J389" s="18" t="str">
        <f aca="false">IF($A389="","",$B389+$C389+$D389-$E389+$F389-$G389)</f>
        <v/>
      </c>
      <c r="K389" s="18" t="str">
        <f aca="false">IF($A389="","",MAX(0,$B389-$J389))</f>
        <v/>
      </c>
      <c r="L389" s="19" t="str">
        <f aca="false">IF($A389="","",IF($B389=0,0,$K389/$B389))</f>
        <v/>
      </c>
      <c r="M389" s="20" t="str">
        <f aca="false">IF($A389="","",IF($J389&lt;0,"BORCA BATIK",IF($I389&lt;$H389,"BORCA BATIK",IF($L389&gt;=TtkUcteIkiEsik,"2/3 KAYIP (KRİTİK)",IF($L389&gt;=TtkUcteBirEsik,"1/3 KAYIP (DİKKAT)","UYGUN")))))</f>
        <v/>
      </c>
    </row>
    <row r="390" customFormat="false" ht="15" hidden="false" customHeight="false" outlineLevel="0" collapsed="false">
      <c r="A390" s="21"/>
      <c r="B390" s="17"/>
      <c r="C390" s="17"/>
      <c r="D390" s="17"/>
      <c r="E390" s="17"/>
      <c r="F390" s="17"/>
      <c r="G390" s="17"/>
      <c r="H390" s="17"/>
      <c r="I390" s="17"/>
      <c r="J390" s="18" t="str">
        <f aca="false">IF($A390="","",$B390+$C390+$D390-$E390+$F390-$G390)</f>
        <v/>
      </c>
      <c r="K390" s="18" t="str">
        <f aca="false">IF($A390="","",MAX(0,$B390-$J390))</f>
        <v/>
      </c>
      <c r="L390" s="19" t="str">
        <f aca="false">IF($A390="","",IF($B390=0,0,$K390/$B390))</f>
        <v/>
      </c>
      <c r="M390" s="20" t="str">
        <f aca="false">IF($A390="","",IF($J390&lt;0,"BORCA BATIK",IF($I390&lt;$H390,"BORCA BATIK",IF($L390&gt;=TtkUcteIkiEsik,"2/3 KAYIP (KRİTİK)",IF($L390&gt;=TtkUcteBirEsik,"1/3 KAYIP (DİKKAT)","UYGUN")))))</f>
        <v/>
      </c>
    </row>
    <row r="391" customFormat="false" ht="15" hidden="false" customHeight="false" outlineLevel="0" collapsed="false">
      <c r="A391" s="21"/>
      <c r="B391" s="17"/>
      <c r="C391" s="17"/>
      <c r="D391" s="17"/>
      <c r="E391" s="17"/>
      <c r="F391" s="17"/>
      <c r="G391" s="17"/>
      <c r="H391" s="17"/>
      <c r="I391" s="17"/>
      <c r="J391" s="18" t="str">
        <f aca="false">IF($A391="","",$B391+$C391+$D391-$E391+$F391-$G391)</f>
        <v/>
      </c>
      <c r="K391" s="18" t="str">
        <f aca="false">IF($A391="","",MAX(0,$B391-$J391))</f>
        <v/>
      </c>
      <c r="L391" s="19" t="str">
        <f aca="false">IF($A391="","",IF($B391=0,0,$K391/$B391))</f>
        <v/>
      </c>
      <c r="M391" s="20" t="str">
        <f aca="false">IF($A391="","",IF($J391&lt;0,"BORCA BATIK",IF($I391&lt;$H391,"BORCA BATIK",IF($L391&gt;=TtkUcteIkiEsik,"2/3 KAYIP (KRİTİK)",IF($L391&gt;=TtkUcteBirEsik,"1/3 KAYIP (DİKKAT)","UYGUN")))))</f>
        <v/>
      </c>
    </row>
    <row r="392" customFormat="false" ht="15" hidden="false" customHeight="false" outlineLevel="0" collapsed="false">
      <c r="A392" s="21"/>
      <c r="B392" s="17"/>
      <c r="C392" s="17"/>
      <c r="D392" s="17"/>
      <c r="E392" s="17"/>
      <c r="F392" s="17"/>
      <c r="G392" s="17"/>
      <c r="H392" s="17"/>
      <c r="I392" s="17"/>
      <c r="J392" s="18" t="str">
        <f aca="false">IF($A392="","",$B392+$C392+$D392-$E392+$F392-$G392)</f>
        <v/>
      </c>
      <c r="K392" s="18" t="str">
        <f aca="false">IF($A392="","",MAX(0,$B392-$J392))</f>
        <v/>
      </c>
      <c r="L392" s="19" t="str">
        <f aca="false">IF($A392="","",IF($B392=0,0,$K392/$B392))</f>
        <v/>
      </c>
      <c r="M392" s="20" t="str">
        <f aca="false">IF($A392="","",IF($J392&lt;0,"BORCA BATIK",IF($I392&lt;$H392,"BORCA BATIK",IF($L392&gt;=TtkUcteIkiEsik,"2/3 KAYIP (KRİTİK)",IF($L392&gt;=TtkUcteBirEsik,"1/3 KAYIP (DİKKAT)","UYGUN")))))</f>
        <v/>
      </c>
    </row>
    <row r="393" customFormat="false" ht="15" hidden="false" customHeight="false" outlineLevel="0" collapsed="false">
      <c r="A393" s="21"/>
      <c r="B393" s="17"/>
      <c r="C393" s="17"/>
      <c r="D393" s="17"/>
      <c r="E393" s="17"/>
      <c r="F393" s="17"/>
      <c r="G393" s="17"/>
      <c r="H393" s="17"/>
      <c r="I393" s="17"/>
      <c r="J393" s="18" t="str">
        <f aca="false">IF($A393="","",$B393+$C393+$D393-$E393+$F393-$G393)</f>
        <v/>
      </c>
      <c r="K393" s="18" t="str">
        <f aca="false">IF($A393="","",MAX(0,$B393-$J393))</f>
        <v/>
      </c>
      <c r="L393" s="19" t="str">
        <f aca="false">IF($A393="","",IF($B393=0,0,$K393/$B393))</f>
        <v/>
      </c>
      <c r="M393" s="20" t="str">
        <f aca="false">IF($A393="","",IF($J393&lt;0,"BORCA BATIK",IF($I393&lt;$H393,"BORCA BATIK",IF($L393&gt;=TtkUcteIkiEsik,"2/3 KAYIP (KRİTİK)",IF($L393&gt;=TtkUcteBirEsik,"1/3 KAYIP (DİKKAT)","UYGUN")))))</f>
        <v/>
      </c>
    </row>
    <row r="394" customFormat="false" ht="15" hidden="false" customHeight="false" outlineLevel="0" collapsed="false">
      <c r="A394" s="21"/>
      <c r="B394" s="17"/>
      <c r="C394" s="17"/>
      <c r="D394" s="17"/>
      <c r="E394" s="17"/>
      <c r="F394" s="17"/>
      <c r="G394" s="17"/>
      <c r="H394" s="17"/>
      <c r="I394" s="17"/>
      <c r="J394" s="18" t="str">
        <f aca="false">IF($A394="","",$B394+$C394+$D394-$E394+$F394-$G394)</f>
        <v/>
      </c>
      <c r="K394" s="18" t="str">
        <f aca="false">IF($A394="","",MAX(0,$B394-$J394))</f>
        <v/>
      </c>
      <c r="L394" s="19" t="str">
        <f aca="false">IF($A394="","",IF($B394=0,0,$K394/$B394))</f>
        <v/>
      </c>
      <c r="M394" s="20" t="str">
        <f aca="false">IF($A394="","",IF($J394&lt;0,"BORCA BATIK",IF($I394&lt;$H394,"BORCA BATIK",IF($L394&gt;=TtkUcteIkiEsik,"2/3 KAYIP (KRİTİK)",IF($L394&gt;=TtkUcteBirEsik,"1/3 KAYIP (DİKKAT)","UYGUN")))))</f>
        <v/>
      </c>
    </row>
    <row r="395" customFormat="false" ht="15" hidden="false" customHeight="false" outlineLevel="0" collapsed="false">
      <c r="A395" s="21"/>
      <c r="B395" s="17"/>
      <c r="C395" s="17"/>
      <c r="D395" s="17"/>
      <c r="E395" s="17"/>
      <c r="F395" s="17"/>
      <c r="G395" s="17"/>
      <c r="H395" s="17"/>
      <c r="I395" s="17"/>
      <c r="J395" s="18" t="str">
        <f aca="false">IF($A395="","",$B395+$C395+$D395-$E395+$F395-$G395)</f>
        <v/>
      </c>
      <c r="K395" s="18" t="str">
        <f aca="false">IF($A395="","",MAX(0,$B395-$J395))</f>
        <v/>
      </c>
      <c r="L395" s="19" t="str">
        <f aca="false">IF($A395="","",IF($B395=0,0,$K395/$B395))</f>
        <v/>
      </c>
      <c r="M395" s="20" t="str">
        <f aca="false">IF($A395="","",IF($J395&lt;0,"BORCA BATIK",IF($I395&lt;$H395,"BORCA BATIK",IF($L395&gt;=TtkUcteIkiEsik,"2/3 KAYIP (KRİTİK)",IF($L395&gt;=TtkUcteBirEsik,"1/3 KAYIP (DİKKAT)","UYGUN")))))</f>
        <v/>
      </c>
    </row>
    <row r="396" customFormat="false" ht="15" hidden="false" customHeight="false" outlineLevel="0" collapsed="false">
      <c r="A396" s="21"/>
      <c r="B396" s="17"/>
      <c r="C396" s="17"/>
      <c r="D396" s="17"/>
      <c r="E396" s="17"/>
      <c r="F396" s="17"/>
      <c r="G396" s="17"/>
      <c r="H396" s="17"/>
      <c r="I396" s="17"/>
      <c r="J396" s="18" t="str">
        <f aca="false">IF($A396="","",$B396+$C396+$D396-$E396+$F396-$G396)</f>
        <v/>
      </c>
      <c r="K396" s="18" t="str">
        <f aca="false">IF($A396="","",MAX(0,$B396-$J396))</f>
        <v/>
      </c>
      <c r="L396" s="19" t="str">
        <f aca="false">IF($A396="","",IF($B396=0,0,$K396/$B396))</f>
        <v/>
      </c>
      <c r="M396" s="20" t="str">
        <f aca="false">IF($A396="","",IF($J396&lt;0,"BORCA BATIK",IF($I396&lt;$H396,"BORCA BATIK",IF($L396&gt;=TtkUcteIkiEsik,"2/3 KAYIP (KRİTİK)",IF($L396&gt;=TtkUcteBirEsik,"1/3 KAYIP (DİKKAT)","UYGUN")))))</f>
        <v/>
      </c>
    </row>
    <row r="397" customFormat="false" ht="15" hidden="false" customHeight="false" outlineLevel="0" collapsed="false">
      <c r="A397" s="21"/>
      <c r="B397" s="17"/>
      <c r="C397" s="17"/>
      <c r="D397" s="17"/>
      <c r="E397" s="17"/>
      <c r="F397" s="17"/>
      <c r="G397" s="17"/>
      <c r="H397" s="17"/>
      <c r="I397" s="17"/>
      <c r="J397" s="18" t="str">
        <f aca="false">IF($A397="","",$B397+$C397+$D397-$E397+$F397-$G397)</f>
        <v/>
      </c>
      <c r="K397" s="18" t="str">
        <f aca="false">IF($A397="","",MAX(0,$B397-$J397))</f>
        <v/>
      </c>
      <c r="L397" s="19" t="str">
        <f aca="false">IF($A397="","",IF($B397=0,0,$K397/$B397))</f>
        <v/>
      </c>
      <c r="M397" s="20" t="str">
        <f aca="false">IF($A397="","",IF($J397&lt;0,"BORCA BATIK",IF($I397&lt;$H397,"BORCA BATIK",IF($L397&gt;=TtkUcteIkiEsik,"2/3 KAYIP (KRİTİK)",IF($L397&gt;=TtkUcteBirEsik,"1/3 KAYIP (DİKKAT)","UYGUN")))))</f>
        <v/>
      </c>
    </row>
    <row r="398" customFormat="false" ht="15" hidden="false" customHeight="false" outlineLevel="0" collapsed="false">
      <c r="A398" s="21"/>
      <c r="B398" s="17"/>
      <c r="C398" s="17"/>
      <c r="D398" s="17"/>
      <c r="E398" s="17"/>
      <c r="F398" s="17"/>
      <c r="G398" s="17"/>
      <c r="H398" s="17"/>
      <c r="I398" s="17"/>
      <c r="J398" s="18" t="str">
        <f aca="false">IF($A398="","",$B398+$C398+$D398-$E398+$F398-$G398)</f>
        <v/>
      </c>
      <c r="K398" s="18" t="str">
        <f aca="false">IF($A398="","",MAX(0,$B398-$J398))</f>
        <v/>
      </c>
      <c r="L398" s="19" t="str">
        <f aca="false">IF($A398="","",IF($B398=0,0,$K398/$B398))</f>
        <v/>
      </c>
      <c r="M398" s="20" t="str">
        <f aca="false">IF($A398="","",IF($J398&lt;0,"BORCA BATIK",IF($I398&lt;$H398,"BORCA BATIK",IF($L398&gt;=TtkUcteIkiEsik,"2/3 KAYIP (KRİTİK)",IF($L398&gt;=TtkUcteBirEsik,"1/3 KAYIP (DİKKAT)","UYGUN")))))</f>
        <v/>
      </c>
    </row>
    <row r="399" customFormat="false" ht="15" hidden="false" customHeight="false" outlineLevel="0" collapsed="false">
      <c r="A399" s="21"/>
      <c r="B399" s="17"/>
      <c r="C399" s="17"/>
      <c r="D399" s="17"/>
      <c r="E399" s="17"/>
      <c r="F399" s="17"/>
      <c r="G399" s="17"/>
      <c r="H399" s="17"/>
      <c r="I399" s="17"/>
      <c r="J399" s="18" t="str">
        <f aca="false">IF($A399="","",$B399+$C399+$D399-$E399+$F399-$G399)</f>
        <v/>
      </c>
      <c r="K399" s="18" t="str">
        <f aca="false">IF($A399="","",MAX(0,$B399-$J399))</f>
        <v/>
      </c>
      <c r="L399" s="19" t="str">
        <f aca="false">IF($A399="","",IF($B399=0,0,$K399/$B399))</f>
        <v/>
      </c>
      <c r="M399" s="20" t="str">
        <f aca="false">IF($A399="","",IF($J399&lt;0,"BORCA BATIK",IF($I399&lt;$H399,"BORCA BATIK",IF($L399&gt;=TtkUcteIkiEsik,"2/3 KAYIP (KRİTİK)",IF($L399&gt;=TtkUcteBirEsik,"1/3 KAYIP (DİKKAT)","UYGUN")))))</f>
        <v/>
      </c>
    </row>
    <row r="400" customFormat="false" ht="15" hidden="false" customHeight="false" outlineLevel="0" collapsed="false">
      <c r="A400" s="21"/>
      <c r="B400" s="17"/>
      <c r="C400" s="17"/>
      <c r="D400" s="17"/>
      <c r="E400" s="17"/>
      <c r="F400" s="17"/>
      <c r="G400" s="17"/>
      <c r="H400" s="17"/>
      <c r="I400" s="17"/>
      <c r="J400" s="18" t="str">
        <f aca="false">IF($A400="","",$B400+$C400+$D400-$E400+$F400-$G400)</f>
        <v/>
      </c>
      <c r="K400" s="18" t="str">
        <f aca="false">IF($A400="","",MAX(0,$B400-$J400))</f>
        <v/>
      </c>
      <c r="L400" s="19" t="str">
        <f aca="false">IF($A400="","",IF($B400=0,0,$K400/$B400))</f>
        <v/>
      </c>
      <c r="M400" s="20" t="str">
        <f aca="false">IF($A400="","",IF($J400&lt;0,"BORCA BATIK",IF($I400&lt;$H400,"BORCA BATIK",IF($L400&gt;=TtkUcteIkiEsik,"2/3 KAYIP (KRİTİK)",IF($L400&gt;=TtkUcteBirEsik,"1/3 KAYIP (DİKKAT)","UYGUN")))))</f>
        <v/>
      </c>
    </row>
    <row r="401" customFormat="false" ht="15" hidden="false" customHeight="false" outlineLevel="0" collapsed="false">
      <c r="A401" s="21"/>
      <c r="B401" s="17"/>
      <c r="C401" s="17"/>
      <c r="D401" s="17"/>
      <c r="E401" s="17"/>
      <c r="F401" s="17"/>
      <c r="G401" s="17"/>
      <c r="H401" s="17"/>
      <c r="I401" s="17"/>
      <c r="J401" s="18" t="str">
        <f aca="false">IF($A401="","",$B401+$C401+$D401-$E401+$F401-$G401)</f>
        <v/>
      </c>
      <c r="K401" s="18" t="str">
        <f aca="false">IF($A401="","",MAX(0,$B401-$J401))</f>
        <v/>
      </c>
      <c r="L401" s="19" t="str">
        <f aca="false">IF($A401="","",IF($B401=0,0,$K401/$B401))</f>
        <v/>
      </c>
      <c r="M401" s="20" t="str">
        <f aca="false">IF($A401="","",IF($J401&lt;0,"BORCA BATIK",IF($I401&lt;$H401,"BORCA BATIK",IF($L401&gt;=TtkUcteIkiEsik,"2/3 KAYIP (KRİTİK)",IF($L401&gt;=TtkUcteBirEsik,"1/3 KAYIP (DİKKAT)","UYGUN")))))</f>
        <v/>
      </c>
    </row>
    <row r="402" customFormat="false" ht="15" hidden="false" customHeight="false" outlineLevel="0" collapsed="false">
      <c r="A402" s="21"/>
      <c r="B402" s="17"/>
      <c r="C402" s="17"/>
      <c r="D402" s="17"/>
      <c r="E402" s="17"/>
      <c r="F402" s="17"/>
      <c r="G402" s="17"/>
      <c r="H402" s="17"/>
      <c r="I402" s="17"/>
      <c r="J402" s="18" t="str">
        <f aca="false">IF($A402="","",$B402+$C402+$D402-$E402+$F402-$G402)</f>
        <v/>
      </c>
      <c r="K402" s="18" t="str">
        <f aca="false">IF($A402="","",MAX(0,$B402-$J402))</f>
        <v/>
      </c>
      <c r="L402" s="19" t="str">
        <f aca="false">IF($A402="","",IF($B402=0,0,$K402/$B402))</f>
        <v/>
      </c>
      <c r="M402" s="20" t="str">
        <f aca="false">IF($A402="","",IF($J402&lt;0,"BORCA BATIK",IF($I402&lt;$H402,"BORCA BATIK",IF($L402&gt;=TtkUcteIkiEsik,"2/3 KAYIP (KRİTİK)",IF($L402&gt;=TtkUcteBirEsik,"1/3 KAYIP (DİKKAT)","UYGUN")))))</f>
        <v/>
      </c>
    </row>
    <row r="403" customFormat="false" ht="15" hidden="false" customHeight="false" outlineLevel="0" collapsed="false">
      <c r="A403" s="21"/>
      <c r="B403" s="17"/>
      <c r="C403" s="17"/>
      <c r="D403" s="17"/>
      <c r="E403" s="17"/>
      <c r="F403" s="17"/>
      <c r="G403" s="17"/>
      <c r="H403" s="17"/>
      <c r="I403" s="17"/>
      <c r="J403" s="18" t="str">
        <f aca="false">IF($A403="","",$B403+$C403+$D403-$E403+$F403-$G403)</f>
        <v/>
      </c>
      <c r="K403" s="18" t="str">
        <f aca="false">IF($A403="","",MAX(0,$B403-$J403))</f>
        <v/>
      </c>
      <c r="L403" s="19" t="str">
        <f aca="false">IF($A403="","",IF($B403=0,0,$K403/$B403))</f>
        <v/>
      </c>
      <c r="M403" s="20" t="str">
        <f aca="false">IF($A403="","",IF($J403&lt;0,"BORCA BATIK",IF($I403&lt;$H403,"BORCA BATIK",IF($L403&gt;=TtkUcteIkiEsik,"2/3 KAYIP (KRİTİK)",IF($L403&gt;=TtkUcteBirEsik,"1/3 KAYIP (DİKKAT)","UYGUN")))))</f>
        <v/>
      </c>
    </row>
    <row r="404" customFormat="false" ht="15" hidden="false" customHeight="false" outlineLevel="0" collapsed="false">
      <c r="A404" s="21"/>
      <c r="B404" s="17"/>
      <c r="C404" s="17"/>
      <c r="D404" s="17"/>
      <c r="E404" s="17"/>
      <c r="F404" s="17"/>
      <c r="G404" s="17"/>
      <c r="H404" s="17"/>
      <c r="I404" s="17"/>
      <c r="J404" s="18" t="str">
        <f aca="false">IF($A404="","",$B404+$C404+$D404-$E404+$F404-$G404)</f>
        <v/>
      </c>
      <c r="K404" s="18" t="str">
        <f aca="false">IF($A404="","",MAX(0,$B404-$J404))</f>
        <v/>
      </c>
      <c r="L404" s="19" t="str">
        <f aca="false">IF($A404="","",IF($B404=0,0,$K404/$B404))</f>
        <v/>
      </c>
      <c r="M404" s="20" t="str">
        <f aca="false">IF($A404="","",IF($J404&lt;0,"BORCA BATIK",IF($I404&lt;$H404,"BORCA BATIK",IF($L404&gt;=TtkUcteIkiEsik,"2/3 KAYIP (KRİTİK)",IF($L404&gt;=TtkUcteBirEsik,"1/3 KAYIP (DİKKAT)","UYGUN")))))</f>
        <v/>
      </c>
    </row>
    <row r="405" customFormat="false" ht="15" hidden="false" customHeight="false" outlineLevel="0" collapsed="false">
      <c r="A405" s="21"/>
      <c r="B405" s="17"/>
      <c r="C405" s="17"/>
      <c r="D405" s="17"/>
      <c r="E405" s="17"/>
      <c r="F405" s="17"/>
      <c r="G405" s="17"/>
      <c r="H405" s="17"/>
      <c r="I405" s="17"/>
      <c r="J405" s="18" t="str">
        <f aca="false">IF($A405="","",$B405+$C405+$D405-$E405+$F405-$G405)</f>
        <v/>
      </c>
      <c r="K405" s="18" t="str">
        <f aca="false">IF($A405="","",MAX(0,$B405-$J405))</f>
        <v/>
      </c>
      <c r="L405" s="19" t="str">
        <f aca="false">IF($A405="","",IF($B405=0,0,$K405/$B405))</f>
        <v/>
      </c>
      <c r="M405" s="20" t="str">
        <f aca="false">IF($A405="","",IF($J405&lt;0,"BORCA BATIK",IF($I405&lt;$H405,"BORCA BATIK",IF($L405&gt;=TtkUcteIkiEsik,"2/3 KAYIP (KRİTİK)",IF($L405&gt;=TtkUcteBirEsik,"1/3 KAYIP (DİKKAT)","UYGUN")))))</f>
        <v/>
      </c>
    </row>
    <row r="406" customFormat="false" ht="15" hidden="false" customHeight="false" outlineLevel="0" collapsed="false">
      <c r="A406" s="21"/>
      <c r="B406" s="17"/>
      <c r="C406" s="17"/>
      <c r="D406" s="17"/>
      <c r="E406" s="17"/>
      <c r="F406" s="17"/>
      <c r="G406" s="17"/>
      <c r="H406" s="17"/>
      <c r="I406" s="17"/>
      <c r="J406" s="18" t="str">
        <f aca="false">IF($A406="","",$B406+$C406+$D406-$E406+$F406-$G406)</f>
        <v/>
      </c>
      <c r="K406" s="18" t="str">
        <f aca="false">IF($A406="","",MAX(0,$B406-$J406))</f>
        <v/>
      </c>
      <c r="L406" s="19" t="str">
        <f aca="false">IF($A406="","",IF($B406=0,0,$K406/$B406))</f>
        <v/>
      </c>
      <c r="M406" s="20" t="str">
        <f aca="false">IF($A406="","",IF($J406&lt;0,"BORCA BATIK",IF($I406&lt;$H406,"BORCA BATIK",IF($L406&gt;=TtkUcteIkiEsik,"2/3 KAYIP (KRİTİK)",IF($L406&gt;=TtkUcteBirEsik,"1/3 KAYIP (DİKKAT)","UYGUN")))))</f>
        <v/>
      </c>
    </row>
    <row r="407" customFormat="false" ht="15" hidden="false" customHeight="false" outlineLevel="0" collapsed="false">
      <c r="A407" s="21"/>
      <c r="B407" s="17"/>
      <c r="C407" s="17"/>
      <c r="D407" s="17"/>
      <c r="E407" s="17"/>
      <c r="F407" s="17"/>
      <c r="G407" s="17"/>
      <c r="H407" s="17"/>
      <c r="I407" s="17"/>
      <c r="J407" s="18" t="str">
        <f aca="false">IF($A407="","",$B407+$C407+$D407-$E407+$F407-$G407)</f>
        <v/>
      </c>
      <c r="K407" s="18" t="str">
        <f aca="false">IF($A407="","",MAX(0,$B407-$J407))</f>
        <v/>
      </c>
      <c r="L407" s="19" t="str">
        <f aca="false">IF($A407="","",IF($B407=0,0,$K407/$B407))</f>
        <v/>
      </c>
      <c r="M407" s="20" t="str">
        <f aca="false">IF($A407="","",IF($J407&lt;0,"BORCA BATIK",IF($I407&lt;$H407,"BORCA BATIK",IF($L407&gt;=TtkUcteIkiEsik,"2/3 KAYIP (KRİTİK)",IF($L407&gt;=TtkUcteBirEsik,"1/3 KAYIP (DİKKAT)","UYGUN")))))</f>
        <v/>
      </c>
    </row>
    <row r="408" customFormat="false" ht="15" hidden="false" customHeight="false" outlineLevel="0" collapsed="false">
      <c r="A408" s="21"/>
      <c r="B408" s="17"/>
      <c r="C408" s="17"/>
      <c r="D408" s="17"/>
      <c r="E408" s="17"/>
      <c r="F408" s="17"/>
      <c r="G408" s="17"/>
      <c r="H408" s="17"/>
      <c r="I408" s="17"/>
      <c r="J408" s="18" t="str">
        <f aca="false">IF($A408="","",$B408+$C408+$D408-$E408+$F408-$G408)</f>
        <v/>
      </c>
      <c r="K408" s="18" t="str">
        <f aca="false">IF($A408="","",MAX(0,$B408-$J408))</f>
        <v/>
      </c>
      <c r="L408" s="19" t="str">
        <f aca="false">IF($A408="","",IF($B408=0,0,$K408/$B408))</f>
        <v/>
      </c>
      <c r="M408" s="20" t="str">
        <f aca="false">IF($A408="","",IF($J408&lt;0,"BORCA BATIK",IF($I408&lt;$H408,"BORCA BATIK",IF($L408&gt;=TtkUcteIkiEsik,"2/3 KAYIP (KRİTİK)",IF($L408&gt;=TtkUcteBirEsik,"1/3 KAYIP (DİKKAT)","UYGUN")))))</f>
        <v/>
      </c>
    </row>
    <row r="409" customFormat="false" ht="15" hidden="false" customHeight="false" outlineLevel="0" collapsed="false">
      <c r="A409" s="21"/>
      <c r="B409" s="17"/>
      <c r="C409" s="17"/>
      <c r="D409" s="17"/>
      <c r="E409" s="17"/>
      <c r="F409" s="17"/>
      <c r="G409" s="17"/>
      <c r="H409" s="17"/>
      <c r="I409" s="17"/>
      <c r="J409" s="18" t="str">
        <f aca="false">IF($A409="","",$B409+$C409+$D409-$E409+$F409-$G409)</f>
        <v/>
      </c>
      <c r="K409" s="18" t="str">
        <f aca="false">IF($A409="","",MAX(0,$B409-$J409))</f>
        <v/>
      </c>
      <c r="L409" s="19" t="str">
        <f aca="false">IF($A409="","",IF($B409=0,0,$K409/$B409))</f>
        <v/>
      </c>
      <c r="M409" s="20" t="str">
        <f aca="false">IF($A409="","",IF($J409&lt;0,"BORCA BATIK",IF($I409&lt;$H409,"BORCA BATIK",IF($L409&gt;=TtkUcteIkiEsik,"2/3 KAYIP (KRİTİK)",IF($L409&gt;=TtkUcteBirEsik,"1/3 KAYIP (DİKKAT)","UYGUN")))))</f>
        <v/>
      </c>
    </row>
    <row r="410" customFormat="false" ht="15" hidden="false" customHeight="false" outlineLevel="0" collapsed="false">
      <c r="A410" s="21"/>
      <c r="B410" s="17"/>
      <c r="C410" s="17"/>
      <c r="D410" s="17"/>
      <c r="E410" s="17"/>
      <c r="F410" s="17"/>
      <c r="G410" s="17"/>
      <c r="H410" s="17"/>
      <c r="I410" s="17"/>
      <c r="J410" s="18" t="str">
        <f aca="false">IF($A410="","",$B410+$C410+$D410-$E410+$F410-$G410)</f>
        <v/>
      </c>
      <c r="K410" s="18" t="str">
        <f aca="false">IF($A410="","",MAX(0,$B410-$J410))</f>
        <v/>
      </c>
      <c r="L410" s="19" t="str">
        <f aca="false">IF($A410="","",IF($B410=0,0,$K410/$B410))</f>
        <v/>
      </c>
      <c r="M410" s="20" t="str">
        <f aca="false">IF($A410="","",IF($J410&lt;0,"BORCA BATIK",IF($I410&lt;$H410,"BORCA BATIK",IF($L410&gt;=TtkUcteIkiEsik,"2/3 KAYIP (KRİTİK)",IF($L410&gt;=TtkUcteBirEsik,"1/3 KAYIP (DİKKAT)","UYGUN")))))</f>
        <v/>
      </c>
    </row>
    <row r="411" customFormat="false" ht="15" hidden="false" customHeight="false" outlineLevel="0" collapsed="false">
      <c r="A411" s="21"/>
      <c r="B411" s="17"/>
      <c r="C411" s="17"/>
      <c r="D411" s="17"/>
      <c r="E411" s="17"/>
      <c r="F411" s="17"/>
      <c r="G411" s="17"/>
      <c r="H411" s="17"/>
      <c r="I411" s="17"/>
      <c r="J411" s="18" t="str">
        <f aca="false">IF($A411="","",$B411+$C411+$D411-$E411+$F411-$G411)</f>
        <v/>
      </c>
      <c r="K411" s="18" t="str">
        <f aca="false">IF($A411="","",MAX(0,$B411-$J411))</f>
        <v/>
      </c>
      <c r="L411" s="19" t="str">
        <f aca="false">IF($A411="","",IF($B411=0,0,$K411/$B411))</f>
        <v/>
      </c>
      <c r="M411" s="20" t="str">
        <f aca="false">IF($A411="","",IF($J411&lt;0,"BORCA BATIK",IF($I411&lt;$H411,"BORCA BATIK",IF($L411&gt;=TtkUcteIkiEsik,"2/3 KAYIP (KRİTİK)",IF($L411&gt;=TtkUcteBirEsik,"1/3 KAYIP (DİKKAT)","UYGUN")))))</f>
        <v/>
      </c>
    </row>
    <row r="412" customFormat="false" ht="15" hidden="false" customHeight="false" outlineLevel="0" collapsed="false">
      <c r="A412" s="21"/>
      <c r="B412" s="17"/>
      <c r="C412" s="17"/>
      <c r="D412" s="17"/>
      <c r="E412" s="17"/>
      <c r="F412" s="17"/>
      <c r="G412" s="17"/>
      <c r="H412" s="17"/>
      <c r="I412" s="17"/>
      <c r="J412" s="18" t="str">
        <f aca="false">IF($A412="","",$B412+$C412+$D412-$E412+$F412-$G412)</f>
        <v/>
      </c>
      <c r="K412" s="18" t="str">
        <f aca="false">IF($A412="","",MAX(0,$B412-$J412))</f>
        <v/>
      </c>
      <c r="L412" s="19" t="str">
        <f aca="false">IF($A412="","",IF($B412=0,0,$K412/$B412))</f>
        <v/>
      </c>
      <c r="M412" s="20" t="str">
        <f aca="false">IF($A412="","",IF($J412&lt;0,"BORCA BATIK",IF($I412&lt;$H412,"BORCA BATIK",IF($L412&gt;=TtkUcteIkiEsik,"2/3 KAYIP (KRİTİK)",IF($L412&gt;=TtkUcteBirEsik,"1/3 KAYIP (DİKKAT)","UYGUN")))))</f>
        <v/>
      </c>
    </row>
    <row r="413" customFormat="false" ht="15" hidden="false" customHeight="false" outlineLevel="0" collapsed="false">
      <c r="A413" s="21"/>
      <c r="B413" s="17"/>
      <c r="C413" s="17"/>
      <c r="D413" s="17"/>
      <c r="E413" s="17"/>
      <c r="F413" s="17"/>
      <c r="G413" s="17"/>
      <c r="H413" s="17"/>
      <c r="I413" s="17"/>
      <c r="J413" s="18" t="str">
        <f aca="false">IF($A413="","",$B413+$C413+$D413-$E413+$F413-$G413)</f>
        <v/>
      </c>
      <c r="K413" s="18" t="str">
        <f aca="false">IF($A413="","",MAX(0,$B413-$J413))</f>
        <v/>
      </c>
      <c r="L413" s="19" t="str">
        <f aca="false">IF($A413="","",IF($B413=0,0,$K413/$B413))</f>
        <v/>
      </c>
      <c r="M413" s="20" t="str">
        <f aca="false">IF($A413="","",IF($J413&lt;0,"BORCA BATIK",IF($I413&lt;$H413,"BORCA BATIK",IF($L413&gt;=TtkUcteIkiEsik,"2/3 KAYIP (KRİTİK)",IF($L413&gt;=TtkUcteBirEsik,"1/3 KAYIP (DİKKAT)","UYGUN")))))</f>
        <v/>
      </c>
    </row>
    <row r="414" customFormat="false" ht="15" hidden="false" customHeight="false" outlineLevel="0" collapsed="false">
      <c r="A414" s="21"/>
      <c r="B414" s="17"/>
      <c r="C414" s="17"/>
      <c r="D414" s="17"/>
      <c r="E414" s="17"/>
      <c r="F414" s="17"/>
      <c r="G414" s="17"/>
      <c r="H414" s="17"/>
      <c r="I414" s="17"/>
      <c r="J414" s="18" t="str">
        <f aca="false">IF($A414="","",$B414+$C414+$D414-$E414+$F414-$G414)</f>
        <v/>
      </c>
      <c r="K414" s="18" t="str">
        <f aca="false">IF($A414="","",MAX(0,$B414-$J414))</f>
        <v/>
      </c>
      <c r="L414" s="19" t="str">
        <f aca="false">IF($A414="","",IF($B414=0,0,$K414/$B414))</f>
        <v/>
      </c>
      <c r="M414" s="20" t="str">
        <f aca="false">IF($A414="","",IF($J414&lt;0,"BORCA BATIK",IF($I414&lt;$H414,"BORCA BATIK",IF($L414&gt;=TtkUcteIkiEsik,"2/3 KAYIP (KRİTİK)",IF($L414&gt;=TtkUcteBirEsik,"1/3 KAYIP (DİKKAT)","UYGUN")))))</f>
        <v/>
      </c>
    </row>
    <row r="415" customFormat="false" ht="15" hidden="false" customHeight="false" outlineLevel="0" collapsed="false">
      <c r="A415" s="21"/>
      <c r="B415" s="17"/>
      <c r="C415" s="17"/>
      <c r="D415" s="17"/>
      <c r="E415" s="17"/>
      <c r="F415" s="17"/>
      <c r="G415" s="17"/>
      <c r="H415" s="17"/>
      <c r="I415" s="17"/>
      <c r="J415" s="18" t="str">
        <f aca="false">IF($A415="","",$B415+$C415+$D415-$E415+$F415-$G415)</f>
        <v/>
      </c>
      <c r="K415" s="18" t="str">
        <f aca="false">IF($A415="","",MAX(0,$B415-$J415))</f>
        <v/>
      </c>
      <c r="L415" s="19" t="str">
        <f aca="false">IF($A415="","",IF($B415=0,0,$K415/$B415))</f>
        <v/>
      </c>
      <c r="M415" s="20" t="str">
        <f aca="false">IF($A415="","",IF($J415&lt;0,"BORCA BATIK",IF($I415&lt;$H415,"BORCA BATIK",IF($L415&gt;=TtkUcteIkiEsik,"2/3 KAYIP (KRİTİK)",IF($L415&gt;=TtkUcteBirEsik,"1/3 KAYIP (DİKKAT)","UYGUN")))))</f>
        <v/>
      </c>
    </row>
    <row r="416" customFormat="false" ht="15" hidden="false" customHeight="false" outlineLevel="0" collapsed="false">
      <c r="A416" s="21"/>
      <c r="B416" s="17"/>
      <c r="C416" s="17"/>
      <c r="D416" s="17"/>
      <c r="E416" s="17"/>
      <c r="F416" s="17"/>
      <c r="G416" s="17"/>
      <c r="H416" s="17"/>
      <c r="I416" s="17"/>
      <c r="J416" s="18" t="str">
        <f aca="false">IF($A416="","",$B416+$C416+$D416-$E416+$F416-$G416)</f>
        <v/>
      </c>
      <c r="K416" s="18" t="str">
        <f aca="false">IF($A416="","",MAX(0,$B416-$J416))</f>
        <v/>
      </c>
      <c r="L416" s="19" t="str">
        <f aca="false">IF($A416="","",IF($B416=0,0,$K416/$B416))</f>
        <v/>
      </c>
      <c r="M416" s="20" t="str">
        <f aca="false">IF($A416="","",IF($J416&lt;0,"BORCA BATIK",IF($I416&lt;$H416,"BORCA BATIK",IF($L416&gt;=TtkUcteIkiEsik,"2/3 KAYIP (KRİTİK)",IF($L416&gt;=TtkUcteBirEsik,"1/3 KAYIP (DİKKAT)","UYGUN")))))</f>
        <v/>
      </c>
    </row>
    <row r="417" customFormat="false" ht="15" hidden="false" customHeight="false" outlineLevel="0" collapsed="false">
      <c r="A417" s="21"/>
      <c r="B417" s="17"/>
      <c r="C417" s="17"/>
      <c r="D417" s="17"/>
      <c r="E417" s="17"/>
      <c r="F417" s="17"/>
      <c r="G417" s="17"/>
      <c r="H417" s="17"/>
      <c r="I417" s="17"/>
      <c r="J417" s="18" t="str">
        <f aca="false">IF($A417="","",$B417+$C417+$D417-$E417+$F417-$G417)</f>
        <v/>
      </c>
      <c r="K417" s="18" t="str">
        <f aca="false">IF($A417="","",MAX(0,$B417-$J417))</f>
        <v/>
      </c>
      <c r="L417" s="19" t="str">
        <f aca="false">IF($A417="","",IF($B417=0,0,$K417/$B417))</f>
        <v/>
      </c>
      <c r="M417" s="20" t="str">
        <f aca="false">IF($A417="","",IF($J417&lt;0,"BORCA BATIK",IF($I417&lt;$H417,"BORCA BATIK",IF($L417&gt;=TtkUcteIkiEsik,"2/3 KAYIP (KRİTİK)",IF($L417&gt;=TtkUcteBirEsik,"1/3 KAYIP (DİKKAT)","UYGUN")))))</f>
        <v/>
      </c>
    </row>
    <row r="418" customFormat="false" ht="15" hidden="false" customHeight="false" outlineLevel="0" collapsed="false">
      <c r="A418" s="21"/>
      <c r="B418" s="17"/>
      <c r="C418" s="17"/>
      <c r="D418" s="17"/>
      <c r="E418" s="17"/>
      <c r="F418" s="17"/>
      <c r="G418" s="17"/>
      <c r="H418" s="17"/>
      <c r="I418" s="17"/>
      <c r="J418" s="18" t="str">
        <f aca="false">IF($A418="","",$B418+$C418+$D418-$E418+$F418-$G418)</f>
        <v/>
      </c>
      <c r="K418" s="18" t="str">
        <f aca="false">IF($A418="","",MAX(0,$B418-$J418))</f>
        <v/>
      </c>
      <c r="L418" s="19" t="str">
        <f aca="false">IF($A418="","",IF($B418=0,0,$K418/$B418))</f>
        <v/>
      </c>
      <c r="M418" s="20" t="str">
        <f aca="false">IF($A418="","",IF($J418&lt;0,"BORCA BATIK",IF($I418&lt;$H418,"BORCA BATIK",IF($L418&gt;=TtkUcteIkiEsik,"2/3 KAYIP (KRİTİK)",IF($L418&gt;=TtkUcteBirEsik,"1/3 KAYIP (DİKKAT)","UYGUN")))))</f>
        <v/>
      </c>
    </row>
    <row r="419" customFormat="false" ht="15" hidden="false" customHeight="false" outlineLevel="0" collapsed="false">
      <c r="A419" s="21"/>
      <c r="B419" s="17"/>
      <c r="C419" s="17"/>
      <c r="D419" s="17"/>
      <c r="E419" s="17"/>
      <c r="F419" s="17"/>
      <c r="G419" s="17"/>
      <c r="H419" s="17"/>
      <c r="I419" s="17"/>
      <c r="J419" s="18" t="str">
        <f aca="false">IF($A419="","",$B419+$C419+$D419-$E419+$F419-$G419)</f>
        <v/>
      </c>
      <c r="K419" s="18" t="str">
        <f aca="false">IF($A419="","",MAX(0,$B419-$J419))</f>
        <v/>
      </c>
      <c r="L419" s="19" t="str">
        <f aca="false">IF($A419="","",IF($B419=0,0,$K419/$B419))</f>
        <v/>
      </c>
      <c r="M419" s="20" t="str">
        <f aca="false">IF($A419="","",IF($J419&lt;0,"BORCA BATIK",IF($I419&lt;$H419,"BORCA BATIK",IF($L419&gt;=TtkUcteIkiEsik,"2/3 KAYIP (KRİTİK)",IF($L419&gt;=TtkUcteBirEsik,"1/3 KAYIP (DİKKAT)","UYGUN")))))</f>
        <v/>
      </c>
    </row>
    <row r="420" customFormat="false" ht="15" hidden="false" customHeight="false" outlineLevel="0" collapsed="false">
      <c r="A420" s="21"/>
      <c r="B420" s="17"/>
      <c r="C420" s="17"/>
      <c r="D420" s="17"/>
      <c r="E420" s="17"/>
      <c r="F420" s="17"/>
      <c r="G420" s="17"/>
      <c r="H420" s="17"/>
      <c r="I420" s="17"/>
      <c r="J420" s="18" t="str">
        <f aca="false">IF($A420="","",$B420+$C420+$D420-$E420+$F420-$G420)</f>
        <v/>
      </c>
      <c r="K420" s="18" t="str">
        <f aca="false">IF($A420="","",MAX(0,$B420-$J420))</f>
        <v/>
      </c>
      <c r="L420" s="19" t="str">
        <f aca="false">IF($A420="","",IF($B420=0,0,$K420/$B420))</f>
        <v/>
      </c>
      <c r="M420" s="20" t="str">
        <f aca="false">IF($A420="","",IF($J420&lt;0,"BORCA BATIK",IF($I420&lt;$H420,"BORCA BATIK",IF($L420&gt;=TtkUcteIkiEsik,"2/3 KAYIP (KRİTİK)",IF($L420&gt;=TtkUcteBirEsik,"1/3 KAYIP (DİKKAT)","UYGUN")))))</f>
        <v/>
      </c>
    </row>
    <row r="421" customFormat="false" ht="15" hidden="false" customHeight="false" outlineLevel="0" collapsed="false">
      <c r="A421" s="21"/>
      <c r="B421" s="17"/>
      <c r="C421" s="17"/>
      <c r="D421" s="17"/>
      <c r="E421" s="17"/>
      <c r="F421" s="17"/>
      <c r="G421" s="17"/>
      <c r="H421" s="17"/>
      <c r="I421" s="17"/>
      <c r="J421" s="18" t="str">
        <f aca="false">IF($A421="","",$B421+$C421+$D421-$E421+$F421-$G421)</f>
        <v/>
      </c>
      <c r="K421" s="18" t="str">
        <f aca="false">IF($A421="","",MAX(0,$B421-$J421))</f>
        <v/>
      </c>
      <c r="L421" s="19" t="str">
        <f aca="false">IF($A421="","",IF($B421=0,0,$K421/$B421))</f>
        <v/>
      </c>
      <c r="M421" s="20" t="str">
        <f aca="false">IF($A421="","",IF($J421&lt;0,"BORCA BATIK",IF($I421&lt;$H421,"BORCA BATIK",IF($L421&gt;=TtkUcteIkiEsik,"2/3 KAYIP (KRİTİK)",IF($L421&gt;=TtkUcteBirEsik,"1/3 KAYIP (DİKKAT)","UYGUN")))))</f>
        <v/>
      </c>
    </row>
    <row r="422" customFormat="false" ht="15" hidden="false" customHeight="false" outlineLevel="0" collapsed="false">
      <c r="A422" s="21"/>
      <c r="B422" s="17"/>
      <c r="C422" s="17"/>
      <c r="D422" s="17"/>
      <c r="E422" s="17"/>
      <c r="F422" s="17"/>
      <c r="G422" s="17"/>
      <c r="H422" s="17"/>
      <c r="I422" s="17"/>
      <c r="J422" s="18" t="str">
        <f aca="false">IF($A422="","",$B422+$C422+$D422-$E422+$F422-$G422)</f>
        <v/>
      </c>
      <c r="K422" s="18" t="str">
        <f aca="false">IF($A422="","",MAX(0,$B422-$J422))</f>
        <v/>
      </c>
      <c r="L422" s="19" t="str">
        <f aca="false">IF($A422="","",IF($B422=0,0,$K422/$B422))</f>
        <v/>
      </c>
      <c r="M422" s="20" t="str">
        <f aca="false">IF($A422="","",IF($J422&lt;0,"BORCA BATIK",IF($I422&lt;$H422,"BORCA BATIK",IF($L422&gt;=TtkUcteIkiEsik,"2/3 KAYIP (KRİTİK)",IF($L422&gt;=TtkUcteBirEsik,"1/3 KAYIP (DİKKAT)","UYGUN")))))</f>
        <v/>
      </c>
    </row>
    <row r="423" customFormat="false" ht="15" hidden="false" customHeight="false" outlineLevel="0" collapsed="false">
      <c r="A423" s="21"/>
      <c r="B423" s="17"/>
      <c r="C423" s="17"/>
      <c r="D423" s="17"/>
      <c r="E423" s="17"/>
      <c r="F423" s="17"/>
      <c r="G423" s="17"/>
      <c r="H423" s="17"/>
      <c r="I423" s="17"/>
      <c r="J423" s="18" t="str">
        <f aca="false">IF($A423="","",$B423+$C423+$D423-$E423+$F423-$G423)</f>
        <v/>
      </c>
      <c r="K423" s="18" t="str">
        <f aca="false">IF($A423="","",MAX(0,$B423-$J423))</f>
        <v/>
      </c>
      <c r="L423" s="19" t="str">
        <f aca="false">IF($A423="","",IF($B423=0,0,$K423/$B423))</f>
        <v/>
      </c>
      <c r="M423" s="20" t="str">
        <f aca="false">IF($A423="","",IF($J423&lt;0,"BORCA BATIK",IF($I423&lt;$H423,"BORCA BATIK",IF($L423&gt;=TtkUcteIkiEsik,"2/3 KAYIP (KRİTİK)",IF($L423&gt;=TtkUcteBirEsik,"1/3 KAYIP (DİKKAT)","UYGUN")))))</f>
        <v/>
      </c>
    </row>
    <row r="424" customFormat="false" ht="15" hidden="false" customHeight="false" outlineLevel="0" collapsed="false">
      <c r="A424" s="21"/>
      <c r="B424" s="17"/>
      <c r="C424" s="17"/>
      <c r="D424" s="17"/>
      <c r="E424" s="17"/>
      <c r="F424" s="17"/>
      <c r="G424" s="17"/>
      <c r="H424" s="17"/>
      <c r="I424" s="17"/>
      <c r="J424" s="18" t="str">
        <f aca="false">IF($A424="","",$B424+$C424+$D424-$E424+$F424-$G424)</f>
        <v/>
      </c>
      <c r="K424" s="18" t="str">
        <f aca="false">IF($A424="","",MAX(0,$B424-$J424))</f>
        <v/>
      </c>
      <c r="L424" s="19" t="str">
        <f aca="false">IF($A424="","",IF($B424=0,0,$K424/$B424))</f>
        <v/>
      </c>
      <c r="M424" s="20" t="str">
        <f aca="false">IF($A424="","",IF($J424&lt;0,"BORCA BATIK",IF($I424&lt;$H424,"BORCA BATIK",IF($L424&gt;=TtkUcteIkiEsik,"2/3 KAYIP (KRİTİK)",IF($L424&gt;=TtkUcteBirEsik,"1/3 KAYIP (DİKKAT)","UYGUN")))))</f>
        <v/>
      </c>
    </row>
    <row r="425" customFormat="false" ht="15" hidden="false" customHeight="false" outlineLevel="0" collapsed="false">
      <c r="A425" s="21"/>
      <c r="B425" s="17"/>
      <c r="C425" s="17"/>
      <c r="D425" s="17"/>
      <c r="E425" s="17"/>
      <c r="F425" s="17"/>
      <c r="G425" s="17"/>
      <c r="H425" s="17"/>
      <c r="I425" s="17"/>
      <c r="J425" s="18" t="str">
        <f aca="false">IF($A425="","",$B425+$C425+$D425-$E425+$F425-$G425)</f>
        <v/>
      </c>
      <c r="K425" s="18" t="str">
        <f aca="false">IF($A425="","",MAX(0,$B425-$J425))</f>
        <v/>
      </c>
      <c r="L425" s="19" t="str">
        <f aca="false">IF($A425="","",IF($B425=0,0,$K425/$B425))</f>
        <v/>
      </c>
      <c r="M425" s="20" t="str">
        <f aca="false">IF($A425="","",IF($J425&lt;0,"BORCA BATIK",IF($I425&lt;$H425,"BORCA BATIK",IF($L425&gt;=TtkUcteIkiEsik,"2/3 KAYIP (KRİTİK)",IF($L425&gt;=TtkUcteBirEsik,"1/3 KAYIP (DİKKAT)","UYGUN")))))</f>
        <v/>
      </c>
    </row>
    <row r="426" customFormat="false" ht="15" hidden="false" customHeight="false" outlineLevel="0" collapsed="false">
      <c r="A426" s="21"/>
      <c r="B426" s="17"/>
      <c r="C426" s="17"/>
      <c r="D426" s="17"/>
      <c r="E426" s="17"/>
      <c r="F426" s="17"/>
      <c r="G426" s="17"/>
      <c r="H426" s="17"/>
      <c r="I426" s="17"/>
      <c r="J426" s="18" t="str">
        <f aca="false">IF($A426="","",$B426+$C426+$D426-$E426+$F426-$G426)</f>
        <v/>
      </c>
      <c r="K426" s="18" t="str">
        <f aca="false">IF($A426="","",MAX(0,$B426-$J426))</f>
        <v/>
      </c>
      <c r="L426" s="19" t="str">
        <f aca="false">IF($A426="","",IF($B426=0,0,$K426/$B426))</f>
        <v/>
      </c>
      <c r="M426" s="20" t="str">
        <f aca="false">IF($A426="","",IF($J426&lt;0,"BORCA BATIK",IF($I426&lt;$H426,"BORCA BATIK",IF($L426&gt;=TtkUcteIkiEsik,"2/3 KAYIP (KRİTİK)",IF($L426&gt;=TtkUcteBirEsik,"1/3 KAYIP (DİKKAT)","UYGUN")))))</f>
        <v/>
      </c>
    </row>
    <row r="427" customFormat="false" ht="15" hidden="false" customHeight="false" outlineLevel="0" collapsed="false">
      <c r="A427" s="21"/>
      <c r="B427" s="17"/>
      <c r="C427" s="17"/>
      <c r="D427" s="17"/>
      <c r="E427" s="17"/>
      <c r="F427" s="17"/>
      <c r="G427" s="17"/>
      <c r="H427" s="17"/>
      <c r="I427" s="17"/>
      <c r="J427" s="18" t="str">
        <f aca="false">IF($A427="","",$B427+$C427+$D427-$E427+$F427-$G427)</f>
        <v/>
      </c>
      <c r="K427" s="18" t="str">
        <f aca="false">IF($A427="","",MAX(0,$B427-$J427))</f>
        <v/>
      </c>
      <c r="L427" s="19" t="str">
        <f aca="false">IF($A427="","",IF($B427=0,0,$K427/$B427))</f>
        <v/>
      </c>
      <c r="M427" s="20" t="str">
        <f aca="false">IF($A427="","",IF($J427&lt;0,"BORCA BATIK",IF($I427&lt;$H427,"BORCA BATIK",IF($L427&gt;=TtkUcteIkiEsik,"2/3 KAYIP (KRİTİK)",IF($L427&gt;=TtkUcteBirEsik,"1/3 KAYIP (DİKKAT)","UYGUN")))))</f>
        <v/>
      </c>
    </row>
    <row r="428" customFormat="false" ht="15" hidden="false" customHeight="false" outlineLevel="0" collapsed="false">
      <c r="A428" s="21"/>
      <c r="B428" s="17"/>
      <c r="C428" s="17"/>
      <c r="D428" s="17"/>
      <c r="E428" s="17"/>
      <c r="F428" s="17"/>
      <c r="G428" s="17"/>
      <c r="H428" s="17"/>
      <c r="I428" s="17"/>
      <c r="J428" s="18" t="str">
        <f aca="false">IF($A428="","",$B428+$C428+$D428-$E428+$F428-$G428)</f>
        <v/>
      </c>
      <c r="K428" s="18" t="str">
        <f aca="false">IF($A428="","",MAX(0,$B428-$J428))</f>
        <v/>
      </c>
      <c r="L428" s="19" t="str">
        <f aca="false">IF($A428="","",IF($B428=0,0,$K428/$B428))</f>
        <v/>
      </c>
      <c r="M428" s="20" t="str">
        <f aca="false">IF($A428="","",IF($J428&lt;0,"BORCA BATIK",IF($I428&lt;$H428,"BORCA BATIK",IF($L428&gt;=TtkUcteIkiEsik,"2/3 KAYIP (KRİTİK)",IF($L428&gt;=TtkUcteBirEsik,"1/3 KAYIP (DİKKAT)","UYGUN")))))</f>
        <v/>
      </c>
    </row>
    <row r="429" customFormat="false" ht="15" hidden="false" customHeight="false" outlineLevel="0" collapsed="false">
      <c r="A429" s="21"/>
      <c r="B429" s="17"/>
      <c r="C429" s="17"/>
      <c r="D429" s="17"/>
      <c r="E429" s="17"/>
      <c r="F429" s="17"/>
      <c r="G429" s="17"/>
      <c r="H429" s="17"/>
      <c r="I429" s="17"/>
      <c r="J429" s="18" t="str">
        <f aca="false">IF($A429="","",$B429+$C429+$D429-$E429+$F429-$G429)</f>
        <v/>
      </c>
      <c r="K429" s="18" t="str">
        <f aca="false">IF($A429="","",MAX(0,$B429-$J429))</f>
        <v/>
      </c>
      <c r="L429" s="19" t="str">
        <f aca="false">IF($A429="","",IF($B429=0,0,$K429/$B429))</f>
        <v/>
      </c>
      <c r="M429" s="20" t="str">
        <f aca="false">IF($A429="","",IF($J429&lt;0,"BORCA BATIK",IF($I429&lt;$H429,"BORCA BATIK",IF($L429&gt;=TtkUcteIkiEsik,"2/3 KAYIP (KRİTİK)",IF($L429&gt;=TtkUcteBirEsik,"1/3 KAYIP (DİKKAT)","UYGUN")))))</f>
        <v/>
      </c>
    </row>
    <row r="430" customFormat="false" ht="15" hidden="false" customHeight="false" outlineLevel="0" collapsed="false">
      <c r="A430" s="21"/>
      <c r="B430" s="17"/>
      <c r="C430" s="17"/>
      <c r="D430" s="17"/>
      <c r="E430" s="17"/>
      <c r="F430" s="17"/>
      <c r="G430" s="17"/>
      <c r="H430" s="17"/>
      <c r="I430" s="17"/>
      <c r="J430" s="18" t="str">
        <f aca="false">IF($A430="","",$B430+$C430+$D430-$E430+$F430-$G430)</f>
        <v/>
      </c>
      <c r="K430" s="18" t="str">
        <f aca="false">IF($A430="","",MAX(0,$B430-$J430))</f>
        <v/>
      </c>
      <c r="L430" s="19" t="str">
        <f aca="false">IF($A430="","",IF($B430=0,0,$K430/$B430))</f>
        <v/>
      </c>
      <c r="M430" s="20" t="str">
        <f aca="false">IF($A430="","",IF($J430&lt;0,"BORCA BATIK",IF($I430&lt;$H430,"BORCA BATIK",IF($L430&gt;=TtkUcteIkiEsik,"2/3 KAYIP (KRİTİK)",IF($L430&gt;=TtkUcteBirEsik,"1/3 KAYIP (DİKKAT)","UYGUN")))))</f>
        <v/>
      </c>
    </row>
    <row r="431" customFormat="false" ht="15" hidden="false" customHeight="false" outlineLevel="0" collapsed="false">
      <c r="A431" s="21"/>
      <c r="B431" s="17"/>
      <c r="C431" s="17"/>
      <c r="D431" s="17"/>
      <c r="E431" s="17"/>
      <c r="F431" s="17"/>
      <c r="G431" s="17"/>
      <c r="H431" s="17"/>
      <c r="I431" s="17"/>
      <c r="J431" s="18" t="str">
        <f aca="false">IF($A431="","",$B431+$C431+$D431-$E431+$F431-$G431)</f>
        <v/>
      </c>
      <c r="K431" s="18" t="str">
        <f aca="false">IF($A431="","",MAX(0,$B431-$J431))</f>
        <v/>
      </c>
      <c r="L431" s="19" t="str">
        <f aca="false">IF($A431="","",IF($B431=0,0,$K431/$B431))</f>
        <v/>
      </c>
      <c r="M431" s="20" t="str">
        <f aca="false">IF($A431="","",IF($J431&lt;0,"BORCA BATIK",IF($I431&lt;$H431,"BORCA BATIK",IF($L431&gt;=TtkUcteIkiEsik,"2/3 KAYIP (KRİTİK)",IF($L431&gt;=TtkUcteBirEsik,"1/3 KAYIP (DİKKAT)","UYGUN")))))</f>
        <v/>
      </c>
    </row>
    <row r="432" customFormat="false" ht="15" hidden="false" customHeight="false" outlineLevel="0" collapsed="false">
      <c r="A432" s="21"/>
      <c r="B432" s="17"/>
      <c r="C432" s="17"/>
      <c r="D432" s="17"/>
      <c r="E432" s="17"/>
      <c r="F432" s="17"/>
      <c r="G432" s="17"/>
      <c r="H432" s="17"/>
      <c r="I432" s="17"/>
      <c r="J432" s="18" t="str">
        <f aca="false">IF($A432="","",$B432+$C432+$D432-$E432+$F432-$G432)</f>
        <v/>
      </c>
      <c r="K432" s="18" t="str">
        <f aca="false">IF($A432="","",MAX(0,$B432-$J432))</f>
        <v/>
      </c>
      <c r="L432" s="19" t="str">
        <f aca="false">IF($A432="","",IF($B432=0,0,$K432/$B432))</f>
        <v/>
      </c>
      <c r="M432" s="20" t="str">
        <f aca="false">IF($A432="","",IF($J432&lt;0,"BORCA BATIK",IF($I432&lt;$H432,"BORCA BATIK",IF($L432&gt;=TtkUcteIkiEsik,"2/3 KAYIP (KRİTİK)",IF($L432&gt;=TtkUcteBirEsik,"1/3 KAYIP (DİKKAT)","UYGUN")))))</f>
        <v/>
      </c>
    </row>
    <row r="433" customFormat="false" ht="15" hidden="false" customHeight="false" outlineLevel="0" collapsed="false">
      <c r="A433" s="21"/>
      <c r="B433" s="17"/>
      <c r="C433" s="17"/>
      <c r="D433" s="17"/>
      <c r="E433" s="17"/>
      <c r="F433" s="17"/>
      <c r="G433" s="17"/>
      <c r="H433" s="17"/>
      <c r="I433" s="17"/>
      <c r="J433" s="18" t="str">
        <f aca="false">IF($A433="","",$B433+$C433+$D433-$E433+$F433-$G433)</f>
        <v/>
      </c>
      <c r="K433" s="18" t="str">
        <f aca="false">IF($A433="","",MAX(0,$B433-$J433))</f>
        <v/>
      </c>
      <c r="L433" s="19" t="str">
        <f aca="false">IF($A433="","",IF($B433=0,0,$K433/$B433))</f>
        <v/>
      </c>
      <c r="M433" s="20" t="str">
        <f aca="false">IF($A433="","",IF($J433&lt;0,"BORCA BATIK",IF($I433&lt;$H433,"BORCA BATIK",IF($L433&gt;=TtkUcteIkiEsik,"2/3 KAYIP (KRİTİK)",IF($L433&gt;=TtkUcteBirEsik,"1/3 KAYIP (DİKKAT)","UYGUN")))))</f>
        <v/>
      </c>
    </row>
    <row r="434" customFormat="false" ht="15" hidden="false" customHeight="false" outlineLevel="0" collapsed="false">
      <c r="A434" s="21"/>
      <c r="B434" s="17"/>
      <c r="C434" s="17"/>
      <c r="D434" s="17"/>
      <c r="E434" s="17"/>
      <c r="F434" s="17"/>
      <c r="G434" s="17"/>
      <c r="H434" s="17"/>
      <c r="I434" s="17"/>
      <c r="J434" s="18" t="str">
        <f aca="false">IF($A434="","",$B434+$C434+$D434-$E434+$F434-$G434)</f>
        <v/>
      </c>
      <c r="K434" s="18" t="str">
        <f aca="false">IF($A434="","",MAX(0,$B434-$J434))</f>
        <v/>
      </c>
      <c r="L434" s="19" t="str">
        <f aca="false">IF($A434="","",IF($B434=0,0,$K434/$B434))</f>
        <v/>
      </c>
      <c r="M434" s="20" t="str">
        <f aca="false">IF($A434="","",IF($J434&lt;0,"BORCA BATIK",IF($I434&lt;$H434,"BORCA BATIK",IF($L434&gt;=TtkUcteIkiEsik,"2/3 KAYIP (KRİTİK)",IF($L434&gt;=TtkUcteBirEsik,"1/3 KAYIP (DİKKAT)","UYGUN")))))</f>
        <v/>
      </c>
    </row>
    <row r="435" customFormat="false" ht="15" hidden="false" customHeight="false" outlineLevel="0" collapsed="false">
      <c r="A435" s="21"/>
      <c r="B435" s="17"/>
      <c r="C435" s="17"/>
      <c r="D435" s="17"/>
      <c r="E435" s="17"/>
      <c r="F435" s="17"/>
      <c r="G435" s="17"/>
      <c r="H435" s="17"/>
      <c r="I435" s="17"/>
      <c r="J435" s="18" t="str">
        <f aca="false">IF($A435="","",$B435+$C435+$D435-$E435+$F435-$G435)</f>
        <v/>
      </c>
      <c r="K435" s="18" t="str">
        <f aca="false">IF($A435="","",MAX(0,$B435-$J435))</f>
        <v/>
      </c>
      <c r="L435" s="19" t="str">
        <f aca="false">IF($A435="","",IF($B435=0,0,$K435/$B435))</f>
        <v/>
      </c>
      <c r="M435" s="20" t="str">
        <f aca="false">IF($A435="","",IF($J435&lt;0,"BORCA BATIK",IF($I435&lt;$H435,"BORCA BATIK",IF($L435&gt;=TtkUcteIkiEsik,"2/3 KAYIP (KRİTİK)",IF($L435&gt;=TtkUcteBirEsik,"1/3 KAYIP (DİKKAT)","UYGUN")))))</f>
        <v/>
      </c>
    </row>
    <row r="436" customFormat="false" ht="15" hidden="false" customHeight="false" outlineLevel="0" collapsed="false">
      <c r="A436" s="21"/>
      <c r="B436" s="17"/>
      <c r="C436" s="17"/>
      <c r="D436" s="17"/>
      <c r="E436" s="17"/>
      <c r="F436" s="17"/>
      <c r="G436" s="17"/>
      <c r="H436" s="17"/>
      <c r="I436" s="17"/>
      <c r="J436" s="18" t="str">
        <f aca="false">IF($A436="","",$B436+$C436+$D436-$E436+$F436-$G436)</f>
        <v/>
      </c>
      <c r="K436" s="18" t="str">
        <f aca="false">IF($A436="","",MAX(0,$B436-$J436))</f>
        <v/>
      </c>
      <c r="L436" s="19" t="str">
        <f aca="false">IF($A436="","",IF($B436=0,0,$K436/$B436))</f>
        <v/>
      </c>
      <c r="M436" s="20" t="str">
        <f aca="false">IF($A436="","",IF($J436&lt;0,"BORCA BATIK",IF($I436&lt;$H436,"BORCA BATIK",IF($L436&gt;=TtkUcteIkiEsik,"2/3 KAYIP (KRİTİK)",IF($L436&gt;=TtkUcteBirEsik,"1/3 KAYIP (DİKKAT)","UYGUN")))))</f>
        <v/>
      </c>
    </row>
    <row r="437" customFormat="false" ht="15" hidden="false" customHeight="false" outlineLevel="0" collapsed="false">
      <c r="A437" s="21"/>
      <c r="B437" s="17"/>
      <c r="C437" s="17"/>
      <c r="D437" s="17"/>
      <c r="E437" s="17"/>
      <c r="F437" s="17"/>
      <c r="G437" s="17"/>
      <c r="H437" s="17"/>
      <c r="I437" s="17"/>
      <c r="J437" s="18" t="str">
        <f aca="false">IF($A437="","",$B437+$C437+$D437-$E437+$F437-$G437)</f>
        <v/>
      </c>
      <c r="K437" s="18" t="str">
        <f aca="false">IF($A437="","",MAX(0,$B437-$J437))</f>
        <v/>
      </c>
      <c r="L437" s="19" t="str">
        <f aca="false">IF($A437="","",IF($B437=0,0,$K437/$B437))</f>
        <v/>
      </c>
      <c r="M437" s="20" t="str">
        <f aca="false">IF($A437="","",IF($J437&lt;0,"BORCA BATIK",IF($I437&lt;$H437,"BORCA BATIK",IF($L437&gt;=TtkUcteIkiEsik,"2/3 KAYIP (KRİTİK)",IF($L437&gt;=TtkUcteBirEsik,"1/3 KAYIP (DİKKAT)","UYGUN")))))</f>
        <v/>
      </c>
    </row>
    <row r="438" customFormat="false" ht="15" hidden="false" customHeight="false" outlineLevel="0" collapsed="false">
      <c r="A438" s="21"/>
      <c r="B438" s="17"/>
      <c r="C438" s="17"/>
      <c r="D438" s="17"/>
      <c r="E438" s="17"/>
      <c r="F438" s="17"/>
      <c r="G438" s="17"/>
      <c r="H438" s="17"/>
      <c r="I438" s="17"/>
      <c r="J438" s="18" t="str">
        <f aca="false">IF($A438="","",$B438+$C438+$D438-$E438+$F438-$G438)</f>
        <v/>
      </c>
      <c r="K438" s="18" t="str">
        <f aca="false">IF($A438="","",MAX(0,$B438-$J438))</f>
        <v/>
      </c>
      <c r="L438" s="19" t="str">
        <f aca="false">IF($A438="","",IF($B438=0,0,$K438/$B438))</f>
        <v/>
      </c>
      <c r="M438" s="20" t="str">
        <f aca="false">IF($A438="","",IF($J438&lt;0,"BORCA BATIK",IF($I438&lt;$H438,"BORCA BATIK",IF($L438&gt;=TtkUcteIkiEsik,"2/3 KAYIP (KRİTİK)",IF($L438&gt;=TtkUcteBirEsik,"1/3 KAYIP (DİKKAT)","UYGUN")))))</f>
        <v/>
      </c>
    </row>
    <row r="439" customFormat="false" ht="15" hidden="false" customHeight="false" outlineLevel="0" collapsed="false">
      <c r="A439" s="21"/>
      <c r="B439" s="17"/>
      <c r="C439" s="17"/>
      <c r="D439" s="17"/>
      <c r="E439" s="17"/>
      <c r="F439" s="17"/>
      <c r="G439" s="17"/>
      <c r="H439" s="17"/>
      <c r="I439" s="17"/>
      <c r="J439" s="18" t="str">
        <f aca="false">IF($A439="","",$B439+$C439+$D439-$E439+$F439-$G439)</f>
        <v/>
      </c>
      <c r="K439" s="18" t="str">
        <f aca="false">IF($A439="","",MAX(0,$B439-$J439))</f>
        <v/>
      </c>
      <c r="L439" s="19" t="str">
        <f aca="false">IF($A439="","",IF($B439=0,0,$K439/$B439))</f>
        <v/>
      </c>
      <c r="M439" s="20" t="str">
        <f aca="false">IF($A439="","",IF($J439&lt;0,"BORCA BATIK",IF($I439&lt;$H439,"BORCA BATIK",IF($L439&gt;=TtkUcteIkiEsik,"2/3 KAYIP (KRİTİK)",IF($L439&gt;=TtkUcteBirEsik,"1/3 KAYIP (DİKKAT)","UYGUN")))))</f>
        <v/>
      </c>
    </row>
    <row r="440" customFormat="false" ht="15" hidden="false" customHeight="false" outlineLevel="0" collapsed="false">
      <c r="A440" s="21"/>
      <c r="B440" s="17"/>
      <c r="C440" s="17"/>
      <c r="D440" s="17"/>
      <c r="E440" s="17"/>
      <c r="F440" s="17"/>
      <c r="G440" s="17"/>
      <c r="H440" s="17"/>
      <c r="I440" s="17"/>
      <c r="J440" s="18" t="str">
        <f aca="false">IF($A440="","",$B440+$C440+$D440-$E440+$F440-$G440)</f>
        <v/>
      </c>
      <c r="K440" s="18" t="str">
        <f aca="false">IF($A440="","",MAX(0,$B440-$J440))</f>
        <v/>
      </c>
      <c r="L440" s="19" t="str">
        <f aca="false">IF($A440="","",IF($B440=0,0,$K440/$B440))</f>
        <v/>
      </c>
      <c r="M440" s="20" t="str">
        <f aca="false">IF($A440="","",IF($J440&lt;0,"BORCA BATIK",IF($I440&lt;$H440,"BORCA BATIK",IF($L440&gt;=TtkUcteIkiEsik,"2/3 KAYIP (KRİTİK)",IF($L440&gt;=TtkUcteBirEsik,"1/3 KAYIP (DİKKAT)","UYGUN")))))</f>
        <v/>
      </c>
    </row>
    <row r="441" customFormat="false" ht="15" hidden="false" customHeight="false" outlineLevel="0" collapsed="false">
      <c r="A441" s="21"/>
      <c r="B441" s="17"/>
      <c r="C441" s="17"/>
      <c r="D441" s="17"/>
      <c r="E441" s="17"/>
      <c r="F441" s="17"/>
      <c r="G441" s="17"/>
      <c r="H441" s="17"/>
      <c r="I441" s="17"/>
      <c r="J441" s="18" t="str">
        <f aca="false">IF($A441="","",$B441+$C441+$D441-$E441+$F441-$G441)</f>
        <v/>
      </c>
      <c r="K441" s="18" t="str">
        <f aca="false">IF($A441="","",MAX(0,$B441-$J441))</f>
        <v/>
      </c>
      <c r="L441" s="19" t="str">
        <f aca="false">IF($A441="","",IF($B441=0,0,$K441/$B441))</f>
        <v/>
      </c>
      <c r="M441" s="20" t="str">
        <f aca="false">IF($A441="","",IF($J441&lt;0,"BORCA BATIK",IF($I441&lt;$H441,"BORCA BATIK",IF($L441&gt;=TtkUcteIkiEsik,"2/3 KAYIP (KRİTİK)",IF($L441&gt;=TtkUcteBirEsik,"1/3 KAYIP (DİKKAT)","UYGUN")))))</f>
        <v/>
      </c>
    </row>
    <row r="442" customFormat="false" ht="15" hidden="false" customHeight="false" outlineLevel="0" collapsed="false">
      <c r="A442" s="21"/>
      <c r="B442" s="17"/>
      <c r="C442" s="17"/>
      <c r="D442" s="17"/>
      <c r="E442" s="17"/>
      <c r="F442" s="17"/>
      <c r="G442" s="17"/>
      <c r="H442" s="17"/>
      <c r="I442" s="17"/>
      <c r="J442" s="18" t="str">
        <f aca="false">IF($A442="","",$B442+$C442+$D442-$E442+$F442-$G442)</f>
        <v/>
      </c>
      <c r="K442" s="18" t="str">
        <f aca="false">IF($A442="","",MAX(0,$B442-$J442))</f>
        <v/>
      </c>
      <c r="L442" s="19" t="str">
        <f aca="false">IF($A442="","",IF($B442=0,0,$K442/$B442))</f>
        <v/>
      </c>
      <c r="M442" s="20" t="str">
        <f aca="false">IF($A442="","",IF($J442&lt;0,"BORCA BATIK",IF($I442&lt;$H442,"BORCA BATIK",IF($L442&gt;=TtkUcteIkiEsik,"2/3 KAYIP (KRİTİK)",IF($L442&gt;=TtkUcteBirEsik,"1/3 KAYIP (DİKKAT)","UYGUN")))))</f>
        <v/>
      </c>
    </row>
    <row r="443" customFormat="false" ht="15" hidden="false" customHeight="false" outlineLevel="0" collapsed="false">
      <c r="A443" s="21"/>
      <c r="B443" s="17"/>
      <c r="C443" s="17"/>
      <c r="D443" s="17"/>
      <c r="E443" s="17"/>
      <c r="F443" s="17"/>
      <c r="G443" s="17"/>
      <c r="H443" s="17"/>
      <c r="I443" s="17"/>
      <c r="J443" s="18" t="str">
        <f aca="false">IF($A443="","",$B443+$C443+$D443-$E443+$F443-$G443)</f>
        <v/>
      </c>
      <c r="K443" s="18" t="str">
        <f aca="false">IF($A443="","",MAX(0,$B443-$J443))</f>
        <v/>
      </c>
      <c r="L443" s="19" t="str">
        <f aca="false">IF($A443="","",IF($B443=0,0,$K443/$B443))</f>
        <v/>
      </c>
      <c r="M443" s="20" t="str">
        <f aca="false">IF($A443="","",IF($J443&lt;0,"BORCA BATIK",IF($I443&lt;$H443,"BORCA BATIK",IF($L443&gt;=TtkUcteIkiEsik,"2/3 KAYIP (KRİTİK)",IF($L443&gt;=TtkUcteBirEsik,"1/3 KAYIP (DİKKAT)","UYGUN")))))</f>
        <v/>
      </c>
    </row>
    <row r="444" customFormat="false" ht="15" hidden="false" customHeight="false" outlineLevel="0" collapsed="false">
      <c r="A444" s="21"/>
      <c r="B444" s="17"/>
      <c r="C444" s="17"/>
      <c r="D444" s="17"/>
      <c r="E444" s="17"/>
      <c r="F444" s="17"/>
      <c r="G444" s="17"/>
      <c r="H444" s="17"/>
      <c r="I444" s="17"/>
      <c r="J444" s="18" t="str">
        <f aca="false">IF($A444="","",$B444+$C444+$D444-$E444+$F444-$G444)</f>
        <v/>
      </c>
      <c r="K444" s="18" t="str">
        <f aca="false">IF($A444="","",MAX(0,$B444-$J444))</f>
        <v/>
      </c>
      <c r="L444" s="19" t="str">
        <f aca="false">IF($A444="","",IF($B444=0,0,$K444/$B444))</f>
        <v/>
      </c>
      <c r="M444" s="20" t="str">
        <f aca="false">IF($A444="","",IF($J444&lt;0,"BORCA BATIK",IF($I444&lt;$H444,"BORCA BATIK",IF($L444&gt;=TtkUcteIkiEsik,"2/3 KAYIP (KRİTİK)",IF($L444&gt;=TtkUcteBirEsik,"1/3 KAYIP (DİKKAT)","UYGUN")))))</f>
        <v/>
      </c>
    </row>
    <row r="445" customFormat="false" ht="15" hidden="false" customHeight="false" outlineLevel="0" collapsed="false">
      <c r="A445" s="21"/>
      <c r="B445" s="17"/>
      <c r="C445" s="17"/>
      <c r="D445" s="17"/>
      <c r="E445" s="17"/>
      <c r="F445" s="17"/>
      <c r="G445" s="17"/>
      <c r="H445" s="17"/>
      <c r="I445" s="17"/>
      <c r="J445" s="18" t="str">
        <f aca="false">IF($A445="","",$B445+$C445+$D445-$E445+$F445-$G445)</f>
        <v/>
      </c>
      <c r="K445" s="18" t="str">
        <f aca="false">IF($A445="","",MAX(0,$B445-$J445))</f>
        <v/>
      </c>
      <c r="L445" s="19" t="str">
        <f aca="false">IF($A445="","",IF($B445=0,0,$K445/$B445))</f>
        <v/>
      </c>
      <c r="M445" s="20" t="str">
        <f aca="false">IF($A445="","",IF($J445&lt;0,"BORCA BATIK",IF($I445&lt;$H445,"BORCA BATIK",IF($L445&gt;=TtkUcteIkiEsik,"2/3 KAYIP (KRİTİK)",IF($L445&gt;=TtkUcteBirEsik,"1/3 KAYIP (DİKKAT)","UYGUN")))))</f>
        <v/>
      </c>
    </row>
    <row r="446" customFormat="false" ht="15" hidden="false" customHeight="false" outlineLevel="0" collapsed="false">
      <c r="A446" s="21"/>
      <c r="B446" s="17"/>
      <c r="C446" s="17"/>
      <c r="D446" s="17"/>
      <c r="E446" s="17"/>
      <c r="F446" s="17"/>
      <c r="G446" s="17"/>
      <c r="H446" s="17"/>
      <c r="I446" s="17"/>
      <c r="J446" s="18" t="str">
        <f aca="false">IF($A446="","",$B446+$C446+$D446-$E446+$F446-$G446)</f>
        <v/>
      </c>
      <c r="K446" s="18" t="str">
        <f aca="false">IF($A446="","",MAX(0,$B446-$J446))</f>
        <v/>
      </c>
      <c r="L446" s="19" t="str">
        <f aca="false">IF($A446="","",IF($B446=0,0,$K446/$B446))</f>
        <v/>
      </c>
      <c r="M446" s="20" t="str">
        <f aca="false">IF($A446="","",IF($J446&lt;0,"BORCA BATIK",IF($I446&lt;$H446,"BORCA BATIK",IF($L446&gt;=TtkUcteIkiEsik,"2/3 KAYIP (KRİTİK)",IF($L446&gt;=TtkUcteBirEsik,"1/3 KAYIP (DİKKAT)","UYGUN")))))</f>
        <v/>
      </c>
    </row>
    <row r="447" customFormat="false" ht="15" hidden="false" customHeight="false" outlineLevel="0" collapsed="false">
      <c r="A447" s="21"/>
      <c r="B447" s="17"/>
      <c r="C447" s="17"/>
      <c r="D447" s="17"/>
      <c r="E447" s="17"/>
      <c r="F447" s="17"/>
      <c r="G447" s="17"/>
      <c r="H447" s="17"/>
      <c r="I447" s="17"/>
      <c r="J447" s="18" t="str">
        <f aca="false">IF($A447="","",$B447+$C447+$D447-$E447+$F447-$G447)</f>
        <v/>
      </c>
      <c r="K447" s="18" t="str">
        <f aca="false">IF($A447="","",MAX(0,$B447-$J447))</f>
        <v/>
      </c>
      <c r="L447" s="19" t="str">
        <f aca="false">IF($A447="","",IF($B447=0,0,$K447/$B447))</f>
        <v/>
      </c>
      <c r="M447" s="20" t="str">
        <f aca="false">IF($A447="","",IF($J447&lt;0,"BORCA BATIK",IF($I447&lt;$H447,"BORCA BATIK",IF($L447&gt;=TtkUcteIkiEsik,"2/3 KAYIP (KRİTİK)",IF($L447&gt;=TtkUcteBirEsik,"1/3 KAYIP (DİKKAT)","UYGUN")))))</f>
        <v/>
      </c>
    </row>
    <row r="448" customFormat="false" ht="15" hidden="false" customHeight="false" outlineLevel="0" collapsed="false">
      <c r="A448" s="21"/>
      <c r="B448" s="17"/>
      <c r="C448" s="17"/>
      <c r="D448" s="17"/>
      <c r="E448" s="17"/>
      <c r="F448" s="17"/>
      <c r="G448" s="17"/>
      <c r="H448" s="17"/>
      <c r="I448" s="17"/>
      <c r="J448" s="18" t="str">
        <f aca="false">IF($A448="","",$B448+$C448+$D448-$E448+$F448-$G448)</f>
        <v/>
      </c>
      <c r="K448" s="18" t="str">
        <f aca="false">IF($A448="","",MAX(0,$B448-$J448))</f>
        <v/>
      </c>
      <c r="L448" s="19" t="str">
        <f aca="false">IF($A448="","",IF($B448=0,0,$K448/$B448))</f>
        <v/>
      </c>
      <c r="M448" s="20" t="str">
        <f aca="false">IF($A448="","",IF($J448&lt;0,"BORCA BATIK",IF($I448&lt;$H448,"BORCA BATIK",IF($L448&gt;=TtkUcteIkiEsik,"2/3 KAYIP (KRİTİK)",IF($L448&gt;=TtkUcteBirEsik,"1/3 KAYIP (DİKKAT)","UYGUN")))))</f>
        <v/>
      </c>
    </row>
    <row r="449" customFormat="false" ht="15" hidden="false" customHeight="false" outlineLevel="0" collapsed="false">
      <c r="A449" s="21"/>
      <c r="B449" s="17"/>
      <c r="C449" s="17"/>
      <c r="D449" s="17"/>
      <c r="E449" s="17"/>
      <c r="F449" s="17"/>
      <c r="G449" s="17"/>
      <c r="H449" s="17"/>
      <c r="I449" s="17"/>
      <c r="J449" s="18" t="str">
        <f aca="false">IF($A449="","",$B449+$C449+$D449-$E449+$F449-$G449)</f>
        <v/>
      </c>
      <c r="K449" s="18" t="str">
        <f aca="false">IF($A449="","",MAX(0,$B449-$J449))</f>
        <v/>
      </c>
      <c r="L449" s="19" t="str">
        <f aca="false">IF($A449="","",IF($B449=0,0,$K449/$B449))</f>
        <v/>
      </c>
      <c r="M449" s="20" t="str">
        <f aca="false">IF($A449="","",IF($J449&lt;0,"BORCA BATIK",IF($I449&lt;$H449,"BORCA BATIK",IF($L449&gt;=TtkUcteIkiEsik,"2/3 KAYIP (KRİTİK)",IF($L449&gt;=TtkUcteBirEsik,"1/3 KAYIP (DİKKAT)","UYGUN")))))</f>
        <v/>
      </c>
    </row>
    <row r="450" customFormat="false" ht="15" hidden="false" customHeight="false" outlineLevel="0" collapsed="false">
      <c r="A450" s="21"/>
      <c r="B450" s="17"/>
      <c r="C450" s="17"/>
      <c r="D450" s="17"/>
      <c r="E450" s="17"/>
      <c r="F450" s="17"/>
      <c r="G450" s="17"/>
      <c r="H450" s="17"/>
      <c r="I450" s="17"/>
      <c r="J450" s="18" t="str">
        <f aca="false">IF($A450="","",$B450+$C450+$D450-$E450+$F450-$G450)</f>
        <v/>
      </c>
      <c r="K450" s="18" t="str">
        <f aca="false">IF($A450="","",MAX(0,$B450-$J450))</f>
        <v/>
      </c>
      <c r="L450" s="19" t="str">
        <f aca="false">IF($A450="","",IF($B450=0,0,$K450/$B450))</f>
        <v/>
      </c>
      <c r="M450" s="20" t="str">
        <f aca="false">IF($A450="","",IF($J450&lt;0,"BORCA BATIK",IF($I450&lt;$H450,"BORCA BATIK",IF($L450&gt;=TtkUcteIkiEsik,"2/3 KAYIP (KRİTİK)",IF($L450&gt;=TtkUcteBirEsik,"1/3 KAYIP (DİKKAT)","UYGUN")))))</f>
        <v/>
      </c>
    </row>
    <row r="451" customFormat="false" ht="15" hidden="false" customHeight="false" outlineLevel="0" collapsed="false">
      <c r="A451" s="21"/>
      <c r="B451" s="17"/>
      <c r="C451" s="17"/>
      <c r="D451" s="17"/>
      <c r="E451" s="17"/>
      <c r="F451" s="17"/>
      <c r="G451" s="17"/>
      <c r="H451" s="17"/>
      <c r="I451" s="17"/>
      <c r="J451" s="18" t="str">
        <f aca="false">IF($A451="","",$B451+$C451+$D451-$E451+$F451-$G451)</f>
        <v/>
      </c>
      <c r="K451" s="18" t="str">
        <f aca="false">IF($A451="","",MAX(0,$B451-$J451))</f>
        <v/>
      </c>
      <c r="L451" s="19" t="str">
        <f aca="false">IF($A451="","",IF($B451=0,0,$K451/$B451))</f>
        <v/>
      </c>
      <c r="M451" s="20" t="str">
        <f aca="false">IF($A451="","",IF($J451&lt;0,"BORCA BATIK",IF($I451&lt;$H451,"BORCA BATIK",IF($L451&gt;=TtkUcteIkiEsik,"2/3 KAYIP (KRİTİK)",IF($L451&gt;=TtkUcteBirEsik,"1/3 KAYIP (DİKKAT)","UYGUN")))))</f>
        <v/>
      </c>
    </row>
    <row r="452" customFormat="false" ht="15" hidden="false" customHeight="false" outlineLevel="0" collapsed="false">
      <c r="A452" s="21"/>
      <c r="B452" s="17"/>
      <c r="C452" s="17"/>
      <c r="D452" s="17"/>
      <c r="E452" s="17"/>
      <c r="F452" s="17"/>
      <c r="G452" s="17"/>
      <c r="H452" s="17"/>
      <c r="I452" s="17"/>
      <c r="J452" s="18" t="str">
        <f aca="false">IF($A452="","",$B452+$C452+$D452-$E452+$F452-$G452)</f>
        <v/>
      </c>
      <c r="K452" s="18" t="str">
        <f aca="false">IF($A452="","",MAX(0,$B452-$J452))</f>
        <v/>
      </c>
      <c r="L452" s="19" t="str">
        <f aca="false">IF($A452="","",IF($B452=0,0,$K452/$B452))</f>
        <v/>
      </c>
      <c r="M452" s="20" t="str">
        <f aca="false">IF($A452="","",IF($J452&lt;0,"BORCA BATIK",IF($I452&lt;$H452,"BORCA BATIK",IF($L452&gt;=TtkUcteIkiEsik,"2/3 KAYIP (KRİTİK)",IF($L452&gt;=TtkUcteBirEsik,"1/3 KAYIP (DİKKAT)","UYGUN")))))</f>
        <v/>
      </c>
    </row>
    <row r="453" customFormat="false" ht="15" hidden="false" customHeight="false" outlineLevel="0" collapsed="false">
      <c r="A453" s="21"/>
      <c r="B453" s="17"/>
      <c r="C453" s="17"/>
      <c r="D453" s="17"/>
      <c r="E453" s="17"/>
      <c r="F453" s="17"/>
      <c r="G453" s="17"/>
      <c r="H453" s="17"/>
      <c r="I453" s="17"/>
      <c r="J453" s="18" t="str">
        <f aca="false">IF($A453="","",$B453+$C453+$D453-$E453+$F453-$G453)</f>
        <v/>
      </c>
      <c r="K453" s="18" t="str">
        <f aca="false">IF($A453="","",MAX(0,$B453-$J453))</f>
        <v/>
      </c>
      <c r="L453" s="19" t="str">
        <f aca="false">IF($A453="","",IF($B453=0,0,$K453/$B453))</f>
        <v/>
      </c>
      <c r="M453" s="20" t="str">
        <f aca="false">IF($A453="","",IF($J453&lt;0,"BORCA BATIK",IF($I453&lt;$H453,"BORCA BATIK",IF($L453&gt;=TtkUcteIkiEsik,"2/3 KAYIP (KRİTİK)",IF($L453&gt;=TtkUcteBirEsik,"1/3 KAYIP (DİKKAT)","UYGUN")))))</f>
        <v/>
      </c>
    </row>
    <row r="454" customFormat="false" ht="15" hidden="false" customHeight="false" outlineLevel="0" collapsed="false">
      <c r="A454" s="21"/>
      <c r="B454" s="17"/>
      <c r="C454" s="17"/>
      <c r="D454" s="17"/>
      <c r="E454" s="17"/>
      <c r="F454" s="17"/>
      <c r="G454" s="17"/>
      <c r="H454" s="17"/>
      <c r="I454" s="17"/>
      <c r="J454" s="18" t="str">
        <f aca="false">IF($A454="","",$B454+$C454+$D454-$E454+$F454-$G454)</f>
        <v/>
      </c>
      <c r="K454" s="18" t="str">
        <f aca="false">IF($A454="","",MAX(0,$B454-$J454))</f>
        <v/>
      </c>
      <c r="L454" s="19" t="str">
        <f aca="false">IF($A454="","",IF($B454=0,0,$K454/$B454))</f>
        <v/>
      </c>
      <c r="M454" s="20" t="str">
        <f aca="false">IF($A454="","",IF($J454&lt;0,"BORCA BATIK",IF($I454&lt;$H454,"BORCA BATIK",IF($L454&gt;=TtkUcteIkiEsik,"2/3 KAYIP (KRİTİK)",IF($L454&gt;=TtkUcteBirEsik,"1/3 KAYIP (DİKKAT)","UYGUN")))))</f>
        <v/>
      </c>
    </row>
    <row r="455" customFormat="false" ht="15" hidden="false" customHeight="false" outlineLevel="0" collapsed="false">
      <c r="A455" s="21"/>
      <c r="B455" s="17"/>
      <c r="C455" s="17"/>
      <c r="D455" s="17"/>
      <c r="E455" s="17"/>
      <c r="F455" s="17"/>
      <c r="G455" s="17"/>
      <c r="H455" s="17"/>
      <c r="I455" s="17"/>
      <c r="J455" s="18" t="str">
        <f aca="false">IF($A455="","",$B455+$C455+$D455-$E455+$F455-$G455)</f>
        <v/>
      </c>
      <c r="K455" s="18" t="str">
        <f aca="false">IF($A455="","",MAX(0,$B455-$J455))</f>
        <v/>
      </c>
      <c r="L455" s="19" t="str">
        <f aca="false">IF($A455="","",IF($B455=0,0,$K455/$B455))</f>
        <v/>
      </c>
      <c r="M455" s="20" t="str">
        <f aca="false">IF($A455="","",IF($J455&lt;0,"BORCA BATIK",IF($I455&lt;$H455,"BORCA BATIK",IF($L455&gt;=TtkUcteIkiEsik,"2/3 KAYIP (KRİTİK)",IF($L455&gt;=TtkUcteBirEsik,"1/3 KAYIP (DİKKAT)","UYGUN")))))</f>
        <v/>
      </c>
    </row>
    <row r="456" customFormat="false" ht="15" hidden="false" customHeight="false" outlineLevel="0" collapsed="false">
      <c r="A456" s="21"/>
      <c r="B456" s="17"/>
      <c r="C456" s="17"/>
      <c r="D456" s="17"/>
      <c r="E456" s="17"/>
      <c r="F456" s="17"/>
      <c r="G456" s="17"/>
      <c r="H456" s="17"/>
      <c r="I456" s="17"/>
      <c r="J456" s="18" t="str">
        <f aca="false">IF($A456="","",$B456+$C456+$D456-$E456+$F456-$G456)</f>
        <v/>
      </c>
      <c r="K456" s="18" t="str">
        <f aca="false">IF($A456="","",MAX(0,$B456-$J456))</f>
        <v/>
      </c>
      <c r="L456" s="19" t="str">
        <f aca="false">IF($A456="","",IF($B456=0,0,$K456/$B456))</f>
        <v/>
      </c>
      <c r="M456" s="20" t="str">
        <f aca="false">IF($A456="","",IF($J456&lt;0,"BORCA BATIK",IF($I456&lt;$H456,"BORCA BATIK",IF($L456&gt;=TtkUcteIkiEsik,"2/3 KAYIP (KRİTİK)",IF($L456&gt;=TtkUcteBirEsik,"1/3 KAYIP (DİKKAT)","UYGUN")))))</f>
        <v/>
      </c>
    </row>
    <row r="457" customFormat="false" ht="15" hidden="false" customHeight="false" outlineLevel="0" collapsed="false">
      <c r="A457" s="21"/>
      <c r="B457" s="17"/>
      <c r="C457" s="17"/>
      <c r="D457" s="17"/>
      <c r="E457" s="17"/>
      <c r="F457" s="17"/>
      <c r="G457" s="17"/>
      <c r="H457" s="17"/>
      <c r="I457" s="17"/>
      <c r="J457" s="18" t="str">
        <f aca="false">IF($A457="","",$B457+$C457+$D457-$E457+$F457-$G457)</f>
        <v/>
      </c>
      <c r="K457" s="18" t="str">
        <f aca="false">IF($A457="","",MAX(0,$B457-$J457))</f>
        <v/>
      </c>
      <c r="L457" s="19" t="str">
        <f aca="false">IF($A457="","",IF($B457=0,0,$K457/$B457))</f>
        <v/>
      </c>
      <c r="M457" s="20" t="str">
        <f aca="false">IF($A457="","",IF($J457&lt;0,"BORCA BATIK",IF($I457&lt;$H457,"BORCA BATIK",IF($L457&gt;=TtkUcteIkiEsik,"2/3 KAYIP (KRİTİK)",IF($L457&gt;=TtkUcteBirEsik,"1/3 KAYIP (DİKKAT)","UYGUN")))))</f>
        <v/>
      </c>
    </row>
    <row r="458" customFormat="false" ht="15" hidden="false" customHeight="false" outlineLevel="0" collapsed="false">
      <c r="A458" s="21"/>
      <c r="B458" s="17"/>
      <c r="C458" s="17"/>
      <c r="D458" s="17"/>
      <c r="E458" s="17"/>
      <c r="F458" s="17"/>
      <c r="G458" s="17"/>
      <c r="H458" s="17"/>
      <c r="I458" s="17"/>
      <c r="J458" s="18" t="str">
        <f aca="false">IF($A458="","",$B458+$C458+$D458-$E458+$F458-$G458)</f>
        <v/>
      </c>
      <c r="K458" s="18" t="str">
        <f aca="false">IF($A458="","",MAX(0,$B458-$J458))</f>
        <v/>
      </c>
      <c r="L458" s="19" t="str">
        <f aca="false">IF($A458="","",IF($B458=0,0,$K458/$B458))</f>
        <v/>
      </c>
      <c r="M458" s="20" t="str">
        <f aca="false">IF($A458="","",IF($J458&lt;0,"BORCA BATIK",IF($I458&lt;$H458,"BORCA BATIK",IF($L458&gt;=TtkUcteIkiEsik,"2/3 KAYIP (KRİTİK)",IF($L458&gt;=TtkUcteBirEsik,"1/3 KAYIP (DİKKAT)","UYGUN")))))</f>
        <v/>
      </c>
    </row>
    <row r="459" customFormat="false" ht="15" hidden="false" customHeight="false" outlineLevel="0" collapsed="false">
      <c r="A459" s="21"/>
      <c r="B459" s="17"/>
      <c r="C459" s="17"/>
      <c r="D459" s="17"/>
      <c r="E459" s="17"/>
      <c r="F459" s="17"/>
      <c r="G459" s="17"/>
      <c r="H459" s="17"/>
      <c r="I459" s="17"/>
      <c r="J459" s="18" t="str">
        <f aca="false">IF($A459="","",$B459+$C459+$D459-$E459+$F459-$G459)</f>
        <v/>
      </c>
      <c r="K459" s="18" t="str">
        <f aca="false">IF($A459="","",MAX(0,$B459-$J459))</f>
        <v/>
      </c>
      <c r="L459" s="19" t="str">
        <f aca="false">IF($A459="","",IF($B459=0,0,$K459/$B459))</f>
        <v/>
      </c>
      <c r="M459" s="20" t="str">
        <f aca="false">IF($A459="","",IF($J459&lt;0,"BORCA BATIK",IF($I459&lt;$H459,"BORCA BATIK",IF($L459&gt;=TtkUcteIkiEsik,"2/3 KAYIP (KRİTİK)",IF($L459&gt;=TtkUcteBirEsik,"1/3 KAYIP (DİKKAT)","UYGUN")))))</f>
        <v/>
      </c>
    </row>
    <row r="460" customFormat="false" ht="15" hidden="false" customHeight="false" outlineLevel="0" collapsed="false">
      <c r="A460" s="21"/>
      <c r="B460" s="17"/>
      <c r="C460" s="17"/>
      <c r="D460" s="17"/>
      <c r="E460" s="17"/>
      <c r="F460" s="17"/>
      <c r="G460" s="17"/>
      <c r="H460" s="17"/>
      <c r="I460" s="17"/>
      <c r="J460" s="18" t="str">
        <f aca="false">IF($A460="","",$B460+$C460+$D460-$E460+$F460-$G460)</f>
        <v/>
      </c>
      <c r="K460" s="18" t="str">
        <f aca="false">IF($A460="","",MAX(0,$B460-$J460))</f>
        <v/>
      </c>
      <c r="L460" s="19" t="str">
        <f aca="false">IF($A460="","",IF($B460=0,0,$K460/$B460))</f>
        <v/>
      </c>
      <c r="M460" s="20" t="str">
        <f aca="false">IF($A460="","",IF($J460&lt;0,"BORCA BATIK",IF($I460&lt;$H460,"BORCA BATIK",IF($L460&gt;=TtkUcteIkiEsik,"2/3 KAYIP (KRİTİK)",IF($L460&gt;=TtkUcteBirEsik,"1/3 KAYIP (DİKKAT)","UYGUN")))))</f>
        <v/>
      </c>
    </row>
    <row r="461" customFormat="false" ht="15" hidden="false" customHeight="false" outlineLevel="0" collapsed="false">
      <c r="A461" s="21"/>
      <c r="B461" s="17"/>
      <c r="C461" s="17"/>
      <c r="D461" s="17"/>
      <c r="E461" s="17"/>
      <c r="F461" s="17"/>
      <c r="G461" s="17"/>
      <c r="H461" s="17"/>
      <c r="I461" s="17"/>
      <c r="J461" s="18" t="str">
        <f aca="false">IF($A461="","",$B461+$C461+$D461-$E461+$F461-$G461)</f>
        <v/>
      </c>
      <c r="K461" s="18" t="str">
        <f aca="false">IF($A461="","",MAX(0,$B461-$J461))</f>
        <v/>
      </c>
      <c r="L461" s="19" t="str">
        <f aca="false">IF($A461="","",IF($B461=0,0,$K461/$B461))</f>
        <v/>
      </c>
      <c r="M461" s="20" t="str">
        <f aca="false">IF($A461="","",IF($J461&lt;0,"BORCA BATIK",IF($I461&lt;$H461,"BORCA BATIK",IF($L461&gt;=TtkUcteIkiEsik,"2/3 KAYIP (KRİTİK)",IF($L461&gt;=TtkUcteBirEsik,"1/3 KAYIP (DİKKAT)","UYGUN")))))</f>
        <v/>
      </c>
    </row>
    <row r="462" customFormat="false" ht="15" hidden="false" customHeight="false" outlineLevel="0" collapsed="false">
      <c r="A462" s="21"/>
      <c r="B462" s="17"/>
      <c r="C462" s="17"/>
      <c r="D462" s="17"/>
      <c r="E462" s="17"/>
      <c r="F462" s="17"/>
      <c r="G462" s="17"/>
      <c r="H462" s="17"/>
      <c r="I462" s="17"/>
      <c r="J462" s="18" t="str">
        <f aca="false">IF($A462="","",$B462+$C462+$D462-$E462+$F462-$G462)</f>
        <v/>
      </c>
      <c r="K462" s="18" t="str">
        <f aca="false">IF($A462="","",MAX(0,$B462-$J462))</f>
        <v/>
      </c>
      <c r="L462" s="19" t="str">
        <f aca="false">IF($A462="","",IF($B462=0,0,$K462/$B462))</f>
        <v/>
      </c>
      <c r="M462" s="20" t="str">
        <f aca="false">IF($A462="","",IF($J462&lt;0,"BORCA BATIK",IF($I462&lt;$H462,"BORCA BATIK",IF($L462&gt;=TtkUcteIkiEsik,"2/3 KAYIP (KRİTİK)",IF($L462&gt;=TtkUcteBirEsik,"1/3 KAYIP (DİKKAT)","UYGUN")))))</f>
        <v/>
      </c>
    </row>
    <row r="463" customFormat="false" ht="15" hidden="false" customHeight="false" outlineLevel="0" collapsed="false">
      <c r="A463" s="21"/>
      <c r="B463" s="17"/>
      <c r="C463" s="17"/>
      <c r="D463" s="17"/>
      <c r="E463" s="17"/>
      <c r="F463" s="17"/>
      <c r="G463" s="17"/>
      <c r="H463" s="17"/>
      <c r="I463" s="17"/>
      <c r="J463" s="18" t="str">
        <f aca="false">IF($A463="","",$B463+$C463+$D463-$E463+$F463-$G463)</f>
        <v/>
      </c>
      <c r="K463" s="18" t="str">
        <f aca="false">IF($A463="","",MAX(0,$B463-$J463))</f>
        <v/>
      </c>
      <c r="L463" s="19" t="str">
        <f aca="false">IF($A463="","",IF($B463=0,0,$K463/$B463))</f>
        <v/>
      </c>
      <c r="M463" s="20" t="str">
        <f aca="false">IF($A463="","",IF($J463&lt;0,"BORCA BATIK",IF($I463&lt;$H463,"BORCA BATIK",IF($L463&gt;=TtkUcteIkiEsik,"2/3 KAYIP (KRİTİK)",IF($L463&gt;=TtkUcteBirEsik,"1/3 KAYIP (DİKKAT)","UYGUN")))))</f>
        <v/>
      </c>
    </row>
    <row r="464" customFormat="false" ht="15" hidden="false" customHeight="false" outlineLevel="0" collapsed="false">
      <c r="A464" s="21"/>
      <c r="B464" s="17"/>
      <c r="C464" s="17"/>
      <c r="D464" s="17"/>
      <c r="E464" s="17"/>
      <c r="F464" s="17"/>
      <c r="G464" s="17"/>
      <c r="H464" s="17"/>
      <c r="I464" s="17"/>
      <c r="J464" s="18" t="str">
        <f aca="false">IF($A464="","",$B464+$C464+$D464-$E464+$F464-$G464)</f>
        <v/>
      </c>
      <c r="K464" s="18" t="str">
        <f aca="false">IF($A464="","",MAX(0,$B464-$J464))</f>
        <v/>
      </c>
      <c r="L464" s="19" t="str">
        <f aca="false">IF($A464="","",IF($B464=0,0,$K464/$B464))</f>
        <v/>
      </c>
      <c r="M464" s="20" t="str">
        <f aca="false">IF($A464="","",IF($J464&lt;0,"BORCA BATIK",IF($I464&lt;$H464,"BORCA BATIK",IF($L464&gt;=TtkUcteIkiEsik,"2/3 KAYIP (KRİTİK)",IF($L464&gt;=TtkUcteBirEsik,"1/3 KAYIP (DİKKAT)","UYGUN")))))</f>
        <v/>
      </c>
    </row>
    <row r="465" customFormat="false" ht="15" hidden="false" customHeight="false" outlineLevel="0" collapsed="false">
      <c r="A465" s="21"/>
      <c r="B465" s="17"/>
      <c r="C465" s="17"/>
      <c r="D465" s="17"/>
      <c r="E465" s="17"/>
      <c r="F465" s="17"/>
      <c r="G465" s="17"/>
      <c r="H465" s="17"/>
      <c r="I465" s="17"/>
      <c r="J465" s="18" t="str">
        <f aca="false">IF($A465="","",$B465+$C465+$D465-$E465+$F465-$G465)</f>
        <v/>
      </c>
      <c r="K465" s="18" t="str">
        <f aca="false">IF($A465="","",MAX(0,$B465-$J465))</f>
        <v/>
      </c>
      <c r="L465" s="19" t="str">
        <f aca="false">IF($A465="","",IF($B465=0,0,$K465/$B465))</f>
        <v/>
      </c>
      <c r="M465" s="20" t="str">
        <f aca="false">IF($A465="","",IF($J465&lt;0,"BORCA BATIK",IF($I465&lt;$H465,"BORCA BATIK",IF($L465&gt;=TtkUcteIkiEsik,"2/3 KAYIP (KRİTİK)",IF($L465&gt;=TtkUcteBirEsik,"1/3 KAYIP (DİKKAT)","UYGUN")))))</f>
        <v/>
      </c>
    </row>
    <row r="466" customFormat="false" ht="15" hidden="false" customHeight="false" outlineLevel="0" collapsed="false">
      <c r="A466" s="21"/>
      <c r="B466" s="17"/>
      <c r="C466" s="17"/>
      <c r="D466" s="17"/>
      <c r="E466" s="17"/>
      <c r="F466" s="17"/>
      <c r="G466" s="17"/>
      <c r="H466" s="17"/>
      <c r="I466" s="17"/>
      <c r="J466" s="18" t="str">
        <f aca="false">IF($A466="","",$B466+$C466+$D466-$E466+$F466-$G466)</f>
        <v/>
      </c>
      <c r="K466" s="18" t="str">
        <f aca="false">IF($A466="","",MAX(0,$B466-$J466))</f>
        <v/>
      </c>
      <c r="L466" s="19" t="str">
        <f aca="false">IF($A466="","",IF($B466=0,0,$K466/$B466))</f>
        <v/>
      </c>
      <c r="M466" s="20" t="str">
        <f aca="false">IF($A466="","",IF($J466&lt;0,"BORCA BATIK",IF($I466&lt;$H466,"BORCA BATIK",IF($L466&gt;=TtkUcteIkiEsik,"2/3 KAYIP (KRİTİK)",IF($L466&gt;=TtkUcteBirEsik,"1/3 KAYIP (DİKKAT)","UYGUN")))))</f>
        <v/>
      </c>
    </row>
    <row r="467" customFormat="false" ht="15" hidden="false" customHeight="false" outlineLevel="0" collapsed="false">
      <c r="A467" s="21"/>
      <c r="B467" s="17"/>
      <c r="C467" s="17"/>
      <c r="D467" s="17"/>
      <c r="E467" s="17"/>
      <c r="F467" s="17"/>
      <c r="G467" s="17"/>
      <c r="H467" s="17"/>
      <c r="I467" s="17"/>
      <c r="J467" s="18" t="str">
        <f aca="false">IF($A467="","",$B467+$C467+$D467-$E467+$F467-$G467)</f>
        <v/>
      </c>
      <c r="K467" s="18" t="str">
        <f aca="false">IF($A467="","",MAX(0,$B467-$J467))</f>
        <v/>
      </c>
      <c r="L467" s="19" t="str">
        <f aca="false">IF($A467="","",IF($B467=0,0,$K467/$B467))</f>
        <v/>
      </c>
      <c r="M467" s="20" t="str">
        <f aca="false">IF($A467="","",IF($J467&lt;0,"BORCA BATIK",IF($I467&lt;$H467,"BORCA BATIK",IF($L467&gt;=TtkUcteIkiEsik,"2/3 KAYIP (KRİTİK)",IF($L467&gt;=TtkUcteBirEsik,"1/3 KAYIP (DİKKAT)","UYGUN")))))</f>
        <v/>
      </c>
    </row>
    <row r="468" customFormat="false" ht="15" hidden="false" customHeight="false" outlineLevel="0" collapsed="false">
      <c r="A468" s="21"/>
      <c r="B468" s="17"/>
      <c r="C468" s="17"/>
      <c r="D468" s="17"/>
      <c r="E468" s="17"/>
      <c r="F468" s="17"/>
      <c r="G468" s="17"/>
      <c r="H468" s="17"/>
      <c r="I468" s="17"/>
      <c r="J468" s="18" t="str">
        <f aca="false">IF($A468="","",$B468+$C468+$D468-$E468+$F468-$G468)</f>
        <v/>
      </c>
      <c r="K468" s="18" t="str">
        <f aca="false">IF($A468="","",MAX(0,$B468-$J468))</f>
        <v/>
      </c>
      <c r="L468" s="19" t="str">
        <f aca="false">IF($A468="","",IF($B468=0,0,$K468/$B468))</f>
        <v/>
      </c>
      <c r="M468" s="20" t="str">
        <f aca="false">IF($A468="","",IF($J468&lt;0,"BORCA BATIK",IF($I468&lt;$H468,"BORCA BATIK",IF($L468&gt;=TtkUcteIkiEsik,"2/3 KAYIP (KRİTİK)",IF($L468&gt;=TtkUcteBirEsik,"1/3 KAYIP (DİKKAT)","UYGUN")))))</f>
        <v/>
      </c>
    </row>
    <row r="469" customFormat="false" ht="15" hidden="false" customHeight="false" outlineLevel="0" collapsed="false">
      <c r="A469" s="21"/>
      <c r="B469" s="17"/>
      <c r="C469" s="17"/>
      <c r="D469" s="17"/>
      <c r="E469" s="17"/>
      <c r="F469" s="17"/>
      <c r="G469" s="17"/>
      <c r="H469" s="17"/>
      <c r="I469" s="17"/>
      <c r="J469" s="18" t="str">
        <f aca="false">IF($A469="","",$B469+$C469+$D469-$E469+$F469-$G469)</f>
        <v/>
      </c>
      <c r="K469" s="18" t="str">
        <f aca="false">IF($A469="","",MAX(0,$B469-$J469))</f>
        <v/>
      </c>
      <c r="L469" s="19" t="str">
        <f aca="false">IF($A469="","",IF($B469=0,0,$K469/$B469))</f>
        <v/>
      </c>
      <c r="M469" s="20" t="str">
        <f aca="false">IF($A469="","",IF($J469&lt;0,"BORCA BATIK",IF($I469&lt;$H469,"BORCA BATIK",IF($L469&gt;=TtkUcteIkiEsik,"2/3 KAYIP (KRİTİK)",IF($L469&gt;=TtkUcteBirEsik,"1/3 KAYIP (DİKKAT)","UYGUN")))))</f>
        <v/>
      </c>
    </row>
    <row r="470" customFormat="false" ht="15" hidden="false" customHeight="false" outlineLevel="0" collapsed="false">
      <c r="A470" s="21"/>
      <c r="B470" s="17"/>
      <c r="C470" s="17"/>
      <c r="D470" s="17"/>
      <c r="E470" s="17"/>
      <c r="F470" s="17"/>
      <c r="G470" s="17"/>
      <c r="H470" s="17"/>
      <c r="I470" s="17"/>
      <c r="J470" s="18" t="str">
        <f aca="false">IF($A470="","",$B470+$C470+$D470-$E470+$F470-$G470)</f>
        <v/>
      </c>
      <c r="K470" s="18" t="str">
        <f aca="false">IF($A470="","",MAX(0,$B470-$J470))</f>
        <v/>
      </c>
      <c r="L470" s="19" t="str">
        <f aca="false">IF($A470="","",IF($B470=0,0,$K470/$B470))</f>
        <v/>
      </c>
      <c r="M470" s="20" t="str">
        <f aca="false">IF($A470="","",IF($J470&lt;0,"BORCA BATIK",IF($I470&lt;$H470,"BORCA BATIK",IF($L470&gt;=TtkUcteIkiEsik,"2/3 KAYIP (KRİTİK)",IF($L470&gt;=TtkUcteBirEsik,"1/3 KAYIP (DİKKAT)","UYGUN")))))</f>
        <v/>
      </c>
    </row>
    <row r="471" customFormat="false" ht="15" hidden="false" customHeight="false" outlineLevel="0" collapsed="false">
      <c r="A471" s="21"/>
      <c r="B471" s="17"/>
      <c r="C471" s="17"/>
      <c r="D471" s="17"/>
      <c r="E471" s="17"/>
      <c r="F471" s="17"/>
      <c r="G471" s="17"/>
      <c r="H471" s="17"/>
      <c r="I471" s="17"/>
      <c r="J471" s="18" t="str">
        <f aca="false">IF($A471="","",$B471+$C471+$D471-$E471+$F471-$G471)</f>
        <v/>
      </c>
      <c r="K471" s="18" t="str">
        <f aca="false">IF($A471="","",MAX(0,$B471-$J471))</f>
        <v/>
      </c>
      <c r="L471" s="19" t="str">
        <f aca="false">IF($A471="","",IF($B471=0,0,$K471/$B471))</f>
        <v/>
      </c>
      <c r="M471" s="20" t="str">
        <f aca="false">IF($A471="","",IF($J471&lt;0,"BORCA BATIK",IF($I471&lt;$H471,"BORCA BATIK",IF($L471&gt;=TtkUcteIkiEsik,"2/3 KAYIP (KRİTİK)",IF($L471&gt;=TtkUcteBirEsik,"1/3 KAYIP (DİKKAT)","UYGUN")))))</f>
        <v/>
      </c>
    </row>
    <row r="472" customFormat="false" ht="15" hidden="false" customHeight="false" outlineLevel="0" collapsed="false">
      <c r="A472" s="21"/>
      <c r="B472" s="17"/>
      <c r="C472" s="17"/>
      <c r="D472" s="17"/>
      <c r="E472" s="17"/>
      <c r="F472" s="17"/>
      <c r="G472" s="17"/>
      <c r="H472" s="17"/>
      <c r="I472" s="17"/>
      <c r="J472" s="18" t="str">
        <f aca="false">IF($A472="","",$B472+$C472+$D472-$E472+$F472-$G472)</f>
        <v/>
      </c>
      <c r="K472" s="18" t="str">
        <f aca="false">IF($A472="","",MAX(0,$B472-$J472))</f>
        <v/>
      </c>
      <c r="L472" s="19" t="str">
        <f aca="false">IF($A472="","",IF($B472=0,0,$K472/$B472))</f>
        <v/>
      </c>
      <c r="M472" s="20" t="str">
        <f aca="false">IF($A472="","",IF($J472&lt;0,"BORCA BATIK",IF($I472&lt;$H472,"BORCA BATIK",IF($L472&gt;=TtkUcteIkiEsik,"2/3 KAYIP (KRİTİK)",IF($L472&gt;=TtkUcteBirEsik,"1/3 KAYIP (DİKKAT)","UYGUN")))))</f>
        <v/>
      </c>
    </row>
    <row r="473" customFormat="false" ht="15" hidden="false" customHeight="false" outlineLevel="0" collapsed="false">
      <c r="A473" s="21"/>
      <c r="B473" s="17"/>
      <c r="C473" s="17"/>
      <c r="D473" s="17"/>
      <c r="E473" s="17"/>
      <c r="F473" s="17"/>
      <c r="G473" s="17"/>
      <c r="H473" s="17"/>
      <c r="I473" s="17"/>
      <c r="J473" s="18" t="str">
        <f aca="false">IF($A473="","",$B473+$C473+$D473-$E473+$F473-$G473)</f>
        <v/>
      </c>
      <c r="K473" s="18" t="str">
        <f aca="false">IF($A473="","",MAX(0,$B473-$J473))</f>
        <v/>
      </c>
      <c r="L473" s="19" t="str">
        <f aca="false">IF($A473="","",IF($B473=0,0,$K473/$B473))</f>
        <v/>
      </c>
      <c r="M473" s="20" t="str">
        <f aca="false">IF($A473="","",IF($J473&lt;0,"BORCA BATIK",IF($I473&lt;$H473,"BORCA BATIK",IF($L473&gt;=TtkUcteIkiEsik,"2/3 KAYIP (KRİTİK)",IF($L473&gt;=TtkUcteBirEsik,"1/3 KAYIP (DİKKAT)","UYGUN")))))</f>
        <v/>
      </c>
    </row>
    <row r="474" customFormat="false" ht="15" hidden="false" customHeight="false" outlineLevel="0" collapsed="false">
      <c r="A474" s="21"/>
      <c r="B474" s="17"/>
      <c r="C474" s="17"/>
      <c r="D474" s="17"/>
      <c r="E474" s="17"/>
      <c r="F474" s="17"/>
      <c r="G474" s="17"/>
      <c r="H474" s="17"/>
      <c r="I474" s="17"/>
      <c r="J474" s="18" t="str">
        <f aca="false">IF($A474="","",$B474+$C474+$D474-$E474+$F474-$G474)</f>
        <v/>
      </c>
      <c r="K474" s="18" t="str">
        <f aca="false">IF($A474="","",MAX(0,$B474-$J474))</f>
        <v/>
      </c>
      <c r="L474" s="19" t="str">
        <f aca="false">IF($A474="","",IF($B474=0,0,$K474/$B474))</f>
        <v/>
      </c>
      <c r="M474" s="20" t="str">
        <f aca="false">IF($A474="","",IF($J474&lt;0,"BORCA BATIK",IF($I474&lt;$H474,"BORCA BATIK",IF($L474&gt;=TtkUcteIkiEsik,"2/3 KAYIP (KRİTİK)",IF($L474&gt;=TtkUcteBirEsik,"1/3 KAYIP (DİKKAT)","UYGUN")))))</f>
        <v/>
      </c>
    </row>
    <row r="475" customFormat="false" ht="15" hidden="false" customHeight="false" outlineLevel="0" collapsed="false">
      <c r="A475" s="21"/>
      <c r="B475" s="17"/>
      <c r="C475" s="17"/>
      <c r="D475" s="17"/>
      <c r="E475" s="17"/>
      <c r="F475" s="17"/>
      <c r="G475" s="17"/>
      <c r="H475" s="17"/>
      <c r="I475" s="17"/>
      <c r="J475" s="18" t="str">
        <f aca="false">IF($A475="","",$B475+$C475+$D475-$E475+$F475-$G475)</f>
        <v/>
      </c>
      <c r="K475" s="18" t="str">
        <f aca="false">IF($A475="","",MAX(0,$B475-$J475))</f>
        <v/>
      </c>
      <c r="L475" s="19" t="str">
        <f aca="false">IF($A475="","",IF($B475=0,0,$K475/$B475))</f>
        <v/>
      </c>
      <c r="M475" s="20" t="str">
        <f aca="false">IF($A475="","",IF($J475&lt;0,"BORCA BATIK",IF($I475&lt;$H475,"BORCA BATIK",IF($L475&gt;=TtkUcteIkiEsik,"2/3 KAYIP (KRİTİK)",IF($L475&gt;=TtkUcteBirEsik,"1/3 KAYIP (DİKKAT)","UYGUN")))))</f>
        <v/>
      </c>
    </row>
    <row r="476" customFormat="false" ht="15" hidden="false" customHeight="false" outlineLevel="0" collapsed="false">
      <c r="A476" s="21"/>
      <c r="B476" s="17"/>
      <c r="C476" s="17"/>
      <c r="D476" s="17"/>
      <c r="E476" s="17"/>
      <c r="F476" s="17"/>
      <c r="G476" s="17"/>
      <c r="H476" s="17"/>
      <c r="I476" s="17"/>
      <c r="J476" s="18" t="str">
        <f aca="false">IF($A476="","",$B476+$C476+$D476-$E476+$F476-$G476)</f>
        <v/>
      </c>
      <c r="K476" s="18" t="str">
        <f aca="false">IF($A476="","",MAX(0,$B476-$J476))</f>
        <v/>
      </c>
      <c r="L476" s="19" t="str">
        <f aca="false">IF($A476="","",IF($B476=0,0,$K476/$B476))</f>
        <v/>
      </c>
      <c r="M476" s="20" t="str">
        <f aca="false">IF($A476="","",IF($J476&lt;0,"BORCA BATIK",IF($I476&lt;$H476,"BORCA BATIK",IF($L476&gt;=TtkUcteIkiEsik,"2/3 KAYIP (KRİTİK)",IF($L476&gt;=TtkUcteBirEsik,"1/3 KAYIP (DİKKAT)","UYGUN")))))</f>
        <v/>
      </c>
    </row>
    <row r="477" customFormat="false" ht="15" hidden="false" customHeight="false" outlineLevel="0" collapsed="false">
      <c r="A477" s="21"/>
      <c r="B477" s="17"/>
      <c r="C477" s="17"/>
      <c r="D477" s="17"/>
      <c r="E477" s="17"/>
      <c r="F477" s="17"/>
      <c r="G477" s="17"/>
      <c r="H477" s="17"/>
      <c r="I477" s="17"/>
      <c r="J477" s="18" t="str">
        <f aca="false">IF($A477="","",$B477+$C477+$D477-$E477+$F477-$G477)</f>
        <v/>
      </c>
      <c r="K477" s="18" t="str">
        <f aca="false">IF($A477="","",MAX(0,$B477-$J477))</f>
        <v/>
      </c>
      <c r="L477" s="19" t="str">
        <f aca="false">IF($A477="","",IF($B477=0,0,$K477/$B477))</f>
        <v/>
      </c>
      <c r="M477" s="20" t="str">
        <f aca="false">IF($A477="","",IF($J477&lt;0,"BORCA BATIK",IF($I477&lt;$H477,"BORCA BATIK",IF($L477&gt;=TtkUcteIkiEsik,"2/3 KAYIP (KRİTİK)",IF($L477&gt;=TtkUcteBirEsik,"1/3 KAYIP (DİKKAT)","UYGUN")))))</f>
        <v/>
      </c>
    </row>
    <row r="478" customFormat="false" ht="15" hidden="false" customHeight="false" outlineLevel="0" collapsed="false">
      <c r="A478" s="21"/>
      <c r="B478" s="17"/>
      <c r="C478" s="17"/>
      <c r="D478" s="17"/>
      <c r="E478" s="17"/>
      <c r="F478" s="17"/>
      <c r="G478" s="17"/>
      <c r="H478" s="17"/>
      <c r="I478" s="17"/>
      <c r="J478" s="18" t="str">
        <f aca="false">IF($A478="","",$B478+$C478+$D478-$E478+$F478-$G478)</f>
        <v/>
      </c>
      <c r="K478" s="18" t="str">
        <f aca="false">IF($A478="","",MAX(0,$B478-$J478))</f>
        <v/>
      </c>
      <c r="L478" s="19" t="str">
        <f aca="false">IF($A478="","",IF($B478=0,0,$K478/$B478))</f>
        <v/>
      </c>
      <c r="M478" s="20" t="str">
        <f aca="false">IF($A478="","",IF($J478&lt;0,"BORCA BATIK",IF($I478&lt;$H478,"BORCA BATIK",IF($L478&gt;=TtkUcteIkiEsik,"2/3 KAYIP (KRİTİK)",IF($L478&gt;=TtkUcteBirEsik,"1/3 KAYIP (DİKKAT)","UYGUN")))))</f>
        <v/>
      </c>
    </row>
    <row r="479" customFormat="false" ht="15" hidden="false" customHeight="false" outlineLevel="0" collapsed="false">
      <c r="A479" s="21"/>
      <c r="B479" s="17"/>
      <c r="C479" s="17"/>
      <c r="D479" s="17"/>
      <c r="E479" s="17"/>
      <c r="F479" s="17"/>
      <c r="G479" s="17"/>
      <c r="H479" s="17"/>
      <c r="I479" s="17"/>
      <c r="J479" s="18" t="str">
        <f aca="false">IF($A479="","",$B479+$C479+$D479-$E479+$F479-$G479)</f>
        <v/>
      </c>
      <c r="K479" s="18" t="str">
        <f aca="false">IF($A479="","",MAX(0,$B479-$J479))</f>
        <v/>
      </c>
      <c r="L479" s="19" t="str">
        <f aca="false">IF($A479="","",IF($B479=0,0,$K479/$B479))</f>
        <v/>
      </c>
      <c r="M479" s="20" t="str">
        <f aca="false">IF($A479="","",IF($J479&lt;0,"BORCA BATIK",IF($I479&lt;$H479,"BORCA BATIK",IF($L479&gt;=TtkUcteIkiEsik,"2/3 KAYIP (KRİTİK)",IF($L479&gt;=TtkUcteBirEsik,"1/3 KAYIP (DİKKAT)","UYGUN")))))</f>
        <v/>
      </c>
    </row>
    <row r="480" customFormat="false" ht="15" hidden="false" customHeight="false" outlineLevel="0" collapsed="false">
      <c r="A480" s="21"/>
      <c r="B480" s="17"/>
      <c r="C480" s="17"/>
      <c r="D480" s="17"/>
      <c r="E480" s="17"/>
      <c r="F480" s="17"/>
      <c r="G480" s="17"/>
      <c r="H480" s="17"/>
      <c r="I480" s="17"/>
      <c r="J480" s="18" t="str">
        <f aca="false">IF($A480="","",$B480+$C480+$D480-$E480+$F480-$G480)</f>
        <v/>
      </c>
      <c r="K480" s="18" t="str">
        <f aca="false">IF($A480="","",MAX(0,$B480-$J480))</f>
        <v/>
      </c>
      <c r="L480" s="19" t="str">
        <f aca="false">IF($A480="","",IF($B480=0,0,$K480/$B480))</f>
        <v/>
      </c>
      <c r="M480" s="20" t="str">
        <f aca="false">IF($A480="","",IF($J480&lt;0,"BORCA BATIK",IF($I480&lt;$H480,"BORCA BATIK",IF($L480&gt;=TtkUcteIkiEsik,"2/3 KAYIP (KRİTİK)",IF($L480&gt;=TtkUcteBirEsik,"1/3 KAYIP (DİKKAT)","UYGUN")))))</f>
        <v/>
      </c>
    </row>
    <row r="481" customFormat="false" ht="15" hidden="false" customHeight="false" outlineLevel="0" collapsed="false">
      <c r="A481" s="21"/>
      <c r="B481" s="17"/>
      <c r="C481" s="17"/>
      <c r="D481" s="17"/>
      <c r="E481" s="17"/>
      <c r="F481" s="17"/>
      <c r="G481" s="17"/>
      <c r="H481" s="17"/>
      <c r="I481" s="17"/>
      <c r="J481" s="18" t="str">
        <f aca="false">IF($A481="","",$B481+$C481+$D481-$E481+$F481-$G481)</f>
        <v/>
      </c>
      <c r="K481" s="18" t="str">
        <f aca="false">IF($A481="","",MAX(0,$B481-$J481))</f>
        <v/>
      </c>
      <c r="L481" s="19" t="str">
        <f aca="false">IF($A481="","",IF($B481=0,0,$K481/$B481))</f>
        <v/>
      </c>
      <c r="M481" s="20" t="str">
        <f aca="false">IF($A481="","",IF($J481&lt;0,"BORCA BATIK",IF($I481&lt;$H481,"BORCA BATIK",IF($L481&gt;=TtkUcteIkiEsik,"2/3 KAYIP (KRİTİK)",IF($L481&gt;=TtkUcteBirEsik,"1/3 KAYIP (DİKKAT)","UYGUN")))))</f>
        <v/>
      </c>
    </row>
    <row r="482" customFormat="false" ht="15" hidden="false" customHeight="false" outlineLevel="0" collapsed="false">
      <c r="A482" s="21"/>
      <c r="B482" s="17"/>
      <c r="C482" s="17"/>
      <c r="D482" s="17"/>
      <c r="E482" s="17"/>
      <c r="F482" s="17"/>
      <c r="G482" s="17"/>
      <c r="H482" s="17"/>
      <c r="I482" s="17"/>
      <c r="J482" s="18" t="str">
        <f aca="false">IF($A482="","",$B482+$C482+$D482-$E482+$F482-$G482)</f>
        <v/>
      </c>
      <c r="K482" s="18" t="str">
        <f aca="false">IF($A482="","",MAX(0,$B482-$J482))</f>
        <v/>
      </c>
      <c r="L482" s="19" t="str">
        <f aca="false">IF($A482="","",IF($B482=0,0,$K482/$B482))</f>
        <v/>
      </c>
      <c r="M482" s="20" t="str">
        <f aca="false">IF($A482="","",IF($J482&lt;0,"BORCA BATIK",IF($I482&lt;$H482,"BORCA BATIK",IF($L482&gt;=TtkUcteIkiEsik,"2/3 KAYIP (KRİTİK)",IF($L482&gt;=TtkUcteBirEsik,"1/3 KAYIP (DİKKAT)","UYGUN")))))</f>
        <v/>
      </c>
    </row>
    <row r="483" customFormat="false" ht="15" hidden="false" customHeight="false" outlineLevel="0" collapsed="false">
      <c r="A483" s="21"/>
      <c r="B483" s="17"/>
      <c r="C483" s="17"/>
      <c r="D483" s="17"/>
      <c r="E483" s="17"/>
      <c r="F483" s="17"/>
      <c r="G483" s="17"/>
      <c r="H483" s="17"/>
      <c r="I483" s="17"/>
      <c r="J483" s="18" t="str">
        <f aca="false">IF($A483="","",$B483+$C483+$D483-$E483+$F483-$G483)</f>
        <v/>
      </c>
      <c r="K483" s="18" t="str">
        <f aca="false">IF($A483="","",MAX(0,$B483-$J483))</f>
        <v/>
      </c>
      <c r="L483" s="19" t="str">
        <f aca="false">IF($A483="","",IF($B483=0,0,$K483/$B483))</f>
        <v/>
      </c>
      <c r="M483" s="20" t="str">
        <f aca="false">IF($A483="","",IF($J483&lt;0,"BORCA BATIK",IF($I483&lt;$H483,"BORCA BATIK",IF($L483&gt;=TtkUcteIkiEsik,"2/3 KAYIP (KRİTİK)",IF($L483&gt;=TtkUcteBirEsik,"1/3 KAYIP (DİKKAT)","UYGUN")))))</f>
        <v/>
      </c>
    </row>
    <row r="484" customFormat="false" ht="15" hidden="false" customHeight="false" outlineLevel="0" collapsed="false">
      <c r="A484" s="21"/>
      <c r="B484" s="17"/>
      <c r="C484" s="17"/>
      <c r="D484" s="17"/>
      <c r="E484" s="17"/>
      <c r="F484" s="17"/>
      <c r="G484" s="17"/>
      <c r="H484" s="17"/>
      <c r="I484" s="17"/>
      <c r="J484" s="18" t="str">
        <f aca="false">IF($A484="","",$B484+$C484+$D484-$E484+$F484-$G484)</f>
        <v/>
      </c>
      <c r="K484" s="18" t="str">
        <f aca="false">IF($A484="","",MAX(0,$B484-$J484))</f>
        <v/>
      </c>
      <c r="L484" s="19" t="str">
        <f aca="false">IF($A484="","",IF($B484=0,0,$K484/$B484))</f>
        <v/>
      </c>
      <c r="M484" s="20" t="str">
        <f aca="false">IF($A484="","",IF($J484&lt;0,"BORCA BATIK",IF($I484&lt;$H484,"BORCA BATIK",IF($L484&gt;=TtkUcteIkiEsik,"2/3 KAYIP (KRİTİK)",IF($L484&gt;=TtkUcteBirEsik,"1/3 KAYIP (DİKKAT)","UYGUN")))))</f>
        <v/>
      </c>
    </row>
    <row r="485" customFormat="false" ht="15" hidden="false" customHeight="false" outlineLevel="0" collapsed="false">
      <c r="A485" s="21"/>
      <c r="B485" s="17"/>
      <c r="C485" s="17"/>
      <c r="D485" s="17"/>
      <c r="E485" s="17"/>
      <c r="F485" s="17"/>
      <c r="G485" s="17"/>
      <c r="H485" s="17"/>
      <c r="I485" s="17"/>
      <c r="J485" s="18" t="str">
        <f aca="false">IF($A485="","",$B485+$C485+$D485-$E485+$F485-$G485)</f>
        <v/>
      </c>
      <c r="K485" s="18" t="str">
        <f aca="false">IF($A485="","",MAX(0,$B485-$J485))</f>
        <v/>
      </c>
      <c r="L485" s="19" t="str">
        <f aca="false">IF($A485="","",IF($B485=0,0,$K485/$B485))</f>
        <v/>
      </c>
      <c r="M485" s="20" t="str">
        <f aca="false">IF($A485="","",IF($J485&lt;0,"BORCA BATIK",IF($I485&lt;$H485,"BORCA BATIK",IF($L485&gt;=TtkUcteIkiEsik,"2/3 KAYIP (KRİTİK)",IF($L485&gt;=TtkUcteBirEsik,"1/3 KAYIP (DİKKAT)","UYGUN")))))</f>
        <v/>
      </c>
    </row>
    <row r="486" customFormat="false" ht="15" hidden="false" customHeight="false" outlineLevel="0" collapsed="false">
      <c r="A486" s="21"/>
      <c r="B486" s="17"/>
      <c r="C486" s="17"/>
      <c r="D486" s="17"/>
      <c r="E486" s="17"/>
      <c r="F486" s="17"/>
      <c r="G486" s="17"/>
      <c r="H486" s="17"/>
      <c r="I486" s="17"/>
      <c r="J486" s="18" t="str">
        <f aca="false">IF($A486="","",$B486+$C486+$D486-$E486+$F486-$G486)</f>
        <v/>
      </c>
      <c r="K486" s="18" t="str">
        <f aca="false">IF($A486="","",MAX(0,$B486-$J486))</f>
        <v/>
      </c>
      <c r="L486" s="19" t="str">
        <f aca="false">IF($A486="","",IF($B486=0,0,$K486/$B486))</f>
        <v/>
      </c>
      <c r="M486" s="20" t="str">
        <f aca="false">IF($A486="","",IF($J486&lt;0,"BORCA BATIK",IF($I486&lt;$H486,"BORCA BATIK",IF($L486&gt;=TtkUcteIkiEsik,"2/3 KAYIP (KRİTİK)",IF($L486&gt;=TtkUcteBirEsik,"1/3 KAYIP (DİKKAT)","UYGUN")))))</f>
        <v/>
      </c>
    </row>
    <row r="487" customFormat="false" ht="15" hidden="false" customHeight="false" outlineLevel="0" collapsed="false">
      <c r="A487" s="21"/>
      <c r="B487" s="17"/>
      <c r="C487" s="17"/>
      <c r="D487" s="17"/>
      <c r="E487" s="17"/>
      <c r="F487" s="17"/>
      <c r="G487" s="17"/>
      <c r="H487" s="17"/>
      <c r="I487" s="17"/>
      <c r="J487" s="18" t="str">
        <f aca="false">IF($A487="","",$B487+$C487+$D487-$E487+$F487-$G487)</f>
        <v/>
      </c>
      <c r="K487" s="18" t="str">
        <f aca="false">IF($A487="","",MAX(0,$B487-$J487))</f>
        <v/>
      </c>
      <c r="L487" s="19" t="str">
        <f aca="false">IF($A487="","",IF($B487=0,0,$K487/$B487))</f>
        <v/>
      </c>
      <c r="M487" s="20" t="str">
        <f aca="false">IF($A487="","",IF($J487&lt;0,"BORCA BATIK",IF($I487&lt;$H487,"BORCA BATIK",IF($L487&gt;=TtkUcteIkiEsik,"2/3 KAYIP (KRİTİK)",IF($L487&gt;=TtkUcteBirEsik,"1/3 KAYIP (DİKKAT)","UYGUN")))))</f>
        <v/>
      </c>
    </row>
    <row r="488" customFormat="false" ht="15" hidden="false" customHeight="false" outlineLevel="0" collapsed="false">
      <c r="A488" s="21"/>
      <c r="B488" s="17"/>
      <c r="C488" s="17"/>
      <c r="D488" s="17"/>
      <c r="E488" s="17"/>
      <c r="F488" s="17"/>
      <c r="G488" s="17"/>
      <c r="H488" s="17"/>
      <c r="I488" s="17"/>
      <c r="J488" s="18" t="str">
        <f aca="false">IF($A488="","",$B488+$C488+$D488-$E488+$F488-$G488)</f>
        <v/>
      </c>
      <c r="K488" s="18" t="str">
        <f aca="false">IF($A488="","",MAX(0,$B488-$J488))</f>
        <v/>
      </c>
      <c r="L488" s="19" t="str">
        <f aca="false">IF($A488="","",IF($B488=0,0,$K488/$B488))</f>
        <v/>
      </c>
      <c r="M488" s="20" t="str">
        <f aca="false">IF($A488="","",IF($J488&lt;0,"BORCA BATIK",IF($I488&lt;$H488,"BORCA BATIK",IF($L488&gt;=TtkUcteIkiEsik,"2/3 KAYIP (KRİTİK)",IF($L488&gt;=TtkUcteBirEsik,"1/3 KAYIP (DİKKAT)","UYGUN")))))</f>
        <v/>
      </c>
    </row>
    <row r="489" customFormat="false" ht="15" hidden="false" customHeight="false" outlineLevel="0" collapsed="false">
      <c r="A489" s="21"/>
      <c r="B489" s="17"/>
      <c r="C489" s="17"/>
      <c r="D489" s="17"/>
      <c r="E489" s="17"/>
      <c r="F489" s="17"/>
      <c r="G489" s="17"/>
      <c r="H489" s="17"/>
      <c r="I489" s="17"/>
      <c r="J489" s="18" t="str">
        <f aca="false">IF($A489="","",$B489+$C489+$D489-$E489+$F489-$G489)</f>
        <v/>
      </c>
      <c r="K489" s="18" t="str">
        <f aca="false">IF($A489="","",MAX(0,$B489-$J489))</f>
        <v/>
      </c>
      <c r="L489" s="19" t="str">
        <f aca="false">IF($A489="","",IF($B489=0,0,$K489/$B489))</f>
        <v/>
      </c>
      <c r="M489" s="20" t="str">
        <f aca="false">IF($A489="","",IF($J489&lt;0,"BORCA BATIK",IF($I489&lt;$H489,"BORCA BATIK",IF($L489&gt;=TtkUcteIkiEsik,"2/3 KAYIP (KRİTİK)",IF($L489&gt;=TtkUcteBirEsik,"1/3 KAYIP (DİKKAT)","UYGUN")))))</f>
        <v/>
      </c>
    </row>
    <row r="490" customFormat="false" ht="15" hidden="false" customHeight="false" outlineLevel="0" collapsed="false">
      <c r="A490" s="21"/>
      <c r="B490" s="17"/>
      <c r="C490" s="17"/>
      <c r="D490" s="17"/>
      <c r="E490" s="17"/>
      <c r="F490" s="17"/>
      <c r="G490" s="17"/>
      <c r="H490" s="17"/>
      <c r="I490" s="17"/>
      <c r="J490" s="18" t="str">
        <f aca="false">IF($A490="","",$B490+$C490+$D490-$E490+$F490-$G490)</f>
        <v/>
      </c>
      <c r="K490" s="18" t="str">
        <f aca="false">IF($A490="","",MAX(0,$B490-$J490))</f>
        <v/>
      </c>
      <c r="L490" s="19" t="str">
        <f aca="false">IF($A490="","",IF($B490=0,0,$K490/$B490))</f>
        <v/>
      </c>
      <c r="M490" s="20" t="str">
        <f aca="false">IF($A490="","",IF($J490&lt;0,"BORCA BATIK",IF($I490&lt;$H490,"BORCA BATIK",IF($L490&gt;=TtkUcteIkiEsik,"2/3 KAYIP (KRİTİK)",IF($L490&gt;=TtkUcteBirEsik,"1/3 KAYIP (DİKKAT)","UYGUN")))))</f>
        <v/>
      </c>
    </row>
    <row r="491" customFormat="false" ht="15" hidden="false" customHeight="false" outlineLevel="0" collapsed="false">
      <c r="A491" s="21"/>
      <c r="B491" s="17"/>
      <c r="C491" s="17"/>
      <c r="D491" s="17"/>
      <c r="E491" s="17"/>
      <c r="F491" s="17"/>
      <c r="G491" s="17"/>
      <c r="H491" s="17"/>
      <c r="I491" s="17"/>
      <c r="J491" s="18" t="str">
        <f aca="false">IF($A491="","",$B491+$C491+$D491-$E491+$F491-$G491)</f>
        <v/>
      </c>
      <c r="K491" s="18" t="str">
        <f aca="false">IF($A491="","",MAX(0,$B491-$J491))</f>
        <v/>
      </c>
      <c r="L491" s="19" t="str">
        <f aca="false">IF($A491="","",IF($B491=0,0,$K491/$B491))</f>
        <v/>
      </c>
      <c r="M491" s="20" t="str">
        <f aca="false">IF($A491="","",IF($J491&lt;0,"BORCA BATIK",IF($I491&lt;$H491,"BORCA BATIK",IF($L491&gt;=TtkUcteIkiEsik,"2/3 KAYIP (KRİTİK)",IF($L491&gt;=TtkUcteBirEsik,"1/3 KAYIP (DİKKAT)","UYGUN")))))</f>
        <v/>
      </c>
    </row>
    <row r="492" customFormat="false" ht="15" hidden="false" customHeight="false" outlineLevel="0" collapsed="false">
      <c r="A492" s="21"/>
      <c r="B492" s="17"/>
      <c r="C492" s="17"/>
      <c r="D492" s="17"/>
      <c r="E492" s="17"/>
      <c r="F492" s="17"/>
      <c r="G492" s="17"/>
      <c r="H492" s="17"/>
      <c r="I492" s="17"/>
      <c r="J492" s="18" t="str">
        <f aca="false">IF($A492="","",$B492+$C492+$D492-$E492+$F492-$G492)</f>
        <v/>
      </c>
      <c r="K492" s="18" t="str">
        <f aca="false">IF($A492="","",MAX(0,$B492-$J492))</f>
        <v/>
      </c>
      <c r="L492" s="19" t="str">
        <f aca="false">IF($A492="","",IF($B492=0,0,$K492/$B492))</f>
        <v/>
      </c>
      <c r="M492" s="20" t="str">
        <f aca="false">IF($A492="","",IF($J492&lt;0,"BORCA BATIK",IF($I492&lt;$H492,"BORCA BATIK",IF($L492&gt;=TtkUcteIkiEsik,"2/3 KAYIP (KRİTİK)",IF($L492&gt;=TtkUcteBirEsik,"1/3 KAYIP (DİKKAT)","UYGUN")))))</f>
        <v/>
      </c>
    </row>
    <row r="493" customFormat="false" ht="15" hidden="false" customHeight="false" outlineLevel="0" collapsed="false">
      <c r="A493" s="21"/>
      <c r="B493" s="17"/>
      <c r="C493" s="17"/>
      <c r="D493" s="17"/>
      <c r="E493" s="17"/>
      <c r="F493" s="17"/>
      <c r="G493" s="17"/>
      <c r="H493" s="17"/>
      <c r="I493" s="17"/>
      <c r="J493" s="18" t="str">
        <f aca="false">IF($A493="","",$B493+$C493+$D493-$E493+$F493-$G493)</f>
        <v/>
      </c>
      <c r="K493" s="18" t="str">
        <f aca="false">IF($A493="","",MAX(0,$B493-$J493))</f>
        <v/>
      </c>
      <c r="L493" s="19" t="str">
        <f aca="false">IF($A493="","",IF($B493=0,0,$K493/$B493))</f>
        <v/>
      </c>
      <c r="M493" s="20" t="str">
        <f aca="false">IF($A493="","",IF($J493&lt;0,"BORCA BATIK",IF($I493&lt;$H493,"BORCA BATIK",IF($L493&gt;=TtkUcteIkiEsik,"2/3 KAYIP (KRİTİK)",IF($L493&gt;=TtkUcteBirEsik,"1/3 KAYIP (DİKKAT)","UYGUN")))))</f>
        <v/>
      </c>
    </row>
    <row r="494" customFormat="false" ht="15" hidden="false" customHeight="false" outlineLevel="0" collapsed="false">
      <c r="A494" s="21"/>
      <c r="B494" s="17"/>
      <c r="C494" s="17"/>
      <c r="D494" s="17"/>
      <c r="E494" s="17"/>
      <c r="F494" s="17"/>
      <c r="G494" s="17"/>
      <c r="H494" s="17"/>
      <c r="I494" s="17"/>
      <c r="J494" s="18" t="str">
        <f aca="false">IF($A494="","",$B494+$C494+$D494-$E494+$F494-$G494)</f>
        <v/>
      </c>
      <c r="K494" s="18" t="str">
        <f aca="false">IF($A494="","",MAX(0,$B494-$J494))</f>
        <v/>
      </c>
      <c r="L494" s="19" t="str">
        <f aca="false">IF($A494="","",IF($B494=0,0,$K494/$B494))</f>
        <v/>
      </c>
      <c r="M494" s="20" t="str">
        <f aca="false">IF($A494="","",IF($J494&lt;0,"BORCA BATIK",IF($I494&lt;$H494,"BORCA BATIK",IF($L494&gt;=TtkUcteIkiEsik,"2/3 KAYIP (KRİTİK)",IF($L494&gt;=TtkUcteBirEsik,"1/3 KAYIP (DİKKAT)","UYGUN")))))</f>
        <v/>
      </c>
    </row>
    <row r="495" customFormat="false" ht="15" hidden="false" customHeight="false" outlineLevel="0" collapsed="false">
      <c r="A495" s="21"/>
      <c r="B495" s="17"/>
      <c r="C495" s="17"/>
      <c r="D495" s="17"/>
      <c r="E495" s="17"/>
      <c r="F495" s="17"/>
      <c r="G495" s="17"/>
      <c r="H495" s="17"/>
      <c r="I495" s="17"/>
      <c r="J495" s="18" t="str">
        <f aca="false">IF($A495="","",$B495+$C495+$D495-$E495+$F495-$G495)</f>
        <v/>
      </c>
      <c r="K495" s="18" t="str">
        <f aca="false">IF($A495="","",MAX(0,$B495-$J495))</f>
        <v/>
      </c>
      <c r="L495" s="19" t="str">
        <f aca="false">IF($A495="","",IF($B495=0,0,$K495/$B495))</f>
        <v/>
      </c>
      <c r="M495" s="20" t="str">
        <f aca="false">IF($A495="","",IF($J495&lt;0,"BORCA BATIK",IF($I495&lt;$H495,"BORCA BATIK",IF($L495&gt;=TtkUcteIkiEsik,"2/3 KAYIP (KRİTİK)",IF($L495&gt;=TtkUcteBirEsik,"1/3 KAYIP (DİKKAT)","UYGUN")))))</f>
        <v/>
      </c>
    </row>
    <row r="496" customFormat="false" ht="15" hidden="false" customHeight="false" outlineLevel="0" collapsed="false">
      <c r="A496" s="21"/>
      <c r="B496" s="17"/>
      <c r="C496" s="17"/>
      <c r="D496" s="17"/>
      <c r="E496" s="17"/>
      <c r="F496" s="17"/>
      <c r="G496" s="17"/>
      <c r="H496" s="17"/>
      <c r="I496" s="17"/>
      <c r="J496" s="18" t="str">
        <f aca="false">IF($A496="","",$B496+$C496+$D496-$E496+$F496-$G496)</f>
        <v/>
      </c>
      <c r="K496" s="18" t="str">
        <f aca="false">IF($A496="","",MAX(0,$B496-$J496))</f>
        <v/>
      </c>
      <c r="L496" s="19" t="str">
        <f aca="false">IF($A496="","",IF($B496=0,0,$K496/$B496))</f>
        <v/>
      </c>
      <c r="M496" s="20" t="str">
        <f aca="false">IF($A496="","",IF($J496&lt;0,"BORCA BATIK",IF($I496&lt;$H496,"BORCA BATIK",IF($L496&gt;=TtkUcteIkiEsik,"2/3 KAYIP (KRİTİK)",IF($L496&gt;=TtkUcteBirEsik,"1/3 KAYIP (DİKKAT)","UYGUN")))))</f>
        <v/>
      </c>
    </row>
    <row r="497" customFormat="false" ht="15" hidden="false" customHeight="false" outlineLevel="0" collapsed="false">
      <c r="A497" s="21"/>
      <c r="B497" s="17"/>
      <c r="C497" s="17"/>
      <c r="D497" s="17"/>
      <c r="E497" s="17"/>
      <c r="F497" s="17"/>
      <c r="G497" s="17"/>
      <c r="H497" s="17"/>
      <c r="I497" s="17"/>
      <c r="J497" s="18" t="str">
        <f aca="false">IF($A497="","",$B497+$C497+$D497-$E497+$F497-$G497)</f>
        <v/>
      </c>
      <c r="K497" s="18" t="str">
        <f aca="false">IF($A497="","",MAX(0,$B497-$J497))</f>
        <v/>
      </c>
      <c r="L497" s="19" t="str">
        <f aca="false">IF($A497="","",IF($B497=0,0,$K497/$B497))</f>
        <v/>
      </c>
      <c r="M497" s="20" t="str">
        <f aca="false">IF($A497="","",IF($J497&lt;0,"BORCA BATIK",IF($I497&lt;$H497,"BORCA BATIK",IF($L497&gt;=TtkUcteIkiEsik,"2/3 KAYIP (KRİTİK)",IF($L497&gt;=TtkUcteBirEsik,"1/3 KAYIP (DİKKAT)","UYGUN")))))</f>
        <v/>
      </c>
    </row>
    <row r="498" customFormat="false" ht="15" hidden="false" customHeight="false" outlineLevel="0" collapsed="false">
      <c r="A498" s="21"/>
      <c r="B498" s="17"/>
      <c r="C498" s="17"/>
      <c r="D498" s="17"/>
      <c r="E498" s="17"/>
      <c r="F498" s="17"/>
      <c r="G498" s="17"/>
      <c r="H498" s="17"/>
      <c r="I498" s="17"/>
      <c r="J498" s="18" t="str">
        <f aca="false">IF($A498="","",$B498+$C498+$D498-$E498+$F498-$G498)</f>
        <v/>
      </c>
      <c r="K498" s="18" t="str">
        <f aca="false">IF($A498="","",MAX(0,$B498-$J498))</f>
        <v/>
      </c>
      <c r="L498" s="19" t="str">
        <f aca="false">IF($A498="","",IF($B498=0,0,$K498/$B498))</f>
        <v/>
      </c>
      <c r="M498" s="20" t="str">
        <f aca="false">IF($A498="","",IF($J498&lt;0,"BORCA BATIK",IF($I498&lt;$H498,"BORCA BATIK",IF($L498&gt;=TtkUcteIkiEsik,"2/3 KAYIP (KRİTİK)",IF($L498&gt;=TtkUcteBirEsik,"1/3 KAYIP (DİKKAT)","UYGUN")))))</f>
        <v/>
      </c>
    </row>
    <row r="499" customFormat="false" ht="15" hidden="false" customHeight="false" outlineLevel="0" collapsed="false">
      <c r="A499" s="21"/>
      <c r="B499" s="17"/>
      <c r="C499" s="17"/>
      <c r="D499" s="17"/>
      <c r="E499" s="17"/>
      <c r="F499" s="17"/>
      <c r="G499" s="17"/>
      <c r="H499" s="17"/>
      <c r="I499" s="17"/>
      <c r="J499" s="18" t="str">
        <f aca="false">IF($A499="","",$B499+$C499+$D499-$E499+$F499-$G499)</f>
        <v/>
      </c>
      <c r="K499" s="18" t="str">
        <f aca="false">IF($A499="","",MAX(0,$B499-$J499))</f>
        <v/>
      </c>
      <c r="L499" s="19" t="str">
        <f aca="false">IF($A499="","",IF($B499=0,0,$K499/$B499))</f>
        <v/>
      </c>
      <c r="M499" s="20" t="str">
        <f aca="false">IF($A499="","",IF($J499&lt;0,"BORCA BATIK",IF($I499&lt;$H499,"BORCA BATIK",IF($L499&gt;=TtkUcteIkiEsik,"2/3 KAYIP (KRİTİK)",IF($L499&gt;=TtkUcteBirEsik,"1/3 KAYIP (DİKKAT)","UYGUN")))))</f>
        <v/>
      </c>
    </row>
    <row r="500" customFormat="false" ht="15" hidden="false" customHeight="false" outlineLevel="0" collapsed="false">
      <c r="A500" s="21"/>
      <c r="B500" s="17"/>
      <c r="C500" s="17"/>
      <c r="D500" s="17"/>
      <c r="E500" s="17"/>
      <c r="F500" s="17"/>
      <c r="G500" s="17"/>
      <c r="H500" s="17"/>
      <c r="I500" s="17"/>
      <c r="J500" s="18" t="str">
        <f aca="false">IF($A500="","",$B500+$C500+$D500-$E500+$F500-$G500)</f>
        <v/>
      </c>
      <c r="K500" s="18" t="str">
        <f aca="false">IF($A500="","",MAX(0,$B500-$J500))</f>
        <v/>
      </c>
      <c r="L500" s="19" t="str">
        <f aca="false">IF($A500="","",IF($B500=0,0,$K500/$B500))</f>
        <v/>
      </c>
      <c r="M500" s="20" t="str">
        <f aca="false">IF($A500="","",IF($J500&lt;0,"BORCA BATIK",IF($I500&lt;$H500,"BORCA BATIK",IF($L500&gt;=TtkUcteIkiEsik,"2/3 KAYIP (KRİTİK)",IF($L500&gt;=TtkUcteBirEsik,"1/3 KAYIP (DİKKAT)","UYGUN")))))</f>
        <v/>
      </c>
    </row>
    <row r="501" customFormat="false" ht="15" hidden="false" customHeight="false" outlineLevel="0" collapsed="false">
      <c r="A501" s="21"/>
      <c r="B501" s="17"/>
      <c r="C501" s="17"/>
      <c r="D501" s="17"/>
      <c r="E501" s="17"/>
      <c r="F501" s="17"/>
      <c r="G501" s="17"/>
      <c r="H501" s="17"/>
      <c r="I501" s="17"/>
      <c r="J501" s="18" t="str">
        <f aca="false">IF($A501="","",$B501+$C501+$D501-$E501+$F501-$G501)</f>
        <v/>
      </c>
      <c r="K501" s="18" t="str">
        <f aca="false">IF($A501="","",MAX(0,$B501-$J501))</f>
        <v/>
      </c>
      <c r="L501" s="19" t="str">
        <f aca="false">IF($A501="","",IF($B501=0,0,$K501/$B501))</f>
        <v/>
      </c>
      <c r="M501" s="20" t="str">
        <f aca="false">IF($A501="","",IF($J501&lt;0,"BORCA BATIK",IF($I501&lt;$H501,"BORCA BATIK",IF($L501&gt;=TtkUcteIkiEsik,"2/3 KAYIP (KRİTİK)",IF($L501&gt;=TtkUcteBirEsik,"1/3 KAYIP (DİKKAT)","UYGUN")))))</f>
        <v/>
      </c>
    </row>
    <row r="502" customFormat="false" ht="15" hidden="false" customHeight="false" outlineLevel="0" collapsed="false">
      <c r="A502" s="21"/>
      <c r="B502" s="17"/>
      <c r="C502" s="17"/>
      <c r="D502" s="17"/>
      <c r="E502" s="17"/>
      <c r="F502" s="17"/>
      <c r="G502" s="17"/>
      <c r="H502" s="17"/>
      <c r="I502" s="17"/>
      <c r="J502" s="18" t="str">
        <f aca="false">IF($A502="","",$B502+$C502+$D502-$E502+$F502-$G502)</f>
        <v/>
      </c>
      <c r="K502" s="18" t="str">
        <f aca="false">IF($A502="","",MAX(0,$B502-$J502))</f>
        <v/>
      </c>
      <c r="L502" s="19" t="str">
        <f aca="false">IF($A502="","",IF($B502=0,0,$K502/$B502))</f>
        <v/>
      </c>
      <c r="M502" s="20" t="str">
        <f aca="false">IF($A502="","",IF($J502&lt;0,"BORCA BATIK",IF($I502&lt;$H502,"BORCA BATIK",IF($L502&gt;=TtkUcteIkiEsik,"2/3 KAYIP (KRİTİK)",IF($L502&gt;=TtkUcteBirEsik,"1/3 KAYIP (DİKKAT)","UYGUN")))))</f>
        <v/>
      </c>
    </row>
    <row r="503" customFormat="false" ht="15" hidden="false" customHeight="false" outlineLevel="0" collapsed="false">
      <c r="A503" s="21"/>
      <c r="B503" s="17"/>
      <c r="C503" s="17"/>
      <c r="D503" s="17"/>
      <c r="E503" s="17"/>
      <c r="F503" s="17"/>
      <c r="G503" s="17"/>
      <c r="H503" s="17"/>
      <c r="I503" s="17"/>
      <c r="J503" s="18" t="str">
        <f aca="false">IF($A503="","",$B503+$C503+$D503-$E503+$F503-$G503)</f>
        <v/>
      </c>
      <c r="K503" s="18" t="str">
        <f aca="false">IF($A503="","",MAX(0,$B503-$J503))</f>
        <v/>
      </c>
      <c r="L503" s="19" t="str">
        <f aca="false">IF($A503="","",IF($B503=0,0,$K503/$B503))</f>
        <v/>
      </c>
      <c r="M503" s="20" t="str">
        <f aca="false">IF($A503="","",IF($J503&lt;0,"BORCA BATIK",IF($I503&lt;$H503,"BORCA BATIK",IF($L503&gt;=TtkUcteIkiEsik,"2/3 KAYIP (KRİTİK)",IF($L503&gt;=TtkUcteBirEsik,"1/3 KAYIP (DİKKAT)","UYGUN")))))</f>
        <v/>
      </c>
    </row>
    <row r="504" customFormat="false" ht="15" hidden="false" customHeight="false" outlineLevel="0" collapsed="false">
      <c r="A504" s="21"/>
      <c r="B504" s="17"/>
      <c r="C504" s="17"/>
      <c r="D504" s="17"/>
      <c r="E504" s="17"/>
      <c r="F504" s="17"/>
      <c r="G504" s="17"/>
      <c r="H504" s="17"/>
      <c r="I504" s="17"/>
      <c r="J504" s="18" t="str">
        <f aca="false">IF($A504="","",$B504+$C504+$D504-$E504+$F504-$G504)</f>
        <v/>
      </c>
      <c r="K504" s="18" t="str">
        <f aca="false">IF($A504="","",MAX(0,$B504-$J504))</f>
        <v/>
      </c>
      <c r="L504" s="19" t="str">
        <f aca="false">IF($A504="","",IF($B504=0,0,$K504/$B504))</f>
        <v/>
      </c>
      <c r="M504" s="20" t="str">
        <f aca="false">IF($A504="","",IF($J504&lt;0,"BORCA BATIK",IF($I504&lt;$H504,"BORCA BATIK",IF($L504&gt;=TtkUcteIkiEsik,"2/3 KAYIP (KRİTİK)",IF($L504&gt;=TtkUcteBirEsik,"1/3 KAYIP (DİKKAT)","UYGUN")))))</f>
        <v/>
      </c>
    </row>
    <row r="505" customFormat="false" ht="15" hidden="false" customHeight="false" outlineLevel="0" collapsed="false">
      <c r="A505" s="21"/>
      <c r="B505" s="17"/>
      <c r="C505" s="17"/>
      <c r="D505" s="17"/>
      <c r="E505" s="17"/>
      <c r="F505" s="17"/>
      <c r="G505" s="17"/>
      <c r="H505" s="17"/>
      <c r="I505" s="17"/>
      <c r="J505" s="18" t="str">
        <f aca="false">IF($A505="","",$B505+$C505+$D505-$E505+$F505-$G505)</f>
        <v/>
      </c>
      <c r="K505" s="18" t="str">
        <f aca="false">IF($A505="","",MAX(0,$B505-$J505))</f>
        <v/>
      </c>
      <c r="L505" s="19" t="str">
        <f aca="false">IF($A505="","",IF($B505=0,0,$K505/$B505))</f>
        <v/>
      </c>
      <c r="M505" s="20" t="str">
        <f aca="false">IF($A505="","",IF($J505&lt;0,"BORCA BATIK",IF($I505&lt;$H505,"BORCA BATIK",IF($L505&gt;=TtkUcteIkiEsik,"2/3 KAYIP (KRİTİK)",IF($L505&gt;=TtkUcteBirEsik,"1/3 KAYIP (DİKKAT)","UYGUN")))))</f>
        <v/>
      </c>
    </row>
    <row r="506" customFormat="false" ht="15" hidden="false" customHeight="false" outlineLevel="0" collapsed="false">
      <c r="A506" s="21"/>
      <c r="B506" s="17"/>
      <c r="C506" s="17"/>
      <c r="D506" s="17"/>
      <c r="E506" s="17"/>
      <c r="F506" s="17"/>
      <c r="G506" s="17"/>
      <c r="H506" s="17"/>
      <c r="I506" s="17"/>
      <c r="J506" s="18" t="str">
        <f aca="false">IF($A506="","",$B506+$C506+$D506-$E506+$F506-$G506)</f>
        <v/>
      </c>
      <c r="K506" s="18" t="str">
        <f aca="false">IF($A506="","",MAX(0,$B506-$J506))</f>
        <v/>
      </c>
      <c r="L506" s="19" t="str">
        <f aca="false">IF($A506="","",IF($B506=0,0,$K506/$B506))</f>
        <v/>
      </c>
      <c r="M506" s="20" t="str">
        <f aca="false">IF($A506="","",IF($J506&lt;0,"BORCA BATIK",IF($I506&lt;$H506,"BORCA BATIK",IF($L506&gt;=TtkUcteIkiEsik,"2/3 KAYIP (KRİTİK)",IF($L506&gt;=TtkUcteBirEsik,"1/3 KAYIP (DİKKAT)","UYGUN")))))</f>
        <v/>
      </c>
    </row>
    <row r="507" customFormat="false" ht="15" hidden="false" customHeight="false" outlineLevel="0" collapsed="false">
      <c r="A507" s="21"/>
      <c r="B507" s="17"/>
      <c r="C507" s="17"/>
      <c r="D507" s="17"/>
      <c r="E507" s="17"/>
      <c r="F507" s="17"/>
      <c r="G507" s="17"/>
      <c r="H507" s="17"/>
      <c r="I507" s="17"/>
      <c r="J507" s="18" t="str">
        <f aca="false">IF($A507="","",$B507+$C507+$D507-$E507+$F507-$G507)</f>
        <v/>
      </c>
      <c r="K507" s="18" t="str">
        <f aca="false">IF($A507="","",MAX(0,$B507-$J507))</f>
        <v/>
      </c>
      <c r="L507" s="19" t="str">
        <f aca="false">IF($A507="","",IF($B507=0,0,$K507/$B507))</f>
        <v/>
      </c>
      <c r="M507" s="20" t="str">
        <f aca="false">IF($A507="","",IF($J507&lt;0,"BORCA BATIK",IF($I507&lt;$H507,"BORCA BATIK",IF($L507&gt;=TtkUcteIkiEsik,"2/3 KAYIP (KRİTİK)",IF($L507&gt;=TtkUcteBirEsik,"1/3 KAYIP (DİKKAT)","UYGUN")))))</f>
        <v/>
      </c>
    </row>
    <row r="508" customFormat="false" ht="15" hidden="false" customHeight="false" outlineLevel="0" collapsed="false">
      <c r="A508" s="21"/>
      <c r="B508" s="17"/>
      <c r="C508" s="17"/>
      <c r="D508" s="17"/>
      <c r="E508" s="17"/>
      <c r="F508" s="17"/>
      <c r="G508" s="17"/>
      <c r="H508" s="17"/>
      <c r="I508" s="17"/>
      <c r="J508" s="18" t="str">
        <f aca="false">IF($A508="","",$B508+$C508+$D508-$E508+$F508-$G508)</f>
        <v/>
      </c>
      <c r="K508" s="18" t="str">
        <f aca="false">IF($A508="","",MAX(0,$B508-$J508))</f>
        <v/>
      </c>
      <c r="L508" s="19" t="str">
        <f aca="false">IF($A508="","",IF($B508=0,0,$K508/$B508))</f>
        <v/>
      </c>
      <c r="M508" s="20" t="str">
        <f aca="false">IF($A508="","",IF($J508&lt;0,"BORCA BATIK",IF($I508&lt;$H508,"BORCA BATIK",IF($L508&gt;=TtkUcteIkiEsik,"2/3 KAYIP (KRİTİK)",IF($L508&gt;=TtkUcteBirEsik,"1/3 KAYIP (DİKKAT)","UYGUN")))))</f>
        <v/>
      </c>
    </row>
    <row r="509" customFormat="false" ht="15" hidden="false" customHeight="false" outlineLevel="0" collapsed="false">
      <c r="A509" s="21"/>
      <c r="B509" s="17"/>
      <c r="C509" s="17"/>
      <c r="D509" s="17"/>
      <c r="E509" s="17"/>
      <c r="F509" s="17"/>
      <c r="G509" s="17"/>
      <c r="H509" s="17"/>
      <c r="I509" s="17"/>
      <c r="J509" s="18" t="str">
        <f aca="false">IF($A509="","",$B509+$C509+$D509-$E509+$F509-$G509)</f>
        <v/>
      </c>
      <c r="K509" s="18" t="str">
        <f aca="false">IF($A509="","",MAX(0,$B509-$J509))</f>
        <v/>
      </c>
      <c r="L509" s="19" t="str">
        <f aca="false">IF($A509="","",IF($B509=0,0,$K509/$B509))</f>
        <v/>
      </c>
      <c r="M509" s="20" t="str">
        <f aca="false">IF($A509="","",IF($J509&lt;0,"BORCA BATIK",IF($I509&lt;$H509,"BORCA BATIK",IF($L509&gt;=TtkUcteIkiEsik,"2/3 KAYIP (KRİTİK)",IF($L509&gt;=TtkUcteBirEsik,"1/3 KAYIP (DİKKAT)","UYGUN")))))</f>
        <v/>
      </c>
    </row>
    <row r="510" customFormat="false" ht="15" hidden="false" customHeight="false" outlineLevel="0" collapsed="false">
      <c r="A510" s="21"/>
      <c r="B510" s="17"/>
      <c r="C510" s="17"/>
      <c r="D510" s="17"/>
      <c r="E510" s="17"/>
      <c r="F510" s="17"/>
      <c r="G510" s="17"/>
      <c r="H510" s="17"/>
      <c r="I510" s="17"/>
      <c r="J510" s="18" t="str">
        <f aca="false">IF($A510="","",$B510+$C510+$D510-$E510+$F510-$G510)</f>
        <v/>
      </c>
      <c r="K510" s="18" t="str">
        <f aca="false">IF($A510="","",MAX(0,$B510-$J510))</f>
        <v/>
      </c>
      <c r="L510" s="19" t="str">
        <f aca="false">IF($A510="","",IF($B510=0,0,$K510/$B510))</f>
        <v/>
      </c>
      <c r="M510" s="20" t="str">
        <f aca="false">IF($A510="","",IF($J510&lt;0,"BORCA BATIK",IF($I510&lt;$H510,"BORCA BATIK",IF($L510&gt;=TtkUcteIkiEsik,"2/3 KAYIP (KRİTİK)",IF($L510&gt;=TtkUcteBirEsik,"1/3 KAYIP (DİKKAT)","UYGUN")))))</f>
        <v/>
      </c>
    </row>
    <row r="511" customFormat="false" ht="15" hidden="false" customHeight="false" outlineLevel="0" collapsed="false">
      <c r="A511" s="21"/>
      <c r="B511" s="17"/>
      <c r="C511" s="17"/>
      <c r="D511" s="17"/>
      <c r="E511" s="17"/>
      <c r="F511" s="17"/>
      <c r="G511" s="17"/>
      <c r="H511" s="17"/>
      <c r="I511" s="17"/>
      <c r="J511" s="18" t="str">
        <f aca="false">IF($A511="","",$B511+$C511+$D511-$E511+$F511-$G511)</f>
        <v/>
      </c>
      <c r="K511" s="18" t="str">
        <f aca="false">IF($A511="","",MAX(0,$B511-$J511))</f>
        <v/>
      </c>
      <c r="L511" s="19" t="str">
        <f aca="false">IF($A511="","",IF($B511=0,0,$K511/$B511))</f>
        <v/>
      </c>
      <c r="M511" s="20" t="str">
        <f aca="false">IF($A511="","",IF($J511&lt;0,"BORCA BATIK",IF($I511&lt;$H511,"BORCA BATIK",IF($L511&gt;=TtkUcteIkiEsik,"2/3 KAYIP (KRİTİK)",IF($L511&gt;=TtkUcteBirEsik,"1/3 KAYIP (DİKKAT)","UYGUN")))))</f>
        <v/>
      </c>
    </row>
    <row r="512" customFormat="false" ht="15" hidden="false" customHeight="false" outlineLevel="0" collapsed="false">
      <c r="A512" s="21"/>
      <c r="B512" s="17"/>
      <c r="C512" s="17"/>
      <c r="D512" s="17"/>
      <c r="E512" s="17"/>
      <c r="F512" s="17"/>
      <c r="G512" s="17"/>
      <c r="H512" s="17"/>
      <c r="I512" s="17"/>
      <c r="J512" s="18" t="str">
        <f aca="false">IF($A512="","",$B512+$C512+$D512-$E512+$F512-$G512)</f>
        <v/>
      </c>
      <c r="K512" s="18" t="str">
        <f aca="false">IF($A512="","",MAX(0,$B512-$J512))</f>
        <v/>
      </c>
      <c r="L512" s="19" t="str">
        <f aca="false">IF($A512="","",IF($B512=0,0,$K512/$B512))</f>
        <v/>
      </c>
      <c r="M512" s="20" t="str">
        <f aca="false">IF($A512="","",IF($J512&lt;0,"BORCA BATIK",IF($I512&lt;$H512,"BORCA BATIK",IF($L512&gt;=TtkUcteIkiEsik,"2/3 KAYIP (KRİTİK)",IF($L512&gt;=TtkUcteBirEsik,"1/3 KAYIP (DİKKAT)","UYGUN")))))</f>
        <v/>
      </c>
    </row>
    <row r="513" customFormat="false" ht="15" hidden="false" customHeight="false" outlineLevel="0" collapsed="false">
      <c r="A513" s="21"/>
      <c r="B513" s="17"/>
      <c r="C513" s="17"/>
      <c r="D513" s="17"/>
      <c r="E513" s="17"/>
      <c r="F513" s="17"/>
      <c r="G513" s="17"/>
      <c r="H513" s="17"/>
      <c r="I513" s="17"/>
      <c r="J513" s="18" t="str">
        <f aca="false">IF($A513="","",$B513+$C513+$D513-$E513+$F513-$G513)</f>
        <v/>
      </c>
      <c r="K513" s="18" t="str">
        <f aca="false">IF($A513="","",MAX(0,$B513-$J513))</f>
        <v/>
      </c>
      <c r="L513" s="19" t="str">
        <f aca="false">IF($A513="","",IF($B513=0,0,$K513/$B513))</f>
        <v/>
      </c>
      <c r="M513" s="20" t="str">
        <f aca="false">IF($A513="","",IF($J513&lt;0,"BORCA BATIK",IF($I513&lt;$H513,"BORCA BATIK",IF($L513&gt;=TtkUcteIkiEsik,"2/3 KAYIP (KRİTİK)",IF($L513&gt;=TtkUcteBirEsik,"1/3 KAYIP (DİKKAT)","UYGUN")))))</f>
        <v/>
      </c>
    </row>
    <row r="514" customFormat="false" ht="15" hidden="false" customHeight="false" outlineLevel="0" collapsed="false">
      <c r="A514" s="21"/>
      <c r="B514" s="17"/>
      <c r="C514" s="17"/>
      <c r="D514" s="17"/>
      <c r="E514" s="17"/>
      <c r="F514" s="17"/>
      <c r="G514" s="17"/>
      <c r="H514" s="17"/>
      <c r="I514" s="17"/>
      <c r="J514" s="18" t="str">
        <f aca="false">IF($A514="","",$B514+$C514+$D514-$E514+$F514-$G514)</f>
        <v/>
      </c>
      <c r="K514" s="18" t="str">
        <f aca="false">IF($A514="","",MAX(0,$B514-$J514))</f>
        <v/>
      </c>
      <c r="L514" s="19" t="str">
        <f aca="false">IF($A514="","",IF($B514=0,0,$K514/$B514))</f>
        <v/>
      </c>
      <c r="M514" s="20" t="str">
        <f aca="false">IF($A514="","",IF($J514&lt;0,"BORCA BATIK",IF($I514&lt;$H514,"BORCA BATIK",IF($L514&gt;=TtkUcteIkiEsik,"2/3 KAYIP (KRİTİK)",IF($L514&gt;=TtkUcteBirEsik,"1/3 KAYIP (DİKKAT)","UYGUN")))))</f>
        <v/>
      </c>
    </row>
    <row r="515" customFormat="false" ht="15" hidden="false" customHeight="false" outlineLevel="0" collapsed="false">
      <c r="A515" s="21"/>
      <c r="B515" s="17"/>
      <c r="C515" s="17"/>
      <c r="D515" s="17"/>
      <c r="E515" s="17"/>
      <c r="F515" s="17"/>
      <c r="G515" s="17"/>
      <c r="H515" s="17"/>
      <c r="I515" s="17"/>
      <c r="J515" s="18" t="str">
        <f aca="false">IF($A515="","",$B515+$C515+$D515-$E515+$F515-$G515)</f>
        <v/>
      </c>
      <c r="K515" s="18" t="str">
        <f aca="false">IF($A515="","",MAX(0,$B515-$J515))</f>
        <v/>
      </c>
      <c r="L515" s="19" t="str">
        <f aca="false">IF($A515="","",IF($B515=0,0,$K515/$B515))</f>
        <v/>
      </c>
      <c r="M515" s="20" t="str">
        <f aca="false">IF($A515="","",IF($J515&lt;0,"BORCA BATIK",IF($I515&lt;$H515,"BORCA BATIK",IF($L515&gt;=TtkUcteIkiEsik,"2/3 KAYIP (KRİTİK)",IF($L515&gt;=TtkUcteBirEsik,"1/3 KAYIP (DİKKAT)","UYGUN")))))</f>
        <v/>
      </c>
    </row>
    <row r="516" customFormat="false" ht="15" hidden="false" customHeight="false" outlineLevel="0" collapsed="false">
      <c r="A516" s="21"/>
      <c r="B516" s="17"/>
      <c r="C516" s="17"/>
      <c r="D516" s="17"/>
      <c r="E516" s="17"/>
      <c r="F516" s="17"/>
      <c r="G516" s="17"/>
      <c r="H516" s="17"/>
      <c r="I516" s="17"/>
      <c r="J516" s="18" t="str">
        <f aca="false">IF($A516="","",$B516+$C516+$D516-$E516+$F516-$G516)</f>
        <v/>
      </c>
      <c r="K516" s="18" t="str">
        <f aca="false">IF($A516="","",MAX(0,$B516-$J516))</f>
        <v/>
      </c>
      <c r="L516" s="19" t="str">
        <f aca="false">IF($A516="","",IF($B516=0,0,$K516/$B516))</f>
        <v/>
      </c>
      <c r="M516" s="20" t="str">
        <f aca="false">IF($A516="","",IF($J516&lt;0,"BORCA BATIK",IF($I516&lt;$H516,"BORCA BATIK",IF($L516&gt;=TtkUcteIkiEsik,"2/3 KAYIP (KRİTİK)",IF($L516&gt;=TtkUcteBirEsik,"1/3 KAYIP (DİKKAT)","UYGUN")))))</f>
        <v/>
      </c>
    </row>
    <row r="517" customFormat="false" ht="15" hidden="false" customHeight="false" outlineLevel="0" collapsed="false">
      <c r="A517" s="21"/>
      <c r="B517" s="17"/>
      <c r="C517" s="17"/>
      <c r="D517" s="17"/>
      <c r="E517" s="17"/>
      <c r="F517" s="17"/>
      <c r="G517" s="17"/>
      <c r="H517" s="17"/>
      <c r="I517" s="17"/>
      <c r="J517" s="18" t="str">
        <f aca="false">IF($A517="","",$B517+$C517+$D517-$E517+$F517-$G517)</f>
        <v/>
      </c>
      <c r="K517" s="18" t="str">
        <f aca="false">IF($A517="","",MAX(0,$B517-$J517))</f>
        <v/>
      </c>
      <c r="L517" s="19" t="str">
        <f aca="false">IF($A517="","",IF($B517=0,0,$K517/$B517))</f>
        <v/>
      </c>
      <c r="M517" s="20" t="str">
        <f aca="false">IF($A517="","",IF($J517&lt;0,"BORCA BATIK",IF($I517&lt;$H517,"BORCA BATIK",IF($L517&gt;=TtkUcteIkiEsik,"2/3 KAYIP (KRİTİK)",IF($L517&gt;=TtkUcteBirEsik,"1/3 KAYIP (DİKKAT)","UYGUN")))))</f>
        <v/>
      </c>
    </row>
    <row r="518" customFormat="false" ht="15" hidden="false" customHeight="false" outlineLevel="0" collapsed="false">
      <c r="A518" s="21"/>
      <c r="B518" s="17"/>
      <c r="C518" s="17"/>
      <c r="D518" s="17"/>
      <c r="E518" s="17"/>
      <c r="F518" s="17"/>
      <c r="G518" s="17"/>
      <c r="H518" s="17"/>
      <c r="I518" s="17"/>
      <c r="J518" s="18" t="str">
        <f aca="false">IF($A518="","",$B518+$C518+$D518-$E518+$F518-$G518)</f>
        <v/>
      </c>
      <c r="K518" s="18" t="str">
        <f aca="false">IF($A518="","",MAX(0,$B518-$J518))</f>
        <v/>
      </c>
      <c r="L518" s="19" t="str">
        <f aca="false">IF($A518="","",IF($B518=0,0,$K518/$B518))</f>
        <v/>
      </c>
      <c r="M518" s="20" t="str">
        <f aca="false">IF($A518="","",IF($J518&lt;0,"BORCA BATIK",IF($I518&lt;$H518,"BORCA BATIK",IF($L518&gt;=TtkUcteIkiEsik,"2/3 KAYIP (KRİTİK)",IF($L518&gt;=TtkUcteBirEsik,"1/3 KAYIP (DİKKAT)","UYGUN")))))</f>
        <v/>
      </c>
    </row>
    <row r="519" customFormat="false" ht="15" hidden="false" customHeight="false" outlineLevel="0" collapsed="false">
      <c r="A519" s="21"/>
      <c r="B519" s="17"/>
      <c r="C519" s="17"/>
      <c r="D519" s="17"/>
      <c r="E519" s="17"/>
      <c r="F519" s="17"/>
      <c r="G519" s="17"/>
      <c r="H519" s="17"/>
      <c r="I519" s="17"/>
      <c r="J519" s="18" t="str">
        <f aca="false">IF($A519="","",$B519+$C519+$D519-$E519+$F519-$G519)</f>
        <v/>
      </c>
      <c r="K519" s="18" t="str">
        <f aca="false">IF($A519="","",MAX(0,$B519-$J519))</f>
        <v/>
      </c>
      <c r="L519" s="19" t="str">
        <f aca="false">IF($A519="","",IF($B519=0,0,$K519/$B519))</f>
        <v/>
      </c>
      <c r="M519" s="20" t="str">
        <f aca="false">IF($A519="","",IF($J519&lt;0,"BORCA BATIK",IF($I519&lt;$H519,"BORCA BATIK",IF($L519&gt;=TtkUcteIkiEsik,"2/3 KAYIP (KRİTİK)",IF($L519&gt;=TtkUcteBirEsik,"1/3 KAYIP (DİKKAT)","UYGUN")))))</f>
        <v/>
      </c>
    </row>
    <row r="520" customFormat="false" ht="15" hidden="false" customHeight="false" outlineLevel="0" collapsed="false">
      <c r="A520" s="21"/>
      <c r="B520" s="17"/>
      <c r="C520" s="17"/>
      <c r="D520" s="17"/>
      <c r="E520" s="17"/>
      <c r="F520" s="17"/>
      <c r="G520" s="17"/>
      <c r="H520" s="17"/>
      <c r="I520" s="17"/>
      <c r="J520" s="18" t="str">
        <f aca="false">IF($A520="","",$B520+$C520+$D520-$E520+$F520-$G520)</f>
        <v/>
      </c>
      <c r="K520" s="18" t="str">
        <f aca="false">IF($A520="","",MAX(0,$B520-$J520))</f>
        <v/>
      </c>
      <c r="L520" s="19" t="str">
        <f aca="false">IF($A520="","",IF($B520=0,0,$K520/$B520))</f>
        <v/>
      </c>
      <c r="M520" s="20" t="str">
        <f aca="false">IF($A520="","",IF($J520&lt;0,"BORCA BATIK",IF($I520&lt;$H520,"BORCA BATIK",IF($L520&gt;=TtkUcteIkiEsik,"2/3 KAYIP (KRİTİK)",IF($L520&gt;=TtkUcteBirEsik,"1/3 KAYIP (DİKKAT)","UYGUN")))))</f>
        <v/>
      </c>
    </row>
    <row r="521" customFormat="false" ht="15" hidden="false" customHeight="false" outlineLevel="0" collapsed="false">
      <c r="A521" s="21"/>
      <c r="B521" s="17"/>
      <c r="C521" s="17"/>
      <c r="D521" s="17"/>
      <c r="E521" s="17"/>
      <c r="F521" s="17"/>
      <c r="G521" s="17"/>
      <c r="H521" s="17"/>
      <c r="I521" s="17"/>
      <c r="J521" s="18" t="str">
        <f aca="false">IF($A521="","",$B521+$C521+$D521-$E521+$F521-$G521)</f>
        <v/>
      </c>
      <c r="K521" s="18" t="str">
        <f aca="false">IF($A521="","",MAX(0,$B521-$J521))</f>
        <v/>
      </c>
      <c r="L521" s="19" t="str">
        <f aca="false">IF($A521="","",IF($B521=0,0,$K521/$B521))</f>
        <v/>
      </c>
      <c r="M521" s="20" t="str">
        <f aca="false">IF($A521="","",IF($J521&lt;0,"BORCA BATIK",IF($I521&lt;$H521,"BORCA BATIK",IF($L521&gt;=TtkUcteIkiEsik,"2/3 KAYIP (KRİTİK)",IF($L521&gt;=TtkUcteBirEsik,"1/3 KAYIP (DİKKAT)","UYGUN")))))</f>
        <v/>
      </c>
    </row>
    <row r="522" customFormat="false" ht="15" hidden="false" customHeight="false" outlineLevel="0" collapsed="false">
      <c r="A522" s="21"/>
      <c r="B522" s="17"/>
      <c r="C522" s="17"/>
      <c r="D522" s="17"/>
      <c r="E522" s="17"/>
      <c r="F522" s="17"/>
      <c r="G522" s="17"/>
      <c r="H522" s="17"/>
      <c r="I522" s="17"/>
      <c r="J522" s="18" t="str">
        <f aca="false">IF($A522="","",$B522+$C522+$D522-$E522+$F522-$G522)</f>
        <v/>
      </c>
      <c r="K522" s="18" t="str">
        <f aca="false">IF($A522="","",MAX(0,$B522-$J522))</f>
        <v/>
      </c>
      <c r="L522" s="19" t="str">
        <f aca="false">IF($A522="","",IF($B522=0,0,$K522/$B522))</f>
        <v/>
      </c>
      <c r="M522" s="20" t="str">
        <f aca="false">IF($A522="","",IF($J522&lt;0,"BORCA BATIK",IF($I522&lt;$H522,"BORCA BATIK",IF($L522&gt;=TtkUcteIkiEsik,"2/3 KAYIP (KRİTİK)",IF($L522&gt;=TtkUcteBirEsik,"1/3 KAYIP (DİKKAT)","UYGUN")))))</f>
        <v/>
      </c>
    </row>
    <row r="523" customFormat="false" ht="15" hidden="false" customHeight="false" outlineLevel="0" collapsed="false">
      <c r="A523" s="21"/>
      <c r="B523" s="17"/>
      <c r="C523" s="17"/>
      <c r="D523" s="17"/>
      <c r="E523" s="17"/>
      <c r="F523" s="17"/>
      <c r="G523" s="17"/>
      <c r="H523" s="17"/>
      <c r="I523" s="17"/>
      <c r="J523" s="18" t="str">
        <f aca="false">IF($A523="","",$B523+$C523+$D523-$E523+$F523-$G523)</f>
        <v/>
      </c>
      <c r="K523" s="18" t="str">
        <f aca="false">IF($A523="","",MAX(0,$B523-$J523))</f>
        <v/>
      </c>
      <c r="L523" s="19" t="str">
        <f aca="false">IF($A523="","",IF($B523=0,0,$K523/$B523))</f>
        <v/>
      </c>
      <c r="M523" s="20" t="str">
        <f aca="false">IF($A523="","",IF($J523&lt;0,"BORCA BATIK",IF($I523&lt;$H523,"BORCA BATIK",IF($L523&gt;=TtkUcteIkiEsik,"2/3 KAYIP (KRİTİK)",IF($L523&gt;=TtkUcteBirEsik,"1/3 KAYIP (DİKKAT)","UYGUN")))))</f>
        <v/>
      </c>
    </row>
    <row r="524" customFormat="false" ht="15" hidden="false" customHeight="false" outlineLevel="0" collapsed="false">
      <c r="A524" s="21"/>
      <c r="B524" s="17"/>
      <c r="C524" s="17"/>
      <c r="D524" s="17"/>
      <c r="E524" s="17"/>
      <c r="F524" s="17"/>
      <c r="G524" s="17"/>
      <c r="H524" s="17"/>
      <c r="I524" s="17"/>
      <c r="J524" s="18" t="str">
        <f aca="false">IF($A524="","",$B524+$C524+$D524-$E524+$F524-$G524)</f>
        <v/>
      </c>
      <c r="K524" s="18" t="str">
        <f aca="false">IF($A524="","",MAX(0,$B524-$J524))</f>
        <v/>
      </c>
      <c r="L524" s="19" t="str">
        <f aca="false">IF($A524="","",IF($B524=0,0,$K524/$B524))</f>
        <v/>
      </c>
      <c r="M524" s="20" t="str">
        <f aca="false">IF($A524="","",IF($J524&lt;0,"BORCA BATIK",IF($I524&lt;$H524,"BORCA BATIK",IF($L524&gt;=TtkUcteIkiEsik,"2/3 KAYIP (KRİTİK)",IF($L524&gt;=TtkUcteBirEsik,"1/3 KAYIP (DİKKAT)","UYGUN")))))</f>
        <v/>
      </c>
    </row>
    <row r="525" customFormat="false" ht="15" hidden="false" customHeight="false" outlineLevel="0" collapsed="false">
      <c r="A525" s="21"/>
      <c r="B525" s="17"/>
      <c r="C525" s="17"/>
      <c r="D525" s="17"/>
      <c r="E525" s="17"/>
      <c r="F525" s="17"/>
      <c r="G525" s="17"/>
      <c r="H525" s="17"/>
      <c r="I525" s="17"/>
      <c r="J525" s="18" t="str">
        <f aca="false">IF($A525="","",$B525+$C525+$D525-$E525+$F525-$G525)</f>
        <v/>
      </c>
      <c r="K525" s="18" t="str">
        <f aca="false">IF($A525="","",MAX(0,$B525-$J525))</f>
        <v/>
      </c>
      <c r="L525" s="19" t="str">
        <f aca="false">IF($A525="","",IF($B525=0,0,$K525/$B525))</f>
        <v/>
      </c>
      <c r="M525" s="20" t="str">
        <f aca="false">IF($A525="","",IF($J525&lt;0,"BORCA BATIK",IF($I525&lt;$H525,"BORCA BATIK",IF($L525&gt;=TtkUcteIkiEsik,"2/3 KAYIP (KRİTİK)",IF($L525&gt;=TtkUcteBirEsik,"1/3 KAYIP (DİKKAT)","UYGUN")))))</f>
        <v/>
      </c>
    </row>
    <row r="526" customFormat="false" ht="15" hidden="false" customHeight="false" outlineLevel="0" collapsed="false">
      <c r="A526" s="21"/>
      <c r="B526" s="17"/>
      <c r="C526" s="17"/>
      <c r="D526" s="17"/>
      <c r="E526" s="17"/>
      <c r="F526" s="17"/>
      <c r="G526" s="17"/>
      <c r="H526" s="17"/>
      <c r="I526" s="17"/>
      <c r="J526" s="18" t="str">
        <f aca="false">IF($A526="","",$B526+$C526+$D526-$E526+$F526-$G526)</f>
        <v/>
      </c>
      <c r="K526" s="18" t="str">
        <f aca="false">IF($A526="","",MAX(0,$B526-$J526))</f>
        <v/>
      </c>
      <c r="L526" s="19" t="str">
        <f aca="false">IF($A526="","",IF($B526=0,0,$K526/$B526))</f>
        <v/>
      </c>
      <c r="M526" s="20" t="str">
        <f aca="false">IF($A526="","",IF($J526&lt;0,"BORCA BATIK",IF($I526&lt;$H526,"BORCA BATIK",IF($L526&gt;=TtkUcteIkiEsik,"2/3 KAYIP (KRİTİK)",IF($L526&gt;=TtkUcteBirEsik,"1/3 KAYIP (DİKKAT)","UYGUN")))))</f>
        <v/>
      </c>
    </row>
    <row r="527" customFormat="false" ht="15" hidden="false" customHeight="false" outlineLevel="0" collapsed="false">
      <c r="A527" s="21"/>
      <c r="B527" s="17"/>
      <c r="C527" s="17"/>
      <c r="D527" s="17"/>
      <c r="E527" s="17"/>
      <c r="F527" s="17"/>
      <c r="G527" s="17"/>
      <c r="H527" s="17"/>
      <c r="I527" s="17"/>
      <c r="J527" s="18" t="str">
        <f aca="false">IF($A527="","",$B527+$C527+$D527-$E527+$F527-$G527)</f>
        <v/>
      </c>
      <c r="K527" s="18" t="str">
        <f aca="false">IF($A527="","",MAX(0,$B527-$J527))</f>
        <v/>
      </c>
      <c r="L527" s="19" t="str">
        <f aca="false">IF($A527="","",IF($B527=0,0,$K527/$B527))</f>
        <v/>
      </c>
      <c r="M527" s="20" t="str">
        <f aca="false">IF($A527="","",IF($J527&lt;0,"BORCA BATIK",IF($I527&lt;$H527,"BORCA BATIK",IF($L527&gt;=TtkUcteIkiEsik,"2/3 KAYIP (KRİTİK)",IF($L527&gt;=TtkUcteBirEsik,"1/3 KAYIP (DİKKAT)","UYGUN")))))</f>
        <v/>
      </c>
    </row>
    <row r="528" customFormat="false" ht="15" hidden="false" customHeight="false" outlineLevel="0" collapsed="false">
      <c r="A528" s="21"/>
      <c r="B528" s="17"/>
      <c r="C528" s="17"/>
      <c r="D528" s="17"/>
      <c r="E528" s="17"/>
      <c r="F528" s="17"/>
      <c r="G528" s="17"/>
      <c r="H528" s="17"/>
      <c r="I528" s="17"/>
      <c r="J528" s="18" t="str">
        <f aca="false">IF($A528="","",$B528+$C528+$D528-$E528+$F528-$G528)</f>
        <v/>
      </c>
      <c r="K528" s="18" t="str">
        <f aca="false">IF($A528="","",MAX(0,$B528-$J528))</f>
        <v/>
      </c>
      <c r="L528" s="19" t="str">
        <f aca="false">IF($A528="","",IF($B528=0,0,$K528/$B528))</f>
        <v/>
      </c>
      <c r="M528" s="20" t="str">
        <f aca="false">IF($A528="","",IF($J528&lt;0,"BORCA BATIK",IF($I528&lt;$H528,"BORCA BATIK",IF($L528&gt;=TtkUcteIkiEsik,"2/3 KAYIP (KRİTİK)",IF($L528&gt;=TtkUcteBirEsik,"1/3 KAYIP (DİKKAT)","UYGUN")))))</f>
        <v/>
      </c>
    </row>
    <row r="529" customFormat="false" ht="15" hidden="false" customHeight="false" outlineLevel="0" collapsed="false">
      <c r="A529" s="21"/>
      <c r="B529" s="17"/>
      <c r="C529" s="17"/>
      <c r="D529" s="17"/>
      <c r="E529" s="17"/>
      <c r="F529" s="17"/>
      <c r="G529" s="17"/>
      <c r="H529" s="17"/>
      <c r="I529" s="17"/>
      <c r="J529" s="18" t="str">
        <f aca="false">IF($A529="","",$B529+$C529+$D529-$E529+$F529-$G529)</f>
        <v/>
      </c>
      <c r="K529" s="18" t="str">
        <f aca="false">IF($A529="","",MAX(0,$B529-$J529))</f>
        <v/>
      </c>
      <c r="L529" s="19" t="str">
        <f aca="false">IF($A529="","",IF($B529=0,0,$K529/$B529))</f>
        <v/>
      </c>
      <c r="M529" s="20" t="str">
        <f aca="false">IF($A529="","",IF($J529&lt;0,"BORCA BATIK",IF($I529&lt;$H529,"BORCA BATIK",IF($L529&gt;=TtkUcteIkiEsik,"2/3 KAYIP (KRİTİK)",IF($L529&gt;=TtkUcteBirEsik,"1/3 KAYIP (DİKKAT)","UYGUN")))))</f>
        <v/>
      </c>
    </row>
    <row r="530" customFormat="false" ht="15" hidden="false" customHeight="false" outlineLevel="0" collapsed="false">
      <c r="A530" s="21"/>
      <c r="B530" s="17"/>
      <c r="C530" s="17"/>
      <c r="D530" s="17"/>
      <c r="E530" s="17"/>
      <c r="F530" s="17"/>
      <c r="G530" s="17"/>
      <c r="H530" s="17"/>
      <c r="I530" s="17"/>
      <c r="J530" s="18" t="str">
        <f aca="false">IF($A530="","",$B530+$C530+$D530-$E530+$F530-$G530)</f>
        <v/>
      </c>
      <c r="K530" s="18" t="str">
        <f aca="false">IF($A530="","",MAX(0,$B530-$J530))</f>
        <v/>
      </c>
      <c r="L530" s="19" t="str">
        <f aca="false">IF($A530="","",IF($B530=0,0,$K530/$B530))</f>
        <v/>
      </c>
      <c r="M530" s="20" t="str">
        <f aca="false">IF($A530="","",IF($J530&lt;0,"BORCA BATIK",IF($I530&lt;$H530,"BORCA BATIK",IF($L530&gt;=TtkUcteIkiEsik,"2/3 KAYIP (KRİTİK)",IF($L530&gt;=TtkUcteBirEsik,"1/3 KAYIP (DİKKAT)","UYGUN")))))</f>
        <v/>
      </c>
    </row>
    <row r="531" customFormat="false" ht="15" hidden="false" customHeight="false" outlineLevel="0" collapsed="false">
      <c r="A531" s="21"/>
      <c r="B531" s="17"/>
      <c r="C531" s="17"/>
      <c r="D531" s="17"/>
      <c r="E531" s="17"/>
      <c r="F531" s="17"/>
      <c r="G531" s="17"/>
      <c r="H531" s="17"/>
      <c r="I531" s="17"/>
      <c r="J531" s="18" t="str">
        <f aca="false">IF($A531="","",$B531+$C531+$D531-$E531+$F531-$G531)</f>
        <v/>
      </c>
      <c r="K531" s="18" t="str">
        <f aca="false">IF($A531="","",MAX(0,$B531-$J531))</f>
        <v/>
      </c>
      <c r="L531" s="19" t="str">
        <f aca="false">IF($A531="","",IF($B531=0,0,$K531/$B531))</f>
        <v/>
      </c>
      <c r="M531" s="20" t="str">
        <f aca="false">IF($A531="","",IF($J531&lt;0,"BORCA BATIK",IF($I531&lt;$H531,"BORCA BATIK",IF($L531&gt;=TtkUcteIkiEsik,"2/3 KAYIP (KRİTİK)",IF($L531&gt;=TtkUcteBirEsik,"1/3 KAYIP (DİKKAT)","UYGUN")))))</f>
        <v/>
      </c>
    </row>
    <row r="532" customFormat="false" ht="15" hidden="false" customHeight="false" outlineLevel="0" collapsed="false">
      <c r="A532" s="21"/>
      <c r="B532" s="17"/>
      <c r="C532" s="17"/>
      <c r="D532" s="17"/>
      <c r="E532" s="17"/>
      <c r="F532" s="17"/>
      <c r="G532" s="17"/>
      <c r="H532" s="17"/>
      <c r="I532" s="17"/>
      <c r="J532" s="18" t="str">
        <f aca="false">IF($A532="","",$B532+$C532+$D532-$E532+$F532-$G532)</f>
        <v/>
      </c>
      <c r="K532" s="18" t="str">
        <f aca="false">IF($A532="","",MAX(0,$B532-$J532))</f>
        <v/>
      </c>
      <c r="L532" s="19" t="str">
        <f aca="false">IF($A532="","",IF($B532=0,0,$K532/$B532))</f>
        <v/>
      </c>
      <c r="M532" s="20" t="str">
        <f aca="false">IF($A532="","",IF($J532&lt;0,"BORCA BATIK",IF($I532&lt;$H532,"BORCA BATIK",IF($L532&gt;=TtkUcteIkiEsik,"2/3 KAYIP (KRİTİK)",IF($L532&gt;=TtkUcteBirEsik,"1/3 KAYIP (DİKKAT)","UYGUN")))))</f>
        <v/>
      </c>
    </row>
    <row r="533" customFormat="false" ht="15" hidden="false" customHeight="false" outlineLevel="0" collapsed="false">
      <c r="A533" s="21"/>
      <c r="B533" s="17"/>
      <c r="C533" s="17"/>
      <c r="D533" s="17"/>
      <c r="E533" s="17"/>
      <c r="F533" s="17"/>
      <c r="G533" s="17"/>
      <c r="H533" s="17"/>
      <c r="I533" s="17"/>
      <c r="J533" s="18" t="str">
        <f aca="false">IF($A533="","",$B533+$C533+$D533-$E533+$F533-$G533)</f>
        <v/>
      </c>
      <c r="K533" s="18" t="str">
        <f aca="false">IF($A533="","",MAX(0,$B533-$J533))</f>
        <v/>
      </c>
      <c r="L533" s="19" t="str">
        <f aca="false">IF($A533="","",IF($B533=0,0,$K533/$B533))</f>
        <v/>
      </c>
      <c r="M533" s="20" t="str">
        <f aca="false">IF($A533="","",IF($J533&lt;0,"BORCA BATIK",IF($I533&lt;$H533,"BORCA BATIK",IF($L533&gt;=TtkUcteIkiEsik,"2/3 KAYIP (KRİTİK)",IF($L533&gt;=TtkUcteBirEsik,"1/3 KAYIP (DİKKAT)","UYGUN")))))</f>
        <v/>
      </c>
    </row>
    <row r="534" customFormat="false" ht="15" hidden="false" customHeight="false" outlineLevel="0" collapsed="false">
      <c r="A534" s="21"/>
      <c r="B534" s="17"/>
      <c r="C534" s="17"/>
      <c r="D534" s="17"/>
      <c r="E534" s="17"/>
      <c r="F534" s="17"/>
      <c r="G534" s="17"/>
      <c r="H534" s="17"/>
      <c r="I534" s="17"/>
      <c r="J534" s="18" t="str">
        <f aca="false">IF($A534="","",$B534+$C534+$D534-$E534+$F534-$G534)</f>
        <v/>
      </c>
      <c r="K534" s="18" t="str">
        <f aca="false">IF($A534="","",MAX(0,$B534-$J534))</f>
        <v/>
      </c>
      <c r="L534" s="19" t="str">
        <f aca="false">IF($A534="","",IF($B534=0,0,$K534/$B534))</f>
        <v/>
      </c>
      <c r="M534" s="20" t="str">
        <f aca="false">IF($A534="","",IF($J534&lt;0,"BORCA BATIK",IF($I534&lt;$H534,"BORCA BATIK",IF($L534&gt;=TtkUcteIkiEsik,"2/3 KAYIP (KRİTİK)",IF($L534&gt;=TtkUcteBirEsik,"1/3 KAYIP (DİKKAT)","UYGUN")))))</f>
        <v/>
      </c>
    </row>
    <row r="535" customFormat="false" ht="15" hidden="false" customHeight="false" outlineLevel="0" collapsed="false">
      <c r="A535" s="21"/>
      <c r="B535" s="17"/>
      <c r="C535" s="17"/>
      <c r="D535" s="17"/>
      <c r="E535" s="17"/>
      <c r="F535" s="17"/>
      <c r="G535" s="17"/>
      <c r="H535" s="17"/>
      <c r="I535" s="17"/>
      <c r="J535" s="18" t="str">
        <f aca="false">IF($A535="","",$B535+$C535+$D535-$E535+$F535-$G535)</f>
        <v/>
      </c>
      <c r="K535" s="18" t="str">
        <f aca="false">IF($A535="","",MAX(0,$B535-$J535))</f>
        <v/>
      </c>
      <c r="L535" s="19" t="str">
        <f aca="false">IF($A535="","",IF($B535=0,0,$K535/$B535))</f>
        <v/>
      </c>
      <c r="M535" s="20" t="str">
        <f aca="false">IF($A535="","",IF($J535&lt;0,"BORCA BATIK",IF($I535&lt;$H535,"BORCA BATIK",IF($L535&gt;=TtkUcteIkiEsik,"2/3 KAYIP (KRİTİK)",IF($L535&gt;=TtkUcteBirEsik,"1/3 KAYIP (DİKKAT)","UYGUN")))))</f>
        <v/>
      </c>
    </row>
    <row r="536" customFormat="false" ht="15" hidden="false" customHeight="false" outlineLevel="0" collapsed="false">
      <c r="A536" s="21"/>
      <c r="B536" s="17"/>
      <c r="C536" s="17"/>
      <c r="D536" s="17"/>
      <c r="E536" s="17"/>
      <c r="F536" s="17"/>
      <c r="G536" s="17"/>
      <c r="H536" s="17"/>
      <c r="I536" s="17"/>
      <c r="J536" s="18" t="str">
        <f aca="false">IF($A536="","",$B536+$C536+$D536-$E536+$F536-$G536)</f>
        <v/>
      </c>
      <c r="K536" s="18" t="str">
        <f aca="false">IF($A536="","",MAX(0,$B536-$J536))</f>
        <v/>
      </c>
      <c r="L536" s="19" t="str">
        <f aca="false">IF($A536="","",IF($B536=0,0,$K536/$B536))</f>
        <v/>
      </c>
      <c r="M536" s="20" t="str">
        <f aca="false">IF($A536="","",IF($J536&lt;0,"BORCA BATIK",IF($I536&lt;$H536,"BORCA BATIK",IF($L536&gt;=TtkUcteIkiEsik,"2/3 KAYIP (KRİTİK)",IF($L536&gt;=TtkUcteBirEsik,"1/3 KAYIP (DİKKAT)","UYGUN")))))</f>
        <v/>
      </c>
    </row>
    <row r="537" customFormat="false" ht="15" hidden="false" customHeight="false" outlineLevel="0" collapsed="false">
      <c r="A537" s="21"/>
      <c r="B537" s="17"/>
      <c r="C537" s="17"/>
      <c r="D537" s="17"/>
      <c r="E537" s="17"/>
      <c r="F537" s="17"/>
      <c r="G537" s="17"/>
      <c r="H537" s="17"/>
      <c r="I537" s="17"/>
      <c r="J537" s="18" t="str">
        <f aca="false">IF($A537="","",$B537+$C537+$D537-$E537+$F537-$G537)</f>
        <v/>
      </c>
      <c r="K537" s="18" t="str">
        <f aca="false">IF($A537="","",MAX(0,$B537-$J537))</f>
        <v/>
      </c>
      <c r="L537" s="19" t="str">
        <f aca="false">IF($A537="","",IF($B537=0,0,$K537/$B537))</f>
        <v/>
      </c>
      <c r="M537" s="20" t="str">
        <f aca="false">IF($A537="","",IF($J537&lt;0,"BORCA BATIK",IF($I537&lt;$H537,"BORCA BATIK",IF($L537&gt;=TtkUcteIkiEsik,"2/3 KAYIP (KRİTİK)",IF($L537&gt;=TtkUcteBirEsik,"1/3 KAYIP (DİKKAT)","UYGUN")))))</f>
        <v/>
      </c>
    </row>
    <row r="538" customFormat="false" ht="15" hidden="false" customHeight="false" outlineLevel="0" collapsed="false">
      <c r="A538" s="21"/>
      <c r="B538" s="17"/>
      <c r="C538" s="17"/>
      <c r="D538" s="17"/>
      <c r="E538" s="17"/>
      <c r="F538" s="17"/>
      <c r="G538" s="17"/>
      <c r="H538" s="17"/>
      <c r="I538" s="17"/>
      <c r="J538" s="18" t="str">
        <f aca="false">IF($A538="","",$B538+$C538+$D538-$E538+$F538-$G538)</f>
        <v/>
      </c>
      <c r="K538" s="18" t="str">
        <f aca="false">IF($A538="","",MAX(0,$B538-$J538))</f>
        <v/>
      </c>
      <c r="L538" s="19" t="str">
        <f aca="false">IF($A538="","",IF($B538=0,0,$K538/$B538))</f>
        <v/>
      </c>
      <c r="M538" s="20" t="str">
        <f aca="false">IF($A538="","",IF($J538&lt;0,"BORCA BATIK",IF($I538&lt;$H538,"BORCA BATIK",IF($L538&gt;=TtkUcteIkiEsik,"2/3 KAYIP (KRİTİK)",IF($L538&gt;=TtkUcteBirEsik,"1/3 KAYIP (DİKKAT)","UYGUN")))))</f>
        <v/>
      </c>
    </row>
    <row r="539" customFormat="false" ht="15" hidden="false" customHeight="false" outlineLevel="0" collapsed="false">
      <c r="A539" s="21"/>
      <c r="B539" s="17"/>
      <c r="C539" s="17"/>
      <c r="D539" s="17"/>
      <c r="E539" s="17"/>
      <c r="F539" s="17"/>
      <c r="G539" s="17"/>
      <c r="H539" s="17"/>
      <c r="I539" s="17"/>
      <c r="J539" s="18" t="str">
        <f aca="false">IF($A539="","",$B539+$C539+$D539-$E539+$F539-$G539)</f>
        <v/>
      </c>
      <c r="K539" s="18" t="str">
        <f aca="false">IF($A539="","",MAX(0,$B539-$J539))</f>
        <v/>
      </c>
      <c r="L539" s="19" t="str">
        <f aca="false">IF($A539="","",IF($B539=0,0,$K539/$B539))</f>
        <v/>
      </c>
      <c r="M539" s="20" t="str">
        <f aca="false">IF($A539="","",IF($J539&lt;0,"BORCA BATIK",IF($I539&lt;$H539,"BORCA BATIK",IF($L539&gt;=TtkUcteIkiEsik,"2/3 KAYIP (KRİTİK)",IF($L539&gt;=TtkUcteBirEsik,"1/3 KAYIP (DİKKAT)","UYGUN")))))</f>
        <v/>
      </c>
    </row>
    <row r="540" customFormat="false" ht="15" hidden="false" customHeight="false" outlineLevel="0" collapsed="false">
      <c r="A540" s="21"/>
      <c r="B540" s="17"/>
      <c r="C540" s="17"/>
      <c r="D540" s="17"/>
      <c r="E540" s="17"/>
      <c r="F540" s="17"/>
      <c r="G540" s="17"/>
      <c r="H540" s="17"/>
      <c r="I540" s="17"/>
      <c r="J540" s="18" t="str">
        <f aca="false">IF($A540="","",$B540+$C540+$D540-$E540+$F540-$G540)</f>
        <v/>
      </c>
      <c r="K540" s="18" t="str">
        <f aca="false">IF($A540="","",MAX(0,$B540-$J540))</f>
        <v/>
      </c>
      <c r="L540" s="19" t="str">
        <f aca="false">IF($A540="","",IF($B540=0,0,$K540/$B540))</f>
        <v/>
      </c>
      <c r="M540" s="20" t="str">
        <f aca="false">IF($A540="","",IF($J540&lt;0,"BORCA BATIK",IF($I540&lt;$H540,"BORCA BATIK",IF($L540&gt;=TtkUcteIkiEsik,"2/3 KAYIP (KRİTİK)",IF($L540&gt;=TtkUcteBirEsik,"1/3 KAYIP (DİKKAT)","UYGUN")))))</f>
        <v/>
      </c>
    </row>
    <row r="541" customFormat="false" ht="15" hidden="false" customHeight="false" outlineLevel="0" collapsed="false">
      <c r="A541" s="21"/>
      <c r="B541" s="17"/>
      <c r="C541" s="17"/>
      <c r="D541" s="17"/>
      <c r="E541" s="17"/>
      <c r="F541" s="17"/>
      <c r="G541" s="17"/>
      <c r="H541" s="17"/>
      <c r="I541" s="17"/>
      <c r="J541" s="18" t="str">
        <f aca="false">IF($A541="","",$B541+$C541+$D541-$E541+$F541-$G541)</f>
        <v/>
      </c>
      <c r="K541" s="18" t="str">
        <f aca="false">IF($A541="","",MAX(0,$B541-$J541))</f>
        <v/>
      </c>
      <c r="L541" s="19" t="str">
        <f aca="false">IF($A541="","",IF($B541=0,0,$K541/$B541))</f>
        <v/>
      </c>
      <c r="M541" s="20" t="str">
        <f aca="false">IF($A541="","",IF($J541&lt;0,"BORCA BATIK",IF($I541&lt;$H541,"BORCA BATIK",IF($L541&gt;=TtkUcteIkiEsik,"2/3 KAYIP (KRİTİK)",IF($L541&gt;=TtkUcteBirEsik,"1/3 KAYIP (DİKKAT)","UYGUN")))))</f>
        <v/>
      </c>
    </row>
    <row r="542" customFormat="false" ht="15" hidden="false" customHeight="false" outlineLevel="0" collapsed="false">
      <c r="A542" s="21"/>
      <c r="B542" s="17"/>
      <c r="C542" s="17"/>
      <c r="D542" s="17"/>
      <c r="E542" s="17"/>
      <c r="F542" s="17"/>
      <c r="G542" s="17"/>
      <c r="H542" s="17"/>
      <c r="I542" s="17"/>
      <c r="J542" s="18" t="str">
        <f aca="false">IF($A542="","",$B542+$C542+$D542-$E542+$F542-$G542)</f>
        <v/>
      </c>
      <c r="K542" s="18" t="str">
        <f aca="false">IF($A542="","",MAX(0,$B542-$J542))</f>
        <v/>
      </c>
      <c r="L542" s="19" t="str">
        <f aca="false">IF($A542="","",IF($B542=0,0,$K542/$B542))</f>
        <v/>
      </c>
      <c r="M542" s="20" t="str">
        <f aca="false">IF($A542="","",IF($J542&lt;0,"BORCA BATIK",IF($I542&lt;$H542,"BORCA BATIK",IF($L542&gt;=TtkUcteIkiEsik,"2/3 KAYIP (KRİTİK)",IF($L542&gt;=TtkUcteBirEsik,"1/3 KAYIP (DİKKAT)","UYGUN")))))</f>
        <v/>
      </c>
    </row>
    <row r="543" customFormat="false" ht="15" hidden="false" customHeight="false" outlineLevel="0" collapsed="false">
      <c r="A543" s="21"/>
      <c r="B543" s="17"/>
      <c r="C543" s="17"/>
      <c r="D543" s="17"/>
      <c r="E543" s="17"/>
      <c r="F543" s="17"/>
      <c r="G543" s="17"/>
      <c r="H543" s="17"/>
      <c r="I543" s="17"/>
      <c r="J543" s="18" t="str">
        <f aca="false">IF($A543="","",$B543+$C543+$D543-$E543+$F543-$G543)</f>
        <v/>
      </c>
      <c r="K543" s="18" t="str">
        <f aca="false">IF($A543="","",MAX(0,$B543-$J543))</f>
        <v/>
      </c>
      <c r="L543" s="19" t="str">
        <f aca="false">IF($A543="","",IF($B543=0,0,$K543/$B543))</f>
        <v/>
      </c>
      <c r="M543" s="20" t="str">
        <f aca="false">IF($A543="","",IF($J543&lt;0,"BORCA BATIK",IF($I543&lt;$H543,"BORCA BATIK",IF($L543&gt;=TtkUcteIkiEsik,"2/3 KAYIP (KRİTİK)",IF($L543&gt;=TtkUcteBirEsik,"1/3 KAYIP (DİKKAT)","UYGUN")))))</f>
        <v/>
      </c>
    </row>
    <row r="544" customFormat="false" ht="15" hidden="false" customHeight="false" outlineLevel="0" collapsed="false">
      <c r="A544" s="21"/>
      <c r="B544" s="17"/>
      <c r="C544" s="17"/>
      <c r="D544" s="17"/>
      <c r="E544" s="17"/>
      <c r="F544" s="17"/>
      <c r="G544" s="17"/>
      <c r="H544" s="17"/>
      <c r="I544" s="17"/>
      <c r="J544" s="18" t="str">
        <f aca="false">IF($A544="","",$B544+$C544+$D544-$E544+$F544-$G544)</f>
        <v/>
      </c>
      <c r="K544" s="18" t="str">
        <f aca="false">IF($A544="","",MAX(0,$B544-$J544))</f>
        <v/>
      </c>
      <c r="L544" s="19" t="str">
        <f aca="false">IF($A544="","",IF($B544=0,0,$K544/$B544))</f>
        <v/>
      </c>
      <c r="M544" s="20" t="str">
        <f aca="false">IF($A544="","",IF($J544&lt;0,"BORCA BATIK",IF($I544&lt;$H544,"BORCA BATIK",IF($L544&gt;=TtkUcteIkiEsik,"2/3 KAYIP (KRİTİK)",IF($L544&gt;=TtkUcteBirEsik,"1/3 KAYIP (DİKKAT)","UYGUN")))))</f>
        <v/>
      </c>
    </row>
    <row r="545" customFormat="false" ht="15" hidden="false" customHeight="false" outlineLevel="0" collapsed="false">
      <c r="A545" s="21"/>
      <c r="B545" s="17"/>
      <c r="C545" s="17"/>
      <c r="D545" s="17"/>
      <c r="E545" s="17"/>
      <c r="F545" s="17"/>
      <c r="G545" s="17"/>
      <c r="H545" s="17"/>
      <c r="I545" s="17"/>
      <c r="J545" s="18" t="str">
        <f aca="false">IF($A545="","",$B545+$C545+$D545-$E545+$F545-$G545)</f>
        <v/>
      </c>
      <c r="K545" s="18" t="str">
        <f aca="false">IF($A545="","",MAX(0,$B545-$J545))</f>
        <v/>
      </c>
      <c r="L545" s="19" t="str">
        <f aca="false">IF($A545="","",IF($B545=0,0,$K545/$B545))</f>
        <v/>
      </c>
      <c r="M545" s="20" t="str">
        <f aca="false">IF($A545="","",IF($J545&lt;0,"BORCA BATIK",IF($I545&lt;$H545,"BORCA BATIK",IF($L545&gt;=TtkUcteIkiEsik,"2/3 KAYIP (KRİTİK)",IF($L545&gt;=TtkUcteBirEsik,"1/3 KAYIP (DİKKAT)","UYGUN")))))</f>
        <v/>
      </c>
    </row>
    <row r="546" customFormat="false" ht="15" hidden="false" customHeight="false" outlineLevel="0" collapsed="false">
      <c r="A546" s="21"/>
      <c r="B546" s="17"/>
      <c r="C546" s="17"/>
      <c r="D546" s="17"/>
      <c r="E546" s="17"/>
      <c r="F546" s="17"/>
      <c r="G546" s="17"/>
      <c r="H546" s="17"/>
      <c r="I546" s="17"/>
      <c r="J546" s="18" t="str">
        <f aca="false">IF($A546="","",$B546+$C546+$D546-$E546+$F546-$G546)</f>
        <v/>
      </c>
      <c r="K546" s="18" t="str">
        <f aca="false">IF($A546="","",MAX(0,$B546-$J546))</f>
        <v/>
      </c>
      <c r="L546" s="19" t="str">
        <f aca="false">IF($A546="","",IF($B546=0,0,$K546/$B546))</f>
        <v/>
      </c>
      <c r="M546" s="20" t="str">
        <f aca="false">IF($A546="","",IF($J546&lt;0,"BORCA BATIK",IF($I546&lt;$H546,"BORCA BATIK",IF($L546&gt;=TtkUcteIkiEsik,"2/3 KAYIP (KRİTİK)",IF($L546&gt;=TtkUcteBirEsik,"1/3 KAYIP (DİKKAT)","UYGUN")))))</f>
        <v/>
      </c>
    </row>
    <row r="547" customFormat="false" ht="15" hidden="false" customHeight="false" outlineLevel="0" collapsed="false">
      <c r="A547" s="21"/>
      <c r="B547" s="17"/>
      <c r="C547" s="17"/>
      <c r="D547" s="17"/>
      <c r="E547" s="17"/>
      <c r="F547" s="17"/>
      <c r="G547" s="17"/>
      <c r="H547" s="17"/>
      <c r="I547" s="17"/>
      <c r="J547" s="18" t="str">
        <f aca="false">IF($A547="","",$B547+$C547+$D547-$E547+$F547-$G547)</f>
        <v/>
      </c>
      <c r="K547" s="18" t="str">
        <f aca="false">IF($A547="","",MAX(0,$B547-$J547))</f>
        <v/>
      </c>
      <c r="L547" s="19" t="str">
        <f aca="false">IF($A547="","",IF($B547=0,0,$K547/$B547))</f>
        <v/>
      </c>
      <c r="M547" s="20" t="str">
        <f aca="false">IF($A547="","",IF($J547&lt;0,"BORCA BATIK",IF($I547&lt;$H547,"BORCA BATIK",IF($L547&gt;=TtkUcteIkiEsik,"2/3 KAYIP (KRİTİK)",IF($L547&gt;=TtkUcteBirEsik,"1/3 KAYIP (DİKKAT)","UYGUN")))))</f>
        <v/>
      </c>
    </row>
    <row r="548" customFormat="false" ht="15" hidden="false" customHeight="false" outlineLevel="0" collapsed="false">
      <c r="A548" s="21"/>
      <c r="B548" s="17"/>
      <c r="C548" s="17"/>
      <c r="D548" s="17"/>
      <c r="E548" s="17"/>
      <c r="F548" s="17"/>
      <c r="G548" s="17"/>
      <c r="H548" s="17"/>
      <c r="I548" s="17"/>
      <c r="J548" s="18" t="str">
        <f aca="false">IF($A548="","",$B548+$C548+$D548-$E548+$F548-$G548)</f>
        <v/>
      </c>
      <c r="K548" s="18" t="str">
        <f aca="false">IF($A548="","",MAX(0,$B548-$J548))</f>
        <v/>
      </c>
      <c r="L548" s="19" t="str">
        <f aca="false">IF($A548="","",IF($B548=0,0,$K548/$B548))</f>
        <v/>
      </c>
      <c r="M548" s="20" t="str">
        <f aca="false">IF($A548="","",IF($J548&lt;0,"BORCA BATIK",IF($I548&lt;$H548,"BORCA BATIK",IF($L548&gt;=TtkUcteIkiEsik,"2/3 KAYIP (KRİTİK)",IF($L548&gt;=TtkUcteBirEsik,"1/3 KAYIP (DİKKAT)","UYGUN")))))</f>
        <v/>
      </c>
    </row>
    <row r="549" customFormat="false" ht="15" hidden="false" customHeight="false" outlineLevel="0" collapsed="false">
      <c r="A549" s="21"/>
      <c r="B549" s="17"/>
      <c r="C549" s="17"/>
      <c r="D549" s="17"/>
      <c r="E549" s="17"/>
      <c r="F549" s="17"/>
      <c r="G549" s="17"/>
      <c r="H549" s="17"/>
      <c r="I549" s="17"/>
      <c r="J549" s="18" t="str">
        <f aca="false">IF($A549="","",$B549+$C549+$D549-$E549+$F549-$G549)</f>
        <v/>
      </c>
      <c r="K549" s="18" t="str">
        <f aca="false">IF($A549="","",MAX(0,$B549-$J549))</f>
        <v/>
      </c>
      <c r="L549" s="19" t="str">
        <f aca="false">IF($A549="","",IF($B549=0,0,$K549/$B549))</f>
        <v/>
      </c>
      <c r="M549" s="20" t="str">
        <f aca="false">IF($A549="","",IF($J549&lt;0,"BORCA BATIK",IF($I549&lt;$H549,"BORCA BATIK",IF($L549&gt;=TtkUcteIkiEsik,"2/3 KAYIP (KRİTİK)",IF($L549&gt;=TtkUcteBirEsik,"1/3 KAYIP (DİKKAT)","UYGUN")))))</f>
        <v/>
      </c>
    </row>
    <row r="550" customFormat="false" ht="15" hidden="false" customHeight="false" outlineLevel="0" collapsed="false">
      <c r="A550" s="21"/>
      <c r="B550" s="17"/>
      <c r="C550" s="17"/>
      <c r="D550" s="17"/>
      <c r="E550" s="17"/>
      <c r="F550" s="17"/>
      <c r="G550" s="17"/>
      <c r="H550" s="17"/>
      <c r="I550" s="17"/>
      <c r="J550" s="18" t="str">
        <f aca="false">IF($A550="","",$B550+$C550+$D550-$E550+$F550-$G550)</f>
        <v/>
      </c>
      <c r="K550" s="18" t="str">
        <f aca="false">IF($A550="","",MAX(0,$B550-$J550))</f>
        <v/>
      </c>
      <c r="L550" s="19" t="str">
        <f aca="false">IF($A550="","",IF($B550=0,0,$K550/$B550))</f>
        <v/>
      </c>
      <c r="M550" s="20" t="str">
        <f aca="false">IF($A550="","",IF($J550&lt;0,"BORCA BATIK",IF($I550&lt;$H550,"BORCA BATIK",IF($L550&gt;=TtkUcteIkiEsik,"2/3 KAYIP (KRİTİK)",IF($L550&gt;=TtkUcteBirEsik,"1/3 KAYIP (DİKKAT)","UYGUN")))))</f>
        <v/>
      </c>
    </row>
    <row r="551" customFormat="false" ht="15" hidden="false" customHeight="false" outlineLevel="0" collapsed="false">
      <c r="A551" s="21"/>
      <c r="B551" s="17"/>
      <c r="C551" s="17"/>
      <c r="D551" s="17"/>
      <c r="E551" s="17"/>
      <c r="F551" s="17"/>
      <c r="G551" s="17"/>
      <c r="H551" s="17"/>
      <c r="I551" s="17"/>
      <c r="J551" s="18" t="str">
        <f aca="false">IF($A551="","",$B551+$C551+$D551-$E551+$F551-$G551)</f>
        <v/>
      </c>
      <c r="K551" s="18" t="str">
        <f aca="false">IF($A551="","",MAX(0,$B551-$J551))</f>
        <v/>
      </c>
      <c r="L551" s="19" t="str">
        <f aca="false">IF($A551="","",IF($B551=0,0,$K551/$B551))</f>
        <v/>
      </c>
      <c r="M551" s="20" t="str">
        <f aca="false">IF($A551="","",IF($J551&lt;0,"BORCA BATIK",IF($I551&lt;$H551,"BORCA BATIK",IF($L551&gt;=TtkUcteIkiEsik,"2/3 KAYIP (KRİTİK)",IF($L551&gt;=TtkUcteBirEsik,"1/3 KAYIP (DİKKAT)","UYGUN")))))</f>
        <v/>
      </c>
    </row>
    <row r="552" customFormat="false" ht="15" hidden="false" customHeight="false" outlineLevel="0" collapsed="false">
      <c r="A552" s="21"/>
      <c r="B552" s="17"/>
      <c r="C552" s="17"/>
      <c r="D552" s="17"/>
      <c r="E552" s="17"/>
      <c r="F552" s="17"/>
      <c r="G552" s="17"/>
      <c r="H552" s="17"/>
      <c r="I552" s="17"/>
      <c r="J552" s="18" t="str">
        <f aca="false">IF($A552="","",$B552+$C552+$D552-$E552+$F552-$G552)</f>
        <v/>
      </c>
      <c r="K552" s="18" t="str">
        <f aca="false">IF($A552="","",MAX(0,$B552-$J552))</f>
        <v/>
      </c>
      <c r="L552" s="19" t="str">
        <f aca="false">IF($A552="","",IF($B552=0,0,$K552/$B552))</f>
        <v/>
      </c>
      <c r="M552" s="20" t="str">
        <f aca="false">IF($A552="","",IF($J552&lt;0,"BORCA BATIK",IF($I552&lt;$H552,"BORCA BATIK",IF($L552&gt;=TtkUcteIkiEsik,"2/3 KAYIP (KRİTİK)",IF($L552&gt;=TtkUcteBirEsik,"1/3 KAYIP (DİKKAT)","UYGUN")))))</f>
        <v/>
      </c>
    </row>
    <row r="553" customFormat="false" ht="15" hidden="false" customHeight="false" outlineLevel="0" collapsed="false">
      <c r="A553" s="21"/>
      <c r="B553" s="17"/>
      <c r="C553" s="17"/>
      <c r="D553" s="17"/>
      <c r="E553" s="17"/>
      <c r="F553" s="17"/>
      <c r="G553" s="17"/>
      <c r="H553" s="17"/>
      <c r="I553" s="17"/>
      <c r="J553" s="18" t="str">
        <f aca="false">IF($A553="","",$B553+$C553+$D553-$E553+$F553-$G553)</f>
        <v/>
      </c>
      <c r="K553" s="18" t="str">
        <f aca="false">IF($A553="","",MAX(0,$B553-$J553))</f>
        <v/>
      </c>
      <c r="L553" s="19" t="str">
        <f aca="false">IF($A553="","",IF($B553=0,0,$K553/$B553))</f>
        <v/>
      </c>
      <c r="M553" s="20" t="str">
        <f aca="false">IF($A553="","",IF($J553&lt;0,"BORCA BATIK",IF($I553&lt;$H553,"BORCA BATIK",IF($L553&gt;=TtkUcteIkiEsik,"2/3 KAYIP (KRİTİK)",IF($L553&gt;=TtkUcteBirEsik,"1/3 KAYIP (DİKKAT)","UYGUN")))))</f>
        <v/>
      </c>
    </row>
    <row r="554" customFormat="false" ht="15" hidden="false" customHeight="false" outlineLevel="0" collapsed="false">
      <c r="A554" s="21"/>
      <c r="B554" s="17"/>
      <c r="C554" s="17"/>
      <c r="D554" s="17"/>
      <c r="E554" s="17"/>
      <c r="F554" s="17"/>
      <c r="G554" s="17"/>
      <c r="H554" s="17"/>
      <c r="I554" s="17"/>
      <c r="J554" s="18" t="str">
        <f aca="false">IF($A554="","",$B554+$C554+$D554-$E554+$F554-$G554)</f>
        <v/>
      </c>
      <c r="K554" s="18" t="str">
        <f aca="false">IF($A554="","",MAX(0,$B554-$J554))</f>
        <v/>
      </c>
      <c r="L554" s="19" t="str">
        <f aca="false">IF($A554="","",IF($B554=0,0,$K554/$B554))</f>
        <v/>
      </c>
      <c r="M554" s="20" t="str">
        <f aca="false">IF($A554="","",IF($J554&lt;0,"BORCA BATIK",IF($I554&lt;$H554,"BORCA BATIK",IF($L554&gt;=TtkUcteIkiEsik,"2/3 KAYIP (KRİTİK)",IF($L554&gt;=TtkUcteBirEsik,"1/3 KAYIP (DİKKAT)","UYGUN")))))</f>
        <v/>
      </c>
    </row>
    <row r="555" customFormat="false" ht="15" hidden="false" customHeight="false" outlineLevel="0" collapsed="false">
      <c r="A555" s="21"/>
      <c r="B555" s="17"/>
      <c r="C555" s="17"/>
      <c r="D555" s="17"/>
      <c r="E555" s="17"/>
      <c r="F555" s="17"/>
      <c r="G555" s="17"/>
      <c r="H555" s="17"/>
      <c r="I555" s="17"/>
      <c r="J555" s="18" t="str">
        <f aca="false">IF($A555="","",$B555+$C555+$D555-$E555+$F555-$G555)</f>
        <v/>
      </c>
      <c r="K555" s="18" t="str">
        <f aca="false">IF($A555="","",MAX(0,$B555-$J555))</f>
        <v/>
      </c>
      <c r="L555" s="19" t="str">
        <f aca="false">IF($A555="","",IF($B555=0,0,$K555/$B555))</f>
        <v/>
      </c>
      <c r="M555" s="20" t="str">
        <f aca="false">IF($A555="","",IF($J555&lt;0,"BORCA BATIK",IF($I555&lt;$H555,"BORCA BATIK",IF($L555&gt;=TtkUcteIkiEsik,"2/3 KAYIP (KRİTİK)",IF($L555&gt;=TtkUcteBirEsik,"1/3 KAYIP (DİKKAT)","UYGUN")))))</f>
        <v/>
      </c>
    </row>
    <row r="556" customFormat="false" ht="15" hidden="false" customHeight="false" outlineLevel="0" collapsed="false">
      <c r="A556" s="21"/>
      <c r="B556" s="17"/>
      <c r="C556" s="17"/>
      <c r="D556" s="17"/>
      <c r="E556" s="17"/>
      <c r="F556" s="17"/>
      <c r="G556" s="17"/>
      <c r="H556" s="17"/>
      <c r="I556" s="17"/>
      <c r="J556" s="18" t="str">
        <f aca="false">IF($A556="","",$B556+$C556+$D556-$E556+$F556-$G556)</f>
        <v/>
      </c>
      <c r="K556" s="18" t="str">
        <f aca="false">IF($A556="","",MAX(0,$B556-$J556))</f>
        <v/>
      </c>
      <c r="L556" s="19" t="str">
        <f aca="false">IF($A556="","",IF($B556=0,0,$K556/$B556))</f>
        <v/>
      </c>
      <c r="M556" s="20" t="str">
        <f aca="false">IF($A556="","",IF($J556&lt;0,"BORCA BATIK",IF($I556&lt;$H556,"BORCA BATIK",IF($L556&gt;=TtkUcteIkiEsik,"2/3 KAYIP (KRİTİK)",IF($L556&gt;=TtkUcteBirEsik,"1/3 KAYIP (DİKKAT)","UYGUN")))))</f>
        <v/>
      </c>
    </row>
    <row r="557" customFormat="false" ht="15" hidden="false" customHeight="false" outlineLevel="0" collapsed="false">
      <c r="A557" s="21"/>
      <c r="B557" s="17"/>
      <c r="C557" s="17"/>
      <c r="D557" s="17"/>
      <c r="E557" s="17"/>
      <c r="F557" s="17"/>
      <c r="G557" s="17"/>
      <c r="H557" s="17"/>
      <c r="I557" s="17"/>
      <c r="J557" s="18" t="str">
        <f aca="false">IF($A557="","",$B557+$C557+$D557-$E557+$F557-$G557)</f>
        <v/>
      </c>
      <c r="K557" s="18" t="str">
        <f aca="false">IF($A557="","",MAX(0,$B557-$J557))</f>
        <v/>
      </c>
      <c r="L557" s="19" t="str">
        <f aca="false">IF($A557="","",IF($B557=0,0,$K557/$B557))</f>
        <v/>
      </c>
      <c r="M557" s="20" t="str">
        <f aca="false">IF($A557="","",IF($J557&lt;0,"BORCA BATIK",IF($I557&lt;$H557,"BORCA BATIK",IF($L557&gt;=TtkUcteIkiEsik,"2/3 KAYIP (KRİTİK)",IF($L557&gt;=TtkUcteBirEsik,"1/3 KAYIP (DİKKAT)","UYGUN")))))</f>
        <v/>
      </c>
    </row>
    <row r="558" customFormat="false" ht="15" hidden="false" customHeight="false" outlineLevel="0" collapsed="false">
      <c r="A558" s="21"/>
      <c r="B558" s="17"/>
      <c r="C558" s="17"/>
      <c r="D558" s="17"/>
      <c r="E558" s="17"/>
      <c r="F558" s="17"/>
      <c r="G558" s="17"/>
      <c r="H558" s="17"/>
      <c r="I558" s="17"/>
      <c r="J558" s="18" t="str">
        <f aca="false">IF($A558="","",$B558+$C558+$D558-$E558+$F558-$G558)</f>
        <v/>
      </c>
      <c r="K558" s="18" t="str">
        <f aca="false">IF($A558="","",MAX(0,$B558-$J558))</f>
        <v/>
      </c>
      <c r="L558" s="19" t="str">
        <f aca="false">IF($A558="","",IF($B558=0,0,$K558/$B558))</f>
        <v/>
      </c>
      <c r="M558" s="20" t="str">
        <f aca="false">IF($A558="","",IF($J558&lt;0,"BORCA BATIK",IF($I558&lt;$H558,"BORCA BATIK",IF($L558&gt;=TtkUcteIkiEsik,"2/3 KAYIP (KRİTİK)",IF($L558&gt;=TtkUcteBirEsik,"1/3 KAYIP (DİKKAT)","UYGUN")))))</f>
        <v/>
      </c>
    </row>
    <row r="559" customFormat="false" ht="15" hidden="false" customHeight="false" outlineLevel="0" collapsed="false">
      <c r="A559" s="21"/>
      <c r="B559" s="17"/>
      <c r="C559" s="17"/>
      <c r="D559" s="17"/>
      <c r="E559" s="17"/>
      <c r="F559" s="17"/>
      <c r="G559" s="17"/>
      <c r="H559" s="17"/>
      <c r="I559" s="17"/>
      <c r="J559" s="18" t="str">
        <f aca="false">IF($A559="","",$B559+$C559+$D559-$E559+$F559-$G559)</f>
        <v/>
      </c>
      <c r="K559" s="18" t="str">
        <f aca="false">IF($A559="","",MAX(0,$B559-$J559))</f>
        <v/>
      </c>
      <c r="L559" s="19" t="str">
        <f aca="false">IF($A559="","",IF($B559=0,0,$K559/$B559))</f>
        <v/>
      </c>
      <c r="M559" s="20" t="str">
        <f aca="false">IF($A559="","",IF($J559&lt;0,"BORCA BATIK",IF($I559&lt;$H559,"BORCA BATIK",IF($L559&gt;=TtkUcteIkiEsik,"2/3 KAYIP (KRİTİK)",IF($L559&gt;=TtkUcteBirEsik,"1/3 KAYIP (DİKKAT)","UYGUN")))))</f>
        <v/>
      </c>
    </row>
    <row r="560" customFormat="false" ht="15" hidden="false" customHeight="false" outlineLevel="0" collapsed="false">
      <c r="A560" s="21"/>
      <c r="B560" s="17"/>
      <c r="C560" s="17"/>
      <c r="D560" s="17"/>
      <c r="E560" s="17"/>
      <c r="F560" s="17"/>
      <c r="G560" s="17"/>
      <c r="H560" s="17"/>
      <c r="I560" s="17"/>
      <c r="J560" s="18" t="str">
        <f aca="false">IF($A560="","",$B560+$C560+$D560-$E560+$F560-$G560)</f>
        <v/>
      </c>
      <c r="K560" s="18" t="str">
        <f aca="false">IF($A560="","",MAX(0,$B560-$J560))</f>
        <v/>
      </c>
      <c r="L560" s="19" t="str">
        <f aca="false">IF($A560="","",IF($B560=0,0,$K560/$B560))</f>
        <v/>
      </c>
      <c r="M560" s="20" t="str">
        <f aca="false">IF($A560="","",IF($J560&lt;0,"BORCA BATIK",IF($I560&lt;$H560,"BORCA BATIK",IF($L560&gt;=TtkUcteIkiEsik,"2/3 KAYIP (KRİTİK)",IF($L560&gt;=TtkUcteBirEsik,"1/3 KAYIP (DİKKAT)","UYGUN")))))</f>
        <v/>
      </c>
    </row>
    <row r="561" customFormat="false" ht="15" hidden="false" customHeight="false" outlineLevel="0" collapsed="false">
      <c r="A561" s="21"/>
      <c r="B561" s="17"/>
      <c r="C561" s="17"/>
      <c r="D561" s="17"/>
      <c r="E561" s="17"/>
      <c r="F561" s="17"/>
      <c r="G561" s="17"/>
      <c r="H561" s="17"/>
      <c r="I561" s="17"/>
      <c r="J561" s="18" t="str">
        <f aca="false">IF($A561="","",$B561+$C561+$D561-$E561+$F561-$G561)</f>
        <v/>
      </c>
      <c r="K561" s="18" t="str">
        <f aca="false">IF($A561="","",MAX(0,$B561-$J561))</f>
        <v/>
      </c>
      <c r="L561" s="19" t="str">
        <f aca="false">IF($A561="","",IF($B561=0,0,$K561/$B561))</f>
        <v/>
      </c>
      <c r="M561" s="20" t="str">
        <f aca="false">IF($A561="","",IF($J561&lt;0,"BORCA BATIK",IF($I561&lt;$H561,"BORCA BATIK",IF($L561&gt;=TtkUcteIkiEsik,"2/3 KAYIP (KRİTİK)",IF($L561&gt;=TtkUcteBirEsik,"1/3 KAYIP (DİKKAT)","UYGUN")))))</f>
        <v/>
      </c>
    </row>
    <row r="562" customFormat="false" ht="15" hidden="false" customHeight="false" outlineLevel="0" collapsed="false">
      <c r="A562" s="21"/>
      <c r="B562" s="17"/>
      <c r="C562" s="17"/>
      <c r="D562" s="17"/>
      <c r="E562" s="17"/>
      <c r="F562" s="17"/>
      <c r="G562" s="17"/>
      <c r="H562" s="17"/>
      <c r="I562" s="17"/>
      <c r="J562" s="18" t="str">
        <f aca="false">IF($A562="","",$B562+$C562+$D562-$E562+$F562-$G562)</f>
        <v/>
      </c>
      <c r="K562" s="18" t="str">
        <f aca="false">IF($A562="","",MAX(0,$B562-$J562))</f>
        <v/>
      </c>
      <c r="L562" s="19" t="str">
        <f aca="false">IF($A562="","",IF($B562=0,0,$K562/$B562))</f>
        <v/>
      </c>
      <c r="M562" s="20" t="str">
        <f aca="false">IF($A562="","",IF($J562&lt;0,"BORCA BATIK",IF($I562&lt;$H562,"BORCA BATIK",IF($L562&gt;=TtkUcteIkiEsik,"2/3 KAYIP (KRİTİK)",IF($L562&gt;=TtkUcteBirEsik,"1/3 KAYIP (DİKKAT)","UYGUN")))))</f>
        <v/>
      </c>
    </row>
    <row r="563" customFormat="false" ht="15" hidden="false" customHeight="false" outlineLevel="0" collapsed="false">
      <c r="A563" s="21"/>
      <c r="B563" s="17"/>
      <c r="C563" s="17"/>
      <c r="D563" s="17"/>
      <c r="E563" s="17"/>
      <c r="F563" s="17"/>
      <c r="G563" s="17"/>
      <c r="H563" s="17"/>
      <c r="I563" s="17"/>
      <c r="J563" s="18" t="str">
        <f aca="false">IF($A563="","",$B563+$C563+$D563-$E563+$F563-$G563)</f>
        <v/>
      </c>
      <c r="K563" s="18" t="str">
        <f aca="false">IF($A563="","",MAX(0,$B563-$J563))</f>
        <v/>
      </c>
      <c r="L563" s="19" t="str">
        <f aca="false">IF($A563="","",IF($B563=0,0,$K563/$B563))</f>
        <v/>
      </c>
      <c r="M563" s="20" t="str">
        <f aca="false">IF($A563="","",IF($J563&lt;0,"BORCA BATIK",IF($I563&lt;$H563,"BORCA BATIK",IF($L563&gt;=TtkUcteIkiEsik,"2/3 KAYIP (KRİTİK)",IF($L563&gt;=TtkUcteBirEsik,"1/3 KAYIP (DİKKAT)","UYGUN")))))</f>
        <v/>
      </c>
    </row>
    <row r="564" customFormat="false" ht="15" hidden="false" customHeight="false" outlineLevel="0" collapsed="false">
      <c r="A564" s="21"/>
      <c r="B564" s="17"/>
      <c r="C564" s="17"/>
      <c r="D564" s="17"/>
      <c r="E564" s="17"/>
      <c r="F564" s="17"/>
      <c r="G564" s="17"/>
      <c r="H564" s="17"/>
      <c r="I564" s="17"/>
      <c r="J564" s="18" t="str">
        <f aca="false">IF($A564="","",$B564+$C564+$D564-$E564+$F564-$G564)</f>
        <v/>
      </c>
      <c r="K564" s="18" t="str">
        <f aca="false">IF($A564="","",MAX(0,$B564-$J564))</f>
        <v/>
      </c>
      <c r="L564" s="19" t="str">
        <f aca="false">IF($A564="","",IF($B564=0,0,$K564/$B564))</f>
        <v/>
      </c>
      <c r="M564" s="20" t="str">
        <f aca="false">IF($A564="","",IF($J564&lt;0,"BORCA BATIK",IF($I564&lt;$H564,"BORCA BATIK",IF($L564&gt;=TtkUcteIkiEsik,"2/3 KAYIP (KRİTİK)",IF($L564&gt;=TtkUcteBirEsik,"1/3 KAYIP (DİKKAT)","UYGUN")))))</f>
        <v/>
      </c>
    </row>
    <row r="565" customFormat="false" ht="15" hidden="false" customHeight="false" outlineLevel="0" collapsed="false">
      <c r="A565" s="21"/>
      <c r="B565" s="17"/>
      <c r="C565" s="17"/>
      <c r="D565" s="17"/>
      <c r="E565" s="17"/>
      <c r="F565" s="17"/>
      <c r="G565" s="17"/>
      <c r="H565" s="17"/>
      <c r="I565" s="17"/>
      <c r="J565" s="18" t="str">
        <f aca="false">IF($A565="","",$B565+$C565+$D565-$E565+$F565-$G565)</f>
        <v/>
      </c>
      <c r="K565" s="18" t="str">
        <f aca="false">IF($A565="","",MAX(0,$B565-$J565))</f>
        <v/>
      </c>
      <c r="L565" s="19" t="str">
        <f aca="false">IF($A565="","",IF($B565=0,0,$K565/$B565))</f>
        <v/>
      </c>
      <c r="M565" s="20" t="str">
        <f aca="false">IF($A565="","",IF($J565&lt;0,"BORCA BATIK",IF($I565&lt;$H565,"BORCA BATIK",IF($L565&gt;=TtkUcteIkiEsik,"2/3 KAYIP (KRİTİK)",IF($L565&gt;=TtkUcteBirEsik,"1/3 KAYIP (DİKKAT)","UYGUN")))))</f>
        <v/>
      </c>
    </row>
    <row r="566" customFormat="false" ht="15" hidden="false" customHeight="false" outlineLevel="0" collapsed="false">
      <c r="A566" s="21"/>
      <c r="B566" s="17"/>
      <c r="C566" s="17"/>
      <c r="D566" s="17"/>
      <c r="E566" s="17"/>
      <c r="F566" s="17"/>
      <c r="G566" s="17"/>
      <c r="H566" s="17"/>
      <c r="I566" s="17"/>
      <c r="J566" s="18" t="str">
        <f aca="false">IF($A566="","",$B566+$C566+$D566-$E566+$F566-$G566)</f>
        <v/>
      </c>
      <c r="K566" s="18" t="str">
        <f aca="false">IF($A566="","",MAX(0,$B566-$J566))</f>
        <v/>
      </c>
      <c r="L566" s="19" t="str">
        <f aca="false">IF($A566="","",IF($B566=0,0,$K566/$B566))</f>
        <v/>
      </c>
      <c r="M566" s="20" t="str">
        <f aca="false">IF($A566="","",IF($J566&lt;0,"BORCA BATIK",IF($I566&lt;$H566,"BORCA BATIK",IF($L566&gt;=TtkUcteIkiEsik,"2/3 KAYIP (KRİTİK)",IF($L566&gt;=TtkUcteBirEsik,"1/3 KAYIP (DİKKAT)","UYGUN")))))</f>
        <v/>
      </c>
    </row>
    <row r="567" customFormat="false" ht="15" hidden="false" customHeight="false" outlineLevel="0" collapsed="false">
      <c r="A567" s="21"/>
      <c r="B567" s="17"/>
      <c r="C567" s="17"/>
      <c r="D567" s="17"/>
      <c r="E567" s="17"/>
      <c r="F567" s="17"/>
      <c r="G567" s="17"/>
      <c r="H567" s="17"/>
      <c r="I567" s="17"/>
      <c r="J567" s="18" t="str">
        <f aca="false">IF($A567="","",$B567+$C567+$D567-$E567+$F567-$G567)</f>
        <v/>
      </c>
      <c r="K567" s="18" t="str">
        <f aca="false">IF($A567="","",MAX(0,$B567-$J567))</f>
        <v/>
      </c>
      <c r="L567" s="19" t="str">
        <f aca="false">IF($A567="","",IF($B567=0,0,$K567/$B567))</f>
        <v/>
      </c>
      <c r="M567" s="20" t="str">
        <f aca="false">IF($A567="","",IF($J567&lt;0,"BORCA BATIK",IF($I567&lt;$H567,"BORCA BATIK",IF($L567&gt;=TtkUcteIkiEsik,"2/3 KAYIP (KRİTİK)",IF($L567&gt;=TtkUcteBirEsik,"1/3 KAYIP (DİKKAT)","UYGUN")))))</f>
        <v/>
      </c>
    </row>
    <row r="568" customFormat="false" ht="15" hidden="false" customHeight="false" outlineLevel="0" collapsed="false">
      <c r="A568" s="21"/>
      <c r="B568" s="17"/>
      <c r="C568" s="17"/>
      <c r="D568" s="17"/>
      <c r="E568" s="17"/>
      <c r="F568" s="17"/>
      <c r="G568" s="17"/>
      <c r="H568" s="17"/>
      <c r="I568" s="17"/>
      <c r="J568" s="18" t="str">
        <f aca="false">IF($A568="","",$B568+$C568+$D568-$E568+$F568-$G568)</f>
        <v/>
      </c>
      <c r="K568" s="18" t="str">
        <f aca="false">IF($A568="","",MAX(0,$B568-$J568))</f>
        <v/>
      </c>
      <c r="L568" s="19" t="str">
        <f aca="false">IF($A568="","",IF($B568=0,0,$K568/$B568))</f>
        <v/>
      </c>
      <c r="M568" s="20" t="str">
        <f aca="false">IF($A568="","",IF($J568&lt;0,"BORCA BATIK",IF($I568&lt;$H568,"BORCA BATIK",IF($L568&gt;=TtkUcteIkiEsik,"2/3 KAYIP (KRİTİK)",IF($L568&gt;=TtkUcteBirEsik,"1/3 KAYIP (DİKKAT)","UYGUN")))))</f>
        <v/>
      </c>
    </row>
    <row r="569" customFormat="false" ht="15" hidden="false" customHeight="false" outlineLevel="0" collapsed="false">
      <c r="A569" s="21"/>
      <c r="B569" s="17"/>
      <c r="C569" s="17"/>
      <c r="D569" s="17"/>
      <c r="E569" s="17"/>
      <c r="F569" s="17"/>
      <c r="G569" s="17"/>
      <c r="H569" s="17"/>
      <c r="I569" s="17"/>
      <c r="J569" s="18" t="str">
        <f aca="false">IF($A569="","",$B569+$C569+$D569-$E569+$F569-$G569)</f>
        <v/>
      </c>
      <c r="K569" s="18" t="str">
        <f aca="false">IF($A569="","",MAX(0,$B569-$J569))</f>
        <v/>
      </c>
      <c r="L569" s="19" t="str">
        <f aca="false">IF($A569="","",IF($B569=0,0,$K569/$B569))</f>
        <v/>
      </c>
      <c r="M569" s="20" t="str">
        <f aca="false">IF($A569="","",IF($J569&lt;0,"BORCA BATIK",IF($I569&lt;$H569,"BORCA BATIK",IF($L569&gt;=TtkUcteIkiEsik,"2/3 KAYIP (KRİTİK)",IF($L569&gt;=TtkUcteBirEsik,"1/3 KAYIP (DİKKAT)","UYGUN")))))</f>
        <v/>
      </c>
    </row>
    <row r="570" customFormat="false" ht="15" hidden="false" customHeight="false" outlineLevel="0" collapsed="false">
      <c r="A570" s="21"/>
      <c r="B570" s="17"/>
      <c r="C570" s="17"/>
      <c r="D570" s="17"/>
      <c r="E570" s="17"/>
      <c r="F570" s="17"/>
      <c r="G570" s="17"/>
      <c r="H570" s="17"/>
      <c r="I570" s="17"/>
      <c r="J570" s="18" t="str">
        <f aca="false">IF($A570="","",$B570+$C570+$D570-$E570+$F570-$G570)</f>
        <v/>
      </c>
      <c r="K570" s="18" t="str">
        <f aca="false">IF($A570="","",MAX(0,$B570-$J570))</f>
        <v/>
      </c>
      <c r="L570" s="19" t="str">
        <f aca="false">IF($A570="","",IF($B570=0,0,$K570/$B570))</f>
        <v/>
      </c>
      <c r="M570" s="20" t="str">
        <f aca="false">IF($A570="","",IF($J570&lt;0,"BORCA BATIK",IF($I570&lt;$H570,"BORCA BATIK",IF($L570&gt;=TtkUcteIkiEsik,"2/3 KAYIP (KRİTİK)",IF($L570&gt;=TtkUcteBirEsik,"1/3 KAYIP (DİKKAT)","UYGUN")))))</f>
        <v/>
      </c>
    </row>
    <row r="571" customFormat="false" ht="15" hidden="false" customHeight="false" outlineLevel="0" collapsed="false">
      <c r="A571" s="21"/>
      <c r="B571" s="17"/>
      <c r="C571" s="17"/>
      <c r="D571" s="17"/>
      <c r="E571" s="17"/>
      <c r="F571" s="17"/>
      <c r="G571" s="17"/>
      <c r="H571" s="17"/>
      <c r="I571" s="17"/>
      <c r="J571" s="18" t="str">
        <f aca="false">IF($A571="","",$B571+$C571+$D571-$E571+$F571-$G571)</f>
        <v/>
      </c>
      <c r="K571" s="18" t="str">
        <f aca="false">IF($A571="","",MAX(0,$B571-$J571))</f>
        <v/>
      </c>
      <c r="L571" s="19" t="str">
        <f aca="false">IF($A571="","",IF($B571=0,0,$K571/$B571))</f>
        <v/>
      </c>
      <c r="M571" s="20" t="str">
        <f aca="false">IF($A571="","",IF($J571&lt;0,"BORCA BATIK",IF($I571&lt;$H571,"BORCA BATIK",IF($L571&gt;=TtkUcteIkiEsik,"2/3 KAYIP (KRİTİK)",IF($L571&gt;=TtkUcteBirEsik,"1/3 KAYIP (DİKKAT)","UYGUN")))))</f>
        <v/>
      </c>
    </row>
    <row r="572" customFormat="false" ht="15" hidden="false" customHeight="false" outlineLevel="0" collapsed="false">
      <c r="A572" s="21"/>
      <c r="B572" s="17"/>
      <c r="C572" s="17"/>
      <c r="D572" s="17"/>
      <c r="E572" s="17"/>
      <c r="F572" s="17"/>
      <c r="G572" s="17"/>
      <c r="H572" s="17"/>
      <c r="I572" s="17"/>
      <c r="J572" s="18" t="str">
        <f aca="false">IF($A572="","",$B572+$C572+$D572-$E572+$F572-$G572)</f>
        <v/>
      </c>
      <c r="K572" s="18" t="str">
        <f aca="false">IF($A572="","",MAX(0,$B572-$J572))</f>
        <v/>
      </c>
      <c r="L572" s="19" t="str">
        <f aca="false">IF($A572="","",IF($B572=0,0,$K572/$B572))</f>
        <v/>
      </c>
      <c r="M572" s="20" t="str">
        <f aca="false">IF($A572="","",IF($J572&lt;0,"BORCA BATIK",IF($I572&lt;$H572,"BORCA BATIK",IF($L572&gt;=TtkUcteIkiEsik,"2/3 KAYIP (KRİTİK)",IF($L572&gt;=TtkUcteBirEsik,"1/3 KAYIP (DİKKAT)","UYGUN")))))</f>
        <v/>
      </c>
    </row>
    <row r="573" customFormat="false" ht="15" hidden="false" customHeight="false" outlineLevel="0" collapsed="false">
      <c r="A573" s="21"/>
      <c r="B573" s="17"/>
      <c r="C573" s="17"/>
      <c r="D573" s="17"/>
      <c r="E573" s="17"/>
      <c r="F573" s="17"/>
      <c r="G573" s="17"/>
      <c r="H573" s="17"/>
      <c r="I573" s="17"/>
      <c r="J573" s="18" t="str">
        <f aca="false">IF($A573="","",$B573+$C573+$D573-$E573+$F573-$G573)</f>
        <v/>
      </c>
      <c r="K573" s="18" t="str">
        <f aca="false">IF($A573="","",MAX(0,$B573-$J573))</f>
        <v/>
      </c>
      <c r="L573" s="19" t="str">
        <f aca="false">IF($A573="","",IF($B573=0,0,$K573/$B573))</f>
        <v/>
      </c>
      <c r="M573" s="20" t="str">
        <f aca="false">IF($A573="","",IF($J573&lt;0,"BORCA BATIK",IF($I573&lt;$H573,"BORCA BATIK",IF($L573&gt;=TtkUcteIkiEsik,"2/3 KAYIP (KRİTİK)",IF($L573&gt;=TtkUcteBirEsik,"1/3 KAYIP (DİKKAT)","UYGUN")))))</f>
        <v/>
      </c>
    </row>
    <row r="574" customFormat="false" ht="15" hidden="false" customHeight="false" outlineLevel="0" collapsed="false">
      <c r="A574" s="21"/>
      <c r="B574" s="17"/>
      <c r="C574" s="17"/>
      <c r="D574" s="17"/>
      <c r="E574" s="17"/>
      <c r="F574" s="17"/>
      <c r="G574" s="17"/>
      <c r="H574" s="17"/>
      <c r="I574" s="17"/>
      <c r="J574" s="18" t="str">
        <f aca="false">IF($A574="","",$B574+$C574+$D574-$E574+$F574-$G574)</f>
        <v/>
      </c>
      <c r="K574" s="18" t="str">
        <f aca="false">IF($A574="","",MAX(0,$B574-$J574))</f>
        <v/>
      </c>
      <c r="L574" s="19" t="str">
        <f aca="false">IF($A574="","",IF($B574=0,0,$K574/$B574))</f>
        <v/>
      </c>
      <c r="M574" s="20" t="str">
        <f aca="false">IF($A574="","",IF($J574&lt;0,"BORCA BATIK",IF($I574&lt;$H574,"BORCA BATIK",IF($L574&gt;=TtkUcteIkiEsik,"2/3 KAYIP (KRİTİK)",IF($L574&gt;=TtkUcteBirEsik,"1/3 KAYIP (DİKKAT)","UYGUN")))))</f>
        <v/>
      </c>
    </row>
    <row r="575" customFormat="false" ht="15" hidden="false" customHeight="false" outlineLevel="0" collapsed="false">
      <c r="A575" s="21"/>
      <c r="B575" s="17"/>
      <c r="C575" s="17"/>
      <c r="D575" s="17"/>
      <c r="E575" s="17"/>
      <c r="F575" s="17"/>
      <c r="G575" s="17"/>
      <c r="H575" s="17"/>
      <c r="I575" s="17"/>
      <c r="J575" s="18" t="str">
        <f aca="false">IF($A575="","",$B575+$C575+$D575-$E575+$F575-$G575)</f>
        <v/>
      </c>
      <c r="K575" s="18" t="str">
        <f aca="false">IF($A575="","",MAX(0,$B575-$J575))</f>
        <v/>
      </c>
      <c r="L575" s="19" t="str">
        <f aca="false">IF($A575="","",IF($B575=0,0,$K575/$B575))</f>
        <v/>
      </c>
      <c r="M575" s="20" t="str">
        <f aca="false">IF($A575="","",IF($J575&lt;0,"BORCA BATIK",IF($I575&lt;$H575,"BORCA BATIK",IF($L575&gt;=TtkUcteIkiEsik,"2/3 KAYIP (KRİTİK)",IF($L575&gt;=TtkUcteBirEsik,"1/3 KAYIP (DİKKAT)","UYGUN")))))</f>
        <v/>
      </c>
    </row>
    <row r="576" customFormat="false" ht="15" hidden="false" customHeight="false" outlineLevel="0" collapsed="false">
      <c r="A576" s="21"/>
      <c r="B576" s="17"/>
      <c r="C576" s="17"/>
      <c r="D576" s="17"/>
      <c r="E576" s="17"/>
      <c r="F576" s="17"/>
      <c r="G576" s="17"/>
      <c r="H576" s="17"/>
      <c r="I576" s="17"/>
      <c r="J576" s="18" t="str">
        <f aca="false">IF($A576="","",$B576+$C576+$D576-$E576+$F576-$G576)</f>
        <v/>
      </c>
      <c r="K576" s="18" t="str">
        <f aca="false">IF($A576="","",MAX(0,$B576-$J576))</f>
        <v/>
      </c>
      <c r="L576" s="19" t="str">
        <f aca="false">IF($A576="","",IF($B576=0,0,$K576/$B576))</f>
        <v/>
      </c>
      <c r="M576" s="20" t="str">
        <f aca="false">IF($A576="","",IF($J576&lt;0,"BORCA BATIK",IF($I576&lt;$H576,"BORCA BATIK",IF($L576&gt;=TtkUcteIkiEsik,"2/3 KAYIP (KRİTİK)",IF($L576&gt;=TtkUcteBirEsik,"1/3 KAYIP (DİKKAT)","UYGUN")))))</f>
        <v/>
      </c>
    </row>
    <row r="577" customFormat="false" ht="15" hidden="false" customHeight="false" outlineLevel="0" collapsed="false">
      <c r="A577" s="21"/>
      <c r="B577" s="17"/>
      <c r="C577" s="17"/>
      <c r="D577" s="17"/>
      <c r="E577" s="17"/>
      <c r="F577" s="17"/>
      <c r="G577" s="17"/>
      <c r="H577" s="17"/>
      <c r="I577" s="17"/>
      <c r="J577" s="18" t="str">
        <f aca="false">IF($A577="","",$B577+$C577+$D577-$E577+$F577-$G577)</f>
        <v/>
      </c>
      <c r="K577" s="18" t="str">
        <f aca="false">IF($A577="","",MAX(0,$B577-$J577))</f>
        <v/>
      </c>
      <c r="L577" s="19" t="str">
        <f aca="false">IF($A577="","",IF($B577=0,0,$K577/$B577))</f>
        <v/>
      </c>
      <c r="M577" s="20" t="str">
        <f aca="false">IF($A577="","",IF($J577&lt;0,"BORCA BATIK",IF($I577&lt;$H577,"BORCA BATIK",IF($L577&gt;=TtkUcteIkiEsik,"2/3 KAYIP (KRİTİK)",IF($L577&gt;=TtkUcteBirEsik,"1/3 KAYIP (DİKKAT)","UYGUN")))))</f>
        <v/>
      </c>
    </row>
    <row r="578" customFormat="false" ht="15" hidden="false" customHeight="false" outlineLevel="0" collapsed="false">
      <c r="A578" s="21"/>
      <c r="B578" s="17"/>
      <c r="C578" s="17"/>
      <c r="D578" s="17"/>
      <c r="E578" s="17"/>
      <c r="F578" s="17"/>
      <c r="G578" s="17"/>
      <c r="H578" s="17"/>
      <c r="I578" s="17"/>
      <c r="J578" s="18" t="str">
        <f aca="false">IF($A578="","",$B578+$C578+$D578-$E578+$F578-$G578)</f>
        <v/>
      </c>
      <c r="K578" s="18" t="str">
        <f aca="false">IF($A578="","",MAX(0,$B578-$J578))</f>
        <v/>
      </c>
      <c r="L578" s="19" t="str">
        <f aca="false">IF($A578="","",IF($B578=0,0,$K578/$B578))</f>
        <v/>
      </c>
      <c r="M578" s="20" t="str">
        <f aca="false">IF($A578="","",IF($J578&lt;0,"BORCA BATIK",IF($I578&lt;$H578,"BORCA BATIK",IF($L578&gt;=TtkUcteIkiEsik,"2/3 KAYIP (KRİTİK)",IF($L578&gt;=TtkUcteBirEsik,"1/3 KAYIP (DİKKAT)","UYGUN")))))</f>
        <v/>
      </c>
    </row>
    <row r="579" customFormat="false" ht="15" hidden="false" customHeight="false" outlineLevel="0" collapsed="false">
      <c r="A579" s="21"/>
      <c r="B579" s="17"/>
      <c r="C579" s="17"/>
      <c r="D579" s="17"/>
      <c r="E579" s="17"/>
      <c r="F579" s="17"/>
      <c r="G579" s="17"/>
      <c r="H579" s="17"/>
      <c r="I579" s="17"/>
      <c r="J579" s="18" t="str">
        <f aca="false">IF($A579="","",$B579+$C579+$D579-$E579+$F579-$G579)</f>
        <v/>
      </c>
      <c r="K579" s="18" t="str">
        <f aca="false">IF($A579="","",MAX(0,$B579-$J579))</f>
        <v/>
      </c>
      <c r="L579" s="19" t="str">
        <f aca="false">IF($A579="","",IF($B579=0,0,$K579/$B579))</f>
        <v/>
      </c>
      <c r="M579" s="20" t="str">
        <f aca="false">IF($A579="","",IF($J579&lt;0,"BORCA BATIK",IF($I579&lt;$H579,"BORCA BATIK",IF($L579&gt;=TtkUcteIkiEsik,"2/3 KAYIP (KRİTİK)",IF($L579&gt;=TtkUcteBirEsik,"1/3 KAYIP (DİKKAT)","UYGUN")))))</f>
        <v/>
      </c>
    </row>
    <row r="580" customFormat="false" ht="15" hidden="false" customHeight="false" outlineLevel="0" collapsed="false">
      <c r="A580" s="21"/>
      <c r="B580" s="17"/>
      <c r="C580" s="17"/>
      <c r="D580" s="17"/>
      <c r="E580" s="17"/>
      <c r="F580" s="17"/>
      <c r="G580" s="17"/>
      <c r="H580" s="17"/>
      <c r="I580" s="17"/>
      <c r="J580" s="18" t="str">
        <f aca="false">IF($A580="","",$B580+$C580+$D580-$E580+$F580-$G580)</f>
        <v/>
      </c>
      <c r="K580" s="18" t="str">
        <f aca="false">IF($A580="","",MAX(0,$B580-$J580))</f>
        <v/>
      </c>
      <c r="L580" s="19" t="str">
        <f aca="false">IF($A580="","",IF($B580=0,0,$K580/$B580))</f>
        <v/>
      </c>
      <c r="M580" s="20" t="str">
        <f aca="false">IF($A580="","",IF($J580&lt;0,"BORCA BATIK",IF($I580&lt;$H580,"BORCA BATIK",IF($L580&gt;=TtkUcteIkiEsik,"2/3 KAYIP (KRİTİK)",IF($L580&gt;=TtkUcteBirEsik,"1/3 KAYIP (DİKKAT)","UYGUN")))))</f>
        <v/>
      </c>
    </row>
    <row r="581" customFormat="false" ht="15" hidden="false" customHeight="false" outlineLevel="0" collapsed="false">
      <c r="A581" s="21"/>
      <c r="B581" s="17"/>
      <c r="C581" s="17"/>
      <c r="D581" s="17"/>
      <c r="E581" s="17"/>
      <c r="F581" s="17"/>
      <c r="G581" s="17"/>
      <c r="H581" s="17"/>
      <c r="I581" s="17"/>
      <c r="J581" s="18" t="str">
        <f aca="false">IF($A581="","",$B581+$C581+$D581-$E581+$F581-$G581)</f>
        <v/>
      </c>
      <c r="K581" s="18" t="str">
        <f aca="false">IF($A581="","",MAX(0,$B581-$J581))</f>
        <v/>
      </c>
      <c r="L581" s="19" t="str">
        <f aca="false">IF($A581="","",IF($B581=0,0,$K581/$B581))</f>
        <v/>
      </c>
      <c r="M581" s="20" t="str">
        <f aca="false">IF($A581="","",IF($J581&lt;0,"BORCA BATIK",IF($I581&lt;$H581,"BORCA BATIK",IF($L581&gt;=TtkUcteIkiEsik,"2/3 KAYIP (KRİTİK)",IF($L581&gt;=TtkUcteBirEsik,"1/3 KAYIP (DİKKAT)","UYGUN")))))</f>
        <v/>
      </c>
    </row>
    <row r="582" customFormat="false" ht="15" hidden="false" customHeight="false" outlineLevel="0" collapsed="false">
      <c r="A582" s="21"/>
      <c r="B582" s="17"/>
      <c r="C582" s="17"/>
      <c r="D582" s="17"/>
      <c r="E582" s="17"/>
      <c r="F582" s="17"/>
      <c r="G582" s="17"/>
      <c r="H582" s="17"/>
      <c r="I582" s="17"/>
      <c r="J582" s="18" t="str">
        <f aca="false">IF($A582="","",$B582+$C582+$D582-$E582+$F582-$G582)</f>
        <v/>
      </c>
      <c r="K582" s="18" t="str">
        <f aca="false">IF($A582="","",MAX(0,$B582-$J582))</f>
        <v/>
      </c>
      <c r="L582" s="19" t="str">
        <f aca="false">IF($A582="","",IF($B582=0,0,$K582/$B582))</f>
        <v/>
      </c>
      <c r="M582" s="20" t="str">
        <f aca="false">IF($A582="","",IF($J582&lt;0,"BORCA BATIK",IF($I582&lt;$H582,"BORCA BATIK",IF($L582&gt;=TtkUcteIkiEsik,"2/3 KAYIP (KRİTİK)",IF($L582&gt;=TtkUcteBirEsik,"1/3 KAYIP (DİKKAT)","UYGUN")))))</f>
        <v/>
      </c>
    </row>
    <row r="583" customFormat="false" ht="15" hidden="false" customHeight="false" outlineLevel="0" collapsed="false">
      <c r="A583" s="21"/>
      <c r="B583" s="17"/>
      <c r="C583" s="17"/>
      <c r="D583" s="17"/>
      <c r="E583" s="17"/>
      <c r="F583" s="17"/>
      <c r="G583" s="17"/>
      <c r="H583" s="17"/>
      <c r="I583" s="17"/>
      <c r="J583" s="18" t="str">
        <f aca="false">IF($A583="","",$B583+$C583+$D583-$E583+$F583-$G583)</f>
        <v/>
      </c>
      <c r="K583" s="18" t="str">
        <f aca="false">IF($A583="","",MAX(0,$B583-$J583))</f>
        <v/>
      </c>
      <c r="L583" s="19" t="str">
        <f aca="false">IF($A583="","",IF($B583=0,0,$K583/$B583))</f>
        <v/>
      </c>
      <c r="M583" s="20" t="str">
        <f aca="false">IF($A583="","",IF($J583&lt;0,"BORCA BATIK",IF($I583&lt;$H583,"BORCA BATIK",IF($L583&gt;=TtkUcteIkiEsik,"2/3 KAYIP (KRİTİK)",IF($L583&gt;=TtkUcteBirEsik,"1/3 KAYIP (DİKKAT)","UYGUN")))))</f>
        <v/>
      </c>
    </row>
    <row r="584" customFormat="false" ht="15" hidden="false" customHeight="false" outlineLevel="0" collapsed="false">
      <c r="A584" s="21"/>
      <c r="B584" s="17"/>
      <c r="C584" s="17"/>
      <c r="D584" s="17"/>
      <c r="E584" s="17"/>
      <c r="F584" s="17"/>
      <c r="G584" s="17"/>
      <c r="H584" s="17"/>
      <c r="I584" s="17"/>
      <c r="J584" s="18" t="str">
        <f aca="false">IF($A584="","",$B584+$C584+$D584-$E584+$F584-$G584)</f>
        <v/>
      </c>
      <c r="K584" s="18" t="str">
        <f aca="false">IF($A584="","",MAX(0,$B584-$J584))</f>
        <v/>
      </c>
      <c r="L584" s="19" t="str">
        <f aca="false">IF($A584="","",IF($B584=0,0,$K584/$B584))</f>
        <v/>
      </c>
      <c r="M584" s="20" t="str">
        <f aca="false">IF($A584="","",IF($J584&lt;0,"BORCA BATIK",IF($I584&lt;$H584,"BORCA BATIK",IF($L584&gt;=TtkUcteIkiEsik,"2/3 KAYIP (KRİTİK)",IF($L584&gt;=TtkUcteBirEsik,"1/3 KAYIP (DİKKAT)","UYGUN")))))</f>
        <v/>
      </c>
    </row>
    <row r="585" customFormat="false" ht="15" hidden="false" customHeight="false" outlineLevel="0" collapsed="false">
      <c r="A585" s="21"/>
      <c r="B585" s="17"/>
      <c r="C585" s="17"/>
      <c r="D585" s="17"/>
      <c r="E585" s="17"/>
      <c r="F585" s="17"/>
      <c r="G585" s="17"/>
      <c r="H585" s="17"/>
      <c r="I585" s="17"/>
      <c r="J585" s="18" t="str">
        <f aca="false">IF($A585="","",$B585+$C585+$D585-$E585+$F585-$G585)</f>
        <v/>
      </c>
      <c r="K585" s="18" t="str">
        <f aca="false">IF($A585="","",MAX(0,$B585-$J585))</f>
        <v/>
      </c>
      <c r="L585" s="19" t="str">
        <f aca="false">IF($A585="","",IF($B585=0,0,$K585/$B585))</f>
        <v/>
      </c>
      <c r="M585" s="20" t="str">
        <f aca="false">IF($A585="","",IF($J585&lt;0,"BORCA BATIK",IF($I585&lt;$H585,"BORCA BATIK",IF($L585&gt;=TtkUcteIkiEsik,"2/3 KAYIP (KRİTİK)",IF($L585&gt;=TtkUcteBirEsik,"1/3 KAYIP (DİKKAT)","UYGUN")))))</f>
        <v/>
      </c>
    </row>
    <row r="586" customFormat="false" ht="15" hidden="false" customHeight="false" outlineLevel="0" collapsed="false">
      <c r="A586" s="21"/>
      <c r="B586" s="17"/>
      <c r="C586" s="17"/>
      <c r="D586" s="17"/>
      <c r="E586" s="17"/>
      <c r="F586" s="17"/>
      <c r="G586" s="17"/>
      <c r="H586" s="17"/>
      <c r="I586" s="17"/>
      <c r="J586" s="18" t="str">
        <f aca="false">IF($A586="","",$B586+$C586+$D586-$E586+$F586-$G586)</f>
        <v/>
      </c>
      <c r="K586" s="18" t="str">
        <f aca="false">IF($A586="","",MAX(0,$B586-$J586))</f>
        <v/>
      </c>
      <c r="L586" s="19" t="str">
        <f aca="false">IF($A586="","",IF($B586=0,0,$K586/$B586))</f>
        <v/>
      </c>
      <c r="M586" s="20" t="str">
        <f aca="false">IF($A586="","",IF($J586&lt;0,"BORCA BATIK",IF($I586&lt;$H586,"BORCA BATIK",IF($L586&gt;=TtkUcteIkiEsik,"2/3 KAYIP (KRİTİK)",IF($L586&gt;=TtkUcteBirEsik,"1/3 KAYIP (DİKKAT)","UYGUN")))))</f>
        <v/>
      </c>
    </row>
    <row r="587" customFormat="false" ht="15" hidden="false" customHeight="false" outlineLevel="0" collapsed="false">
      <c r="A587" s="21"/>
      <c r="B587" s="17"/>
      <c r="C587" s="17"/>
      <c r="D587" s="17"/>
      <c r="E587" s="17"/>
      <c r="F587" s="17"/>
      <c r="G587" s="17"/>
      <c r="H587" s="17"/>
      <c r="I587" s="17"/>
      <c r="J587" s="18" t="str">
        <f aca="false">IF($A587="","",$B587+$C587+$D587-$E587+$F587-$G587)</f>
        <v/>
      </c>
      <c r="K587" s="18" t="str">
        <f aca="false">IF($A587="","",MAX(0,$B587-$J587))</f>
        <v/>
      </c>
      <c r="L587" s="19" t="str">
        <f aca="false">IF($A587="","",IF($B587=0,0,$K587/$B587))</f>
        <v/>
      </c>
      <c r="M587" s="20" t="str">
        <f aca="false">IF($A587="","",IF($J587&lt;0,"BORCA BATIK",IF($I587&lt;$H587,"BORCA BATIK",IF($L587&gt;=TtkUcteIkiEsik,"2/3 KAYIP (KRİTİK)",IF($L587&gt;=TtkUcteBirEsik,"1/3 KAYIP (DİKKAT)","UYGUN")))))</f>
        <v/>
      </c>
    </row>
    <row r="588" customFormat="false" ht="15" hidden="false" customHeight="false" outlineLevel="0" collapsed="false">
      <c r="A588" s="21"/>
      <c r="B588" s="17"/>
      <c r="C588" s="17"/>
      <c r="D588" s="17"/>
      <c r="E588" s="17"/>
      <c r="F588" s="17"/>
      <c r="G588" s="17"/>
      <c r="H588" s="17"/>
      <c r="I588" s="17"/>
      <c r="J588" s="18" t="str">
        <f aca="false">IF($A588="","",$B588+$C588+$D588-$E588+$F588-$G588)</f>
        <v/>
      </c>
      <c r="K588" s="18" t="str">
        <f aca="false">IF($A588="","",MAX(0,$B588-$J588))</f>
        <v/>
      </c>
      <c r="L588" s="19" t="str">
        <f aca="false">IF($A588="","",IF($B588=0,0,$K588/$B588))</f>
        <v/>
      </c>
      <c r="M588" s="20" t="str">
        <f aca="false">IF($A588="","",IF($J588&lt;0,"BORCA BATIK",IF($I588&lt;$H588,"BORCA BATIK",IF($L588&gt;=TtkUcteIkiEsik,"2/3 KAYIP (KRİTİK)",IF($L588&gt;=TtkUcteBirEsik,"1/3 KAYIP (DİKKAT)","UYGUN")))))</f>
        <v/>
      </c>
    </row>
    <row r="589" customFormat="false" ht="15" hidden="false" customHeight="false" outlineLevel="0" collapsed="false">
      <c r="A589" s="21"/>
      <c r="B589" s="17"/>
      <c r="C589" s="17"/>
      <c r="D589" s="17"/>
      <c r="E589" s="17"/>
      <c r="F589" s="17"/>
      <c r="G589" s="17"/>
      <c r="H589" s="17"/>
      <c r="I589" s="17"/>
      <c r="J589" s="18" t="str">
        <f aca="false">IF($A589="","",$B589+$C589+$D589-$E589+$F589-$G589)</f>
        <v/>
      </c>
      <c r="K589" s="18" t="str">
        <f aca="false">IF($A589="","",MAX(0,$B589-$J589))</f>
        <v/>
      </c>
      <c r="L589" s="19" t="str">
        <f aca="false">IF($A589="","",IF($B589=0,0,$K589/$B589))</f>
        <v/>
      </c>
      <c r="M589" s="20" t="str">
        <f aca="false">IF($A589="","",IF($J589&lt;0,"BORCA BATIK",IF($I589&lt;$H589,"BORCA BATIK",IF($L589&gt;=TtkUcteIkiEsik,"2/3 KAYIP (KRİTİK)",IF($L589&gt;=TtkUcteBirEsik,"1/3 KAYIP (DİKKAT)","UYGUN")))))</f>
        <v/>
      </c>
    </row>
    <row r="590" customFormat="false" ht="15" hidden="false" customHeight="false" outlineLevel="0" collapsed="false">
      <c r="A590" s="21"/>
      <c r="B590" s="17"/>
      <c r="C590" s="17"/>
      <c r="D590" s="17"/>
      <c r="E590" s="17"/>
      <c r="F590" s="17"/>
      <c r="G590" s="17"/>
      <c r="H590" s="17"/>
      <c r="I590" s="17"/>
      <c r="J590" s="18" t="str">
        <f aca="false">IF($A590="","",$B590+$C590+$D590-$E590+$F590-$G590)</f>
        <v/>
      </c>
      <c r="K590" s="18" t="str">
        <f aca="false">IF($A590="","",MAX(0,$B590-$J590))</f>
        <v/>
      </c>
      <c r="L590" s="19" t="str">
        <f aca="false">IF($A590="","",IF($B590=0,0,$K590/$B590))</f>
        <v/>
      </c>
      <c r="M590" s="20" t="str">
        <f aca="false">IF($A590="","",IF($J590&lt;0,"BORCA BATIK",IF($I590&lt;$H590,"BORCA BATIK",IF($L590&gt;=TtkUcteIkiEsik,"2/3 KAYIP (KRİTİK)",IF($L590&gt;=TtkUcteBirEsik,"1/3 KAYIP (DİKKAT)","UYGUN")))))</f>
        <v/>
      </c>
    </row>
    <row r="591" customFormat="false" ht="15" hidden="false" customHeight="false" outlineLevel="0" collapsed="false">
      <c r="A591" s="21"/>
      <c r="B591" s="17"/>
      <c r="C591" s="17"/>
      <c r="D591" s="17"/>
      <c r="E591" s="17"/>
      <c r="F591" s="17"/>
      <c r="G591" s="17"/>
      <c r="H591" s="17"/>
      <c r="I591" s="17"/>
      <c r="J591" s="18" t="str">
        <f aca="false">IF($A591="","",$B591+$C591+$D591-$E591+$F591-$G591)</f>
        <v/>
      </c>
      <c r="K591" s="18" t="str">
        <f aca="false">IF($A591="","",MAX(0,$B591-$J591))</f>
        <v/>
      </c>
      <c r="L591" s="19" t="str">
        <f aca="false">IF($A591="","",IF($B591=0,0,$K591/$B591))</f>
        <v/>
      </c>
      <c r="M591" s="20" t="str">
        <f aca="false">IF($A591="","",IF($J591&lt;0,"BORCA BATIK",IF($I591&lt;$H591,"BORCA BATIK",IF($L591&gt;=TtkUcteIkiEsik,"2/3 KAYIP (KRİTİK)",IF($L591&gt;=TtkUcteBirEsik,"1/3 KAYIP (DİKKAT)","UYGUN")))))</f>
        <v/>
      </c>
    </row>
    <row r="592" customFormat="false" ht="15" hidden="false" customHeight="false" outlineLevel="0" collapsed="false">
      <c r="A592" s="21"/>
      <c r="B592" s="17"/>
      <c r="C592" s="17"/>
      <c r="D592" s="17"/>
      <c r="E592" s="17"/>
      <c r="F592" s="17"/>
      <c r="G592" s="17"/>
      <c r="H592" s="17"/>
      <c r="I592" s="17"/>
      <c r="J592" s="18" t="str">
        <f aca="false">IF($A592="","",$B592+$C592+$D592-$E592+$F592-$G592)</f>
        <v/>
      </c>
      <c r="K592" s="18" t="str">
        <f aca="false">IF($A592="","",MAX(0,$B592-$J592))</f>
        <v/>
      </c>
      <c r="L592" s="19" t="str">
        <f aca="false">IF($A592="","",IF($B592=0,0,$K592/$B592))</f>
        <v/>
      </c>
      <c r="M592" s="20" t="str">
        <f aca="false">IF($A592="","",IF($J592&lt;0,"BORCA BATIK",IF($I592&lt;$H592,"BORCA BATIK",IF($L592&gt;=TtkUcteIkiEsik,"2/3 KAYIP (KRİTİK)",IF($L592&gt;=TtkUcteBirEsik,"1/3 KAYIP (DİKKAT)","UYGUN")))))</f>
        <v/>
      </c>
    </row>
    <row r="593" customFormat="false" ht="15" hidden="false" customHeight="false" outlineLevel="0" collapsed="false">
      <c r="A593" s="21"/>
      <c r="B593" s="17"/>
      <c r="C593" s="17"/>
      <c r="D593" s="17"/>
      <c r="E593" s="17"/>
      <c r="F593" s="17"/>
      <c r="G593" s="17"/>
      <c r="H593" s="17"/>
      <c r="I593" s="17"/>
      <c r="J593" s="18" t="str">
        <f aca="false">IF($A593="","",$B593+$C593+$D593-$E593+$F593-$G593)</f>
        <v/>
      </c>
      <c r="K593" s="18" t="str">
        <f aca="false">IF($A593="","",MAX(0,$B593-$J593))</f>
        <v/>
      </c>
      <c r="L593" s="19" t="str">
        <f aca="false">IF($A593="","",IF($B593=0,0,$K593/$B593))</f>
        <v/>
      </c>
      <c r="M593" s="20" t="str">
        <f aca="false">IF($A593="","",IF($J593&lt;0,"BORCA BATIK",IF($I593&lt;$H593,"BORCA BATIK",IF($L593&gt;=TtkUcteIkiEsik,"2/3 KAYIP (KRİTİK)",IF($L593&gt;=TtkUcteBirEsik,"1/3 KAYIP (DİKKAT)","UYGUN")))))</f>
        <v/>
      </c>
    </row>
    <row r="594" customFormat="false" ht="15" hidden="false" customHeight="false" outlineLevel="0" collapsed="false">
      <c r="A594" s="21"/>
      <c r="B594" s="17"/>
      <c r="C594" s="17"/>
      <c r="D594" s="17"/>
      <c r="E594" s="17"/>
      <c r="F594" s="17"/>
      <c r="G594" s="17"/>
      <c r="H594" s="17"/>
      <c r="I594" s="17"/>
      <c r="J594" s="18" t="str">
        <f aca="false">IF($A594="","",$B594+$C594+$D594-$E594+$F594-$G594)</f>
        <v/>
      </c>
      <c r="K594" s="18" t="str">
        <f aca="false">IF($A594="","",MAX(0,$B594-$J594))</f>
        <v/>
      </c>
      <c r="L594" s="19" t="str">
        <f aca="false">IF($A594="","",IF($B594=0,0,$K594/$B594))</f>
        <v/>
      </c>
      <c r="M594" s="20" t="str">
        <f aca="false">IF($A594="","",IF($J594&lt;0,"BORCA BATIK",IF($I594&lt;$H594,"BORCA BATIK",IF($L594&gt;=TtkUcteIkiEsik,"2/3 KAYIP (KRİTİK)",IF($L594&gt;=TtkUcteBirEsik,"1/3 KAYIP (DİKKAT)","UYGUN")))))</f>
        <v/>
      </c>
    </row>
    <row r="595" customFormat="false" ht="15" hidden="false" customHeight="false" outlineLevel="0" collapsed="false">
      <c r="A595" s="21"/>
      <c r="B595" s="17"/>
      <c r="C595" s="17"/>
      <c r="D595" s="17"/>
      <c r="E595" s="17"/>
      <c r="F595" s="17"/>
      <c r="G595" s="17"/>
      <c r="H595" s="17"/>
      <c r="I595" s="17"/>
      <c r="J595" s="18" t="str">
        <f aca="false">IF($A595="","",$B595+$C595+$D595-$E595+$F595-$G595)</f>
        <v/>
      </c>
      <c r="K595" s="18" t="str">
        <f aca="false">IF($A595="","",MAX(0,$B595-$J595))</f>
        <v/>
      </c>
      <c r="L595" s="19" t="str">
        <f aca="false">IF($A595="","",IF($B595=0,0,$K595/$B595))</f>
        <v/>
      </c>
      <c r="M595" s="20" t="str">
        <f aca="false">IF($A595="","",IF($J595&lt;0,"BORCA BATIK",IF($I595&lt;$H595,"BORCA BATIK",IF($L595&gt;=TtkUcteIkiEsik,"2/3 KAYIP (KRİTİK)",IF($L595&gt;=TtkUcteBirEsik,"1/3 KAYIP (DİKKAT)","UYGUN")))))</f>
        <v/>
      </c>
    </row>
    <row r="596" customFormat="false" ht="15" hidden="false" customHeight="false" outlineLevel="0" collapsed="false">
      <c r="A596" s="21"/>
      <c r="B596" s="17"/>
      <c r="C596" s="17"/>
      <c r="D596" s="17"/>
      <c r="E596" s="17"/>
      <c r="F596" s="17"/>
      <c r="G596" s="17"/>
      <c r="H596" s="17"/>
      <c r="I596" s="17"/>
      <c r="J596" s="18" t="str">
        <f aca="false">IF($A596="","",$B596+$C596+$D596-$E596+$F596-$G596)</f>
        <v/>
      </c>
      <c r="K596" s="18" t="str">
        <f aca="false">IF($A596="","",MAX(0,$B596-$J596))</f>
        <v/>
      </c>
      <c r="L596" s="19" t="str">
        <f aca="false">IF($A596="","",IF($B596=0,0,$K596/$B596))</f>
        <v/>
      </c>
      <c r="M596" s="20" t="str">
        <f aca="false">IF($A596="","",IF($J596&lt;0,"BORCA BATIK",IF($I596&lt;$H596,"BORCA BATIK",IF($L596&gt;=TtkUcteIkiEsik,"2/3 KAYIP (KRİTİK)",IF($L596&gt;=TtkUcteBirEsik,"1/3 KAYIP (DİKKAT)","UYGUN")))))</f>
        <v/>
      </c>
    </row>
    <row r="597" customFormat="false" ht="15" hidden="false" customHeight="false" outlineLevel="0" collapsed="false">
      <c r="A597" s="21"/>
      <c r="B597" s="17"/>
      <c r="C597" s="17"/>
      <c r="D597" s="17"/>
      <c r="E597" s="17"/>
      <c r="F597" s="17"/>
      <c r="G597" s="17"/>
      <c r="H597" s="17"/>
      <c r="I597" s="17"/>
      <c r="J597" s="18" t="str">
        <f aca="false">IF($A597="","",$B597+$C597+$D597-$E597+$F597-$G597)</f>
        <v/>
      </c>
      <c r="K597" s="18" t="str">
        <f aca="false">IF($A597="","",MAX(0,$B597-$J597))</f>
        <v/>
      </c>
      <c r="L597" s="19" t="str">
        <f aca="false">IF($A597="","",IF($B597=0,0,$K597/$B597))</f>
        <v/>
      </c>
      <c r="M597" s="20" t="str">
        <f aca="false">IF($A597="","",IF($J597&lt;0,"BORCA BATIK",IF($I597&lt;$H597,"BORCA BATIK",IF($L597&gt;=TtkUcteIkiEsik,"2/3 KAYIP (KRİTİK)",IF($L597&gt;=TtkUcteBirEsik,"1/3 KAYIP (DİKKAT)","UYGUN")))))</f>
        <v/>
      </c>
    </row>
    <row r="598" customFormat="false" ht="15" hidden="false" customHeight="false" outlineLevel="0" collapsed="false">
      <c r="A598" s="21"/>
      <c r="B598" s="17"/>
      <c r="C598" s="17"/>
      <c r="D598" s="17"/>
      <c r="E598" s="17"/>
      <c r="F598" s="17"/>
      <c r="G598" s="17"/>
      <c r="H598" s="17"/>
      <c r="I598" s="17"/>
      <c r="J598" s="18" t="str">
        <f aca="false">IF($A598="","",$B598+$C598+$D598-$E598+$F598-$G598)</f>
        <v/>
      </c>
      <c r="K598" s="18" t="str">
        <f aca="false">IF($A598="","",MAX(0,$B598-$J598))</f>
        <v/>
      </c>
      <c r="L598" s="19" t="str">
        <f aca="false">IF($A598="","",IF($B598=0,0,$K598/$B598))</f>
        <v/>
      </c>
      <c r="M598" s="20" t="str">
        <f aca="false">IF($A598="","",IF($J598&lt;0,"BORCA BATIK",IF($I598&lt;$H598,"BORCA BATIK",IF($L598&gt;=TtkUcteIkiEsik,"2/3 KAYIP (KRİTİK)",IF($L598&gt;=TtkUcteBirEsik,"1/3 KAYIP (DİKKAT)","UYGUN")))))</f>
        <v/>
      </c>
    </row>
    <row r="599" customFormat="false" ht="15" hidden="false" customHeight="false" outlineLevel="0" collapsed="false">
      <c r="A599" s="21"/>
      <c r="B599" s="17"/>
      <c r="C599" s="17"/>
      <c r="D599" s="17"/>
      <c r="E599" s="17"/>
      <c r="F599" s="17"/>
      <c r="G599" s="17"/>
      <c r="H599" s="17"/>
      <c r="I599" s="17"/>
      <c r="J599" s="18" t="str">
        <f aca="false">IF($A599="","",$B599+$C599+$D599-$E599+$F599-$G599)</f>
        <v/>
      </c>
      <c r="K599" s="18" t="str">
        <f aca="false">IF($A599="","",MAX(0,$B599-$J599))</f>
        <v/>
      </c>
      <c r="L599" s="19" t="str">
        <f aca="false">IF($A599="","",IF($B599=0,0,$K599/$B599))</f>
        <v/>
      </c>
      <c r="M599" s="20" t="str">
        <f aca="false">IF($A599="","",IF($J599&lt;0,"BORCA BATIK",IF($I599&lt;$H599,"BORCA BATIK",IF($L599&gt;=TtkUcteIkiEsik,"2/3 KAYIP (KRİTİK)",IF($L599&gt;=TtkUcteBirEsik,"1/3 KAYIP (DİKKAT)","UYGUN")))))</f>
        <v/>
      </c>
    </row>
    <row r="600" customFormat="false" ht="15" hidden="false" customHeight="false" outlineLevel="0" collapsed="false">
      <c r="A600" s="21"/>
      <c r="B600" s="17"/>
      <c r="C600" s="17"/>
      <c r="D600" s="17"/>
      <c r="E600" s="17"/>
      <c r="F600" s="17"/>
      <c r="G600" s="17"/>
      <c r="H600" s="17"/>
      <c r="I600" s="17"/>
      <c r="J600" s="18" t="str">
        <f aca="false">IF($A600="","",$B600+$C600+$D600-$E600+$F600-$G600)</f>
        <v/>
      </c>
      <c r="K600" s="18" t="str">
        <f aca="false">IF($A600="","",MAX(0,$B600-$J600))</f>
        <v/>
      </c>
      <c r="L600" s="19" t="str">
        <f aca="false">IF($A600="","",IF($B600=0,0,$K600/$B600))</f>
        <v/>
      </c>
      <c r="M600" s="20" t="str">
        <f aca="false">IF($A600="","",IF($J600&lt;0,"BORCA BATIK",IF($I600&lt;$H600,"BORCA BATIK",IF($L600&gt;=TtkUcteIkiEsik,"2/3 KAYIP (KRİTİK)",IF($L600&gt;=TtkUcteBirEsik,"1/3 KAYIP (DİKKAT)","UYGUN")))))</f>
        <v/>
      </c>
    </row>
    <row r="601" customFormat="false" ht="15" hidden="false" customHeight="false" outlineLevel="0" collapsed="false">
      <c r="A601" s="21"/>
      <c r="B601" s="17"/>
      <c r="C601" s="17"/>
      <c r="D601" s="17"/>
      <c r="E601" s="17"/>
      <c r="F601" s="17"/>
      <c r="G601" s="17"/>
      <c r="H601" s="17"/>
      <c r="I601" s="17"/>
      <c r="J601" s="18" t="str">
        <f aca="false">IF($A601="","",$B601+$C601+$D601-$E601+$F601-$G601)</f>
        <v/>
      </c>
      <c r="K601" s="18" t="str">
        <f aca="false">IF($A601="","",MAX(0,$B601-$J601))</f>
        <v/>
      </c>
      <c r="L601" s="19" t="str">
        <f aca="false">IF($A601="","",IF($B601=0,0,$K601/$B601))</f>
        <v/>
      </c>
      <c r="M601" s="20" t="str">
        <f aca="false">IF($A601="","",IF($J601&lt;0,"BORCA BATIK",IF($I601&lt;$H601,"BORCA BATIK",IF($L601&gt;=TtkUcteIkiEsik,"2/3 KAYIP (KRİTİK)",IF($L601&gt;=TtkUcteBirEsik,"1/3 KAYIP (DİKKAT)","UYGUN")))))</f>
        <v/>
      </c>
    </row>
    <row r="602" customFormat="false" ht="15" hidden="false" customHeight="false" outlineLevel="0" collapsed="false">
      <c r="A602" s="21"/>
      <c r="B602" s="17"/>
      <c r="C602" s="17"/>
      <c r="D602" s="17"/>
      <c r="E602" s="17"/>
      <c r="F602" s="17"/>
      <c r="G602" s="17"/>
      <c r="H602" s="17"/>
      <c r="I602" s="17"/>
      <c r="J602" s="18" t="str">
        <f aca="false">IF($A602="","",$B602+$C602+$D602-$E602+$F602-$G602)</f>
        <v/>
      </c>
      <c r="K602" s="18" t="str">
        <f aca="false">IF($A602="","",MAX(0,$B602-$J602))</f>
        <v/>
      </c>
      <c r="L602" s="19" t="str">
        <f aca="false">IF($A602="","",IF($B602=0,0,$K602/$B602))</f>
        <v/>
      </c>
      <c r="M602" s="20" t="str">
        <f aca="false">IF($A602="","",IF($J602&lt;0,"BORCA BATIK",IF($I602&lt;$H602,"BORCA BATIK",IF($L602&gt;=TtkUcteIkiEsik,"2/3 KAYIP (KRİTİK)",IF($L602&gt;=TtkUcteBirEsik,"1/3 KAYIP (DİKKAT)","UYGUN")))))</f>
        <v/>
      </c>
    </row>
    <row r="603" customFormat="false" ht="15" hidden="false" customHeight="false" outlineLevel="0" collapsed="false">
      <c r="A603" s="21"/>
      <c r="B603" s="17"/>
      <c r="C603" s="17"/>
      <c r="D603" s="17"/>
      <c r="E603" s="17"/>
      <c r="F603" s="17"/>
      <c r="G603" s="17"/>
      <c r="H603" s="17"/>
      <c r="I603" s="17"/>
      <c r="J603" s="18" t="str">
        <f aca="false">IF($A603="","",$B603+$C603+$D603-$E603+$F603-$G603)</f>
        <v/>
      </c>
      <c r="K603" s="18" t="str">
        <f aca="false">IF($A603="","",MAX(0,$B603-$J603))</f>
        <v/>
      </c>
      <c r="L603" s="19" t="str">
        <f aca="false">IF($A603="","",IF($B603=0,0,$K603/$B603))</f>
        <v/>
      </c>
      <c r="M603" s="20" t="str">
        <f aca="false">IF($A603="","",IF($J603&lt;0,"BORCA BATIK",IF($I603&lt;$H603,"BORCA BATIK",IF($L603&gt;=TtkUcteIkiEsik,"2/3 KAYIP (KRİTİK)",IF($L603&gt;=TtkUcteBirEsik,"1/3 KAYIP (DİKKAT)","UYGUN")))))</f>
        <v/>
      </c>
    </row>
    <row r="604" customFormat="false" ht="15" hidden="false" customHeight="false" outlineLevel="0" collapsed="false">
      <c r="A604" s="21"/>
      <c r="B604" s="17"/>
      <c r="C604" s="17"/>
      <c r="D604" s="17"/>
      <c r="E604" s="17"/>
      <c r="F604" s="17"/>
      <c r="G604" s="17"/>
      <c r="H604" s="17"/>
      <c r="I604" s="17"/>
      <c r="J604" s="18" t="str">
        <f aca="false">IF($A604="","",$B604+$C604+$D604-$E604+$F604-$G604)</f>
        <v/>
      </c>
      <c r="K604" s="18" t="str">
        <f aca="false">IF($A604="","",MAX(0,$B604-$J604))</f>
        <v/>
      </c>
      <c r="L604" s="19" t="str">
        <f aca="false">IF($A604="","",IF($B604=0,0,$K604/$B604))</f>
        <v/>
      </c>
      <c r="M604" s="20" t="str">
        <f aca="false">IF($A604="","",IF($J604&lt;0,"BORCA BATIK",IF($I604&lt;$H604,"BORCA BATIK",IF($L604&gt;=TtkUcteIkiEsik,"2/3 KAYIP (KRİTİK)",IF($L604&gt;=TtkUcteBirEsik,"1/3 KAYIP (DİKKAT)","UYGUN")))))</f>
        <v/>
      </c>
    </row>
    <row r="605" customFormat="false" ht="15" hidden="false" customHeight="false" outlineLevel="0" collapsed="false">
      <c r="A605" s="21"/>
      <c r="B605" s="17"/>
      <c r="C605" s="17"/>
      <c r="D605" s="17"/>
      <c r="E605" s="17"/>
      <c r="F605" s="17"/>
      <c r="G605" s="17"/>
      <c r="H605" s="17"/>
      <c r="I605" s="17"/>
      <c r="J605" s="18" t="str">
        <f aca="false">IF($A605="","",$B605+$C605+$D605-$E605+$F605-$G605)</f>
        <v/>
      </c>
      <c r="K605" s="18" t="str">
        <f aca="false">IF($A605="","",MAX(0,$B605-$J605))</f>
        <v/>
      </c>
      <c r="L605" s="19" t="str">
        <f aca="false">IF($A605="","",IF($B605=0,0,$K605/$B605))</f>
        <v/>
      </c>
      <c r="M605" s="20" t="str">
        <f aca="false">IF($A605="","",IF($J605&lt;0,"BORCA BATIK",IF($I605&lt;$H605,"BORCA BATIK",IF($L605&gt;=TtkUcteIkiEsik,"2/3 KAYIP (KRİTİK)",IF($L605&gt;=TtkUcteBirEsik,"1/3 KAYIP (DİKKAT)","UYGUN")))))</f>
        <v/>
      </c>
    </row>
    <row r="606" customFormat="false" ht="15" hidden="false" customHeight="false" outlineLevel="0" collapsed="false">
      <c r="A606" s="21"/>
      <c r="B606" s="17"/>
      <c r="C606" s="17"/>
      <c r="D606" s="17"/>
      <c r="E606" s="17"/>
      <c r="F606" s="17"/>
      <c r="G606" s="17"/>
      <c r="H606" s="17"/>
      <c r="I606" s="17"/>
      <c r="J606" s="18" t="str">
        <f aca="false">IF($A606="","",$B606+$C606+$D606-$E606+$F606-$G606)</f>
        <v/>
      </c>
      <c r="K606" s="18" t="str">
        <f aca="false">IF($A606="","",MAX(0,$B606-$J606))</f>
        <v/>
      </c>
      <c r="L606" s="19" t="str">
        <f aca="false">IF($A606="","",IF($B606=0,0,$K606/$B606))</f>
        <v/>
      </c>
      <c r="M606" s="20" t="str">
        <f aca="false">IF($A606="","",IF($J606&lt;0,"BORCA BATIK",IF($I606&lt;$H606,"BORCA BATIK",IF($L606&gt;=TtkUcteIkiEsik,"2/3 KAYIP (KRİTİK)",IF($L606&gt;=TtkUcteBirEsik,"1/3 KAYIP (DİKKAT)","UYGUN")))))</f>
        <v/>
      </c>
    </row>
    <row r="607" customFormat="false" ht="15" hidden="false" customHeight="false" outlineLevel="0" collapsed="false">
      <c r="A607" s="21"/>
      <c r="B607" s="17"/>
      <c r="C607" s="17"/>
      <c r="D607" s="17"/>
      <c r="E607" s="17"/>
      <c r="F607" s="17"/>
      <c r="G607" s="17"/>
      <c r="H607" s="17"/>
      <c r="I607" s="17"/>
      <c r="J607" s="18" t="str">
        <f aca="false">IF($A607="","",$B607+$C607+$D607-$E607+$F607-$G607)</f>
        <v/>
      </c>
      <c r="K607" s="18" t="str">
        <f aca="false">IF($A607="","",MAX(0,$B607-$J607))</f>
        <v/>
      </c>
      <c r="L607" s="19" t="str">
        <f aca="false">IF($A607="","",IF($B607=0,0,$K607/$B607))</f>
        <v/>
      </c>
      <c r="M607" s="20" t="str">
        <f aca="false">IF($A607="","",IF($J607&lt;0,"BORCA BATIK",IF($I607&lt;$H607,"BORCA BATIK",IF($L607&gt;=TtkUcteIkiEsik,"2/3 KAYIP (KRİTİK)",IF($L607&gt;=TtkUcteBirEsik,"1/3 KAYIP (DİKKAT)","UYGUN")))))</f>
        <v/>
      </c>
    </row>
    <row r="608" customFormat="false" ht="15" hidden="false" customHeight="false" outlineLevel="0" collapsed="false">
      <c r="A608" s="21"/>
      <c r="B608" s="17"/>
      <c r="C608" s="17"/>
      <c r="D608" s="17"/>
      <c r="E608" s="17"/>
      <c r="F608" s="17"/>
      <c r="G608" s="17"/>
      <c r="H608" s="17"/>
      <c r="I608" s="17"/>
      <c r="J608" s="18" t="str">
        <f aca="false">IF($A608="","",$B608+$C608+$D608-$E608+$F608-$G608)</f>
        <v/>
      </c>
      <c r="K608" s="18" t="str">
        <f aca="false">IF($A608="","",MAX(0,$B608-$J608))</f>
        <v/>
      </c>
      <c r="L608" s="19" t="str">
        <f aca="false">IF($A608="","",IF($B608=0,0,$K608/$B608))</f>
        <v/>
      </c>
      <c r="M608" s="20" t="str">
        <f aca="false">IF($A608="","",IF($J608&lt;0,"BORCA BATIK",IF($I608&lt;$H608,"BORCA BATIK",IF($L608&gt;=TtkUcteIkiEsik,"2/3 KAYIP (KRİTİK)",IF($L608&gt;=TtkUcteBirEsik,"1/3 KAYIP (DİKKAT)","UYGUN")))))</f>
        <v/>
      </c>
    </row>
    <row r="609" customFormat="false" ht="15" hidden="false" customHeight="false" outlineLevel="0" collapsed="false">
      <c r="A609" s="21"/>
      <c r="B609" s="17"/>
      <c r="C609" s="17"/>
      <c r="D609" s="17"/>
      <c r="E609" s="17"/>
      <c r="F609" s="17"/>
      <c r="G609" s="17"/>
      <c r="H609" s="17"/>
      <c r="I609" s="17"/>
      <c r="J609" s="18" t="str">
        <f aca="false">IF($A609="","",$B609+$C609+$D609-$E609+$F609-$G609)</f>
        <v/>
      </c>
      <c r="K609" s="18" t="str">
        <f aca="false">IF($A609="","",MAX(0,$B609-$J609))</f>
        <v/>
      </c>
      <c r="L609" s="19" t="str">
        <f aca="false">IF($A609="","",IF($B609=0,0,$K609/$B609))</f>
        <v/>
      </c>
      <c r="M609" s="20" t="str">
        <f aca="false">IF($A609="","",IF($J609&lt;0,"BORCA BATIK",IF($I609&lt;$H609,"BORCA BATIK",IF($L609&gt;=TtkUcteIkiEsik,"2/3 KAYIP (KRİTİK)",IF($L609&gt;=TtkUcteBirEsik,"1/3 KAYIP (DİKKAT)","UYGUN")))))</f>
        <v/>
      </c>
    </row>
    <row r="610" customFormat="false" ht="15" hidden="false" customHeight="false" outlineLevel="0" collapsed="false">
      <c r="A610" s="21"/>
      <c r="B610" s="17"/>
      <c r="C610" s="17"/>
      <c r="D610" s="17"/>
      <c r="E610" s="17"/>
      <c r="F610" s="17"/>
      <c r="G610" s="17"/>
      <c r="H610" s="17"/>
      <c r="I610" s="17"/>
      <c r="J610" s="18" t="str">
        <f aca="false">IF($A610="","",$B610+$C610+$D610-$E610+$F610-$G610)</f>
        <v/>
      </c>
      <c r="K610" s="18" t="str">
        <f aca="false">IF($A610="","",MAX(0,$B610-$J610))</f>
        <v/>
      </c>
      <c r="L610" s="19" t="str">
        <f aca="false">IF($A610="","",IF($B610=0,0,$K610/$B610))</f>
        <v/>
      </c>
      <c r="M610" s="20" t="str">
        <f aca="false">IF($A610="","",IF($J610&lt;0,"BORCA BATIK",IF($I610&lt;$H610,"BORCA BATIK",IF($L610&gt;=TtkUcteIkiEsik,"2/3 KAYIP (KRİTİK)",IF($L610&gt;=TtkUcteBirEsik,"1/3 KAYIP (DİKKAT)","UYGUN")))))</f>
        <v/>
      </c>
    </row>
    <row r="611" customFormat="false" ht="15" hidden="false" customHeight="false" outlineLevel="0" collapsed="false">
      <c r="A611" s="21"/>
      <c r="B611" s="17"/>
      <c r="C611" s="17"/>
      <c r="D611" s="17"/>
      <c r="E611" s="17"/>
      <c r="F611" s="17"/>
      <c r="G611" s="17"/>
      <c r="H611" s="17"/>
      <c r="I611" s="17"/>
      <c r="J611" s="18" t="str">
        <f aca="false">IF($A611="","",$B611+$C611+$D611-$E611+$F611-$G611)</f>
        <v/>
      </c>
      <c r="K611" s="18" t="str">
        <f aca="false">IF($A611="","",MAX(0,$B611-$J611))</f>
        <v/>
      </c>
      <c r="L611" s="19" t="str">
        <f aca="false">IF($A611="","",IF($B611=0,0,$K611/$B611))</f>
        <v/>
      </c>
      <c r="M611" s="20" t="str">
        <f aca="false">IF($A611="","",IF($J611&lt;0,"BORCA BATIK",IF($I611&lt;$H611,"BORCA BATIK",IF($L611&gt;=TtkUcteIkiEsik,"2/3 KAYIP (KRİTİK)",IF($L611&gt;=TtkUcteBirEsik,"1/3 KAYIP (DİKKAT)","UYGUN")))))</f>
        <v/>
      </c>
    </row>
    <row r="612" customFormat="false" ht="15" hidden="false" customHeight="false" outlineLevel="0" collapsed="false">
      <c r="A612" s="21"/>
      <c r="B612" s="17"/>
      <c r="C612" s="17"/>
      <c r="D612" s="17"/>
      <c r="E612" s="17"/>
      <c r="F612" s="17"/>
      <c r="G612" s="17"/>
      <c r="H612" s="17"/>
      <c r="I612" s="17"/>
      <c r="J612" s="18" t="str">
        <f aca="false">IF($A612="","",$B612+$C612+$D612-$E612+$F612-$G612)</f>
        <v/>
      </c>
      <c r="K612" s="18" t="str">
        <f aca="false">IF($A612="","",MAX(0,$B612-$J612))</f>
        <v/>
      </c>
      <c r="L612" s="19" t="str">
        <f aca="false">IF($A612="","",IF($B612=0,0,$K612/$B612))</f>
        <v/>
      </c>
      <c r="M612" s="20" t="str">
        <f aca="false">IF($A612="","",IF($J612&lt;0,"BORCA BATIK",IF($I612&lt;$H612,"BORCA BATIK",IF($L612&gt;=TtkUcteIkiEsik,"2/3 KAYIP (KRİTİK)",IF($L612&gt;=TtkUcteBirEsik,"1/3 KAYIP (DİKKAT)","UYGUN")))))</f>
        <v/>
      </c>
    </row>
    <row r="613" customFormat="false" ht="15" hidden="false" customHeight="false" outlineLevel="0" collapsed="false">
      <c r="A613" s="21"/>
      <c r="B613" s="17"/>
      <c r="C613" s="17"/>
      <c r="D613" s="17"/>
      <c r="E613" s="17"/>
      <c r="F613" s="17"/>
      <c r="G613" s="17"/>
      <c r="H613" s="17"/>
      <c r="I613" s="17"/>
      <c r="J613" s="18" t="str">
        <f aca="false">IF($A613="","",$B613+$C613+$D613-$E613+$F613-$G613)</f>
        <v/>
      </c>
      <c r="K613" s="18" t="str">
        <f aca="false">IF($A613="","",MAX(0,$B613-$J613))</f>
        <v/>
      </c>
      <c r="L613" s="19" t="str">
        <f aca="false">IF($A613="","",IF($B613=0,0,$K613/$B613))</f>
        <v/>
      </c>
      <c r="M613" s="20" t="str">
        <f aca="false">IF($A613="","",IF($J613&lt;0,"BORCA BATIK",IF($I613&lt;$H613,"BORCA BATIK",IF($L613&gt;=TtkUcteIkiEsik,"2/3 KAYIP (KRİTİK)",IF($L613&gt;=TtkUcteBirEsik,"1/3 KAYIP (DİKKAT)","UYGUN")))))</f>
        <v/>
      </c>
    </row>
    <row r="614" customFormat="false" ht="15" hidden="false" customHeight="false" outlineLevel="0" collapsed="false">
      <c r="A614" s="21"/>
      <c r="B614" s="17"/>
      <c r="C614" s="17"/>
      <c r="D614" s="17"/>
      <c r="E614" s="17"/>
      <c r="F614" s="17"/>
      <c r="G614" s="17"/>
      <c r="H614" s="17"/>
      <c r="I614" s="17"/>
      <c r="J614" s="18" t="str">
        <f aca="false">IF($A614="","",$B614+$C614+$D614-$E614+$F614-$G614)</f>
        <v/>
      </c>
      <c r="K614" s="18" t="str">
        <f aca="false">IF($A614="","",MAX(0,$B614-$J614))</f>
        <v/>
      </c>
      <c r="L614" s="19" t="str">
        <f aca="false">IF($A614="","",IF($B614=0,0,$K614/$B614))</f>
        <v/>
      </c>
      <c r="M614" s="20" t="str">
        <f aca="false">IF($A614="","",IF($J614&lt;0,"BORCA BATIK",IF($I614&lt;$H614,"BORCA BATIK",IF($L614&gt;=TtkUcteIkiEsik,"2/3 KAYIP (KRİTİK)",IF($L614&gt;=TtkUcteBirEsik,"1/3 KAYIP (DİKKAT)","UYGUN")))))</f>
        <v/>
      </c>
    </row>
    <row r="615" customFormat="false" ht="15" hidden="false" customHeight="false" outlineLevel="0" collapsed="false">
      <c r="A615" s="21"/>
      <c r="B615" s="17"/>
      <c r="C615" s="17"/>
      <c r="D615" s="17"/>
      <c r="E615" s="17"/>
      <c r="F615" s="17"/>
      <c r="G615" s="17"/>
      <c r="H615" s="17"/>
      <c r="I615" s="17"/>
      <c r="J615" s="18" t="str">
        <f aca="false">IF($A615="","",$B615+$C615+$D615-$E615+$F615-$G615)</f>
        <v/>
      </c>
      <c r="K615" s="18" t="str">
        <f aca="false">IF($A615="","",MAX(0,$B615-$J615))</f>
        <v/>
      </c>
      <c r="L615" s="19" t="str">
        <f aca="false">IF($A615="","",IF($B615=0,0,$K615/$B615))</f>
        <v/>
      </c>
      <c r="M615" s="20" t="str">
        <f aca="false">IF($A615="","",IF($J615&lt;0,"BORCA BATIK",IF($I615&lt;$H615,"BORCA BATIK",IF($L615&gt;=TtkUcteIkiEsik,"2/3 KAYIP (KRİTİK)",IF($L615&gt;=TtkUcteBirEsik,"1/3 KAYIP (DİKKAT)","UYGUN")))))</f>
        <v/>
      </c>
    </row>
    <row r="616" customFormat="false" ht="15" hidden="false" customHeight="false" outlineLevel="0" collapsed="false">
      <c r="A616" s="21"/>
      <c r="B616" s="17"/>
      <c r="C616" s="17"/>
      <c r="D616" s="17"/>
      <c r="E616" s="17"/>
      <c r="F616" s="17"/>
      <c r="G616" s="17"/>
      <c r="H616" s="17"/>
      <c r="I616" s="17"/>
      <c r="J616" s="18" t="str">
        <f aca="false">IF($A616="","",$B616+$C616+$D616-$E616+$F616-$G616)</f>
        <v/>
      </c>
      <c r="K616" s="18" t="str">
        <f aca="false">IF($A616="","",MAX(0,$B616-$J616))</f>
        <v/>
      </c>
      <c r="L616" s="19" t="str">
        <f aca="false">IF($A616="","",IF($B616=0,0,$K616/$B616))</f>
        <v/>
      </c>
      <c r="M616" s="20" t="str">
        <f aca="false">IF($A616="","",IF($J616&lt;0,"BORCA BATIK",IF($I616&lt;$H616,"BORCA BATIK",IF($L616&gt;=TtkUcteIkiEsik,"2/3 KAYIP (KRİTİK)",IF($L616&gt;=TtkUcteBirEsik,"1/3 KAYIP (DİKKAT)","UYGUN")))))</f>
        <v/>
      </c>
    </row>
    <row r="617" customFormat="false" ht="15" hidden="false" customHeight="false" outlineLevel="0" collapsed="false">
      <c r="A617" s="21"/>
      <c r="B617" s="17"/>
      <c r="C617" s="17"/>
      <c r="D617" s="17"/>
      <c r="E617" s="17"/>
      <c r="F617" s="17"/>
      <c r="G617" s="17"/>
      <c r="H617" s="17"/>
      <c r="I617" s="17"/>
      <c r="J617" s="18" t="str">
        <f aca="false">IF($A617="","",$B617+$C617+$D617-$E617+$F617-$G617)</f>
        <v/>
      </c>
      <c r="K617" s="18" t="str">
        <f aca="false">IF($A617="","",MAX(0,$B617-$J617))</f>
        <v/>
      </c>
      <c r="L617" s="19" t="str">
        <f aca="false">IF($A617="","",IF($B617=0,0,$K617/$B617))</f>
        <v/>
      </c>
      <c r="M617" s="20" t="str">
        <f aca="false">IF($A617="","",IF($J617&lt;0,"BORCA BATIK",IF($I617&lt;$H617,"BORCA BATIK",IF($L617&gt;=TtkUcteIkiEsik,"2/3 KAYIP (KRİTİK)",IF($L617&gt;=TtkUcteBirEsik,"1/3 KAYIP (DİKKAT)","UYGUN")))))</f>
        <v/>
      </c>
    </row>
    <row r="618" customFormat="false" ht="15" hidden="false" customHeight="false" outlineLevel="0" collapsed="false">
      <c r="A618" s="21"/>
      <c r="B618" s="17"/>
      <c r="C618" s="17"/>
      <c r="D618" s="17"/>
      <c r="E618" s="17"/>
      <c r="F618" s="17"/>
      <c r="G618" s="17"/>
      <c r="H618" s="17"/>
      <c r="I618" s="17"/>
      <c r="J618" s="18" t="str">
        <f aca="false">IF($A618="","",$B618+$C618+$D618-$E618+$F618-$G618)</f>
        <v/>
      </c>
      <c r="K618" s="18" t="str">
        <f aca="false">IF($A618="","",MAX(0,$B618-$J618))</f>
        <v/>
      </c>
      <c r="L618" s="19" t="str">
        <f aca="false">IF($A618="","",IF($B618=0,0,$K618/$B618))</f>
        <v/>
      </c>
      <c r="M618" s="20" t="str">
        <f aca="false">IF($A618="","",IF($J618&lt;0,"BORCA BATIK",IF($I618&lt;$H618,"BORCA BATIK",IF($L618&gt;=TtkUcteIkiEsik,"2/3 KAYIP (KRİTİK)",IF($L618&gt;=TtkUcteBirEsik,"1/3 KAYIP (DİKKAT)","UYGUN")))))</f>
        <v/>
      </c>
    </row>
    <row r="619" customFormat="false" ht="15" hidden="false" customHeight="false" outlineLevel="0" collapsed="false">
      <c r="A619" s="21"/>
      <c r="B619" s="17"/>
      <c r="C619" s="17"/>
      <c r="D619" s="17"/>
      <c r="E619" s="17"/>
      <c r="F619" s="17"/>
      <c r="G619" s="17"/>
      <c r="H619" s="17"/>
      <c r="I619" s="17"/>
      <c r="J619" s="18" t="str">
        <f aca="false">IF($A619="","",$B619+$C619+$D619-$E619+$F619-$G619)</f>
        <v/>
      </c>
      <c r="K619" s="18" t="str">
        <f aca="false">IF($A619="","",MAX(0,$B619-$J619))</f>
        <v/>
      </c>
      <c r="L619" s="19" t="str">
        <f aca="false">IF($A619="","",IF($B619=0,0,$K619/$B619))</f>
        <v/>
      </c>
      <c r="M619" s="20" t="str">
        <f aca="false">IF($A619="","",IF($J619&lt;0,"BORCA BATIK",IF($I619&lt;$H619,"BORCA BATIK",IF($L619&gt;=TtkUcteIkiEsik,"2/3 KAYIP (KRİTİK)",IF($L619&gt;=TtkUcteBirEsik,"1/3 KAYIP (DİKKAT)","UYGUN")))))</f>
        <v/>
      </c>
    </row>
    <row r="620" customFormat="false" ht="15" hidden="false" customHeight="false" outlineLevel="0" collapsed="false">
      <c r="A620" s="21"/>
      <c r="B620" s="17"/>
      <c r="C620" s="17"/>
      <c r="D620" s="17"/>
      <c r="E620" s="17"/>
      <c r="F620" s="17"/>
      <c r="G620" s="17"/>
      <c r="H620" s="17"/>
      <c r="I620" s="17"/>
      <c r="J620" s="18" t="str">
        <f aca="false">IF($A620="","",$B620+$C620+$D620-$E620+$F620-$G620)</f>
        <v/>
      </c>
      <c r="K620" s="18" t="str">
        <f aca="false">IF($A620="","",MAX(0,$B620-$J620))</f>
        <v/>
      </c>
      <c r="L620" s="19" t="str">
        <f aca="false">IF($A620="","",IF($B620=0,0,$K620/$B620))</f>
        <v/>
      </c>
      <c r="M620" s="20" t="str">
        <f aca="false">IF($A620="","",IF($J620&lt;0,"BORCA BATIK",IF($I620&lt;$H620,"BORCA BATIK",IF($L620&gt;=TtkUcteIkiEsik,"2/3 KAYIP (KRİTİK)",IF($L620&gt;=TtkUcteBirEsik,"1/3 KAYIP (DİKKAT)","UYGUN")))))</f>
        <v/>
      </c>
    </row>
    <row r="621" customFormat="false" ht="15" hidden="false" customHeight="false" outlineLevel="0" collapsed="false">
      <c r="A621" s="21"/>
      <c r="B621" s="17"/>
      <c r="C621" s="17"/>
      <c r="D621" s="17"/>
      <c r="E621" s="17"/>
      <c r="F621" s="17"/>
      <c r="G621" s="17"/>
      <c r="H621" s="17"/>
      <c r="I621" s="17"/>
      <c r="J621" s="18" t="str">
        <f aca="false">IF($A621="","",$B621+$C621+$D621-$E621+$F621-$G621)</f>
        <v/>
      </c>
      <c r="K621" s="18" t="str">
        <f aca="false">IF($A621="","",MAX(0,$B621-$J621))</f>
        <v/>
      </c>
      <c r="L621" s="19" t="str">
        <f aca="false">IF($A621="","",IF($B621=0,0,$K621/$B621))</f>
        <v/>
      </c>
      <c r="M621" s="20" t="str">
        <f aca="false">IF($A621="","",IF($J621&lt;0,"BORCA BATIK",IF($I621&lt;$H621,"BORCA BATIK",IF($L621&gt;=TtkUcteIkiEsik,"2/3 KAYIP (KRİTİK)",IF($L621&gt;=TtkUcteBirEsik,"1/3 KAYIP (DİKKAT)","UYGUN")))))</f>
        <v/>
      </c>
    </row>
    <row r="622" customFormat="false" ht="15" hidden="false" customHeight="false" outlineLevel="0" collapsed="false">
      <c r="A622" s="21"/>
      <c r="B622" s="17"/>
      <c r="C622" s="17"/>
      <c r="D622" s="17"/>
      <c r="E622" s="17"/>
      <c r="F622" s="17"/>
      <c r="G622" s="17"/>
      <c r="H622" s="17"/>
      <c r="I622" s="17"/>
      <c r="J622" s="18" t="str">
        <f aca="false">IF($A622="","",$B622+$C622+$D622-$E622+$F622-$G622)</f>
        <v/>
      </c>
      <c r="K622" s="18" t="str">
        <f aca="false">IF($A622="","",MAX(0,$B622-$J622))</f>
        <v/>
      </c>
      <c r="L622" s="19" t="str">
        <f aca="false">IF($A622="","",IF($B622=0,0,$K622/$B622))</f>
        <v/>
      </c>
      <c r="M622" s="20" t="str">
        <f aca="false">IF($A622="","",IF($J622&lt;0,"BORCA BATIK",IF($I622&lt;$H622,"BORCA BATIK",IF($L622&gt;=TtkUcteIkiEsik,"2/3 KAYIP (KRİTİK)",IF($L622&gt;=TtkUcteBirEsik,"1/3 KAYIP (DİKKAT)","UYGUN")))))</f>
        <v/>
      </c>
    </row>
    <row r="623" customFormat="false" ht="15" hidden="false" customHeight="false" outlineLevel="0" collapsed="false">
      <c r="A623" s="21"/>
      <c r="B623" s="17"/>
      <c r="C623" s="17"/>
      <c r="D623" s="17"/>
      <c r="E623" s="17"/>
      <c r="F623" s="17"/>
      <c r="G623" s="17"/>
      <c r="H623" s="17"/>
      <c r="I623" s="17"/>
      <c r="J623" s="18" t="str">
        <f aca="false">IF($A623="","",$B623+$C623+$D623-$E623+$F623-$G623)</f>
        <v/>
      </c>
      <c r="K623" s="18" t="str">
        <f aca="false">IF($A623="","",MAX(0,$B623-$J623))</f>
        <v/>
      </c>
      <c r="L623" s="19" t="str">
        <f aca="false">IF($A623="","",IF($B623=0,0,$K623/$B623))</f>
        <v/>
      </c>
      <c r="M623" s="20" t="str">
        <f aca="false">IF($A623="","",IF($J623&lt;0,"BORCA BATIK",IF($I623&lt;$H623,"BORCA BATIK",IF($L623&gt;=TtkUcteIkiEsik,"2/3 KAYIP (KRİTİK)",IF($L623&gt;=TtkUcteBirEsik,"1/3 KAYIP (DİKKAT)","UYGUN")))))</f>
        <v/>
      </c>
    </row>
    <row r="624" customFormat="false" ht="15" hidden="false" customHeight="false" outlineLevel="0" collapsed="false">
      <c r="A624" s="21"/>
      <c r="B624" s="17"/>
      <c r="C624" s="17"/>
      <c r="D624" s="17"/>
      <c r="E624" s="17"/>
      <c r="F624" s="17"/>
      <c r="G624" s="17"/>
      <c r="H624" s="17"/>
      <c r="I624" s="17"/>
      <c r="J624" s="18" t="str">
        <f aca="false">IF($A624="","",$B624+$C624+$D624-$E624+$F624-$G624)</f>
        <v/>
      </c>
      <c r="K624" s="18" t="str">
        <f aca="false">IF($A624="","",MAX(0,$B624-$J624))</f>
        <v/>
      </c>
      <c r="L624" s="19" t="str">
        <f aca="false">IF($A624="","",IF($B624=0,0,$K624/$B624))</f>
        <v/>
      </c>
      <c r="M624" s="20" t="str">
        <f aca="false">IF($A624="","",IF($J624&lt;0,"BORCA BATIK",IF($I624&lt;$H624,"BORCA BATIK",IF($L624&gt;=TtkUcteIkiEsik,"2/3 KAYIP (KRİTİK)",IF($L624&gt;=TtkUcteBirEsik,"1/3 KAYIP (DİKKAT)","UYGUN")))))</f>
        <v/>
      </c>
    </row>
    <row r="625" customFormat="false" ht="15" hidden="false" customHeight="false" outlineLevel="0" collapsed="false">
      <c r="A625" s="21"/>
      <c r="B625" s="17"/>
      <c r="C625" s="17"/>
      <c r="D625" s="17"/>
      <c r="E625" s="17"/>
      <c r="F625" s="17"/>
      <c r="G625" s="17"/>
      <c r="H625" s="17"/>
      <c r="I625" s="17"/>
      <c r="J625" s="18" t="str">
        <f aca="false">IF($A625="","",$B625+$C625+$D625-$E625+$F625-$G625)</f>
        <v/>
      </c>
      <c r="K625" s="18" t="str">
        <f aca="false">IF($A625="","",MAX(0,$B625-$J625))</f>
        <v/>
      </c>
      <c r="L625" s="19" t="str">
        <f aca="false">IF($A625="","",IF($B625=0,0,$K625/$B625))</f>
        <v/>
      </c>
      <c r="M625" s="20" t="str">
        <f aca="false">IF($A625="","",IF($J625&lt;0,"BORCA BATIK",IF($I625&lt;$H625,"BORCA BATIK",IF($L625&gt;=TtkUcteIkiEsik,"2/3 KAYIP (KRİTİK)",IF($L625&gt;=TtkUcteBirEsik,"1/3 KAYIP (DİKKAT)","UYGUN")))))</f>
        <v/>
      </c>
    </row>
    <row r="626" customFormat="false" ht="15" hidden="false" customHeight="false" outlineLevel="0" collapsed="false">
      <c r="A626" s="21"/>
      <c r="B626" s="17"/>
      <c r="C626" s="17"/>
      <c r="D626" s="17"/>
      <c r="E626" s="17"/>
      <c r="F626" s="17"/>
      <c r="G626" s="17"/>
      <c r="H626" s="17"/>
      <c r="I626" s="17"/>
      <c r="J626" s="18" t="str">
        <f aca="false">IF($A626="","",$B626+$C626+$D626-$E626+$F626-$G626)</f>
        <v/>
      </c>
      <c r="K626" s="18" t="str">
        <f aca="false">IF($A626="","",MAX(0,$B626-$J626))</f>
        <v/>
      </c>
      <c r="L626" s="19" t="str">
        <f aca="false">IF($A626="","",IF($B626=0,0,$K626/$B626))</f>
        <v/>
      </c>
      <c r="M626" s="20" t="str">
        <f aca="false">IF($A626="","",IF($J626&lt;0,"BORCA BATIK",IF($I626&lt;$H626,"BORCA BATIK",IF($L626&gt;=TtkUcteIkiEsik,"2/3 KAYIP (KRİTİK)",IF($L626&gt;=TtkUcteBirEsik,"1/3 KAYIP (DİKKAT)","UYGUN")))))</f>
        <v/>
      </c>
    </row>
    <row r="627" customFormat="false" ht="15" hidden="false" customHeight="false" outlineLevel="0" collapsed="false">
      <c r="A627" s="21"/>
      <c r="B627" s="17"/>
      <c r="C627" s="17"/>
      <c r="D627" s="17"/>
      <c r="E627" s="17"/>
      <c r="F627" s="17"/>
      <c r="G627" s="17"/>
      <c r="H627" s="17"/>
      <c r="I627" s="17"/>
      <c r="J627" s="18" t="str">
        <f aca="false">IF($A627="","",$B627+$C627+$D627-$E627+$F627-$G627)</f>
        <v/>
      </c>
      <c r="K627" s="18" t="str">
        <f aca="false">IF($A627="","",MAX(0,$B627-$J627))</f>
        <v/>
      </c>
      <c r="L627" s="19" t="str">
        <f aca="false">IF($A627="","",IF($B627=0,0,$K627/$B627))</f>
        <v/>
      </c>
      <c r="M627" s="20" t="str">
        <f aca="false">IF($A627="","",IF($J627&lt;0,"BORCA BATIK",IF($I627&lt;$H627,"BORCA BATIK",IF($L627&gt;=TtkUcteIkiEsik,"2/3 KAYIP (KRİTİK)",IF($L627&gt;=TtkUcteBirEsik,"1/3 KAYIP (DİKKAT)","UYGUN")))))</f>
        <v/>
      </c>
    </row>
    <row r="628" customFormat="false" ht="15" hidden="false" customHeight="false" outlineLevel="0" collapsed="false">
      <c r="A628" s="21"/>
      <c r="B628" s="17"/>
      <c r="C628" s="17"/>
      <c r="D628" s="17"/>
      <c r="E628" s="17"/>
      <c r="F628" s="17"/>
      <c r="G628" s="17"/>
      <c r="H628" s="17"/>
      <c r="I628" s="17"/>
      <c r="J628" s="18" t="str">
        <f aca="false">IF($A628="","",$B628+$C628+$D628-$E628+$F628-$G628)</f>
        <v/>
      </c>
      <c r="K628" s="18" t="str">
        <f aca="false">IF($A628="","",MAX(0,$B628-$J628))</f>
        <v/>
      </c>
      <c r="L628" s="19" t="str">
        <f aca="false">IF($A628="","",IF($B628=0,0,$K628/$B628))</f>
        <v/>
      </c>
      <c r="M628" s="20" t="str">
        <f aca="false">IF($A628="","",IF($J628&lt;0,"BORCA BATIK",IF($I628&lt;$H628,"BORCA BATIK",IF($L628&gt;=TtkUcteIkiEsik,"2/3 KAYIP (KRİTİK)",IF($L628&gt;=TtkUcteBirEsik,"1/3 KAYIP (DİKKAT)","UYGUN")))))</f>
        <v/>
      </c>
    </row>
    <row r="629" customFormat="false" ht="15" hidden="false" customHeight="false" outlineLevel="0" collapsed="false">
      <c r="A629" s="21"/>
      <c r="B629" s="17"/>
      <c r="C629" s="17"/>
      <c r="D629" s="17"/>
      <c r="E629" s="17"/>
      <c r="F629" s="17"/>
      <c r="G629" s="17"/>
      <c r="H629" s="17"/>
      <c r="I629" s="17"/>
      <c r="J629" s="18" t="str">
        <f aca="false">IF($A629="","",$B629+$C629+$D629-$E629+$F629-$G629)</f>
        <v/>
      </c>
      <c r="K629" s="18" t="str">
        <f aca="false">IF($A629="","",MAX(0,$B629-$J629))</f>
        <v/>
      </c>
      <c r="L629" s="19" t="str">
        <f aca="false">IF($A629="","",IF($B629=0,0,$K629/$B629))</f>
        <v/>
      </c>
      <c r="M629" s="20" t="str">
        <f aca="false">IF($A629="","",IF($J629&lt;0,"BORCA BATIK",IF($I629&lt;$H629,"BORCA BATIK",IF($L629&gt;=TtkUcteIkiEsik,"2/3 KAYIP (KRİTİK)",IF($L629&gt;=TtkUcteBirEsik,"1/3 KAYIP (DİKKAT)","UYGUN")))))</f>
        <v/>
      </c>
    </row>
    <row r="630" customFormat="false" ht="15" hidden="false" customHeight="false" outlineLevel="0" collapsed="false">
      <c r="A630" s="21"/>
      <c r="B630" s="17"/>
      <c r="C630" s="17"/>
      <c r="D630" s="17"/>
      <c r="E630" s="17"/>
      <c r="F630" s="17"/>
      <c r="G630" s="17"/>
      <c r="H630" s="17"/>
      <c r="I630" s="17"/>
      <c r="J630" s="18" t="str">
        <f aca="false">IF($A630="","",$B630+$C630+$D630-$E630+$F630-$G630)</f>
        <v/>
      </c>
      <c r="K630" s="18" t="str">
        <f aca="false">IF($A630="","",MAX(0,$B630-$J630))</f>
        <v/>
      </c>
      <c r="L630" s="19" t="str">
        <f aca="false">IF($A630="","",IF($B630=0,0,$K630/$B630))</f>
        <v/>
      </c>
      <c r="M630" s="20" t="str">
        <f aca="false">IF($A630="","",IF($J630&lt;0,"BORCA BATIK",IF($I630&lt;$H630,"BORCA BATIK",IF($L630&gt;=TtkUcteIkiEsik,"2/3 KAYIP (KRİTİK)",IF($L630&gt;=TtkUcteBirEsik,"1/3 KAYIP (DİKKAT)","UYGUN")))))</f>
        <v/>
      </c>
    </row>
    <row r="631" customFormat="false" ht="15" hidden="false" customHeight="false" outlineLevel="0" collapsed="false">
      <c r="A631" s="21"/>
      <c r="B631" s="17"/>
      <c r="C631" s="17"/>
      <c r="D631" s="17"/>
      <c r="E631" s="17"/>
      <c r="F631" s="17"/>
      <c r="G631" s="17"/>
      <c r="H631" s="17"/>
      <c r="I631" s="17"/>
      <c r="J631" s="18" t="str">
        <f aca="false">IF($A631="","",$B631+$C631+$D631-$E631+$F631-$G631)</f>
        <v/>
      </c>
      <c r="K631" s="18" t="str">
        <f aca="false">IF($A631="","",MAX(0,$B631-$J631))</f>
        <v/>
      </c>
      <c r="L631" s="19" t="str">
        <f aca="false">IF($A631="","",IF($B631=0,0,$K631/$B631))</f>
        <v/>
      </c>
      <c r="M631" s="20" t="str">
        <f aca="false">IF($A631="","",IF($J631&lt;0,"BORCA BATIK",IF($I631&lt;$H631,"BORCA BATIK",IF($L631&gt;=TtkUcteIkiEsik,"2/3 KAYIP (KRİTİK)",IF($L631&gt;=TtkUcteBirEsik,"1/3 KAYIP (DİKKAT)","UYGUN")))))</f>
        <v/>
      </c>
    </row>
    <row r="632" customFormat="false" ht="15" hidden="false" customHeight="false" outlineLevel="0" collapsed="false">
      <c r="A632" s="21"/>
      <c r="B632" s="17"/>
      <c r="C632" s="17"/>
      <c r="D632" s="17"/>
      <c r="E632" s="17"/>
      <c r="F632" s="17"/>
      <c r="G632" s="17"/>
      <c r="H632" s="17"/>
      <c r="I632" s="17"/>
      <c r="J632" s="18" t="str">
        <f aca="false">IF($A632="","",$B632+$C632+$D632-$E632+$F632-$G632)</f>
        <v/>
      </c>
      <c r="K632" s="18" t="str">
        <f aca="false">IF($A632="","",MAX(0,$B632-$J632))</f>
        <v/>
      </c>
      <c r="L632" s="19" t="str">
        <f aca="false">IF($A632="","",IF($B632=0,0,$K632/$B632))</f>
        <v/>
      </c>
      <c r="M632" s="20" t="str">
        <f aca="false">IF($A632="","",IF($J632&lt;0,"BORCA BATIK",IF($I632&lt;$H632,"BORCA BATIK",IF($L632&gt;=TtkUcteIkiEsik,"2/3 KAYIP (KRİTİK)",IF($L632&gt;=TtkUcteBirEsik,"1/3 KAYIP (DİKKAT)","UYGUN")))))</f>
        <v/>
      </c>
    </row>
    <row r="633" customFormat="false" ht="15" hidden="false" customHeight="false" outlineLevel="0" collapsed="false">
      <c r="A633" s="21"/>
      <c r="B633" s="17"/>
      <c r="C633" s="17"/>
      <c r="D633" s="17"/>
      <c r="E633" s="17"/>
      <c r="F633" s="17"/>
      <c r="G633" s="17"/>
      <c r="H633" s="17"/>
      <c r="I633" s="17"/>
      <c r="J633" s="18" t="str">
        <f aca="false">IF($A633="","",$B633+$C633+$D633-$E633+$F633-$G633)</f>
        <v/>
      </c>
      <c r="K633" s="18" t="str">
        <f aca="false">IF($A633="","",MAX(0,$B633-$J633))</f>
        <v/>
      </c>
      <c r="L633" s="19" t="str">
        <f aca="false">IF($A633="","",IF($B633=0,0,$K633/$B633))</f>
        <v/>
      </c>
      <c r="M633" s="20" t="str">
        <f aca="false">IF($A633="","",IF($J633&lt;0,"BORCA BATIK",IF($I633&lt;$H633,"BORCA BATIK",IF($L633&gt;=TtkUcteIkiEsik,"2/3 KAYIP (KRİTİK)",IF($L633&gt;=TtkUcteBirEsik,"1/3 KAYIP (DİKKAT)","UYGUN")))))</f>
        <v/>
      </c>
    </row>
    <row r="634" customFormat="false" ht="15" hidden="false" customHeight="false" outlineLevel="0" collapsed="false">
      <c r="A634" s="21"/>
      <c r="B634" s="17"/>
      <c r="C634" s="17"/>
      <c r="D634" s="17"/>
      <c r="E634" s="17"/>
      <c r="F634" s="17"/>
      <c r="G634" s="17"/>
      <c r="H634" s="17"/>
      <c r="I634" s="17"/>
      <c r="J634" s="18" t="str">
        <f aca="false">IF($A634="","",$B634+$C634+$D634-$E634+$F634-$G634)</f>
        <v/>
      </c>
      <c r="K634" s="18" t="str">
        <f aca="false">IF($A634="","",MAX(0,$B634-$J634))</f>
        <v/>
      </c>
      <c r="L634" s="19" t="str">
        <f aca="false">IF($A634="","",IF($B634=0,0,$K634/$B634))</f>
        <v/>
      </c>
      <c r="M634" s="20" t="str">
        <f aca="false">IF($A634="","",IF($J634&lt;0,"BORCA BATIK",IF($I634&lt;$H634,"BORCA BATIK",IF($L634&gt;=TtkUcteIkiEsik,"2/3 KAYIP (KRİTİK)",IF($L634&gt;=TtkUcteBirEsik,"1/3 KAYIP (DİKKAT)","UYGUN")))))</f>
        <v/>
      </c>
    </row>
    <row r="635" customFormat="false" ht="15" hidden="false" customHeight="false" outlineLevel="0" collapsed="false">
      <c r="A635" s="21"/>
      <c r="B635" s="17"/>
      <c r="C635" s="17"/>
      <c r="D635" s="17"/>
      <c r="E635" s="17"/>
      <c r="F635" s="17"/>
      <c r="G635" s="17"/>
      <c r="H635" s="17"/>
      <c r="I635" s="17"/>
      <c r="J635" s="18" t="str">
        <f aca="false">IF($A635="","",$B635+$C635+$D635-$E635+$F635-$G635)</f>
        <v/>
      </c>
      <c r="K635" s="18" t="str">
        <f aca="false">IF($A635="","",MAX(0,$B635-$J635))</f>
        <v/>
      </c>
      <c r="L635" s="19" t="str">
        <f aca="false">IF($A635="","",IF($B635=0,0,$K635/$B635))</f>
        <v/>
      </c>
      <c r="M635" s="20" t="str">
        <f aca="false">IF($A635="","",IF($J635&lt;0,"BORCA BATIK",IF($I635&lt;$H635,"BORCA BATIK",IF($L635&gt;=TtkUcteIkiEsik,"2/3 KAYIP (KRİTİK)",IF($L635&gt;=TtkUcteBirEsik,"1/3 KAYIP (DİKKAT)","UYGUN")))))</f>
        <v/>
      </c>
    </row>
    <row r="636" customFormat="false" ht="15" hidden="false" customHeight="false" outlineLevel="0" collapsed="false">
      <c r="A636" s="21"/>
      <c r="B636" s="17"/>
      <c r="C636" s="17"/>
      <c r="D636" s="17"/>
      <c r="E636" s="17"/>
      <c r="F636" s="17"/>
      <c r="G636" s="17"/>
      <c r="H636" s="17"/>
      <c r="I636" s="17"/>
      <c r="J636" s="18" t="str">
        <f aca="false">IF($A636="","",$B636+$C636+$D636-$E636+$F636-$G636)</f>
        <v/>
      </c>
      <c r="K636" s="18" t="str">
        <f aca="false">IF($A636="","",MAX(0,$B636-$J636))</f>
        <v/>
      </c>
      <c r="L636" s="19" t="str">
        <f aca="false">IF($A636="","",IF($B636=0,0,$K636/$B636))</f>
        <v/>
      </c>
      <c r="M636" s="20" t="str">
        <f aca="false">IF($A636="","",IF($J636&lt;0,"BORCA BATIK",IF($I636&lt;$H636,"BORCA BATIK",IF($L636&gt;=TtkUcteIkiEsik,"2/3 KAYIP (KRİTİK)",IF($L636&gt;=TtkUcteBirEsik,"1/3 KAYIP (DİKKAT)","UYGUN")))))</f>
        <v/>
      </c>
    </row>
    <row r="637" customFormat="false" ht="15" hidden="false" customHeight="false" outlineLevel="0" collapsed="false">
      <c r="A637" s="21"/>
      <c r="B637" s="17"/>
      <c r="C637" s="17"/>
      <c r="D637" s="17"/>
      <c r="E637" s="17"/>
      <c r="F637" s="17"/>
      <c r="G637" s="17"/>
      <c r="H637" s="17"/>
      <c r="I637" s="17"/>
      <c r="J637" s="18" t="str">
        <f aca="false">IF($A637="","",$B637+$C637+$D637-$E637+$F637-$G637)</f>
        <v/>
      </c>
      <c r="K637" s="18" t="str">
        <f aca="false">IF($A637="","",MAX(0,$B637-$J637))</f>
        <v/>
      </c>
      <c r="L637" s="19" t="str">
        <f aca="false">IF($A637="","",IF($B637=0,0,$K637/$B637))</f>
        <v/>
      </c>
      <c r="M637" s="20" t="str">
        <f aca="false">IF($A637="","",IF($J637&lt;0,"BORCA BATIK",IF($I637&lt;$H637,"BORCA BATIK",IF($L637&gt;=TtkUcteIkiEsik,"2/3 KAYIP (KRİTİK)",IF($L637&gt;=TtkUcteBirEsik,"1/3 KAYIP (DİKKAT)","UYGUN")))))</f>
        <v/>
      </c>
    </row>
    <row r="638" customFormat="false" ht="15" hidden="false" customHeight="false" outlineLevel="0" collapsed="false">
      <c r="A638" s="21"/>
      <c r="B638" s="17"/>
      <c r="C638" s="17"/>
      <c r="D638" s="17"/>
      <c r="E638" s="17"/>
      <c r="F638" s="17"/>
      <c r="G638" s="17"/>
      <c r="H638" s="17"/>
      <c r="I638" s="17"/>
      <c r="J638" s="18" t="str">
        <f aca="false">IF($A638="","",$B638+$C638+$D638-$E638+$F638-$G638)</f>
        <v/>
      </c>
      <c r="K638" s="18" t="str">
        <f aca="false">IF($A638="","",MAX(0,$B638-$J638))</f>
        <v/>
      </c>
      <c r="L638" s="19" t="str">
        <f aca="false">IF($A638="","",IF($B638=0,0,$K638/$B638))</f>
        <v/>
      </c>
      <c r="M638" s="20" t="str">
        <f aca="false">IF($A638="","",IF($J638&lt;0,"BORCA BATIK",IF($I638&lt;$H638,"BORCA BATIK",IF($L638&gt;=TtkUcteIkiEsik,"2/3 KAYIP (KRİTİK)",IF($L638&gt;=TtkUcteBirEsik,"1/3 KAYIP (DİKKAT)","UYGUN")))))</f>
        <v/>
      </c>
    </row>
    <row r="639" customFormat="false" ht="15" hidden="false" customHeight="false" outlineLevel="0" collapsed="false">
      <c r="A639" s="21"/>
      <c r="B639" s="17"/>
      <c r="C639" s="17"/>
      <c r="D639" s="17"/>
      <c r="E639" s="17"/>
      <c r="F639" s="17"/>
      <c r="G639" s="17"/>
      <c r="H639" s="17"/>
      <c r="I639" s="17"/>
      <c r="J639" s="18" t="str">
        <f aca="false">IF($A639="","",$B639+$C639+$D639-$E639+$F639-$G639)</f>
        <v/>
      </c>
      <c r="K639" s="18" t="str">
        <f aca="false">IF($A639="","",MAX(0,$B639-$J639))</f>
        <v/>
      </c>
      <c r="L639" s="19" t="str">
        <f aca="false">IF($A639="","",IF($B639=0,0,$K639/$B639))</f>
        <v/>
      </c>
      <c r="M639" s="20" t="str">
        <f aca="false">IF($A639="","",IF($J639&lt;0,"BORCA BATIK",IF($I639&lt;$H639,"BORCA BATIK",IF($L639&gt;=TtkUcteIkiEsik,"2/3 KAYIP (KRİTİK)",IF($L639&gt;=TtkUcteBirEsik,"1/3 KAYIP (DİKKAT)","UYGUN")))))</f>
        <v/>
      </c>
    </row>
    <row r="640" customFormat="false" ht="15" hidden="false" customHeight="false" outlineLevel="0" collapsed="false">
      <c r="A640" s="21"/>
      <c r="B640" s="17"/>
      <c r="C640" s="17"/>
      <c r="D640" s="17"/>
      <c r="E640" s="17"/>
      <c r="F640" s="17"/>
      <c r="G640" s="17"/>
      <c r="H640" s="17"/>
      <c r="I640" s="17"/>
      <c r="J640" s="18" t="str">
        <f aca="false">IF($A640="","",$B640+$C640+$D640-$E640+$F640-$G640)</f>
        <v/>
      </c>
      <c r="K640" s="18" t="str">
        <f aca="false">IF($A640="","",MAX(0,$B640-$J640))</f>
        <v/>
      </c>
      <c r="L640" s="19" t="str">
        <f aca="false">IF($A640="","",IF($B640=0,0,$K640/$B640))</f>
        <v/>
      </c>
      <c r="M640" s="20" t="str">
        <f aca="false">IF($A640="","",IF($J640&lt;0,"BORCA BATIK",IF($I640&lt;$H640,"BORCA BATIK",IF($L640&gt;=TtkUcteIkiEsik,"2/3 KAYIP (KRİTİK)",IF($L640&gt;=TtkUcteBirEsik,"1/3 KAYIP (DİKKAT)","UYGUN")))))</f>
        <v/>
      </c>
    </row>
    <row r="641" customFormat="false" ht="15" hidden="false" customHeight="false" outlineLevel="0" collapsed="false">
      <c r="A641" s="21"/>
      <c r="B641" s="17"/>
      <c r="C641" s="17"/>
      <c r="D641" s="17"/>
      <c r="E641" s="17"/>
      <c r="F641" s="17"/>
      <c r="G641" s="17"/>
      <c r="H641" s="17"/>
      <c r="I641" s="17"/>
      <c r="J641" s="18" t="str">
        <f aca="false">IF($A641="","",$B641+$C641+$D641-$E641+$F641-$G641)</f>
        <v/>
      </c>
      <c r="K641" s="18" t="str">
        <f aca="false">IF($A641="","",MAX(0,$B641-$J641))</f>
        <v/>
      </c>
      <c r="L641" s="19" t="str">
        <f aca="false">IF($A641="","",IF($B641=0,0,$K641/$B641))</f>
        <v/>
      </c>
      <c r="M641" s="20" t="str">
        <f aca="false">IF($A641="","",IF($J641&lt;0,"BORCA BATIK",IF($I641&lt;$H641,"BORCA BATIK",IF($L641&gt;=TtkUcteIkiEsik,"2/3 KAYIP (KRİTİK)",IF($L641&gt;=TtkUcteBirEsik,"1/3 KAYIP (DİKKAT)","UYGUN")))))</f>
        <v/>
      </c>
    </row>
    <row r="642" customFormat="false" ht="15" hidden="false" customHeight="false" outlineLevel="0" collapsed="false">
      <c r="A642" s="21"/>
      <c r="B642" s="17"/>
      <c r="C642" s="17"/>
      <c r="D642" s="17"/>
      <c r="E642" s="17"/>
      <c r="F642" s="17"/>
      <c r="G642" s="17"/>
      <c r="H642" s="17"/>
      <c r="I642" s="17"/>
      <c r="J642" s="18" t="str">
        <f aca="false">IF($A642="","",$B642+$C642+$D642-$E642+$F642-$G642)</f>
        <v/>
      </c>
      <c r="K642" s="18" t="str">
        <f aca="false">IF($A642="","",MAX(0,$B642-$J642))</f>
        <v/>
      </c>
      <c r="L642" s="19" t="str">
        <f aca="false">IF($A642="","",IF($B642=0,0,$K642/$B642))</f>
        <v/>
      </c>
      <c r="M642" s="20" t="str">
        <f aca="false">IF($A642="","",IF($J642&lt;0,"BORCA BATIK",IF($I642&lt;$H642,"BORCA BATIK",IF($L642&gt;=TtkUcteIkiEsik,"2/3 KAYIP (KRİTİK)",IF($L642&gt;=TtkUcteBirEsik,"1/3 KAYIP (DİKKAT)","UYGUN")))))</f>
        <v/>
      </c>
    </row>
    <row r="643" customFormat="false" ht="15" hidden="false" customHeight="false" outlineLevel="0" collapsed="false">
      <c r="A643" s="21"/>
      <c r="B643" s="17"/>
      <c r="C643" s="17"/>
      <c r="D643" s="17"/>
      <c r="E643" s="17"/>
      <c r="F643" s="17"/>
      <c r="G643" s="17"/>
      <c r="H643" s="17"/>
      <c r="I643" s="17"/>
      <c r="J643" s="18" t="str">
        <f aca="false">IF($A643="","",$B643+$C643+$D643-$E643+$F643-$G643)</f>
        <v/>
      </c>
      <c r="K643" s="18" t="str">
        <f aca="false">IF($A643="","",MAX(0,$B643-$J643))</f>
        <v/>
      </c>
      <c r="L643" s="19" t="str">
        <f aca="false">IF($A643="","",IF($B643=0,0,$K643/$B643))</f>
        <v/>
      </c>
      <c r="M643" s="20" t="str">
        <f aca="false">IF($A643="","",IF($J643&lt;0,"BORCA BATIK",IF($I643&lt;$H643,"BORCA BATIK",IF($L643&gt;=TtkUcteIkiEsik,"2/3 KAYIP (KRİTİK)",IF($L643&gt;=TtkUcteBirEsik,"1/3 KAYIP (DİKKAT)","UYGUN")))))</f>
        <v/>
      </c>
    </row>
    <row r="644" customFormat="false" ht="15" hidden="false" customHeight="false" outlineLevel="0" collapsed="false">
      <c r="A644" s="21"/>
      <c r="B644" s="17"/>
      <c r="C644" s="17"/>
      <c r="D644" s="17"/>
      <c r="E644" s="17"/>
      <c r="F644" s="17"/>
      <c r="G644" s="17"/>
      <c r="H644" s="17"/>
      <c r="I644" s="17"/>
      <c r="J644" s="18" t="str">
        <f aca="false">IF($A644="","",$B644+$C644+$D644-$E644+$F644-$G644)</f>
        <v/>
      </c>
      <c r="K644" s="18" t="str">
        <f aca="false">IF($A644="","",MAX(0,$B644-$J644))</f>
        <v/>
      </c>
      <c r="L644" s="19" t="str">
        <f aca="false">IF($A644="","",IF($B644=0,0,$K644/$B644))</f>
        <v/>
      </c>
      <c r="M644" s="20" t="str">
        <f aca="false">IF($A644="","",IF($J644&lt;0,"BORCA BATIK",IF($I644&lt;$H644,"BORCA BATIK",IF($L644&gt;=TtkUcteIkiEsik,"2/3 KAYIP (KRİTİK)",IF($L644&gt;=TtkUcteBirEsik,"1/3 KAYIP (DİKKAT)","UYGUN")))))</f>
        <v/>
      </c>
    </row>
    <row r="645" customFormat="false" ht="15" hidden="false" customHeight="false" outlineLevel="0" collapsed="false">
      <c r="A645" s="21"/>
      <c r="B645" s="17"/>
      <c r="C645" s="17"/>
      <c r="D645" s="17"/>
      <c r="E645" s="17"/>
      <c r="F645" s="17"/>
      <c r="G645" s="17"/>
      <c r="H645" s="17"/>
      <c r="I645" s="17"/>
      <c r="J645" s="18" t="str">
        <f aca="false">IF($A645="","",$B645+$C645+$D645-$E645+$F645-$G645)</f>
        <v/>
      </c>
      <c r="K645" s="18" t="str">
        <f aca="false">IF($A645="","",MAX(0,$B645-$J645))</f>
        <v/>
      </c>
      <c r="L645" s="19" t="str">
        <f aca="false">IF($A645="","",IF($B645=0,0,$K645/$B645))</f>
        <v/>
      </c>
      <c r="M645" s="20" t="str">
        <f aca="false">IF($A645="","",IF($J645&lt;0,"BORCA BATIK",IF($I645&lt;$H645,"BORCA BATIK",IF($L645&gt;=TtkUcteIkiEsik,"2/3 KAYIP (KRİTİK)",IF($L645&gt;=TtkUcteBirEsik,"1/3 KAYIP (DİKKAT)","UYGUN")))))</f>
        <v/>
      </c>
    </row>
    <row r="646" customFormat="false" ht="15" hidden="false" customHeight="false" outlineLevel="0" collapsed="false">
      <c r="A646" s="21"/>
      <c r="B646" s="17"/>
      <c r="C646" s="17"/>
      <c r="D646" s="17"/>
      <c r="E646" s="17"/>
      <c r="F646" s="17"/>
      <c r="G646" s="17"/>
      <c r="H646" s="17"/>
      <c r="I646" s="17"/>
      <c r="J646" s="18" t="str">
        <f aca="false">IF($A646="","",$B646+$C646+$D646-$E646+$F646-$G646)</f>
        <v/>
      </c>
      <c r="K646" s="18" t="str">
        <f aca="false">IF($A646="","",MAX(0,$B646-$J646))</f>
        <v/>
      </c>
      <c r="L646" s="19" t="str">
        <f aca="false">IF($A646="","",IF($B646=0,0,$K646/$B646))</f>
        <v/>
      </c>
      <c r="M646" s="20" t="str">
        <f aca="false">IF($A646="","",IF($J646&lt;0,"BORCA BATIK",IF($I646&lt;$H646,"BORCA BATIK",IF($L646&gt;=TtkUcteIkiEsik,"2/3 KAYIP (KRİTİK)",IF($L646&gt;=TtkUcteBirEsik,"1/3 KAYIP (DİKKAT)","UYGUN")))))</f>
        <v/>
      </c>
    </row>
    <row r="647" customFormat="false" ht="15" hidden="false" customHeight="false" outlineLevel="0" collapsed="false">
      <c r="A647" s="21"/>
      <c r="B647" s="17"/>
      <c r="C647" s="17"/>
      <c r="D647" s="17"/>
      <c r="E647" s="17"/>
      <c r="F647" s="17"/>
      <c r="G647" s="17"/>
      <c r="H647" s="17"/>
      <c r="I647" s="17"/>
      <c r="J647" s="18" t="str">
        <f aca="false">IF($A647="","",$B647+$C647+$D647-$E647+$F647-$G647)</f>
        <v/>
      </c>
      <c r="K647" s="18" t="str">
        <f aca="false">IF($A647="","",MAX(0,$B647-$J647))</f>
        <v/>
      </c>
      <c r="L647" s="19" t="str">
        <f aca="false">IF($A647="","",IF($B647=0,0,$K647/$B647))</f>
        <v/>
      </c>
      <c r="M647" s="20" t="str">
        <f aca="false">IF($A647="","",IF($J647&lt;0,"BORCA BATIK",IF($I647&lt;$H647,"BORCA BATIK",IF($L647&gt;=TtkUcteIkiEsik,"2/3 KAYIP (KRİTİK)",IF($L647&gt;=TtkUcteBirEsik,"1/3 KAYIP (DİKKAT)","UYGUN")))))</f>
        <v/>
      </c>
    </row>
    <row r="648" customFormat="false" ht="15" hidden="false" customHeight="false" outlineLevel="0" collapsed="false">
      <c r="A648" s="21"/>
      <c r="B648" s="17"/>
      <c r="C648" s="17"/>
      <c r="D648" s="17"/>
      <c r="E648" s="17"/>
      <c r="F648" s="17"/>
      <c r="G648" s="17"/>
      <c r="H648" s="17"/>
      <c r="I648" s="17"/>
      <c r="J648" s="18" t="str">
        <f aca="false">IF($A648="","",$B648+$C648+$D648-$E648+$F648-$G648)</f>
        <v/>
      </c>
      <c r="K648" s="18" t="str">
        <f aca="false">IF($A648="","",MAX(0,$B648-$J648))</f>
        <v/>
      </c>
      <c r="L648" s="19" t="str">
        <f aca="false">IF($A648="","",IF($B648=0,0,$K648/$B648))</f>
        <v/>
      </c>
      <c r="M648" s="20" t="str">
        <f aca="false">IF($A648="","",IF($J648&lt;0,"BORCA BATIK",IF($I648&lt;$H648,"BORCA BATIK",IF($L648&gt;=TtkUcteIkiEsik,"2/3 KAYIP (KRİTİK)",IF($L648&gt;=TtkUcteBirEsik,"1/3 KAYIP (DİKKAT)","UYGUN")))))</f>
        <v/>
      </c>
    </row>
    <row r="649" customFormat="false" ht="15" hidden="false" customHeight="false" outlineLevel="0" collapsed="false">
      <c r="A649" s="21"/>
      <c r="B649" s="17"/>
      <c r="C649" s="17"/>
      <c r="D649" s="17"/>
      <c r="E649" s="17"/>
      <c r="F649" s="17"/>
      <c r="G649" s="17"/>
      <c r="H649" s="17"/>
      <c r="I649" s="17"/>
      <c r="J649" s="18" t="str">
        <f aca="false">IF($A649="","",$B649+$C649+$D649-$E649+$F649-$G649)</f>
        <v/>
      </c>
      <c r="K649" s="18" t="str">
        <f aca="false">IF($A649="","",MAX(0,$B649-$J649))</f>
        <v/>
      </c>
      <c r="L649" s="19" t="str">
        <f aca="false">IF($A649="","",IF($B649=0,0,$K649/$B649))</f>
        <v/>
      </c>
      <c r="M649" s="20" t="str">
        <f aca="false">IF($A649="","",IF($J649&lt;0,"BORCA BATIK",IF($I649&lt;$H649,"BORCA BATIK",IF($L649&gt;=TtkUcteIkiEsik,"2/3 KAYIP (KRİTİK)",IF($L649&gt;=TtkUcteBirEsik,"1/3 KAYIP (DİKKAT)","UYGUN")))))</f>
        <v/>
      </c>
    </row>
    <row r="650" customFormat="false" ht="15" hidden="false" customHeight="false" outlineLevel="0" collapsed="false">
      <c r="A650" s="21"/>
      <c r="B650" s="17"/>
      <c r="C650" s="17"/>
      <c r="D650" s="17"/>
      <c r="E650" s="17"/>
      <c r="F650" s="17"/>
      <c r="G650" s="17"/>
      <c r="H650" s="17"/>
      <c r="I650" s="17"/>
      <c r="J650" s="18" t="str">
        <f aca="false">IF($A650="","",$B650+$C650+$D650-$E650+$F650-$G650)</f>
        <v/>
      </c>
      <c r="K650" s="18" t="str">
        <f aca="false">IF($A650="","",MAX(0,$B650-$J650))</f>
        <v/>
      </c>
      <c r="L650" s="19" t="str">
        <f aca="false">IF($A650="","",IF($B650=0,0,$K650/$B650))</f>
        <v/>
      </c>
      <c r="M650" s="20" t="str">
        <f aca="false">IF($A650="","",IF($J650&lt;0,"BORCA BATIK",IF($I650&lt;$H650,"BORCA BATIK",IF($L650&gt;=TtkUcteIkiEsik,"2/3 KAYIP (KRİTİK)",IF($L650&gt;=TtkUcteBirEsik,"1/3 KAYIP (DİKKAT)","UYGUN")))))</f>
        <v/>
      </c>
    </row>
    <row r="651" customFormat="false" ht="15" hidden="false" customHeight="false" outlineLevel="0" collapsed="false">
      <c r="A651" s="21"/>
      <c r="B651" s="17"/>
      <c r="C651" s="17"/>
      <c r="D651" s="17"/>
      <c r="E651" s="17"/>
      <c r="F651" s="17"/>
      <c r="G651" s="17"/>
      <c r="H651" s="17"/>
      <c r="I651" s="17"/>
      <c r="J651" s="18" t="str">
        <f aca="false">IF($A651="","",$B651+$C651+$D651-$E651+$F651-$G651)</f>
        <v/>
      </c>
      <c r="K651" s="18" t="str">
        <f aca="false">IF($A651="","",MAX(0,$B651-$J651))</f>
        <v/>
      </c>
      <c r="L651" s="19" t="str">
        <f aca="false">IF($A651="","",IF($B651=0,0,$K651/$B651))</f>
        <v/>
      </c>
      <c r="M651" s="20" t="str">
        <f aca="false">IF($A651="","",IF($J651&lt;0,"BORCA BATIK",IF($I651&lt;$H651,"BORCA BATIK",IF($L651&gt;=TtkUcteIkiEsik,"2/3 KAYIP (KRİTİK)",IF($L651&gt;=TtkUcteBirEsik,"1/3 KAYIP (DİKKAT)","UYGUN")))))</f>
        <v/>
      </c>
    </row>
    <row r="652" customFormat="false" ht="15" hidden="false" customHeight="false" outlineLevel="0" collapsed="false">
      <c r="A652" s="21"/>
      <c r="B652" s="17"/>
      <c r="C652" s="17"/>
      <c r="D652" s="17"/>
      <c r="E652" s="17"/>
      <c r="F652" s="17"/>
      <c r="G652" s="17"/>
      <c r="H652" s="17"/>
      <c r="I652" s="17"/>
      <c r="J652" s="18" t="str">
        <f aca="false">IF($A652="","",$B652+$C652+$D652-$E652+$F652-$G652)</f>
        <v/>
      </c>
      <c r="K652" s="18" t="str">
        <f aca="false">IF($A652="","",MAX(0,$B652-$J652))</f>
        <v/>
      </c>
      <c r="L652" s="19" t="str">
        <f aca="false">IF($A652="","",IF($B652=0,0,$K652/$B652))</f>
        <v/>
      </c>
      <c r="M652" s="20" t="str">
        <f aca="false">IF($A652="","",IF($J652&lt;0,"BORCA BATIK",IF($I652&lt;$H652,"BORCA BATIK",IF($L652&gt;=TtkUcteIkiEsik,"2/3 KAYIP (KRİTİK)",IF($L652&gt;=TtkUcteBirEsik,"1/3 KAYIP (DİKKAT)","UYGUN")))))</f>
        <v/>
      </c>
    </row>
    <row r="653" customFormat="false" ht="15" hidden="false" customHeight="false" outlineLevel="0" collapsed="false">
      <c r="A653" s="21"/>
      <c r="B653" s="17"/>
      <c r="C653" s="17"/>
      <c r="D653" s="17"/>
      <c r="E653" s="17"/>
      <c r="F653" s="17"/>
      <c r="G653" s="17"/>
      <c r="H653" s="17"/>
      <c r="I653" s="17"/>
      <c r="J653" s="18" t="str">
        <f aca="false">IF($A653="","",$B653+$C653+$D653-$E653+$F653-$G653)</f>
        <v/>
      </c>
      <c r="K653" s="18" t="str">
        <f aca="false">IF($A653="","",MAX(0,$B653-$J653))</f>
        <v/>
      </c>
      <c r="L653" s="19" t="str">
        <f aca="false">IF($A653="","",IF($B653=0,0,$K653/$B653))</f>
        <v/>
      </c>
      <c r="M653" s="20" t="str">
        <f aca="false">IF($A653="","",IF($J653&lt;0,"BORCA BATIK",IF($I653&lt;$H653,"BORCA BATIK",IF($L653&gt;=TtkUcteIkiEsik,"2/3 KAYIP (KRİTİK)",IF($L653&gt;=TtkUcteBirEsik,"1/3 KAYIP (DİKKAT)","UYGUN")))))</f>
        <v/>
      </c>
    </row>
    <row r="654" customFormat="false" ht="15" hidden="false" customHeight="false" outlineLevel="0" collapsed="false">
      <c r="A654" s="21"/>
      <c r="B654" s="17"/>
      <c r="C654" s="17"/>
      <c r="D654" s="17"/>
      <c r="E654" s="17"/>
      <c r="F654" s="17"/>
      <c r="G654" s="17"/>
      <c r="H654" s="17"/>
      <c r="I654" s="17"/>
      <c r="J654" s="18" t="str">
        <f aca="false">IF($A654="","",$B654+$C654+$D654-$E654+$F654-$G654)</f>
        <v/>
      </c>
      <c r="K654" s="18" t="str">
        <f aca="false">IF($A654="","",MAX(0,$B654-$J654))</f>
        <v/>
      </c>
      <c r="L654" s="19" t="str">
        <f aca="false">IF($A654="","",IF($B654=0,0,$K654/$B654))</f>
        <v/>
      </c>
      <c r="M654" s="20" t="str">
        <f aca="false">IF($A654="","",IF($J654&lt;0,"BORCA BATIK",IF($I654&lt;$H654,"BORCA BATIK",IF($L654&gt;=TtkUcteIkiEsik,"2/3 KAYIP (KRİTİK)",IF($L654&gt;=TtkUcteBirEsik,"1/3 KAYIP (DİKKAT)","UYGUN")))))</f>
        <v/>
      </c>
    </row>
    <row r="655" customFormat="false" ht="15" hidden="false" customHeight="false" outlineLevel="0" collapsed="false">
      <c r="A655" s="21"/>
      <c r="B655" s="17"/>
      <c r="C655" s="17"/>
      <c r="D655" s="17"/>
      <c r="E655" s="17"/>
      <c r="F655" s="17"/>
      <c r="G655" s="17"/>
      <c r="H655" s="17"/>
      <c r="I655" s="17"/>
      <c r="J655" s="18" t="str">
        <f aca="false">IF($A655="","",$B655+$C655+$D655-$E655+$F655-$G655)</f>
        <v/>
      </c>
      <c r="K655" s="18" t="str">
        <f aca="false">IF($A655="","",MAX(0,$B655-$J655))</f>
        <v/>
      </c>
      <c r="L655" s="19" t="str">
        <f aca="false">IF($A655="","",IF($B655=0,0,$K655/$B655))</f>
        <v/>
      </c>
      <c r="M655" s="20" t="str">
        <f aca="false">IF($A655="","",IF($J655&lt;0,"BORCA BATIK",IF($I655&lt;$H655,"BORCA BATIK",IF($L655&gt;=TtkUcteIkiEsik,"2/3 KAYIP (KRİTİK)",IF($L655&gt;=TtkUcteBirEsik,"1/3 KAYIP (DİKKAT)","UYGUN")))))</f>
        <v/>
      </c>
    </row>
    <row r="656" customFormat="false" ht="15" hidden="false" customHeight="false" outlineLevel="0" collapsed="false">
      <c r="A656" s="21"/>
      <c r="B656" s="17"/>
      <c r="C656" s="17"/>
      <c r="D656" s="17"/>
      <c r="E656" s="17"/>
      <c r="F656" s="17"/>
      <c r="G656" s="17"/>
      <c r="H656" s="17"/>
      <c r="I656" s="17"/>
      <c r="J656" s="18" t="str">
        <f aca="false">IF($A656="","",$B656+$C656+$D656-$E656+$F656-$G656)</f>
        <v/>
      </c>
      <c r="K656" s="18" t="str">
        <f aca="false">IF($A656="","",MAX(0,$B656-$J656))</f>
        <v/>
      </c>
      <c r="L656" s="19" t="str">
        <f aca="false">IF($A656="","",IF($B656=0,0,$K656/$B656))</f>
        <v/>
      </c>
      <c r="M656" s="20" t="str">
        <f aca="false">IF($A656="","",IF($J656&lt;0,"BORCA BATIK",IF($I656&lt;$H656,"BORCA BATIK",IF($L656&gt;=TtkUcteIkiEsik,"2/3 KAYIP (KRİTİK)",IF($L656&gt;=TtkUcteBirEsik,"1/3 KAYIP (DİKKAT)","UYGUN")))))</f>
        <v/>
      </c>
    </row>
    <row r="657" customFormat="false" ht="15" hidden="false" customHeight="false" outlineLevel="0" collapsed="false">
      <c r="A657" s="21"/>
      <c r="B657" s="17"/>
      <c r="C657" s="17"/>
      <c r="D657" s="17"/>
      <c r="E657" s="17"/>
      <c r="F657" s="17"/>
      <c r="G657" s="17"/>
      <c r="H657" s="17"/>
      <c r="I657" s="17"/>
      <c r="J657" s="18" t="str">
        <f aca="false">IF($A657="","",$B657+$C657+$D657-$E657+$F657-$G657)</f>
        <v/>
      </c>
      <c r="K657" s="18" t="str">
        <f aca="false">IF($A657="","",MAX(0,$B657-$J657))</f>
        <v/>
      </c>
      <c r="L657" s="19" t="str">
        <f aca="false">IF($A657="","",IF($B657=0,0,$K657/$B657))</f>
        <v/>
      </c>
      <c r="M657" s="20" t="str">
        <f aca="false">IF($A657="","",IF($J657&lt;0,"BORCA BATIK",IF($I657&lt;$H657,"BORCA BATIK",IF($L657&gt;=TtkUcteIkiEsik,"2/3 KAYIP (KRİTİK)",IF($L657&gt;=TtkUcteBirEsik,"1/3 KAYIP (DİKKAT)","UYGUN")))))</f>
        <v/>
      </c>
    </row>
    <row r="658" customFormat="false" ht="15" hidden="false" customHeight="false" outlineLevel="0" collapsed="false">
      <c r="A658" s="21"/>
      <c r="B658" s="17"/>
      <c r="C658" s="17"/>
      <c r="D658" s="17"/>
      <c r="E658" s="17"/>
      <c r="F658" s="17"/>
      <c r="G658" s="17"/>
      <c r="H658" s="17"/>
      <c r="I658" s="17"/>
      <c r="J658" s="18" t="str">
        <f aca="false">IF($A658="","",$B658+$C658+$D658-$E658+$F658-$G658)</f>
        <v/>
      </c>
      <c r="K658" s="18" t="str">
        <f aca="false">IF($A658="","",MAX(0,$B658-$J658))</f>
        <v/>
      </c>
      <c r="L658" s="19" t="str">
        <f aca="false">IF($A658="","",IF($B658=0,0,$K658/$B658))</f>
        <v/>
      </c>
      <c r="M658" s="20" t="str">
        <f aca="false">IF($A658="","",IF($J658&lt;0,"BORCA BATIK",IF($I658&lt;$H658,"BORCA BATIK",IF($L658&gt;=TtkUcteIkiEsik,"2/3 KAYIP (KRİTİK)",IF($L658&gt;=TtkUcteBirEsik,"1/3 KAYIP (DİKKAT)","UYGUN")))))</f>
        <v/>
      </c>
    </row>
    <row r="659" customFormat="false" ht="15" hidden="false" customHeight="false" outlineLevel="0" collapsed="false">
      <c r="A659" s="21"/>
      <c r="B659" s="17"/>
      <c r="C659" s="17"/>
      <c r="D659" s="17"/>
      <c r="E659" s="17"/>
      <c r="F659" s="17"/>
      <c r="G659" s="17"/>
      <c r="H659" s="17"/>
      <c r="I659" s="17"/>
      <c r="J659" s="18" t="str">
        <f aca="false">IF($A659="","",$B659+$C659+$D659-$E659+$F659-$G659)</f>
        <v/>
      </c>
      <c r="K659" s="18" t="str">
        <f aca="false">IF($A659="","",MAX(0,$B659-$J659))</f>
        <v/>
      </c>
      <c r="L659" s="19" t="str">
        <f aca="false">IF($A659="","",IF($B659=0,0,$K659/$B659))</f>
        <v/>
      </c>
      <c r="M659" s="20" t="str">
        <f aca="false">IF($A659="","",IF($J659&lt;0,"BORCA BATIK",IF($I659&lt;$H659,"BORCA BATIK",IF($L659&gt;=TtkUcteIkiEsik,"2/3 KAYIP (KRİTİK)",IF($L659&gt;=TtkUcteBirEsik,"1/3 KAYIP (DİKKAT)","UYGUN")))))</f>
        <v/>
      </c>
    </row>
    <row r="660" customFormat="false" ht="15" hidden="false" customHeight="false" outlineLevel="0" collapsed="false">
      <c r="A660" s="21"/>
      <c r="B660" s="17"/>
      <c r="C660" s="17"/>
      <c r="D660" s="17"/>
      <c r="E660" s="17"/>
      <c r="F660" s="17"/>
      <c r="G660" s="17"/>
      <c r="H660" s="17"/>
      <c r="I660" s="17"/>
      <c r="J660" s="18" t="str">
        <f aca="false">IF($A660="","",$B660+$C660+$D660-$E660+$F660-$G660)</f>
        <v/>
      </c>
      <c r="K660" s="18" t="str">
        <f aca="false">IF($A660="","",MAX(0,$B660-$J660))</f>
        <v/>
      </c>
      <c r="L660" s="19" t="str">
        <f aca="false">IF($A660="","",IF($B660=0,0,$K660/$B660))</f>
        <v/>
      </c>
      <c r="M660" s="20" t="str">
        <f aca="false">IF($A660="","",IF($J660&lt;0,"BORCA BATIK",IF($I660&lt;$H660,"BORCA BATIK",IF($L660&gt;=TtkUcteIkiEsik,"2/3 KAYIP (KRİTİK)",IF($L660&gt;=TtkUcteBirEsik,"1/3 KAYIP (DİKKAT)","UYGUN")))))</f>
        <v/>
      </c>
    </row>
    <row r="661" customFormat="false" ht="15" hidden="false" customHeight="false" outlineLevel="0" collapsed="false">
      <c r="A661" s="21"/>
      <c r="B661" s="17"/>
      <c r="C661" s="17"/>
      <c r="D661" s="17"/>
      <c r="E661" s="17"/>
      <c r="F661" s="17"/>
      <c r="G661" s="17"/>
      <c r="H661" s="17"/>
      <c r="I661" s="17"/>
      <c r="J661" s="18" t="str">
        <f aca="false">IF($A661="","",$B661+$C661+$D661-$E661+$F661-$G661)</f>
        <v/>
      </c>
      <c r="K661" s="18" t="str">
        <f aca="false">IF($A661="","",MAX(0,$B661-$J661))</f>
        <v/>
      </c>
      <c r="L661" s="19" t="str">
        <f aca="false">IF($A661="","",IF($B661=0,0,$K661/$B661))</f>
        <v/>
      </c>
      <c r="M661" s="20" t="str">
        <f aca="false">IF($A661="","",IF($J661&lt;0,"BORCA BATIK",IF($I661&lt;$H661,"BORCA BATIK",IF($L661&gt;=TtkUcteIkiEsik,"2/3 KAYIP (KRİTİK)",IF($L661&gt;=TtkUcteBirEsik,"1/3 KAYIP (DİKKAT)","UYGUN")))))</f>
        <v/>
      </c>
    </row>
    <row r="662" customFormat="false" ht="15" hidden="false" customHeight="false" outlineLevel="0" collapsed="false">
      <c r="A662" s="21"/>
      <c r="B662" s="17"/>
      <c r="C662" s="17"/>
      <c r="D662" s="17"/>
      <c r="E662" s="17"/>
      <c r="F662" s="17"/>
      <c r="G662" s="17"/>
      <c r="H662" s="17"/>
      <c r="I662" s="17"/>
      <c r="J662" s="18" t="str">
        <f aca="false">IF($A662="","",$B662+$C662+$D662-$E662+$F662-$G662)</f>
        <v/>
      </c>
      <c r="K662" s="18" t="str">
        <f aca="false">IF($A662="","",MAX(0,$B662-$J662))</f>
        <v/>
      </c>
      <c r="L662" s="19" t="str">
        <f aca="false">IF($A662="","",IF($B662=0,0,$K662/$B662))</f>
        <v/>
      </c>
      <c r="M662" s="20" t="str">
        <f aca="false">IF($A662="","",IF($J662&lt;0,"BORCA BATIK",IF($I662&lt;$H662,"BORCA BATIK",IF($L662&gt;=TtkUcteIkiEsik,"2/3 KAYIP (KRİTİK)",IF($L662&gt;=TtkUcteBirEsik,"1/3 KAYIP (DİKKAT)","UYGUN")))))</f>
        <v/>
      </c>
    </row>
    <row r="663" customFormat="false" ht="15" hidden="false" customHeight="false" outlineLevel="0" collapsed="false">
      <c r="A663" s="21"/>
      <c r="B663" s="17"/>
      <c r="C663" s="17"/>
      <c r="D663" s="17"/>
      <c r="E663" s="17"/>
      <c r="F663" s="17"/>
      <c r="G663" s="17"/>
      <c r="H663" s="17"/>
      <c r="I663" s="17"/>
      <c r="J663" s="18" t="str">
        <f aca="false">IF($A663="","",$B663+$C663+$D663-$E663+$F663-$G663)</f>
        <v/>
      </c>
      <c r="K663" s="18" t="str">
        <f aca="false">IF($A663="","",MAX(0,$B663-$J663))</f>
        <v/>
      </c>
      <c r="L663" s="19" t="str">
        <f aca="false">IF($A663="","",IF($B663=0,0,$K663/$B663))</f>
        <v/>
      </c>
      <c r="M663" s="20" t="str">
        <f aca="false">IF($A663="","",IF($J663&lt;0,"BORCA BATIK",IF($I663&lt;$H663,"BORCA BATIK",IF($L663&gt;=TtkUcteIkiEsik,"2/3 KAYIP (KRİTİK)",IF($L663&gt;=TtkUcteBirEsik,"1/3 KAYIP (DİKKAT)","UYGUN")))))</f>
        <v/>
      </c>
    </row>
    <row r="664" customFormat="false" ht="15" hidden="false" customHeight="false" outlineLevel="0" collapsed="false">
      <c r="A664" s="21"/>
      <c r="B664" s="17"/>
      <c r="C664" s="17"/>
      <c r="D664" s="17"/>
      <c r="E664" s="17"/>
      <c r="F664" s="17"/>
      <c r="G664" s="17"/>
      <c r="H664" s="17"/>
      <c r="I664" s="17"/>
      <c r="J664" s="18" t="str">
        <f aca="false">IF($A664="","",$B664+$C664+$D664-$E664+$F664-$G664)</f>
        <v/>
      </c>
      <c r="K664" s="18" t="str">
        <f aca="false">IF($A664="","",MAX(0,$B664-$J664))</f>
        <v/>
      </c>
      <c r="L664" s="19" t="str">
        <f aca="false">IF($A664="","",IF($B664=0,0,$K664/$B664))</f>
        <v/>
      </c>
      <c r="M664" s="20" t="str">
        <f aca="false">IF($A664="","",IF($J664&lt;0,"BORCA BATIK",IF($I664&lt;$H664,"BORCA BATIK",IF($L664&gt;=TtkUcteIkiEsik,"2/3 KAYIP (KRİTİK)",IF($L664&gt;=TtkUcteBirEsik,"1/3 KAYIP (DİKKAT)","UYGUN")))))</f>
        <v/>
      </c>
    </row>
    <row r="665" customFormat="false" ht="15" hidden="false" customHeight="false" outlineLevel="0" collapsed="false">
      <c r="A665" s="21"/>
      <c r="B665" s="17"/>
      <c r="C665" s="17"/>
      <c r="D665" s="17"/>
      <c r="E665" s="17"/>
      <c r="F665" s="17"/>
      <c r="G665" s="17"/>
      <c r="H665" s="17"/>
      <c r="I665" s="17"/>
      <c r="J665" s="18" t="str">
        <f aca="false">IF($A665="","",$B665+$C665+$D665-$E665+$F665-$G665)</f>
        <v/>
      </c>
      <c r="K665" s="18" t="str">
        <f aca="false">IF($A665="","",MAX(0,$B665-$J665))</f>
        <v/>
      </c>
      <c r="L665" s="19" t="str">
        <f aca="false">IF($A665="","",IF($B665=0,0,$K665/$B665))</f>
        <v/>
      </c>
      <c r="M665" s="20" t="str">
        <f aca="false">IF($A665="","",IF($J665&lt;0,"BORCA BATIK",IF($I665&lt;$H665,"BORCA BATIK",IF($L665&gt;=TtkUcteIkiEsik,"2/3 KAYIP (KRİTİK)",IF($L665&gt;=TtkUcteBirEsik,"1/3 KAYIP (DİKKAT)","UYGUN")))))</f>
        <v/>
      </c>
    </row>
    <row r="666" customFormat="false" ht="15" hidden="false" customHeight="false" outlineLevel="0" collapsed="false">
      <c r="A666" s="21"/>
      <c r="B666" s="17"/>
      <c r="C666" s="17"/>
      <c r="D666" s="17"/>
      <c r="E666" s="17"/>
      <c r="F666" s="17"/>
      <c r="G666" s="17"/>
      <c r="H666" s="17"/>
      <c r="I666" s="17"/>
      <c r="J666" s="18" t="str">
        <f aca="false">IF($A666="","",$B666+$C666+$D666-$E666+$F666-$G666)</f>
        <v/>
      </c>
      <c r="K666" s="18" t="str">
        <f aca="false">IF($A666="","",MAX(0,$B666-$J666))</f>
        <v/>
      </c>
      <c r="L666" s="19" t="str">
        <f aca="false">IF($A666="","",IF($B666=0,0,$K666/$B666))</f>
        <v/>
      </c>
      <c r="M666" s="20" t="str">
        <f aca="false">IF($A666="","",IF($J666&lt;0,"BORCA BATIK",IF($I666&lt;$H666,"BORCA BATIK",IF($L666&gt;=TtkUcteIkiEsik,"2/3 KAYIP (KRİTİK)",IF($L666&gt;=TtkUcteBirEsik,"1/3 KAYIP (DİKKAT)","UYGUN")))))</f>
        <v/>
      </c>
    </row>
    <row r="667" customFormat="false" ht="15" hidden="false" customHeight="false" outlineLevel="0" collapsed="false">
      <c r="A667" s="21"/>
      <c r="B667" s="17"/>
      <c r="C667" s="17"/>
      <c r="D667" s="17"/>
      <c r="E667" s="17"/>
      <c r="F667" s="17"/>
      <c r="G667" s="17"/>
      <c r="H667" s="17"/>
      <c r="I667" s="17"/>
      <c r="J667" s="18" t="str">
        <f aca="false">IF($A667="","",$B667+$C667+$D667-$E667+$F667-$G667)</f>
        <v/>
      </c>
      <c r="K667" s="18" t="str">
        <f aca="false">IF($A667="","",MAX(0,$B667-$J667))</f>
        <v/>
      </c>
      <c r="L667" s="19" t="str">
        <f aca="false">IF($A667="","",IF($B667=0,0,$K667/$B667))</f>
        <v/>
      </c>
      <c r="M667" s="20" t="str">
        <f aca="false">IF($A667="","",IF($J667&lt;0,"BORCA BATIK",IF($I667&lt;$H667,"BORCA BATIK",IF($L667&gt;=TtkUcteIkiEsik,"2/3 KAYIP (KRİTİK)",IF($L667&gt;=TtkUcteBirEsik,"1/3 KAYIP (DİKKAT)","UYGUN")))))</f>
        <v/>
      </c>
    </row>
    <row r="668" customFormat="false" ht="15" hidden="false" customHeight="false" outlineLevel="0" collapsed="false">
      <c r="A668" s="21"/>
      <c r="B668" s="17"/>
      <c r="C668" s="17"/>
      <c r="D668" s="17"/>
      <c r="E668" s="17"/>
      <c r="F668" s="17"/>
      <c r="G668" s="17"/>
      <c r="H668" s="17"/>
      <c r="I668" s="17"/>
      <c r="J668" s="18" t="str">
        <f aca="false">IF($A668="","",$B668+$C668+$D668-$E668+$F668-$G668)</f>
        <v/>
      </c>
      <c r="K668" s="18" t="str">
        <f aca="false">IF($A668="","",MAX(0,$B668-$J668))</f>
        <v/>
      </c>
      <c r="L668" s="19" t="str">
        <f aca="false">IF($A668="","",IF($B668=0,0,$K668/$B668))</f>
        <v/>
      </c>
      <c r="M668" s="20" t="str">
        <f aca="false">IF($A668="","",IF($J668&lt;0,"BORCA BATIK",IF($I668&lt;$H668,"BORCA BATIK",IF($L668&gt;=TtkUcteIkiEsik,"2/3 KAYIP (KRİTİK)",IF($L668&gt;=TtkUcteBirEsik,"1/3 KAYIP (DİKKAT)","UYGUN")))))</f>
        <v/>
      </c>
    </row>
    <row r="669" customFormat="false" ht="15" hidden="false" customHeight="false" outlineLevel="0" collapsed="false">
      <c r="A669" s="21"/>
      <c r="B669" s="17"/>
      <c r="C669" s="17"/>
      <c r="D669" s="17"/>
      <c r="E669" s="17"/>
      <c r="F669" s="17"/>
      <c r="G669" s="17"/>
      <c r="H669" s="17"/>
      <c r="I669" s="17"/>
      <c r="J669" s="18" t="str">
        <f aca="false">IF($A669="","",$B669+$C669+$D669-$E669+$F669-$G669)</f>
        <v/>
      </c>
      <c r="K669" s="18" t="str">
        <f aca="false">IF($A669="","",MAX(0,$B669-$J669))</f>
        <v/>
      </c>
      <c r="L669" s="19" t="str">
        <f aca="false">IF($A669="","",IF($B669=0,0,$K669/$B669))</f>
        <v/>
      </c>
      <c r="M669" s="20" t="str">
        <f aca="false">IF($A669="","",IF($J669&lt;0,"BORCA BATIK",IF($I669&lt;$H669,"BORCA BATIK",IF($L669&gt;=TtkUcteIkiEsik,"2/3 KAYIP (KRİTİK)",IF($L669&gt;=TtkUcteBirEsik,"1/3 KAYIP (DİKKAT)","UYGUN")))))</f>
        <v/>
      </c>
    </row>
    <row r="670" customFormat="false" ht="15" hidden="false" customHeight="false" outlineLevel="0" collapsed="false">
      <c r="A670" s="21"/>
      <c r="B670" s="17"/>
      <c r="C670" s="17"/>
      <c r="D670" s="17"/>
      <c r="E670" s="17"/>
      <c r="F670" s="17"/>
      <c r="G670" s="17"/>
      <c r="H670" s="17"/>
      <c r="I670" s="17"/>
      <c r="J670" s="18" t="str">
        <f aca="false">IF($A670="","",$B670+$C670+$D670-$E670+$F670-$G670)</f>
        <v/>
      </c>
      <c r="K670" s="18" t="str">
        <f aca="false">IF($A670="","",MAX(0,$B670-$J670))</f>
        <v/>
      </c>
      <c r="L670" s="19" t="str">
        <f aca="false">IF($A670="","",IF($B670=0,0,$K670/$B670))</f>
        <v/>
      </c>
      <c r="M670" s="20" t="str">
        <f aca="false">IF($A670="","",IF($J670&lt;0,"BORCA BATIK",IF($I670&lt;$H670,"BORCA BATIK",IF($L670&gt;=TtkUcteIkiEsik,"2/3 KAYIP (KRİTİK)",IF($L670&gt;=TtkUcteBirEsik,"1/3 KAYIP (DİKKAT)","UYGUN")))))</f>
        <v/>
      </c>
    </row>
    <row r="671" customFormat="false" ht="15" hidden="false" customHeight="false" outlineLevel="0" collapsed="false">
      <c r="A671" s="21"/>
      <c r="B671" s="17"/>
      <c r="C671" s="17"/>
      <c r="D671" s="17"/>
      <c r="E671" s="17"/>
      <c r="F671" s="17"/>
      <c r="G671" s="17"/>
      <c r="H671" s="17"/>
      <c r="I671" s="17"/>
      <c r="J671" s="18" t="str">
        <f aca="false">IF($A671="","",$B671+$C671+$D671-$E671+$F671-$G671)</f>
        <v/>
      </c>
      <c r="K671" s="18" t="str">
        <f aca="false">IF($A671="","",MAX(0,$B671-$J671))</f>
        <v/>
      </c>
      <c r="L671" s="19" t="str">
        <f aca="false">IF($A671="","",IF($B671=0,0,$K671/$B671))</f>
        <v/>
      </c>
      <c r="M671" s="20" t="str">
        <f aca="false">IF($A671="","",IF($J671&lt;0,"BORCA BATIK",IF($I671&lt;$H671,"BORCA BATIK",IF($L671&gt;=TtkUcteIkiEsik,"2/3 KAYIP (KRİTİK)",IF($L671&gt;=TtkUcteBirEsik,"1/3 KAYIP (DİKKAT)","UYGUN")))))</f>
        <v/>
      </c>
    </row>
    <row r="672" customFormat="false" ht="15" hidden="false" customHeight="false" outlineLevel="0" collapsed="false">
      <c r="A672" s="21"/>
      <c r="B672" s="17"/>
      <c r="C672" s="17"/>
      <c r="D672" s="17"/>
      <c r="E672" s="17"/>
      <c r="F672" s="17"/>
      <c r="G672" s="17"/>
      <c r="H672" s="17"/>
      <c r="I672" s="17"/>
      <c r="J672" s="18" t="str">
        <f aca="false">IF($A672="","",$B672+$C672+$D672-$E672+$F672-$G672)</f>
        <v/>
      </c>
      <c r="K672" s="18" t="str">
        <f aca="false">IF($A672="","",MAX(0,$B672-$J672))</f>
        <v/>
      </c>
      <c r="L672" s="19" t="str">
        <f aca="false">IF($A672="","",IF($B672=0,0,$K672/$B672))</f>
        <v/>
      </c>
      <c r="M672" s="20" t="str">
        <f aca="false">IF($A672="","",IF($J672&lt;0,"BORCA BATIK",IF($I672&lt;$H672,"BORCA BATIK",IF($L672&gt;=TtkUcteIkiEsik,"2/3 KAYIP (KRİTİK)",IF($L672&gt;=TtkUcteBirEsik,"1/3 KAYIP (DİKKAT)","UYGUN")))))</f>
        <v/>
      </c>
    </row>
    <row r="673" customFormat="false" ht="15" hidden="false" customHeight="false" outlineLevel="0" collapsed="false">
      <c r="A673" s="21"/>
      <c r="B673" s="17"/>
      <c r="C673" s="17"/>
      <c r="D673" s="17"/>
      <c r="E673" s="17"/>
      <c r="F673" s="17"/>
      <c r="G673" s="17"/>
      <c r="H673" s="17"/>
      <c r="I673" s="17"/>
      <c r="J673" s="18" t="str">
        <f aca="false">IF($A673="","",$B673+$C673+$D673-$E673+$F673-$G673)</f>
        <v/>
      </c>
      <c r="K673" s="18" t="str">
        <f aca="false">IF($A673="","",MAX(0,$B673-$J673))</f>
        <v/>
      </c>
      <c r="L673" s="19" t="str">
        <f aca="false">IF($A673="","",IF($B673=0,0,$K673/$B673))</f>
        <v/>
      </c>
      <c r="M673" s="20" t="str">
        <f aca="false">IF($A673="","",IF($J673&lt;0,"BORCA BATIK",IF($I673&lt;$H673,"BORCA BATIK",IF($L673&gt;=TtkUcteIkiEsik,"2/3 KAYIP (KRİTİK)",IF($L673&gt;=TtkUcteBirEsik,"1/3 KAYIP (DİKKAT)","UYGUN")))))</f>
        <v/>
      </c>
    </row>
    <row r="674" customFormat="false" ht="15" hidden="false" customHeight="false" outlineLevel="0" collapsed="false">
      <c r="A674" s="21"/>
      <c r="B674" s="17"/>
      <c r="C674" s="17"/>
      <c r="D674" s="17"/>
      <c r="E674" s="17"/>
      <c r="F674" s="17"/>
      <c r="G674" s="17"/>
      <c r="H674" s="17"/>
      <c r="I674" s="17"/>
      <c r="J674" s="18" t="str">
        <f aca="false">IF($A674="","",$B674+$C674+$D674-$E674+$F674-$G674)</f>
        <v/>
      </c>
      <c r="K674" s="18" t="str">
        <f aca="false">IF($A674="","",MAX(0,$B674-$J674))</f>
        <v/>
      </c>
      <c r="L674" s="19" t="str">
        <f aca="false">IF($A674="","",IF($B674=0,0,$K674/$B674))</f>
        <v/>
      </c>
      <c r="M674" s="20" t="str">
        <f aca="false">IF($A674="","",IF($J674&lt;0,"BORCA BATIK",IF($I674&lt;$H674,"BORCA BATIK",IF($L674&gt;=TtkUcteIkiEsik,"2/3 KAYIP (KRİTİK)",IF($L674&gt;=TtkUcteBirEsik,"1/3 KAYIP (DİKKAT)","UYGUN")))))</f>
        <v/>
      </c>
    </row>
    <row r="675" customFormat="false" ht="15" hidden="false" customHeight="false" outlineLevel="0" collapsed="false">
      <c r="A675" s="21"/>
      <c r="B675" s="17"/>
      <c r="C675" s="17"/>
      <c r="D675" s="17"/>
      <c r="E675" s="17"/>
      <c r="F675" s="17"/>
      <c r="G675" s="17"/>
      <c r="H675" s="17"/>
      <c r="I675" s="17"/>
      <c r="J675" s="18" t="str">
        <f aca="false">IF($A675="","",$B675+$C675+$D675-$E675+$F675-$G675)</f>
        <v/>
      </c>
      <c r="K675" s="18" t="str">
        <f aca="false">IF($A675="","",MAX(0,$B675-$J675))</f>
        <v/>
      </c>
      <c r="L675" s="19" t="str">
        <f aca="false">IF($A675="","",IF($B675=0,0,$K675/$B675))</f>
        <v/>
      </c>
      <c r="M675" s="20" t="str">
        <f aca="false">IF($A675="","",IF($J675&lt;0,"BORCA BATIK",IF($I675&lt;$H675,"BORCA BATIK",IF($L675&gt;=TtkUcteIkiEsik,"2/3 KAYIP (KRİTİK)",IF($L675&gt;=TtkUcteBirEsik,"1/3 KAYIP (DİKKAT)","UYGUN")))))</f>
        <v/>
      </c>
    </row>
    <row r="676" customFormat="false" ht="15" hidden="false" customHeight="false" outlineLevel="0" collapsed="false">
      <c r="A676" s="21"/>
      <c r="B676" s="17"/>
      <c r="C676" s="17"/>
      <c r="D676" s="17"/>
      <c r="E676" s="17"/>
      <c r="F676" s="17"/>
      <c r="G676" s="17"/>
      <c r="H676" s="17"/>
      <c r="I676" s="17"/>
      <c r="J676" s="18" t="str">
        <f aca="false">IF($A676="","",$B676+$C676+$D676-$E676+$F676-$G676)</f>
        <v/>
      </c>
      <c r="K676" s="18" t="str">
        <f aca="false">IF($A676="","",MAX(0,$B676-$J676))</f>
        <v/>
      </c>
      <c r="L676" s="19" t="str">
        <f aca="false">IF($A676="","",IF($B676=0,0,$K676/$B676))</f>
        <v/>
      </c>
      <c r="M676" s="20" t="str">
        <f aca="false">IF($A676="","",IF($J676&lt;0,"BORCA BATIK",IF($I676&lt;$H676,"BORCA BATIK",IF($L676&gt;=TtkUcteIkiEsik,"2/3 KAYIP (KRİTİK)",IF($L676&gt;=TtkUcteBirEsik,"1/3 KAYIP (DİKKAT)","UYGUN")))))</f>
        <v/>
      </c>
    </row>
    <row r="677" customFormat="false" ht="15" hidden="false" customHeight="false" outlineLevel="0" collapsed="false">
      <c r="A677" s="21"/>
      <c r="B677" s="17"/>
      <c r="C677" s="17"/>
      <c r="D677" s="17"/>
      <c r="E677" s="17"/>
      <c r="F677" s="17"/>
      <c r="G677" s="17"/>
      <c r="H677" s="17"/>
      <c r="I677" s="17"/>
      <c r="J677" s="18" t="str">
        <f aca="false">IF($A677="","",$B677+$C677+$D677-$E677+$F677-$G677)</f>
        <v/>
      </c>
      <c r="K677" s="18" t="str">
        <f aca="false">IF($A677="","",MAX(0,$B677-$J677))</f>
        <v/>
      </c>
      <c r="L677" s="19" t="str">
        <f aca="false">IF($A677="","",IF($B677=0,0,$K677/$B677))</f>
        <v/>
      </c>
      <c r="M677" s="20" t="str">
        <f aca="false">IF($A677="","",IF($J677&lt;0,"BORCA BATIK",IF($I677&lt;$H677,"BORCA BATIK",IF($L677&gt;=TtkUcteIkiEsik,"2/3 KAYIP (KRİTİK)",IF($L677&gt;=TtkUcteBirEsik,"1/3 KAYIP (DİKKAT)","UYGUN")))))</f>
        <v/>
      </c>
    </row>
    <row r="678" customFormat="false" ht="15" hidden="false" customHeight="false" outlineLevel="0" collapsed="false">
      <c r="A678" s="21"/>
      <c r="B678" s="17"/>
      <c r="C678" s="17"/>
      <c r="D678" s="17"/>
      <c r="E678" s="17"/>
      <c r="F678" s="17"/>
      <c r="G678" s="17"/>
      <c r="H678" s="17"/>
      <c r="I678" s="17"/>
      <c r="J678" s="18" t="str">
        <f aca="false">IF($A678="","",$B678+$C678+$D678-$E678+$F678-$G678)</f>
        <v/>
      </c>
      <c r="K678" s="18" t="str">
        <f aca="false">IF($A678="","",MAX(0,$B678-$J678))</f>
        <v/>
      </c>
      <c r="L678" s="19" t="str">
        <f aca="false">IF($A678="","",IF($B678=0,0,$K678/$B678))</f>
        <v/>
      </c>
      <c r="M678" s="20" t="str">
        <f aca="false">IF($A678="","",IF($J678&lt;0,"BORCA BATIK",IF($I678&lt;$H678,"BORCA BATIK",IF($L678&gt;=TtkUcteIkiEsik,"2/3 KAYIP (KRİTİK)",IF($L678&gt;=TtkUcteBirEsik,"1/3 KAYIP (DİKKAT)","UYGUN")))))</f>
        <v/>
      </c>
    </row>
    <row r="679" customFormat="false" ht="15" hidden="false" customHeight="false" outlineLevel="0" collapsed="false">
      <c r="A679" s="21"/>
      <c r="B679" s="17"/>
      <c r="C679" s="17"/>
      <c r="D679" s="17"/>
      <c r="E679" s="17"/>
      <c r="F679" s="17"/>
      <c r="G679" s="17"/>
      <c r="H679" s="17"/>
      <c r="I679" s="17"/>
      <c r="J679" s="18" t="str">
        <f aca="false">IF($A679="","",$B679+$C679+$D679-$E679+$F679-$G679)</f>
        <v/>
      </c>
      <c r="K679" s="18" t="str">
        <f aca="false">IF($A679="","",MAX(0,$B679-$J679))</f>
        <v/>
      </c>
      <c r="L679" s="19" t="str">
        <f aca="false">IF($A679="","",IF($B679=0,0,$K679/$B679))</f>
        <v/>
      </c>
      <c r="M679" s="20" t="str">
        <f aca="false">IF($A679="","",IF($J679&lt;0,"BORCA BATIK",IF($I679&lt;$H679,"BORCA BATIK",IF($L679&gt;=TtkUcteIkiEsik,"2/3 KAYIP (KRİTİK)",IF($L679&gt;=TtkUcteBirEsik,"1/3 KAYIP (DİKKAT)","UYGUN")))))</f>
        <v/>
      </c>
    </row>
    <row r="680" customFormat="false" ht="15" hidden="false" customHeight="false" outlineLevel="0" collapsed="false">
      <c r="A680" s="21"/>
      <c r="B680" s="17"/>
      <c r="C680" s="17"/>
      <c r="D680" s="17"/>
      <c r="E680" s="17"/>
      <c r="F680" s="17"/>
      <c r="G680" s="17"/>
      <c r="H680" s="17"/>
      <c r="I680" s="17"/>
      <c r="J680" s="18" t="str">
        <f aca="false">IF($A680="","",$B680+$C680+$D680-$E680+$F680-$G680)</f>
        <v/>
      </c>
      <c r="K680" s="18" t="str">
        <f aca="false">IF($A680="","",MAX(0,$B680-$J680))</f>
        <v/>
      </c>
      <c r="L680" s="19" t="str">
        <f aca="false">IF($A680="","",IF($B680=0,0,$K680/$B680))</f>
        <v/>
      </c>
      <c r="M680" s="20" t="str">
        <f aca="false">IF($A680="","",IF($J680&lt;0,"BORCA BATIK",IF($I680&lt;$H680,"BORCA BATIK",IF($L680&gt;=TtkUcteIkiEsik,"2/3 KAYIP (KRİTİK)",IF($L680&gt;=TtkUcteBirEsik,"1/3 KAYIP (DİKKAT)","UYGUN")))))</f>
        <v/>
      </c>
    </row>
    <row r="681" customFormat="false" ht="15" hidden="false" customHeight="false" outlineLevel="0" collapsed="false">
      <c r="A681" s="21"/>
      <c r="B681" s="17"/>
      <c r="C681" s="17"/>
      <c r="D681" s="17"/>
      <c r="E681" s="17"/>
      <c r="F681" s="17"/>
      <c r="G681" s="17"/>
      <c r="H681" s="17"/>
      <c r="I681" s="17"/>
      <c r="J681" s="18" t="str">
        <f aca="false">IF($A681="","",$B681+$C681+$D681-$E681+$F681-$G681)</f>
        <v/>
      </c>
      <c r="K681" s="18" t="str">
        <f aca="false">IF($A681="","",MAX(0,$B681-$J681))</f>
        <v/>
      </c>
      <c r="L681" s="19" t="str">
        <f aca="false">IF($A681="","",IF($B681=0,0,$K681/$B681))</f>
        <v/>
      </c>
      <c r="M681" s="20" t="str">
        <f aca="false">IF($A681="","",IF($J681&lt;0,"BORCA BATIK",IF($I681&lt;$H681,"BORCA BATIK",IF($L681&gt;=TtkUcteIkiEsik,"2/3 KAYIP (KRİTİK)",IF($L681&gt;=TtkUcteBirEsik,"1/3 KAYIP (DİKKAT)","UYGUN")))))</f>
        <v/>
      </c>
    </row>
    <row r="682" customFormat="false" ht="15" hidden="false" customHeight="false" outlineLevel="0" collapsed="false">
      <c r="A682" s="21"/>
      <c r="B682" s="17"/>
      <c r="C682" s="17"/>
      <c r="D682" s="17"/>
      <c r="E682" s="17"/>
      <c r="F682" s="17"/>
      <c r="G682" s="17"/>
      <c r="H682" s="17"/>
      <c r="I682" s="17"/>
      <c r="J682" s="18" t="str">
        <f aca="false">IF($A682="","",$B682+$C682+$D682-$E682+$F682-$G682)</f>
        <v/>
      </c>
      <c r="K682" s="18" t="str">
        <f aca="false">IF($A682="","",MAX(0,$B682-$J682))</f>
        <v/>
      </c>
      <c r="L682" s="19" t="str">
        <f aca="false">IF($A682="","",IF($B682=0,0,$K682/$B682))</f>
        <v/>
      </c>
      <c r="M682" s="20" t="str">
        <f aca="false">IF($A682="","",IF($J682&lt;0,"BORCA BATIK",IF($I682&lt;$H682,"BORCA BATIK",IF($L682&gt;=TtkUcteIkiEsik,"2/3 KAYIP (KRİTİK)",IF($L682&gt;=TtkUcteBirEsik,"1/3 KAYIP (DİKKAT)","UYGUN")))))</f>
        <v/>
      </c>
    </row>
    <row r="683" customFormat="false" ht="15" hidden="false" customHeight="false" outlineLevel="0" collapsed="false">
      <c r="A683" s="21"/>
      <c r="B683" s="17"/>
      <c r="C683" s="17"/>
      <c r="D683" s="17"/>
      <c r="E683" s="17"/>
      <c r="F683" s="17"/>
      <c r="G683" s="17"/>
      <c r="H683" s="17"/>
      <c r="I683" s="17"/>
      <c r="J683" s="18" t="str">
        <f aca="false">IF($A683="","",$B683+$C683+$D683-$E683+$F683-$G683)</f>
        <v/>
      </c>
      <c r="K683" s="18" t="str">
        <f aca="false">IF($A683="","",MAX(0,$B683-$J683))</f>
        <v/>
      </c>
      <c r="L683" s="19" t="str">
        <f aca="false">IF($A683="","",IF($B683=0,0,$K683/$B683))</f>
        <v/>
      </c>
      <c r="M683" s="20" t="str">
        <f aca="false">IF($A683="","",IF($J683&lt;0,"BORCA BATIK",IF($I683&lt;$H683,"BORCA BATIK",IF($L683&gt;=TtkUcteIkiEsik,"2/3 KAYIP (KRİTİK)",IF($L683&gt;=TtkUcteBirEsik,"1/3 KAYIP (DİKKAT)","UYGUN")))))</f>
        <v/>
      </c>
    </row>
    <row r="684" customFormat="false" ht="15" hidden="false" customHeight="false" outlineLevel="0" collapsed="false">
      <c r="A684" s="21"/>
      <c r="B684" s="17"/>
      <c r="C684" s="17"/>
      <c r="D684" s="17"/>
      <c r="E684" s="17"/>
      <c r="F684" s="17"/>
      <c r="G684" s="17"/>
      <c r="H684" s="17"/>
      <c r="I684" s="17"/>
      <c r="J684" s="18" t="str">
        <f aca="false">IF($A684="","",$B684+$C684+$D684-$E684+$F684-$G684)</f>
        <v/>
      </c>
      <c r="K684" s="18" t="str">
        <f aca="false">IF($A684="","",MAX(0,$B684-$J684))</f>
        <v/>
      </c>
      <c r="L684" s="19" t="str">
        <f aca="false">IF($A684="","",IF($B684=0,0,$K684/$B684))</f>
        <v/>
      </c>
      <c r="M684" s="20" t="str">
        <f aca="false">IF($A684="","",IF($J684&lt;0,"BORCA BATIK",IF($I684&lt;$H684,"BORCA BATIK",IF($L684&gt;=TtkUcteIkiEsik,"2/3 KAYIP (KRİTİK)",IF($L684&gt;=TtkUcteBirEsik,"1/3 KAYIP (DİKKAT)","UYGUN")))))</f>
        <v/>
      </c>
    </row>
    <row r="685" customFormat="false" ht="15" hidden="false" customHeight="false" outlineLevel="0" collapsed="false">
      <c r="A685" s="21"/>
      <c r="B685" s="17"/>
      <c r="C685" s="17"/>
      <c r="D685" s="17"/>
      <c r="E685" s="17"/>
      <c r="F685" s="17"/>
      <c r="G685" s="17"/>
      <c r="H685" s="17"/>
      <c r="I685" s="17"/>
      <c r="J685" s="18" t="str">
        <f aca="false">IF($A685="","",$B685+$C685+$D685-$E685+$F685-$G685)</f>
        <v/>
      </c>
      <c r="K685" s="18" t="str">
        <f aca="false">IF($A685="","",MAX(0,$B685-$J685))</f>
        <v/>
      </c>
      <c r="L685" s="19" t="str">
        <f aca="false">IF($A685="","",IF($B685=0,0,$K685/$B685))</f>
        <v/>
      </c>
      <c r="M685" s="20" t="str">
        <f aca="false">IF($A685="","",IF($J685&lt;0,"BORCA BATIK",IF($I685&lt;$H685,"BORCA BATIK",IF($L685&gt;=TtkUcteIkiEsik,"2/3 KAYIP (KRİTİK)",IF($L685&gt;=TtkUcteBirEsik,"1/3 KAYIP (DİKKAT)","UYGUN")))))</f>
        <v/>
      </c>
    </row>
    <row r="686" customFormat="false" ht="15" hidden="false" customHeight="false" outlineLevel="0" collapsed="false">
      <c r="A686" s="21"/>
      <c r="B686" s="17"/>
      <c r="C686" s="17"/>
      <c r="D686" s="17"/>
      <c r="E686" s="17"/>
      <c r="F686" s="17"/>
      <c r="G686" s="17"/>
      <c r="H686" s="17"/>
      <c r="I686" s="17"/>
      <c r="J686" s="18" t="str">
        <f aca="false">IF($A686="","",$B686+$C686+$D686-$E686+$F686-$G686)</f>
        <v/>
      </c>
      <c r="K686" s="18" t="str">
        <f aca="false">IF($A686="","",MAX(0,$B686-$J686))</f>
        <v/>
      </c>
      <c r="L686" s="19" t="str">
        <f aca="false">IF($A686="","",IF($B686=0,0,$K686/$B686))</f>
        <v/>
      </c>
      <c r="M686" s="20" t="str">
        <f aca="false">IF($A686="","",IF($J686&lt;0,"BORCA BATIK",IF($I686&lt;$H686,"BORCA BATIK",IF($L686&gt;=TtkUcteIkiEsik,"2/3 KAYIP (KRİTİK)",IF($L686&gt;=TtkUcteBirEsik,"1/3 KAYIP (DİKKAT)","UYGUN")))))</f>
        <v/>
      </c>
    </row>
    <row r="687" customFormat="false" ht="15" hidden="false" customHeight="false" outlineLevel="0" collapsed="false">
      <c r="A687" s="21"/>
      <c r="B687" s="17"/>
      <c r="C687" s="17"/>
      <c r="D687" s="17"/>
      <c r="E687" s="17"/>
      <c r="F687" s="17"/>
      <c r="G687" s="17"/>
      <c r="H687" s="17"/>
      <c r="I687" s="17"/>
      <c r="J687" s="18" t="str">
        <f aca="false">IF($A687="","",$B687+$C687+$D687-$E687+$F687-$G687)</f>
        <v/>
      </c>
      <c r="K687" s="18" t="str">
        <f aca="false">IF($A687="","",MAX(0,$B687-$J687))</f>
        <v/>
      </c>
      <c r="L687" s="19" t="str">
        <f aca="false">IF($A687="","",IF($B687=0,0,$K687/$B687))</f>
        <v/>
      </c>
      <c r="M687" s="20" t="str">
        <f aca="false">IF($A687="","",IF($J687&lt;0,"BORCA BATIK",IF($I687&lt;$H687,"BORCA BATIK",IF($L687&gt;=TtkUcteIkiEsik,"2/3 KAYIP (KRİTİK)",IF($L687&gt;=TtkUcteBirEsik,"1/3 KAYIP (DİKKAT)","UYGUN")))))</f>
        <v/>
      </c>
    </row>
    <row r="688" customFormat="false" ht="15" hidden="false" customHeight="false" outlineLevel="0" collapsed="false">
      <c r="A688" s="21"/>
      <c r="B688" s="17"/>
      <c r="C688" s="17"/>
      <c r="D688" s="17"/>
      <c r="E688" s="17"/>
      <c r="F688" s="17"/>
      <c r="G688" s="17"/>
      <c r="H688" s="17"/>
      <c r="I688" s="17"/>
      <c r="J688" s="18" t="str">
        <f aca="false">IF($A688="","",$B688+$C688+$D688-$E688+$F688-$G688)</f>
        <v/>
      </c>
      <c r="K688" s="18" t="str">
        <f aca="false">IF($A688="","",MAX(0,$B688-$J688))</f>
        <v/>
      </c>
      <c r="L688" s="19" t="str">
        <f aca="false">IF($A688="","",IF($B688=0,0,$K688/$B688))</f>
        <v/>
      </c>
      <c r="M688" s="20" t="str">
        <f aca="false">IF($A688="","",IF($J688&lt;0,"BORCA BATIK",IF($I688&lt;$H688,"BORCA BATIK",IF($L688&gt;=TtkUcteIkiEsik,"2/3 KAYIP (KRİTİK)",IF($L688&gt;=TtkUcteBirEsik,"1/3 KAYIP (DİKKAT)","UYGUN")))))</f>
        <v/>
      </c>
    </row>
    <row r="689" customFormat="false" ht="15" hidden="false" customHeight="false" outlineLevel="0" collapsed="false">
      <c r="A689" s="21"/>
      <c r="B689" s="17"/>
      <c r="C689" s="17"/>
      <c r="D689" s="17"/>
      <c r="E689" s="17"/>
      <c r="F689" s="17"/>
      <c r="G689" s="17"/>
      <c r="H689" s="17"/>
      <c r="I689" s="17"/>
      <c r="J689" s="18" t="str">
        <f aca="false">IF($A689="","",$B689+$C689+$D689-$E689+$F689-$G689)</f>
        <v/>
      </c>
      <c r="K689" s="18" t="str">
        <f aca="false">IF($A689="","",MAX(0,$B689-$J689))</f>
        <v/>
      </c>
      <c r="L689" s="19" t="str">
        <f aca="false">IF($A689="","",IF($B689=0,0,$K689/$B689))</f>
        <v/>
      </c>
      <c r="M689" s="20" t="str">
        <f aca="false">IF($A689="","",IF($J689&lt;0,"BORCA BATIK",IF($I689&lt;$H689,"BORCA BATIK",IF($L689&gt;=TtkUcteIkiEsik,"2/3 KAYIP (KRİTİK)",IF($L689&gt;=TtkUcteBirEsik,"1/3 KAYIP (DİKKAT)","UYGUN")))))</f>
        <v/>
      </c>
    </row>
    <row r="690" customFormat="false" ht="15" hidden="false" customHeight="false" outlineLevel="0" collapsed="false">
      <c r="A690" s="21"/>
      <c r="B690" s="17"/>
      <c r="C690" s="17"/>
      <c r="D690" s="17"/>
      <c r="E690" s="17"/>
      <c r="F690" s="17"/>
      <c r="G690" s="17"/>
      <c r="H690" s="17"/>
      <c r="I690" s="17"/>
      <c r="J690" s="18" t="str">
        <f aca="false">IF($A690="","",$B690+$C690+$D690-$E690+$F690-$G690)</f>
        <v/>
      </c>
      <c r="K690" s="18" t="str">
        <f aca="false">IF($A690="","",MAX(0,$B690-$J690))</f>
        <v/>
      </c>
      <c r="L690" s="19" t="str">
        <f aca="false">IF($A690="","",IF($B690=0,0,$K690/$B690))</f>
        <v/>
      </c>
      <c r="M690" s="20" t="str">
        <f aca="false">IF($A690="","",IF($J690&lt;0,"BORCA BATIK",IF($I690&lt;$H690,"BORCA BATIK",IF($L690&gt;=TtkUcteIkiEsik,"2/3 KAYIP (KRİTİK)",IF($L690&gt;=TtkUcteBirEsik,"1/3 KAYIP (DİKKAT)","UYGUN")))))</f>
        <v/>
      </c>
    </row>
    <row r="691" customFormat="false" ht="15" hidden="false" customHeight="false" outlineLevel="0" collapsed="false">
      <c r="A691" s="21"/>
      <c r="B691" s="17"/>
      <c r="C691" s="17"/>
      <c r="D691" s="17"/>
      <c r="E691" s="17"/>
      <c r="F691" s="17"/>
      <c r="G691" s="17"/>
      <c r="H691" s="17"/>
      <c r="I691" s="17"/>
      <c r="J691" s="18" t="str">
        <f aca="false">IF($A691="","",$B691+$C691+$D691-$E691+$F691-$G691)</f>
        <v/>
      </c>
      <c r="K691" s="18" t="str">
        <f aca="false">IF($A691="","",MAX(0,$B691-$J691))</f>
        <v/>
      </c>
      <c r="L691" s="19" t="str">
        <f aca="false">IF($A691="","",IF($B691=0,0,$K691/$B691))</f>
        <v/>
      </c>
      <c r="M691" s="20" t="str">
        <f aca="false">IF($A691="","",IF($J691&lt;0,"BORCA BATIK",IF($I691&lt;$H691,"BORCA BATIK",IF($L691&gt;=TtkUcteIkiEsik,"2/3 KAYIP (KRİTİK)",IF($L691&gt;=TtkUcteBirEsik,"1/3 KAYIP (DİKKAT)","UYGUN")))))</f>
        <v/>
      </c>
    </row>
    <row r="692" customFormat="false" ht="15" hidden="false" customHeight="false" outlineLevel="0" collapsed="false">
      <c r="A692" s="21"/>
      <c r="B692" s="17"/>
      <c r="C692" s="17"/>
      <c r="D692" s="17"/>
      <c r="E692" s="17"/>
      <c r="F692" s="17"/>
      <c r="G692" s="17"/>
      <c r="H692" s="17"/>
      <c r="I692" s="17"/>
      <c r="J692" s="18" t="str">
        <f aca="false">IF($A692="","",$B692+$C692+$D692-$E692+$F692-$G692)</f>
        <v/>
      </c>
      <c r="K692" s="18" t="str">
        <f aca="false">IF($A692="","",MAX(0,$B692-$J692))</f>
        <v/>
      </c>
      <c r="L692" s="19" t="str">
        <f aca="false">IF($A692="","",IF($B692=0,0,$K692/$B692))</f>
        <v/>
      </c>
      <c r="M692" s="20" t="str">
        <f aca="false">IF($A692="","",IF($J692&lt;0,"BORCA BATIK",IF($I692&lt;$H692,"BORCA BATIK",IF($L692&gt;=TtkUcteIkiEsik,"2/3 KAYIP (KRİTİK)",IF($L692&gt;=TtkUcteBirEsik,"1/3 KAYIP (DİKKAT)","UYGUN")))))</f>
        <v/>
      </c>
    </row>
    <row r="693" customFormat="false" ht="15" hidden="false" customHeight="false" outlineLevel="0" collapsed="false">
      <c r="A693" s="21"/>
      <c r="B693" s="17"/>
      <c r="C693" s="17"/>
      <c r="D693" s="17"/>
      <c r="E693" s="17"/>
      <c r="F693" s="17"/>
      <c r="G693" s="17"/>
      <c r="H693" s="17"/>
      <c r="I693" s="17"/>
      <c r="J693" s="18" t="str">
        <f aca="false">IF($A693="","",$B693+$C693+$D693-$E693+$F693-$G693)</f>
        <v/>
      </c>
      <c r="K693" s="18" t="str">
        <f aca="false">IF($A693="","",MAX(0,$B693-$J693))</f>
        <v/>
      </c>
      <c r="L693" s="19" t="str">
        <f aca="false">IF($A693="","",IF($B693=0,0,$K693/$B693))</f>
        <v/>
      </c>
      <c r="M693" s="20" t="str">
        <f aca="false">IF($A693="","",IF($J693&lt;0,"BORCA BATIK",IF($I693&lt;$H693,"BORCA BATIK",IF($L693&gt;=TtkUcteIkiEsik,"2/3 KAYIP (KRİTİK)",IF($L693&gt;=TtkUcteBirEsik,"1/3 KAYIP (DİKKAT)","UYGUN")))))</f>
        <v/>
      </c>
    </row>
    <row r="694" customFormat="false" ht="15" hidden="false" customHeight="false" outlineLevel="0" collapsed="false">
      <c r="A694" s="21"/>
      <c r="B694" s="17"/>
      <c r="C694" s="17"/>
      <c r="D694" s="17"/>
      <c r="E694" s="17"/>
      <c r="F694" s="17"/>
      <c r="G694" s="17"/>
      <c r="H694" s="17"/>
      <c r="I694" s="17"/>
      <c r="J694" s="18" t="str">
        <f aca="false">IF($A694="","",$B694+$C694+$D694-$E694+$F694-$G694)</f>
        <v/>
      </c>
      <c r="K694" s="18" t="str">
        <f aca="false">IF($A694="","",MAX(0,$B694-$J694))</f>
        <v/>
      </c>
      <c r="L694" s="19" t="str">
        <f aca="false">IF($A694="","",IF($B694=0,0,$K694/$B694))</f>
        <v/>
      </c>
      <c r="M694" s="20" t="str">
        <f aca="false">IF($A694="","",IF($J694&lt;0,"BORCA BATIK",IF($I694&lt;$H694,"BORCA BATIK",IF($L694&gt;=TtkUcteIkiEsik,"2/3 KAYIP (KRİTİK)",IF($L694&gt;=TtkUcteBirEsik,"1/3 KAYIP (DİKKAT)","UYGUN")))))</f>
        <v/>
      </c>
    </row>
    <row r="695" customFormat="false" ht="15" hidden="false" customHeight="false" outlineLevel="0" collapsed="false">
      <c r="A695" s="21"/>
      <c r="B695" s="17"/>
      <c r="C695" s="17"/>
      <c r="D695" s="17"/>
      <c r="E695" s="17"/>
      <c r="F695" s="17"/>
      <c r="G695" s="17"/>
      <c r="H695" s="17"/>
      <c r="I695" s="17"/>
      <c r="J695" s="18" t="str">
        <f aca="false">IF($A695="","",$B695+$C695+$D695-$E695+$F695-$G695)</f>
        <v/>
      </c>
      <c r="K695" s="18" t="str">
        <f aca="false">IF($A695="","",MAX(0,$B695-$J695))</f>
        <v/>
      </c>
      <c r="L695" s="19" t="str">
        <f aca="false">IF($A695="","",IF($B695=0,0,$K695/$B695))</f>
        <v/>
      </c>
      <c r="M695" s="20" t="str">
        <f aca="false">IF($A695="","",IF($J695&lt;0,"BORCA BATIK",IF($I695&lt;$H695,"BORCA BATIK",IF($L695&gt;=TtkUcteIkiEsik,"2/3 KAYIP (KRİTİK)",IF($L695&gt;=TtkUcteBirEsik,"1/3 KAYIP (DİKKAT)","UYGUN")))))</f>
        <v/>
      </c>
    </row>
    <row r="696" customFormat="false" ht="15" hidden="false" customHeight="false" outlineLevel="0" collapsed="false">
      <c r="A696" s="21"/>
      <c r="B696" s="17"/>
      <c r="C696" s="17"/>
      <c r="D696" s="17"/>
      <c r="E696" s="17"/>
      <c r="F696" s="17"/>
      <c r="G696" s="17"/>
      <c r="H696" s="17"/>
      <c r="I696" s="17"/>
      <c r="J696" s="18" t="str">
        <f aca="false">IF($A696="","",$B696+$C696+$D696-$E696+$F696-$G696)</f>
        <v/>
      </c>
      <c r="K696" s="18" t="str">
        <f aca="false">IF($A696="","",MAX(0,$B696-$J696))</f>
        <v/>
      </c>
      <c r="L696" s="19" t="str">
        <f aca="false">IF($A696="","",IF($B696=0,0,$K696/$B696))</f>
        <v/>
      </c>
      <c r="M696" s="20" t="str">
        <f aca="false">IF($A696="","",IF($J696&lt;0,"BORCA BATIK",IF($I696&lt;$H696,"BORCA BATIK",IF($L696&gt;=TtkUcteIkiEsik,"2/3 KAYIP (KRİTİK)",IF($L696&gt;=TtkUcteBirEsik,"1/3 KAYIP (DİKKAT)","UYGUN")))))</f>
        <v/>
      </c>
    </row>
    <row r="697" customFormat="false" ht="15" hidden="false" customHeight="false" outlineLevel="0" collapsed="false">
      <c r="A697" s="21"/>
      <c r="B697" s="17"/>
      <c r="C697" s="17"/>
      <c r="D697" s="17"/>
      <c r="E697" s="17"/>
      <c r="F697" s="17"/>
      <c r="G697" s="17"/>
      <c r="H697" s="17"/>
      <c r="I697" s="17"/>
      <c r="J697" s="18" t="str">
        <f aca="false">IF($A697="","",$B697+$C697+$D697-$E697+$F697-$G697)</f>
        <v/>
      </c>
      <c r="K697" s="18" t="str">
        <f aca="false">IF($A697="","",MAX(0,$B697-$J697))</f>
        <v/>
      </c>
      <c r="L697" s="19" t="str">
        <f aca="false">IF($A697="","",IF($B697=0,0,$K697/$B697))</f>
        <v/>
      </c>
      <c r="M697" s="20" t="str">
        <f aca="false">IF($A697="","",IF($J697&lt;0,"BORCA BATIK",IF($I697&lt;$H697,"BORCA BATIK",IF($L697&gt;=TtkUcteIkiEsik,"2/3 KAYIP (KRİTİK)",IF($L697&gt;=TtkUcteBirEsik,"1/3 KAYIP (DİKKAT)","UYGUN")))))</f>
        <v/>
      </c>
    </row>
    <row r="698" customFormat="false" ht="15" hidden="false" customHeight="false" outlineLevel="0" collapsed="false">
      <c r="A698" s="21"/>
      <c r="B698" s="17"/>
      <c r="C698" s="17"/>
      <c r="D698" s="17"/>
      <c r="E698" s="17"/>
      <c r="F698" s="17"/>
      <c r="G698" s="17"/>
      <c r="H698" s="17"/>
      <c r="I698" s="17"/>
      <c r="J698" s="18" t="str">
        <f aca="false">IF($A698="","",$B698+$C698+$D698-$E698+$F698-$G698)</f>
        <v/>
      </c>
      <c r="K698" s="18" t="str">
        <f aca="false">IF($A698="","",MAX(0,$B698-$J698))</f>
        <v/>
      </c>
      <c r="L698" s="19" t="str">
        <f aca="false">IF($A698="","",IF($B698=0,0,$K698/$B698))</f>
        <v/>
      </c>
      <c r="M698" s="20" t="str">
        <f aca="false">IF($A698="","",IF($J698&lt;0,"BORCA BATIK",IF($I698&lt;$H698,"BORCA BATIK",IF($L698&gt;=TtkUcteIkiEsik,"2/3 KAYIP (KRİTİK)",IF($L698&gt;=TtkUcteBirEsik,"1/3 KAYIP (DİKKAT)","UYGUN")))))</f>
        <v/>
      </c>
    </row>
    <row r="699" customFormat="false" ht="15" hidden="false" customHeight="false" outlineLevel="0" collapsed="false">
      <c r="A699" s="21"/>
      <c r="B699" s="17"/>
      <c r="C699" s="17"/>
      <c r="D699" s="17"/>
      <c r="E699" s="17"/>
      <c r="F699" s="17"/>
      <c r="G699" s="17"/>
      <c r="H699" s="17"/>
      <c r="I699" s="17"/>
      <c r="J699" s="18" t="str">
        <f aca="false">IF($A699="","",$B699+$C699+$D699-$E699+$F699-$G699)</f>
        <v/>
      </c>
      <c r="K699" s="18" t="str">
        <f aca="false">IF($A699="","",MAX(0,$B699-$J699))</f>
        <v/>
      </c>
      <c r="L699" s="19" t="str">
        <f aca="false">IF($A699="","",IF($B699=0,0,$K699/$B699))</f>
        <v/>
      </c>
      <c r="M699" s="20" t="str">
        <f aca="false">IF($A699="","",IF($J699&lt;0,"BORCA BATIK",IF($I699&lt;$H699,"BORCA BATIK",IF($L699&gt;=TtkUcteIkiEsik,"2/3 KAYIP (KRİTİK)",IF($L699&gt;=TtkUcteBirEsik,"1/3 KAYIP (DİKKAT)","UYGUN")))))</f>
        <v/>
      </c>
    </row>
    <row r="700" customFormat="false" ht="15" hidden="false" customHeight="false" outlineLevel="0" collapsed="false">
      <c r="A700" s="21"/>
      <c r="B700" s="17"/>
      <c r="C700" s="17"/>
      <c r="D700" s="17"/>
      <c r="E700" s="17"/>
      <c r="F700" s="17"/>
      <c r="G700" s="17"/>
      <c r="H700" s="17"/>
      <c r="I700" s="17"/>
      <c r="J700" s="18" t="str">
        <f aca="false">IF($A700="","",$B700+$C700+$D700-$E700+$F700-$G700)</f>
        <v/>
      </c>
      <c r="K700" s="18" t="str">
        <f aca="false">IF($A700="","",MAX(0,$B700-$J700))</f>
        <v/>
      </c>
      <c r="L700" s="19" t="str">
        <f aca="false">IF($A700="","",IF($B700=0,0,$K700/$B700))</f>
        <v/>
      </c>
      <c r="M700" s="20" t="str">
        <f aca="false">IF($A700="","",IF($J700&lt;0,"BORCA BATIK",IF($I700&lt;$H700,"BORCA BATIK",IF($L700&gt;=TtkUcteIkiEsik,"2/3 KAYIP (KRİTİK)",IF($L700&gt;=TtkUcteBirEsik,"1/3 KAYIP (DİKKAT)","UYGUN")))))</f>
        <v/>
      </c>
    </row>
    <row r="701" customFormat="false" ht="15" hidden="false" customHeight="false" outlineLevel="0" collapsed="false">
      <c r="A701" s="21"/>
      <c r="B701" s="17"/>
      <c r="C701" s="17"/>
      <c r="D701" s="17"/>
      <c r="E701" s="17"/>
      <c r="F701" s="17"/>
      <c r="G701" s="17"/>
      <c r="H701" s="17"/>
      <c r="I701" s="17"/>
      <c r="J701" s="18" t="str">
        <f aca="false">IF($A701="","",$B701+$C701+$D701-$E701+$F701-$G701)</f>
        <v/>
      </c>
      <c r="K701" s="18" t="str">
        <f aca="false">IF($A701="","",MAX(0,$B701-$J701))</f>
        <v/>
      </c>
      <c r="L701" s="19" t="str">
        <f aca="false">IF($A701="","",IF($B701=0,0,$K701/$B701))</f>
        <v/>
      </c>
      <c r="M701" s="20" t="str">
        <f aca="false">IF($A701="","",IF($J701&lt;0,"BORCA BATIK",IF($I701&lt;$H701,"BORCA BATIK",IF($L701&gt;=TtkUcteIkiEsik,"2/3 KAYIP (KRİTİK)",IF($L701&gt;=TtkUcteBirEsik,"1/3 KAYIP (DİKKAT)","UYGUN")))))</f>
        <v/>
      </c>
    </row>
    <row r="702" customFormat="false" ht="15" hidden="false" customHeight="false" outlineLevel="0" collapsed="false">
      <c r="A702" s="21"/>
      <c r="B702" s="17"/>
      <c r="C702" s="17"/>
      <c r="D702" s="17"/>
      <c r="E702" s="17"/>
      <c r="F702" s="17"/>
      <c r="G702" s="17"/>
      <c r="H702" s="17"/>
      <c r="I702" s="17"/>
      <c r="J702" s="18" t="str">
        <f aca="false">IF($A702="","",$B702+$C702+$D702-$E702+$F702-$G702)</f>
        <v/>
      </c>
      <c r="K702" s="18" t="str">
        <f aca="false">IF($A702="","",MAX(0,$B702-$J702))</f>
        <v/>
      </c>
      <c r="L702" s="19" t="str">
        <f aca="false">IF($A702="","",IF($B702=0,0,$K702/$B702))</f>
        <v/>
      </c>
      <c r="M702" s="20" t="str">
        <f aca="false">IF($A702="","",IF($J702&lt;0,"BORCA BATIK",IF($I702&lt;$H702,"BORCA BATIK",IF($L702&gt;=TtkUcteIkiEsik,"2/3 KAYIP (KRİTİK)",IF($L702&gt;=TtkUcteBirEsik,"1/3 KAYIP (DİKKAT)","UYGUN")))))</f>
        <v/>
      </c>
    </row>
    <row r="703" customFormat="false" ht="15" hidden="false" customHeight="false" outlineLevel="0" collapsed="false">
      <c r="A703" s="21"/>
      <c r="B703" s="17"/>
      <c r="C703" s="17"/>
      <c r="D703" s="17"/>
      <c r="E703" s="17"/>
      <c r="F703" s="17"/>
      <c r="G703" s="17"/>
      <c r="H703" s="17"/>
      <c r="I703" s="17"/>
      <c r="J703" s="18" t="str">
        <f aca="false">IF($A703="","",$B703+$C703+$D703-$E703+$F703-$G703)</f>
        <v/>
      </c>
      <c r="K703" s="18" t="str">
        <f aca="false">IF($A703="","",MAX(0,$B703-$J703))</f>
        <v/>
      </c>
      <c r="L703" s="19" t="str">
        <f aca="false">IF($A703="","",IF($B703=0,0,$K703/$B703))</f>
        <v/>
      </c>
      <c r="M703" s="20" t="str">
        <f aca="false">IF($A703="","",IF($J703&lt;0,"BORCA BATIK",IF($I703&lt;$H703,"BORCA BATIK",IF($L703&gt;=TtkUcteIkiEsik,"2/3 KAYIP (KRİTİK)",IF($L703&gt;=TtkUcteBirEsik,"1/3 KAYIP (DİKKAT)","UYGUN")))))</f>
        <v/>
      </c>
    </row>
    <row r="704" customFormat="false" ht="15" hidden="false" customHeight="false" outlineLevel="0" collapsed="false">
      <c r="A704" s="21"/>
      <c r="B704" s="17"/>
      <c r="C704" s="17"/>
      <c r="D704" s="17"/>
      <c r="E704" s="17"/>
      <c r="F704" s="17"/>
      <c r="G704" s="17"/>
      <c r="H704" s="17"/>
      <c r="I704" s="17"/>
      <c r="J704" s="18" t="str">
        <f aca="false">IF($A704="","",$B704+$C704+$D704-$E704+$F704-$G704)</f>
        <v/>
      </c>
      <c r="K704" s="18" t="str">
        <f aca="false">IF($A704="","",MAX(0,$B704-$J704))</f>
        <v/>
      </c>
      <c r="L704" s="19" t="str">
        <f aca="false">IF($A704="","",IF($B704=0,0,$K704/$B704))</f>
        <v/>
      </c>
      <c r="M704" s="20" t="str">
        <f aca="false">IF($A704="","",IF($J704&lt;0,"BORCA BATIK",IF($I704&lt;$H704,"BORCA BATIK",IF($L704&gt;=TtkUcteIkiEsik,"2/3 KAYIP (KRİTİK)",IF($L704&gt;=TtkUcteBirEsik,"1/3 KAYIP (DİKKAT)","UYGUN")))))</f>
        <v/>
      </c>
    </row>
    <row r="705" customFormat="false" ht="15" hidden="false" customHeight="false" outlineLevel="0" collapsed="false">
      <c r="A705" s="21"/>
      <c r="B705" s="17"/>
      <c r="C705" s="17"/>
      <c r="D705" s="17"/>
      <c r="E705" s="17"/>
      <c r="F705" s="17"/>
      <c r="G705" s="17"/>
      <c r="H705" s="17"/>
      <c r="I705" s="17"/>
      <c r="J705" s="18" t="str">
        <f aca="false">IF($A705="","",$B705+$C705+$D705-$E705+$F705-$G705)</f>
        <v/>
      </c>
      <c r="K705" s="18" t="str">
        <f aca="false">IF($A705="","",MAX(0,$B705-$J705))</f>
        <v/>
      </c>
      <c r="L705" s="19" t="str">
        <f aca="false">IF($A705="","",IF($B705=0,0,$K705/$B705))</f>
        <v/>
      </c>
      <c r="M705" s="20" t="str">
        <f aca="false">IF($A705="","",IF($J705&lt;0,"BORCA BATIK",IF($I705&lt;$H705,"BORCA BATIK",IF($L705&gt;=TtkUcteIkiEsik,"2/3 KAYIP (KRİTİK)",IF($L705&gt;=TtkUcteBirEsik,"1/3 KAYIP (DİKKAT)","UYGUN")))))</f>
        <v/>
      </c>
    </row>
    <row r="706" customFormat="false" ht="15" hidden="false" customHeight="false" outlineLevel="0" collapsed="false">
      <c r="A706" s="21"/>
      <c r="B706" s="17"/>
      <c r="C706" s="17"/>
      <c r="D706" s="17"/>
      <c r="E706" s="17"/>
      <c r="F706" s="17"/>
      <c r="G706" s="17"/>
      <c r="H706" s="17"/>
      <c r="I706" s="17"/>
      <c r="J706" s="18" t="str">
        <f aca="false">IF($A706="","",$B706+$C706+$D706-$E706+$F706-$G706)</f>
        <v/>
      </c>
      <c r="K706" s="18" t="str">
        <f aca="false">IF($A706="","",MAX(0,$B706-$J706))</f>
        <v/>
      </c>
      <c r="L706" s="19" t="str">
        <f aca="false">IF($A706="","",IF($B706=0,0,$K706/$B706))</f>
        <v/>
      </c>
      <c r="M706" s="20" t="str">
        <f aca="false">IF($A706="","",IF($J706&lt;0,"BORCA BATIK",IF($I706&lt;$H706,"BORCA BATIK",IF($L706&gt;=TtkUcteIkiEsik,"2/3 KAYIP (KRİTİK)",IF($L706&gt;=TtkUcteBirEsik,"1/3 KAYIP (DİKKAT)","UYGUN")))))</f>
        <v/>
      </c>
    </row>
    <row r="707" customFormat="false" ht="15" hidden="false" customHeight="false" outlineLevel="0" collapsed="false">
      <c r="A707" s="21"/>
      <c r="B707" s="17"/>
      <c r="C707" s="17"/>
      <c r="D707" s="17"/>
      <c r="E707" s="17"/>
      <c r="F707" s="17"/>
      <c r="G707" s="17"/>
      <c r="H707" s="17"/>
      <c r="I707" s="17"/>
      <c r="J707" s="18" t="str">
        <f aca="false">IF($A707="","",$B707+$C707+$D707-$E707+$F707-$G707)</f>
        <v/>
      </c>
      <c r="K707" s="18" t="str">
        <f aca="false">IF($A707="","",MAX(0,$B707-$J707))</f>
        <v/>
      </c>
      <c r="L707" s="19" t="str">
        <f aca="false">IF($A707="","",IF($B707=0,0,$K707/$B707))</f>
        <v/>
      </c>
      <c r="M707" s="20" t="str">
        <f aca="false">IF($A707="","",IF($J707&lt;0,"BORCA BATIK",IF($I707&lt;$H707,"BORCA BATIK",IF($L707&gt;=TtkUcteIkiEsik,"2/3 KAYIP (KRİTİK)",IF($L707&gt;=TtkUcteBirEsik,"1/3 KAYIP (DİKKAT)","UYGUN")))))</f>
        <v/>
      </c>
    </row>
    <row r="708" customFormat="false" ht="15" hidden="false" customHeight="false" outlineLevel="0" collapsed="false">
      <c r="A708" s="21"/>
      <c r="B708" s="17"/>
      <c r="C708" s="17"/>
      <c r="D708" s="17"/>
      <c r="E708" s="17"/>
      <c r="F708" s="17"/>
      <c r="G708" s="17"/>
      <c r="H708" s="17"/>
      <c r="I708" s="17"/>
      <c r="J708" s="18" t="str">
        <f aca="false">IF($A708="","",$B708+$C708+$D708-$E708+$F708-$G708)</f>
        <v/>
      </c>
      <c r="K708" s="18" t="str">
        <f aca="false">IF($A708="","",MAX(0,$B708-$J708))</f>
        <v/>
      </c>
      <c r="L708" s="19" t="str">
        <f aca="false">IF($A708="","",IF($B708=0,0,$K708/$B708))</f>
        <v/>
      </c>
      <c r="M708" s="20" t="str">
        <f aca="false">IF($A708="","",IF($J708&lt;0,"BORCA BATIK",IF($I708&lt;$H708,"BORCA BATIK",IF($L708&gt;=TtkUcteIkiEsik,"2/3 KAYIP (KRİTİK)",IF($L708&gt;=TtkUcteBirEsik,"1/3 KAYIP (DİKKAT)","UYGUN")))))</f>
        <v/>
      </c>
    </row>
    <row r="709" customFormat="false" ht="15" hidden="false" customHeight="false" outlineLevel="0" collapsed="false">
      <c r="A709" s="21"/>
      <c r="B709" s="17"/>
      <c r="C709" s="17"/>
      <c r="D709" s="17"/>
      <c r="E709" s="17"/>
      <c r="F709" s="17"/>
      <c r="G709" s="17"/>
      <c r="H709" s="17"/>
      <c r="I709" s="17"/>
      <c r="J709" s="18" t="str">
        <f aca="false">IF($A709="","",$B709+$C709+$D709-$E709+$F709-$G709)</f>
        <v/>
      </c>
      <c r="K709" s="18" t="str">
        <f aca="false">IF($A709="","",MAX(0,$B709-$J709))</f>
        <v/>
      </c>
      <c r="L709" s="19" t="str">
        <f aca="false">IF($A709="","",IF($B709=0,0,$K709/$B709))</f>
        <v/>
      </c>
      <c r="M709" s="20" t="str">
        <f aca="false">IF($A709="","",IF($J709&lt;0,"BORCA BATIK",IF($I709&lt;$H709,"BORCA BATIK",IF($L709&gt;=TtkUcteIkiEsik,"2/3 KAYIP (KRİTİK)",IF($L709&gt;=TtkUcteBirEsik,"1/3 KAYIP (DİKKAT)","UYGUN")))))</f>
        <v/>
      </c>
    </row>
    <row r="710" customFormat="false" ht="15" hidden="false" customHeight="false" outlineLevel="0" collapsed="false">
      <c r="A710" s="21"/>
      <c r="B710" s="17"/>
      <c r="C710" s="17"/>
      <c r="D710" s="17"/>
      <c r="E710" s="17"/>
      <c r="F710" s="17"/>
      <c r="G710" s="17"/>
      <c r="H710" s="17"/>
      <c r="I710" s="17"/>
      <c r="J710" s="18" t="str">
        <f aca="false">IF($A710="","",$B710+$C710+$D710-$E710+$F710-$G710)</f>
        <v/>
      </c>
      <c r="K710" s="18" t="str">
        <f aca="false">IF($A710="","",MAX(0,$B710-$J710))</f>
        <v/>
      </c>
      <c r="L710" s="19" t="str">
        <f aca="false">IF($A710="","",IF($B710=0,0,$K710/$B710))</f>
        <v/>
      </c>
      <c r="M710" s="20" t="str">
        <f aca="false">IF($A710="","",IF($J710&lt;0,"BORCA BATIK",IF($I710&lt;$H710,"BORCA BATIK",IF($L710&gt;=TtkUcteIkiEsik,"2/3 KAYIP (KRİTİK)",IF($L710&gt;=TtkUcteBirEsik,"1/3 KAYIP (DİKKAT)","UYGUN")))))</f>
        <v/>
      </c>
    </row>
    <row r="711" customFormat="false" ht="15" hidden="false" customHeight="false" outlineLevel="0" collapsed="false">
      <c r="A711" s="21"/>
      <c r="B711" s="17"/>
      <c r="C711" s="17"/>
      <c r="D711" s="17"/>
      <c r="E711" s="17"/>
      <c r="F711" s="17"/>
      <c r="G711" s="17"/>
      <c r="H711" s="17"/>
      <c r="I711" s="17"/>
      <c r="J711" s="18" t="str">
        <f aca="false">IF($A711="","",$B711+$C711+$D711-$E711+$F711-$G711)</f>
        <v/>
      </c>
      <c r="K711" s="18" t="str">
        <f aca="false">IF($A711="","",MAX(0,$B711-$J711))</f>
        <v/>
      </c>
      <c r="L711" s="19" t="str">
        <f aca="false">IF($A711="","",IF($B711=0,0,$K711/$B711))</f>
        <v/>
      </c>
      <c r="M711" s="20" t="str">
        <f aca="false">IF($A711="","",IF($J711&lt;0,"BORCA BATIK",IF($I711&lt;$H711,"BORCA BATIK",IF($L711&gt;=TtkUcteIkiEsik,"2/3 KAYIP (KRİTİK)",IF($L711&gt;=TtkUcteBirEsik,"1/3 KAYIP (DİKKAT)","UYGUN")))))</f>
        <v/>
      </c>
    </row>
    <row r="712" customFormat="false" ht="15" hidden="false" customHeight="false" outlineLevel="0" collapsed="false">
      <c r="A712" s="21"/>
      <c r="B712" s="17"/>
      <c r="C712" s="17"/>
      <c r="D712" s="17"/>
      <c r="E712" s="17"/>
      <c r="F712" s="17"/>
      <c r="G712" s="17"/>
      <c r="H712" s="17"/>
      <c r="I712" s="17"/>
      <c r="J712" s="18" t="str">
        <f aca="false">IF($A712="","",$B712+$C712+$D712-$E712+$F712-$G712)</f>
        <v/>
      </c>
      <c r="K712" s="18" t="str">
        <f aca="false">IF($A712="","",MAX(0,$B712-$J712))</f>
        <v/>
      </c>
      <c r="L712" s="19" t="str">
        <f aca="false">IF($A712="","",IF($B712=0,0,$K712/$B712))</f>
        <v/>
      </c>
      <c r="M712" s="20" t="str">
        <f aca="false">IF($A712="","",IF($J712&lt;0,"BORCA BATIK",IF($I712&lt;$H712,"BORCA BATIK",IF($L712&gt;=TtkUcteIkiEsik,"2/3 KAYIP (KRİTİK)",IF($L712&gt;=TtkUcteBirEsik,"1/3 KAYIP (DİKKAT)","UYGUN")))))</f>
        <v/>
      </c>
    </row>
    <row r="713" customFormat="false" ht="15" hidden="false" customHeight="false" outlineLevel="0" collapsed="false">
      <c r="A713" s="21"/>
      <c r="B713" s="17"/>
      <c r="C713" s="17"/>
      <c r="D713" s="17"/>
      <c r="E713" s="17"/>
      <c r="F713" s="17"/>
      <c r="G713" s="17"/>
      <c r="H713" s="17"/>
      <c r="I713" s="17"/>
      <c r="J713" s="18" t="str">
        <f aca="false">IF($A713="","",$B713+$C713+$D713-$E713+$F713-$G713)</f>
        <v/>
      </c>
      <c r="K713" s="18" t="str">
        <f aca="false">IF($A713="","",MAX(0,$B713-$J713))</f>
        <v/>
      </c>
      <c r="L713" s="19" t="str">
        <f aca="false">IF($A713="","",IF($B713=0,0,$K713/$B713))</f>
        <v/>
      </c>
      <c r="M713" s="20" t="str">
        <f aca="false">IF($A713="","",IF($J713&lt;0,"BORCA BATIK",IF($I713&lt;$H713,"BORCA BATIK",IF($L713&gt;=TtkUcteIkiEsik,"2/3 KAYIP (KRİTİK)",IF($L713&gt;=TtkUcteBirEsik,"1/3 KAYIP (DİKKAT)","UYGUN")))))</f>
        <v/>
      </c>
    </row>
    <row r="714" customFormat="false" ht="15" hidden="false" customHeight="false" outlineLevel="0" collapsed="false">
      <c r="A714" s="21"/>
      <c r="B714" s="17"/>
      <c r="C714" s="17"/>
      <c r="D714" s="17"/>
      <c r="E714" s="17"/>
      <c r="F714" s="17"/>
      <c r="G714" s="17"/>
      <c r="H714" s="17"/>
      <c r="I714" s="17"/>
      <c r="J714" s="18" t="str">
        <f aca="false">IF($A714="","",$B714+$C714+$D714-$E714+$F714-$G714)</f>
        <v/>
      </c>
      <c r="K714" s="18" t="str">
        <f aca="false">IF($A714="","",MAX(0,$B714-$J714))</f>
        <v/>
      </c>
      <c r="L714" s="19" t="str">
        <f aca="false">IF($A714="","",IF($B714=0,0,$K714/$B714))</f>
        <v/>
      </c>
      <c r="M714" s="20" t="str">
        <f aca="false">IF($A714="","",IF($J714&lt;0,"BORCA BATIK",IF($I714&lt;$H714,"BORCA BATIK",IF($L714&gt;=TtkUcteIkiEsik,"2/3 KAYIP (KRİTİK)",IF($L714&gt;=TtkUcteBirEsik,"1/3 KAYIP (DİKKAT)","UYGUN")))))</f>
        <v/>
      </c>
    </row>
    <row r="715" customFormat="false" ht="15" hidden="false" customHeight="false" outlineLevel="0" collapsed="false">
      <c r="A715" s="21"/>
      <c r="B715" s="17"/>
      <c r="C715" s="17"/>
      <c r="D715" s="17"/>
      <c r="E715" s="17"/>
      <c r="F715" s="17"/>
      <c r="G715" s="17"/>
      <c r="H715" s="17"/>
      <c r="I715" s="17"/>
      <c r="J715" s="18" t="str">
        <f aca="false">IF($A715="","",$B715+$C715+$D715-$E715+$F715-$G715)</f>
        <v/>
      </c>
      <c r="K715" s="18" t="str">
        <f aca="false">IF($A715="","",MAX(0,$B715-$J715))</f>
        <v/>
      </c>
      <c r="L715" s="19" t="str">
        <f aca="false">IF($A715="","",IF($B715=0,0,$K715/$B715))</f>
        <v/>
      </c>
      <c r="M715" s="20" t="str">
        <f aca="false">IF($A715="","",IF($J715&lt;0,"BORCA BATIK",IF($I715&lt;$H715,"BORCA BATIK",IF($L715&gt;=TtkUcteIkiEsik,"2/3 KAYIP (KRİTİK)",IF($L715&gt;=TtkUcteBirEsik,"1/3 KAYIP (DİKKAT)","UYGUN")))))</f>
        <v/>
      </c>
    </row>
    <row r="716" customFormat="false" ht="15" hidden="false" customHeight="false" outlineLevel="0" collapsed="false">
      <c r="A716" s="21"/>
      <c r="B716" s="17"/>
      <c r="C716" s="17"/>
      <c r="D716" s="17"/>
      <c r="E716" s="17"/>
      <c r="F716" s="17"/>
      <c r="G716" s="17"/>
      <c r="H716" s="17"/>
      <c r="I716" s="17"/>
      <c r="J716" s="18" t="str">
        <f aca="false">IF($A716="","",$B716+$C716+$D716-$E716+$F716-$G716)</f>
        <v/>
      </c>
      <c r="K716" s="18" t="str">
        <f aca="false">IF($A716="","",MAX(0,$B716-$J716))</f>
        <v/>
      </c>
      <c r="L716" s="19" t="str">
        <f aca="false">IF($A716="","",IF($B716=0,0,$K716/$B716))</f>
        <v/>
      </c>
      <c r="M716" s="20" t="str">
        <f aca="false">IF($A716="","",IF($J716&lt;0,"BORCA BATIK",IF($I716&lt;$H716,"BORCA BATIK",IF($L716&gt;=TtkUcteIkiEsik,"2/3 KAYIP (KRİTİK)",IF($L716&gt;=TtkUcteBirEsik,"1/3 KAYIP (DİKKAT)","UYGUN")))))</f>
        <v/>
      </c>
    </row>
    <row r="717" customFormat="false" ht="15" hidden="false" customHeight="false" outlineLevel="0" collapsed="false">
      <c r="A717" s="21"/>
      <c r="B717" s="17"/>
      <c r="C717" s="17"/>
      <c r="D717" s="17"/>
      <c r="E717" s="17"/>
      <c r="F717" s="17"/>
      <c r="G717" s="17"/>
      <c r="H717" s="17"/>
      <c r="I717" s="17"/>
      <c r="J717" s="18" t="str">
        <f aca="false">IF($A717="","",$B717+$C717+$D717-$E717+$F717-$G717)</f>
        <v/>
      </c>
      <c r="K717" s="18" t="str">
        <f aca="false">IF($A717="","",MAX(0,$B717-$J717))</f>
        <v/>
      </c>
      <c r="L717" s="19" t="str">
        <f aca="false">IF($A717="","",IF($B717=0,0,$K717/$B717))</f>
        <v/>
      </c>
      <c r="M717" s="20" t="str">
        <f aca="false">IF($A717="","",IF($J717&lt;0,"BORCA BATIK",IF($I717&lt;$H717,"BORCA BATIK",IF($L717&gt;=TtkUcteIkiEsik,"2/3 KAYIP (KRİTİK)",IF($L717&gt;=TtkUcteBirEsik,"1/3 KAYIP (DİKKAT)","UYGUN")))))</f>
        <v/>
      </c>
    </row>
    <row r="718" customFormat="false" ht="15" hidden="false" customHeight="false" outlineLevel="0" collapsed="false">
      <c r="A718" s="21"/>
      <c r="B718" s="17"/>
      <c r="C718" s="17"/>
      <c r="D718" s="17"/>
      <c r="E718" s="17"/>
      <c r="F718" s="17"/>
      <c r="G718" s="17"/>
      <c r="H718" s="17"/>
      <c r="I718" s="17"/>
      <c r="J718" s="18" t="str">
        <f aca="false">IF($A718="","",$B718+$C718+$D718-$E718+$F718-$G718)</f>
        <v/>
      </c>
      <c r="K718" s="18" t="str">
        <f aca="false">IF($A718="","",MAX(0,$B718-$J718))</f>
        <v/>
      </c>
      <c r="L718" s="19" t="str">
        <f aca="false">IF($A718="","",IF($B718=0,0,$K718/$B718))</f>
        <v/>
      </c>
      <c r="M718" s="20" t="str">
        <f aca="false">IF($A718="","",IF($J718&lt;0,"BORCA BATIK",IF($I718&lt;$H718,"BORCA BATIK",IF($L718&gt;=TtkUcteIkiEsik,"2/3 KAYIP (KRİTİK)",IF($L718&gt;=TtkUcteBirEsik,"1/3 KAYIP (DİKKAT)","UYGUN")))))</f>
        <v/>
      </c>
    </row>
    <row r="719" customFormat="false" ht="15" hidden="false" customHeight="false" outlineLevel="0" collapsed="false">
      <c r="A719" s="21"/>
      <c r="B719" s="17"/>
      <c r="C719" s="17"/>
      <c r="D719" s="17"/>
      <c r="E719" s="17"/>
      <c r="F719" s="17"/>
      <c r="G719" s="17"/>
      <c r="H719" s="17"/>
      <c r="I719" s="17"/>
      <c r="J719" s="18" t="str">
        <f aca="false">IF($A719="","",$B719+$C719+$D719-$E719+$F719-$G719)</f>
        <v/>
      </c>
      <c r="K719" s="18" t="str">
        <f aca="false">IF($A719="","",MAX(0,$B719-$J719))</f>
        <v/>
      </c>
      <c r="L719" s="19" t="str">
        <f aca="false">IF($A719="","",IF($B719=0,0,$K719/$B719))</f>
        <v/>
      </c>
      <c r="M719" s="20" t="str">
        <f aca="false">IF($A719="","",IF($J719&lt;0,"BORCA BATIK",IF($I719&lt;$H719,"BORCA BATIK",IF($L719&gt;=TtkUcteIkiEsik,"2/3 KAYIP (KRİTİK)",IF($L719&gt;=TtkUcteBirEsik,"1/3 KAYIP (DİKKAT)","UYGUN")))))</f>
        <v/>
      </c>
    </row>
    <row r="720" customFormat="false" ht="15" hidden="false" customHeight="false" outlineLevel="0" collapsed="false">
      <c r="A720" s="21"/>
      <c r="B720" s="17"/>
      <c r="C720" s="17"/>
      <c r="D720" s="17"/>
      <c r="E720" s="17"/>
      <c r="F720" s="17"/>
      <c r="G720" s="17"/>
      <c r="H720" s="17"/>
      <c r="I720" s="17"/>
      <c r="J720" s="18" t="str">
        <f aca="false">IF($A720="","",$B720+$C720+$D720-$E720+$F720-$G720)</f>
        <v/>
      </c>
      <c r="K720" s="18" t="str">
        <f aca="false">IF($A720="","",MAX(0,$B720-$J720))</f>
        <v/>
      </c>
      <c r="L720" s="19" t="str">
        <f aca="false">IF($A720="","",IF($B720=0,0,$K720/$B720))</f>
        <v/>
      </c>
      <c r="M720" s="20" t="str">
        <f aca="false">IF($A720="","",IF($J720&lt;0,"BORCA BATIK",IF($I720&lt;$H720,"BORCA BATIK",IF($L720&gt;=TtkUcteIkiEsik,"2/3 KAYIP (KRİTİK)",IF($L720&gt;=TtkUcteBirEsik,"1/3 KAYIP (DİKKAT)","UYGUN")))))</f>
        <v/>
      </c>
    </row>
    <row r="721" customFormat="false" ht="15" hidden="false" customHeight="false" outlineLevel="0" collapsed="false">
      <c r="A721" s="21"/>
      <c r="B721" s="17"/>
      <c r="C721" s="17"/>
      <c r="D721" s="17"/>
      <c r="E721" s="17"/>
      <c r="F721" s="17"/>
      <c r="G721" s="17"/>
      <c r="H721" s="17"/>
      <c r="I721" s="17"/>
      <c r="J721" s="18" t="str">
        <f aca="false">IF($A721="","",$B721+$C721+$D721-$E721+$F721-$G721)</f>
        <v/>
      </c>
      <c r="K721" s="18" t="str">
        <f aca="false">IF($A721="","",MAX(0,$B721-$J721))</f>
        <v/>
      </c>
      <c r="L721" s="19" t="str">
        <f aca="false">IF($A721="","",IF($B721=0,0,$K721/$B721))</f>
        <v/>
      </c>
      <c r="M721" s="20" t="str">
        <f aca="false">IF($A721="","",IF($J721&lt;0,"BORCA BATIK",IF($I721&lt;$H721,"BORCA BATIK",IF($L721&gt;=TtkUcteIkiEsik,"2/3 KAYIP (KRİTİK)",IF($L721&gt;=TtkUcteBirEsik,"1/3 KAYIP (DİKKAT)","UYGUN")))))</f>
        <v/>
      </c>
    </row>
    <row r="722" customFormat="false" ht="15" hidden="false" customHeight="false" outlineLevel="0" collapsed="false">
      <c r="A722" s="21"/>
      <c r="B722" s="17"/>
      <c r="C722" s="17"/>
      <c r="D722" s="17"/>
      <c r="E722" s="17"/>
      <c r="F722" s="17"/>
      <c r="G722" s="17"/>
      <c r="H722" s="17"/>
      <c r="I722" s="17"/>
      <c r="J722" s="18" t="str">
        <f aca="false">IF($A722="","",$B722+$C722+$D722-$E722+$F722-$G722)</f>
        <v/>
      </c>
      <c r="K722" s="18" t="str">
        <f aca="false">IF($A722="","",MAX(0,$B722-$J722))</f>
        <v/>
      </c>
      <c r="L722" s="19" t="str">
        <f aca="false">IF($A722="","",IF($B722=0,0,$K722/$B722))</f>
        <v/>
      </c>
      <c r="M722" s="20" t="str">
        <f aca="false">IF($A722="","",IF($J722&lt;0,"BORCA BATIK",IF($I722&lt;$H722,"BORCA BATIK",IF($L722&gt;=TtkUcteIkiEsik,"2/3 KAYIP (KRİTİK)",IF($L722&gt;=TtkUcteBirEsik,"1/3 KAYIP (DİKKAT)","UYGUN")))))</f>
        <v/>
      </c>
    </row>
    <row r="723" customFormat="false" ht="15" hidden="false" customHeight="false" outlineLevel="0" collapsed="false">
      <c r="A723" s="21"/>
      <c r="B723" s="17"/>
      <c r="C723" s="17"/>
      <c r="D723" s="17"/>
      <c r="E723" s="17"/>
      <c r="F723" s="17"/>
      <c r="G723" s="17"/>
      <c r="H723" s="17"/>
      <c r="I723" s="17"/>
      <c r="J723" s="18" t="str">
        <f aca="false">IF($A723="","",$B723+$C723+$D723-$E723+$F723-$G723)</f>
        <v/>
      </c>
      <c r="K723" s="18" t="str">
        <f aca="false">IF($A723="","",MAX(0,$B723-$J723))</f>
        <v/>
      </c>
      <c r="L723" s="19" t="str">
        <f aca="false">IF($A723="","",IF($B723=0,0,$K723/$B723))</f>
        <v/>
      </c>
      <c r="M723" s="20" t="str">
        <f aca="false">IF($A723="","",IF($J723&lt;0,"BORCA BATIK",IF($I723&lt;$H723,"BORCA BATIK",IF($L723&gt;=TtkUcteIkiEsik,"2/3 KAYIP (KRİTİK)",IF($L723&gt;=TtkUcteBirEsik,"1/3 KAYIP (DİKKAT)","UYGUN")))))</f>
        <v/>
      </c>
    </row>
    <row r="724" customFormat="false" ht="15" hidden="false" customHeight="false" outlineLevel="0" collapsed="false">
      <c r="A724" s="21"/>
      <c r="B724" s="17"/>
      <c r="C724" s="17"/>
      <c r="D724" s="17"/>
      <c r="E724" s="17"/>
      <c r="F724" s="17"/>
      <c r="G724" s="17"/>
      <c r="H724" s="17"/>
      <c r="I724" s="17"/>
      <c r="J724" s="18" t="str">
        <f aca="false">IF($A724="","",$B724+$C724+$D724-$E724+$F724-$G724)</f>
        <v/>
      </c>
      <c r="K724" s="18" t="str">
        <f aca="false">IF($A724="","",MAX(0,$B724-$J724))</f>
        <v/>
      </c>
      <c r="L724" s="19" t="str">
        <f aca="false">IF($A724="","",IF($B724=0,0,$K724/$B724))</f>
        <v/>
      </c>
      <c r="M724" s="20" t="str">
        <f aca="false">IF($A724="","",IF($J724&lt;0,"BORCA BATIK",IF($I724&lt;$H724,"BORCA BATIK",IF($L724&gt;=TtkUcteIkiEsik,"2/3 KAYIP (KRİTİK)",IF($L724&gt;=TtkUcteBirEsik,"1/3 KAYIP (DİKKAT)","UYGUN")))))</f>
        <v/>
      </c>
    </row>
    <row r="725" customFormat="false" ht="15" hidden="false" customHeight="false" outlineLevel="0" collapsed="false">
      <c r="A725" s="21"/>
      <c r="B725" s="17"/>
      <c r="C725" s="17"/>
      <c r="D725" s="17"/>
      <c r="E725" s="17"/>
      <c r="F725" s="17"/>
      <c r="G725" s="17"/>
      <c r="H725" s="17"/>
      <c r="I725" s="17"/>
      <c r="J725" s="18" t="str">
        <f aca="false">IF($A725="","",$B725+$C725+$D725-$E725+$F725-$G725)</f>
        <v/>
      </c>
      <c r="K725" s="18" t="str">
        <f aca="false">IF($A725="","",MAX(0,$B725-$J725))</f>
        <v/>
      </c>
      <c r="L725" s="19" t="str">
        <f aca="false">IF($A725="","",IF($B725=0,0,$K725/$B725))</f>
        <v/>
      </c>
      <c r="M725" s="20" t="str">
        <f aca="false">IF($A725="","",IF($J725&lt;0,"BORCA BATIK",IF($I725&lt;$H725,"BORCA BATIK",IF($L725&gt;=TtkUcteIkiEsik,"2/3 KAYIP (KRİTİK)",IF($L725&gt;=TtkUcteBirEsik,"1/3 KAYIP (DİKKAT)","UYGUN")))))</f>
        <v/>
      </c>
    </row>
    <row r="726" customFormat="false" ht="15" hidden="false" customHeight="false" outlineLevel="0" collapsed="false">
      <c r="A726" s="21"/>
      <c r="B726" s="17"/>
      <c r="C726" s="17"/>
      <c r="D726" s="17"/>
      <c r="E726" s="17"/>
      <c r="F726" s="17"/>
      <c r="G726" s="17"/>
      <c r="H726" s="17"/>
      <c r="I726" s="17"/>
      <c r="J726" s="18" t="str">
        <f aca="false">IF($A726="","",$B726+$C726+$D726-$E726+$F726-$G726)</f>
        <v/>
      </c>
      <c r="K726" s="18" t="str">
        <f aca="false">IF($A726="","",MAX(0,$B726-$J726))</f>
        <v/>
      </c>
      <c r="L726" s="19" t="str">
        <f aca="false">IF($A726="","",IF($B726=0,0,$K726/$B726))</f>
        <v/>
      </c>
      <c r="M726" s="20" t="str">
        <f aca="false">IF($A726="","",IF($J726&lt;0,"BORCA BATIK",IF($I726&lt;$H726,"BORCA BATIK",IF($L726&gt;=TtkUcteIkiEsik,"2/3 KAYIP (KRİTİK)",IF($L726&gt;=TtkUcteBirEsik,"1/3 KAYIP (DİKKAT)","UYGUN")))))</f>
        <v/>
      </c>
    </row>
    <row r="727" customFormat="false" ht="15" hidden="false" customHeight="false" outlineLevel="0" collapsed="false">
      <c r="A727" s="21"/>
      <c r="B727" s="17"/>
      <c r="C727" s="17"/>
      <c r="D727" s="17"/>
      <c r="E727" s="17"/>
      <c r="F727" s="17"/>
      <c r="G727" s="17"/>
      <c r="H727" s="17"/>
      <c r="I727" s="17"/>
      <c r="J727" s="18" t="str">
        <f aca="false">IF($A727="","",$B727+$C727+$D727-$E727+$F727-$G727)</f>
        <v/>
      </c>
      <c r="K727" s="18" t="str">
        <f aca="false">IF($A727="","",MAX(0,$B727-$J727))</f>
        <v/>
      </c>
      <c r="L727" s="19" t="str">
        <f aca="false">IF($A727="","",IF($B727=0,0,$K727/$B727))</f>
        <v/>
      </c>
      <c r="M727" s="20" t="str">
        <f aca="false">IF($A727="","",IF($J727&lt;0,"BORCA BATIK",IF($I727&lt;$H727,"BORCA BATIK",IF($L727&gt;=TtkUcteIkiEsik,"2/3 KAYIP (KRİTİK)",IF($L727&gt;=TtkUcteBirEsik,"1/3 KAYIP (DİKKAT)","UYGUN")))))</f>
        <v/>
      </c>
    </row>
    <row r="728" customFormat="false" ht="15" hidden="false" customHeight="false" outlineLevel="0" collapsed="false">
      <c r="A728" s="21"/>
      <c r="B728" s="17"/>
      <c r="C728" s="17"/>
      <c r="D728" s="17"/>
      <c r="E728" s="17"/>
      <c r="F728" s="17"/>
      <c r="G728" s="17"/>
      <c r="H728" s="17"/>
      <c r="I728" s="17"/>
      <c r="J728" s="18" t="str">
        <f aca="false">IF($A728="","",$B728+$C728+$D728-$E728+$F728-$G728)</f>
        <v/>
      </c>
      <c r="K728" s="18" t="str">
        <f aca="false">IF($A728="","",MAX(0,$B728-$J728))</f>
        <v/>
      </c>
      <c r="L728" s="19" t="str">
        <f aca="false">IF($A728="","",IF($B728=0,0,$K728/$B728))</f>
        <v/>
      </c>
      <c r="M728" s="20" t="str">
        <f aca="false">IF($A728="","",IF($J728&lt;0,"BORCA BATIK",IF($I728&lt;$H728,"BORCA BATIK",IF($L728&gt;=TtkUcteIkiEsik,"2/3 KAYIP (KRİTİK)",IF($L728&gt;=TtkUcteBirEsik,"1/3 KAYIP (DİKKAT)","UYGUN")))))</f>
        <v/>
      </c>
    </row>
    <row r="729" customFormat="false" ht="15" hidden="false" customHeight="false" outlineLevel="0" collapsed="false">
      <c r="A729" s="21"/>
      <c r="B729" s="17"/>
      <c r="C729" s="17"/>
      <c r="D729" s="17"/>
      <c r="E729" s="17"/>
      <c r="F729" s="17"/>
      <c r="G729" s="17"/>
      <c r="H729" s="17"/>
      <c r="I729" s="17"/>
      <c r="J729" s="18" t="str">
        <f aca="false">IF($A729="","",$B729+$C729+$D729-$E729+$F729-$G729)</f>
        <v/>
      </c>
      <c r="K729" s="18" t="str">
        <f aca="false">IF($A729="","",MAX(0,$B729-$J729))</f>
        <v/>
      </c>
      <c r="L729" s="19" t="str">
        <f aca="false">IF($A729="","",IF($B729=0,0,$K729/$B729))</f>
        <v/>
      </c>
      <c r="M729" s="20" t="str">
        <f aca="false">IF($A729="","",IF($J729&lt;0,"BORCA BATIK",IF($I729&lt;$H729,"BORCA BATIK",IF($L729&gt;=TtkUcteIkiEsik,"2/3 KAYIP (KRİTİK)",IF($L729&gt;=TtkUcteBirEsik,"1/3 KAYIP (DİKKAT)","UYGUN")))))</f>
        <v/>
      </c>
    </row>
    <row r="730" customFormat="false" ht="15" hidden="false" customHeight="false" outlineLevel="0" collapsed="false">
      <c r="A730" s="21"/>
      <c r="B730" s="17"/>
      <c r="C730" s="17"/>
      <c r="D730" s="17"/>
      <c r="E730" s="17"/>
      <c r="F730" s="17"/>
      <c r="G730" s="17"/>
      <c r="H730" s="17"/>
      <c r="I730" s="17"/>
      <c r="J730" s="18" t="str">
        <f aca="false">IF($A730="","",$B730+$C730+$D730-$E730+$F730-$G730)</f>
        <v/>
      </c>
      <c r="K730" s="18" t="str">
        <f aca="false">IF($A730="","",MAX(0,$B730-$J730))</f>
        <v/>
      </c>
      <c r="L730" s="19" t="str">
        <f aca="false">IF($A730="","",IF($B730=0,0,$K730/$B730))</f>
        <v/>
      </c>
      <c r="M730" s="20" t="str">
        <f aca="false">IF($A730="","",IF($J730&lt;0,"BORCA BATIK",IF($I730&lt;$H730,"BORCA BATIK",IF($L730&gt;=TtkUcteIkiEsik,"2/3 KAYIP (KRİTİK)",IF($L730&gt;=TtkUcteBirEsik,"1/3 KAYIP (DİKKAT)","UYGUN")))))</f>
        <v/>
      </c>
    </row>
    <row r="731" customFormat="false" ht="15" hidden="false" customHeight="false" outlineLevel="0" collapsed="false">
      <c r="A731" s="21"/>
      <c r="B731" s="17"/>
      <c r="C731" s="17"/>
      <c r="D731" s="17"/>
      <c r="E731" s="17"/>
      <c r="F731" s="17"/>
      <c r="G731" s="17"/>
      <c r="H731" s="17"/>
      <c r="I731" s="17"/>
      <c r="J731" s="18" t="str">
        <f aca="false">IF($A731="","",$B731+$C731+$D731-$E731+$F731-$G731)</f>
        <v/>
      </c>
      <c r="K731" s="18" t="str">
        <f aca="false">IF($A731="","",MAX(0,$B731-$J731))</f>
        <v/>
      </c>
      <c r="L731" s="19" t="str">
        <f aca="false">IF($A731="","",IF($B731=0,0,$K731/$B731))</f>
        <v/>
      </c>
      <c r="M731" s="20" t="str">
        <f aca="false">IF($A731="","",IF($J731&lt;0,"BORCA BATIK",IF($I731&lt;$H731,"BORCA BATIK",IF($L731&gt;=TtkUcteIkiEsik,"2/3 KAYIP (KRİTİK)",IF($L731&gt;=TtkUcteBirEsik,"1/3 KAYIP (DİKKAT)","UYGUN")))))</f>
        <v/>
      </c>
    </row>
    <row r="732" customFormat="false" ht="15" hidden="false" customHeight="false" outlineLevel="0" collapsed="false">
      <c r="A732" s="21"/>
      <c r="B732" s="17"/>
      <c r="C732" s="17"/>
      <c r="D732" s="17"/>
      <c r="E732" s="17"/>
      <c r="F732" s="17"/>
      <c r="G732" s="17"/>
      <c r="H732" s="17"/>
      <c r="I732" s="17"/>
      <c r="J732" s="18" t="str">
        <f aca="false">IF($A732="","",$B732+$C732+$D732-$E732+$F732-$G732)</f>
        <v/>
      </c>
      <c r="K732" s="18" t="str">
        <f aca="false">IF($A732="","",MAX(0,$B732-$J732))</f>
        <v/>
      </c>
      <c r="L732" s="19" t="str">
        <f aca="false">IF($A732="","",IF($B732=0,0,$K732/$B732))</f>
        <v/>
      </c>
      <c r="M732" s="20" t="str">
        <f aca="false">IF($A732="","",IF($J732&lt;0,"BORCA BATIK",IF($I732&lt;$H732,"BORCA BATIK",IF($L732&gt;=TtkUcteIkiEsik,"2/3 KAYIP (KRİTİK)",IF($L732&gt;=TtkUcteBirEsik,"1/3 KAYIP (DİKKAT)","UYGUN")))))</f>
        <v/>
      </c>
    </row>
    <row r="733" customFormat="false" ht="15" hidden="false" customHeight="false" outlineLevel="0" collapsed="false">
      <c r="A733" s="21"/>
      <c r="B733" s="17"/>
      <c r="C733" s="17"/>
      <c r="D733" s="17"/>
      <c r="E733" s="17"/>
      <c r="F733" s="17"/>
      <c r="G733" s="17"/>
      <c r="H733" s="17"/>
      <c r="I733" s="17"/>
      <c r="J733" s="18" t="str">
        <f aca="false">IF($A733="","",$B733+$C733+$D733-$E733+$F733-$G733)</f>
        <v/>
      </c>
      <c r="K733" s="18" t="str">
        <f aca="false">IF($A733="","",MAX(0,$B733-$J733))</f>
        <v/>
      </c>
      <c r="L733" s="19" t="str">
        <f aca="false">IF($A733="","",IF($B733=0,0,$K733/$B733))</f>
        <v/>
      </c>
      <c r="M733" s="20" t="str">
        <f aca="false">IF($A733="","",IF($J733&lt;0,"BORCA BATIK",IF($I733&lt;$H733,"BORCA BATIK",IF($L733&gt;=TtkUcteIkiEsik,"2/3 KAYIP (KRİTİK)",IF($L733&gt;=TtkUcteBirEsik,"1/3 KAYIP (DİKKAT)","UYGUN")))))</f>
        <v/>
      </c>
    </row>
    <row r="734" customFormat="false" ht="15" hidden="false" customHeight="false" outlineLevel="0" collapsed="false">
      <c r="A734" s="21"/>
      <c r="B734" s="17"/>
      <c r="C734" s="17"/>
      <c r="D734" s="17"/>
      <c r="E734" s="17"/>
      <c r="F734" s="17"/>
      <c r="G734" s="17"/>
      <c r="H734" s="17"/>
      <c r="I734" s="17"/>
      <c r="J734" s="18" t="str">
        <f aca="false">IF($A734="","",$B734+$C734+$D734-$E734+$F734-$G734)</f>
        <v/>
      </c>
      <c r="K734" s="18" t="str">
        <f aca="false">IF($A734="","",MAX(0,$B734-$J734))</f>
        <v/>
      </c>
      <c r="L734" s="19" t="str">
        <f aca="false">IF($A734="","",IF($B734=0,0,$K734/$B734))</f>
        <v/>
      </c>
      <c r="M734" s="20" t="str">
        <f aca="false">IF($A734="","",IF($J734&lt;0,"BORCA BATIK",IF($I734&lt;$H734,"BORCA BATIK",IF($L734&gt;=TtkUcteIkiEsik,"2/3 KAYIP (KRİTİK)",IF($L734&gt;=TtkUcteBirEsik,"1/3 KAYIP (DİKKAT)","UYGUN")))))</f>
        <v/>
      </c>
    </row>
    <row r="735" customFormat="false" ht="15" hidden="false" customHeight="false" outlineLevel="0" collapsed="false">
      <c r="A735" s="21"/>
      <c r="B735" s="17"/>
      <c r="C735" s="17"/>
      <c r="D735" s="17"/>
      <c r="E735" s="17"/>
      <c r="F735" s="17"/>
      <c r="G735" s="17"/>
      <c r="H735" s="17"/>
      <c r="I735" s="17"/>
      <c r="J735" s="18" t="str">
        <f aca="false">IF($A735="","",$B735+$C735+$D735-$E735+$F735-$G735)</f>
        <v/>
      </c>
      <c r="K735" s="18" t="str">
        <f aca="false">IF($A735="","",MAX(0,$B735-$J735))</f>
        <v/>
      </c>
      <c r="L735" s="19" t="str">
        <f aca="false">IF($A735="","",IF($B735=0,0,$K735/$B735))</f>
        <v/>
      </c>
      <c r="M735" s="20" t="str">
        <f aca="false">IF($A735="","",IF($J735&lt;0,"BORCA BATIK",IF($I735&lt;$H735,"BORCA BATIK",IF($L735&gt;=TtkUcteIkiEsik,"2/3 KAYIP (KRİTİK)",IF($L735&gt;=TtkUcteBirEsik,"1/3 KAYIP (DİKKAT)","UYGUN")))))</f>
        <v/>
      </c>
    </row>
    <row r="736" customFormat="false" ht="15" hidden="false" customHeight="false" outlineLevel="0" collapsed="false">
      <c r="A736" s="21"/>
      <c r="B736" s="17"/>
      <c r="C736" s="17"/>
      <c r="D736" s="17"/>
      <c r="E736" s="17"/>
      <c r="F736" s="17"/>
      <c r="G736" s="17"/>
      <c r="H736" s="17"/>
      <c r="I736" s="17"/>
      <c r="J736" s="18" t="str">
        <f aca="false">IF($A736="","",$B736+$C736+$D736-$E736+$F736-$G736)</f>
        <v/>
      </c>
      <c r="K736" s="18" t="str">
        <f aca="false">IF($A736="","",MAX(0,$B736-$J736))</f>
        <v/>
      </c>
      <c r="L736" s="19" t="str">
        <f aca="false">IF($A736="","",IF($B736=0,0,$K736/$B736))</f>
        <v/>
      </c>
      <c r="M736" s="20" t="str">
        <f aca="false">IF($A736="","",IF($J736&lt;0,"BORCA BATIK",IF($I736&lt;$H736,"BORCA BATIK",IF($L736&gt;=TtkUcteIkiEsik,"2/3 KAYIP (KRİTİK)",IF($L736&gt;=TtkUcteBirEsik,"1/3 KAYIP (DİKKAT)","UYGUN")))))</f>
        <v/>
      </c>
    </row>
    <row r="737" customFormat="false" ht="15" hidden="false" customHeight="false" outlineLevel="0" collapsed="false">
      <c r="A737" s="21"/>
      <c r="B737" s="17"/>
      <c r="C737" s="17"/>
      <c r="D737" s="17"/>
      <c r="E737" s="17"/>
      <c r="F737" s="17"/>
      <c r="G737" s="17"/>
      <c r="H737" s="17"/>
      <c r="I737" s="17"/>
      <c r="J737" s="18" t="str">
        <f aca="false">IF($A737="","",$B737+$C737+$D737-$E737+$F737-$G737)</f>
        <v/>
      </c>
      <c r="K737" s="18" t="str">
        <f aca="false">IF($A737="","",MAX(0,$B737-$J737))</f>
        <v/>
      </c>
      <c r="L737" s="19" t="str">
        <f aca="false">IF($A737="","",IF($B737=0,0,$K737/$B737))</f>
        <v/>
      </c>
      <c r="M737" s="20" t="str">
        <f aca="false">IF($A737="","",IF($J737&lt;0,"BORCA BATIK",IF($I737&lt;$H737,"BORCA BATIK",IF($L737&gt;=TtkUcteIkiEsik,"2/3 KAYIP (KRİTİK)",IF($L737&gt;=TtkUcteBirEsik,"1/3 KAYIP (DİKKAT)","UYGUN")))))</f>
        <v/>
      </c>
    </row>
    <row r="738" customFormat="false" ht="15" hidden="false" customHeight="false" outlineLevel="0" collapsed="false">
      <c r="A738" s="21"/>
      <c r="B738" s="17"/>
      <c r="C738" s="17"/>
      <c r="D738" s="17"/>
      <c r="E738" s="17"/>
      <c r="F738" s="17"/>
      <c r="G738" s="17"/>
      <c r="H738" s="17"/>
      <c r="I738" s="17"/>
      <c r="J738" s="18" t="str">
        <f aca="false">IF($A738="","",$B738+$C738+$D738-$E738+$F738-$G738)</f>
        <v/>
      </c>
      <c r="K738" s="18" t="str">
        <f aca="false">IF($A738="","",MAX(0,$B738-$J738))</f>
        <v/>
      </c>
      <c r="L738" s="19" t="str">
        <f aca="false">IF($A738="","",IF($B738=0,0,$K738/$B738))</f>
        <v/>
      </c>
      <c r="M738" s="20" t="str">
        <f aca="false">IF($A738="","",IF($J738&lt;0,"BORCA BATIK",IF($I738&lt;$H738,"BORCA BATIK",IF($L738&gt;=TtkUcteIkiEsik,"2/3 KAYIP (KRİTİK)",IF($L738&gt;=TtkUcteBirEsik,"1/3 KAYIP (DİKKAT)","UYGUN")))))</f>
        <v/>
      </c>
    </row>
    <row r="739" customFormat="false" ht="15" hidden="false" customHeight="false" outlineLevel="0" collapsed="false">
      <c r="A739" s="21"/>
      <c r="B739" s="17"/>
      <c r="C739" s="17"/>
      <c r="D739" s="17"/>
      <c r="E739" s="17"/>
      <c r="F739" s="17"/>
      <c r="G739" s="17"/>
      <c r="H739" s="17"/>
      <c r="I739" s="17"/>
      <c r="J739" s="18" t="str">
        <f aca="false">IF($A739="","",$B739+$C739+$D739-$E739+$F739-$G739)</f>
        <v/>
      </c>
      <c r="K739" s="18" t="str">
        <f aca="false">IF($A739="","",MAX(0,$B739-$J739))</f>
        <v/>
      </c>
      <c r="L739" s="19" t="str">
        <f aca="false">IF($A739="","",IF($B739=0,0,$K739/$B739))</f>
        <v/>
      </c>
      <c r="M739" s="20" t="str">
        <f aca="false">IF($A739="","",IF($J739&lt;0,"BORCA BATIK",IF($I739&lt;$H739,"BORCA BATIK",IF($L739&gt;=TtkUcteIkiEsik,"2/3 KAYIP (KRİTİK)",IF($L739&gt;=TtkUcteBirEsik,"1/3 KAYIP (DİKKAT)","UYGUN")))))</f>
        <v/>
      </c>
    </row>
    <row r="740" customFormat="false" ht="15" hidden="false" customHeight="false" outlineLevel="0" collapsed="false">
      <c r="A740" s="21"/>
      <c r="B740" s="17"/>
      <c r="C740" s="17"/>
      <c r="D740" s="17"/>
      <c r="E740" s="17"/>
      <c r="F740" s="17"/>
      <c r="G740" s="17"/>
      <c r="H740" s="17"/>
      <c r="I740" s="17"/>
      <c r="J740" s="18" t="str">
        <f aca="false">IF($A740="","",$B740+$C740+$D740-$E740+$F740-$G740)</f>
        <v/>
      </c>
      <c r="K740" s="18" t="str">
        <f aca="false">IF($A740="","",MAX(0,$B740-$J740))</f>
        <v/>
      </c>
      <c r="L740" s="19" t="str">
        <f aca="false">IF($A740="","",IF($B740=0,0,$K740/$B740))</f>
        <v/>
      </c>
      <c r="M740" s="20" t="str">
        <f aca="false">IF($A740="","",IF($J740&lt;0,"BORCA BATIK",IF($I740&lt;$H740,"BORCA BATIK",IF($L740&gt;=TtkUcteIkiEsik,"2/3 KAYIP (KRİTİK)",IF($L740&gt;=TtkUcteBirEsik,"1/3 KAYIP (DİKKAT)","UYGUN")))))</f>
        <v/>
      </c>
    </row>
    <row r="741" customFormat="false" ht="15" hidden="false" customHeight="false" outlineLevel="0" collapsed="false">
      <c r="A741" s="21"/>
      <c r="B741" s="17"/>
      <c r="C741" s="17"/>
      <c r="D741" s="17"/>
      <c r="E741" s="17"/>
      <c r="F741" s="17"/>
      <c r="G741" s="17"/>
      <c r="H741" s="17"/>
      <c r="I741" s="17"/>
      <c r="J741" s="18" t="str">
        <f aca="false">IF($A741="","",$B741+$C741+$D741-$E741+$F741-$G741)</f>
        <v/>
      </c>
      <c r="K741" s="18" t="str">
        <f aca="false">IF($A741="","",MAX(0,$B741-$J741))</f>
        <v/>
      </c>
      <c r="L741" s="19" t="str">
        <f aca="false">IF($A741="","",IF($B741=0,0,$K741/$B741))</f>
        <v/>
      </c>
      <c r="M741" s="20" t="str">
        <f aca="false">IF($A741="","",IF($J741&lt;0,"BORCA BATIK",IF($I741&lt;$H741,"BORCA BATIK",IF($L741&gt;=TtkUcteIkiEsik,"2/3 KAYIP (KRİTİK)",IF($L741&gt;=TtkUcteBirEsik,"1/3 KAYIP (DİKKAT)","UYGUN")))))</f>
        <v/>
      </c>
    </row>
    <row r="742" customFormat="false" ht="15" hidden="false" customHeight="false" outlineLevel="0" collapsed="false">
      <c r="A742" s="21"/>
      <c r="B742" s="17"/>
      <c r="C742" s="17"/>
      <c r="D742" s="17"/>
      <c r="E742" s="17"/>
      <c r="F742" s="17"/>
      <c r="G742" s="17"/>
      <c r="H742" s="17"/>
      <c r="I742" s="17"/>
      <c r="J742" s="18" t="str">
        <f aca="false">IF($A742="","",$B742+$C742+$D742-$E742+$F742-$G742)</f>
        <v/>
      </c>
      <c r="K742" s="18" t="str">
        <f aca="false">IF($A742="","",MAX(0,$B742-$J742))</f>
        <v/>
      </c>
      <c r="L742" s="19" t="str">
        <f aca="false">IF($A742="","",IF($B742=0,0,$K742/$B742))</f>
        <v/>
      </c>
      <c r="M742" s="20" t="str">
        <f aca="false">IF($A742="","",IF($J742&lt;0,"BORCA BATIK",IF($I742&lt;$H742,"BORCA BATIK",IF($L742&gt;=TtkUcteIkiEsik,"2/3 KAYIP (KRİTİK)",IF($L742&gt;=TtkUcteBirEsik,"1/3 KAYIP (DİKKAT)","UYGUN")))))</f>
        <v/>
      </c>
    </row>
    <row r="743" customFormat="false" ht="15" hidden="false" customHeight="false" outlineLevel="0" collapsed="false">
      <c r="A743" s="21"/>
      <c r="B743" s="17"/>
      <c r="C743" s="17"/>
      <c r="D743" s="17"/>
      <c r="E743" s="17"/>
      <c r="F743" s="17"/>
      <c r="G743" s="17"/>
      <c r="H743" s="17"/>
      <c r="I743" s="17"/>
      <c r="J743" s="18" t="str">
        <f aca="false">IF($A743="","",$B743+$C743+$D743-$E743+$F743-$G743)</f>
        <v/>
      </c>
      <c r="K743" s="18" t="str">
        <f aca="false">IF($A743="","",MAX(0,$B743-$J743))</f>
        <v/>
      </c>
      <c r="L743" s="19" t="str">
        <f aca="false">IF($A743="","",IF($B743=0,0,$K743/$B743))</f>
        <v/>
      </c>
      <c r="M743" s="20" t="str">
        <f aca="false">IF($A743="","",IF($J743&lt;0,"BORCA BATIK",IF($I743&lt;$H743,"BORCA BATIK",IF($L743&gt;=TtkUcteIkiEsik,"2/3 KAYIP (KRİTİK)",IF($L743&gt;=TtkUcteBirEsik,"1/3 KAYIP (DİKKAT)","UYGUN")))))</f>
        <v/>
      </c>
    </row>
    <row r="744" customFormat="false" ht="15" hidden="false" customHeight="false" outlineLevel="0" collapsed="false">
      <c r="A744" s="21"/>
      <c r="B744" s="17"/>
      <c r="C744" s="17"/>
      <c r="D744" s="17"/>
      <c r="E744" s="17"/>
      <c r="F744" s="17"/>
      <c r="G744" s="17"/>
      <c r="H744" s="17"/>
      <c r="I744" s="17"/>
      <c r="J744" s="18" t="str">
        <f aca="false">IF($A744="","",$B744+$C744+$D744-$E744+$F744-$G744)</f>
        <v/>
      </c>
      <c r="K744" s="18" t="str">
        <f aca="false">IF($A744="","",MAX(0,$B744-$J744))</f>
        <v/>
      </c>
      <c r="L744" s="19" t="str">
        <f aca="false">IF($A744="","",IF($B744=0,0,$K744/$B744))</f>
        <v/>
      </c>
      <c r="M744" s="20" t="str">
        <f aca="false">IF($A744="","",IF($J744&lt;0,"BORCA BATIK",IF($I744&lt;$H744,"BORCA BATIK",IF($L744&gt;=TtkUcteIkiEsik,"2/3 KAYIP (KRİTİK)",IF($L744&gt;=TtkUcteBirEsik,"1/3 KAYIP (DİKKAT)","UYGUN")))))</f>
        <v/>
      </c>
    </row>
    <row r="745" customFormat="false" ht="15" hidden="false" customHeight="false" outlineLevel="0" collapsed="false">
      <c r="A745" s="21"/>
      <c r="B745" s="17"/>
      <c r="C745" s="17"/>
      <c r="D745" s="17"/>
      <c r="E745" s="17"/>
      <c r="F745" s="17"/>
      <c r="G745" s="17"/>
      <c r="H745" s="17"/>
      <c r="I745" s="17"/>
      <c r="J745" s="18" t="str">
        <f aca="false">IF($A745="","",$B745+$C745+$D745-$E745+$F745-$G745)</f>
        <v/>
      </c>
      <c r="K745" s="18" t="str">
        <f aca="false">IF($A745="","",MAX(0,$B745-$J745))</f>
        <v/>
      </c>
      <c r="L745" s="19" t="str">
        <f aca="false">IF($A745="","",IF($B745=0,0,$K745/$B745))</f>
        <v/>
      </c>
      <c r="M745" s="20" t="str">
        <f aca="false">IF($A745="","",IF($J745&lt;0,"BORCA BATIK",IF($I745&lt;$H745,"BORCA BATIK",IF($L745&gt;=TtkUcteIkiEsik,"2/3 KAYIP (KRİTİK)",IF($L745&gt;=TtkUcteBirEsik,"1/3 KAYIP (DİKKAT)","UYGUN")))))</f>
        <v/>
      </c>
    </row>
    <row r="746" customFormat="false" ht="15" hidden="false" customHeight="false" outlineLevel="0" collapsed="false">
      <c r="A746" s="21"/>
      <c r="B746" s="17"/>
      <c r="C746" s="17"/>
      <c r="D746" s="17"/>
      <c r="E746" s="17"/>
      <c r="F746" s="17"/>
      <c r="G746" s="17"/>
      <c r="H746" s="17"/>
      <c r="I746" s="17"/>
      <c r="J746" s="18" t="str">
        <f aca="false">IF($A746="","",$B746+$C746+$D746-$E746+$F746-$G746)</f>
        <v/>
      </c>
      <c r="K746" s="18" t="str">
        <f aca="false">IF($A746="","",MAX(0,$B746-$J746))</f>
        <v/>
      </c>
      <c r="L746" s="19" t="str">
        <f aca="false">IF($A746="","",IF($B746=0,0,$K746/$B746))</f>
        <v/>
      </c>
      <c r="M746" s="20" t="str">
        <f aca="false">IF($A746="","",IF($J746&lt;0,"BORCA BATIK",IF($I746&lt;$H746,"BORCA BATIK",IF($L746&gt;=TtkUcteIkiEsik,"2/3 KAYIP (KRİTİK)",IF($L746&gt;=TtkUcteBirEsik,"1/3 KAYIP (DİKKAT)","UYGUN")))))</f>
        <v/>
      </c>
    </row>
    <row r="747" customFormat="false" ht="15" hidden="false" customHeight="false" outlineLevel="0" collapsed="false">
      <c r="A747" s="21"/>
      <c r="B747" s="17"/>
      <c r="C747" s="17"/>
      <c r="D747" s="17"/>
      <c r="E747" s="17"/>
      <c r="F747" s="17"/>
      <c r="G747" s="17"/>
      <c r="H747" s="17"/>
      <c r="I747" s="17"/>
      <c r="J747" s="18" t="str">
        <f aca="false">IF($A747="","",$B747+$C747+$D747-$E747+$F747-$G747)</f>
        <v/>
      </c>
      <c r="K747" s="18" t="str">
        <f aca="false">IF($A747="","",MAX(0,$B747-$J747))</f>
        <v/>
      </c>
      <c r="L747" s="19" t="str">
        <f aca="false">IF($A747="","",IF($B747=0,0,$K747/$B747))</f>
        <v/>
      </c>
      <c r="M747" s="20" t="str">
        <f aca="false">IF($A747="","",IF($J747&lt;0,"BORCA BATIK",IF($I747&lt;$H747,"BORCA BATIK",IF($L747&gt;=TtkUcteIkiEsik,"2/3 KAYIP (KRİTİK)",IF($L747&gt;=TtkUcteBirEsik,"1/3 KAYIP (DİKKAT)","UYGUN")))))</f>
        <v/>
      </c>
    </row>
    <row r="748" customFormat="false" ht="15" hidden="false" customHeight="false" outlineLevel="0" collapsed="false">
      <c r="A748" s="21"/>
      <c r="B748" s="17"/>
      <c r="C748" s="17"/>
      <c r="D748" s="17"/>
      <c r="E748" s="17"/>
      <c r="F748" s="17"/>
      <c r="G748" s="17"/>
      <c r="H748" s="17"/>
      <c r="I748" s="17"/>
      <c r="J748" s="18" t="str">
        <f aca="false">IF($A748="","",$B748+$C748+$D748-$E748+$F748-$G748)</f>
        <v/>
      </c>
      <c r="K748" s="18" t="str">
        <f aca="false">IF($A748="","",MAX(0,$B748-$J748))</f>
        <v/>
      </c>
      <c r="L748" s="19" t="str">
        <f aca="false">IF($A748="","",IF($B748=0,0,$K748/$B748))</f>
        <v/>
      </c>
      <c r="M748" s="20" t="str">
        <f aca="false">IF($A748="","",IF($J748&lt;0,"BORCA BATIK",IF($I748&lt;$H748,"BORCA BATIK",IF($L748&gt;=TtkUcteIkiEsik,"2/3 KAYIP (KRİTİK)",IF($L748&gt;=TtkUcteBirEsik,"1/3 KAYIP (DİKKAT)","UYGUN")))))</f>
        <v/>
      </c>
    </row>
    <row r="749" customFormat="false" ht="15" hidden="false" customHeight="false" outlineLevel="0" collapsed="false">
      <c r="A749" s="21"/>
      <c r="B749" s="17"/>
      <c r="C749" s="17"/>
      <c r="D749" s="17"/>
      <c r="E749" s="17"/>
      <c r="F749" s="17"/>
      <c r="G749" s="17"/>
      <c r="H749" s="17"/>
      <c r="I749" s="17"/>
      <c r="J749" s="18" t="str">
        <f aca="false">IF($A749="","",$B749+$C749+$D749-$E749+$F749-$G749)</f>
        <v/>
      </c>
      <c r="K749" s="18" t="str">
        <f aca="false">IF($A749="","",MAX(0,$B749-$J749))</f>
        <v/>
      </c>
      <c r="L749" s="19" t="str">
        <f aca="false">IF($A749="","",IF($B749=0,0,$K749/$B749))</f>
        <v/>
      </c>
      <c r="M749" s="20" t="str">
        <f aca="false">IF($A749="","",IF($J749&lt;0,"BORCA BATIK",IF($I749&lt;$H749,"BORCA BATIK",IF($L749&gt;=TtkUcteIkiEsik,"2/3 KAYIP (KRİTİK)",IF($L749&gt;=TtkUcteBirEsik,"1/3 KAYIP (DİKKAT)","UYGUN")))))</f>
        <v/>
      </c>
    </row>
    <row r="750" customFormat="false" ht="15" hidden="false" customHeight="false" outlineLevel="0" collapsed="false">
      <c r="A750" s="21"/>
      <c r="B750" s="17"/>
      <c r="C750" s="17"/>
      <c r="D750" s="17"/>
      <c r="E750" s="17"/>
      <c r="F750" s="17"/>
      <c r="G750" s="17"/>
      <c r="H750" s="17"/>
      <c r="I750" s="17"/>
      <c r="J750" s="18" t="str">
        <f aca="false">IF($A750="","",$B750+$C750+$D750-$E750+$F750-$G750)</f>
        <v/>
      </c>
      <c r="K750" s="18" t="str">
        <f aca="false">IF($A750="","",MAX(0,$B750-$J750))</f>
        <v/>
      </c>
      <c r="L750" s="19" t="str">
        <f aca="false">IF($A750="","",IF($B750=0,0,$K750/$B750))</f>
        <v/>
      </c>
      <c r="M750" s="20" t="str">
        <f aca="false">IF($A750="","",IF($J750&lt;0,"BORCA BATIK",IF($I750&lt;$H750,"BORCA BATIK",IF($L750&gt;=TtkUcteIkiEsik,"2/3 KAYIP (KRİTİK)",IF($L750&gt;=TtkUcteBirEsik,"1/3 KAYIP (DİKKAT)","UYGUN")))))</f>
        <v/>
      </c>
    </row>
    <row r="751" customFormat="false" ht="15" hidden="false" customHeight="false" outlineLevel="0" collapsed="false">
      <c r="A751" s="21"/>
      <c r="B751" s="17"/>
      <c r="C751" s="17"/>
      <c r="D751" s="17"/>
      <c r="E751" s="17"/>
      <c r="F751" s="17"/>
      <c r="G751" s="17"/>
      <c r="H751" s="17"/>
      <c r="I751" s="17"/>
      <c r="J751" s="18" t="str">
        <f aca="false">IF($A751="","",$B751+$C751+$D751-$E751+$F751-$G751)</f>
        <v/>
      </c>
      <c r="K751" s="18" t="str">
        <f aca="false">IF($A751="","",MAX(0,$B751-$J751))</f>
        <v/>
      </c>
      <c r="L751" s="19" t="str">
        <f aca="false">IF($A751="","",IF($B751=0,0,$K751/$B751))</f>
        <v/>
      </c>
      <c r="M751" s="20" t="str">
        <f aca="false">IF($A751="","",IF($J751&lt;0,"BORCA BATIK",IF($I751&lt;$H751,"BORCA BATIK",IF($L751&gt;=TtkUcteIkiEsik,"2/3 KAYIP (KRİTİK)",IF($L751&gt;=TtkUcteBirEsik,"1/3 KAYIP (DİKKAT)","UYGUN")))))</f>
        <v/>
      </c>
    </row>
    <row r="752" customFormat="false" ht="15" hidden="false" customHeight="false" outlineLevel="0" collapsed="false">
      <c r="A752" s="21"/>
      <c r="B752" s="17"/>
      <c r="C752" s="17"/>
      <c r="D752" s="17"/>
      <c r="E752" s="17"/>
      <c r="F752" s="17"/>
      <c r="G752" s="17"/>
      <c r="H752" s="17"/>
      <c r="I752" s="17"/>
      <c r="J752" s="18" t="str">
        <f aca="false">IF($A752="","",$B752+$C752+$D752-$E752+$F752-$G752)</f>
        <v/>
      </c>
      <c r="K752" s="18" t="str">
        <f aca="false">IF($A752="","",MAX(0,$B752-$J752))</f>
        <v/>
      </c>
      <c r="L752" s="19" t="str">
        <f aca="false">IF($A752="","",IF($B752=0,0,$K752/$B752))</f>
        <v/>
      </c>
      <c r="M752" s="20" t="str">
        <f aca="false">IF($A752="","",IF($J752&lt;0,"BORCA BATIK",IF($I752&lt;$H752,"BORCA BATIK",IF($L752&gt;=TtkUcteIkiEsik,"2/3 KAYIP (KRİTİK)",IF($L752&gt;=TtkUcteBirEsik,"1/3 KAYIP (DİKKAT)","UYGUN")))))</f>
        <v/>
      </c>
    </row>
    <row r="753" customFormat="false" ht="15" hidden="false" customHeight="false" outlineLevel="0" collapsed="false">
      <c r="A753" s="21"/>
      <c r="B753" s="17"/>
      <c r="C753" s="17"/>
      <c r="D753" s="17"/>
      <c r="E753" s="17"/>
      <c r="F753" s="17"/>
      <c r="G753" s="17"/>
      <c r="H753" s="17"/>
      <c r="I753" s="17"/>
      <c r="J753" s="18" t="str">
        <f aca="false">IF($A753="","",$B753+$C753+$D753-$E753+$F753-$G753)</f>
        <v/>
      </c>
      <c r="K753" s="18" t="str">
        <f aca="false">IF($A753="","",MAX(0,$B753-$J753))</f>
        <v/>
      </c>
      <c r="L753" s="19" t="str">
        <f aca="false">IF($A753="","",IF($B753=0,0,$K753/$B753))</f>
        <v/>
      </c>
      <c r="M753" s="20" t="str">
        <f aca="false">IF($A753="","",IF($J753&lt;0,"BORCA BATIK",IF($I753&lt;$H753,"BORCA BATIK",IF($L753&gt;=TtkUcteIkiEsik,"2/3 KAYIP (KRİTİK)",IF($L753&gt;=TtkUcteBirEsik,"1/3 KAYIP (DİKKAT)","UYGUN")))))</f>
        <v/>
      </c>
    </row>
    <row r="754" customFormat="false" ht="15" hidden="false" customHeight="false" outlineLevel="0" collapsed="false">
      <c r="A754" s="21"/>
      <c r="B754" s="17"/>
      <c r="C754" s="17"/>
      <c r="D754" s="17"/>
      <c r="E754" s="17"/>
      <c r="F754" s="17"/>
      <c r="G754" s="17"/>
      <c r="H754" s="17"/>
      <c r="I754" s="17"/>
      <c r="J754" s="18" t="str">
        <f aca="false">IF($A754="","",$B754+$C754+$D754-$E754+$F754-$G754)</f>
        <v/>
      </c>
      <c r="K754" s="18" t="str">
        <f aca="false">IF($A754="","",MAX(0,$B754-$J754))</f>
        <v/>
      </c>
      <c r="L754" s="19" t="str">
        <f aca="false">IF($A754="","",IF($B754=0,0,$K754/$B754))</f>
        <v/>
      </c>
      <c r="M754" s="20" t="str">
        <f aca="false">IF($A754="","",IF($J754&lt;0,"BORCA BATIK",IF($I754&lt;$H754,"BORCA BATIK",IF($L754&gt;=TtkUcteIkiEsik,"2/3 KAYIP (KRİTİK)",IF($L754&gt;=TtkUcteBirEsik,"1/3 KAYIP (DİKKAT)","UYGUN")))))</f>
        <v/>
      </c>
    </row>
    <row r="755" customFormat="false" ht="15" hidden="false" customHeight="false" outlineLevel="0" collapsed="false">
      <c r="A755" s="21"/>
      <c r="B755" s="17"/>
      <c r="C755" s="17"/>
      <c r="D755" s="17"/>
      <c r="E755" s="17"/>
      <c r="F755" s="17"/>
      <c r="G755" s="17"/>
      <c r="H755" s="17"/>
      <c r="I755" s="17"/>
      <c r="J755" s="18" t="str">
        <f aca="false">IF($A755="","",$B755+$C755+$D755-$E755+$F755-$G755)</f>
        <v/>
      </c>
      <c r="K755" s="18" t="str">
        <f aca="false">IF($A755="","",MAX(0,$B755-$J755))</f>
        <v/>
      </c>
      <c r="L755" s="19" t="str">
        <f aca="false">IF($A755="","",IF($B755=0,0,$K755/$B755))</f>
        <v/>
      </c>
      <c r="M755" s="20" t="str">
        <f aca="false">IF($A755="","",IF($J755&lt;0,"BORCA BATIK",IF($I755&lt;$H755,"BORCA BATIK",IF($L755&gt;=TtkUcteIkiEsik,"2/3 KAYIP (KRİTİK)",IF($L755&gt;=TtkUcteBirEsik,"1/3 KAYIP (DİKKAT)","UYGUN")))))</f>
        <v/>
      </c>
    </row>
    <row r="756" customFormat="false" ht="15" hidden="false" customHeight="false" outlineLevel="0" collapsed="false">
      <c r="A756" s="21"/>
      <c r="B756" s="17"/>
      <c r="C756" s="17"/>
      <c r="D756" s="17"/>
      <c r="E756" s="17"/>
      <c r="F756" s="17"/>
      <c r="G756" s="17"/>
      <c r="H756" s="17"/>
      <c r="I756" s="17"/>
      <c r="J756" s="18" t="str">
        <f aca="false">IF($A756="","",$B756+$C756+$D756-$E756+$F756-$G756)</f>
        <v/>
      </c>
      <c r="K756" s="18" t="str">
        <f aca="false">IF($A756="","",MAX(0,$B756-$J756))</f>
        <v/>
      </c>
      <c r="L756" s="19" t="str">
        <f aca="false">IF($A756="","",IF($B756=0,0,$K756/$B756))</f>
        <v/>
      </c>
      <c r="M756" s="20" t="str">
        <f aca="false">IF($A756="","",IF($J756&lt;0,"BORCA BATIK",IF($I756&lt;$H756,"BORCA BATIK",IF($L756&gt;=TtkUcteIkiEsik,"2/3 KAYIP (KRİTİK)",IF($L756&gt;=TtkUcteBirEsik,"1/3 KAYIP (DİKKAT)","UYGUN")))))</f>
        <v/>
      </c>
    </row>
    <row r="757" customFormat="false" ht="15" hidden="false" customHeight="false" outlineLevel="0" collapsed="false">
      <c r="A757" s="21"/>
      <c r="B757" s="17"/>
      <c r="C757" s="17"/>
      <c r="D757" s="17"/>
      <c r="E757" s="17"/>
      <c r="F757" s="17"/>
      <c r="G757" s="17"/>
      <c r="H757" s="17"/>
      <c r="I757" s="17"/>
      <c r="J757" s="18" t="str">
        <f aca="false">IF($A757="","",$B757+$C757+$D757-$E757+$F757-$G757)</f>
        <v/>
      </c>
      <c r="K757" s="18" t="str">
        <f aca="false">IF($A757="","",MAX(0,$B757-$J757))</f>
        <v/>
      </c>
      <c r="L757" s="19" t="str">
        <f aca="false">IF($A757="","",IF($B757=0,0,$K757/$B757))</f>
        <v/>
      </c>
      <c r="M757" s="20" t="str">
        <f aca="false">IF($A757="","",IF($J757&lt;0,"BORCA BATIK",IF($I757&lt;$H757,"BORCA BATIK",IF($L757&gt;=TtkUcteIkiEsik,"2/3 KAYIP (KRİTİK)",IF($L757&gt;=TtkUcteBirEsik,"1/3 KAYIP (DİKKAT)","UYGUN")))))</f>
        <v/>
      </c>
    </row>
    <row r="758" customFormat="false" ht="15" hidden="false" customHeight="false" outlineLevel="0" collapsed="false">
      <c r="A758" s="21"/>
      <c r="B758" s="17"/>
      <c r="C758" s="17"/>
      <c r="D758" s="17"/>
      <c r="E758" s="17"/>
      <c r="F758" s="17"/>
      <c r="G758" s="17"/>
      <c r="H758" s="17"/>
      <c r="I758" s="17"/>
      <c r="J758" s="18" t="str">
        <f aca="false">IF($A758="","",$B758+$C758+$D758-$E758+$F758-$G758)</f>
        <v/>
      </c>
      <c r="K758" s="18" t="str">
        <f aca="false">IF($A758="","",MAX(0,$B758-$J758))</f>
        <v/>
      </c>
      <c r="L758" s="19" t="str">
        <f aca="false">IF($A758="","",IF($B758=0,0,$K758/$B758))</f>
        <v/>
      </c>
      <c r="M758" s="20" t="str">
        <f aca="false">IF($A758="","",IF($J758&lt;0,"BORCA BATIK",IF($I758&lt;$H758,"BORCA BATIK",IF($L758&gt;=TtkUcteIkiEsik,"2/3 KAYIP (KRİTİK)",IF($L758&gt;=TtkUcteBirEsik,"1/3 KAYIP (DİKKAT)","UYGUN")))))</f>
        <v/>
      </c>
    </row>
    <row r="759" customFormat="false" ht="15" hidden="false" customHeight="false" outlineLevel="0" collapsed="false">
      <c r="A759" s="21"/>
      <c r="B759" s="17"/>
      <c r="C759" s="17"/>
      <c r="D759" s="17"/>
      <c r="E759" s="17"/>
      <c r="F759" s="17"/>
      <c r="G759" s="17"/>
      <c r="H759" s="17"/>
      <c r="I759" s="17"/>
      <c r="J759" s="18" t="str">
        <f aca="false">IF($A759="","",$B759+$C759+$D759-$E759+$F759-$G759)</f>
        <v/>
      </c>
      <c r="K759" s="18" t="str">
        <f aca="false">IF($A759="","",MAX(0,$B759-$J759))</f>
        <v/>
      </c>
      <c r="L759" s="19" t="str">
        <f aca="false">IF($A759="","",IF($B759=0,0,$K759/$B759))</f>
        <v/>
      </c>
      <c r="M759" s="20" t="str">
        <f aca="false">IF($A759="","",IF($J759&lt;0,"BORCA BATIK",IF($I759&lt;$H759,"BORCA BATIK",IF($L759&gt;=TtkUcteIkiEsik,"2/3 KAYIP (KRİTİK)",IF($L759&gt;=TtkUcteBirEsik,"1/3 KAYIP (DİKKAT)","UYGUN")))))</f>
        <v/>
      </c>
    </row>
    <row r="760" customFormat="false" ht="15" hidden="false" customHeight="false" outlineLevel="0" collapsed="false">
      <c r="A760" s="21"/>
      <c r="B760" s="17"/>
      <c r="C760" s="17"/>
      <c r="D760" s="17"/>
      <c r="E760" s="17"/>
      <c r="F760" s="17"/>
      <c r="G760" s="17"/>
      <c r="H760" s="17"/>
      <c r="I760" s="17"/>
      <c r="J760" s="18" t="str">
        <f aca="false">IF($A760="","",$B760+$C760+$D760-$E760+$F760-$G760)</f>
        <v/>
      </c>
      <c r="K760" s="18" t="str">
        <f aca="false">IF($A760="","",MAX(0,$B760-$J760))</f>
        <v/>
      </c>
      <c r="L760" s="19" t="str">
        <f aca="false">IF($A760="","",IF($B760=0,0,$K760/$B760))</f>
        <v/>
      </c>
      <c r="M760" s="20" t="str">
        <f aca="false">IF($A760="","",IF($J760&lt;0,"BORCA BATIK",IF($I760&lt;$H760,"BORCA BATIK",IF($L760&gt;=TtkUcteIkiEsik,"2/3 KAYIP (KRİTİK)",IF($L760&gt;=TtkUcteBirEsik,"1/3 KAYIP (DİKKAT)","UYGUN")))))</f>
        <v/>
      </c>
    </row>
    <row r="761" customFormat="false" ht="15" hidden="false" customHeight="false" outlineLevel="0" collapsed="false">
      <c r="A761" s="21"/>
      <c r="B761" s="17"/>
      <c r="C761" s="17"/>
      <c r="D761" s="17"/>
      <c r="E761" s="17"/>
      <c r="F761" s="17"/>
      <c r="G761" s="17"/>
      <c r="H761" s="17"/>
      <c r="I761" s="17"/>
      <c r="J761" s="18" t="str">
        <f aca="false">IF($A761="","",$B761+$C761+$D761-$E761+$F761-$G761)</f>
        <v/>
      </c>
      <c r="K761" s="18" t="str">
        <f aca="false">IF($A761="","",MAX(0,$B761-$J761))</f>
        <v/>
      </c>
      <c r="L761" s="19" t="str">
        <f aca="false">IF($A761="","",IF($B761=0,0,$K761/$B761))</f>
        <v/>
      </c>
      <c r="M761" s="20" t="str">
        <f aca="false">IF($A761="","",IF($J761&lt;0,"BORCA BATIK",IF($I761&lt;$H761,"BORCA BATIK",IF($L761&gt;=TtkUcteIkiEsik,"2/3 KAYIP (KRİTİK)",IF($L761&gt;=TtkUcteBirEsik,"1/3 KAYIP (DİKKAT)","UYGUN")))))</f>
        <v/>
      </c>
    </row>
    <row r="762" customFormat="false" ht="15" hidden="false" customHeight="false" outlineLevel="0" collapsed="false">
      <c r="A762" s="21"/>
      <c r="B762" s="17"/>
      <c r="C762" s="17"/>
      <c r="D762" s="17"/>
      <c r="E762" s="17"/>
      <c r="F762" s="17"/>
      <c r="G762" s="17"/>
      <c r="H762" s="17"/>
      <c r="I762" s="17"/>
      <c r="J762" s="18" t="str">
        <f aca="false">IF($A762="","",$B762+$C762+$D762-$E762+$F762-$G762)</f>
        <v/>
      </c>
      <c r="K762" s="18" t="str">
        <f aca="false">IF($A762="","",MAX(0,$B762-$J762))</f>
        <v/>
      </c>
      <c r="L762" s="19" t="str">
        <f aca="false">IF($A762="","",IF($B762=0,0,$K762/$B762))</f>
        <v/>
      </c>
      <c r="M762" s="20" t="str">
        <f aca="false">IF($A762="","",IF($J762&lt;0,"BORCA BATIK",IF($I762&lt;$H762,"BORCA BATIK",IF($L762&gt;=TtkUcteIkiEsik,"2/3 KAYIP (KRİTİK)",IF($L762&gt;=TtkUcteBirEsik,"1/3 KAYIP (DİKKAT)","UYGUN")))))</f>
        <v/>
      </c>
    </row>
    <row r="763" customFormat="false" ht="15" hidden="false" customHeight="false" outlineLevel="0" collapsed="false">
      <c r="A763" s="21"/>
      <c r="B763" s="17"/>
      <c r="C763" s="17"/>
      <c r="D763" s="17"/>
      <c r="E763" s="17"/>
      <c r="F763" s="17"/>
      <c r="G763" s="17"/>
      <c r="H763" s="17"/>
      <c r="I763" s="17"/>
      <c r="J763" s="18" t="str">
        <f aca="false">IF($A763="","",$B763+$C763+$D763-$E763+$F763-$G763)</f>
        <v/>
      </c>
      <c r="K763" s="18" t="str">
        <f aca="false">IF($A763="","",MAX(0,$B763-$J763))</f>
        <v/>
      </c>
      <c r="L763" s="19" t="str">
        <f aca="false">IF($A763="","",IF($B763=0,0,$K763/$B763))</f>
        <v/>
      </c>
      <c r="M763" s="20" t="str">
        <f aca="false">IF($A763="","",IF($J763&lt;0,"BORCA BATIK",IF($I763&lt;$H763,"BORCA BATIK",IF($L763&gt;=TtkUcteIkiEsik,"2/3 KAYIP (KRİTİK)",IF($L763&gt;=TtkUcteBirEsik,"1/3 KAYIP (DİKKAT)","UYGUN")))))</f>
        <v/>
      </c>
    </row>
    <row r="764" customFormat="false" ht="15" hidden="false" customHeight="false" outlineLevel="0" collapsed="false">
      <c r="A764" s="21"/>
      <c r="B764" s="17"/>
      <c r="C764" s="17"/>
      <c r="D764" s="17"/>
      <c r="E764" s="17"/>
      <c r="F764" s="17"/>
      <c r="G764" s="17"/>
      <c r="H764" s="17"/>
      <c r="I764" s="17"/>
      <c r="J764" s="18" t="str">
        <f aca="false">IF($A764="","",$B764+$C764+$D764-$E764+$F764-$G764)</f>
        <v/>
      </c>
      <c r="K764" s="18" t="str">
        <f aca="false">IF($A764="","",MAX(0,$B764-$J764))</f>
        <v/>
      </c>
      <c r="L764" s="19" t="str">
        <f aca="false">IF($A764="","",IF($B764=0,0,$K764/$B764))</f>
        <v/>
      </c>
      <c r="M764" s="20" t="str">
        <f aca="false">IF($A764="","",IF($J764&lt;0,"BORCA BATIK",IF($I764&lt;$H764,"BORCA BATIK",IF($L764&gt;=TtkUcteIkiEsik,"2/3 KAYIP (KRİTİK)",IF($L764&gt;=TtkUcteBirEsik,"1/3 KAYIP (DİKKAT)","UYGUN")))))</f>
        <v/>
      </c>
    </row>
    <row r="765" customFormat="false" ht="15" hidden="false" customHeight="false" outlineLevel="0" collapsed="false">
      <c r="A765" s="21"/>
      <c r="B765" s="17"/>
      <c r="C765" s="17"/>
      <c r="D765" s="17"/>
      <c r="E765" s="17"/>
      <c r="F765" s="17"/>
      <c r="G765" s="17"/>
      <c r="H765" s="17"/>
      <c r="I765" s="17"/>
      <c r="J765" s="18" t="str">
        <f aca="false">IF($A765="","",$B765+$C765+$D765-$E765+$F765-$G765)</f>
        <v/>
      </c>
      <c r="K765" s="18" t="str">
        <f aca="false">IF($A765="","",MAX(0,$B765-$J765))</f>
        <v/>
      </c>
      <c r="L765" s="19" t="str">
        <f aca="false">IF($A765="","",IF($B765=0,0,$K765/$B765))</f>
        <v/>
      </c>
      <c r="M765" s="20" t="str">
        <f aca="false">IF($A765="","",IF($J765&lt;0,"BORCA BATIK",IF($I765&lt;$H765,"BORCA BATIK",IF($L765&gt;=TtkUcteIkiEsik,"2/3 KAYIP (KRİTİK)",IF($L765&gt;=TtkUcteBirEsik,"1/3 KAYIP (DİKKAT)","UYGUN")))))</f>
        <v/>
      </c>
    </row>
    <row r="766" customFormat="false" ht="15" hidden="false" customHeight="false" outlineLevel="0" collapsed="false">
      <c r="A766" s="21"/>
      <c r="B766" s="17"/>
      <c r="C766" s="17"/>
      <c r="D766" s="17"/>
      <c r="E766" s="17"/>
      <c r="F766" s="17"/>
      <c r="G766" s="17"/>
      <c r="H766" s="17"/>
      <c r="I766" s="17"/>
      <c r="J766" s="18" t="str">
        <f aca="false">IF($A766="","",$B766+$C766+$D766-$E766+$F766-$G766)</f>
        <v/>
      </c>
      <c r="K766" s="18" t="str">
        <f aca="false">IF($A766="","",MAX(0,$B766-$J766))</f>
        <v/>
      </c>
      <c r="L766" s="19" t="str">
        <f aca="false">IF($A766="","",IF($B766=0,0,$K766/$B766))</f>
        <v/>
      </c>
      <c r="M766" s="20" t="str">
        <f aca="false">IF($A766="","",IF($J766&lt;0,"BORCA BATIK",IF($I766&lt;$H766,"BORCA BATIK",IF($L766&gt;=TtkUcteIkiEsik,"2/3 KAYIP (KRİTİK)",IF($L766&gt;=TtkUcteBirEsik,"1/3 KAYIP (DİKKAT)","UYGUN")))))</f>
        <v/>
      </c>
    </row>
    <row r="767" customFormat="false" ht="15" hidden="false" customHeight="false" outlineLevel="0" collapsed="false">
      <c r="A767" s="21"/>
      <c r="B767" s="17"/>
      <c r="C767" s="17"/>
      <c r="D767" s="17"/>
      <c r="E767" s="17"/>
      <c r="F767" s="17"/>
      <c r="G767" s="17"/>
      <c r="H767" s="17"/>
      <c r="I767" s="17"/>
      <c r="J767" s="18" t="str">
        <f aca="false">IF($A767="","",$B767+$C767+$D767-$E767+$F767-$G767)</f>
        <v/>
      </c>
      <c r="K767" s="18" t="str">
        <f aca="false">IF($A767="","",MAX(0,$B767-$J767))</f>
        <v/>
      </c>
      <c r="L767" s="19" t="str">
        <f aca="false">IF($A767="","",IF($B767=0,0,$K767/$B767))</f>
        <v/>
      </c>
      <c r="M767" s="20" t="str">
        <f aca="false">IF($A767="","",IF($J767&lt;0,"BORCA BATIK",IF($I767&lt;$H767,"BORCA BATIK",IF($L767&gt;=TtkUcteIkiEsik,"2/3 KAYIP (KRİTİK)",IF($L767&gt;=TtkUcteBirEsik,"1/3 KAYIP (DİKKAT)","UYGUN")))))</f>
        <v/>
      </c>
    </row>
    <row r="768" customFormat="false" ht="15" hidden="false" customHeight="false" outlineLevel="0" collapsed="false">
      <c r="A768" s="21"/>
      <c r="B768" s="17"/>
      <c r="C768" s="17"/>
      <c r="D768" s="17"/>
      <c r="E768" s="17"/>
      <c r="F768" s="17"/>
      <c r="G768" s="17"/>
      <c r="H768" s="17"/>
      <c r="I768" s="17"/>
      <c r="J768" s="18" t="str">
        <f aca="false">IF($A768="","",$B768+$C768+$D768-$E768+$F768-$G768)</f>
        <v/>
      </c>
      <c r="K768" s="18" t="str">
        <f aca="false">IF($A768="","",MAX(0,$B768-$J768))</f>
        <v/>
      </c>
      <c r="L768" s="19" t="str">
        <f aca="false">IF($A768="","",IF($B768=0,0,$K768/$B768))</f>
        <v/>
      </c>
      <c r="M768" s="20" t="str">
        <f aca="false">IF($A768="","",IF($J768&lt;0,"BORCA BATIK",IF($I768&lt;$H768,"BORCA BATIK",IF($L768&gt;=TtkUcteIkiEsik,"2/3 KAYIP (KRİTİK)",IF($L768&gt;=TtkUcteBirEsik,"1/3 KAYIP (DİKKAT)","UYGUN")))))</f>
        <v/>
      </c>
    </row>
    <row r="769" customFormat="false" ht="15" hidden="false" customHeight="false" outlineLevel="0" collapsed="false">
      <c r="A769" s="21"/>
      <c r="B769" s="17"/>
      <c r="C769" s="17"/>
      <c r="D769" s="17"/>
      <c r="E769" s="17"/>
      <c r="F769" s="17"/>
      <c r="G769" s="17"/>
      <c r="H769" s="17"/>
      <c r="I769" s="17"/>
      <c r="J769" s="18" t="str">
        <f aca="false">IF($A769="","",$B769+$C769+$D769-$E769+$F769-$G769)</f>
        <v/>
      </c>
      <c r="K769" s="18" t="str">
        <f aca="false">IF($A769="","",MAX(0,$B769-$J769))</f>
        <v/>
      </c>
      <c r="L769" s="19" t="str">
        <f aca="false">IF($A769="","",IF($B769=0,0,$K769/$B769))</f>
        <v/>
      </c>
      <c r="M769" s="20" t="str">
        <f aca="false">IF($A769="","",IF($J769&lt;0,"BORCA BATIK",IF($I769&lt;$H769,"BORCA BATIK",IF($L769&gt;=TtkUcteIkiEsik,"2/3 KAYIP (KRİTİK)",IF($L769&gt;=TtkUcteBirEsik,"1/3 KAYIP (DİKKAT)","UYGUN")))))</f>
        <v/>
      </c>
    </row>
    <row r="770" customFormat="false" ht="15" hidden="false" customHeight="false" outlineLevel="0" collapsed="false">
      <c r="A770" s="21"/>
      <c r="B770" s="17"/>
      <c r="C770" s="17"/>
      <c r="D770" s="17"/>
      <c r="E770" s="17"/>
      <c r="F770" s="17"/>
      <c r="G770" s="17"/>
      <c r="H770" s="17"/>
      <c r="I770" s="17"/>
      <c r="J770" s="18" t="str">
        <f aca="false">IF($A770="","",$B770+$C770+$D770-$E770+$F770-$G770)</f>
        <v/>
      </c>
      <c r="K770" s="18" t="str">
        <f aca="false">IF($A770="","",MAX(0,$B770-$J770))</f>
        <v/>
      </c>
      <c r="L770" s="19" t="str">
        <f aca="false">IF($A770="","",IF($B770=0,0,$K770/$B770))</f>
        <v/>
      </c>
      <c r="M770" s="20" t="str">
        <f aca="false">IF($A770="","",IF($J770&lt;0,"BORCA BATIK",IF($I770&lt;$H770,"BORCA BATIK",IF($L770&gt;=TtkUcteIkiEsik,"2/3 KAYIP (KRİTİK)",IF($L770&gt;=TtkUcteBirEsik,"1/3 KAYIP (DİKKAT)","UYGUN")))))</f>
        <v/>
      </c>
    </row>
    <row r="771" customFormat="false" ht="15" hidden="false" customHeight="false" outlineLevel="0" collapsed="false">
      <c r="A771" s="21"/>
      <c r="B771" s="17"/>
      <c r="C771" s="17"/>
      <c r="D771" s="17"/>
      <c r="E771" s="17"/>
      <c r="F771" s="17"/>
      <c r="G771" s="17"/>
      <c r="H771" s="17"/>
      <c r="I771" s="17"/>
      <c r="J771" s="18" t="str">
        <f aca="false">IF($A771="","",$B771+$C771+$D771-$E771+$F771-$G771)</f>
        <v/>
      </c>
      <c r="K771" s="18" t="str">
        <f aca="false">IF($A771="","",MAX(0,$B771-$J771))</f>
        <v/>
      </c>
      <c r="L771" s="19" t="str">
        <f aca="false">IF($A771="","",IF($B771=0,0,$K771/$B771))</f>
        <v/>
      </c>
      <c r="M771" s="20" t="str">
        <f aca="false">IF($A771="","",IF($J771&lt;0,"BORCA BATIK",IF($I771&lt;$H771,"BORCA BATIK",IF($L771&gt;=TtkUcteIkiEsik,"2/3 KAYIP (KRİTİK)",IF($L771&gt;=TtkUcteBirEsik,"1/3 KAYIP (DİKKAT)","UYGUN")))))</f>
        <v/>
      </c>
    </row>
    <row r="772" customFormat="false" ht="15" hidden="false" customHeight="false" outlineLevel="0" collapsed="false">
      <c r="A772" s="21"/>
      <c r="B772" s="17"/>
      <c r="C772" s="17"/>
      <c r="D772" s="17"/>
      <c r="E772" s="17"/>
      <c r="F772" s="17"/>
      <c r="G772" s="17"/>
      <c r="H772" s="17"/>
      <c r="I772" s="17"/>
      <c r="J772" s="18" t="str">
        <f aca="false">IF($A772="","",$B772+$C772+$D772-$E772+$F772-$G772)</f>
        <v/>
      </c>
      <c r="K772" s="18" t="str">
        <f aca="false">IF($A772="","",MAX(0,$B772-$J772))</f>
        <v/>
      </c>
      <c r="L772" s="19" t="str">
        <f aca="false">IF($A772="","",IF($B772=0,0,$K772/$B772))</f>
        <v/>
      </c>
      <c r="M772" s="20" t="str">
        <f aca="false">IF($A772="","",IF($J772&lt;0,"BORCA BATIK",IF($I772&lt;$H772,"BORCA BATIK",IF($L772&gt;=TtkUcteIkiEsik,"2/3 KAYIP (KRİTİK)",IF($L772&gt;=TtkUcteBirEsik,"1/3 KAYIP (DİKKAT)","UYGUN")))))</f>
        <v/>
      </c>
    </row>
    <row r="773" customFormat="false" ht="15" hidden="false" customHeight="false" outlineLevel="0" collapsed="false">
      <c r="A773" s="21"/>
      <c r="B773" s="17"/>
      <c r="C773" s="17"/>
      <c r="D773" s="17"/>
      <c r="E773" s="17"/>
      <c r="F773" s="17"/>
      <c r="G773" s="17"/>
      <c r="H773" s="17"/>
      <c r="I773" s="17"/>
      <c r="J773" s="18" t="str">
        <f aca="false">IF($A773="","",$B773+$C773+$D773-$E773+$F773-$G773)</f>
        <v/>
      </c>
      <c r="K773" s="18" t="str">
        <f aca="false">IF($A773="","",MAX(0,$B773-$J773))</f>
        <v/>
      </c>
      <c r="L773" s="19" t="str">
        <f aca="false">IF($A773="","",IF($B773=0,0,$K773/$B773))</f>
        <v/>
      </c>
      <c r="M773" s="20" t="str">
        <f aca="false">IF($A773="","",IF($J773&lt;0,"BORCA BATIK",IF($I773&lt;$H773,"BORCA BATIK",IF($L773&gt;=TtkUcteIkiEsik,"2/3 KAYIP (KRİTİK)",IF($L773&gt;=TtkUcteBirEsik,"1/3 KAYIP (DİKKAT)","UYGUN")))))</f>
        <v/>
      </c>
    </row>
    <row r="774" customFormat="false" ht="15" hidden="false" customHeight="false" outlineLevel="0" collapsed="false">
      <c r="A774" s="21"/>
      <c r="B774" s="17"/>
      <c r="C774" s="17"/>
      <c r="D774" s="17"/>
      <c r="E774" s="17"/>
      <c r="F774" s="17"/>
      <c r="G774" s="17"/>
      <c r="H774" s="17"/>
      <c r="I774" s="17"/>
      <c r="J774" s="18" t="str">
        <f aca="false">IF($A774="","",$B774+$C774+$D774-$E774+$F774-$G774)</f>
        <v/>
      </c>
      <c r="K774" s="18" t="str">
        <f aca="false">IF($A774="","",MAX(0,$B774-$J774))</f>
        <v/>
      </c>
      <c r="L774" s="19" t="str">
        <f aca="false">IF($A774="","",IF($B774=0,0,$K774/$B774))</f>
        <v/>
      </c>
      <c r="M774" s="20" t="str">
        <f aca="false">IF($A774="","",IF($J774&lt;0,"BORCA BATIK",IF($I774&lt;$H774,"BORCA BATIK",IF($L774&gt;=TtkUcteIkiEsik,"2/3 KAYIP (KRİTİK)",IF($L774&gt;=TtkUcteBirEsik,"1/3 KAYIP (DİKKAT)","UYGUN")))))</f>
        <v/>
      </c>
    </row>
    <row r="775" customFormat="false" ht="15" hidden="false" customHeight="false" outlineLevel="0" collapsed="false">
      <c r="A775" s="21"/>
      <c r="B775" s="17"/>
      <c r="C775" s="17"/>
      <c r="D775" s="17"/>
      <c r="E775" s="17"/>
      <c r="F775" s="17"/>
      <c r="G775" s="17"/>
      <c r="H775" s="17"/>
      <c r="I775" s="17"/>
      <c r="J775" s="18" t="str">
        <f aca="false">IF($A775="","",$B775+$C775+$D775-$E775+$F775-$G775)</f>
        <v/>
      </c>
      <c r="K775" s="18" t="str">
        <f aca="false">IF($A775="","",MAX(0,$B775-$J775))</f>
        <v/>
      </c>
      <c r="L775" s="19" t="str">
        <f aca="false">IF($A775="","",IF($B775=0,0,$K775/$B775))</f>
        <v/>
      </c>
      <c r="M775" s="20" t="str">
        <f aca="false">IF($A775="","",IF($J775&lt;0,"BORCA BATIK",IF($I775&lt;$H775,"BORCA BATIK",IF($L775&gt;=TtkUcteIkiEsik,"2/3 KAYIP (KRİTİK)",IF($L775&gt;=TtkUcteBirEsik,"1/3 KAYIP (DİKKAT)","UYGUN")))))</f>
        <v/>
      </c>
    </row>
    <row r="776" customFormat="false" ht="15" hidden="false" customHeight="false" outlineLevel="0" collapsed="false">
      <c r="A776" s="21"/>
      <c r="B776" s="17"/>
      <c r="C776" s="17"/>
      <c r="D776" s="17"/>
      <c r="E776" s="17"/>
      <c r="F776" s="17"/>
      <c r="G776" s="17"/>
      <c r="H776" s="17"/>
      <c r="I776" s="17"/>
      <c r="J776" s="18" t="str">
        <f aca="false">IF($A776="","",$B776+$C776+$D776-$E776+$F776-$G776)</f>
        <v/>
      </c>
      <c r="K776" s="18" t="str">
        <f aca="false">IF($A776="","",MAX(0,$B776-$J776))</f>
        <v/>
      </c>
      <c r="L776" s="19" t="str">
        <f aca="false">IF($A776="","",IF($B776=0,0,$K776/$B776))</f>
        <v/>
      </c>
      <c r="M776" s="20" t="str">
        <f aca="false">IF($A776="","",IF($J776&lt;0,"BORCA BATIK",IF($I776&lt;$H776,"BORCA BATIK",IF($L776&gt;=TtkUcteIkiEsik,"2/3 KAYIP (KRİTİK)",IF($L776&gt;=TtkUcteBirEsik,"1/3 KAYIP (DİKKAT)","UYGUN")))))</f>
        <v/>
      </c>
    </row>
    <row r="777" customFormat="false" ht="15" hidden="false" customHeight="false" outlineLevel="0" collapsed="false">
      <c r="A777" s="21"/>
      <c r="B777" s="17"/>
      <c r="C777" s="17"/>
      <c r="D777" s="17"/>
      <c r="E777" s="17"/>
      <c r="F777" s="17"/>
      <c r="G777" s="17"/>
      <c r="H777" s="17"/>
      <c r="I777" s="17"/>
      <c r="J777" s="18" t="str">
        <f aca="false">IF($A777="","",$B777+$C777+$D777-$E777+$F777-$G777)</f>
        <v/>
      </c>
      <c r="K777" s="18" t="str">
        <f aca="false">IF($A777="","",MAX(0,$B777-$J777))</f>
        <v/>
      </c>
      <c r="L777" s="19" t="str">
        <f aca="false">IF($A777="","",IF($B777=0,0,$K777/$B777))</f>
        <v/>
      </c>
      <c r="M777" s="20" t="str">
        <f aca="false">IF($A777="","",IF($J777&lt;0,"BORCA BATIK",IF($I777&lt;$H777,"BORCA BATIK",IF($L777&gt;=TtkUcteIkiEsik,"2/3 KAYIP (KRİTİK)",IF($L777&gt;=TtkUcteBirEsik,"1/3 KAYIP (DİKKAT)","UYGUN")))))</f>
        <v/>
      </c>
    </row>
    <row r="778" customFormat="false" ht="15" hidden="false" customHeight="false" outlineLevel="0" collapsed="false">
      <c r="A778" s="21"/>
      <c r="B778" s="17"/>
      <c r="C778" s="17"/>
      <c r="D778" s="17"/>
      <c r="E778" s="17"/>
      <c r="F778" s="17"/>
      <c r="G778" s="17"/>
      <c r="H778" s="17"/>
      <c r="I778" s="17"/>
      <c r="J778" s="18" t="str">
        <f aca="false">IF($A778="","",$B778+$C778+$D778-$E778+$F778-$G778)</f>
        <v/>
      </c>
      <c r="K778" s="18" t="str">
        <f aca="false">IF($A778="","",MAX(0,$B778-$J778))</f>
        <v/>
      </c>
      <c r="L778" s="19" t="str">
        <f aca="false">IF($A778="","",IF($B778=0,0,$K778/$B778))</f>
        <v/>
      </c>
      <c r="M778" s="20" t="str">
        <f aca="false">IF($A778="","",IF($J778&lt;0,"BORCA BATIK",IF($I778&lt;$H778,"BORCA BATIK",IF($L778&gt;=TtkUcteIkiEsik,"2/3 KAYIP (KRİTİK)",IF($L778&gt;=TtkUcteBirEsik,"1/3 KAYIP (DİKKAT)","UYGUN")))))</f>
        <v/>
      </c>
    </row>
    <row r="779" customFormat="false" ht="15" hidden="false" customHeight="false" outlineLevel="0" collapsed="false">
      <c r="A779" s="21"/>
      <c r="B779" s="17"/>
      <c r="C779" s="17"/>
      <c r="D779" s="17"/>
      <c r="E779" s="17"/>
      <c r="F779" s="17"/>
      <c r="G779" s="17"/>
      <c r="H779" s="17"/>
      <c r="I779" s="17"/>
      <c r="J779" s="18" t="str">
        <f aca="false">IF($A779="","",$B779+$C779+$D779-$E779+$F779-$G779)</f>
        <v/>
      </c>
      <c r="K779" s="18" t="str">
        <f aca="false">IF($A779="","",MAX(0,$B779-$J779))</f>
        <v/>
      </c>
      <c r="L779" s="19" t="str">
        <f aca="false">IF($A779="","",IF($B779=0,0,$K779/$B779))</f>
        <v/>
      </c>
      <c r="M779" s="20" t="str">
        <f aca="false">IF($A779="","",IF($J779&lt;0,"BORCA BATIK",IF($I779&lt;$H779,"BORCA BATIK",IF($L779&gt;=TtkUcteIkiEsik,"2/3 KAYIP (KRİTİK)",IF($L779&gt;=TtkUcteBirEsik,"1/3 KAYIP (DİKKAT)","UYGUN")))))</f>
        <v/>
      </c>
    </row>
    <row r="780" customFormat="false" ht="15" hidden="false" customHeight="false" outlineLevel="0" collapsed="false">
      <c r="A780" s="21"/>
      <c r="B780" s="17"/>
      <c r="C780" s="17"/>
      <c r="D780" s="17"/>
      <c r="E780" s="17"/>
      <c r="F780" s="17"/>
      <c r="G780" s="17"/>
      <c r="H780" s="17"/>
      <c r="I780" s="17"/>
      <c r="J780" s="18" t="str">
        <f aca="false">IF($A780="","",$B780+$C780+$D780-$E780+$F780-$G780)</f>
        <v/>
      </c>
      <c r="K780" s="18" t="str">
        <f aca="false">IF($A780="","",MAX(0,$B780-$J780))</f>
        <v/>
      </c>
      <c r="L780" s="19" t="str">
        <f aca="false">IF($A780="","",IF($B780=0,0,$K780/$B780))</f>
        <v/>
      </c>
      <c r="M780" s="20" t="str">
        <f aca="false">IF($A780="","",IF($J780&lt;0,"BORCA BATIK",IF($I780&lt;$H780,"BORCA BATIK",IF($L780&gt;=TtkUcteIkiEsik,"2/3 KAYIP (KRİTİK)",IF($L780&gt;=TtkUcteBirEsik,"1/3 KAYIP (DİKKAT)","UYGUN")))))</f>
        <v/>
      </c>
    </row>
    <row r="781" customFormat="false" ht="15" hidden="false" customHeight="false" outlineLevel="0" collapsed="false">
      <c r="A781" s="21"/>
      <c r="B781" s="17"/>
      <c r="C781" s="17"/>
      <c r="D781" s="17"/>
      <c r="E781" s="17"/>
      <c r="F781" s="17"/>
      <c r="G781" s="17"/>
      <c r="H781" s="17"/>
      <c r="I781" s="17"/>
      <c r="J781" s="18" t="str">
        <f aca="false">IF($A781="","",$B781+$C781+$D781-$E781+$F781-$G781)</f>
        <v/>
      </c>
      <c r="K781" s="18" t="str">
        <f aca="false">IF($A781="","",MAX(0,$B781-$J781))</f>
        <v/>
      </c>
      <c r="L781" s="19" t="str">
        <f aca="false">IF($A781="","",IF($B781=0,0,$K781/$B781))</f>
        <v/>
      </c>
      <c r="M781" s="20" t="str">
        <f aca="false">IF($A781="","",IF($J781&lt;0,"BORCA BATIK",IF($I781&lt;$H781,"BORCA BATIK",IF($L781&gt;=TtkUcteIkiEsik,"2/3 KAYIP (KRİTİK)",IF($L781&gt;=TtkUcteBirEsik,"1/3 KAYIP (DİKKAT)","UYGUN")))))</f>
        <v/>
      </c>
    </row>
    <row r="782" customFormat="false" ht="15" hidden="false" customHeight="false" outlineLevel="0" collapsed="false">
      <c r="A782" s="21"/>
      <c r="B782" s="17"/>
      <c r="C782" s="17"/>
      <c r="D782" s="17"/>
      <c r="E782" s="17"/>
      <c r="F782" s="17"/>
      <c r="G782" s="17"/>
      <c r="H782" s="17"/>
      <c r="I782" s="17"/>
      <c r="J782" s="18" t="str">
        <f aca="false">IF($A782="","",$B782+$C782+$D782-$E782+$F782-$G782)</f>
        <v/>
      </c>
      <c r="K782" s="18" t="str">
        <f aca="false">IF($A782="","",MAX(0,$B782-$J782))</f>
        <v/>
      </c>
      <c r="L782" s="19" t="str">
        <f aca="false">IF($A782="","",IF($B782=0,0,$K782/$B782))</f>
        <v/>
      </c>
      <c r="M782" s="20" t="str">
        <f aca="false">IF($A782="","",IF($J782&lt;0,"BORCA BATIK",IF($I782&lt;$H782,"BORCA BATIK",IF($L782&gt;=TtkUcteIkiEsik,"2/3 KAYIP (KRİTİK)",IF($L782&gt;=TtkUcteBirEsik,"1/3 KAYIP (DİKKAT)","UYGUN")))))</f>
        <v/>
      </c>
    </row>
    <row r="783" customFormat="false" ht="15" hidden="false" customHeight="false" outlineLevel="0" collapsed="false">
      <c r="A783" s="21"/>
      <c r="B783" s="17"/>
      <c r="C783" s="17"/>
      <c r="D783" s="17"/>
      <c r="E783" s="17"/>
      <c r="F783" s="17"/>
      <c r="G783" s="17"/>
      <c r="H783" s="17"/>
      <c r="I783" s="17"/>
      <c r="J783" s="18" t="str">
        <f aca="false">IF($A783="","",$B783+$C783+$D783-$E783+$F783-$G783)</f>
        <v/>
      </c>
      <c r="K783" s="18" t="str">
        <f aca="false">IF($A783="","",MAX(0,$B783-$J783))</f>
        <v/>
      </c>
      <c r="L783" s="19" t="str">
        <f aca="false">IF($A783="","",IF($B783=0,0,$K783/$B783))</f>
        <v/>
      </c>
      <c r="M783" s="20" t="str">
        <f aca="false">IF($A783="","",IF($J783&lt;0,"BORCA BATIK",IF($I783&lt;$H783,"BORCA BATIK",IF($L783&gt;=TtkUcteIkiEsik,"2/3 KAYIP (KRİTİK)",IF($L783&gt;=TtkUcteBirEsik,"1/3 KAYIP (DİKKAT)","UYGUN")))))</f>
        <v/>
      </c>
    </row>
    <row r="784" customFormat="false" ht="15" hidden="false" customHeight="false" outlineLevel="0" collapsed="false">
      <c r="A784" s="21"/>
      <c r="B784" s="17"/>
      <c r="C784" s="17"/>
      <c r="D784" s="17"/>
      <c r="E784" s="17"/>
      <c r="F784" s="17"/>
      <c r="G784" s="17"/>
      <c r="H784" s="17"/>
      <c r="I784" s="17"/>
      <c r="J784" s="18" t="str">
        <f aca="false">IF($A784="","",$B784+$C784+$D784-$E784+$F784-$G784)</f>
        <v/>
      </c>
      <c r="K784" s="18" t="str">
        <f aca="false">IF($A784="","",MAX(0,$B784-$J784))</f>
        <v/>
      </c>
      <c r="L784" s="19" t="str">
        <f aca="false">IF($A784="","",IF($B784=0,0,$K784/$B784))</f>
        <v/>
      </c>
      <c r="M784" s="20" t="str">
        <f aca="false">IF($A784="","",IF($J784&lt;0,"BORCA BATIK",IF($I784&lt;$H784,"BORCA BATIK",IF($L784&gt;=TtkUcteIkiEsik,"2/3 KAYIP (KRİTİK)",IF($L784&gt;=TtkUcteBirEsik,"1/3 KAYIP (DİKKAT)","UYGUN")))))</f>
        <v/>
      </c>
    </row>
    <row r="785" customFormat="false" ht="15" hidden="false" customHeight="false" outlineLevel="0" collapsed="false">
      <c r="A785" s="21"/>
      <c r="B785" s="17"/>
      <c r="C785" s="17"/>
      <c r="D785" s="17"/>
      <c r="E785" s="17"/>
      <c r="F785" s="17"/>
      <c r="G785" s="17"/>
      <c r="H785" s="17"/>
      <c r="I785" s="17"/>
      <c r="J785" s="18" t="str">
        <f aca="false">IF($A785="","",$B785+$C785+$D785-$E785+$F785-$G785)</f>
        <v/>
      </c>
      <c r="K785" s="18" t="str">
        <f aca="false">IF($A785="","",MAX(0,$B785-$J785))</f>
        <v/>
      </c>
      <c r="L785" s="19" t="str">
        <f aca="false">IF($A785="","",IF($B785=0,0,$K785/$B785))</f>
        <v/>
      </c>
      <c r="M785" s="20" t="str">
        <f aca="false">IF($A785="","",IF($J785&lt;0,"BORCA BATIK",IF($I785&lt;$H785,"BORCA BATIK",IF($L785&gt;=TtkUcteIkiEsik,"2/3 KAYIP (KRİTİK)",IF($L785&gt;=TtkUcteBirEsik,"1/3 KAYIP (DİKKAT)","UYGUN")))))</f>
        <v/>
      </c>
    </row>
    <row r="786" customFormat="false" ht="15" hidden="false" customHeight="false" outlineLevel="0" collapsed="false">
      <c r="A786" s="21"/>
      <c r="B786" s="17"/>
      <c r="C786" s="17"/>
      <c r="D786" s="17"/>
      <c r="E786" s="17"/>
      <c r="F786" s="17"/>
      <c r="G786" s="17"/>
      <c r="H786" s="17"/>
      <c r="I786" s="17"/>
      <c r="J786" s="18" t="str">
        <f aca="false">IF($A786="","",$B786+$C786+$D786-$E786+$F786-$G786)</f>
        <v/>
      </c>
      <c r="K786" s="18" t="str">
        <f aca="false">IF($A786="","",MAX(0,$B786-$J786))</f>
        <v/>
      </c>
      <c r="L786" s="19" t="str">
        <f aca="false">IF($A786="","",IF($B786=0,0,$K786/$B786))</f>
        <v/>
      </c>
      <c r="M786" s="20" t="str">
        <f aca="false">IF($A786="","",IF($J786&lt;0,"BORCA BATIK",IF($I786&lt;$H786,"BORCA BATIK",IF($L786&gt;=TtkUcteIkiEsik,"2/3 KAYIP (KRİTİK)",IF($L786&gt;=TtkUcteBirEsik,"1/3 KAYIP (DİKKAT)","UYGUN")))))</f>
        <v/>
      </c>
    </row>
    <row r="787" customFormat="false" ht="15" hidden="false" customHeight="false" outlineLevel="0" collapsed="false">
      <c r="A787" s="21"/>
      <c r="B787" s="17"/>
      <c r="C787" s="17"/>
      <c r="D787" s="17"/>
      <c r="E787" s="17"/>
      <c r="F787" s="17"/>
      <c r="G787" s="17"/>
      <c r="H787" s="17"/>
      <c r="I787" s="17"/>
      <c r="J787" s="18" t="str">
        <f aca="false">IF($A787="","",$B787+$C787+$D787-$E787+$F787-$G787)</f>
        <v/>
      </c>
      <c r="K787" s="18" t="str">
        <f aca="false">IF($A787="","",MAX(0,$B787-$J787))</f>
        <v/>
      </c>
      <c r="L787" s="19" t="str">
        <f aca="false">IF($A787="","",IF($B787=0,0,$K787/$B787))</f>
        <v/>
      </c>
      <c r="M787" s="20" t="str">
        <f aca="false">IF($A787="","",IF($J787&lt;0,"BORCA BATIK",IF($I787&lt;$H787,"BORCA BATIK",IF($L787&gt;=TtkUcteIkiEsik,"2/3 KAYIP (KRİTİK)",IF($L787&gt;=TtkUcteBirEsik,"1/3 KAYIP (DİKKAT)","UYGUN")))))</f>
        <v/>
      </c>
    </row>
    <row r="788" customFormat="false" ht="15" hidden="false" customHeight="false" outlineLevel="0" collapsed="false">
      <c r="A788" s="21"/>
      <c r="B788" s="17"/>
      <c r="C788" s="17"/>
      <c r="D788" s="17"/>
      <c r="E788" s="17"/>
      <c r="F788" s="17"/>
      <c r="G788" s="17"/>
      <c r="H788" s="17"/>
      <c r="I788" s="17"/>
      <c r="J788" s="18" t="str">
        <f aca="false">IF($A788="","",$B788+$C788+$D788-$E788+$F788-$G788)</f>
        <v/>
      </c>
      <c r="K788" s="18" t="str">
        <f aca="false">IF($A788="","",MAX(0,$B788-$J788))</f>
        <v/>
      </c>
      <c r="L788" s="19" t="str">
        <f aca="false">IF($A788="","",IF($B788=0,0,$K788/$B788))</f>
        <v/>
      </c>
      <c r="M788" s="20" t="str">
        <f aca="false">IF($A788="","",IF($J788&lt;0,"BORCA BATIK",IF($I788&lt;$H788,"BORCA BATIK",IF($L788&gt;=TtkUcteIkiEsik,"2/3 KAYIP (KRİTİK)",IF($L788&gt;=TtkUcteBirEsik,"1/3 KAYIP (DİKKAT)","UYGUN")))))</f>
        <v/>
      </c>
    </row>
    <row r="789" customFormat="false" ht="15" hidden="false" customHeight="false" outlineLevel="0" collapsed="false">
      <c r="A789" s="21"/>
      <c r="B789" s="17"/>
      <c r="C789" s="17"/>
      <c r="D789" s="17"/>
      <c r="E789" s="17"/>
      <c r="F789" s="17"/>
      <c r="G789" s="17"/>
      <c r="H789" s="17"/>
      <c r="I789" s="17"/>
      <c r="J789" s="18" t="str">
        <f aca="false">IF($A789="","",$B789+$C789+$D789-$E789+$F789-$G789)</f>
        <v/>
      </c>
      <c r="K789" s="18" t="str">
        <f aca="false">IF($A789="","",MAX(0,$B789-$J789))</f>
        <v/>
      </c>
      <c r="L789" s="19" t="str">
        <f aca="false">IF($A789="","",IF($B789=0,0,$K789/$B789))</f>
        <v/>
      </c>
      <c r="M789" s="20" t="str">
        <f aca="false">IF($A789="","",IF($J789&lt;0,"BORCA BATIK",IF($I789&lt;$H789,"BORCA BATIK",IF($L789&gt;=TtkUcteIkiEsik,"2/3 KAYIP (KRİTİK)",IF($L789&gt;=TtkUcteBirEsik,"1/3 KAYIP (DİKKAT)","UYGUN")))))</f>
        <v/>
      </c>
    </row>
    <row r="790" customFormat="false" ht="15" hidden="false" customHeight="false" outlineLevel="0" collapsed="false">
      <c r="A790" s="21"/>
      <c r="B790" s="17"/>
      <c r="C790" s="17"/>
      <c r="D790" s="17"/>
      <c r="E790" s="17"/>
      <c r="F790" s="17"/>
      <c r="G790" s="17"/>
      <c r="H790" s="17"/>
      <c r="I790" s="17"/>
      <c r="J790" s="18" t="str">
        <f aca="false">IF($A790="","",$B790+$C790+$D790-$E790+$F790-$G790)</f>
        <v/>
      </c>
      <c r="K790" s="18" t="str">
        <f aca="false">IF($A790="","",MAX(0,$B790-$J790))</f>
        <v/>
      </c>
      <c r="L790" s="19" t="str">
        <f aca="false">IF($A790="","",IF($B790=0,0,$K790/$B790))</f>
        <v/>
      </c>
      <c r="M790" s="20" t="str">
        <f aca="false">IF($A790="","",IF($J790&lt;0,"BORCA BATIK",IF($I790&lt;$H790,"BORCA BATIK",IF($L790&gt;=TtkUcteIkiEsik,"2/3 KAYIP (KRİTİK)",IF($L790&gt;=TtkUcteBirEsik,"1/3 KAYIP (DİKKAT)","UYGUN")))))</f>
        <v/>
      </c>
    </row>
    <row r="791" customFormat="false" ht="15" hidden="false" customHeight="false" outlineLevel="0" collapsed="false">
      <c r="A791" s="21"/>
      <c r="B791" s="17"/>
      <c r="C791" s="17"/>
      <c r="D791" s="17"/>
      <c r="E791" s="17"/>
      <c r="F791" s="17"/>
      <c r="G791" s="17"/>
      <c r="H791" s="17"/>
      <c r="I791" s="17"/>
      <c r="J791" s="18" t="str">
        <f aca="false">IF($A791="","",$B791+$C791+$D791-$E791+$F791-$G791)</f>
        <v/>
      </c>
      <c r="K791" s="18" t="str">
        <f aca="false">IF($A791="","",MAX(0,$B791-$J791))</f>
        <v/>
      </c>
      <c r="L791" s="19" t="str">
        <f aca="false">IF($A791="","",IF($B791=0,0,$K791/$B791))</f>
        <v/>
      </c>
      <c r="M791" s="20" t="str">
        <f aca="false">IF($A791="","",IF($J791&lt;0,"BORCA BATIK",IF($I791&lt;$H791,"BORCA BATIK",IF($L791&gt;=TtkUcteIkiEsik,"2/3 KAYIP (KRİTİK)",IF($L791&gt;=TtkUcteBirEsik,"1/3 KAYIP (DİKKAT)","UYGUN")))))</f>
        <v/>
      </c>
    </row>
    <row r="792" customFormat="false" ht="15" hidden="false" customHeight="false" outlineLevel="0" collapsed="false">
      <c r="A792" s="21"/>
      <c r="B792" s="17"/>
      <c r="C792" s="17"/>
      <c r="D792" s="17"/>
      <c r="E792" s="17"/>
      <c r="F792" s="17"/>
      <c r="G792" s="17"/>
      <c r="H792" s="17"/>
      <c r="I792" s="17"/>
      <c r="J792" s="18" t="str">
        <f aca="false">IF($A792="","",$B792+$C792+$D792-$E792+$F792-$G792)</f>
        <v/>
      </c>
      <c r="K792" s="18" t="str">
        <f aca="false">IF($A792="","",MAX(0,$B792-$J792))</f>
        <v/>
      </c>
      <c r="L792" s="19" t="str">
        <f aca="false">IF($A792="","",IF($B792=0,0,$K792/$B792))</f>
        <v/>
      </c>
      <c r="M792" s="20" t="str">
        <f aca="false">IF($A792="","",IF($J792&lt;0,"BORCA BATIK",IF($I792&lt;$H792,"BORCA BATIK",IF($L792&gt;=TtkUcteIkiEsik,"2/3 KAYIP (KRİTİK)",IF($L792&gt;=TtkUcteBirEsik,"1/3 KAYIP (DİKKAT)","UYGUN")))))</f>
        <v/>
      </c>
    </row>
    <row r="793" customFormat="false" ht="15" hidden="false" customHeight="false" outlineLevel="0" collapsed="false">
      <c r="A793" s="21"/>
      <c r="B793" s="17"/>
      <c r="C793" s="17"/>
      <c r="D793" s="17"/>
      <c r="E793" s="17"/>
      <c r="F793" s="17"/>
      <c r="G793" s="17"/>
      <c r="H793" s="17"/>
      <c r="I793" s="17"/>
      <c r="J793" s="18" t="str">
        <f aca="false">IF($A793="","",$B793+$C793+$D793-$E793+$F793-$G793)</f>
        <v/>
      </c>
      <c r="K793" s="18" t="str">
        <f aca="false">IF($A793="","",MAX(0,$B793-$J793))</f>
        <v/>
      </c>
      <c r="L793" s="19" t="str">
        <f aca="false">IF($A793="","",IF($B793=0,0,$K793/$B793))</f>
        <v/>
      </c>
      <c r="M793" s="20" t="str">
        <f aca="false">IF($A793="","",IF($J793&lt;0,"BORCA BATIK",IF($I793&lt;$H793,"BORCA BATIK",IF($L793&gt;=TtkUcteIkiEsik,"2/3 KAYIP (KRİTİK)",IF($L793&gt;=TtkUcteBirEsik,"1/3 KAYIP (DİKKAT)","UYGUN")))))</f>
        <v/>
      </c>
    </row>
    <row r="794" customFormat="false" ht="15" hidden="false" customHeight="false" outlineLevel="0" collapsed="false">
      <c r="A794" s="21"/>
      <c r="B794" s="17"/>
      <c r="C794" s="17"/>
      <c r="D794" s="17"/>
      <c r="E794" s="17"/>
      <c r="F794" s="17"/>
      <c r="G794" s="17"/>
      <c r="H794" s="17"/>
      <c r="I794" s="17"/>
      <c r="J794" s="18" t="str">
        <f aca="false">IF($A794="","",$B794+$C794+$D794-$E794+$F794-$G794)</f>
        <v/>
      </c>
      <c r="K794" s="18" t="str">
        <f aca="false">IF($A794="","",MAX(0,$B794-$J794))</f>
        <v/>
      </c>
      <c r="L794" s="19" t="str">
        <f aca="false">IF($A794="","",IF($B794=0,0,$K794/$B794))</f>
        <v/>
      </c>
      <c r="M794" s="20" t="str">
        <f aca="false">IF($A794="","",IF($J794&lt;0,"BORCA BATIK",IF($I794&lt;$H794,"BORCA BATIK",IF($L794&gt;=TtkUcteIkiEsik,"2/3 KAYIP (KRİTİK)",IF($L794&gt;=TtkUcteBirEsik,"1/3 KAYIP (DİKKAT)","UYGUN")))))</f>
        <v/>
      </c>
    </row>
    <row r="795" customFormat="false" ht="15" hidden="false" customHeight="false" outlineLevel="0" collapsed="false">
      <c r="A795" s="21"/>
      <c r="B795" s="17"/>
      <c r="C795" s="17"/>
      <c r="D795" s="17"/>
      <c r="E795" s="17"/>
      <c r="F795" s="17"/>
      <c r="G795" s="17"/>
      <c r="H795" s="17"/>
      <c r="I795" s="17"/>
      <c r="J795" s="18" t="str">
        <f aca="false">IF($A795="","",$B795+$C795+$D795-$E795+$F795-$G795)</f>
        <v/>
      </c>
      <c r="K795" s="18" t="str">
        <f aca="false">IF($A795="","",MAX(0,$B795-$J795))</f>
        <v/>
      </c>
      <c r="L795" s="19" t="str">
        <f aca="false">IF($A795="","",IF($B795=0,0,$K795/$B795))</f>
        <v/>
      </c>
      <c r="M795" s="20" t="str">
        <f aca="false">IF($A795="","",IF($J795&lt;0,"BORCA BATIK",IF($I795&lt;$H795,"BORCA BATIK",IF($L795&gt;=TtkUcteIkiEsik,"2/3 KAYIP (KRİTİK)",IF($L795&gt;=TtkUcteBirEsik,"1/3 KAYIP (DİKKAT)","UYGUN")))))</f>
        <v/>
      </c>
    </row>
    <row r="796" customFormat="false" ht="15" hidden="false" customHeight="false" outlineLevel="0" collapsed="false">
      <c r="A796" s="21"/>
      <c r="B796" s="17"/>
      <c r="C796" s="17"/>
      <c r="D796" s="17"/>
      <c r="E796" s="17"/>
      <c r="F796" s="17"/>
      <c r="G796" s="17"/>
      <c r="H796" s="17"/>
      <c r="I796" s="17"/>
      <c r="J796" s="18" t="str">
        <f aca="false">IF($A796="","",$B796+$C796+$D796-$E796+$F796-$G796)</f>
        <v/>
      </c>
      <c r="K796" s="18" t="str">
        <f aca="false">IF($A796="","",MAX(0,$B796-$J796))</f>
        <v/>
      </c>
      <c r="L796" s="19" t="str">
        <f aca="false">IF($A796="","",IF($B796=0,0,$K796/$B796))</f>
        <v/>
      </c>
      <c r="M796" s="20" t="str">
        <f aca="false">IF($A796="","",IF($J796&lt;0,"BORCA BATIK",IF($I796&lt;$H796,"BORCA BATIK",IF($L796&gt;=TtkUcteIkiEsik,"2/3 KAYIP (KRİTİK)",IF($L796&gt;=TtkUcteBirEsik,"1/3 KAYIP (DİKKAT)","UYGUN")))))</f>
        <v/>
      </c>
    </row>
    <row r="797" customFormat="false" ht="15" hidden="false" customHeight="false" outlineLevel="0" collapsed="false">
      <c r="A797" s="21"/>
      <c r="B797" s="17"/>
      <c r="C797" s="17"/>
      <c r="D797" s="17"/>
      <c r="E797" s="17"/>
      <c r="F797" s="17"/>
      <c r="G797" s="17"/>
      <c r="H797" s="17"/>
      <c r="I797" s="17"/>
      <c r="J797" s="18" t="str">
        <f aca="false">IF($A797="","",$B797+$C797+$D797-$E797+$F797-$G797)</f>
        <v/>
      </c>
      <c r="K797" s="18" t="str">
        <f aca="false">IF($A797="","",MAX(0,$B797-$J797))</f>
        <v/>
      </c>
      <c r="L797" s="19" t="str">
        <f aca="false">IF($A797="","",IF($B797=0,0,$K797/$B797))</f>
        <v/>
      </c>
      <c r="M797" s="20" t="str">
        <f aca="false">IF($A797="","",IF($J797&lt;0,"BORCA BATIK",IF($I797&lt;$H797,"BORCA BATIK",IF($L797&gt;=TtkUcteIkiEsik,"2/3 KAYIP (KRİTİK)",IF($L797&gt;=TtkUcteBirEsik,"1/3 KAYIP (DİKKAT)","UYGUN")))))</f>
        <v/>
      </c>
    </row>
    <row r="798" customFormat="false" ht="15" hidden="false" customHeight="false" outlineLevel="0" collapsed="false">
      <c r="A798" s="21"/>
      <c r="B798" s="17"/>
      <c r="C798" s="17"/>
      <c r="D798" s="17"/>
      <c r="E798" s="17"/>
      <c r="F798" s="17"/>
      <c r="G798" s="17"/>
      <c r="H798" s="17"/>
      <c r="I798" s="17"/>
      <c r="J798" s="18" t="str">
        <f aca="false">IF($A798="","",$B798+$C798+$D798-$E798+$F798-$G798)</f>
        <v/>
      </c>
      <c r="K798" s="18" t="str">
        <f aca="false">IF($A798="","",MAX(0,$B798-$J798))</f>
        <v/>
      </c>
      <c r="L798" s="19" t="str">
        <f aca="false">IF($A798="","",IF($B798=0,0,$K798/$B798))</f>
        <v/>
      </c>
      <c r="M798" s="20" t="str">
        <f aca="false">IF($A798="","",IF($J798&lt;0,"BORCA BATIK",IF($I798&lt;$H798,"BORCA BATIK",IF($L798&gt;=TtkUcteIkiEsik,"2/3 KAYIP (KRİTİK)",IF($L798&gt;=TtkUcteBirEsik,"1/3 KAYIP (DİKKAT)","UYGUN")))))</f>
        <v/>
      </c>
    </row>
    <row r="799" customFormat="false" ht="15" hidden="false" customHeight="false" outlineLevel="0" collapsed="false">
      <c r="A799" s="21"/>
      <c r="B799" s="17"/>
      <c r="C799" s="17"/>
      <c r="D799" s="17"/>
      <c r="E799" s="17"/>
      <c r="F799" s="17"/>
      <c r="G799" s="17"/>
      <c r="H799" s="17"/>
      <c r="I799" s="17"/>
      <c r="J799" s="18" t="str">
        <f aca="false">IF($A799="","",$B799+$C799+$D799-$E799+$F799-$G799)</f>
        <v/>
      </c>
      <c r="K799" s="18" t="str">
        <f aca="false">IF($A799="","",MAX(0,$B799-$J799))</f>
        <v/>
      </c>
      <c r="L799" s="19" t="str">
        <f aca="false">IF($A799="","",IF($B799=0,0,$K799/$B799))</f>
        <v/>
      </c>
      <c r="M799" s="20" t="str">
        <f aca="false">IF($A799="","",IF($J799&lt;0,"BORCA BATIK",IF($I799&lt;$H799,"BORCA BATIK",IF($L799&gt;=TtkUcteIkiEsik,"2/3 KAYIP (KRİTİK)",IF($L799&gt;=TtkUcteBirEsik,"1/3 KAYIP (DİKKAT)","UYGUN")))))</f>
        <v/>
      </c>
    </row>
    <row r="800" customFormat="false" ht="15" hidden="false" customHeight="false" outlineLevel="0" collapsed="false">
      <c r="A800" s="21"/>
      <c r="B800" s="17"/>
      <c r="C800" s="17"/>
      <c r="D800" s="17"/>
      <c r="E800" s="17"/>
      <c r="F800" s="17"/>
      <c r="G800" s="17"/>
      <c r="H800" s="17"/>
      <c r="I800" s="17"/>
      <c r="J800" s="18" t="str">
        <f aca="false">IF($A800="","",$B800+$C800+$D800-$E800+$F800-$G800)</f>
        <v/>
      </c>
      <c r="K800" s="18" t="str">
        <f aca="false">IF($A800="","",MAX(0,$B800-$J800))</f>
        <v/>
      </c>
      <c r="L800" s="19" t="str">
        <f aca="false">IF($A800="","",IF($B800=0,0,$K800/$B800))</f>
        <v/>
      </c>
      <c r="M800" s="20" t="str">
        <f aca="false">IF($A800="","",IF($J800&lt;0,"BORCA BATIK",IF($I800&lt;$H800,"BORCA BATIK",IF($L800&gt;=TtkUcteIkiEsik,"2/3 KAYIP (KRİTİK)",IF($L800&gt;=TtkUcteBirEsik,"1/3 KAYIP (DİKKAT)","UYGUN")))))</f>
        <v/>
      </c>
    </row>
    <row r="801" customFormat="false" ht="15" hidden="false" customHeight="false" outlineLevel="0" collapsed="false">
      <c r="A801" s="21"/>
      <c r="B801" s="17"/>
      <c r="C801" s="17"/>
      <c r="D801" s="17"/>
      <c r="E801" s="17"/>
      <c r="F801" s="17"/>
      <c r="G801" s="17"/>
      <c r="H801" s="17"/>
      <c r="I801" s="17"/>
      <c r="J801" s="18" t="str">
        <f aca="false">IF($A801="","",$B801+$C801+$D801-$E801+$F801-$G801)</f>
        <v/>
      </c>
      <c r="K801" s="18" t="str">
        <f aca="false">IF($A801="","",MAX(0,$B801-$J801))</f>
        <v/>
      </c>
      <c r="L801" s="19" t="str">
        <f aca="false">IF($A801="","",IF($B801=0,0,$K801/$B801))</f>
        <v/>
      </c>
      <c r="M801" s="20" t="str">
        <f aca="false">IF($A801="","",IF($J801&lt;0,"BORCA BATIK",IF($I801&lt;$H801,"BORCA BATIK",IF($L801&gt;=TtkUcteIkiEsik,"2/3 KAYIP (KRİTİK)",IF($L801&gt;=TtkUcteBirEsik,"1/3 KAYIP (DİKKAT)","UYGUN")))))</f>
        <v/>
      </c>
    </row>
    <row r="802" customFormat="false" ht="15" hidden="false" customHeight="false" outlineLevel="0" collapsed="false">
      <c r="A802" s="21"/>
      <c r="B802" s="17"/>
      <c r="C802" s="17"/>
      <c r="D802" s="17"/>
      <c r="E802" s="17"/>
      <c r="F802" s="17"/>
      <c r="G802" s="17"/>
      <c r="H802" s="17"/>
      <c r="I802" s="17"/>
      <c r="J802" s="18" t="str">
        <f aca="false">IF($A802="","",$B802+$C802+$D802-$E802+$F802-$G802)</f>
        <v/>
      </c>
      <c r="K802" s="18" t="str">
        <f aca="false">IF($A802="","",MAX(0,$B802-$J802))</f>
        <v/>
      </c>
      <c r="L802" s="19" t="str">
        <f aca="false">IF($A802="","",IF($B802=0,0,$K802/$B802))</f>
        <v/>
      </c>
      <c r="M802" s="20" t="str">
        <f aca="false">IF($A802="","",IF($J802&lt;0,"BORCA BATIK",IF($I802&lt;$H802,"BORCA BATIK",IF($L802&gt;=TtkUcteIkiEsik,"2/3 KAYIP (KRİTİK)",IF($L802&gt;=TtkUcteBirEsik,"1/3 KAYIP (DİKKAT)","UYGUN")))))</f>
        <v/>
      </c>
    </row>
    <row r="803" customFormat="false" ht="15" hidden="false" customHeight="false" outlineLevel="0" collapsed="false">
      <c r="A803" s="21"/>
      <c r="B803" s="17"/>
      <c r="C803" s="17"/>
      <c r="D803" s="17"/>
      <c r="E803" s="17"/>
      <c r="F803" s="17"/>
      <c r="G803" s="17"/>
      <c r="H803" s="17"/>
      <c r="I803" s="17"/>
      <c r="J803" s="18" t="str">
        <f aca="false">IF($A803="","",$B803+$C803+$D803-$E803+$F803-$G803)</f>
        <v/>
      </c>
      <c r="K803" s="18" t="str">
        <f aca="false">IF($A803="","",MAX(0,$B803-$J803))</f>
        <v/>
      </c>
      <c r="L803" s="19" t="str">
        <f aca="false">IF($A803="","",IF($B803=0,0,$K803/$B803))</f>
        <v/>
      </c>
      <c r="M803" s="20" t="str">
        <f aca="false">IF($A803="","",IF($J803&lt;0,"BORCA BATIK",IF($I803&lt;$H803,"BORCA BATIK",IF($L803&gt;=TtkUcteIkiEsik,"2/3 KAYIP (KRİTİK)",IF($L803&gt;=TtkUcteBirEsik,"1/3 KAYIP (DİKKAT)","UYGUN")))))</f>
        <v/>
      </c>
    </row>
    <row r="804" customFormat="false" ht="15" hidden="false" customHeight="false" outlineLevel="0" collapsed="false">
      <c r="A804" s="21"/>
      <c r="B804" s="17"/>
      <c r="C804" s="17"/>
      <c r="D804" s="17"/>
      <c r="E804" s="17"/>
      <c r="F804" s="17"/>
      <c r="G804" s="17"/>
      <c r="H804" s="17"/>
      <c r="I804" s="17"/>
      <c r="J804" s="18" t="str">
        <f aca="false">IF($A804="","",$B804+$C804+$D804-$E804+$F804-$G804)</f>
        <v/>
      </c>
      <c r="K804" s="18" t="str">
        <f aca="false">IF($A804="","",MAX(0,$B804-$J804))</f>
        <v/>
      </c>
      <c r="L804" s="19" t="str">
        <f aca="false">IF($A804="","",IF($B804=0,0,$K804/$B804))</f>
        <v/>
      </c>
      <c r="M804" s="20" t="str">
        <f aca="false">IF($A804="","",IF($J804&lt;0,"BORCA BATIK",IF($I804&lt;$H804,"BORCA BATIK",IF($L804&gt;=TtkUcteIkiEsik,"2/3 KAYIP (KRİTİK)",IF($L804&gt;=TtkUcteBirEsik,"1/3 KAYIP (DİKKAT)","UYGUN")))))</f>
        <v/>
      </c>
    </row>
    <row r="805" customFormat="false" ht="15" hidden="false" customHeight="false" outlineLevel="0" collapsed="false">
      <c r="A805" s="21"/>
      <c r="B805" s="17"/>
      <c r="C805" s="17"/>
      <c r="D805" s="17"/>
      <c r="E805" s="17"/>
      <c r="F805" s="17"/>
      <c r="G805" s="17"/>
      <c r="H805" s="17"/>
      <c r="I805" s="17"/>
      <c r="J805" s="18" t="str">
        <f aca="false">IF($A805="","",$B805+$C805+$D805-$E805+$F805-$G805)</f>
        <v/>
      </c>
      <c r="K805" s="18" t="str">
        <f aca="false">IF($A805="","",MAX(0,$B805-$J805))</f>
        <v/>
      </c>
      <c r="L805" s="19" t="str">
        <f aca="false">IF($A805="","",IF($B805=0,0,$K805/$B805))</f>
        <v/>
      </c>
      <c r="M805" s="20" t="str">
        <f aca="false">IF($A805="","",IF($J805&lt;0,"BORCA BATIK",IF($I805&lt;$H805,"BORCA BATIK",IF($L805&gt;=TtkUcteIkiEsik,"2/3 KAYIP (KRİTİK)",IF($L805&gt;=TtkUcteBirEsik,"1/3 KAYIP (DİKKAT)","UYGUN")))))</f>
        <v/>
      </c>
    </row>
    <row r="806" customFormat="false" ht="15" hidden="false" customHeight="false" outlineLevel="0" collapsed="false">
      <c r="A806" s="21"/>
      <c r="B806" s="17"/>
      <c r="C806" s="17"/>
      <c r="D806" s="17"/>
      <c r="E806" s="17"/>
      <c r="F806" s="17"/>
      <c r="G806" s="17"/>
      <c r="H806" s="17"/>
      <c r="I806" s="17"/>
      <c r="J806" s="18" t="str">
        <f aca="false">IF($A806="","",$B806+$C806+$D806-$E806+$F806-$G806)</f>
        <v/>
      </c>
      <c r="K806" s="18" t="str">
        <f aca="false">IF($A806="","",MAX(0,$B806-$J806))</f>
        <v/>
      </c>
      <c r="L806" s="19" t="str">
        <f aca="false">IF($A806="","",IF($B806=0,0,$K806/$B806))</f>
        <v/>
      </c>
      <c r="M806" s="20" t="str">
        <f aca="false">IF($A806="","",IF($J806&lt;0,"BORCA BATIK",IF($I806&lt;$H806,"BORCA BATIK",IF($L806&gt;=TtkUcteIkiEsik,"2/3 KAYIP (KRİTİK)",IF($L806&gt;=TtkUcteBirEsik,"1/3 KAYIP (DİKKAT)","UYGUN")))))</f>
        <v/>
      </c>
    </row>
    <row r="807" customFormat="false" ht="15" hidden="false" customHeight="false" outlineLevel="0" collapsed="false">
      <c r="A807" s="21"/>
      <c r="B807" s="17"/>
      <c r="C807" s="17"/>
      <c r="D807" s="17"/>
      <c r="E807" s="17"/>
      <c r="F807" s="17"/>
      <c r="G807" s="17"/>
      <c r="H807" s="17"/>
      <c r="I807" s="17"/>
      <c r="J807" s="18" t="str">
        <f aca="false">IF($A807="","",$B807+$C807+$D807-$E807+$F807-$G807)</f>
        <v/>
      </c>
      <c r="K807" s="18" t="str">
        <f aca="false">IF($A807="","",MAX(0,$B807-$J807))</f>
        <v/>
      </c>
      <c r="L807" s="19" t="str">
        <f aca="false">IF($A807="","",IF($B807=0,0,$K807/$B807))</f>
        <v/>
      </c>
      <c r="M807" s="20" t="str">
        <f aca="false">IF($A807="","",IF($J807&lt;0,"BORCA BATIK",IF($I807&lt;$H807,"BORCA BATIK",IF($L807&gt;=TtkUcteIkiEsik,"2/3 KAYIP (KRİTİK)",IF($L807&gt;=TtkUcteBirEsik,"1/3 KAYIP (DİKKAT)","UYGUN")))))</f>
        <v/>
      </c>
    </row>
    <row r="808" customFormat="false" ht="15" hidden="false" customHeight="false" outlineLevel="0" collapsed="false">
      <c r="A808" s="21"/>
      <c r="B808" s="17"/>
      <c r="C808" s="17"/>
      <c r="D808" s="17"/>
      <c r="E808" s="17"/>
      <c r="F808" s="17"/>
      <c r="G808" s="17"/>
      <c r="H808" s="17"/>
      <c r="I808" s="17"/>
      <c r="J808" s="18" t="str">
        <f aca="false">IF($A808="","",$B808+$C808+$D808-$E808+$F808-$G808)</f>
        <v/>
      </c>
      <c r="K808" s="18" t="str">
        <f aca="false">IF($A808="","",MAX(0,$B808-$J808))</f>
        <v/>
      </c>
      <c r="L808" s="19" t="str">
        <f aca="false">IF($A808="","",IF($B808=0,0,$K808/$B808))</f>
        <v/>
      </c>
      <c r="M808" s="20" t="str">
        <f aca="false">IF($A808="","",IF($J808&lt;0,"BORCA BATIK",IF($I808&lt;$H808,"BORCA BATIK",IF($L808&gt;=TtkUcteIkiEsik,"2/3 KAYIP (KRİTİK)",IF($L808&gt;=TtkUcteBirEsik,"1/3 KAYIP (DİKKAT)","UYGUN")))))</f>
        <v/>
      </c>
    </row>
    <row r="809" customFormat="false" ht="15" hidden="false" customHeight="false" outlineLevel="0" collapsed="false">
      <c r="A809" s="21"/>
      <c r="B809" s="17"/>
      <c r="C809" s="17"/>
      <c r="D809" s="17"/>
      <c r="E809" s="17"/>
      <c r="F809" s="17"/>
      <c r="G809" s="17"/>
      <c r="H809" s="17"/>
      <c r="I809" s="17"/>
      <c r="J809" s="18" t="str">
        <f aca="false">IF($A809="","",$B809+$C809+$D809-$E809+$F809-$G809)</f>
        <v/>
      </c>
      <c r="K809" s="18" t="str">
        <f aca="false">IF($A809="","",MAX(0,$B809-$J809))</f>
        <v/>
      </c>
      <c r="L809" s="19" t="str">
        <f aca="false">IF($A809="","",IF($B809=0,0,$K809/$B809))</f>
        <v/>
      </c>
      <c r="M809" s="20" t="str">
        <f aca="false">IF($A809="","",IF($J809&lt;0,"BORCA BATIK",IF($I809&lt;$H809,"BORCA BATIK",IF($L809&gt;=TtkUcteIkiEsik,"2/3 KAYIP (KRİTİK)",IF($L809&gt;=TtkUcteBirEsik,"1/3 KAYIP (DİKKAT)","UYGUN")))))</f>
        <v/>
      </c>
    </row>
    <row r="810" customFormat="false" ht="15" hidden="false" customHeight="false" outlineLevel="0" collapsed="false">
      <c r="A810" s="21"/>
      <c r="B810" s="17"/>
      <c r="C810" s="17"/>
      <c r="D810" s="17"/>
      <c r="E810" s="17"/>
      <c r="F810" s="17"/>
      <c r="G810" s="17"/>
      <c r="H810" s="17"/>
      <c r="I810" s="17"/>
      <c r="J810" s="18" t="str">
        <f aca="false">IF($A810="","",$B810+$C810+$D810-$E810+$F810-$G810)</f>
        <v/>
      </c>
      <c r="K810" s="18" t="str">
        <f aca="false">IF($A810="","",MAX(0,$B810-$J810))</f>
        <v/>
      </c>
      <c r="L810" s="19" t="str">
        <f aca="false">IF($A810="","",IF($B810=0,0,$K810/$B810))</f>
        <v/>
      </c>
      <c r="M810" s="20" t="str">
        <f aca="false">IF($A810="","",IF($J810&lt;0,"BORCA BATIK",IF($I810&lt;$H810,"BORCA BATIK",IF($L810&gt;=TtkUcteIkiEsik,"2/3 KAYIP (KRİTİK)",IF($L810&gt;=TtkUcteBirEsik,"1/3 KAYIP (DİKKAT)","UYGUN")))))</f>
        <v/>
      </c>
    </row>
    <row r="811" customFormat="false" ht="15" hidden="false" customHeight="false" outlineLevel="0" collapsed="false">
      <c r="A811" s="21"/>
      <c r="B811" s="17"/>
      <c r="C811" s="17"/>
      <c r="D811" s="17"/>
      <c r="E811" s="17"/>
      <c r="F811" s="17"/>
      <c r="G811" s="17"/>
      <c r="H811" s="17"/>
      <c r="I811" s="17"/>
      <c r="J811" s="18" t="str">
        <f aca="false">IF($A811="","",$B811+$C811+$D811-$E811+$F811-$G811)</f>
        <v/>
      </c>
      <c r="K811" s="18" t="str">
        <f aca="false">IF($A811="","",MAX(0,$B811-$J811))</f>
        <v/>
      </c>
      <c r="L811" s="19" t="str">
        <f aca="false">IF($A811="","",IF($B811=0,0,$K811/$B811))</f>
        <v/>
      </c>
      <c r="M811" s="20" t="str">
        <f aca="false">IF($A811="","",IF($J811&lt;0,"BORCA BATIK",IF($I811&lt;$H811,"BORCA BATIK",IF($L811&gt;=TtkUcteIkiEsik,"2/3 KAYIP (KRİTİK)",IF($L811&gt;=TtkUcteBirEsik,"1/3 KAYIP (DİKKAT)","UYGUN")))))</f>
        <v/>
      </c>
    </row>
    <row r="812" customFormat="false" ht="15" hidden="false" customHeight="false" outlineLevel="0" collapsed="false">
      <c r="A812" s="21"/>
      <c r="B812" s="17"/>
      <c r="C812" s="17"/>
      <c r="D812" s="17"/>
      <c r="E812" s="17"/>
      <c r="F812" s="17"/>
      <c r="G812" s="17"/>
      <c r="H812" s="17"/>
      <c r="I812" s="17"/>
      <c r="J812" s="18" t="str">
        <f aca="false">IF($A812="","",$B812+$C812+$D812-$E812+$F812-$G812)</f>
        <v/>
      </c>
      <c r="K812" s="18" t="str">
        <f aca="false">IF($A812="","",MAX(0,$B812-$J812))</f>
        <v/>
      </c>
      <c r="L812" s="19" t="str">
        <f aca="false">IF($A812="","",IF($B812=0,0,$K812/$B812))</f>
        <v/>
      </c>
      <c r="M812" s="20" t="str">
        <f aca="false">IF($A812="","",IF($J812&lt;0,"BORCA BATIK",IF($I812&lt;$H812,"BORCA BATIK",IF($L812&gt;=TtkUcteIkiEsik,"2/3 KAYIP (KRİTİK)",IF($L812&gt;=TtkUcteBirEsik,"1/3 KAYIP (DİKKAT)","UYGUN")))))</f>
        <v/>
      </c>
    </row>
    <row r="813" customFormat="false" ht="15" hidden="false" customHeight="false" outlineLevel="0" collapsed="false">
      <c r="A813" s="21"/>
      <c r="B813" s="17"/>
      <c r="C813" s="17"/>
      <c r="D813" s="17"/>
      <c r="E813" s="17"/>
      <c r="F813" s="17"/>
      <c r="G813" s="17"/>
      <c r="H813" s="17"/>
      <c r="I813" s="17"/>
      <c r="J813" s="18" t="str">
        <f aca="false">IF($A813="","",$B813+$C813+$D813-$E813+$F813-$G813)</f>
        <v/>
      </c>
      <c r="K813" s="18" t="str">
        <f aca="false">IF($A813="","",MAX(0,$B813-$J813))</f>
        <v/>
      </c>
      <c r="L813" s="19" t="str">
        <f aca="false">IF($A813="","",IF($B813=0,0,$K813/$B813))</f>
        <v/>
      </c>
      <c r="M813" s="20" t="str">
        <f aca="false">IF($A813="","",IF($J813&lt;0,"BORCA BATIK",IF($I813&lt;$H813,"BORCA BATIK",IF($L813&gt;=TtkUcteIkiEsik,"2/3 KAYIP (KRİTİK)",IF($L813&gt;=TtkUcteBirEsik,"1/3 KAYIP (DİKKAT)","UYGUN")))))</f>
        <v/>
      </c>
    </row>
    <row r="814" customFormat="false" ht="15" hidden="false" customHeight="false" outlineLevel="0" collapsed="false">
      <c r="A814" s="21"/>
      <c r="B814" s="17"/>
      <c r="C814" s="17"/>
      <c r="D814" s="17"/>
      <c r="E814" s="17"/>
      <c r="F814" s="17"/>
      <c r="G814" s="17"/>
      <c r="H814" s="17"/>
      <c r="I814" s="17"/>
      <c r="J814" s="18" t="str">
        <f aca="false">IF($A814="","",$B814+$C814+$D814-$E814+$F814-$G814)</f>
        <v/>
      </c>
      <c r="K814" s="18" t="str">
        <f aca="false">IF($A814="","",MAX(0,$B814-$J814))</f>
        <v/>
      </c>
      <c r="L814" s="19" t="str">
        <f aca="false">IF($A814="","",IF($B814=0,0,$K814/$B814))</f>
        <v/>
      </c>
      <c r="M814" s="20" t="str">
        <f aca="false">IF($A814="","",IF($J814&lt;0,"BORCA BATIK",IF($I814&lt;$H814,"BORCA BATIK",IF($L814&gt;=TtkUcteIkiEsik,"2/3 KAYIP (KRİTİK)",IF($L814&gt;=TtkUcteBirEsik,"1/3 KAYIP (DİKKAT)","UYGUN")))))</f>
        <v/>
      </c>
    </row>
    <row r="815" customFormat="false" ht="15" hidden="false" customHeight="false" outlineLevel="0" collapsed="false">
      <c r="A815" s="21"/>
      <c r="B815" s="17"/>
      <c r="C815" s="17"/>
      <c r="D815" s="17"/>
      <c r="E815" s="17"/>
      <c r="F815" s="17"/>
      <c r="G815" s="17"/>
      <c r="H815" s="17"/>
      <c r="I815" s="17"/>
      <c r="J815" s="18" t="str">
        <f aca="false">IF($A815="","",$B815+$C815+$D815-$E815+$F815-$G815)</f>
        <v/>
      </c>
      <c r="K815" s="18" t="str">
        <f aca="false">IF($A815="","",MAX(0,$B815-$J815))</f>
        <v/>
      </c>
      <c r="L815" s="19" t="str">
        <f aca="false">IF($A815="","",IF($B815=0,0,$K815/$B815))</f>
        <v/>
      </c>
      <c r="M815" s="20" t="str">
        <f aca="false">IF($A815="","",IF($J815&lt;0,"BORCA BATIK",IF($I815&lt;$H815,"BORCA BATIK",IF($L815&gt;=TtkUcteIkiEsik,"2/3 KAYIP (KRİTİK)",IF($L815&gt;=TtkUcteBirEsik,"1/3 KAYIP (DİKKAT)","UYGUN")))))</f>
        <v/>
      </c>
    </row>
    <row r="816" customFormat="false" ht="15" hidden="false" customHeight="false" outlineLevel="0" collapsed="false">
      <c r="A816" s="21"/>
      <c r="B816" s="17"/>
      <c r="C816" s="17"/>
      <c r="D816" s="17"/>
      <c r="E816" s="17"/>
      <c r="F816" s="17"/>
      <c r="G816" s="17"/>
      <c r="H816" s="17"/>
      <c r="I816" s="17"/>
      <c r="J816" s="18" t="str">
        <f aca="false">IF($A816="","",$B816+$C816+$D816-$E816+$F816-$G816)</f>
        <v/>
      </c>
      <c r="K816" s="18" t="str">
        <f aca="false">IF($A816="","",MAX(0,$B816-$J816))</f>
        <v/>
      </c>
      <c r="L816" s="19" t="str">
        <f aca="false">IF($A816="","",IF($B816=0,0,$K816/$B816))</f>
        <v/>
      </c>
      <c r="M816" s="20" t="str">
        <f aca="false">IF($A816="","",IF($J816&lt;0,"BORCA BATIK",IF($I816&lt;$H816,"BORCA BATIK",IF($L816&gt;=TtkUcteIkiEsik,"2/3 KAYIP (KRİTİK)",IF($L816&gt;=TtkUcteBirEsik,"1/3 KAYIP (DİKKAT)","UYGUN")))))</f>
        <v/>
      </c>
    </row>
    <row r="817" customFormat="false" ht="15" hidden="false" customHeight="false" outlineLevel="0" collapsed="false">
      <c r="A817" s="21"/>
      <c r="B817" s="17"/>
      <c r="C817" s="17"/>
      <c r="D817" s="17"/>
      <c r="E817" s="17"/>
      <c r="F817" s="17"/>
      <c r="G817" s="17"/>
      <c r="H817" s="17"/>
      <c r="I817" s="17"/>
      <c r="J817" s="18" t="str">
        <f aca="false">IF($A817="","",$B817+$C817+$D817-$E817+$F817-$G817)</f>
        <v/>
      </c>
      <c r="K817" s="18" t="str">
        <f aca="false">IF($A817="","",MAX(0,$B817-$J817))</f>
        <v/>
      </c>
      <c r="L817" s="19" t="str">
        <f aca="false">IF($A817="","",IF($B817=0,0,$K817/$B817))</f>
        <v/>
      </c>
      <c r="M817" s="20" t="str">
        <f aca="false">IF($A817="","",IF($J817&lt;0,"BORCA BATIK",IF($I817&lt;$H817,"BORCA BATIK",IF($L817&gt;=TtkUcteIkiEsik,"2/3 KAYIP (KRİTİK)",IF($L817&gt;=TtkUcteBirEsik,"1/3 KAYIP (DİKKAT)","UYGUN")))))</f>
        <v/>
      </c>
    </row>
    <row r="818" customFormat="false" ht="15" hidden="false" customHeight="false" outlineLevel="0" collapsed="false">
      <c r="A818" s="21"/>
      <c r="B818" s="17"/>
      <c r="C818" s="17"/>
      <c r="D818" s="17"/>
      <c r="E818" s="17"/>
      <c r="F818" s="17"/>
      <c r="G818" s="17"/>
      <c r="H818" s="17"/>
      <c r="I818" s="17"/>
      <c r="J818" s="18" t="str">
        <f aca="false">IF($A818="","",$B818+$C818+$D818-$E818+$F818-$G818)</f>
        <v/>
      </c>
      <c r="K818" s="18" t="str">
        <f aca="false">IF($A818="","",MAX(0,$B818-$J818))</f>
        <v/>
      </c>
      <c r="L818" s="19" t="str">
        <f aca="false">IF($A818="","",IF($B818=0,0,$K818/$B818))</f>
        <v/>
      </c>
      <c r="M818" s="20" t="str">
        <f aca="false">IF($A818="","",IF($J818&lt;0,"BORCA BATIK",IF($I818&lt;$H818,"BORCA BATIK",IF($L818&gt;=TtkUcteIkiEsik,"2/3 KAYIP (KRİTİK)",IF($L818&gt;=TtkUcteBirEsik,"1/3 KAYIP (DİKKAT)","UYGUN")))))</f>
        <v/>
      </c>
    </row>
    <row r="819" customFormat="false" ht="15" hidden="false" customHeight="false" outlineLevel="0" collapsed="false">
      <c r="A819" s="21"/>
      <c r="B819" s="17"/>
      <c r="C819" s="17"/>
      <c r="D819" s="17"/>
      <c r="E819" s="17"/>
      <c r="F819" s="17"/>
      <c r="G819" s="17"/>
      <c r="H819" s="17"/>
      <c r="I819" s="17"/>
      <c r="J819" s="18" t="str">
        <f aca="false">IF($A819="","",$B819+$C819+$D819-$E819+$F819-$G819)</f>
        <v/>
      </c>
      <c r="K819" s="18" t="str">
        <f aca="false">IF($A819="","",MAX(0,$B819-$J819))</f>
        <v/>
      </c>
      <c r="L819" s="19" t="str">
        <f aca="false">IF($A819="","",IF($B819=0,0,$K819/$B819))</f>
        <v/>
      </c>
      <c r="M819" s="20" t="str">
        <f aca="false">IF($A819="","",IF($J819&lt;0,"BORCA BATIK",IF($I819&lt;$H819,"BORCA BATIK",IF($L819&gt;=TtkUcteIkiEsik,"2/3 KAYIP (KRİTİK)",IF($L819&gt;=TtkUcteBirEsik,"1/3 KAYIP (DİKKAT)","UYGUN")))))</f>
        <v/>
      </c>
    </row>
    <row r="820" customFormat="false" ht="15" hidden="false" customHeight="false" outlineLevel="0" collapsed="false">
      <c r="A820" s="21"/>
      <c r="B820" s="17"/>
      <c r="C820" s="17"/>
      <c r="D820" s="17"/>
      <c r="E820" s="17"/>
      <c r="F820" s="17"/>
      <c r="G820" s="17"/>
      <c r="H820" s="17"/>
      <c r="I820" s="17"/>
      <c r="J820" s="18" t="str">
        <f aca="false">IF($A820="","",$B820+$C820+$D820-$E820+$F820-$G820)</f>
        <v/>
      </c>
      <c r="K820" s="18" t="str">
        <f aca="false">IF($A820="","",MAX(0,$B820-$J820))</f>
        <v/>
      </c>
      <c r="L820" s="19" t="str">
        <f aca="false">IF($A820="","",IF($B820=0,0,$K820/$B820))</f>
        <v/>
      </c>
      <c r="M820" s="20" t="str">
        <f aca="false">IF($A820="","",IF($J820&lt;0,"BORCA BATIK",IF($I820&lt;$H820,"BORCA BATIK",IF($L820&gt;=TtkUcteIkiEsik,"2/3 KAYIP (KRİTİK)",IF($L820&gt;=TtkUcteBirEsik,"1/3 KAYIP (DİKKAT)","UYGUN")))))</f>
        <v/>
      </c>
    </row>
    <row r="821" customFormat="false" ht="15" hidden="false" customHeight="false" outlineLevel="0" collapsed="false">
      <c r="A821" s="21"/>
      <c r="B821" s="17"/>
      <c r="C821" s="17"/>
      <c r="D821" s="17"/>
      <c r="E821" s="17"/>
      <c r="F821" s="17"/>
      <c r="G821" s="17"/>
      <c r="H821" s="17"/>
      <c r="I821" s="17"/>
      <c r="J821" s="18" t="str">
        <f aca="false">IF($A821="","",$B821+$C821+$D821-$E821+$F821-$G821)</f>
        <v/>
      </c>
      <c r="K821" s="18" t="str">
        <f aca="false">IF($A821="","",MAX(0,$B821-$J821))</f>
        <v/>
      </c>
      <c r="L821" s="19" t="str">
        <f aca="false">IF($A821="","",IF($B821=0,0,$K821/$B821))</f>
        <v/>
      </c>
      <c r="M821" s="20" t="str">
        <f aca="false">IF($A821="","",IF($J821&lt;0,"BORCA BATIK",IF($I821&lt;$H821,"BORCA BATIK",IF($L821&gt;=TtkUcteIkiEsik,"2/3 KAYIP (KRİTİK)",IF($L821&gt;=TtkUcteBirEsik,"1/3 KAYIP (DİKKAT)","UYGUN")))))</f>
        <v/>
      </c>
    </row>
    <row r="822" customFormat="false" ht="15" hidden="false" customHeight="false" outlineLevel="0" collapsed="false">
      <c r="A822" s="21"/>
      <c r="B822" s="17"/>
      <c r="C822" s="17"/>
      <c r="D822" s="17"/>
      <c r="E822" s="17"/>
      <c r="F822" s="17"/>
      <c r="G822" s="17"/>
      <c r="H822" s="17"/>
      <c r="I822" s="17"/>
      <c r="J822" s="18" t="str">
        <f aca="false">IF($A822="","",$B822+$C822+$D822-$E822+$F822-$G822)</f>
        <v/>
      </c>
      <c r="K822" s="18" t="str">
        <f aca="false">IF($A822="","",MAX(0,$B822-$J822))</f>
        <v/>
      </c>
      <c r="L822" s="19" t="str">
        <f aca="false">IF($A822="","",IF($B822=0,0,$K822/$B822))</f>
        <v/>
      </c>
      <c r="M822" s="20" t="str">
        <f aca="false">IF($A822="","",IF($J822&lt;0,"BORCA BATIK",IF($I822&lt;$H822,"BORCA BATIK",IF($L822&gt;=TtkUcteIkiEsik,"2/3 KAYIP (KRİTİK)",IF($L822&gt;=TtkUcteBirEsik,"1/3 KAYIP (DİKKAT)","UYGUN")))))</f>
        <v/>
      </c>
    </row>
    <row r="823" customFormat="false" ht="15" hidden="false" customHeight="false" outlineLevel="0" collapsed="false">
      <c r="A823" s="21"/>
      <c r="B823" s="17"/>
      <c r="C823" s="17"/>
      <c r="D823" s="17"/>
      <c r="E823" s="17"/>
      <c r="F823" s="17"/>
      <c r="G823" s="17"/>
      <c r="H823" s="17"/>
      <c r="I823" s="17"/>
      <c r="J823" s="18" t="str">
        <f aca="false">IF($A823="","",$B823+$C823+$D823-$E823+$F823-$G823)</f>
        <v/>
      </c>
      <c r="K823" s="18" t="str">
        <f aca="false">IF($A823="","",MAX(0,$B823-$J823))</f>
        <v/>
      </c>
      <c r="L823" s="19" t="str">
        <f aca="false">IF($A823="","",IF($B823=0,0,$K823/$B823))</f>
        <v/>
      </c>
      <c r="M823" s="20" t="str">
        <f aca="false">IF($A823="","",IF($J823&lt;0,"BORCA BATIK",IF($I823&lt;$H823,"BORCA BATIK",IF($L823&gt;=TtkUcteIkiEsik,"2/3 KAYIP (KRİTİK)",IF($L823&gt;=TtkUcteBirEsik,"1/3 KAYIP (DİKKAT)","UYGUN")))))</f>
        <v/>
      </c>
    </row>
    <row r="824" customFormat="false" ht="15" hidden="false" customHeight="false" outlineLevel="0" collapsed="false">
      <c r="A824" s="21"/>
      <c r="B824" s="17"/>
      <c r="C824" s="17"/>
      <c r="D824" s="17"/>
      <c r="E824" s="17"/>
      <c r="F824" s="17"/>
      <c r="G824" s="17"/>
      <c r="H824" s="17"/>
      <c r="I824" s="17"/>
      <c r="J824" s="18" t="str">
        <f aca="false">IF($A824="","",$B824+$C824+$D824-$E824+$F824-$G824)</f>
        <v/>
      </c>
      <c r="K824" s="18" t="str">
        <f aca="false">IF($A824="","",MAX(0,$B824-$J824))</f>
        <v/>
      </c>
      <c r="L824" s="19" t="str">
        <f aca="false">IF($A824="","",IF($B824=0,0,$K824/$B824))</f>
        <v/>
      </c>
      <c r="M824" s="20" t="str">
        <f aca="false">IF($A824="","",IF($J824&lt;0,"BORCA BATIK",IF($I824&lt;$H824,"BORCA BATIK",IF($L824&gt;=TtkUcteIkiEsik,"2/3 KAYIP (KRİTİK)",IF($L824&gt;=TtkUcteBirEsik,"1/3 KAYIP (DİKKAT)","UYGUN")))))</f>
        <v/>
      </c>
    </row>
    <row r="825" customFormat="false" ht="15" hidden="false" customHeight="false" outlineLevel="0" collapsed="false">
      <c r="A825" s="21"/>
      <c r="B825" s="17"/>
      <c r="C825" s="17"/>
      <c r="D825" s="17"/>
      <c r="E825" s="17"/>
      <c r="F825" s="17"/>
      <c r="G825" s="17"/>
      <c r="H825" s="17"/>
      <c r="I825" s="17"/>
      <c r="J825" s="18" t="str">
        <f aca="false">IF($A825="","",$B825+$C825+$D825-$E825+$F825-$G825)</f>
        <v/>
      </c>
      <c r="K825" s="18" t="str">
        <f aca="false">IF($A825="","",MAX(0,$B825-$J825))</f>
        <v/>
      </c>
      <c r="L825" s="19" t="str">
        <f aca="false">IF($A825="","",IF($B825=0,0,$K825/$B825))</f>
        <v/>
      </c>
      <c r="M825" s="20" t="str">
        <f aca="false">IF($A825="","",IF($J825&lt;0,"BORCA BATIK",IF($I825&lt;$H825,"BORCA BATIK",IF($L825&gt;=TtkUcteIkiEsik,"2/3 KAYIP (KRİTİK)",IF($L825&gt;=TtkUcteBirEsik,"1/3 KAYIP (DİKKAT)","UYGUN")))))</f>
        <v/>
      </c>
    </row>
    <row r="826" customFormat="false" ht="15" hidden="false" customHeight="false" outlineLevel="0" collapsed="false">
      <c r="A826" s="21"/>
      <c r="B826" s="17"/>
      <c r="C826" s="17"/>
      <c r="D826" s="17"/>
      <c r="E826" s="17"/>
      <c r="F826" s="17"/>
      <c r="G826" s="17"/>
      <c r="H826" s="17"/>
      <c r="I826" s="17"/>
      <c r="J826" s="18" t="str">
        <f aca="false">IF($A826="","",$B826+$C826+$D826-$E826+$F826-$G826)</f>
        <v/>
      </c>
      <c r="K826" s="18" t="str">
        <f aca="false">IF($A826="","",MAX(0,$B826-$J826))</f>
        <v/>
      </c>
      <c r="L826" s="19" t="str">
        <f aca="false">IF($A826="","",IF($B826=0,0,$K826/$B826))</f>
        <v/>
      </c>
      <c r="M826" s="20" t="str">
        <f aca="false">IF($A826="","",IF($J826&lt;0,"BORCA BATIK",IF($I826&lt;$H826,"BORCA BATIK",IF($L826&gt;=TtkUcteIkiEsik,"2/3 KAYIP (KRİTİK)",IF($L826&gt;=TtkUcteBirEsik,"1/3 KAYIP (DİKKAT)","UYGUN")))))</f>
        <v/>
      </c>
    </row>
    <row r="827" customFormat="false" ht="15" hidden="false" customHeight="false" outlineLevel="0" collapsed="false">
      <c r="A827" s="21"/>
      <c r="B827" s="17"/>
      <c r="C827" s="17"/>
      <c r="D827" s="17"/>
      <c r="E827" s="17"/>
      <c r="F827" s="17"/>
      <c r="G827" s="17"/>
      <c r="H827" s="17"/>
      <c r="I827" s="17"/>
      <c r="J827" s="18" t="str">
        <f aca="false">IF($A827="","",$B827+$C827+$D827-$E827+$F827-$G827)</f>
        <v/>
      </c>
      <c r="K827" s="18" t="str">
        <f aca="false">IF($A827="","",MAX(0,$B827-$J827))</f>
        <v/>
      </c>
      <c r="L827" s="19" t="str">
        <f aca="false">IF($A827="","",IF($B827=0,0,$K827/$B827))</f>
        <v/>
      </c>
      <c r="M827" s="20" t="str">
        <f aca="false">IF($A827="","",IF($J827&lt;0,"BORCA BATIK",IF($I827&lt;$H827,"BORCA BATIK",IF($L827&gt;=TtkUcteIkiEsik,"2/3 KAYIP (KRİTİK)",IF($L827&gt;=TtkUcteBirEsik,"1/3 KAYIP (DİKKAT)","UYGUN")))))</f>
        <v/>
      </c>
    </row>
    <row r="828" customFormat="false" ht="15" hidden="false" customHeight="false" outlineLevel="0" collapsed="false">
      <c r="A828" s="21"/>
      <c r="B828" s="17"/>
      <c r="C828" s="17"/>
      <c r="D828" s="17"/>
      <c r="E828" s="17"/>
      <c r="F828" s="17"/>
      <c r="G828" s="17"/>
      <c r="H828" s="17"/>
      <c r="I828" s="17"/>
      <c r="J828" s="18" t="str">
        <f aca="false">IF($A828="","",$B828+$C828+$D828-$E828+$F828-$G828)</f>
        <v/>
      </c>
      <c r="K828" s="18" t="str">
        <f aca="false">IF($A828="","",MAX(0,$B828-$J828))</f>
        <v/>
      </c>
      <c r="L828" s="19" t="str">
        <f aca="false">IF($A828="","",IF($B828=0,0,$K828/$B828))</f>
        <v/>
      </c>
      <c r="M828" s="20" t="str">
        <f aca="false">IF($A828="","",IF($J828&lt;0,"BORCA BATIK",IF($I828&lt;$H828,"BORCA BATIK",IF($L828&gt;=TtkUcteIkiEsik,"2/3 KAYIP (KRİTİK)",IF($L828&gt;=TtkUcteBirEsik,"1/3 KAYIP (DİKKAT)","UYGUN")))))</f>
        <v/>
      </c>
    </row>
    <row r="829" customFormat="false" ht="15" hidden="false" customHeight="false" outlineLevel="0" collapsed="false">
      <c r="A829" s="21"/>
      <c r="B829" s="17"/>
      <c r="C829" s="17"/>
      <c r="D829" s="17"/>
      <c r="E829" s="17"/>
      <c r="F829" s="17"/>
      <c r="G829" s="17"/>
      <c r="H829" s="17"/>
      <c r="I829" s="17"/>
      <c r="J829" s="18" t="str">
        <f aca="false">IF($A829="","",$B829+$C829+$D829-$E829+$F829-$G829)</f>
        <v/>
      </c>
      <c r="K829" s="18" t="str">
        <f aca="false">IF($A829="","",MAX(0,$B829-$J829))</f>
        <v/>
      </c>
      <c r="L829" s="19" t="str">
        <f aca="false">IF($A829="","",IF($B829=0,0,$K829/$B829))</f>
        <v/>
      </c>
      <c r="M829" s="20" t="str">
        <f aca="false">IF($A829="","",IF($J829&lt;0,"BORCA BATIK",IF($I829&lt;$H829,"BORCA BATIK",IF($L829&gt;=TtkUcteIkiEsik,"2/3 KAYIP (KRİTİK)",IF($L829&gt;=TtkUcteBirEsik,"1/3 KAYIP (DİKKAT)","UYGUN")))))</f>
        <v/>
      </c>
    </row>
    <row r="830" customFormat="false" ht="15" hidden="false" customHeight="false" outlineLevel="0" collapsed="false">
      <c r="A830" s="21"/>
      <c r="B830" s="17"/>
      <c r="C830" s="17"/>
      <c r="D830" s="17"/>
      <c r="E830" s="17"/>
      <c r="F830" s="17"/>
      <c r="G830" s="17"/>
      <c r="H830" s="17"/>
      <c r="I830" s="17"/>
      <c r="J830" s="18" t="str">
        <f aca="false">IF($A830="","",$B830+$C830+$D830-$E830+$F830-$G830)</f>
        <v/>
      </c>
      <c r="K830" s="18" t="str">
        <f aca="false">IF($A830="","",MAX(0,$B830-$J830))</f>
        <v/>
      </c>
      <c r="L830" s="19" t="str">
        <f aca="false">IF($A830="","",IF($B830=0,0,$K830/$B830))</f>
        <v/>
      </c>
      <c r="M830" s="20" t="str">
        <f aca="false">IF($A830="","",IF($J830&lt;0,"BORCA BATIK",IF($I830&lt;$H830,"BORCA BATIK",IF($L830&gt;=TtkUcteIkiEsik,"2/3 KAYIP (KRİTİK)",IF($L830&gt;=TtkUcteBirEsik,"1/3 KAYIP (DİKKAT)","UYGUN")))))</f>
        <v/>
      </c>
    </row>
    <row r="831" customFormat="false" ht="15" hidden="false" customHeight="false" outlineLevel="0" collapsed="false">
      <c r="A831" s="21"/>
      <c r="B831" s="17"/>
      <c r="C831" s="17"/>
      <c r="D831" s="17"/>
      <c r="E831" s="17"/>
      <c r="F831" s="17"/>
      <c r="G831" s="17"/>
      <c r="H831" s="17"/>
      <c r="I831" s="17"/>
      <c r="J831" s="18" t="str">
        <f aca="false">IF($A831="","",$B831+$C831+$D831-$E831+$F831-$G831)</f>
        <v/>
      </c>
      <c r="K831" s="18" t="str">
        <f aca="false">IF($A831="","",MAX(0,$B831-$J831))</f>
        <v/>
      </c>
      <c r="L831" s="19" t="str">
        <f aca="false">IF($A831="","",IF($B831=0,0,$K831/$B831))</f>
        <v/>
      </c>
      <c r="M831" s="20" t="str">
        <f aca="false">IF($A831="","",IF($J831&lt;0,"BORCA BATIK",IF($I831&lt;$H831,"BORCA BATIK",IF($L831&gt;=TtkUcteIkiEsik,"2/3 KAYIP (KRİTİK)",IF($L831&gt;=TtkUcteBirEsik,"1/3 KAYIP (DİKKAT)","UYGUN")))))</f>
        <v/>
      </c>
    </row>
    <row r="832" customFormat="false" ht="15" hidden="false" customHeight="false" outlineLevel="0" collapsed="false">
      <c r="A832" s="21"/>
      <c r="B832" s="17"/>
      <c r="C832" s="17"/>
      <c r="D832" s="17"/>
      <c r="E832" s="17"/>
      <c r="F832" s="17"/>
      <c r="G832" s="17"/>
      <c r="H832" s="17"/>
      <c r="I832" s="17"/>
      <c r="J832" s="18" t="str">
        <f aca="false">IF($A832="","",$B832+$C832+$D832-$E832+$F832-$G832)</f>
        <v/>
      </c>
      <c r="K832" s="18" t="str">
        <f aca="false">IF($A832="","",MAX(0,$B832-$J832))</f>
        <v/>
      </c>
      <c r="L832" s="19" t="str">
        <f aca="false">IF($A832="","",IF($B832=0,0,$K832/$B832))</f>
        <v/>
      </c>
      <c r="M832" s="20" t="str">
        <f aca="false">IF($A832="","",IF($J832&lt;0,"BORCA BATIK",IF($I832&lt;$H832,"BORCA BATIK",IF($L832&gt;=TtkUcteIkiEsik,"2/3 KAYIP (KRİTİK)",IF($L832&gt;=TtkUcteBirEsik,"1/3 KAYIP (DİKKAT)","UYGUN")))))</f>
        <v/>
      </c>
    </row>
    <row r="833" customFormat="false" ht="15" hidden="false" customHeight="false" outlineLevel="0" collapsed="false">
      <c r="A833" s="21"/>
      <c r="B833" s="17"/>
      <c r="C833" s="17"/>
      <c r="D833" s="17"/>
      <c r="E833" s="17"/>
      <c r="F833" s="17"/>
      <c r="G833" s="17"/>
      <c r="H833" s="17"/>
      <c r="I833" s="17"/>
      <c r="J833" s="18" t="str">
        <f aca="false">IF($A833="","",$B833+$C833+$D833-$E833+$F833-$G833)</f>
        <v/>
      </c>
      <c r="K833" s="18" t="str">
        <f aca="false">IF($A833="","",MAX(0,$B833-$J833))</f>
        <v/>
      </c>
      <c r="L833" s="19" t="str">
        <f aca="false">IF($A833="","",IF($B833=0,0,$K833/$B833))</f>
        <v/>
      </c>
      <c r="M833" s="20" t="str">
        <f aca="false">IF($A833="","",IF($J833&lt;0,"BORCA BATIK",IF($I833&lt;$H833,"BORCA BATIK",IF($L833&gt;=TtkUcteIkiEsik,"2/3 KAYIP (KRİTİK)",IF($L833&gt;=TtkUcteBirEsik,"1/3 KAYIP (DİKKAT)","UYGUN")))))</f>
        <v/>
      </c>
    </row>
    <row r="834" customFormat="false" ht="15" hidden="false" customHeight="false" outlineLevel="0" collapsed="false">
      <c r="A834" s="21"/>
      <c r="B834" s="17"/>
      <c r="C834" s="17"/>
      <c r="D834" s="17"/>
      <c r="E834" s="17"/>
      <c r="F834" s="17"/>
      <c r="G834" s="17"/>
      <c r="H834" s="17"/>
      <c r="I834" s="17"/>
      <c r="J834" s="18" t="str">
        <f aca="false">IF($A834="","",$B834+$C834+$D834-$E834+$F834-$G834)</f>
        <v/>
      </c>
      <c r="K834" s="18" t="str">
        <f aca="false">IF($A834="","",MAX(0,$B834-$J834))</f>
        <v/>
      </c>
      <c r="L834" s="19" t="str">
        <f aca="false">IF($A834="","",IF($B834=0,0,$K834/$B834))</f>
        <v/>
      </c>
      <c r="M834" s="20" t="str">
        <f aca="false">IF($A834="","",IF($J834&lt;0,"BORCA BATIK",IF($I834&lt;$H834,"BORCA BATIK",IF($L834&gt;=TtkUcteIkiEsik,"2/3 KAYIP (KRİTİK)",IF($L834&gt;=TtkUcteBirEsik,"1/3 KAYIP (DİKKAT)","UYGUN")))))</f>
        <v/>
      </c>
    </row>
    <row r="835" customFormat="false" ht="15" hidden="false" customHeight="false" outlineLevel="0" collapsed="false">
      <c r="A835" s="21"/>
      <c r="B835" s="17"/>
      <c r="C835" s="17"/>
      <c r="D835" s="17"/>
      <c r="E835" s="17"/>
      <c r="F835" s="17"/>
      <c r="G835" s="17"/>
      <c r="H835" s="17"/>
      <c r="I835" s="17"/>
      <c r="J835" s="18" t="str">
        <f aca="false">IF($A835="","",$B835+$C835+$D835-$E835+$F835-$G835)</f>
        <v/>
      </c>
      <c r="K835" s="18" t="str">
        <f aca="false">IF($A835="","",MAX(0,$B835-$J835))</f>
        <v/>
      </c>
      <c r="L835" s="19" t="str">
        <f aca="false">IF($A835="","",IF($B835=0,0,$K835/$B835))</f>
        <v/>
      </c>
      <c r="M835" s="20" t="str">
        <f aca="false">IF($A835="","",IF($J835&lt;0,"BORCA BATIK",IF($I835&lt;$H835,"BORCA BATIK",IF($L835&gt;=TtkUcteIkiEsik,"2/3 KAYIP (KRİTİK)",IF($L835&gt;=TtkUcteBirEsik,"1/3 KAYIP (DİKKAT)","UYGUN")))))</f>
        <v/>
      </c>
    </row>
    <row r="836" customFormat="false" ht="15" hidden="false" customHeight="false" outlineLevel="0" collapsed="false">
      <c r="A836" s="21"/>
      <c r="B836" s="17"/>
      <c r="C836" s="17"/>
      <c r="D836" s="17"/>
      <c r="E836" s="17"/>
      <c r="F836" s="17"/>
      <c r="G836" s="17"/>
      <c r="H836" s="17"/>
      <c r="I836" s="17"/>
      <c r="J836" s="18" t="str">
        <f aca="false">IF($A836="","",$B836+$C836+$D836-$E836+$F836-$G836)</f>
        <v/>
      </c>
      <c r="K836" s="18" t="str">
        <f aca="false">IF($A836="","",MAX(0,$B836-$J836))</f>
        <v/>
      </c>
      <c r="L836" s="19" t="str">
        <f aca="false">IF($A836="","",IF($B836=0,0,$K836/$B836))</f>
        <v/>
      </c>
      <c r="M836" s="20" t="str">
        <f aca="false">IF($A836="","",IF($J836&lt;0,"BORCA BATIK",IF($I836&lt;$H836,"BORCA BATIK",IF($L836&gt;=TtkUcteIkiEsik,"2/3 KAYIP (KRİTİK)",IF($L836&gt;=TtkUcteBirEsik,"1/3 KAYIP (DİKKAT)","UYGUN")))))</f>
        <v/>
      </c>
    </row>
    <row r="837" customFormat="false" ht="15" hidden="false" customHeight="false" outlineLevel="0" collapsed="false">
      <c r="A837" s="21"/>
      <c r="B837" s="17"/>
      <c r="C837" s="17"/>
      <c r="D837" s="17"/>
      <c r="E837" s="17"/>
      <c r="F837" s="17"/>
      <c r="G837" s="17"/>
      <c r="H837" s="17"/>
      <c r="I837" s="17"/>
      <c r="J837" s="18" t="str">
        <f aca="false">IF($A837="","",$B837+$C837+$D837-$E837+$F837-$G837)</f>
        <v/>
      </c>
      <c r="K837" s="18" t="str">
        <f aca="false">IF($A837="","",MAX(0,$B837-$J837))</f>
        <v/>
      </c>
      <c r="L837" s="19" t="str">
        <f aca="false">IF($A837="","",IF($B837=0,0,$K837/$B837))</f>
        <v/>
      </c>
      <c r="M837" s="20" t="str">
        <f aca="false">IF($A837="","",IF($J837&lt;0,"BORCA BATIK",IF($I837&lt;$H837,"BORCA BATIK",IF($L837&gt;=TtkUcteIkiEsik,"2/3 KAYIP (KRİTİK)",IF($L837&gt;=TtkUcteBirEsik,"1/3 KAYIP (DİKKAT)","UYGUN")))))</f>
        <v/>
      </c>
    </row>
    <row r="838" customFormat="false" ht="15" hidden="false" customHeight="false" outlineLevel="0" collapsed="false">
      <c r="A838" s="21"/>
      <c r="B838" s="17"/>
      <c r="C838" s="17"/>
      <c r="D838" s="17"/>
      <c r="E838" s="17"/>
      <c r="F838" s="17"/>
      <c r="G838" s="17"/>
      <c r="H838" s="17"/>
      <c r="I838" s="17"/>
      <c r="J838" s="18" t="str">
        <f aca="false">IF($A838="","",$B838+$C838+$D838-$E838+$F838-$G838)</f>
        <v/>
      </c>
      <c r="K838" s="18" t="str">
        <f aca="false">IF($A838="","",MAX(0,$B838-$J838))</f>
        <v/>
      </c>
      <c r="L838" s="19" t="str">
        <f aca="false">IF($A838="","",IF($B838=0,0,$K838/$B838))</f>
        <v/>
      </c>
      <c r="M838" s="20" t="str">
        <f aca="false">IF($A838="","",IF($J838&lt;0,"BORCA BATIK",IF($I838&lt;$H838,"BORCA BATIK",IF($L838&gt;=TtkUcteIkiEsik,"2/3 KAYIP (KRİTİK)",IF($L838&gt;=TtkUcteBirEsik,"1/3 KAYIP (DİKKAT)","UYGUN")))))</f>
        <v/>
      </c>
    </row>
    <row r="839" customFormat="false" ht="15" hidden="false" customHeight="false" outlineLevel="0" collapsed="false">
      <c r="A839" s="21"/>
      <c r="B839" s="17"/>
      <c r="C839" s="17"/>
      <c r="D839" s="17"/>
      <c r="E839" s="17"/>
      <c r="F839" s="17"/>
      <c r="G839" s="17"/>
      <c r="H839" s="17"/>
      <c r="I839" s="17"/>
      <c r="J839" s="18" t="str">
        <f aca="false">IF($A839="","",$B839+$C839+$D839-$E839+$F839-$G839)</f>
        <v/>
      </c>
      <c r="K839" s="18" t="str">
        <f aca="false">IF($A839="","",MAX(0,$B839-$J839))</f>
        <v/>
      </c>
      <c r="L839" s="19" t="str">
        <f aca="false">IF($A839="","",IF($B839=0,0,$K839/$B839))</f>
        <v/>
      </c>
      <c r="M839" s="20" t="str">
        <f aca="false">IF($A839="","",IF($J839&lt;0,"BORCA BATIK",IF($I839&lt;$H839,"BORCA BATIK",IF($L839&gt;=TtkUcteIkiEsik,"2/3 KAYIP (KRİTİK)",IF($L839&gt;=TtkUcteBirEsik,"1/3 KAYIP (DİKKAT)","UYGUN")))))</f>
        <v/>
      </c>
    </row>
    <row r="840" customFormat="false" ht="15" hidden="false" customHeight="false" outlineLevel="0" collapsed="false">
      <c r="A840" s="21"/>
      <c r="B840" s="17"/>
      <c r="C840" s="17"/>
      <c r="D840" s="17"/>
      <c r="E840" s="17"/>
      <c r="F840" s="17"/>
      <c r="G840" s="17"/>
      <c r="H840" s="17"/>
      <c r="I840" s="17"/>
      <c r="J840" s="18" t="str">
        <f aca="false">IF($A840="","",$B840+$C840+$D840-$E840+$F840-$G840)</f>
        <v/>
      </c>
      <c r="K840" s="18" t="str">
        <f aca="false">IF($A840="","",MAX(0,$B840-$J840))</f>
        <v/>
      </c>
      <c r="L840" s="19" t="str">
        <f aca="false">IF($A840="","",IF($B840=0,0,$K840/$B840))</f>
        <v/>
      </c>
      <c r="M840" s="20" t="str">
        <f aca="false">IF($A840="","",IF($J840&lt;0,"BORCA BATIK",IF($I840&lt;$H840,"BORCA BATIK",IF($L840&gt;=TtkUcteIkiEsik,"2/3 KAYIP (KRİTİK)",IF($L840&gt;=TtkUcteBirEsik,"1/3 KAYIP (DİKKAT)","UYGUN")))))</f>
        <v/>
      </c>
    </row>
    <row r="841" customFormat="false" ht="15" hidden="false" customHeight="false" outlineLevel="0" collapsed="false">
      <c r="A841" s="21"/>
      <c r="B841" s="17"/>
      <c r="C841" s="17"/>
      <c r="D841" s="17"/>
      <c r="E841" s="17"/>
      <c r="F841" s="17"/>
      <c r="G841" s="17"/>
      <c r="H841" s="17"/>
      <c r="I841" s="17"/>
      <c r="J841" s="18" t="str">
        <f aca="false">IF($A841="","",$B841+$C841+$D841-$E841+$F841-$G841)</f>
        <v/>
      </c>
      <c r="K841" s="18" t="str">
        <f aca="false">IF($A841="","",MAX(0,$B841-$J841))</f>
        <v/>
      </c>
      <c r="L841" s="19" t="str">
        <f aca="false">IF($A841="","",IF($B841=0,0,$K841/$B841))</f>
        <v/>
      </c>
      <c r="M841" s="20" t="str">
        <f aca="false">IF($A841="","",IF($J841&lt;0,"BORCA BATIK",IF($I841&lt;$H841,"BORCA BATIK",IF($L841&gt;=TtkUcteIkiEsik,"2/3 KAYIP (KRİTİK)",IF($L841&gt;=TtkUcteBirEsik,"1/3 KAYIP (DİKKAT)","UYGUN")))))</f>
        <v/>
      </c>
    </row>
    <row r="842" customFormat="false" ht="15" hidden="false" customHeight="false" outlineLevel="0" collapsed="false">
      <c r="A842" s="21"/>
      <c r="B842" s="17"/>
      <c r="C842" s="17"/>
      <c r="D842" s="17"/>
      <c r="E842" s="17"/>
      <c r="F842" s="17"/>
      <c r="G842" s="17"/>
      <c r="H842" s="17"/>
      <c r="I842" s="17"/>
      <c r="J842" s="18" t="str">
        <f aca="false">IF($A842="","",$B842+$C842+$D842-$E842+$F842-$G842)</f>
        <v/>
      </c>
      <c r="K842" s="18" t="str">
        <f aca="false">IF($A842="","",MAX(0,$B842-$J842))</f>
        <v/>
      </c>
      <c r="L842" s="19" t="str">
        <f aca="false">IF($A842="","",IF($B842=0,0,$K842/$B842))</f>
        <v/>
      </c>
      <c r="M842" s="20" t="str">
        <f aca="false">IF($A842="","",IF($J842&lt;0,"BORCA BATIK",IF($I842&lt;$H842,"BORCA BATIK",IF($L842&gt;=TtkUcteIkiEsik,"2/3 KAYIP (KRİTİK)",IF($L842&gt;=TtkUcteBirEsik,"1/3 KAYIP (DİKKAT)","UYGUN")))))</f>
        <v/>
      </c>
    </row>
    <row r="843" customFormat="false" ht="15" hidden="false" customHeight="false" outlineLevel="0" collapsed="false">
      <c r="A843" s="21"/>
      <c r="B843" s="17"/>
      <c r="C843" s="17"/>
      <c r="D843" s="17"/>
      <c r="E843" s="17"/>
      <c r="F843" s="17"/>
      <c r="G843" s="17"/>
      <c r="H843" s="17"/>
      <c r="I843" s="17"/>
      <c r="J843" s="18" t="str">
        <f aca="false">IF($A843="","",$B843+$C843+$D843-$E843+$F843-$G843)</f>
        <v/>
      </c>
      <c r="K843" s="18" t="str">
        <f aca="false">IF($A843="","",MAX(0,$B843-$J843))</f>
        <v/>
      </c>
      <c r="L843" s="19" t="str">
        <f aca="false">IF($A843="","",IF($B843=0,0,$K843/$B843))</f>
        <v/>
      </c>
      <c r="M843" s="20" t="str">
        <f aca="false">IF($A843="","",IF($J843&lt;0,"BORCA BATIK",IF($I843&lt;$H843,"BORCA BATIK",IF($L843&gt;=TtkUcteIkiEsik,"2/3 KAYIP (KRİTİK)",IF($L843&gt;=TtkUcteBirEsik,"1/3 KAYIP (DİKKAT)","UYGUN")))))</f>
        <v/>
      </c>
    </row>
    <row r="844" customFormat="false" ht="15" hidden="false" customHeight="false" outlineLevel="0" collapsed="false">
      <c r="A844" s="21"/>
      <c r="B844" s="17"/>
      <c r="C844" s="17"/>
      <c r="D844" s="17"/>
      <c r="E844" s="17"/>
      <c r="F844" s="17"/>
      <c r="G844" s="17"/>
      <c r="H844" s="17"/>
      <c r="I844" s="17"/>
      <c r="J844" s="18" t="str">
        <f aca="false">IF($A844="","",$B844+$C844+$D844-$E844+$F844-$G844)</f>
        <v/>
      </c>
      <c r="K844" s="18" t="str">
        <f aca="false">IF($A844="","",MAX(0,$B844-$J844))</f>
        <v/>
      </c>
      <c r="L844" s="19" t="str">
        <f aca="false">IF($A844="","",IF($B844=0,0,$K844/$B844))</f>
        <v/>
      </c>
      <c r="M844" s="20" t="str">
        <f aca="false">IF($A844="","",IF($J844&lt;0,"BORCA BATIK",IF($I844&lt;$H844,"BORCA BATIK",IF($L844&gt;=TtkUcteIkiEsik,"2/3 KAYIP (KRİTİK)",IF($L844&gt;=TtkUcteBirEsik,"1/3 KAYIP (DİKKAT)","UYGUN")))))</f>
        <v/>
      </c>
    </row>
    <row r="845" customFormat="false" ht="15" hidden="false" customHeight="false" outlineLevel="0" collapsed="false">
      <c r="A845" s="21"/>
      <c r="B845" s="17"/>
      <c r="C845" s="17"/>
      <c r="D845" s="17"/>
      <c r="E845" s="17"/>
      <c r="F845" s="17"/>
      <c r="G845" s="17"/>
      <c r="H845" s="17"/>
      <c r="I845" s="17"/>
      <c r="J845" s="18" t="str">
        <f aca="false">IF($A845="","",$B845+$C845+$D845-$E845+$F845-$G845)</f>
        <v/>
      </c>
      <c r="K845" s="18" t="str">
        <f aca="false">IF($A845="","",MAX(0,$B845-$J845))</f>
        <v/>
      </c>
      <c r="L845" s="19" t="str">
        <f aca="false">IF($A845="","",IF($B845=0,0,$K845/$B845))</f>
        <v/>
      </c>
      <c r="M845" s="20" t="str">
        <f aca="false">IF($A845="","",IF($J845&lt;0,"BORCA BATIK",IF($I845&lt;$H845,"BORCA BATIK",IF($L845&gt;=TtkUcteIkiEsik,"2/3 KAYIP (KRİTİK)",IF($L845&gt;=TtkUcteBirEsik,"1/3 KAYIP (DİKKAT)","UYGUN")))))</f>
        <v/>
      </c>
    </row>
    <row r="846" customFormat="false" ht="15" hidden="false" customHeight="false" outlineLevel="0" collapsed="false">
      <c r="A846" s="21"/>
      <c r="B846" s="17"/>
      <c r="C846" s="17"/>
      <c r="D846" s="17"/>
      <c r="E846" s="17"/>
      <c r="F846" s="17"/>
      <c r="G846" s="17"/>
      <c r="H846" s="17"/>
      <c r="I846" s="17"/>
      <c r="J846" s="18" t="str">
        <f aca="false">IF($A846="","",$B846+$C846+$D846-$E846+$F846-$G846)</f>
        <v/>
      </c>
      <c r="K846" s="18" t="str">
        <f aca="false">IF($A846="","",MAX(0,$B846-$J846))</f>
        <v/>
      </c>
      <c r="L846" s="19" t="str">
        <f aca="false">IF($A846="","",IF($B846=0,0,$K846/$B846))</f>
        <v/>
      </c>
      <c r="M846" s="20" t="str">
        <f aca="false">IF($A846="","",IF($J846&lt;0,"BORCA BATIK",IF($I846&lt;$H846,"BORCA BATIK",IF($L846&gt;=TtkUcteIkiEsik,"2/3 KAYIP (KRİTİK)",IF($L846&gt;=TtkUcteBirEsik,"1/3 KAYIP (DİKKAT)","UYGUN")))))</f>
        <v/>
      </c>
    </row>
    <row r="847" customFormat="false" ht="15" hidden="false" customHeight="false" outlineLevel="0" collapsed="false">
      <c r="A847" s="21"/>
      <c r="B847" s="17"/>
      <c r="C847" s="17"/>
      <c r="D847" s="17"/>
      <c r="E847" s="17"/>
      <c r="F847" s="17"/>
      <c r="G847" s="17"/>
      <c r="H847" s="17"/>
      <c r="I847" s="17"/>
      <c r="J847" s="18" t="str">
        <f aca="false">IF($A847="","",$B847+$C847+$D847-$E847+$F847-$G847)</f>
        <v/>
      </c>
      <c r="K847" s="18" t="str">
        <f aca="false">IF($A847="","",MAX(0,$B847-$J847))</f>
        <v/>
      </c>
      <c r="L847" s="19" t="str">
        <f aca="false">IF($A847="","",IF($B847=0,0,$K847/$B847))</f>
        <v/>
      </c>
      <c r="M847" s="20" t="str">
        <f aca="false">IF($A847="","",IF($J847&lt;0,"BORCA BATIK",IF($I847&lt;$H847,"BORCA BATIK",IF($L847&gt;=TtkUcteIkiEsik,"2/3 KAYIP (KRİTİK)",IF($L847&gt;=TtkUcteBirEsik,"1/3 KAYIP (DİKKAT)","UYGUN")))))</f>
        <v/>
      </c>
    </row>
    <row r="848" customFormat="false" ht="15" hidden="false" customHeight="false" outlineLevel="0" collapsed="false">
      <c r="A848" s="21"/>
      <c r="B848" s="17"/>
      <c r="C848" s="17"/>
      <c r="D848" s="17"/>
      <c r="E848" s="17"/>
      <c r="F848" s="17"/>
      <c r="G848" s="17"/>
      <c r="H848" s="17"/>
      <c r="I848" s="17"/>
      <c r="J848" s="18" t="str">
        <f aca="false">IF($A848="","",$B848+$C848+$D848-$E848+$F848-$G848)</f>
        <v/>
      </c>
      <c r="K848" s="18" t="str">
        <f aca="false">IF($A848="","",MAX(0,$B848-$J848))</f>
        <v/>
      </c>
      <c r="L848" s="19" t="str">
        <f aca="false">IF($A848="","",IF($B848=0,0,$K848/$B848))</f>
        <v/>
      </c>
      <c r="M848" s="20" t="str">
        <f aca="false">IF($A848="","",IF($J848&lt;0,"BORCA BATIK",IF($I848&lt;$H848,"BORCA BATIK",IF($L848&gt;=TtkUcteIkiEsik,"2/3 KAYIP (KRİTİK)",IF($L848&gt;=TtkUcteBirEsik,"1/3 KAYIP (DİKKAT)","UYGUN")))))</f>
        <v/>
      </c>
    </row>
    <row r="849" customFormat="false" ht="15" hidden="false" customHeight="false" outlineLevel="0" collapsed="false">
      <c r="A849" s="21"/>
      <c r="B849" s="17"/>
      <c r="C849" s="17"/>
      <c r="D849" s="17"/>
      <c r="E849" s="17"/>
      <c r="F849" s="17"/>
      <c r="G849" s="17"/>
      <c r="H849" s="17"/>
      <c r="I849" s="17"/>
      <c r="J849" s="18" t="str">
        <f aca="false">IF($A849="","",$B849+$C849+$D849-$E849+$F849-$G849)</f>
        <v/>
      </c>
      <c r="K849" s="18" t="str">
        <f aca="false">IF($A849="","",MAX(0,$B849-$J849))</f>
        <v/>
      </c>
      <c r="L849" s="19" t="str">
        <f aca="false">IF($A849="","",IF($B849=0,0,$K849/$B849))</f>
        <v/>
      </c>
      <c r="M849" s="20" t="str">
        <f aca="false">IF($A849="","",IF($J849&lt;0,"BORCA BATIK",IF($I849&lt;$H849,"BORCA BATIK",IF($L849&gt;=TtkUcteIkiEsik,"2/3 KAYIP (KRİTİK)",IF($L849&gt;=TtkUcteBirEsik,"1/3 KAYIP (DİKKAT)","UYGUN")))))</f>
        <v/>
      </c>
    </row>
    <row r="850" customFormat="false" ht="15" hidden="false" customHeight="false" outlineLevel="0" collapsed="false">
      <c r="A850" s="21"/>
      <c r="B850" s="17"/>
      <c r="C850" s="17"/>
      <c r="D850" s="17"/>
      <c r="E850" s="17"/>
      <c r="F850" s="17"/>
      <c r="G850" s="17"/>
      <c r="H850" s="17"/>
      <c r="I850" s="17"/>
      <c r="J850" s="18" t="str">
        <f aca="false">IF($A850="","",$B850+$C850+$D850-$E850+$F850-$G850)</f>
        <v/>
      </c>
      <c r="K850" s="18" t="str">
        <f aca="false">IF($A850="","",MAX(0,$B850-$J850))</f>
        <v/>
      </c>
      <c r="L850" s="19" t="str">
        <f aca="false">IF($A850="","",IF($B850=0,0,$K850/$B850))</f>
        <v/>
      </c>
      <c r="M850" s="20" t="str">
        <f aca="false">IF($A850="","",IF($J850&lt;0,"BORCA BATIK",IF($I850&lt;$H850,"BORCA BATIK",IF($L850&gt;=TtkUcteIkiEsik,"2/3 KAYIP (KRİTİK)",IF($L850&gt;=TtkUcteBirEsik,"1/3 KAYIP (DİKKAT)","UYGUN")))))</f>
        <v/>
      </c>
    </row>
    <row r="851" customFormat="false" ht="15" hidden="false" customHeight="false" outlineLevel="0" collapsed="false">
      <c r="A851" s="21"/>
      <c r="B851" s="17"/>
      <c r="C851" s="17"/>
      <c r="D851" s="17"/>
      <c r="E851" s="17"/>
      <c r="F851" s="17"/>
      <c r="G851" s="17"/>
      <c r="H851" s="17"/>
      <c r="I851" s="17"/>
      <c r="J851" s="18" t="str">
        <f aca="false">IF($A851="","",$B851+$C851+$D851-$E851+$F851-$G851)</f>
        <v/>
      </c>
      <c r="K851" s="18" t="str">
        <f aca="false">IF($A851="","",MAX(0,$B851-$J851))</f>
        <v/>
      </c>
      <c r="L851" s="19" t="str">
        <f aca="false">IF($A851="","",IF($B851=0,0,$K851/$B851))</f>
        <v/>
      </c>
      <c r="M851" s="20" t="str">
        <f aca="false">IF($A851="","",IF($J851&lt;0,"BORCA BATIK",IF($I851&lt;$H851,"BORCA BATIK",IF($L851&gt;=TtkUcteIkiEsik,"2/3 KAYIP (KRİTİK)",IF($L851&gt;=TtkUcteBirEsik,"1/3 KAYIP (DİKKAT)","UYGUN")))))</f>
        <v/>
      </c>
    </row>
    <row r="852" customFormat="false" ht="15" hidden="false" customHeight="false" outlineLevel="0" collapsed="false">
      <c r="A852" s="21"/>
      <c r="B852" s="17"/>
      <c r="C852" s="17"/>
      <c r="D852" s="17"/>
      <c r="E852" s="17"/>
      <c r="F852" s="17"/>
      <c r="G852" s="17"/>
      <c r="H852" s="17"/>
      <c r="I852" s="17"/>
      <c r="J852" s="18" t="str">
        <f aca="false">IF($A852="","",$B852+$C852+$D852-$E852+$F852-$G852)</f>
        <v/>
      </c>
      <c r="K852" s="18" t="str">
        <f aca="false">IF($A852="","",MAX(0,$B852-$J852))</f>
        <v/>
      </c>
      <c r="L852" s="19" t="str">
        <f aca="false">IF($A852="","",IF($B852=0,0,$K852/$B852))</f>
        <v/>
      </c>
      <c r="M852" s="20" t="str">
        <f aca="false">IF($A852="","",IF($J852&lt;0,"BORCA BATIK",IF($I852&lt;$H852,"BORCA BATIK",IF($L852&gt;=TtkUcteIkiEsik,"2/3 KAYIP (KRİTİK)",IF($L852&gt;=TtkUcteBirEsik,"1/3 KAYIP (DİKKAT)","UYGUN")))))</f>
        <v/>
      </c>
    </row>
    <row r="853" customFormat="false" ht="15" hidden="false" customHeight="false" outlineLevel="0" collapsed="false">
      <c r="A853" s="21"/>
      <c r="B853" s="17"/>
      <c r="C853" s="17"/>
      <c r="D853" s="17"/>
      <c r="E853" s="17"/>
      <c r="F853" s="17"/>
      <c r="G853" s="17"/>
      <c r="H853" s="17"/>
      <c r="I853" s="17"/>
      <c r="J853" s="18" t="str">
        <f aca="false">IF($A853="","",$B853+$C853+$D853-$E853+$F853-$G853)</f>
        <v/>
      </c>
      <c r="K853" s="18" t="str">
        <f aca="false">IF($A853="","",MAX(0,$B853-$J853))</f>
        <v/>
      </c>
      <c r="L853" s="19" t="str">
        <f aca="false">IF($A853="","",IF($B853=0,0,$K853/$B853))</f>
        <v/>
      </c>
      <c r="M853" s="20" t="str">
        <f aca="false">IF($A853="","",IF($J853&lt;0,"BORCA BATIK",IF($I853&lt;$H853,"BORCA BATIK",IF($L853&gt;=TtkUcteIkiEsik,"2/3 KAYIP (KRİTİK)",IF($L853&gt;=TtkUcteBirEsik,"1/3 KAYIP (DİKKAT)","UYGUN")))))</f>
        <v/>
      </c>
    </row>
    <row r="854" customFormat="false" ht="15" hidden="false" customHeight="false" outlineLevel="0" collapsed="false">
      <c r="A854" s="21"/>
      <c r="B854" s="17"/>
      <c r="C854" s="17"/>
      <c r="D854" s="17"/>
      <c r="E854" s="17"/>
      <c r="F854" s="17"/>
      <c r="G854" s="17"/>
      <c r="H854" s="17"/>
      <c r="I854" s="17"/>
      <c r="J854" s="18" t="str">
        <f aca="false">IF($A854="","",$B854+$C854+$D854-$E854+$F854-$G854)</f>
        <v/>
      </c>
      <c r="K854" s="18" t="str">
        <f aca="false">IF($A854="","",MAX(0,$B854-$J854))</f>
        <v/>
      </c>
      <c r="L854" s="19" t="str">
        <f aca="false">IF($A854="","",IF($B854=0,0,$K854/$B854))</f>
        <v/>
      </c>
      <c r="M854" s="20" t="str">
        <f aca="false">IF($A854="","",IF($J854&lt;0,"BORCA BATIK",IF($I854&lt;$H854,"BORCA BATIK",IF($L854&gt;=TtkUcteIkiEsik,"2/3 KAYIP (KRİTİK)",IF($L854&gt;=TtkUcteBirEsik,"1/3 KAYIP (DİKKAT)","UYGUN")))))</f>
        <v/>
      </c>
    </row>
    <row r="855" customFormat="false" ht="15" hidden="false" customHeight="false" outlineLevel="0" collapsed="false">
      <c r="A855" s="21"/>
      <c r="B855" s="17"/>
      <c r="C855" s="17"/>
      <c r="D855" s="17"/>
      <c r="E855" s="17"/>
      <c r="F855" s="17"/>
      <c r="G855" s="17"/>
      <c r="H855" s="17"/>
      <c r="I855" s="17"/>
      <c r="J855" s="18" t="str">
        <f aca="false">IF($A855="","",$B855+$C855+$D855-$E855+$F855-$G855)</f>
        <v/>
      </c>
      <c r="K855" s="18" t="str">
        <f aca="false">IF($A855="","",MAX(0,$B855-$J855))</f>
        <v/>
      </c>
      <c r="L855" s="19" t="str">
        <f aca="false">IF($A855="","",IF($B855=0,0,$K855/$B855))</f>
        <v/>
      </c>
      <c r="M855" s="20" t="str">
        <f aca="false">IF($A855="","",IF($J855&lt;0,"BORCA BATIK",IF($I855&lt;$H855,"BORCA BATIK",IF($L855&gt;=TtkUcteIkiEsik,"2/3 KAYIP (KRİTİK)",IF($L855&gt;=TtkUcteBirEsik,"1/3 KAYIP (DİKKAT)","UYGUN")))))</f>
        <v/>
      </c>
    </row>
    <row r="856" customFormat="false" ht="15" hidden="false" customHeight="false" outlineLevel="0" collapsed="false">
      <c r="A856" s="21"/>
      <c r="B856" s="17"/>
      <c r="C856" s="17"/>
      <c r="D856" s="17"/>
      <c r="E856" s="17"/>
      <c r="F856" s="17"/>
      <c r="G856" s="17"/>
      <c r="H856" s="17"/>
      <c r="I856" s="17"/>
      <c r="J856" s="18" t="str">
        <f aca="false">IF($A856="","",$B856+$C856+$D856-$E856+$F856-$G856)</f>
        <v/>
      </c>
      <c r="K856" s="18" t="str">
        <f aca="false">IF($A856="","",MAX(0,$B856-$J856))</f>
        <v/>
      </c>
      <c r="L856" s="19" t="str">
        <f aca="false">IF($A856="","",IF($B856=0,0,$K856/$B856))</f>
        <v/>
      </c>
      <c r="M856" s="20" t="str">
        <f aca="false">IF($A856="","",IF($J856&lt;0,"BORCA BATIK",IF($I856&lt;$H856,"BORCA BATIK",IF($L856&gt;=TtkUcteIkiEsik,"2/3 KAYIP (KRİTİK)",IF($L856&gt;=TtkUcteBirEsik,"1/3 KAYIP (DİKKAT)","UYGUN")))))</f>
        <v/>
      </c>
    </row>
    <row r="857" customFormat="false" ht="15" hidden="false" customHeight="false" outlineLevel="0" collapsed="false">
      <c r="A857" s="21"/>
      <c r="B857" s="17"/>
      <c r="C857" s="17"/>
      <c r="D857" s="17"/>
      <c r="E857" s="17"/>
      <c r="F857" s="17"/>
      <c r="G857" s="17"/>
      <c r="H857" s="17"/>
      <c r="I857" s="17"/>
      <c r="J857" s="18" t="str">
        <f aca="false">IF($A857="","",$B857+$C857+$D857-$E857+$F857-$G857)</f>
        <v/>
      </c>
      <c r="K857" s="18" t="str">
        <f aca="false">IF($A857="","",MAX(0,$B857-$J857))</f>
        <v/>
      </c>
      <c r="L857" s="19" t="str">
        <f aca="false">IF($A857="","",IF($B857=0,0,$K857/$B857))</f>
        <v/>
      </c>
      <c r="M857" s="20" t="str">
        <f aca="false">IF($A857="","",IF($J857&lt;0,"BORCA BATIK",IF($I857&lt;$H857,"BORCA BATIK",IF($L857&gt;=TtkUcteIkiEsik,"2/3 KAYIP (KRİTİK)",IF($L857&gt;=TtkUcteBirEsik,"1/3 KAYIP (DİKKAT)","UYGUN")))))</f>
        <v/>
      </c>
    </row>
    <row r="858" customFormat="false" ht="15" hidden="false" customHeight="false" outlineLevel="0" collapsed="false">
      <c r="A858" s="21"/>
      <c r="B858" s="17"/>
      <c r="C858" s="17"/>
      <c r="D858" s="17"/>
      <c r="E858" s="17"/>
      <c r="F858" s="17"/>
      <c r="G858" s="17"/>
      <c r="H858" s="17"/>
      <c r="I858" s="17"/>
      <c r="J858" s="18" t="str">
        <f aca="false">IF($A858="","",$B858+$C858+$D858-$E858+$F858-$G858)</f>
        <v/>
      </c>
      <c r="K858" s="18" t="str">
        <f aca="false">IF($A858="","",MAX(0,$B858-$J858))</f>
        <v/>
      </c>
      <c r="L858" s="19" t="str">
        <f aca="false">IF($A858="","",IF($B858=0,0,$K858/$B858))</f>
        <v/>
      </c>
      <c r="M858" s="20" t="str">
        <f aca="false">IF($A858="","",IF($J858&lt;0,"BORCA BATIK",IF($I858&lt;$H858,"BORCA BATIK",IF($L858&gt;=TtkUcteIkiEsik,"2/3 KAYIP (KRİTİK)",IF($L858&gt;=TtkUcteBirEsik,"1/3 KAYIP (DİKKAT)","UYGUN")))))</f>
        <v/>
      </c>
    </row>
    <row r="859" customFormat="false" ht="15" hidden="false" customHeight="false" outlineLevel="0" collapsed="false">
      <c r="A859" s="21"/>
      <c r="B859" s="17"/>
      <c r="C859" s="17"/>
      <c r="D859" s="17"/>
      <c r="E859" s="17"/>
      <c r="F859" s="17"/>
      <c r="G859" s="17"/>
      <c r="H859" s="17"/>
      <c r="I859" s="17"/>
      <c r="J859" s="18" t="str">
        <f aca="false">IF($A859="","",$B859+$C859+$D859-$E859+$F859-$G859)</f>
        <v/>
      </c>
      <c r="K859" s="18" t="str">
        <f aca="false">IF($A859="","",MAX(0,$B859-$J859))</f>
        <v/>
      </c>
      <c r="L859" s="19" t="str">
        <f aca="false">IF($A859="","",IF($B859=0,0,$K859/$B859))</f>
        <v/>
      </c>
      <c r="M859" s="20" t="str">
        <f aca="false">IF($A859="","",IF($J859&lt;0,"BORCA BATIK",IF($I859&lt;$H859,"BORCA BATIK",IF($L859&gt;=TtkUcteIkiEsik,"2/3 KAYIP (KRİTİK)",IF($L859&gt;=TtkUcteBirEsik,"1/3 KAYIP (DİKKAT)","UYGUN")))))</f>
        <v/>
      </c>
    </row>
    <row r="860" customFormat="false" ht="15" hidden="false" customHeight="false" outlineLevel="0" collapsed="false">
      <c r="A860" s="21"/>
      <c r="B860" s="17"/>
      <c r="C860" s="17"/>
      <c r="D860" s="17"/>
      <c r="E860" s="17"/>
      <c r="F860" s="17"/>
      <c r="G860" s="17"/>
      <c r="H860" s="17"/>
      <c r="I860" s="17"/>
      <c r="J860" s="18" t="str">
        <f aca="false">IF($A860="","",$B860+$C860+$D860-$E860+$F860-$G860)</f>
        <v/>
      </c>
      <c r="K860" s="18" t="str">
        <f aca="false">IF($A860="","",MAX(0,$B860-$J860))</f>
        <v/>
      </c>
      <c r="L860" s="19" t="str">
        <f aca="false">IF($A860="","",IF($B860=0,0,$K860/$B860))</f>
        <v/>
      </c>
      <c r="M860" s="20" t="str">
        <f aca="false">IF($A860="","",IF($J860&lt;0,"BORCA BATIK",IF($I860&lt;$H860,"BORCA BATIK",IF($L860&gt;=TtkUcteIkiEsik,"2/3 KAYIP (KRİTİK)",IF($L860&gt;=TtkUcteBirEsik,"1/3 KAYIP (DİKKAT)","UYGUN")))))</f>
        <v/>
      </c>
    </row>
    <row r="861" customFormat="false" ht="15" hidden="false" customHeight="false" outlineLevel="0" collapsed="false">
      <c r="A861" s="21"/>
      <c r="B861" s="17"/>
      <c r="C861" s="17"/>
      <c r="D861" s="17"/>
      <c r="E861" s="17"/>
      <c r="F861" s="17"/>
      <c r="G861" s="17"/>
      <c r="H861" s="17"/>
      <c r="I861" s="17"/>
      <c r="J861" s="18" t="str">
        <f aca="false">IF($A861="","",$B861+$C861+$D861-$E861+$F861-$G861)</f>
        <v/>
      </c>
      <c r="K861" s="18" t="str">
        <f aca="false">IF($A861="","",MAX(0,$B861-$J861))</f>
        <v/>
      </c>
      <c r="L861" s="19" t="str">
        <f aca="false">IF($A861="","",IF($B861=0,0,$K861/$B861))</f>
        <v/>
      </c>
      <c r="M861" s="20" t="str">
        <f aca="false">IF($A861="","",IF($J861&lt;0,"BORCA BATIK",IF($I861&lt;$H861,"BORCA BATIK",IF($L861&gt;=TtkUcteIkiEsik,"2/3 KAYIP (KRİTİK)",IF($L861&gt;=TtkUcteBirEsik,"1/3 KAYIP (DİKKAT)","UYGUN")))))</f>
        <v/>
      </c>
    </row>
    <row r="862" customFormat="false" ht="15" hidden="false" customHeight="false" outlineLevel="0" collapsed="false">
      <c r="A862" s="21"/>
      <c r="B862" s="17"/>
      <c r="C862" s="17"/>
      <c r="D862" s="17"/>
      <c r="E862" s="17"/>
      <c r="F862" s="17"/>
      <c r="G862" s="17"/>
      <c r="H862" s="17"/>
      <c r="I862" s="17"/>
      <c r="J862" s="18" t="str">
        <f aca="false">IF($A862="","",$B862+$C862+$D862-$E862+$F862-$G862)</f>
        <v/>
      </c>
      <c r="K862" s="18" t="str">
        <f aca="false">IF($A862="","",MAX(0,$B862-$J862))</f>
        <v/>
      </c>
      <c r="L862" s="19" t="str">
        <f aca="false">IF($A862="","",IF($B862=0,0,$K862/$B862))</f>
        <v/>
      </c>
      <c r="M862" s="20" t="str">
        <f aca="false">IF($A862="","",IF($J862&lt;0,"BORCA BATIK",IF($I862&lt;$H862,"BORCA BATIK",IF($L862&gt;=TtkUcteIkiEsik,"2/3 KAYIP (KRİTİK)",IF($L862&gt;=TtkUcteBirEsik,"1/3 KAYIP (DİKKAT)","UYGUN")))))</f>
        <v/>
      </c>
    </row>
    <row r="863" customFormat="false" ht="15" hidden="false" customHeight="false" outlineLevel="0" collapsed="false">
      <c r="A863" s="21"/>
      <c r="B863" s="17"/>
      <c r="C863" s="17"/>
      <c r="D863" s="17"/>
      <c r="E863" s="17"/>
      <c r="F863" s="17"/>
      <c r="G863" s="17"/>
      <c r="H863" s="17"/>
      <c r="I863" s="17"/>
      <c r="J863" s="18" t="str">
        <f aca="false">IF($A863="","",$B863+$C863+$D863-$E863+$F863-$G863)</f>
        <v/>
      </c>
      <c r="K863" s="18" t="str">
        <f aca="false">IF($A863="","",MAX(0,$B863-$J863))</f>
        <v/>
      </c>
      <c r="L863" s="19" t="str">
        <f aca="false">IF($A863="","",IF($B863=0,0,$K863/$B863))</f>
        <v/>
      </c>
      <c r="M863" s="20" t="str">
        <f aca="false">IF($A863="","",IF($J863&lt;0,"BORCA BATIK",IF($I863&lt;$H863,"BORCA BATIK",IF($L863&gt;=TtkUcteIkiEsik,"2/3 KAYIP (KRİTİK)",IF($L863&gt;=TtkUcteBirEsik,"1/3 KAYIP (DİKKAT)","UYGUN")))))</f>
        <v/>
      </c>
    </row>
    <row r="864" customFormat="false" ht="15" hidden="false" customHeight="false" outlineLevel="0" collapsed="false">
      <c r="A864" s="21"/>
      <c r="B864" s="17"/>
      <c r="C864" s="17"/>
      <c r="D864" s="17"/>
      <c r="E864" s="17"/>
      <c r="F864" s="17"/>
      <c r="G864" s="17"/>
      <c r="H864" s="17"/>
      <c r="I864" s="17"/>
      <c r="J864" s="18" t="str">
        <f aca="false">IF($A864="","",$B864+$C864+$D864-$E864+$F864-$G864)</f>
        <v/>
      </c>
      <c r="K864" s="18" t="str">
        <f aca="false">IF($A864="","",MAX(0,$B864-$J864))</f>
        <v/>
      </c>
      <c r="L864" s="19" t="str">
        <f aca="false">IF($A864="","",IF($B864=0,0,$K864/$B864))</f>
        <v/>
      </c>
      <c r="M864" s="20" t="str">
        <f aca="false">IF($A864="","",IF($J864&lt;0,"BORCA BATIK",IF($I864&lt;$H864,"BORCA BATIK",IF($L864&gt;=TtkUcteIkiEsik,"2/3 KAYIP (KRİTİK)",IF($L864&gt;=TtkUcteBirEsik,"1/3 KAYIP (DİKKAT)","UYGUN")))))</f>
        <v/>
      </c>
    </row>
    <row r="865" customFormat="false" ht="15" hidden="false" customHeight="false" outlineLevel="0" collapsed="false">
      <c r="A865" s="21"/>
      <c r="B865" s="17"/>
      <c r="C865" s="17"/>
      <c r="D865" s="17"/>
      <c r="E865" s="17"/>
      <c r="F865" s="17"/>
      <c r="G865" s="17"/>
      <c r="H865" s="17"/>
      <c r="I865" s="17"/>
      <c r="J865" s="18" t="str">
        <f aca="false">IF($A865="","",$B865+$C865+$D865-$E865+$F865-$G865)</f>
        <v/>
      </c>
      <c r="K865" s="18" t="str">
        <f aca="false">IF($A865="","",MAX(0,$B865-$J865))</f>
        <v/>
      </c>
      <c r="L865" s="19" t="str">
        <f aca="false">IF($A865="","",IF($B865=0,0,$K865/$B865))</f>
        <v/>
      </c>
      <c r="M865" s="20" t="str">
        <f aca="false">IF($A865="","",IF($J865&lt;0,"BORCA BATIK",IF($I865&lt;$H865,"BORCA BATIK",IF($L865&gt;=TtkUcteIkiEsik,"2/3 KAYIP (KRİTİK)",IF($L865&gt;=TtkUcteBirEsik,"1/3 KAYIP (DİKKAT)","UYGUN")))))</f>
        <v/>
      </c>
    </row>
    <row r="866" customFormat="false" ht="15" hidden="false" customHeight="false" outlineLevel="0" collapsed="false">
      <c r="A866" s="21"/>
      <c r="B866" s="17"/>
      <c r="C866" s="17"/>
      <c r="D866" s="17"/>
      <c r="E866" s="17"/>
      <c r="F866" s="17"/>
      <c r="G866" s="17"/>
      <c r="H866" s="17"/>
      <c r="I866" s="17"/>
      <c r="J866" s="18" t="str">
        <f aca="false">IF($A866="","",$B866+$C866+$D866-$E866+$F866-$G866)</f>
        <v/>
      </c>
      <c r="K866" s="18" t="str">
        <f aca="false">IF($A866="","",MAX(0,$B866-$J866))</f>
        <v/>
      </c>
      <c r="L866" s="19" t="str">
        <f aca="false">IF($A866="","",IF($B866=0,0,$K866/$B866))</f>
        <v/>
      </c>
      <c r="M866" s="20" t="str">
        <f aca="false">IF($A866="","",IF($J866&lt;0,"BORCA BATIK",IF($I866&lt;$H866,"BORCA BATIK",IF($L866&gt;=TtkUcteIkiEsik,"2/3 KAYIP (KRİTİK)",IF($L866&gt;=TtkUcteBirEsik,"1/3 KAYIP (DİKKAT)","UYGUN")))))</f>
        <v/>
      </c>
    </row>
    <row r="867" customFormat="false" ht="15" hidden="false" customHeight="false" outlineLevel="0" collapsed="false">
      <c r="A867" s="21"/>
      <c r="B867" s="17"/>
      <c r="C867" s="17"/>
      <c r="D867" s="17"/>
      <c r="E867" s="17"/>
      <c r="F867" s="17"/>
      <c r="G867" s="17"/>
      <c r="H867" s="17"/>
      <c r="I867" s="17"/>
      <c r="J867" s="18" t="str">
        <f aca="false">IF($A867="","",$B867+$C867+$D867-$E867+$F867-$G867)</f>
        <v/>
      </c>
      <c r="K867" s="18" t="str">
        <f aca="false">IF($A867="","",MAX(0,$B867-$J867))</f>
        <v/>
      </c>
      <c r="L867" s="19" t="str">
        <f aca="false">IF($A867="","",IF($B867=0,0,$K867/$B867))</f>
        <v/>
      </c>
      <c r="M867" s="20" t="str">
        <f aca="false">IF($A867="","",IF($J867&lt;0,"BORCA BATIK",IF($I867&lt;$H867,"BORCA BATIK",IF($L867&gt;=TtkUcteIkiEsik,"2/3 KAYIP (KRİTİK)",IF($L867&gt;=TtkUcteBirEsik,"1/3 KAYIP (DİKKAT)","UYGUN")))))</f>
        <v/>
      </c>
    </row>
    <row r="868" customFormat="false" ht="15" hidden="false" customHeight="false" outlineLevel="0" collapsed="false">
      <c r="A868" s="21"/>
      <c r="B868" s="17"/>
      <c r="C868" s="17"/>
      <c r="D868" s="17"/>
      <c r="E868" s="17"/>
      <c r="F868" s="17"/>
      <c r="G868" s="17"/>
      <c r="H868" s="17"/>
      <c r="I868" s="17"/>
      <c r="J868" s="18" t="str">
        <f aca="false">IF($A868="","",$B868+$C868+$D868-$E868+$F868-$G868)</f>
        <v/>
      </c>
      <c r="K868" s="18" t="str">
        <f aca="false">IF($A868="","",MAX(0,$B868-$J868))</f>
        <v/>
      </c>
      <c r="L868" s="19" t="str">
        <f aca="false">IF($A868="","",IF($B868=0,0,$K868/$B868))</f>
        <v/>
      </c>
      <c r="M868" s="20" t="str">
        <f aca="false">IF($A868="","",IF($J868&lt;0,"BORCA BATIK",IF($I868&lt;$H868,"BORCA BATIK",IF($L868&gt;=TtkUcteIkiEsik,"2/3 KAYIP (KRİTİK)",IF($L868&gt;=TtkUcteBirEsik,"1/3 KAYIP (DİKKAT)","UYGUN")))))</f>
        <v/>
      </c>
    </row>
    <row r="869" customFormat="false" ht="15" hidden="false" customHeight="false" outlineLevel="0" collapsed="false">
      <c r="A869" s="21"/>
      <c r="B869" s="17"/>
      <c r="C869" s="17"/>
      <c r="D869" s="17"/>
      <c r="E869" s="17"/>
      <c r="F869" s="17"/>
      <c r="G869" s="17"/>
      <c r="H869" s="17"/>
      <c r="I869" s="17"/>
      <c r="J869" s="18" t="str">
        <f aca="false">IF($A869="","",$B869+$C869+$D869-$E869+$F869-$G869)</f>
        <v/>
      </c>
      <c r="K869" s="18" t="str">
        <f aca="false">IF($A869="","",MAX(0,$B869-$J869))</f>
        <v/>
      </c>
      <c r="L869" s="19" t="str">
        <f aca="false">IF($A869="","",IF($B869=0,0,$K869/$B869))</f>
        <v/>
      </c>
      <c r="M869" s="20" t="str">
        <f aca="false">IF($A869="","",IF($J869&lt;0,"BORCA BATIK",IF($I869&lt;$H869,"BORCA BATIK",IF($L869&gt;=TtkUcteIkiEsik,"2/3 KAYIP (KRİTİK)",IF($L869&gt;=TtkUcteBirEsik,"1/3 KAYIP (DİKKAT)","UYGUN")))))</f>
        <v/>
      </c>
    </row>
    <row r="870" customFormat="false" ht="15" hidden="false" customHeight="false" outlineLevel="0" collapsed="false">
      <c r="A870" s="21"/>
      <c r="B870" s="17"/>
      <c r="C870" s="17"/>
      <c r="D870" s="17"/>
      <c r="E870" s="17"/>
      <c r="F870" s="17"/>
      <c r="G870" s="17"/>
      <c r="H870" s="17"/>
      <c r="I870" s="17"/>
      <c r="J870" s="18" t="str">
        <f aca="false">IF($A870="","",$B870+$C870+$D870-$E870+$F870-$G870)</f>
        <v/>
      </c>
      <c r="K870" s="18" t="str">
        <f aca="false">IF($A870="","",MAX(0,$B870-$J870))</f>
        <v/>
      </c>
      <c r="L870" s="19" t="str">
        <f aca="false">IF($A870="","",IF($B870=0,0,$K870/$B870))</f>
        <v/>
      </c>
      <c r="M870" s="20" t="str">
        <f aca="false">IF($A870="","",IF($J870&lt;0,"BORCA BATIK",IF($I870&lt;$H870,"BORCA BATIK",IF($L870&gt;=TtkUcteIkiEsik,"2/3 KAYIP (KRİTİK)",IF($L870&gt;=TtkUcteBirEsik,"1/3 KAYIP (DİKKAT)","UYGUN")))))</f>
        <v/>
      </c>
    </row>
    <row r="871" customFormat="false" ht="15" hidden="false" customHeight="false" outlineLevel="0" collapsed="false">
      <c r="A871" s="21"/>
      <c r="B871" s="17"/>
      <c r="C871" s="17"/>
      <c r="D871" s="17"/>
      <c r="E871" s="17"/>
      <c r="F871" s="17"/>
      <c r="G871" s="17"/>
      <c r="H871" s="17"/>
      <c r="I871" s="17"/>
      <c r="J871" s="18" t="str">
        <f aca="false">IF($A871="","",$B871+$C871+$D871-$E871+$F871-$G871)</f>
        <v/>
      </c>
      <c r="K871" s="18" t="str">
        <f aca="false">IF($A871="","",MAX(0,$B871-$J871))</f>
        <v/>
      </c>
      <c r="L871" s="19" t="str">
        <f aca="false">IF($A871="","",IF($B871=0,0,$K871/$B871))</f>
        <v/>
      </c>
      <c r="M871" s="20" t="str">
        <f aca="false">IF($A871="","",IF($J871&lt;0,"BORCA BATIK",IF($I871&lt;$H871,"BORCA BATIK",IF($L871&gt;=TtkUcteIkiEsik,"2/3 KAYIP (KRİTİK)",IF($L871&gt;=TtkUcteBirEsik,"1/3 KAYIP (DİKKAT)","UYGUN")))))</f>
        <v/>
      </c>
    </row>
    <row r="872" customFormat="false" ht="15" hidden="false" customHeight="false" outlineLevel="0" collapsed="false">
      <c r="A872" s="21"/>
      <c r="B872" s="17"/>
      <c r="C872" s="17"/>
      <c r="D872" s="17"/>
      <c r="E872" s="17"/>
      <c r="F872" s="17"/>
      <c r="G872" s="17"/>
      <c r="H872" s="17"/>
      <c r="I872" s="17"/>
      <c r="J872" s="18" t="str">
        <f aca="false">IF($A872="","",$B872+$C872+$D872-$E872+$F872-$G872)</f>
        <v/>
      </c>
      <c r="K872" s="18" t="str">
        <f aca="false">IF($A872="","",MAX(0,$B872-$J872))</f>
        <v/>
      </c>
      <c r="L872" s="19" t="str">
        <f aca="false">IF($A872="","",IF($B872=0,0,$K872/$B872))</f>
        <v/>
      </c>
      <c r="M872" s="20" t="str">
        <f aca="false">IF($A872="","",IF($J872&lt;0,"BORCA BATIK",IF($I872&lt;$H872,"BORCA BATIK",IF($L872&gt;=TtkUcteIkiEsik,"2/3 KAYIP (KRİTİK)",IF($L872&gt;=TtkUcteBirEsik,"1/3 KAYIP (DİKKAT)","UYGUN")))))</f>
        <v/>
      </c>
    </row>
    <row r="873" customFormat="false" ht="15" hidden="false" customHeight="false" outlineLevel="0" collapsed="false">
      <c r="A873" s="21"/>
      <c r="B873" s="17"/>
      <c r="C873" s="17"/>
      <c r="D873" s="17"/>
      <c r="E873" s="17"/>
      <c r="F873" s="17"/>
      <c r="G873" s="17"/>
      <c r="H873" s="17"/>
      <c r="I873" s="17"/>
      <c r="J873" s="18" t="str">
        <f aca="false">IF($A873="","",$B873+$C873+$D873-$E873+$F873-$G873)</f>
        <v/>
      </c>
      <c r="K873" s="18" t="str">
        <f aca="false">IF($A873="","",MAX(0,$B873-$J873))</f>
        <v/>
      </c>
      <c r="L873" s="19" t="str">
        <f aca="false">IF($A873="","",IF($B873=0,0,$K873/$B873))</f>
        <v/>
      </c>
      <c r="M873" s="20" t="str">
        <f aca="false">IF($A873="","",IF($J873&lt;0,"BORCA BATIK",IF($I873&lt;$H873,"BORCA BATIK",IF($L873&gt;=TtkUcteIkiEsik,"2/3 KAYIP (KRİTİK)",IF($L873&gt;=TtkUcteBirEsik,"1/3 KAYIP (DİKKAT)","UYGUN")))))</f>
        <v/>
      </c>
    </row>
    <row r="874" customFormat="false" ht="15" hidden="false" customHeight="false" outlineLevel="0" collapsed="false">
      <c r="A874" s="21"/>
      <c r="B874" s="17"/>
      <c r="C874" s="17"/>
      <c r="D874" s="17"/>
      <c r="E874" s="17"/>
      <c r="F874" s="17"/>
      <c r="G874" s="17"/>
      <c r="H874" s="17"/>
      <c r="I874" s="17"/>
      <c r="J874" s="18" t="str">
        <f aca="false">IF($A874="","",$B874+$C874+$D874-$E874+$F874-$G874)</f>
        <v/>
      </c>
      <c r="K874" s="18" t="str">
        <f aca="false">IF($A874="","",MAX(0,$B874-$J874))</f>
        <v/>
      </c>
      <c r="L874" s="19" t="str">
        <f aca="false">IF($A874="","",IF($B874=0,0,$K874/$B874))</f>
        <v/>
      </c>
      <c r="M874" s="20" t="str">
        <f aca="false">IF($A874="","",IF($J874&lt;0,"BORCA BATIK",IF($I874&lt;$H874,"BORCA BATIK",IF($L874&gt;=TtkUcteIkiEsik,"2/3 KAYIP (KRİTİK)",IF($L874&gt;=TtkUcteBirEsik,"1/3 KAYIP (DİKKAT)","UYGUN")))))</f>
        <v/>
      </c>
    </row>
    <row r="875" customFormat="false" ht="15" hidden="false" customHeight="false" outlineLevel="0" collapsed="false">
      <c r="A875" s="21"/>
      <c r="B875" s="17"/>
      <c r="C875" s="17"/>
      <c r="D875" s="17"/>
      <c r="E875" s="17"/>
      <c r="F875" s="17"/>
      <c r="G875" s="17"/>
      <c r="H875" s="17"/>
      <c r="I875" s="17"/>
      <c r="J875" s="18" t="str">
        <f aca="false">IF($A875="","",$B875+$C875+$D875-$E875+$F875-$G875)</f>
        <v/>
      </c>
      <c r="K875" s="18" t="str">
        <f aca="false">IF($A875="","",MAX(0,$B875-$J875))</f>
        <v/>
      </c>
      <c r="L875" s="19" t="str">
        <f aca="false">IF($A875="","",IF($B875=0,0,$K875/$B875))</f>
        <v/>
      </c>
      <c r="M875" s="20" t="str">
        <f aca="false">IF($A875="","",IF($J875&lt;0,"BORCA BATIK",IF($I875&lt;$H875,"BORCA BATIK",IF($L875&gt;=TtkUcteIkiEsik,"2/3 KAYIP (KRİTİK)",IF($L875&gt;=TtkUcteBirEsik,"1/3 KAYIP (DİKKAT)","UYGUN")))))</f>
        <v/>
      </c>
    </row>
    <row r="876" customFormat="false" ht="15" hidden="false" customHeight="false" outlineLevel="0" collapsed="false">
      <c r="A876" s="21"/>
      <c r="B876" s="17"/>
      <c r="C876" s="17"/>
      <c r="D876" s="17"/>
      <c r="E876" s="17"/>
      <c r="F876" s="17"/>
      <c r="G876" s="17"/>
      <c r="H876" s="17"/>
      <c r="I876" s="17"/>
      <c r="J876" s="18" t="str">
        <f aca="false">IF($A876="","",$B876+$C876+$D876-$E876+$F876-$G876)</f>
        <v/>
      </c>
      <c r="K876" s="18" t="str">
        <f aca="false">IF($A876="","",MAX(0,$B876-$J876))</f>
        <v/>
      </c>
      <c r="L876" s="19" t="str">
        <f aca="false">IF($A876="","",IF($B876=0,0,$K876/$B876))</f>
        <v/>
      </c>
      <c r="M876" s="20" t="str">
        <f aca="false">IF($A876="","",IF($J876&lt;0,"BORCA BATIK",IF($I876&lt;$H876,"BORCA BATIK",IF($L876&gt;=TtkUcteIkiEsik,"2/3 KAYIP (KRİTİK)",IF($L876&gt;=TtkUcteBirEsik,"1/3 KAYIP (DİKKAT)","UYGUN")))))</f>
        <v/>
      </c>
    </row>
    <row r="877" customFormat="false" ht="15" hidden="false" customHeight="false" outlineLevel="0" collapsed="false">
      <c r="A877" s="21"/>
      <c r="B877" s="17"/>
      <c r="C877" s="17"/>
      <c r="D877" s="17"/>
      <c r="E877" s="17"/>
      <c r="F877" s="17"/>
      <c r="G877" s="17"/>
      <c r="H877" s="17"/>
      <c r="I877" s="17"/>
      <c r="J877" s="18" t="str">
        <f aca="false">IF($A877="","",$B877+$C877+$D877-$E877+$F877-$G877)</f>
        <v/>
      </c>
      <c r="K877" s="18" t="str">
        <f aca="false">IF($A877="","",MAX(0,$B877-$J877))</f>
        <v/>
      </c>
      <c r="L877" s="19" t="str">
        <f aca="false">IF($A877="","",IF($B877=0,0,$K877/$B877))</f>
        <v/>
      </c>
      <c r="M877" s="20" t="str">
        <f aca="false">IF($A877="","",IF($J877&lt;0,"BORCA BATIK",IF($I877&lt;$H877,"BORCA BATIK",IF($L877&gt;=TtkUcteIkiEsik,"2/3 KAYIP (KRİTİK)",IF($L877&gt;=TtkUcteBirEsik,"1/3 KAYIP (DİKKAT)","UYGUN")))))</f>
        <v/>
      </c>
    </row>
    <row r="878" customFormat="false" ht="15" hidden="false" customHeight="false" outlineLevel="0" collapsed="false">
      <c r="A878" s="21"/>
      <c r="B878" s="17"/>
      <c r="C878" s="17"/>
      <c r="D878" s="17"/>
      <c r="E878" s="17"/>
      <c r="F878" s="17"/>
      <c r="G878" s="17"/>
      <c r="H878" s="17"/>
      <c r="I878" s="17"/>
      <c r="J878" s="18" t="str">
        <f aca="false">IF($A878="","",$B878+$C878+$D878-$E878+$F878-$G878)</f>
        <v/>
      </c>
      <c r="K878" s="18" t="str">
        <f aca="false">IF($A878="","",MAX(0,$B878-$J878))</f>
        <v/>
      </c>
      <c r="L878" s="19" t="str">
        <f aca="false">IF($A878="","",IF($B878=0,0,$K878/$B878))</f>
        <v/>
      </c>
      <c r="M878" s="20" t="str">
        <f aca="false">IF($A878="","",IF($J878&lt;0,"BORCA BATIK",IF($I878&lt;$H878,"BORCA BATIK",IF($L878&gt;=TtkUcteIkiEsik,"2/3 KAYIP (KRİTİK)",IF($L878&gt;=TtkUcteBirEsik,"1/3 KAYIP (DİKKAT)","UYGUN")))))</f>
        <v/>
      </c>
    </row>
    <row r="879" customFormat="false" ht="15" hidden="false" customHeight="false" outlineLevel="0" collapsed="false">
      <c r="A879" s="21"/>
      <c r="B879" s="17"/>
      <c r="C879" s="17"/>
      <c r="D879" s="17"/>
      <c r="E879" s="17"/>
      <c r="F879" s="17"/>
      <c r="G879" s="17"/>
      <c r="H879" s="17"/>
      <c r="I879" s="17"/>
      <c r="J879" s="18" t="str">
        <f aca="false">IF($A879="","",$B879+$C879+$D879-$E879+$F879-$G879)</f>
        <v/>
      </c>
      <c r="K879" s="18" t="str">
        <f aca="false">IF($A879="","",MAX(0,$B879-$J879))</f>
        <v/>
      </c>
      <c r="L879" s="19" t="str">
        <f aca="false">IF($A879="","",IF($B879=0,0,$K879/$B879))</f>
        <v/>
      </c>
      <c r="M879" s="20" t="str">
        <f aca="false">IF($A879="","",IF($J879&lt;0,"BORCA BATIK",IF($I879&lt;$H879,"BORCA BATIK",IF($L879&gt;=TtkUcteIkiEsik,"2/3 KAYIP (KRİTİK)",IF($L879&gt;=TtkUcteBirEsik,"1/3 KAYIP (DİKKAT)","UYGUN")))))</f>
        <v/>
      </c>
    </row>
    <row r="880" customFormat="false" ht="15" hidden="false" customHeight="false" outlineLevel="0" collapsed="false">
      <c r="A880" s="21"/>
      <c r="B880" s="17"/>
      <c r="C880" s="17"/>
      <c r="D880" s="17"/>
      <c r="E880" s="17"/>
      <c r="F880" s="17"/>
      <c r="G880" s="17"/>
      <c r="H880" s="17"/>
      <c r="I880" s="17"/>
      <c r="J880" s="18" t="str">
        <f aca="false">IF($A880="","",$B880+$C880+$D880-$E880+$F880-$G880)</f>
        <v/>
      </c>
      <c r="K880" s="18" t="str">
        <f aca="false">IF($A880="","",MAX(0,$B880-$J880))</f>
        <v/>
      </c>
      <c r="L880" s="19" t="str">
        <f aca="false">IF($A880="","",IF($B880=0,0,$K880/$B880))</f>
        <v/>
      </c>
      <c r="M880" s="20" t="str">
        <f aca="false">IF($A880="","",IF($J880&lt;0,"BORCA BATIK",IF($I880&lt;$H880,"BORCA BATIK",IF($L880&gt;=TtkUcteIkiEsik,"2/3 KAYIP (KRİTİK)",IF($L880&gt;=TtkUcteBirEsik,"1/3 KAYIP (DİKKAT)","UYGUN")))))</f>
        <v/>
      </c>
    </row>
    <row r="881" customFormat="false" ht="15" hidden="false" customHeight="false" outlineLevel="0" collapsed="false">
      <c r="A881" s="21"/>
      <c r="B881" s="17"/>
      <c r="C881" s="17"/>
      <c r="D881" s="17"/>
      <c r="E881" s="17"/>
      <c r="F881" s="17"/>
      <c r="G881" s="17"/>
      <c r="H881" s="17"/>
      <c r="I881" s="17"/>
      <c r="J881" s="18" t="str">
        <f aca="false">IF($A881="","",$B881+$C881+$D881-$E881+$F881-$G881)</f>
        <v/>
      </c>
      <c r="K881" s="18" t="str">
        <f aca="false">IF($A881="","",MAX(0,$B881-$J881))</f>
        <v/>
      </c>
      <c r="L881" s="19" t="str">
        <f aca="false">IF($A881="","",IF($B881=0,0,$K881/$B881))</f>
        <v/>
      </c>
      <c r="M881" s="20" t="str">
        <f aca="false">IF($A881="","",IF($J881&lt;0,"BORCA BATIK",IF($I881&lt;$H881,"BORCA BATIK",IF($L881&gt;=TtkUcteIkiEsik,"2/3 KAYIP (KRİTİK)",IF($L881&gt;=TtkUcteBirEsik,"1/3 KAYIP (DİKKAT)","UYGUN")))))</f>
        <v/>
      </c>
    </row>
    <row r="882" customFormat="false" ht="15" hidden="false" customHeight="false" outlineLevel="0" collapsed="false">
      <c r="A882" s="21"/>
      <c r="B882" s="17"/>
      <c r="C882" s="17"/>
      <c r="D882" s="17"/>
      <c r="E882" s="17"/>
      <c r="F882" s="17"/>
      <c r="G882" s="17"/>
      <c r="H882" s="17"/>
      <c r="I882" s="17"/>
      <c r="J882" s="18" t="str">
        <f aca="false">IF($A882="","",$B882+$C882+$D882-$E882+$F882-$G882)</f>
        <v/>
      </c>
      <c r="K882" s="18" t="str">
        <f aca="false">IF($A882="","",MAX(0,$B882-$J882))</f>
        <v/>
      </c>
      <c r="L882" s="19" t="str">
        <f aca="false">IF($A882="","",IF($B882=0,0,$K882/$B882))</f>
        <v/>
      </c>
      <c r="M882" s="20" t="str">
        <f aca="false">IF($A882="","",IF($J882&lt;0,"BORCA BATIK",IF($I882&lt;$H882,"BORCA BATIK",IF($L882&gt;=TtkUcteIkiEsik,"2/3 KAYIP (KRİTİK)",IF($L882&gt;=TtkUcteBirEsik,"1/3 KAYIP (DİKKAT)","UYGUN")))))</f>
        <v/>
      </c>
    </row>
    <row r="883" customFormat="false" ht="15" hidden="false" customHeight="false" outlineLevel="0" collapsed="false">
      <c r="A883" s="21"/>
      <c r="B883" s="17"/>
      <c r="C883" s="17"/>
      <c r="D883" s="17"/>
      <c r="E883" s="17"/>
      <c r="F883" s="17"/>
      <c r="G883" s="17"/>
      <c r="H883" s="17"/>
      <c r="I883" s="17"/>
      <c r="J883" s="18" t="str">
        <f aca="false">IF($A883="","",$B883+$C883+$D883-$E883+$F883-$G883)</f>
        <v/>
      </c>
      <c r="K883" s="18" t="str">
        <f aca="false">IF($A883="","",MAX(0,$B883-$J883))</f>
        <v/>
      </c>
      <c r="L883" s="19" t="str">
        <f aca="false">IF($A883="","",IF($B883=0,0,$K883/$B883))</f>
        <v/>
      </c>
      <c r="M883" s="20" t="str">
        <f aca="false">IF($A883="","",IF($J883&lt;0,"BORCA BATIK",IF($I883&lt;$H883,"BORCA BATIK",IF($L883&gt;=TtkUcteIkiEsik,"2/3 KAYIP (KRİTİK)",IF($L883&gt;=TtkUcteBirEsik,"1/3 KAYIP (DİKKAT)","UYGUN")))))</f>
        <v/>
      </c>
    </row>
    <row r="884" customFormat="false" ht="15" hidden="false" customHeight="false" outlineLevel="0" collapsed="false">
      <c r="A884" s="21"/>
      <c r="B884" s="17"/>
      <c r="C884" s="17"/>
      <c r="D884" s="17"/>
      <c r="E884" s="17"/>
      <c r="F884" s="17"/>
      <c r="G884" s="17"/>
      <c r="H884" s="17"/>
      <c r="I884" s="17"/>
      <c r="J884" s="18" t="str">
        <f aca="false">IF($A884="","",$B884+$C884+$D884-$E884+$F884-$G884)</f>
        <v/>
      </c>
      <c r="K884" s="18" t="str">
        <f aca="false">IF($A884="","",MAX(0,$B884-$J884))</f>
        <v/>
      </c>
      <c r="L884" s="19" t="str">
        <f aca="false">IF($A884="","",IF($B884=0,0,$K884/$B884))</f>
        <v/>
      </c>
      <c r="M884" s="20" t="str">
        <f aca="false">IF($A884="","",IF($J884&lt;0,"BORCA BATIK",IF($I884&lt;$H884,"BORCA BATIK",IF($L884&gt;=TtkUcteIkiEsik,"2/3 KAYIP (KRİTİK)",IF($L884&gt;=TtkUcteBirEsik,"1/3 KAYIP (DİKKAT)","UYGUN")))))</f>
        <v/>
      </c>
    </row>
    <row r="885" customFormat="false" ht="15" hidden="false" customHeight="false" outlineLevel="0" collapsed="false">
      <c r="A885" s="21"/>
      <c r="B885" s="17"/>
      <c r="C885" s="17"/>
      <c r="D885" s="17"/>
      <c r="E885" s="17"/>
      <c r="F885" s="17"/>
      <c r="G885" s="17"/>
      <c r="H885" s="17"/>
      <c r="I885" s="17"/>
      <c r="J885" s="18" t="str">
        <f aca="false">IF($A885="","",$B885+$C885+$D885-$E885+$F885-$G885)</f>
        <v/>
      </c>
      <c r="K885" s="18" t="str">
        <f aca="false">IF($A885="","",MAX(0,$B885-$J885))</f>
        <v/>
      </c>
      <c r="L885" s="19" t="str">
        <f aca="false">IF($A885="","",IF($B885=0,0,$K885/$B885))</f>
        <v/>
      </c>
      <c r="M885" s="20" t="str">
        <f aca="false">IF($A885="","",IF($J885&lt;0,"BORCA BATIK",IF($I885&lt;$H885,"BORCA BATIK",IF($L885&gt;=TtkUcteIkiEsik,"2/3 KAYIP (KRİTİK)",IF($L885&gt;=TtkUcteBirEsik,"1/3 KAYIP (DİKKAT)","UYGUN")))))</f>
        <v/>
      </c>
    </row>
    <row r="886" customFormat="false" ht="15" hidden="false" customHeight="false" outlineLevel="0" collapsed="false">
      <c r="A886" s="21"/>
      <c r="B886" s="17"/>
      <c r="C886" s="17"/>
      <c r="D886" s="17"/>
      <c r="E886" s="17"/>
      <c r="F886" s="17"/>
      <c r="G886" s="17"/>
      <c r="H886" s="17"/>
      <c r="I886" s="17"/>
      <c r="J886" s="18" t="str">
        <f aca="false">IF($A886="","",$B886+$C886+$D886-$E886+$F886-$G886)</f>
        <v/>
      </c>
      <c r="K886" s="18" t="str">
        <f aca="false">IF($A886="","",MAX(0,$B886-$J886))</f>
        <v/>
      </c>
      <c r="L886" s="19" t="str">
        <f aca="false">IF($A886="","",IF($B886=0,0,$K886/$B886))</f>
        <v/>
      </c>
      <c r="M886" s="20" t="str">
        <f aca="false">IF($A886="","",IF($J886&lt;0,"BORCA BATIK",IF($I886&lt;$H886,"BORCA BATIK",IF($L886&gt;=TtkUcteIkiEsik,"2/3 KAYIP (KRİTİK)",IF($L886&gt;=TtkUcteBirEsik,"1/3 KAYIP (DİKKAT)","UYGUN")))))</f>
        <v/>
      </c>
    </row>
    <row r="887" customFormat="false" ht="15" hidden="false" customHeight="false" outlineLevel="0" collapsed="false">
      <c r="A887" s="21"/>
      <c r="B887" s="17"/>
      <c r="C887" s="17"/>
      <c r="D887" s="17"/>
      <c r="E887" s="17"/>
      <c r="F887" s="17"/>
      <c r="G887" s="17"/>
      <c r="H887" s="17"/>
      <c r="I887" s="17"/>
      <c r="J887" s="18" t="str">
        <f aca="false">IF($A887="","",$B887+$C887+$D887-$E887+$F887-$G887)</f>
        <v/>
      </c>
      <c r="K887" s="18" t="str">
        <f aca="false">IF($A887="","",MAX(0,$B887-$J887))</f>
        <v/>
      </c>
      <c r="L887" s="19" t="str">
        <f aca="false">IF($A887="","",IF($B887=0,0,$K887/$B887))</f>
        <v/>
      </c>
      <c r="M887" s="20" t="str">
        <f aca="false">IF($A887="","",IF($J887&lt;0,"BORCA BATIK",IF($I887&lt;$H887,"BORCA BATIK",IF($L887&gt;=TtkUcteIkiEsik,"2/3 KAYIP (KRİTİK)",IF($L887&gt;=TtkUcteBirEsik,"1/3 KAYIP (DİKKAT)","UYGUN")))))</f>
        <v/>
      </c>
    </row>
    <row r="888" customFormat="false" ht="15" hidden="false" customHeight="false" outlineLevel="0" collapsed="false">
      <c r="A888" s="21"/>
      <c r="B888" s="17"/>
      <c r="C888" s="17"/>
      <c r="D888" s="17"/>
      <c r="E888" s="17"/>
      <c r="F888" s="17"/>
      <c r="G888" s="17"/>
      <c r="H888" s="17"/>
      <c r="I888" s="17"/>
      <c r="J888" s="18" t="str">
        <f aca="false">IF($A888="","",$B888+$C888+$D888-$E888+$F888-$G888)</f>
        <v/>
      </c>
      <c r="K888" s="18" t="str">
        <f aca="false">IF($A888="","",MAX(0,$B888-$J888))</f>
        <v/>
      </c>
      <c r="L888" s="19" t="str">
        <f aca="false">IF($A888="","",IF($B888=0,0,$K888/$B888))</f>
        <v/>
      </c>
      <c r="M888" s="20" t="str">
        <f aca="false">IF($A888="","",IF($J888&lt;0,"BORCA BATIK",IF($I888&lt;$H888,"BORCA BATIK",IF($L888&gt;=TtkUcteIkiEsik,"2/3 KAYIP (KRİTİK)",IF($L888&gt;=TtkUcteBirEsik,"1/3 KAYIP (DİKKAT)","UYGUN")))))</f>
        <v/>
      </c>
    </row>
    <row r="889" customFormat="false" ht="15" hidden="false" customHeight="false" outlineLevel="0" collapsed="false">
      <c r="A889" s="21"/>
      <c r="B889" s="17"/>
      <c r="C889" s="17"/>
      <c r="D889" s="17"/>
      <c r="E889" s="17"/>
      <c r="F889" s="17"/>
      <c r="G889" s="17"/>
      <c r="H889" s="17"/>
      <c r="I889" s="17"/>
      <c r="J889" s="18" t="str">
        <f aca="false">IF($A889="","",$B889+$C889+$D889-$E889+$F889-$G889)</f>
        <v/>
      </c>
      <c r="K889" s="18" t="str">
        <f aca="false">IF($A889="","",MAX(0,$B889-$J889))</f>
        <v/>
      </c>
      <c r="L889" s="19" t="str">
        <f aca="false">IF($A889="","",IF($B889=0,0,$K889/$B889))</f>
        <v/>
      </c>
      <c r="M889" s="20" t="str">
        <f aca="false">IF($A889="","",IF($J889&lt;0,"BORCA BATIK",IF($I889&lt;$H889,"BORCA BATIK",IF($L889&gt;=TtkUcteIkiEsik,"2/3 KAYIP (KRİTİK)",IF($L889&gt;=TtkUcteBirEsik,"1/3 KAYIP (DİKKAT)","UYGUN")))))</f>
        <v/>
      </c>
    </row>
    <row r="890" customFormat="false" ht="15" hidden="false" customHeight="false" outlineLevel="0" collapsed="false">
      <c r="A890" s="21"/>
      <c r="B890" s="17"/>
      <c r="C890" s="17"/>
      <c r="D890" s="17"/>
      <c r="E890" s="17"/>
      <c r="F890" s="17"/>
      <c r="G890" s="17"/>
      <c r="H890" s="17"/>
      <c r="I890" s="17"/>
      <c r="J890" s="18" t="str">
        <f aca="false">IF($A890="","",$B890+$C890+$D890-$E890+$F890-$G890)</f>
        <v/>
      </c>
      <c r="K890" s="18" t="str">
        <f aca="false">IF($A890="","",MAX(0,$B890-$J890))</f>
        <v/>
      </c>
      <c r="L890" s="19" t="str">
        <f aca="false">IF($A890="","",IF($B890=0,0,$K890/$B890))</f>
        <v/>
      </c>
      <c r="M890" s="20" t="str">
        <f aca="false">IF($A890="","",IF($J890&lt;0,"BORCA BATIK",IF($I890&lt;$H890,"BORCA BATIK",IF($L890&gt;=TtkUcteIkiEsik,"2/3 KAYIP (KRİTİK)",IF($L890&gt;=TtkUcteBirEsik,"1/3 KAYIP (DİKKAT)","UYGUN")))))</f>
        <v/>
      </c>
    </row>
    <row r="891" customFormat="false" ht="15" hidden="false" customHeight="false" outlineLevel="0" collapsed="false">
      <c r="A891" s="21"/>
      <c r="B891" s="17"/>
      <c r="C891" s="17"/>
      <c r="D891" s="17"/>
      <c r="E891" s="17"/>
      <c r="F891" s="17"/>
      <c r="G891" s="17"/>
      <c r="H891" s="17"/>
      <c r="I891" s="17"/>
      <c r="J891" s="18" t="str">
        <f aca="false">IF($A891="","",$B891+$C891+$D891-$E891+$F891-$G891)</f>
        <v/>
      </c>
      <c r="K891" s="18" t="str">
        <f aca="false">IF($A891="","",MAX(0,$B891-$J891))</f>
        <v/>
      </c>
      <c r="L891" s="19" t="str">
        <f aca="false">IF($A891="","",IF($B891=0,0,$K891/$B891))</f>
        <v/>
      </c>
      <c r="M891" s="20" t="str">
        <f aca="false">IF($A891="","",IF($J891&lt;0,"BORCA BATIK",IF($I891&lt;$H891,"BORCA BATIK",IF($L891&gt;=TtkUcteIkiEsik,"2/3 KAYIP (KRİTİK)",IF($L891&gt;=TtkUcteBirEsik,"1/3 KAYIP (DİKKAT)","UYGUN")))))</f>
        <v/>
      </c>
    </row>
    <row r="892" customFormat="false" ht="15" hidden="false" customHeight="false" outlineLevel="0" collapsed="false">
      <c r="A892" s="21"/>
      <c r="B892" s="17"/>
      <c r="C892" s="17"/>
      <c r="D892" s="17"/>
      <c r="E892" s="17"/>
      <c r="F892" s="17"/>
      <c r="G892" s="17"/>
      <c r="H892" s="17"/>
      <c r="I892" s="17"/>
      <c r="J892" s="18" t="str">
        <f aca="false">IF($A892="","",$B892+$C892+$D892-$E892+$F892-$G892)</f>
        <v/>
      </c>
      <c r="K892" s="18" t="str">
        <f aca="false">IF($A892="","",MAX(0,$B892-$J892))</f>
        <v/>
      </c>
      <c r="L892" s="19" t="str">
        <f aca="false">IF($A892="","",IF($B892=0,0,$K892/$B892))</f>
        <v/>
      </c>
      <c r="M892" s="20" t="str">
        <f aca="false">IF($A892="","",IF($J892&lt;0,"BORCA BATIK",IF($I892&lt;$H892,"BORCA BATIK",IF($L892&gt;=TtkUcteIkiEsik,"2/3 KAYIP (KRİTİK)",IF($L892&gt;=TtkUcteBirEsik,"1/3 KAYIP (DİKKAT)","UYGUN")))))</f>
        <v/>
      </c>
    </row>
    <row r="893" customFormat="false" ht="15" hidden="false" customHeight="false" outlineLevel="0" collapsed="false">
      <c r="A893" s="21"/>
      <c r="B893" s="17"/>
      <c r="C893" s="17"/>
      <c r="D893" s="17"/>
      <c r="E893" s="17"/>
      <c r="F893" s="17"/>
      <c r="G893" s="17"/>
      <c r="H893" s="17"/>
      <c r="I893" s="17"/>
      <c r="J893" s="18" t="str">
        <f aca="false">IF($A893="","",$B893+$C893+$D893-$E893+$F893-$G893)</f>
        <v/>
      </c>
      <c r="K893" s="18" t="str">
        <f aca="false">IF($A893="","",MAX(0,$B893-$J893))</f>
        <v/>
      </c>
      <c r="L893" s="19" t="str">
        <f aca="false">IF($A893="","",IF($B893=0,0,$K893/$B893))</f>
        <v/>
      </c>
      <c r="M893" s="20" t="str">
        <f aca="false">IF($A893="","",IF($J893&lt;0,"BORCA BATIK",IF($I893&lt;$H893,"BORCA BATIK",IF($L893&gt;=TtkUcteIkiEsik,"2/3 KAYIP (KRİTİK)",IF($L893&gt;=TtkUcteBirEsik,"1/3 KAYIP (DİKKAT)","UYGUN")))))</f>
        <v/>
      </c>
    </row>
    <row r="894" customFormat="false" ht="15" hidden="false" customHeight="false" outlineLevel="0" collapsed="false">
      <c r="A894" s="21"/>
      <c r="B894" s="17"/>
      <c r="C894" s="17"/>
      <c r="D894" s="17"/>
      <c r="E894" s="17"/>
      <c r="F894" s="17"/>
      <c r="G894" s="17"/>
      <c r="H894" s="17"/>
      <c r="I894" s="17"/>
      <c r="J894" s="18" t="str">
        <f aca="false">IF($A894="","",$B894+$C894+$D894-$E894+$F894-$G894)</f>
        <v/>
      </c>
      <c r="K894" s="18" t="str">
        <f aca="false">IF($A894="","",MAX(0,$B894-$J894))</f>
        <v/>
      </c>
      <c r="L894" s="19" t="str">
        <f aca="false">IF($A894="","",IF($B894=0,0,$K894/$B894))</f>
        <v/>
      </c>
      <c r="M894" s="20" t="str">
        <f aca="false">IF($A894="","",IF($J894&lt;0,"BORCA BATIK",IF($I894&lt;$H894,"BORCA BATIK",IF($L894&gt;=TtkUcteIkiEsik,"2/3 KAYIP (KRİTİK)",IF($L894&gt;=TtkUcteBirEsik,"1/3 KAYIP (DİKKAT)","UYGUN")))))</f>
        <v/>
      </c>
    </row>
    <row r="895" customFormat="false" ht="15" hidden="false" customHeight="false" outlineLevel="0" collapsed="false">
      <c r="A895" s="21"/>
      <c r="B895" s="17"/>
      <c r="C895" s="17"/>
      <c r="D895" s="17"/>
      <c r="E895" s="17"/>
      <c r="F895" s="17"/>
      <c r="G895" s="17"/>
      <c r="H895" s="17"/>
      <c r="I895" s="17"/>
      <c r="J895" s="18" t="str">
        <f aca="false">IF($A895="","",$B895+$C895+$D895-$E895+$F895-$G895)</f>
        <v/>
      </c>
      <c r="K895" s="18" t="str">
        <f aca="false">IF($A895="","",MAX(0,$B895-$J895))</f>
        <v/>
      </c>
      <c r="L895" s="19" t="str">
        <f aca="false">IF($A895="","",IF($B895=0,0,$K895/$B895))</f>
        <v/>
      </c>
      <c r="M895" s="20" t="str">
        <f aca="false">IF($A895="","",IF($J895&lt;0,"BORCA BATIK",IF($I895&lt;$H895,"BORCA BATIK",IF($L895&gt;=TtkUcteIkiEsik,"2/3 KAYIP (KRİTİK)",IF($L895&gt;=TtkUcteBirEsik,"1/3 KAYIP (DİKKAT)","UYGUN")))))</f>
        <v/>
      </c>
    </row>
    <row r="896" customFormat="false" ht="15" hidden="false" customHeight="false" outlineLevel="0" collapsed="false">
      <c r="A896" s="21"/>
      <c r="B896" s="17"/>
      <c r="C896" s="17"/>
      <c r="D896" s="17"/>
      <c r="E896" s="17"/>
      <c r="F896" s="17"/>
      <c r="G896" s="17"/>
      <c r="H896" s="17"/>
      <c r="I896" s="17"/>
      <c r="J896" s="18" t="str">
        <f aca="false">IF($A896="","",$B896+$C896+$D896-$E896+$F896-$G896)</f>
        <v/>
      </c>
      <c r="K896" s="18" t="str">
        <f aca="false">IF($A896="","",MAX(0,$B896-$J896))</f>
        <v/>
      </c>
      <c r="L896" s="19" t="str">
        <f aca="false">IF($A896="","",IF($B896=0,0,$K896/$B896))</f>
        <v/>
      </c>
      <c r="M896" s="20" t="str">
        <f aca="false">IF($A896="","",IF($J896&lt;0,"BORCA BATIK",IF($I896&lt;$H896,"BORCA BATIK",IF($L896&gt;=TtkUcteIkiEsik,"2/3 KAYIP (KRİTİK)",IF($L896&gt;=TtkUcteBirEsik,"1/3 KAYIP (DİKKAT)","UYGUN")))))</f>
        <v/>
      </c>
    </row>
    <row r="897" customFormat="false" ht="15" hidden="false" customHeight="false" outlineLevel="0" collapsed="false">
      <c r="A897" s="21"/>
      <c r="B897" s="17"/>
      <c r="C897" s="17"/>
      <c r="D897" s="17"/>
      <c r="E897" s="17"/>
      <c r="F897" s="17"/>
      <c r="G897" s="17"/>
      <c r="H897" s="17"/>
      <c r="I897" s="17"/>
      <c r="J897" s="18" t="str">
        <f aca="false">IF($A897="","",$B897+$C897+$D897-$E897+$F897-$G897)</f>
        <v/>
      </c>
      <c r="K897" s="18" t="str">
        <f aca="false">IF($A897="","",MAX(0,$B897-$J897))</f>
        <v/>
      </c>
      <c r="L897" s="19" t="str">
        <f aca="false">IF($A897="","",IF($B897=0,0,$K897/$B897))</f>
        <v/>
      </c>
      <c r="M897" s="20" t="str">
        <f aca="false">IF($A897="","",IF($J897&lt;0,"BORCA BATIK",IF($I897&lt;$H897,"BORCA BATIK",IF($L897&gt;=TtkUcteIkiEsik,"2/3 KAYIP (KRİTİK)",IF($L897&gt;=TtkUcteBirEsik,"1/3 KAYIP (DİKKAT)","UYGUN")))))</f>
        <v/>
      </c>
    </row>
    <row r="898" customFormat="false" ht="15" hidden="false" customHeight="false" outlineLevel="0" collapsed="false">
      <c r="A898" s="21"/>
      <c r="B898" s="17"/>
      <c r="C898" s="17"/>
      <c r="D898" s="17"/>
      <c r="E898" s="17"/>
      <c r="F898" s="17"/>
      <c r="G898" s="17"/>
      <c r="H898" s="17"/>
      <c r="I898" s="17"/>
      <c r="J898" s="18" t="str">
        <f aca="false">IF($A898="","",$B898+$C898+$D898-$E898+$F898-$G898)</f>
        <v/>
      </c>
      <c r="K898" s="18" t="str">
        <f aca="false">IF($A898="","",MAX(0,$B898-$J898))</f>
        <v/>
      </c>
      <c r="L898" s="19" t="str">
        <f aca="false">IF($A898="","",IF($B898=0,0,$K898/$B898))</f>
        <v/>
      </c>
      <c r="M898" s="20" t="str">
        <f aca="false">IF($A898="","",IF($J898&lt;0,"BORCA BATIK",IF($I898&lt;$H898,"BORCA BATIK",IF($L898&gt;=TtkUcteIkiEsik,"2/3 KAYIP (KRİTİK)",IF($L898&gt;=TtkUcteBirEsik,"1/3 KAYIP (DİKKAT)","UYGUN")))))</f>
        <v/>
      </c>
    </row>
    <row r="899" customFormat="false" ht="15" hidden="false" customHeight="false" outlineLevel="0" collapsed="false">
      <c r="A899" s="21"/>
      <c r="B899" s="17"/>
      <c r="C899" s="17"/>
      <c r="D899" s="17"/>
      <c r="E899" s="17"/>
      <c r="F899" s="17"/>
      <c r="G899" s="17"/>
      <c r="H899" s="17"/>
      <c r="I899" s="17"/>
      <c r="J899" s="18" t="str">
        <f aca="false">IF($A899="","",$B899+$C899+$D899-$E899+$F899-$G899)</f>
        <v/>
      </c>
      <c r="K899" s="18" t="str">
        <f aca="false">IF($A899="","",MAX(0,$B899-$J899))</f>
        <v/>
      </c>
      <c r="L899" s="19" t="str">
        <f aca="false">IF($A899="","",IF($B899=0,0,$K899/$B899))</f>
        <v/>
      </c>
      <c r="M899" s="20" t="str">
        <f aca="false">IF($A899="","",IF($J899&lt;0,"BORCA BATIK",IF($I899&lt;$H899,"BORCA BATIK",IF($L899&gt;=TtkUcteIkiEsik,"2/3 KAYIP (KRİTİK)",IF($L899&gt;=TtkUcteBirEsik,"1/3 KAYIP (DİKKAT)","UYGUN")))))</f>
        <v/>
      </c>
    </row>
    <row r="900" customFormat="false" ht="15" hidden="false" customHeight="false" outlineLevel="0" collapsed="false">
      <c r="A900" s="21"/>
      <c r="B900" s="17"/>
      <c r="C900" s="17"/>
      <c r="D900" s="17"/>
      <c r="E900" s="17"/>
      <c r="F900" s="17"/>
      <c r="G900" s="17"/>
      <c r="H900" s="17"/>
      <c r="I900" s="17"/>
      <c r="J900" s="18" t="str">
        <f aca="false">IF($A900="","",$B900+$C900+$D900-$E900+$F900-$G900)</f>
        <v/>
      </c>
      <c r="K900" s="18" t="str">
        <f aca="false">IF($A900="","",MAX(0,$B900-$J900))</f>
        <v/>
      </c>
      <c r="L900" s="19" t="str">
        <f aca="false">IF($A900="","",IF($B900=0,0,$K900/$B900))</f>
        <v/>
      </c>
      <c r="M900" s="20" t="str">
        <f aca="false">IF($A900="","",IF($J900&lt;0,"BORCA BATIK",IF($I900&lt;$H900,"BORCA BATIK",IF($L900&gt;=TtkUcteIkiEsik,"2/3 KAYIP (KRİTİK)",IF($L900&gt;=TtkUcteBirEsik,"1/3 KAYIP (DİKKAT)","UYGUN")))))</f>
        <v/>
      </c>
    </row>
    <row r="901" customFormat="false" ht="15" hidden="false" customHeight="false" outlineLevel="0" collapsed="false">
      <c r="A901" s="21"/>
      <c r="B901" s="17"/>
      <c r="C901" s="17"/>
      <c r="D901" s="17"/>
      <c r="E901" s="17"/>
      <c r="F901" s="17"/>
      <c r="G901" s="17"/>
      <c r="H901" s="17"/>
      <c r="I901" s="17"/>
      <c r="J901" s="18" t="str">
        <f aca="false">IF($A901="","",$B901+$C901+$D901-$E901+$F901-$G901)</f>
        <v/>
      </c>
      <c r="K901" s="18" t="str">
        <f aca="false">IF($A901="","",MAX(0,$B901-$J901))</f>
        <v/>
      </c>
      <c r="L901" s="19" t="str">
        <f aca="false">IF($A901="","",IF($B901=0,0,$K901/$B901))</f>
        <v/>
      </c>
      <c r="M901" s="20" t="str">
        <f aca="false">IF($A901="","",IF($J901&lt;0,"BORCA BATIK",IF($I901&lt;$H901,"BORCA BATIK",IF($L901&gt;=TtkUcteIkiEsik,"2/3 KAYIP (KRİTİK)",IF($L901&gt;=TtkUcteBirEsik,"1/3 KAYIP (DİKKAT)","UYGUN")))))</f>
        <v/>
      </c>
    </row>
    <row r="902" customFormat="false" ht="15" hidden="false" customHeight="false" outlineLevel="0" collapsed="false">
      <c r="A902" s="21"/>
      <c r="B902" s="17"/>
      <c r="C902" s="17"/>
      <c r="D902" s="17"/>
      <c r="E902" s="17"/>
      <c r="F902" s="17"/>
      <c r="G902" s="17"/>
      <c r="H902" s="17"/>
      <c r="I902" s="17"/>
      <c r="J902" s="18" t="str">
        <f aca="false">IF($A902="","",$B902+$C902+$D902-$E902+$F902-$G902)</f>
        <v/>
      </c>
      <c r="K902" s="18" t="str">
        <f aca="false">IF($A902="","",MAX(0,$B902-$J902))</f>
        <v/>
      </c>
      <c r="L902" s="19" t="str">
        <f aca="false">IF($A902="","",IF($B902=0,0,$K902/$B902))</f>
        <v/>
      </c>
      <c r="M902" s="20" t="str">
        <f aca="false">IF($A902="","",IF($J902&lt;0,"BORCA BATIK",IF($I902&lt;$H902,"BORCA BATIK",IF($L902&gt;=TtkUcteIkiEsik,"2/3 KAYIP (KRİTİK)",IF($L902&gt;=TtkUcteBirEsik,"1/3 KAYIP (DİKKAT)","UYGUN")))))</f>
        <v/>
      </c>
    </row>
    <row r="903" customFormat="false" ht="15" hidden="false" customHeight="false" outlineLevel="0" collapsed="false">
      <c r="A903" s="21"/>
      <c r="B903" s="17"/>
      <c r="C903" s="17"/>
      <c r="D903" s="17"/>
      <c r="E903" s="17"/>
      <c r="F903" s="17"/>
      <c r="G903" s="17"/>
      <c r="H903" s="17"/>
      <c r="I903" s="17"/>
      <c r="J903" s="18" t="str">
        <f aca="false">IF($A903="","",$B903+$C903+$D903-$E903+$F903-$G903)</f>
        <v/>
      </c>
      <c r="K903" s="18" t="str">
        <f aca="false">IF($A903="","",MAX(0,$B903-$J903))</f>
        <v/>
      </c>
      <c r="L903" s="19" t="str">
        <f aca="false">IF($A903="","",IF($B903=0,0,$K903/$B903))</f>
        <v/>
      </c>
      <c r="M903" s="20" t="str">
        <f aca="false">IF($A903="","",IF($J903&lt;0,"BORCA BATIK",IF($I903&lt;$H903,"BORCA BATIK",IF($L903&gt;=TtkUcteIkiEsik,"2/3 KAYIP (KRİTİK)",IF($L903&gt;=TtkUcteBirEsik,"1/3 KAYIP (DİKKAT)","UYGUN")))))</f>
        <v/>
      </c>
    </row>
    <row r="904" customFormat="false" ht="15" hidden="false" customHeight="false" outlineLevel="0" collapsed="false">
      <c r="A904" s="21"/>
      <c r="B904" s="17"/>
      <c r="C904" s="17"/>
      <c r="D904" s="17"/>
      <c r="E904" s="17"/>
      <c r="F904" s="17"/>
      <c r="G904" s="17"/>
      <c r="H904" s="17"/>
      <c r="I904" s="17"/>
      <c r="J904" s="18" t="str">
        <f aca="false">IF($A904="","",$B904+$C904+$D904-$E904+$F904-$G904)</f>
        <v/>
      </c>
      <c r="K904" s="18" t="str">
        <f aca="false">IF($A904="","",MAX(0,$B904-$J904))</f>
        <v/>
      </c>
      <c r="L904" s="19" t="str">
        <f aca="false">IF($A904="","",IF($B904=0,0,$K904/$B904))</f>
        <v/>
      </c>
      <c r="M904" s="20" t="str">
        <f aca="false">IF($A904="","",IF($J904&lt;0,"BORCA BATIK",IF($I904&lt;$H904,"BORCA BATIK",IF($L904&gt;=TtkUcteIkiEsik,"2/3 KAYIP (KRİTİK)",IF($L904&gt;=TtkUcteBirEsik,"1/3 KAYIP (DİKKAT)","UYGUN")))))</f>
        <v/>
      </c>
    </row>
    <row r="905" customFormat="false" ht="15" hidden="false" customHeight="false" outlineLevel="0" collapsed="false">
      <c r="A905" s="21"/>
      <c r="B905" s="17"/>
      <c r="C905" s="17"/>
      <c r="D905" s="17"/>
      <c r="E905" s="17"/>
      <c r="F905" s="17"/>
      <c r="G905" s="17"/>
      <c r="H905" s="17"/>
      <c r="I905" s="17"/>
      <c r="J905" s="18" t="str">
        <f aca="false">IF($A905="","",$B905+$C905+$D905-$E905+$F905-$G905)</f>
        <v/>
      </c>
      <c r="K905" s="18" t="str">
        <f aca="false">IF($A905="","",MAX(0,$B905-$J905))</f>
        <v/>
      </c>
      <c r="L905" s="19" t="str">
        <f aca="false">IF($A905="","",IF($B905=0,0,$K905/$B905))</f>
        <v/>
      </c>
      <c r="M905" s="20" t="str">
        <f aca="false">IF($A905="","",IF($J905&lt;0,"BORCA BATIK",IF($I905&lt;$H905,"BORCA BATIK",IF($L905&gt;=TtkUcteIkiEsik,"2/3 KAYIP (KRİTİK)",IF($L905&gt;=TtkUcteBirEsik,"1/3 KAYIP (DİKKAT)","UYGUN")))))</f>
        <v/>
      </c>
    </row>
    <row r="906" customFormat="false" ht="15" hidden="false" customHeight="false" outlineLevel="0" collapsed="false">
      <c r="A906" s="21"/>
      <c r="B906" s="17"/>
      <c r="C906" s="17"/>
      <c r="D906" s="17"/>
      <c r="E906" s="17"/>
      <c r="F906" s="17"/>
      <c r="G906" s="17"/>
      <c r="H906" s="17"/>
      <c r="I906" s="17"/>
      <c r="J906" s="18" t="str">
        <f aca="false">IF($A906="","",$B906+$C906+$D906-$E906+$F906-$G906)</f>
        <v/>
      </c>
      <c r="K906" s="18" t="str">
        <f aca="false">IF($A906="","",MAX(0,$B906-$J906))</f>
        <v/>
      </c>
      <c r="L906" s="19" t="str">
        <f aca="false">IF($A906="","",IF($B906=0,0,$K906/$B906))</f>
        <v/>
      </c>
      <c r="M906" s="20" t="str">
        <f aca="false">IF($A906="","",IF($J906&lt;0,"BORCA BATIK",IF($I906&lt;$H906,"BORCA BATIK",IF($L906&gt;=TtkUcteIkiEsik,"2/3 KAYIP (KRİTİK)",IF($L906&gt;=TtkUcteBirEsik,"1/3 KAYIP (DİKKAT)","UYGUN")))))</f>
        <v/>
      </c>
    </row>
    <row r="907" customFormat="false" ht="15" hidden="false" customHeight="false" outlineLevel="0" collapsed="false">
      <c r="A907" s="21"/>
      <c r="B907" s="17"/>
      <c r="C907" s="17"/>
      <c r="D907" s="17"/>
      <c r="E907" s="17"/>
      <c r="F907" s="17"/>
      <c r="G907" s="17"/>
      <c r="H907" s="17"/>
      <c r="I907" s="17"/>
      <c r="J907" s="18" t="str">
        <f aca="false">IF($A907="","",$B907+$C907+$D907-$E907+$F907-$G907)</f>
        <v/>
      </c>
      <c r="K907" s="18" t="str">
        <f aca="false">IF($A907="","",MAX(0,$B907-$J907))</f>
        <v/>
      </c>
      <c r="L907" s="19" t="str">
        <f aca="false">IF($A907="","",IF($B907=0,0,$K907/$B907))</f>
        <v/>
      </c>
      <c r="M907" s="20" t="str">
        <f aca="false">IF($A907="","",IF($J907&lt;0,"BORCA BATIK",IF($I907&lt;$H907,"BORCA BATIK",IF($L907&gt;=TtkUcteIkiEsik,"2/3 KAYIP (KRİTİK)",IF($L907&gt;=TtkUcteBirEsik,"1/3 KAYIP (DİKKAT)","UYGUN")))))</f>
        <v/>
      </c>
    </row>
    <row r="908" customFormat="false" ht="15" hidden="false" customHeight="false" outlineLevel="0" collapsed="false">
      <c r="A908" s="21"/>
      <c r="B908" s="17"/>
      <c r="C908" s="17"/>
      <c r="D908" s="17"/>
      <c r="E908" s="17"/>
      <c r="F908" s="17"/>
      <c r="G908" s="17"/>
      <c r="H908" s="17"/>
      <c r="I908" s="17"/>
      <c r="J908" s="18" t="str">
        <f aca="false">IF($A908="","",$B908+$C908+$D908-$E908+$F908-$G908)</f>
        <v/>
      </c>
      <c r="K908" s="18" t="str">
        <f aca="false">IF($A908="","",MAX(0,$B908-$J908))</f>
        <v/>
      </c>
      <c r="L908" s="19" t="str">
        <f aca="false">IF($A908="","",IF($B908=0,0,$K908/$B908))</f>
        <v/>
      </c>
      <c r="M908" s="20" t="str">
        <f aca="false">IF($A908="","",IF($J908&lt;0,"BORCA BATIK",IF($I908&lt;$H908,"BORCA BATIK",IF($L908&gt;=TtkUcteIkiEsik,"2/3 KAYIP (KRİTİK)",IF($L908&gt;=TtkUcteBirEsik,"1/3 KAYIP (DİKKAT)","UYGUN")))))</f>
        <v/>
      </c>
    </row>
    <row r="909" customFormat="false" ht="15" hidden="false" customHeight="false" outlineLevel="0" collapsed="false">
      <c r="A909" s="21"/>
      <c r="B909" s="17"/>
      <c r="C909" s="17"/>
      <c r="D909" s="17"/>
      <c r="E909" s="17"/>
      <c r="F909" s="17"/>
      <c r="G909" s="17"/>
      <c r="H909" s="17"/>
      <c r="I909" s="17"/>
      <c r="J909" s="18" t="str">
        <f aca="false">IF($A909="","",$B909+$C909+$D909-$E909+$F909-$G909)</f>
        <v/>
      </c>
      <c r="K909" s="18" t="str">
        <f aca="false">IF($A909="","",MAX(0,$B909-$J909))</f>
        <v/>
      </c>
      <c r="L909" s="19" t="str">
        <f aca="false">IF($A909="","",IF($B909=0,0,$K909/$B909))</f>
        <v/>
      </c>
      <c r="M909" s="20" t="str">
        <f aca="false">IF($A909="","",IF($J909&lt;0,"BORCA BATIK",IF($I909&lt;$H909,"BORCA BATIK",IF($L909&gt;=TtkUcteIkiEsik,"2/3 KAYIP (KRİTİK)",IF($L909&gt;=TtkUcteBirEsik,"1/3 KAYIP (DİKKAT)","UYGUN")))))</f>
        <v/>
      </c>
    </row>
    <row r="910" customFormat="false" ht="15" hidden="false" customHeight="false" outlineLevel="0" collapsed="false">
      <c r="A910" s="21"/>
      <c r="B910" s="17"/>
      <c r="C910" s="17"/>
      <c r="D910" s="17"/>
      <c r="E910" s="17"/>
      <c r="F910" s="17"/>
      <c r="G910" s="17"/>
      <c r="H910" s="17"/>
      <c r="I910" s="17"/>
      <c r="J910" s="18" t="str">
        <f aca="false">IF($A910="","",$B910+$C910+$D910-$E910+$F910-$G910)</f>
        <v/>
      </c>
      <c r="K910" s="18" t="str">
        <f aca="false">IF($A910="","",MAX(0,$B910-$J910))</f>
        <v/>
      </c>
      <c r="L910" s="19" t="str">
        <f aca="false">IF($A910="","",IF($B910=0,0,$K910/$B910))</f>
        <v/>
      </c>
      <c r="M910" s="20" t="str">
        <f aca="false">IF($A910="","",IF($J910&lt;0,"BORCA BATIK",IF($I910&lt;$H910,"BORCA BATIK",IF($L910&gt;=TtkUcteIkiEsik,"2/3 KAYIP (KRİTİK)",IF($L910&gt;=TtkUcteBirEsik,"1/3 KAYIP (DİKKAT)","UYGUN")))))</f>
        <v/>
      </c>
    </row>
    <row r="911" customFormat="false" ht="15" hidden="false" customHeight="false" outlineLevel="0" collapsed="false">
      <c r="A911" s="21"/>
      <c r="B911" s="17"/>
      <c r="C911" s="17"/>
      <c r="D911" s="17"/>
      <c r="E911" s="17"/>
      <c r="F911" s="17"/>
      <c r="G911" s="17"/>
      <c r="H911" s="17"/>
      <c r="I911" s="17"/>
      <c r="J911" s="18" t="str">
        <f aca="false">IF($A911="","",$B911+$C911+$D911-$E911+$F911-$G911)</f>
        <v/>
      </c>
      <c r="K911" s="18" t="str">
        <f aca="false">IF($A911="","",MAX(0,$B911-$J911))</f>
        <v/>
      </c>
      <c r="L911" s="19" t="str">
        <f aca="false">IF($A911="","",IF($B911=0,0,$K911/$B911))</f>
        <v/>
      </c>
      <c r="M911" s="20" t="str">
        <f aca="false">IF($A911="","",IF($J911&lt;0,"BORCA BATIK",IF($I911&lt;$H911,"BORCA BATIK",IF($L911&gt;=TtkUcteIkiEsik,"2/3 KAYIP (KRİTİK)",IF($L911&gt;=TtkUcteBirEsik,"1/3 KAYIP (DİKKAT)","UYGUN")))))</f>
        <v/>
      </c>
    </row>
    <row r="912" customFormat="false" ht="15" hidden="false" customHeight="false" outlineLevel="0" collapsed="false">
      <c r="A912" s="21"/>
      <c r="B912" s="17"/>
      <c r="C912" s="17"/>
      <c r="D912" s="17"/>
      <c r="E912" s="17"/>
      <c r="F912" s="17"/>
      <c r="G912" s="17"/>
      <c r="H912" s="17"/>
      <c r="I912" s="17"/>
      <c r="J912" s="18" t="str">
        <f aca="false">IF($A912="","",$B912+$C912+$D912-$E912+$F912-$G912)</f>
        <v/>
      </c>
      <c r="K912" s="18" t="str">
        <f aca="false">IF($A912="","",MAX(0,$B912-$J912))</f>
        <v/>
      </c>
      <c r="L912" s="19" t="str">
        <f aca="false">IF($A912="","",IF($B912=0,0,$K912/$B912))</f>
        <v/>
      </c>
      <c r="M912" s="20" t="str">
        <f aca="false">IF($A912="","",IF($J912&lt;0,"BORCA BATIK",IF($I912&lt;$H912,"BORCA BATIK",IF($L912&gt;=TtkUcteIkiEsik,"2/3 KAYIP (KRİTİK)",IF($L912&gt;=TtkUcteBirEsik,"1/3 KAYIP (DİKKAT)","UYGUN")))))</f>
        <v/>
      </c>
    </row>
    <row r="913" customFormat="false" ht="15" hidden="false" customHeight="false" outlineLevel="0" collapsed="false">
      <c r="A913" s="21"/>
      <c r="B913" s="17"/>
      <c r="C913" s="17"/>
      <c r="D913" s="17"/>
      <c r="E913" s="17"/>
      <c r="F913" s="17"/>
      <c r="G913" s="17"/>
      <c r="H913" s="17"/>
      <c r="I913" s="17"/>
      <c r="J913" s="18" t="str">
        <f aca="false">IF($A913="","",$B913+$C913+$D913-$E913+$F913-$G913)</f>
        <v/>
      </c>
      <c r="K913" s="18" t="str">
        <f aca="false">IF($A913="","",MAX(0,$B913-$J913))</f>
        <v/>
      </c>
      <c r="L913" s="19" t="str">
        <f aca="false">IF($A913="","",IF($B913=0,0,$K913/$B913))</f>
        <v/>
      </c>
      <c r="M913" s="20" t="str">
        <f aca="false">IF($A913="","",IF($J913&lt;0,"BORCA BATIK",IF($I913&lt;$H913,"BORCA BATIK",IF($L913&gt;=TtkUcteIkiEsik,"2/3 KAYIP (KRİTİK)",IF($L913&gt;=TtkUcteBirEsik,"1/3 KAYIP (DİKKAT)","UYGUN")))))</f>
        <v/>
      </c>
    </row>
    <row r="914" customFormat="false" ht="15" hidden="false" customHeight="false" outlineLevel="0" collapsed="false">
      <c r="A914" s="21"/>
      <c r="B914" s="17"/>
      <c r="C914" s="17"/>
      <c r="D914" s="17"/>
      <c r="E914" s="17"/>
      <c r="F914" s="17"/>
      <c r="G914" s="17"/>
      <c r="H914" s="17"/>
      <c r="I914" s="17"/>
      <c r="J914" s="18" t="str">
        <f aca="false">IF($A914="","",$B914+$C914+$D914-$E914+$F914-$G914)</f>
        <v/>
      </c>
      <c r="K914" s="18" t="str">
        <f aca="false">IF($A914="","",MAX(0,$B914-$J914))</f>
        <v/>
      </c>
      <c r="L914" s="19" t="str">
        <f aca="false">IF($A914="","",IF($B914=0,0,$K914/$B914))</f>
        <v/>
      </c>
      <c r="M914" s="20" t="str">
        <f aca="false">IF($A914="","",IF($J914&lt;0,"BORCA BATIK",IF($I914&lt;$H914,"BORCA BATIK",IF($L914&gt;=TtkUcteIkiEsik,"2/3 KAYIP (KRİTİK)",IF($L914&gt;=TtkUcteBirEsik,"1/3 KAYIP (DİKKAT)","UYGUN")))))</f>
        <v/>
      </c>
    </row>
    <row r="915" customFormat="false" ht="15" hidden="false" customHeight="false" outlineLevel="0" collapsed="false">
      <c r="A915" s="21"/>
      <c r="B915" s="17"/>
      <c r="C915" s="17"/>
      <c r="D915" s="17"/>
      <c r="E915" s="17"/>
      <c r="F915" s="17"/>
      <c r="G915" s="17"/>
      <c r="H915" s="17"/>
      <c r="I915" s="17"/>
      <c r="J915" s="18" t="str">
        <f aca="false">IF($A915="","",$B915+$C915+$D915-$E915+$F915-$G915)</f>
        <v/>
      </c>
      <c r="K915" s="18" t="str">
        <f aca="false">IF($A915="","",MAX(0,$B915-$J915))</f>
        <v/>
      </c>
      <c r="L915" s="19" t="str">
        <f aca="false">IF($A915="","",IF($B915=0,0,$K915/$B915))</f>
        <v/>
      </c>
      <c r="M915" s="20" t="str">
        <f aca="false">IF($A915="","",IF($J915&lt;0,"BORCA BATIK",IF($I915&lt;$H915,"BORCA BATIK",IF($L915&gt;=TtkUcteIkiEsik,"2/3 KAYIP (KRİTİK)",IF($L915&gt;=TtkUcteBirEsik,"1/3 KAYIP (DİKKAT)","UYGUN")))))</f>
        <v/>
      </c>
    </row>
    <row r="916" customFormat="false" ht="15" hidden="false" customHeight="false" outlineLevel="0" collapsed="false">
      <c r="A916" s="21"/>
      <c r="B916" s="17"/>
      <c r="C916" s="17"/>
      <c r="D916" s="17"/>
      <c r="E916" s="17"/>
      <c r="F916" s="17"/>
      <c r="G916" s="17"/>
      <c r="H916" s="17"/>
      <c r="I916" s="17"/>
      <c r="J916" s="18" t="str">
        <f aca="false">IF($A916="","",$B916+$C916+$D916-$E916+$F916-$G916)</f>
        <v/>
      </c>
      <c r="K916" s="18" t="str">
        <f aca="false">IF($A916="","",MAX(0,$B916-$J916))</f>
        <v/>
      </c>
      <c r="L916" s="19" t="str">
        <f aca="false">IF($A916="","",IF($B916=0,0,$K916/$B916))</f>
        <v/>
      </c>
      <c r="M916" s="20" t="str">
        <f aca="false">IF($A916="","",IF($J916&lt;0,"BORCA BATIK",IF($I916&lt;$H916,"BORCA BATIK",IF($L916&gt;=TtkUcteIkiEsik,"2/3 KAYIP (KRİTİK)",IF($L916&gt;=TtkUcteBirEsik,"1/3 KAYIP (DİKKAT)","UYGUN")))))</f>
        <v/>
      </c>
    </row>
    <row r="917" customFormat="false" ht="15" hidden="false" customHeight="false" outlineLevel="0" collapsed="false">
      <c r="A917" s="21"/>
      <c r="B917" s="17"/>
      <c r="C917" s="17"/>
      <c r="D917" s="17"/>
      <c r="E917" s="17"/>
      <c r="F917" s="17"/>
      <c r="G917" s="17"/>
      <c r="H917" s="17"/>
      <c r="I917" s="17"/>
      <c r="J917" s="18" t="str">
        <f aca="false">IF($A917="","",$B917+$C917+$D917-$E917+$F917-$G917)</f>
        <v/>
      </c>
      <c r="K917" s="18" t="str">
        <f aca="false">IF($A917="","",MAX(0,$B917-$J917))</f>
        <v/>
      </c>
      <c r="L917" s="19" t="str">
        <f aca="false">IF($A917="","",IF($B917=0,0,$K917/$B917))</f>
        <v/>
      </c>
      <c r="M917" s="20" t="str">
        <f aca="false">IF($A917="","",IF($J917&lt;0,"BORCA BATIK",IF($I917&lt;$H917,"BORCA BATIK",IF($L917&gt;=TtkUcteIkiEsik,"2/3 KAYIP (KRİTİK)",IF($L917&gt;=TtkUcteBirEsik,"1/3 KAYIP (DİKKAT)","UYGUN")))))</f>
        <v/>
      </c>
    </row>
    <row r="918" customFormat="false" ht="15" hidden="false" customHeight="false" outlineLevel="0" collapsed="false">
      <c r="A918" s="21"/>
      <c r="B918" s="17"/>
      <c r="C918" s="17"/>
      <c r="D918" s="17"/>
      <c r="E918" s="17"/>
      <c r="F918" s="17"/>
      <c r="G918" s="17"/>
      <c r="H918" s="17"/>
      <c r="I918" s="17"/>
      <c r="J918" s="18" t="str">
        <f aca="false">IF($A918="","",$B918+$C918+$D918-$E918+$F918-$G918)</f>
        <v/>
      </c>
      <c r="K918" s="18" t="str">
        <f aca="false">IF($A918="","",MAX(0,$B918-$J918))</f>
        <v/>
      </c>
      <c r="L918" s="19" t="str">
        <f aca="false">IF($A918="","",IF($B918=0,0,$K918/$B918))</f>
        <v/>
      </c>
      <c r="M918" s="20" t="str">
        <f aca="false">IF($A918="","",IF($J918&lt;0,"BORCA BATIK",IF($I918&lt;$H918,"BORCA BATIK",IF($L918&gt;=TtkUcteIkiEsik,"2/3 KAYIP (KRİTİK)",IF($L918&gt;=TtkUcteBirEsik,"1/3 KAYIP (DİKKAT)","UYGUN")))))</f>
        <v/>
      </c>
    </row>
    <row r="919" customFormat="false" ht="15" hidden="false" customHeight="false" outlineLevel="0" collapsed="false">
      <c r="A919" s="21"/>
      <c r="B919" s="17"/>
      <c r="C919" s="17"/>
      <c r="D919" s="17"/>
      <c r="E919" s="17"/>
      <c r="F919" s="17"/>
      <c r="G919" s="17"/>
      <c r="H919" s="17"/>
      <c r="I919" s="17"/>
      <c r="J919" s="18" t="str">
        <f aca="false">IF($A919="","",$B919+$C919+$D919-$E919+$F919-$G919)</f>
        <v/>
      </c>
      <c r="K919" s="18" t="str">
        <f aca="false">IF($A919="","",MAX(0,$B919-$J919))</f>
        <v/>
      </c>
      <c r="L919" s="19" t="str">
        <f aca="false">IF($A919="","",IF($B919=0,0,$K919/$B919))</f>
        <v/>
      </c>
      <c r="M919" s="20" t="str">
        <f aca="false">IF($A919="","",IF($J919&lt;0,"BORCA BATIK",IF($I919&lt;$H919,"BORCA BATIK",IF($L919&gt;=TtkUcteIkiEsik,"2/3 KAYIP (KRİTİK)",IF($L919&gt;=TtkUcteBirEsik,"1/3 KAYIP (DİKKAT)","UYGUN")))))</f>
        <v/>
      </c>
    </row>
    <row r="920" customFormat="false" ht="15" hidden="false" customHeight="false" outlineLevel="0" collapsed="false">
      <c r="A920" s="21"/>
      <c r="B920" s="17"/>
      <c r="C920" s="17"/>
      <c r="D920" s="17"/>
      <c r="E920" s="17"/>
      <c r="F920" s="17"/>
      <c r="G920" s="17"/>
      <c r="H920" s="17"/>
      <c r="I920" s="17"/>
      <c r="J920" s="18" t="str">
        <f aca="false">IF($A920="","",$B920+$C920+$D920-$E920+$F920-$G920)</f>
        <v/>
      </c>
      <c r="K920" s="18" t="str">
        <f aca="false">IF($A920="","",MAX(0,$B920-$J920))</f>
        <v/>
      </c>
      <c r="L920" s="19" t="str">
        <f aca="false">IF($A920="","",IF($B920=0,0,$K920/$B920))</f>
        <v/>
      </c>
      <c r="M920" s="20" t="str">
        <f aca="false">IF($A920="","",IF($J920&lt;0,"BORCA BATIK",IF($I920&lt;$H920,"BORCA BATIK",IF($L920&gt;=TtkUcteIkiEsik,"2/3 KAYIP (KRİTİK)",IF($L920&gt;=TtkUcteBirEsik,"1/3 KAYIP (DİKKAT)","UYGUN")))))</f>
        <v/>
      </c>
    </row>
    <row r="921" customFormat="false" ht="15" hidden="false" customHeight="false" outlineLevel="0" collapsed="false">
      <c r="A921" s="21"/>
      <c r="B921" s="17"/>
      <c r="C921" s="17"/>
      <c r="D921" s="17"/>
      <c r="E921" s="17"/>
      <c r="F921" s="17"/>
      <c r="G921" s="17"/>
      <c r="H921" s="17"/>
      <c r="I921" s="17"/>
      <c r="J921" s="18" t="str">
        <f aca="false">IF($A921="","",$B921+$C921+$D921-$E921+$F921-$G921)</f>
        <v/>
      </c>
      <c r="K921" s="18" t="str">
        <f aca="false">IF($A921="","",MAX(0,$B921-$J921))</f>
        <v/>
      </c>
      <c r="L921" s="19" t="str">
        <f aca="false">IF($A921="","",IF($B921=0,0,$K921/$B921))</f>
        <v/>
      </c>
      <c r="M921" s="20" t="str">
        <f aca="false">IF($A921="","",IF($J921&lt;0,"BORCA BATIK",IF($I921&lt;$H921,"BORCA BATIK",IF($L921&gt;=TtkUcteIkiEsik,"2/3 KAYIP (KRİTİK)",IF($L921&gt;=TtkUcteBirEsik,"1/3 KAYIP (DİKKAT)","UYGUN")))))</f>
        <v/>
      </c>
    </row>
    <row r="922" customFormat="false" ht="15" hidden="false" customHeight="false" outlineLevel="0" collapsed="false">
      <c r="A922" s="21"/>
      <c r="B922" s="17"/>
      <c r="C922" s="17"/>
      <c r="D922" s="17"/>
      <c r="E922" s="17"/>
      <c r="F922" s="17"/>
      <c r="G922" s="17"/>
      <c r="H922" s="17"/>
      <c r="I922" s="17"/>
      <c r="J922" s="18" t="str">
        <f aca="false">IF($A922="","",$B922+$C922+$D922-$E922+$F922-$G922)</f>
        <v/>
      </c>
      <c r="K922" s="18" t="str">
        <f aca="false">IF($A922="","",MAX(0,$B922-$J922))</f>
        <v/>
      </c>
      <c r="L922" s="19" t="str">
        <f aca="false">IF($A922="","",IF($B922=0,0,$K922/$B922))</f>
        <v/>
      </c>
      <c r="M922" s="20" t="str">
        <f aca="false">IF($A922="","",IF($J922&lt;0,"BORCA BATIK",IF($I922&lt;$H922,"BORCA BATIK",IF($L922&gt;=TtkUcteIkiEsik,"2/3 KAYIP (KRİTİK)",IF($L922&gt;=TtkUcteBirEsik,"1/3 KAYIP (DİKKAT)","UYGUN")))))</f>
        <v/>
      </c>
    </row>
    <row r="923" customFormat="false" ht="15" hidden="false" customHeight="false" outlineLevel="0" collapsed="false">
      <c r="A923" s="21"/>
      <c r="B923" s="17"/>
      <c r="C923" s="17"/>
      <c r="D923" s="17"/>
      <c r="E923" s="17"/>
      <c r="F923" s="17"/>
      <c r="G923" s="17"/>
      <c r="H923" s="17"/>
      <c r="I923" s="17"/>
      <c r="J923" s="18" t="str">
        <f aca="false">IF($A923="","",$B923+$C923+$D923-$E923+$F923-$G923)</f>
        <v/>
      </c>
      <c r="K923" s="18" t="str">
        <f aca="false">IF($A923="","",MAX(0,$B923-$J923))</f>
        <v/>
      </c>
      <c r="L923" s="19" t="str">
        <f aca="false">IF($A923="","",IF($B923=0,0,$K923/$B923))</f>
        <v/>
      </c>
      <c r="M923" s="20" t="str">
        <f aca="false">IF($A923="","",IF($J923&lt;0,"BORCA BATIK",IF($I923&lt;$H923,"BORCA BATIK",IF($L923&gt;=TtkUcteIkiEsik,"2/3 KAYIP (KRİTİK)",IF($L923&gt;=TtkUcteBirEsik,"1/3 KAYIP (DİKKAT)","UYGUN")))))</f>
        <v/>
      </c>
    </row>
    <row r="924" customFormat="false" ht="15" hidden="false" customHeight="false" outlineLevel="0" collapsed="false">
      <c r="A924" s="21"/>
      <c r="B924" s="17"/>
      <c r="C924" s="17"/>
      <c r="D924" s="17"/>
      <c r="E924" s="17"/>
      <c r="F924" s="17"/>
      <c r="G924" s="17"/>
      <c r="H924" s="17"/>
      <c r="I924" s="17"/>
      <c r="J924" s="18" t="str">
        <f aca="false">IF($A924="","",$B924+$C924+$D924-$E924+$F924-$G924)</f>
        <v/>
      </c>
      <c r="K924" s="18" t="str">
        <f aca="false">IF($A924="","",MAX(0,$B924-$J924))</f>
        <v/>
      </c>
      <c r="L924" s="19" t="str">
        <f aca="false">IF($A924="","",IF($B924=0,0,$K924/$B924))</f>
        <v/>
      </c>
      <c r="M924" s="20" t="str">
        <f aca="false">IF($A924="","",IF($J924&lt;0,"BORCA BATIK",IF($I924&lt;$H924,"BORCA BATIK",IF($L924&gt;=TtkUcteIkiEsik,"2/3 KAYIP (KRİTİK)",IF($L924&gt;=TtkUcteBirEsik,"1/3 KAYIP (DİKKAT)","UYGUN")))))</f>
        <v/>
      </c>
    </row>
    <row r="925" customFormat="false" ht="15" hidden="false" customHeight="false" outlineLevel="0" collapsed="false">
      <c r="A925" s="21"/>
      <c r="B925" s="17"/>
      <c r="C925" s="17"/>
      <c r="D925" s="17"/>
      <c r="E925" s="17"/>
      <c r="F925" s="17"/>
      <c r="G925" s="17"/>
      <c r="H925" s="17"/>
      <c r="I925" s="17"/>
      <c r="J925" s="18" t="str">
        <f aca="false">IF($A925="","",$B925+$C925+$D925-$E925+$F925-$G925)</f>
        <v/>
      </c>
      <c r="K925" s="18" t="str">
        <f aca="false">IF($A925="","",MAX(0,$B925-$J925))</f>
        <v/>
      </c>
      <c r="L925" s="19" t="str">
        <f aca="false">IF($A925="","",IF($B925=0,0,$K925/$B925))</f>
        <v/>
      </c>
      <c r="M925" s="20" t="str">
        <f aca="false">IF($A925="","",IF($J925&lt;0,"BORCA BATIK",IF($I925&lt;$H925,"BORCA BATIK",IF($L925&gt;=TtkUcteIkiEsik,"2/3 KAYIP (KRİTİK)",IF($L925&gt;=TtkUcteBirEsik,"1/3 KAYIP (DİKKAT)","UYGUN")))))</f>
        <v/>
      </c>
    </row>
    <row r="926" customFormat="false" ht="15" hidden="false" customHeight="false" outlineLevel="0" collapsed="false">
      <c r="A926" s="21"/>
      <c r="B926" s="17"/>
      <c r="C926" s="17"/>
      <c r="D926" s="17"/>
      <c r="E926" s="17"/>
      <c r="F926" s="17"/>
      <c r="G926" s="17"/>
      <c r="H926" s="17"/>
      <c r="I926" s="17"/>
      <c r="J926" s="18" t="str">
        <f aca="false">IF($A926="","",$B926+$C926+$D926-$E926+$F926-$G926)</f>
        <v/>
      </c>
      <c r="K926" s="18" t="str">
        <f aca="false">IF($A926="","",MAX(0,$B926-$J926))</f>
        <v/>
      </c>
      <c r="L926" s="19" t="str">
        <f aca="false">IF($A926="","",IF($B926=0,0,$K926/$B926))</f>
        <v/>
      </c>
      <c r="M926" s="20" t="str">
        <f aca="false">IF($A926="","",IF($J926&lt;0,"BORCA BATIK",IF($I926&lt;$H926,"BORCA BATIK",IF($L926&gt;=TtkUcteIkiEsik,"2/3 KAYIP (KRİTİK)",IF($L926&gt;=TtkUcteBirEsik,"1/3 KAYIP (DİKKAT)","UYGUN")))))</f>
        <v/>
      </c>
    </row>
    <row r="927" customFormat="false" ht="15" hidden="false" customHeight="false" outlineLevel="0" collapsed="false">
      <c r="A927" s="21"/>
      <c r="B927" s="17"/>
      <c r="C927" s="17"/>
      <c r="D927" s="17"/>
      <c r="E927" s="17"/>
      <c r="F927" s="17"/>
      <c r="G927" s="17"/>
      <c r="H927" s="17"/>
      <c r="I927" s="17"/>
      <c r="J927" s="18" t="str">
        <f aca="false">IF($A927="","",$B927+$C927+$D927-$E927+$F927-$G927)</f>
        <v/>
      </c>
      <c r="K927" s="18" t="str">
        <f aca="false">IF($A927="","",MAX(0,$B927-$J927))</f>
        <v/>
      </c>
      <c r="L927" s="19" t="str">
        <f aca="false">IF($A927="","",IF($B927=0,0,$K927/$B927))</f>
        <v/>
      </c>
      <c r="M927" s="20" t="str">
        <f aca="false">IF($A927="","",IF($J927&lt;0,"BORCA BATIK",IF($I927&lt;$H927,"BORCA BATIK",IF($L927&gt;=TtkUcteIkiEsik,"2/3 KAYIP (KRİTİK)",IF($L927&gt;=TtkUcteBirEsik,"1/3 KAYIP (DİKKAT)","UYGUN")))))</f>
        <v/>
      </c>
    </row>
    <row r="928" customFormat="false" ht="15" hidden="false" customHeight="false" outlineLevel="0" collapsed="false">
      <c r="A928" s="21"/>
      <c r="B928" s="17"/>
      <c r="C928" s="17"/>
      <c r="D928" s="17"/>
      <c r="E928" s="17"/>
      <c r="F928" s="17"/>
      <c r="G928" s="17"/>
      <c r="H928" s="17"/>
      <c r="I928" s="17"/>
      <c r="J928" s="18" t="str">
        <f aca="false">IF($A928="","",$B928+$C928+$D928-$E928+$F928-$G928)</f>
        <v/>
      </c>
      <c r="K928" s="18" t="str">
        <f aca="false">IF($A928="","",MAX(0,$B928-$J928))</f>
        <v/>
      </c>
      <c r="L928" s="19" t="str">
        <f aca="false">IF($A928="","",IF($B928=0,0,$K928/$B928))</f>
        <v/>
      </c>
      <c r="M928" s="20" t="str">
        <f aca="false">IF($A928="","",IF($J928&lt;0,"BORCA BATIK",IF($I928&lt;$H928,"BORCA BATIK",IF($L928&gt;=TtkUcteIkiEsik,"2/3 KAYIP (KRİTİK)",IF($L928&gt;=TtkUcteBirEsik,"1/3 KAYIP (DİKKAT)","UYGUN")))))</f>
        <v/>
      </c>
    </row>
    <row r="929" customFormat="false" ht="15" hidden="false" customHeight="false" outlineLevel="0" collapsed="false">
      <c r="A929" s="21"/>
      <c r="B929" s="17"/>
      <c r="C929" s="17"/>
      <c r="D929" s="17"/>
      <c r="E929" s="17"/>
      <c r="F929" s="17"/>
      <c r="G929" s="17"/>
      <c r="H929" s="17"/>
      <c r="I929" s="17"/>
      <c r="J929" s="18" t="str">
        <f aca="false">IF($A929="","",$B929+$C929+$D929-$E929+$F929-$G929)</f>
        <v/>
      </c>
      <c r="K929" s="18" t="str">
        <f aca="false">IF($A929="","",MAX(0,$B929-$J929))</f>
        <v/>
      </c>
      <c r="L929" s="19" t="str">
        <f aca="false">IF($A929="","",IF($B929=0,0,$K929/$B929))</f>
        <v/>
      </c>
      <c r="M929" s="20" t="str">
        <f aca="false">IF($A929="","",IF($J929&lt;0,"BORCA BATIK",IF($I929&lt;$H929,"BORCA BATIK",IF($L929&gt;=TtkUcteIkiEsik,"2/3 KAYIP (KRİTİK)",IF($L929&gt;=TtkUcteBirEsik,"1/3 KAYIP (DİKKAT)","UYGUN")))))</f>
        <v/>
      </c>
    </row>
    <row r="930" customFormat="false" ht="15" hidden="false" customHeight="false" outlineLevel="0" collapsed="false">
      <c r="A930" s="21"/>
      <c r="B930" s="17"/>
      <c r="C930" s="17"/>
      <c r="D930" s="17"/>
      <c r="E930" s="17"/>
      <c r="F930" s="17"/>
      <c r="G930" s="17"/>
      <c r="H930" s="17"/>
      <c r="I930" s="17"/>
      <c r="J930" s="18" t="str">
        <f aca="false">IF($A930="","",$B930+$C930+$D930-$E930+$F930-$G930)</f>
        <v/>
      </c>
      <c r="K930" s="18" t="str">
        <f aca="false">IF($A930="","",MAX(0,$B930-$J930))</f>
        <v/>
      </c>
      <c r="L930" s="19" t="str">
        <f aca="false">IF($A930="","",IF($B930=0,0,$K930/$B930))</f>
        <v/>
      </c>
      <c r="M930" s="20" t="str">
        <f aca="false">IF($A930="","",IF($J930&lt;0,"BORCA BATIK",IF($I930&lt;$H930,"BORCA BATIK",IF($L930&gt;=TtkUcteIkiEsik,"2/3 KAYIP (KRİTİK)",IF($L930&gt;=TtkUcteBirEsik,"1/3 KAYIP (DİKKAT)","UYGUN")))))</f>
        <v/>
      </c>
    </row>
    <row r="931" customFormat="false" ht="15" hidden="false" customHeight="false" outlineLevel="0" collapsed="false">
      <c r="A931" s="21"/>
      <c r="B931" s="17"/>
      <c r="C931" s="17"/>
      <c r="D931" s="17"/>
      <c r="E931" s="17"/>
      <c r="F931" s="17"/>
      <c r="G931" s="17"/>
      <c r="H931" s="17"/>
      <c r="I931" s="17"/>
      <c r="J931" s="18" t="str">
        <f aca="false">IF($A931="","",$B931+$C931+$D931-$E931+$F931-$G931)</f>
        <v/>
      </c>
      <c r="K931" s="18" t="str">
        <f aca="false">IF($A931="","",MAX(0,$B931-$J931))</f>
        <v/>
      </c>
      <c r="L931" s="19" t="str">
        <f aca="false">IF($A931="","",IF($B931=0,0,$K931/$B931))</f>
        <v/>
      </c>
      <c r="M931" s="20" t="str">
        <f aca="false">IF($A931="","",IF($J931&lt;0,"BORCA BATIK",IF($I931&lt;$H931,"BORCA BATIK",IF($L931&gt;=TtkUcteIkiEsik,"2/3 KAYIP (KRİTİK)",IF($L931&gt;=TtkUcteBirEsik,"1/3 KAYIP (DİKKAT)","UYGUN")))))</f>
        <v/>
      </c>
    </row>
    <row r="932" customFormat="false" ht="15" hidden="false" customHeight="false" outlineLevel="0" collapsed="false">
      <c r="A932" s="21"/>
      <c r="B932" s="17"/>
      <c r="C932" s="17"/>
      <c r="D932" s="17"/>
      <c r="E932" s="17"/>
      <c r="F932" s="17"/>
      <c r="G932" s="17"/>
      <c r="H932" s="17"/>
      <c r="I932" s="17"/>
      <c r="J932" s="18" t="str">
        <f aca="false">IF($A932="","",$B932+$C932+$D932-$E932+$F932-$G932)</f>
        <v/>
      </c>
      <c r="K932" s="18" t="str">
        <f aca="false">IF($A932="","",MAX(0,$B932-$J932))</f>
        <v/>
      </c>
      <c r="L932" s="19" t="str">
        <f aca="false">IF($A932="","",IF($B932=0,0,$K932/$B932))</f>
        <v/>
      </c>
      <c r="M932" s="20" t="str">
        <f aca="false">IF($A932="","",IF($J932&lt;0,"BORCA BATIK",IF($I932&lt;$H932,"BORCA BATIK",IF($L932&gt;=TtkUcteIkiEsik,"2/3 KAYIP (KRİTİK)",IF($L932&gt;=TtkUcteBirEsik,"1/3 KAYIP (DİKKAT)","UYGUN")))))</f>
        <v/>
      </c>
    </row>
    <row r="933" customFormat="false" ht="15" hidden="false" customHeight="false" outlineLevel="0" collapsed="false">
      <c r="A933" s="21"/>
      <c r="B933" s="17"/>
      <c r="C933" s="17"/>
      <c r="D933" s="17"/>
      <c r="E933" s="17"/>
      <c r="F933" s="17"/>
      <c r="G933" s="17"/>
      <c r="H933" s="17"/>
      <c r="I933" s="17"/>
      <c r="J933" s="18" t="str">
        <f aca="false">IF($A933="","",$B933+$C933+$D933-$E933+$F933-$G933)</f>
        <v/>
      </c>
      <c r="K933" s="18" t="str">
        <f aca="false">IF($A933="","",MAX(0,$B933-$J933))</f>
        <v/>
      </c>
      <c r="L933" s="19" t="str">
        <f aca="false">IF($A933="","",IF($B933=0,0,$K933/$B933))</f>
        <v/>
      </c>
      <c r="M933" s="20" t="str">
        <f aca="false">IF($A933="","",IF($J933&lt;0,"BORCA BATIK",IF($I933&lt;$H933,"BORCA BATIK",IF($L933&gt;=TtkUcteIkiEsik,"2/3 KAYIP (KRİTİK)",IF($L933&gt;=TtkUcteBirEsik,"1/3 KAYIP (DİKKAT)","UYGUN")))))</f>
        <v/>
      </c>
    </row>
    <row r="934" customFormat="false" ht="15" hidden="false" customHeight="false" outlineLevel="0" collapsed="false">
      <c r="A934" s="21"/>
      <c r="B934" s="17"/>
      <c r="C934" s="17"/>
      <c r="D934" s="17"/>
      <c r="E934" s="17"/>
      <c r="F934" s="17"/>
      <c r="G934" s="17"/>
      <c r="H934" s="17"/>
      <c r="I934" s="17"/>
      <c r="J934" s="18" t="str">
        <f aca="false">IF($A934="","",$B934+$C934+$D934-$E934+$F934-$G934)</f>
        <v/>
      </c>
      <c r="K934" s="18" t="str">
        <f aca="false">IF($A934="","",MAX(0,$B934-$J934))</f>
        <v/>
      </c>
      <c r="L934" s="19" t="str">
        <f aca="false">IF($A934="","",IF($B934=0,0,$K934/$B934))</f>
        <v/>
      </c>
      <c r="M934" s="20" t="str">
        <f aca="false">IF($A934="","",IF($J934&lt;0,"BORCA BATIK",IF($I934&lt;$H934,"BORCA BATIK",IF($L934&gt;=TtkUcteIkiEsik,"2/3 KAYIP (KRİTİK)",IF($L934&gt;=TtkUcteBirEsik,"1/3 KAYIP (DİKKAT)","UYGUN")))))</f>
        <v/>
      </c>
    </row>
    <row r="935" customFormat="false" ht="15" hidden="false" customHeight="false" outlineLevel="0" collapsed="false">
      <c r="A935" s="21"/>
      <c r="B935" s="17"/>
      <c r="C935" s="17"/>
      <c r="D935" s="17"/>
      <c r="E935" s="17"/>
      <c r="F935" s="17"/>
      <c r="G935" s="17"/>
      <c r="H935" s="17"/>
      <c r="I935" s="17"/>
      <c r="J935" s="18" t="str">
        <f aca="false">IF($A935="","",$B935+$C935+$D935-$E935+$F935-$G935)</f>
        <v/>
      </c>
      <c r="K935" s="18" t="str">
        <f aca="false">IF($A935="","",MAX(0,$B935-$J935))</f>
        <v/>
      </c>
      <c r="L935" s="19" t="str">
        <f aca="false">IF($A935="","",IF($B935=0,0,$K935/$B935))</f>
        <v/>
      </c>
      <c r="M935" s="20" t="str">
        <f aca="false">IF($A935="","",IF($J935&lt;0,"BORCA BATIK",IF($I935&lt;$H935,"BORCA BATIK",IF($L935&gt;=TtkUcteIkiEsik,"2/3 KAYIP (KRİTİK)",IF($L935&gt;=TtkUcteBirEsik,"1/3 KAYIP (DİKKAT)","UYGUN")))))</f>
        <v/>
      </c>
    </row>
    <row r="936" customFormat="false" ht="15" hidden="false" customHeight="false" outlineLevel="0" collapsed="false">
      <c r="A936" s="21"/>
      <c r="B936" s="17"/>
      <c r="C936" s="17"/>
      <c r="D936" s="17"/>
      <c r="E936" s="17"/>
      <c r="F936" s="17"/>
      <c r="G936" s="17"/>
      <c r="H936" s="17"/>
      <c r="I936" s="17"/>
      <c r="J936" s="18" t="str">
        <f aca="false">IF($A936="","",$B936+$C936+$D936-$E936+$F936-$G936)</f>
        <v/>
      </c>
      <c r="K936" s="18" t="str">
        <f aca="false">IF($A936="","",MAX(0,$B936-$J936))</f>
        <v/>
      </c>
      <c r="L936" s="19" t="str">
        <f aca="false">IF($A936="","",IF($B936=0,0,$K936/$B936))</f>
        <v/>
      </c>
      <c r="M936" s="20" t="str">
        <f aca="false">IF($A936="","",IF($J936&lt;0,"BORCA BATIK",IF($I936&lt;$H936,"BORCA BATIK",IF($L936&gt;=TtkUcteIkiEsik,"2/3 KAYIP (KRİTİK)",IF($L936&gt;=TtkUcteBirEsik,"1/3 KAYIP (DİKKAT)","UYGUN")))))</f>
        <v/>
      </c>
    </row>
    <row r="937" customFormat="false" ht="15" hidden="false" customHeight="false" outlineLevel="0" collapsed="false">
      <c r="A937" s="21"/>
      <c r="B937" s="17"/>
      <c r="C937" s="17"/>
      <c r="D937" s="17"/>
      <c r="E937" s="17"/>
      <c r="F937" s="17"/>
      <c r="G937" s="17"/>
      <c r="H937" s="17"/>
      <c r="I937" s="17"/>
      <c r="J937" s="18" t="str">
        <f aca="false">IF($A937="","",$B937+$C937+$D937-$E937+$F937-$G937)</f>
        <v/>
      </c>
      <c r="K937" s="18" t="str">
        <f aca="false">IF($A937="","",MAX(0,$B937-$J937))</f>
        <v/>
      </c>
      <c r="L937" s="19" t="str">
        <f aca="false">IF($A937="","",IF($B937=0,0,$K937/$B937))</f>
        <v/>
      </c>
      <c r="M937" s="20" t="str">
        <f aca="false">IF($A937="","",IF($J937&lt;0,"BORCA BATIK",IF($I937&lt;$H937,"BORCA BATIK",IF($L937&gt;=TtkUcteIkiEsik,"2/3 KAYIP (KRİTİK)",IF($L937&gt;=TtkUcteBirEsik,"1/3 KAYIP (DİKKAT)","UYGUN")))))</f>
        <v/>
      </c>
    </row>
    <row r="938" customFormat="false" ht="15" hidden="false" customHeight="false" outlineLevel="0" collapsed="false">
      <c r="A938" s="21"/>
      <c r="B938" s="17"/>
      <c r="C938" s="17"/>
      <c r="D938" s="17"/>
      <c r="E938" s="17"/>
      <c r="F938" s="17"/>
      <c r="G938" s="17"/>
      <c r="H938" s="17"/>
      <c r="I938" s="17"/>
      <c r="J938" s="18" t="str">
        <f aca="false">IF($A938="","",$B938+$C938+$D938-$E938+$F938-$G938)</f>
        <v/>
      </c>
      <c r="K938" s="18" t="str">
        <f aca="false">IF($A938="","",MAX(0,$B938-$J938))</f>
        <v/>
      </c>
      <c r="L938" s="19" t="str">
        <f aca="false">IF($A938="","",IF($B938=0,0,$K938/$B938))</f>
        <v/>
      </c>
      <c r="M938" s="20" t="str">
        <f aca="false">IF($A938="","",IF($J938&lt;0,"BORCA BATIK",IF($I938&lt;$H938,"BORCA BATIK",IF($L938&gt;=TtkUcteIkiEsik,"2/3 KAYIP (KRİTİK)",IF($L938&gt;=TtkUcteBirEsik,"1/3 KAYIP (DİKKAT)","UYGUN")))))</f>
        <v/>
      </c>
    </row>
    <row r="939" customFormat="false" ht="15" hidden="false" customHeight="false" outlineLevel="0" collapsed="false">
      <c r="A939" s="21"/>
      <c r="B939" s="17"/>
      <c r="C939" s="17"/>
      <c r="D939" s="17"/>
      <c r="E939" s="17"/>
      <c r="F939" s="17"/>
      <c r="G939" s="17"/>
      <c r="H939" s="17"/>
      <c r="I939" s="17"/>
      <c r="J939" s="18" t="str">
        <f aca="false">IF($A939="","",$B939+$C939+$D939-$E939+$F939-$G939)</f>
        <v/>
      </c>
      <c r="K939" s="18" t="str">
        <f aca="false">IF($A939="","",MAX(0,$B939-$J939))</f>
        <v/>
      </c>
      <c r="L939" s="19" t="str">
        <f aca="false">IF($A939="","",IF($B939=0,0,$K939/$B939))</f>
        <v/>
      </c>
      <c r="M939" s="20" t="str">
        <f aca="false">IF($A939="","",IF($J939&lt;0,"BORCA BATIK",IF($I939&lt;$H939,"BORCA BATIK",IF($L939&gt;=TtkUcteIkiEsik,"2/3 KAYIP (KRİTİK)",IF($L939&gt;=TtkUcteBirEsik,"1/3 KAYIP (DİKKAT)","UYGUN")))))</f>
        <v/>
      </c>
    </row>
    <row r="940" customFormat="false" ht="15" hidden="false" customHeight="false" outlineLevel="0" collapsed="false">
      <c r="A940" s="21"/>
      <c r="B940" s="17"/>
      <c r="C940" s="17"/>
      <c r="D940" s="17"/>
      <c r="E940" s="17"/>
      <c r="F940" s="17"/>
      <c r="G940" s="17"/>
      <c r="H940" s="17"/>
      <c r="I940" s="17"/>
      <c r="J940" s="18" t="str">
        <f aca="false">IF($A940="","",$B940+$C940+$D940-$E940+$F940-$G940)</f>
        <v/>
      </c>
      <c r="K940" s="18" t="str">
        <f aca="false">IF($A940="","",MAX(0,$B940-$J940))</f>
        <v/>
      </c>
      <c r="L940" s="19" t="str">
        <f aca="false">IF($A940="","",IF($B940=0,0,$K940/$B940))</f>
        <v/>
      </c>
      <c r="M940" s="20" t="str">
        <f aca="false">IF($A940="","",IF($J940&lt;0,"BORCA BATIK",IF($I940&lt;$H940,"BORCA BATIK",IF($L940&gt;=TtkUcteIkiEsik,"2/3 KAYIP (KRİTİK)",IF($L940&gt;=TtkUcteBirEsik,"1/3 KAYIP (DİKKAT)","UYGUN")))))</f>
        <v/>
      </c>
    </row>
    <row r="941" customFormat="false" ht="15" hidden="false" customHeight="false" outlineLevel="0" collapsed="false">
      <c r="A941" s="21"/>
      <c r="B941" s="17"/>
      <c r="C941" s="17"/>
      <c r="D941" s="17"/>
      <c r="E941" s="17"/>
      <c r="F941" s="17"/>
      <c r="G941" s="17"/>
      <c r="H941" s="17"/>
      <c r="I941" s="17"/>
      <c r="J941" s="18" t="str">
        <f aca="false">IF($A941="","",$B941+$C941+$D941-$E941+$F941-$G941)</f>
        <v/>
      </c>
      <c r="K941" s="18" t="str">
        <f aca="false">IF($A941="","",MAX(0,$B941-$J941))</f>
        <v/>
      </c>
      <c r="L941" s="19" t="str">
        <f aca="false">IF($A941="","",IF($B941=0,0,$K941/$B941))</f>
        <v/>
      </c>
      <c r="M941" s="20" t="str">
        <f aca="false">IF($A941="","",IF($J941&lt;0,"BORCA BATIK",IF($I941&lt;$H941,"BORCA BATIK",IF($L941&gt;=TtkUcteIkiEsik,"2/3 KAYIP (KRİTİK)",IF($L941&gt;=TtkUcteBirEsik,"1/3 KAYIP (DİKKAT)","UYGUN")))))</f>
        <v/>
      </c>
    </row>
    <row r="942" customFormat="false" ht="15" hidden="false" customHeight="false" outlineLevel="0" collapsed="false">
      <c r="A942" s="21"/>
      <c r="B942" s="17"/>
      <c r="C942" s="17"/>
      <c r="D942" s="17"/>
      <c r="E942" s="17"/>
      <c r="F942" s="17"/>
      <c r="G942" s="17"/>
      <c r="H942" s="17"/>
      <c r="I942" s="17"/>
      <c r="J942" s="18" t="str">
        <f aca="false">IF($A942="","",$B942+$C942+$D942-$E942+$F942-$G942)</f>
        <v/>
      </c>
      <c r="K942" s="18" t="str">
        <f aca="false">IF($A942="","",MAX(0,$B942-$J942))</f>
        <v/>
      </c>
      <c r="L942" s="19" t="str">
        <f aca="false">IF($A942="","",IF($B942=0,0,$K942/$B942))</f>
        <v/>
      </c>
      <c r="M942" s="20" t="str">
        <f aca="false">IF($A942="","",IF($J942&lt;0,"BORCA BATIK",IF($I942&lt;$H942,"BORCA BATIK",IF($L942&gt;=TtkUcteIkiEsik,"2/3 KAYIP (KRİTİK)",IF($L942&gt;=TtkUcteBirEsik,"1/3 KAYIP (DİKKAT)","UYGUN")))))</f>
        <v/>
      </c>
    </row>
    <row r="943" customFormat="false" ht="15" hidden="false" customHeight="false" outlineLevel="0" collapsed="false">
      <c r="A943" s="21"/>
      <c r="B943" s="17"/>
      <c r="C943" s="17"/>
      <c r="D943" s="17"/>
      <c r="E943" s="17"/>
      <c r="F943" s="17"/>
      <c r="G943" s="17"/>
      <c r="H943" s="17"/>
      <c r="I943" s="17"/>
      <c r="J943" s="18" t="str">
        <f aca="false">IF($A943="","",$B943+$C943+$D943-$E943+$F943-$G943)</f>
        <v/>
      </c>
      <c r="K943" s="18" t="str">
        <f aca="false">IF($A943="","",MAX(0,$B943-$J943))</f>
        <v/>
      </c>
      <c r="L943" s="19" t="str">
        <f aca="false">IF($A943="","",IF($B943=0,0,$K943/$B943))</f>
        <v/>
      </c>
      <c r="M943" s="20" t="str">
        <f aca="false">IF($A943="","",IF($J943&lt;0,"BORCA BATIK",IF($I943&lt;$H943,"BORCA BATIK",IF($L943&gt;=TtkUcteIkiEsik,"2/3 KAYIP (KRİTİK)",IF($L943&gt;=TtkUcteBirEsik,"1/3 KAYIP (DİKKAT)","UYGUN")))))</f>
        <v/>
      </c>
    </row>
    <row r="944" customFormat="false" ht="15" hidden="false" customHeight="false" outlineLevel="0" collapsed="false">
      <c r="A944" s="21"/>
      <c r="B944" s="17"/>
      <c r="C944" s="17"/>
      <c r="D944" s="17"/>
      <c r="E944" s="17"/>
      <c r="F944" s="17"/>
      <c r="G944" s="17"/>
      <c r="H944" s="17"/>
      <c r="I944" s="17"/>
      <c r="J944" s="18" t="str">
        <f aca="false">IF($A944="","",$B944+$C944+$D944-$E944+$F944-$G944)</f>
        <v/>
      </c>
      <c r="K944" s="18" t="str">
        <f aca="false">IF($A944="","",MAX(0,$B944-$J944))</f>
        <v/>
      </c>
      <c r="L944" s="19" t="str">
        <f aca="false">IF($A944="","",IF($B944=0,0,$K944/$B944))</f>
        <v/>
      </c>
      <c r="M944" s="20" t="str">
        <f aca="false">IF($A944="","",IF($J944&lt;0,"BORCA BATIK",IF($I944&lt;$H944,"BORCA BATIK",IF($L944&gt;=TtkUcteIkiEsik,"2/3 KAYIP (KRİTİK)",IF($L944&gt;=TtkUcteBirEsik,"1/3 KAYIP (DİKKAT)","UYGUN")))))</f>
        <v/>
      </c>
    </row>
    <row r="945" customFormat="false" ht="15" hidden="false" customHeight="false" outlineLevel="0" collapsed="false">
      <c r="A945" s="21"/>
      <c r="B945" s="17"/>
      <c r="C945" s="17"/>
      <c r="D945" s="17"/>
      <c r="E945" s="17"/>
      <c r="F945" s="17"/>
      <c r="G945" s="17"/>
      <c r="H945" s="17"/>
      <c r="I945" s="17"/>
      <c r="J945" s="18" t="str">
        <f aca="false">IF($A945="","",$B945+$C945+$D945-$E945+$F945-$G945)</f>
        <v/>
      </c>
      <c r="K945" s="18" t="str">
        <f aca="false">IF($A945="","",MAX(0,$B945-$J945))</f>
        <v/>
      </c>
      <c r="L945" s="19" t="str">
        <f aca="false">IF($A945="","",IF($B945=0,0,$K945/$B945))</f>
        <v/>
      </c>
      <c r="M945" s="20" t="str">
        <f aca="false">IF($A945="","",IF($J945&lt;0,"BORCA BATIK",IF($I945&lt;$H945,"BORCA BATIK",IF($L945&gt;=TtkUcteIkiEsik,"2/3 KAYIP (KRİTİK)",IF($L945&gt;=TtkUcteBirEsik,"1/3 KAYIP (DİKKAT)","UYGUN")))))</f>
        <v/>
      </c>
    </row>
    <row r="946" customFormat="false" ht="15" hidden="false" customHeight="false" outlineLevel="0" collapsed="false">
      <c r="A946" s="21"/>
      <c r="B946" s="17"/>
      <c r="C946" s="17"/>
      <c r="D946" s="17"/>
      <c r="E946" s="17"/>
      <c r="F946" s="17"/>
      <c r="G946" s="17"/>
      <c r="H946" s="17"/>
      <c r="I946" s="17"/>
      <c r="J946" s="18" t="str">
        <f aca="false">IF($A946="","",$B946+$C946+$D946-$E946+$F946-$G946)</f>
        <v/>
      </c>
      <c r="K946" s="18" t="str">
        <f aca="false">IF($A946="","",MAX(0,$B946-$J946))</f>
        <v/>
      </c>
      <c r="L946" s="19" t="str">
        <f aca="false">IF($A946="","",IF($B946=0,0,$K946/$B946))</f>
        <v/>
      </c>
      <c r="M946" s="20" t="str">
        <f aca="false">IF($A946="","",IF($J946&lt;0,"BORCA BATIK",IF($I946&lt;$H946,"BORCA BATIK",IF($L946&gt;=TtkUcteIkiEsik,"2/3 KAYIP (KRİTİK)",IF($L946&gt;=TtkUcteBirEsik,"1/3 KAYIP (DİKKAT)","UYGUN")))))</f>
        <v/>
      </c>
    </row>
    <row r="947" customFormat="false" ht="15" hidden="false" customHeight="false" outlineLevel="0" collapsed="false">
      <c r="A947" s="21"/>
      <c r="B947" s="17"/>
      <c r="C947" s="17"/>
      <c r="D947" s="17"/>
      <c r="E947" s="17"/>
      <c r="F947" s="17"/>
      <c r="G947" s="17"/>
      <c r="H947" s="17"/>
      <c r="I947" s="17"/>
      <c r="J947" s="18" t="str">
        <f aca="false">IF($A947="","",$B947+$C947+$D947-$E947+$F947-$G947)</f>
        <v/>
      </c>
      <c r="K947" s="18" t="str">
        <f aca="false">IF($A947="","",MAX(0,$B947-$J947))</f>
        <v/>
      </c>
      <c r="L947" s="19" t="str">
        <f aca="false">IF($A947="","",IF($B947=0,0,$K947/$B947))</f>
        <v/>
      </c>
      <c r="M947" s="20" t="str">
        <f aca="false">IF($A947="","",IF($J947&lt;0,"BORCA BATIK",IF($I947&lt;$H947,"BORCA BATIK",IF($L947&gt;=TtkUcteIkiEsik,"2/3 KAYIP (KRİTİK)",IF($L947&gt;=TtkUcteBirEsik,"1/3 KAYIP (DİKKAT)","UYGUN")))))</f>
        <v/>
      </c>
    </row>
    <row r="948" customFormat="false" ht="15" hidden="false" customHeight="false" outlineLevel="0" collapsed="false">
      <c r="A948" s="21"/>
      <c r="B948" s="17"/>
      <c r="C948" s="17"/>
      <c r="D948" s="17"/>
      <c r="E948" s="17"/>
      <c r="F948" s="17"/>
      <c r="G948" s="17"/>
      <c r="H948" s="17"/>
      <c r="I948" s="17"/>
      <c r="J948" s="18" t="str">
        <f aca="false">IF($A948="","",$B948+$C948+$D948-$E948+$F948-$G948)</f>
        <v/>
      </c>
      <c r="K948" s="18" t="str">
        <f aca="false">IF($A948="","",MAX(0,$B948-$J948))</f>
        <v/>
      </c>
      <c r="L948" s="19" t="str">
        <f aca="false">IF($A948="","",IF($B948=0,0,$K948/$B948))</f>
        <v/>
      </c>
      <c r="M948" s="20" t="str">
        <f aca="false">IF($A948="","",IF($J948&lt;0,"BORCA BATIK",IF($I948&lt;$H948,"BORCA BATIK",IF($L948&gt;=TtkUcteIkiEsik,"2/3 KAYIP (KRİTİK)",IF($L948&gt;=TtkUcteBirEsik,"1/3 KAYIP (DİKKAT)","UYGUN")))))</f>
        <v/>
      </c>
    </row>
    <row r="949" customFormat="false" ht="15" hidden="false" customHeight="false" outlineLevel="0" collapsed="false">
      <c r="A949" s="21"/>
      <c r="B949" s="17"/>
      <c r="C949" s="17"/>
      <c r="D949" s="17"/>
      <c r="E949" s="17"/>
      <c r="F949" s="17"/>
      <c r="G949" s="17"/>
      <c r="H949" s="17"/>
      <c r="I949" s="17"/>
      <c r="J949" s="18" t="str">
        <f aca="false">IF($A949="","",$B949+$C949+$D949-$E949+$F949-$G949)</f>
        <v/>
      </c>
      <c r="K949" s="18" t="str">
        <f aca="false">IF($A949="","",MAX(0,$B949-$J949))</f>
        <v/>
      </c>
      <c r="L949" s="19" t="str">
        <f aca="false">IF($A949="","",IF($B949=0,0,$K949/$B949))</f>
        <v/>
      </c>
      <c r="M949" s="20" t="str">
        <f aca="false">IF($A949="","",IF($J949&lt;0,"BORCA BATIK",IF($I949&lt;$H949,"BORCA BATIK",IF($L949&gt;=TtkUcteIkiEsik,"2/3 KAYIP (KRİTİK)",IF($L949&gt;=TtkUcteBirEsik,"1/3 KAYIP (DİKKAT)","UYGUN")))))</f>
        <v/>
      </c>
    </row>
    <row r="950" customFormat="false" ht="15" hidden="false" customHeight="false" outlineLevel="0" collapsed="false">
      <c r="A950" s="21"/>
      <c r="B950" s="17"/>
      <c r="C950" s="17"/>
      <c r="D950" s="17"/>
      <c r="E950" s="17"/>
      <c r="F950" s="17"/>
      <c r="G950" s="17"/>
      <c r="H950" s="17"/>
      <c r="I950" s="17"/>
      <c r="J950" s="18" t="str">
        <f aca="false">IF($A950="","",$B950+$C950+$D950-$E950+$F950-$G950)</f>
        <v/>
      </c>
      <c r="K950" s="18" t="str">
        <f aca="false">IF($A950="","",MAX(0,$B950-$J950))</f>
        <v/>
      </c>
      <c r="L950" s="19" t="str">
        <f aca="false">IF($A950="","",IF($B950=0,0,$K950/$B950))</f>
        <v/>
      </c>
      <c r="M950" s="20" t="str">
        <f aca="false">IF($A950="","",IF($J950&lt;0,"BORCA BATIK",IF($I950&lt;$H950,"BORCA BATIK",IF($L950&gt;=TtkUcteIkiEsik,"2/3 KAYIP (KRİTİK)",IF($L950&gt;=TtkUcteBirEsik,"1/3 KAYIP (DİKKAT)","UYGUN")))))</f>
        <v/>
      </c>
    </row>
    <row r="951" customFormat="false" ht="15" hidden="false" customHeight="false" outlineLevel="0" collapsed="false">
      <c r="A951" s="21"/>
      <c r="B951" s="17"/>
      <c r="C951" s="17"/>
      <c r="D951" s="17"/>
      <c r="E951" s="17"/>
      <c r="F951" s="17"/>
      <c r="G951" s="17"/>
      <c r="H951" s="17"/>
      <c r="I951" s="17"/>
      <c r="J951" s="18" t="str">
        <f aca="false">IF($A951="","",$B951+$C951+$D951-$E951+$F951-$G951)</f>
        <v/>
      </c>
      <c r="K951" s="18" t="str">
        <f aca="false">IF($A951="","",MAX(0,$B951-$J951))</f>
        <v/>
      </c>
      <c r="L951" s="19" t="str">
        <f aca="false">IF($A951="","",IF($B951=0,0,$K951/$B951))</f>
        <v/>
      </c>
      <c r="M951" s="20" t="str">
        <f aca="false">IF($A951="","",IF($J951&lt;0,"BORCA BATIK",IF($I951&lt;$H951,"BORCA BATIK",IF($L951&gt;=TtkUcteIkiEsik,"2/3 KAYIP (KRİTİK)",IF($L951&gt;=TtkUcteBirEsik,"1/3 KAYIP (DİKKAT)","UYGUN")))))</f>
        <v/>
      </c>
    </row>
    <row r="952" customFormat="false" ht="15" hidden="false" customHeight="false" outlineLevel="0" collapsed="false">
      <c r="A952" s="21"/>
      <c r="B952" s="17"/>
      <c r="C952" s="17"/>
      <c r="D952" s="17"/>
      <c r="E952" s="17"/>
      <c r="F952" s="17"/>
      <c r="G952" s="17"/>
      <c r="H952" s="17"/>
      <c r="I952" s="17"/>
      <c r="J952" s="18" t="str">
        <f aca="false">IF($A952="","",$B952+$C952+$D952-$E952+$F952-$G952)</f>
        <v/>
      </c>
      <c r="K952" s="18" t="str">
        <f aca="false">IF($A952="","",MAX(0,$B952-$J952))</f>
        <v/>
      </c>
      <c r="L952" s="19" t="str">
        <f aca="false">IF($A952="","",IF($B952=0,0,$K952/$B952))</f>
        <v/>
      </c>
      <c r="M952" s="20" t="str">
        <f aca="false">IF($A952="","",IF($J952&lt;0,"BORCA BATIK",IF($I952&lt;$H952,"BORCA BATIK",IF($L952&gt;=TtkUcteIkiEsik,"2/3 KAYIP (KRİTİK)",IF($L952&gt;=TtkUcteBirEsik,"1/3 KAYIP (DİKKAT)","UYGUN")))))</f>
        <v/>
      </c>
    </row>
    <row r="953" customFormat="false" ht="15" hidden="false" customHeight="false" outlineLevel="0" collapsed="false">
      <c r="A953" s="21"/>
      <c r="B953" s="17"/>
      <c r="C953" s="17"/>
      <c r="D953" s="17"/>
      <c r="E953" s="17"/>
      <c r="F953" s="17"/>
      <c r="G953" s="17"/>
      <c r="H953" s="17"/>
      <c r="I953" s="17"/>
      <c r="J953" s="18" t="str">
        <f aca="false">IF($A953="","",$B953+$C953+$D953-$E953+$F953-$G953)</f>
        <v/>
      </c>
      <c r="K953" s="18" t="str">
        <f aca="false">IF($A953="","",MAX(0,$B953-$J953))</f>
        <v/>
      </c>
      <c r="L953" s="19" t="str">
        <f aca="false">IF($A953="","",IF($B953=0,0,$K953/$B953))</f>
        <v/>
      </c>
      <c r="M953" s="20" t="str">
        <f aca="false">IF($A953="","",IF($J953&lt;0,"BORCA BATIK",IF($I953&lt;$H953,"BORCA BATIK",IF($L953&gt;=TtkUcteIkiEsik,"2/3 KAYIP (KRİTİK)",IF($L953&gt;=TtkUcteBirEsik,"1/3 KAYIP (DİKKAT)","UYGUN")))))</f>
        <v/>
      </c>
    </row>
    <row r="954" customFormat="false" ht="15" hidden="false" customHeight="false" outlineLevel="0" collapsed="false">
      <c r="A954" s="21"/>
      <c r="B954" s="17"/>
      <c r="C954" s="17"/>
      <c r="D954" s="17"/>
      <c r="E954" s="17"/>
      <c r="F954" s="17"/>
      <c r="G954" s="17"/>
      <c r="H954" s="17"/>
      <c r="I954" s="17"/>
      <c r="J954" s="18" t="str">
        <f aca="false">IF($A954="","",$B954+$C954+$D954-$E954+$F954-$G954)</f>
        <v/>
      </c>
      <c r="K954" s="18" t="str">
        <f aca="false">IF($A954="","",MAX(0,$B954-$J954))</f>
        <v/>
      </c>
      <c r="L954" s="19" t="str">
        <f aca="false">IF($A954="","",IF($B954=0,0,$K954/$B954))</f>
        <v/>
      </c>
      <c r="M954" s="20" t="str">
        <f aca="false">IF($A954="","",IF($J954&lt;0,"BORCA BATIK",IF($I954&lt;$H954,"BORCA BATIK",IF($L954&gt;=TtkUcteIkiEsik,"2/3 KAYIP (KRİTİK)",IF($L954&gt;=TtkUcteBirEsik,"1/3 KAYIP (DİKKAT)","UYGUN")))))</f>
        <v/>
      </c>
    </row>
    <row r="955" customFormat="false" ht="15" hidden="false" customHeight="false" outlineLevel="0" collapsed="false">
      <c r="A955" s="21"/>
      <c r="B955" s="17"/>
      <c r="C955" s="17"/>
      <c r="D955" s="17"/>
      <c r="E955" s="17"/>
      <c r="F955" s="17"/>
      <c r="G955" s="17"/>
      <c r="H955" s="17"/>
      <c r="I955" s="17"/>
      <c r="J955" s="18" t="str">
        <f aca="false">IF($A955="","",$B955+$C955+$D955-$E955+$F955-$G955)</f>
        <v/>
      </c>
      <c r="K955" s="18" t="str">
        <f aca="false">IF($A955="","",MAX(0,$B955-$J955))</f>
        <v/>
      </c>
      <c r="L955" s="19" t="str">
        <f aca="false">IF($A955="","",IF($B955=0,0,$K955/$B955))</f>
        <v/>
      </c>
      <c r="M955" s="20" t="str">
        <f aca="false">IF($A955="","",IF($J955&lt;0,"BORCA BATIK",IF($I955&lt;$H955,"BORCA BATIK",IF($L955&gt;=TtkUcteIkiEsik,"2/3 KAYIP (KRİTİK)",IF($L955&gt;=TtkUcteBirEsik,"1/3 KAYIP (DİKKAT)","UYGUN")))))</f>
        <v/>
      </c>
    </row>
    <row r="956" customFormat="false" ht="15" hidden="false" customHeight="false" outlineLevel="0" collapsed="false">
      <c r="A956" s="21"/>
      <c r="B956" s="17"/>
      <c r="C956" s="17"/>
      <c r="D956" s="17"/>
      <c r="E956" s="17"/>
      <c r="F956" s="17"/>
      <c r="G956" s="17"/>
      <c r="H956" s="17"/>
      <c r="I956" s="17"/>
      <c r="J956" s="18" t="str">
        <f aca="false">IF($A956="","",$B956+$C956+$D956-$E956+$F956-$G956)</f>
        <v/>
      </c>
      <c r="K956" s="18" t="str">
        <f aca="false">IF($A956="","",MAX(0,$B956-$J956))</f>
        <v/>
      </c>
      <c r="L956" s="19" t="str">
        <f aca="false">IF($A956="","",IF($B956=0,0,$K956/$B956))</f>
        <v/>
      </c>
      <c r="M956" s="20" t="str">
        <f aca="false">IF($A956="","",IF($J956&lt;0,"BORCA BATIK",IF($I956&lt;$H956,"BORCA BATIK",IF($L956&gt;=TtkUcteIkiEsik,"2/3 KAYIP (KRİTİK)",IF($L956&gt;=TtkUcteBirEsik,"1/3 KAYIP (DİKKAT)","UYGUN")))))</f>
        <v/>
      </c>
    </row>
    <row r="957" customFormat="false" ht="15" hidden="false" customHeight="false" outlineLevel="0" collapsed="false">
      <c r="A957" s="21"/>
      <c r="B957" s="17"/>
      <c r="C957" s="17"/>
      <c r="D957" s="17"/>
      <c r="E957" s="17"/>
      <c r="F957" s="17"/>
      <c r="G957" s="17"/>
      <c r="H957" s="17"/>
      <c r="I957" s="17"/>
      <c r="J957" s="18" t="str">
        <f aca="false">IF($A957="","",$B957+$C957+$D957-$E957+$F957-$G957)</f>
        <v/>
      </c>
      <c r="K957" s="18" t="str">
        <f aca="false">IF($A957="","",MAX(0,$B957-$J957))</f>
        <v/>
      </c>
      <c r="L957" s="19" t="str">
        <f aca="false">IF($A957="","",IF($B957=0,0,$K957/$B957))</f>
        <v/>
      </c>
      <c r="M957" s="20" t="str">
        <f aca="false">IF($A957="","",IF($J957&lt;0,"BORCA BATIK",IF($I957&lt;$H957,"BORCA BATIK",IF($L957&gt;=TtkUcteIkiEsik,"2/3 KAYIP (KRİTİK)",IF($L957&gt;=TtkUcteBirEsik,"1/3 KAYIP (DİKKAT)","UYGUN")))))</f>
        <v/>
      </c>
    </row>
    <row r="958" customFormat="false" ht="15" hidden="false" customHeight="false" outlineLevel="0" collapsed="false">
      <c r="A958" s="21"/>
      <c r="B958" s="17"/>
      <c r="C958" s="17"/>
      <c r="D958" s="17"/>
      <c r="E958" s="17"/>
      <c r="F958" s="17"/>
      <c r="G958" s="17"/>
      <c r="H958" s="17"/>
      <c r="I958" s="17"/>
      <c r="J958" s="18" t="str">
        <f aca="false">IF($A958="","",$B958+$C958+$D958-$E958+$F958-$G958)</f>
        <v/>
      </c>
      <c r="K958" s="18" t="str">
        <f aca="false">IF($A958="","",MAX(0,$B958-$J958))</f>
        <v/>
      </c>
      <c r="L958" s="19" t="str">
        <f aca="false">IF($A958="","",IF($B958=0,0,$K958/$B958))</f>
        <v/>
      </c>
      <c r="M958" s="20" t="str">
        <f aca="false">IF($A958="","",IF($J958&lt;0,"BORCA BATIK",IF($I958&lt;$H958,"BORCA BATIK",IF($L958&gt;=TtkUcteIkiEsik,"2/3 KAYIP (KRİTİK)",IF($L958&gt;=TtkUcteBirEsik,"1/3 KAYIP (DİKKAT)","UYGUN")))))</f>
        <v/>
      </c>
    </row>
    <row r="959" customFormat="false" ht="15" hidden="false" customHeight="false" outlineLevel="0" collapsed="false">
      <c r="A959" s="21"/>
      <c r="B959" s="17"/>
      <c r="C959" s="17"/>
      <c r="D959" s="17"/>
      <c r="E959" s="17"/>
      <c r="F959" s="17"/>
      <c r="G959" s="17"/>
      <c r="H959" s="17"/>
      <c r="I959" s="17"/>
      <c r="J959" s="18" t="str">
        <f aca="false">IF($A959="","",$B959+$C959+$D959-$E959+$F959-$G959)</f>
        <v/>
      </c>
      <c r="K959" s="18" t="str">
        <f aca="false">IF($A959="","",MAX(0,$B959-$J959))</f>
        <v/>
      </c>
      <c r="L959" s="19" t="str">
        <f aca="false">IF($A959="","",IF($B959=0,0,$K959/$B959))</f>
        <v/>
      </c>
      <c r="M959" s="20" t="str">
        <f aca="false">IF($A959="","",IF($J959&lt;0,"BORCA BATIK",IF($I959&lt;$H959,"BORCA BATIK",IF($L959&gt;=TtkUcteIkiEsik,"2/3 KAYIP (KRİTİK)",IF($L959&gt;=TtkUcteBirEsik,"1/3 KAYIP (DİKKAT)","UYGUN")))))</f>
        <v/>
      </c>
    </row>
    <row r="960" customFormat="false" ht="15" hidden="false" customHeight="false" outlineLevel="0" collapsed="false">
      <c r="A960" s="21"/>
      <c r="B960" s="17"/>
      <c r="C960" s="17"/>
      <c r="D960" s="17"/>
      <c r="E960" s="17"/>
      <c r="F960" s="17"/>
      <c r="G960" s="17"/>
      <c r="H960" s="17"/>
      <c r="I960" s="17"/>
      <c r="J960" s="18" t="str">
        <f aca="false">IF($A960="","",$B960+$C960+$D960-$E960+$F960-$G960)</f>
        <v/>
      </c>
      <c r="K960" s="18" t="str">
        <f aca="false">IF($A960="","",MAX(0,$B960-$J960))</f>
        <v/>
      </c>
      <c r="L960" s="19" t="str">
        <f aca="false">IF($A960="","",IF($B960=0,0,$K960/$B960))</f>
        <v/>
      </c>
      <c r="M960" s="20" t="str">
        <f aca="false">IF($A960="","",IF($J960&lt;0,"BORCA BATIK",IF($I960&lt;$H960,"BORCA BATIK",IF($L960&gt;=TtkUcteIkiEsik,"2/3 KAYIP (KRİTİK)",IF($L960&gt;=TtkUcteBirEsik,"1/3 KAYIP (DİKKAT)","UYGUN")))))</f>
        <v/>
      </c>
    </row>
    <row r="961" customFormat="false" ht="15" hidden="false" customHeight="false" outlineLevel="0" collapsed="false">
      <c r="A961" s="21"/>
      <c r="B961" s="17"/>
      <c r="C961" s="17"/>
      <c r="D961" s="17"/>
      <c r="E961" s="17"/>
      <c r="F961" s="17"/>
      <c r="G961" s="17"/>
      <c r="H961" s="17"/>
      <c r="I961" s="17"/>
      <c r="J961" s="18" t="str">
        <f aca="false">IF($A961="","",$B961+$C961+$D961-$E961+$F961-$G961)</f>
        <v/>
      </c>
      <c r="K961" s="18" t="str">
        <f aca="false">IF($A961="","",MAX(0,$B961-$J961))</f>
        <v/>
      </c>
      <c r="L961" s="19" t="str">
        <f aca="false">IF($A961="","",IF($B961=0,0,$K961/$B961))</f>
        <v/>
      </c>
      <c r="M961" s="20" t="str">
        <f aca="false">IF($A961="","",IF($J961&lt;0,"BORCA BATIK",IF($I961&lt;$H961,"BORCA BATIK",IF($L961&gt;=TtkUcteIkiEsik,"2/3 KAYIP (KRİTİK)",IF($L961&gt;=TtkUcteBirEsik,"1/3 KAYIP (DİKKAT)","UYGUN")))))</f>
        <v/>
      </c>
    </row>
    <row r="962" customFormat="false" ht="15" hidden="false" customHeight="false" outlineLevel="0" collapsed="false">
      <c r="A962" s="21"/>
      <c r="B962" s="17"/>
      <c r="C962" s="17"/>
      <c r="D962" s="17"/>
      <c r="E962" s="17"/>
      <c r="F962" s="17"/>
      <c r="G962" s="17"/>
      <c r="H962" s="17"/>
      <c r="I962" s="17"/>
      <c r="J962" s="18" t="str">
        <f aca="false">IF($A962="","",$B962+$C962+$D962-$E962+$F962-$G962)</f>
        <v/>
      </c>
      <c r="K962" s="18" t="str">
        <f aca="false">IF($A962="","",MAX(0,$B962-$J962))</f>
        <v/>
      </c>
      <c r="L962" s="19" t="str">
        <f aca="false">IF($A962="","",IF($B962=0,0,$K962/$B962))</f>
        <v/>
      </c>
      <c r="M962" s="20" t="str">
        <f aca="false">IF($A962="","",IF($J962&lt;0,"BORCA BATIK",IF($I962&lt;$H962,"BORCA BATIK",IF($L962&gt;=TtkUcteIkiEsik,"2/3 KAYIP (KRİTİK)",IF($L962&gt;=TtkUcteBirEsik,"1/3 KAYIP (DİKKAT)","UYGUN")))))</f>
        <v/>
      </c>
    </row>
    <row r="963" customFormat="false" ht="15" hidden="false" customHeight="false" outlineLevel="0" collapsed="false">
      <c r="A963" s="21"/>
      <c r="B963" s="17"/>
      <c r="C963" s="17"/>
      <c r="D963" s="17"/>
      <c r="E963" s="17"/>
      <c r="F963" s="17"/>
      <c r="G963" s="17"/>
      <c r="H963" s="17"/>
      <c r="I963" s="17"/>
      <c r="J963" s="18" t="str">
        <f aca="false">IF($A963="","",$B963+$C963+$D963-$E963+$F963-$G963)</f>
        <v/>
      </c>
      <c r="K963" s="18" t="str">
        <f aca="false">IF($A963="","",MAX(0,$B963-$J963))</f>
        <v/>
      </c>
      <c r="L963" s="19" t="str">
        <f aca="false">IF($A963="","",IF($B963=0,0,$K963/$B963))</f>
        <v/>
      </c>
      <c r="M963" s="20" t="str">
        <f aca="false">IF($A963="","",IF($J963&lt;0,"BORCA BATIK",IF($I963&lt;$H963,"BORCA BATIK",IF($L963&gt;=TtkUcteIkiEsik,"2/3 KAYIP (KRİTİK)",IF($L963&gt;=TtkUcteBirEsik,"1/3 KAYIP (DİKKAT)","UYGUN")))))</f>
        <v/>
      </c>
    </row>
    <row r="964" customFormat="false" ht="15" hidden="false" customHeight="false" outlineLevel="0" collapsed="false">
      <c r="A964" s="21"/>
      <c r="B964" s="17"/>
      <c r="C964" s="17"/>
      <c r="D964" s="17"/>
      <c r="E964" s="17"/>
      <c r="F964" s="17"/>
      <c r="G964" s="17"/>
      <c r="H964" s="17"/>
      <c r="I964" s="17"/>
      <c r="J964" s="18" t="str">
        <f aca="false">IF($A964="","",$B964+$C964+$D964-$E964+$F964-$G964)</f>
        <v/>
      </c>
      <c r="K964" s="18" t="str">
        <f aca="false">IF($A964="","",MAX(0,$B964-$J964))</f>
        <v/>
      </c>
      <c r="L964" s="19" t="str">
        <f aca="false">IF($A964="","",IF($B964=0,0,$K964/$B964))</f>
        <v/>
      </c>
      <c r="M964" s="20" t="str">
        <f aca="false">IF($A964="","",IF($J964&lt;0,"BORCA BATIK",IF($I964&lt;$H964,"BORCA BATIK",IF($L964&gt;=TtkUcteIkiEsik,"2/3 KAYIP (KRİTİK)",IF($L964&gt;=TtkUcteBirEsik,"1/3 KAYIP (DİKKAT)","UYGUN")))))</f>
        <v/>
      </c>
    </row>
    <row r="965" customFormat="false" ht="15" hidden="false" customHeight="false" outlineLevel="0" collapsed="false">
      <c r="A965" s="21"/>
      <c r="B965" s="17"/>
      <c r="C965" s="17"/>
      <c r="D965" s="17"/>
      <c r="E965" s="17"/>
      <c r="F965" s="17"/>
      <c r="G965" s="17"/>
      <c r="H965" s="17"/>
      <c r="I965" s="17"/>
      <c r="J965" s="18" t="str">
        <f aca="false">IF($A965="","",$B965+$C965+$D965-$E965+$F965-$G965)</f>
        <v/>
      </c>
      <c r="K965" s="18" t="str">
        <f aca="false">IF($A965="","",MAX(0,$B965-$J965))</f>
        <v/>
      </c>
      <c r="L965" s="19" t="str">
        <f aca="false">IF($A965="","",IF($B965=0,0,$K965/$B965))</f>
        <v/>
      </c>
      <c r="M965" s="20" t="str">
        <f aca="false">IF($A965="","",IF($J965&lt;0,"BORCA BATIK",IF($I965&lt;$H965,"BORCA BATIK",IF($L965&gt;=TtkUcteIkiEsik,"2/3 KAYIP (KRİTİK)",IF($L965&gt;=TtkUcteBirEsik,"1/3 KAYIP (DİKKAT)","UYGUN")))))</f>
        <v/>
      </c>
    </row>
    <row r="966" customFormat="false" ht="15" hidden="false" customHeight="false" outlineLevel="0" collapsed="false">
      <c r="A966" s="21"/>
      <c r="B966" s="17"/>
      <c r="C966" s="17"/>
      <c r="D966" s="17"/>
      <c r="E966" s="17"/>
      <c r="F966" s="17"/>
      <c r="G966" s="17"/>
      <c r="H966" s="17"/>
      <c r="I966" s="17"/>
      <c r="J966" s="18" t="str">
        <f aca="false">IF($A966="","",$B966+$C966+$D966-$E966+$F966-$G966)</f>
        <v/>
      </c>
      <c r="K966" s="18" t="str">
        <f aca="false">IF($A966="","",MAX(0,$B966-$J966))</f>
        <v/>
      </c>
      <c r="L966" s="19" t="str">
        <f aca="false">IF($A966="","",IF($B966=0,0,$K966/$B966))</f>
        <v/>
      </c>
      <c r="M966" s="20" t="str">
        <f aca="false">IF($A966="","",IF($J966&lt;0,"BORCA BATIK",IF($I966&lt;$H966,"BORCA BATIK",IF($L966&gt;=TtkUcteIkiEsik,"2/3 KAYIP (KRİTİK)",IF($L966&gt;=TtkUcteBirEsik,"1/3 KAYIP (DİKKAT)","UYGUN")))))</f>
        <v/>
      </c>
    </row>
    <row r="967" customFormat="false" ht="15" hidden="false" customHeight="false" outlineLevel="0" collapsed="false">
      <c r="A967" s="21"/>
      <c r="B967" s="17"/>
      <c r="C967" s="17"/>
      <c r="D967" s="17"/>
      <c r="E967" s="17"/>
      <c r="F967" s="17"/>
      <c r="G967" s="17"/>
      <c r="H967" s="17"/>
      <c r="I967" s="17"/>
      <c r="J967" s="18" t="str">
        <f aca="false">IF($A967="","",$B967+$C967+$D967-$E967+$F967-$G967)</f>
        <v/>
      </c>
      <c r="K967" s="18" t="str">
        <f aca="false">IF($A967="","",MAX(0,$B967-$J967))</f>
        <v/>
      </c>
      <c r="L967" s="19" t="str">
        <f aca="false">IF($A967="","",IF($B967=0,0,$K967/$B967))</f>
        <v/>
      </c>
      <c r="M967" s="20" t="str">
        <f aca="false">IF($A967="","",IF($J967&lt;0,"BORCA BATIK",IF($I967&lt;$H967,"BORCA BATIK",IF($L967&gt;=TtkUcteIkiEsik,"2/3 KAYIP (KRİTİK)",IF($L967&gt;=TtkUcteBirEsik,"1/3 KAYIP (DİKKAT)","UYGUN")))))</f>
        <v/>
      </c>
    </row>
    <row r="968" customFormat="false" ht="15" hidden="false" customHeight="false" outlineLevel="0" collapsed="false">
      <c r="A968" s="21"/>
      <c r="B968" s="17"/>
      <c r="C968" s="17"/>
      <c r="D968" s="17"/>
      <c r="E968" s="17"/>
      <c r="F968" s="17"/>
      <c r="G968" s="17"/>
      <c r="H968" s="17"/>
      <c r="I968" s="17"/>
      <c r="J968" s="18" t="str">
        <f aca="false">IF($A968="","",$B968+$C968+$D968-$E968+$F968-$G968)</f>
        <v/>
      </c>
      <c r="K968" s="18" t="str">
        <f aca="false">IF($A968="","",MAX(0,$B968-$J968))</f>
        <v/>
      </c>
      <c r="L968" s="19" t="str">
        <f aca="false">IF($A968="","",IF($B968=0,0,$K968/$B968))</f>
        <v/>
      </c>
      <c r="M968" s="20" t="str">
        <f aca="false">IF($A968="","",IF($J968&lt;0,"BORCA BATIK",IF($I968&lt;$H968,"BORCA BATIK",IF($L968&gt;=TtkUcteIkiEsik,"2/3 KAYIP (KRİTİK)",IF($L968&gt;=TtkUcteBirEsik,"1/3 KAYIP (DİKKAT)","UYGUN")))))</f>
        <v/>
      </c>
    </row>
    <row r="969" customFormat="false" ht="15" hidden="false" customHeight="false" outlineLevel="0" collapsed="false">
      <c r="A969" s="21"/>
      <c r="B969" s="17"/>
      <c r="C969" s="17"/>
      <c r="D969" s="17"/>
      <c r="E969" s="17"/>
      <c r="F969" s="17"/>
      <c r="G969" s="17"/>
      <c r="H969" s="17"/>
      <c r="I969" s="17"/>
      <c r="J969" s="18" t="str">
        <f aca="false">IF($A969="","",$B969+$C969+$D969-$E969+$F969-$G969)</f>
        <v/>
      </c>
      <c r="K969" s="18" t="str">
        <f aca="false">IF($A969="","",MAX(0,$B969-$J969))</f>
        <v/>
      </c>
      <c r="L969" s="19" t="str">
        <f aca="false">IF($A969="","",IF($B969=0,0,$K969/$B969))</f>
        <v/>
      </c>
      <c r="M969" s="20" t="str">
        <f aca="false">IF($A969="","",IF($J969&lt;0,"BORCA BATIK",IF($I969&lt;$H969,"BORCA BATIK",IF($L969&gt;=TtkUcteIkiEsik,"2/3 KAYIP (KRİTİK)",IF($L969&gt;=TtkUcteBirEsik,"1/3 KAYIP (DİKKAT)","UYGUN")))))</f>
        <v/>
      </c>
    </row>
    <row r="970" customFormat="false" ht="15" hidden="false" customHeight="false" outlineLevel="0" collapsed="false">
      <c r="A970" s="21"/>
      <c r="B970" s="17"/>
      <c r="C970" s="17"/>
      <c r="D970" s="17"/>
      <c r="E970" s="17"/>
      <c r="F970" s="17"/>
      <c r="G970" s="17"/>
      <c r="H970" s="17"/>
      <c r="I970" s="17"/>
      <c r="J970" s="18" t="str">
        <f aca="false">IF($A970="","",$B970+$C970+$D970-$E970+$F970-$G970)</f>
        <v/>
      </c>
      <c r="K970" s="18" t="str">
        <f aca="false">IF($A970="","",MAX(0,$B970-$J970))</f>
        <v/>
      </c>
      <c r="L970" s="19" t="str">
        <f aca="false">IF($A970="","",IF($B970=0,0,$K970/$B970))</f>
        <v/>
      </c>
      <c r="M970" s="20" t="str">
        <f aca="false">IF($A970="","",IF($J970&lt;0,"BORCA BATIK",IF($I970&lt;$H970,"BORCA BATIK",IF($L970&gt;=TtkUcteIkiEsik,"2/3 KAYIP (KRİTİK)",IF($L970&gt;=TtkUcteBirEsik,"1/3 KAYIP (DİKKAT)","UYGUN")))))</f>
        <v/>
      </c>
    </row>
    <row r="971" customFormat="false" ht="15" hidden="false" customHeight="false" outlineLevel="0" collapsed="false">
      <c r="A971" s="21"/>
      <c r="B971" s="17"/>
      <c r="C971" s="17"/>
      <c r="D971" s="17"/>
      <c r="E971" s="17"/>
      <c r="F971" s="17"/>
      <c r="G971" s="17"/>
      <c r="H971" s="17"/>
      <c r="I971" s="17"/>
      <c r="J971" s="18" t="str">
        <f aca="false">IF($A971="","",$B971+$C971+$D971-$E971+$F971-$G971)</f>
        <v/>
      </c>
      <c r="K971" s="18" t="str">
        <f aca="false">IF($A971="","",MAX(0,$B971-$J971))</f>
        <v/>
      </c>
      <c r="L971" s="19" t="str">
        <f aca="false">IF($A971="","",IF($B971=0,0,$K971/$B971))</f>
        <v/>
      </c>
      <c r="M971" s="20" t="str">
        <f aca="false">IF($A971="","",IF($J971&lt;0,"BORCA BATIK",IF($I971&lt;$H971,"BORCA BATIK",IF($L971&gt;=TtkUcteIkiEsik,"2/3 KAYIP (KRİTİK)",IF($L971&gt;=TtkUcteBirEsik,"1/3 KAYIP (DİKKAT)","UYGUN")))))</f>
        <v/>
      </c>
    </row>
    <row r="972" customFormat="false" ht="15" hidden="false" customHeight="false" outlineLevel="0" collapsed="false">
      <c r="A972" s="21"/>
      <c r="B972" s="17"/>
      <c r="C972" s="17"/>
      <c r="D972" s="17"/>
      <c r="E972" s="17"/>
      <c r="F972" s="17"/>
      <c r="G972" s="17"/>
      <c r="H972" s="17"/>
      <c r="I972" s="17"/>
      <c r="J972" s="18" t="str">
        <f aca="false">IF($A972="","",$B972+$C972+$D972-$E972+$F972-$G972)</f>
        <v/>
      </c>
      <c r="K972" s="18" t="str">
        <f aca="false">IF($A972="","",MAX(0,$B972-$J972))</f>
        <v/>
      </c>
      <c r="L972" s="19" t="str">
        <f aca="false">IF($A972="","",IF($B972=0,0,$K972/$B972))</f>
        <v/>
      </c>
      <c r="M972" s="20" t="str">
        <f aca="false">IF($A972="","",IF($J972&lt;0,"BORCA BATIK",IF($I972&lt;$H972,"BORCA BATIK",IF($L972&gt;=TtkUcteIkiEsik,"2/3 KAYIP (KRİTİK)",IF($L972&gt;=TtkUcteBirEsik,"1/3 KAYIP (DİKKAT)","UYGUN")))))</f>
        <v/>
      </c>
    </row>
    <row r="973" customFormat="false" ht="15" hidden="false" customHeight="false" outlineLevel="0" collapsed="false">
      <c r="A973" s="21"/>
      <c r="B973" s="17"/>
      <c r="C973" s="17"/>
      <c r="D973" s="17"/>
      <c r="E973" s="17"/>
      <c r="F973" s="17"/>
      <c r="G973" s="17"/>
      <c r="H973" s="17"/>
      <c r="I973" s="17"/>
      <c r="J973" s="18" t="str">
        <f aca="false">IF($A973="","",$B973+$C973+$D973-$E973+$F973-$G973)</f>
        <v/>
      </c>
      <c r="K973" s="18" t="str">
        <f aca="false">IF($A973="","",MAX(0,$B973-$J973))</f>
        <v/>
      </c>
      <c r="L973" s="19" t="str">
        <f aca="false">IF($A973="","",IF($B973=0,0,$K973/$B973))</f>
        <v/>
      </c>
      <c r="M973" s="20" t="str">
        <f aca="false">IF($A973="","",IF($J973&lt;0,"BORCA BATIK",IF($I973&lt;$H973,"BORCA BATIK",IF($L973&gt;=TtkUcteIkiEsik,"2/3 KAYIP (KRİTİK)",IF($L973&gt;=TtkUcteBirEsik,"1/3 KAYIP (DİKKAT)","UYGUN")))))</f>
        <v/>
      </c>
    </row>
    <row r="974" customFormat="false" ht="15" hidden="false" customHeight="false" outlineLevel="0" collapsed="false">
      <c r="A974" s="21"/>
      <c r="B974" s="17"/>
      <c r="C974" s="17"/>
      <c r="D974" s="17"/>
      <c r="E974" s="17"/>
      <c r="F974" s="17"/>
      <c r="G974" s="17"/>
      <c r="H974" s="17"/>
      <c r="I974" s="17"/>
      <c r="J974" s="18" t="str">
        <f aca="false">IF($A974="","",$B974+$C974+$D974-$E974+$F974-$G974)</f>
        <v/>
      </c>
      <c r="K974" s="18" t="str">
        <f aca="false">IF($A974="","",MAX(0,$B974-$J974))</f>
        <v/>
      </c>
      <c r="L974" s="19" t="str">
        <f aca="false">IF($A974="","",IF($B974=0,0,$K974/$B974))</f>
        <v/>
      </c>
      <c r="M974" s="20" t="str">
        <f aca="false">IF($A974="","",IF($J974&lt;0,"BORCA BATIK",IF($I974&lt;$H974,"BORCA BATIK",IF($L974&gt;=TtkUcteIkiEsik,"2/3 KAYIP (KRİTİK)",IF($L974&gt;=TtkUcteBirEsik,"1/3 KAYIP (DİKKAT)","UYGUN")))))</f>
        <v/>
      </c>
    </row>
    <row r="975" customFormat="false" ht="15" hidden="false" customHeight="false" outlineLevel="0" collapsed="false">
      <c r="A975" s="21"/>
      <c r="B975" s="17"/>
      <c r="C975" s="17"/>
      <c r="D975" s="17"/>
      <c r="E975" s="17"/>
      <c r="F975" s="17"/>
      <c r="G975" s="17"/>
      <c r="H975" s="17"/>
      <c r="I975" s="17"/>
      <c r="J975" s="18" t="str">
        <f aca="false">IF($A975="","",$B975+$C975+$D975-$E975+$F975-$G975)</f>
        <v/>
      </c>
      <c r="K975" s="18" t="str">
        <f aca="false">IF($A975="","",MAX(0,$B975-$J975))</f>
        <v/>
      </c>
      <c r="L975" s="19" t="str">
        <f aca="false">IF($A975="","",IF($B975=0,0,$K975/$B975))</f>
        <v/>
      </c>
      <c r="M975" s="20" t="str">
        <f aca="false">IF($A975="","",IF($J975&lt;0,"BORCA BATIK",IF($I975&lt;$H975,"BORCA BATIK",IF($L975&gt;=TtkUcteIkiEsik,"2/3 KAYIP (KRİTİK)",IF($L975&gt;=TtkUcteBirEsik,"1/3 KAYIP (DİKKAT)","UYGUN")))))</f>
        <v/>
      </c>
    </row>
    <row r="976" customFormat="false" ht="15" hidden="false" customHeight="false" outlineLevel="0" collapsed="false">
      <c r="A976" s="21"/>
      <c r="B976" s="17"/>
      <c r="C976" s="17"/>
      <c r="D976" s="17"/>
      <c r="E976" s="17"/>
      <c r="F976" s="17"/>
      <c r="G976" s="17"/>
      <c r="H976" s="17"/>
      <c r="I976" s="17"/>
      <c r="J976" s="18" t="str">
        <f aca="false">IF($A976="","",$B976+$C976+$D976-$E976+$F976-$G976)</f>
        <v/>
      </c>
      <c r="K976" s="18" t="str">
        <f aca="false">IF($A976="","",MAX(0,$B976-$J976))</f>
        <v/>
      </c>
      <c r="L976" s="19" t="str">
        <f aca="false">IF($A976="","",IF($B976=0,0,$K976/$B976))</f>
        <v/>
      </c>
      <c r="M976" s="20" t="str">
        <f aca="false">IF($A976="","",IF($J976&lt;0,"BORCA BATIK",IF($I976&lt;$H976,"BORCA BATIK",IF($L976&gt;=TtkUcteIkiEsik,"2/3 KAYIP (KRİTİK)",IF($L976&gt;=TtkUcteBirEsik,"1/3 KAYIP (DİKKAT)","UYGUN")))))</f>
        <v/>
      </c>
    </row>
    <row r="977" customFormat="false" ht="15" hidden="false" customHeight="false" outlineLevel="0" collapsed="false">
      <c r="A977" s="21"/>
      <c r="B977" s="17"/>
      <c r="C977" s="17"/>
      <c r="D977" s="17"/>
      <c r="E977" s="17"/>
      <c r="F977" s="17"/>
      <c r="G977" s="17"/>
      <c r="H977" s="17"/>
      <c r="I977" s="17"/>
      <c r="J977" s="18" t="str">
        <f aca="false">IF($A977="","",$B977+$C977+$D977-$E977+$F977-$G977)</f>
        <v/>
      </c>
      <c r="K977" s="18" t="str">
        <f aca="false">IF($A977="","",MAX(0,$B977-$J977))</f>
        <v/>
      </c>
      <c r="L977" s="19" t="str">
        <f aca="false">IF($A977="","",IF($B977=0,0,$K977/$B977))</f>
        <v/>
      </c>
      <c r="M977" s="20" t="str">
        <f aca="false">IF($A977="","",IF($J977&lt;0,"BORCA BATIK",IF($I977&lt;$H977,"BORCA BATIK",IF($L977&gt;=TtkUcteIkiEsik,"2/3 KAYIP (KRİTİK)",IF($L977&gt;=TtkUcteBirEsik,"1/3 KAYIP (DİKKAT)","UYGUN")))))</f>
        <v/>
      </c>
    </row>
    <row r="978" customFormat="false" ht="15" hidden="false" customHeight="false" outlineLevel="0" collapsed="false">
      <c r="A978" s="21"/>
      <c r="B978" s="17"/>
      <c r="C978" s="17"/>
      <c r="D978" s="17"/>
      <c r="E978" s="17"/>
      <c r="F978" s="17"/>
      <c r="G978" s="17"/>
      <c r="H978" s="17"/>
      <c r="I978" s="17"/>
      <c r="J978" s="18" t="str">
        <f aca="false">IF($A978="","",$B978+$C978+$D978-$E978+$F978-$G978)</f>
        <v/>
      </c>
      <c r="K978" s="18" t="str">
        <f aca="false">IF($A978="","",MAX(0,$B978-$J978))</f>
        <v/>
      </c>
      <c r="L978" s="19" t="str">
        <f aca="false">IF($A978="","",IF($B978=0,0,$K978/$B978))</f>
        <v/>
      </c>
      <c r="M978" s="20" t="str">
        <f aca="false">IF($A978="","",IF($J978&lt;0,"BORCA BATIK",IF($I978&lt;$H978,"BORCA BATIK",IF($L978&gt;=TtkUcteIkiEsik,"2/3 KAYIP (KRİTİK)",IF($L978&gt;=TtkUcteBirEsik,"1/3 KAYIP (DİKKAT)","UYGUN")))))</f>
        <v/>
      </c>
    </row>
    <row r="979" customFormat="false" ht="15" hidden="false" customHeight="false" outlineLevel="0" collapsed="false">
      <c r="A979" s="21"/>
      <c r="B979" s="17"/>
      <c r="C979" s="17"/>
      <c r="D979" s="17"/>
      <c r="E979" s="17"/>
      <c r="F979" s="17"/>
      <c r="G979" s="17"/>
      <c r="H979" s="17"/>
      <c r="I979" s="17"/>
      <c r="J979" s="18" t="str">
        <f aca="false">IF($A979="","",$B979+$C979+$D979-$E979+$F979-$G979)</f>
        <v/>
      </c>
      <c r="K979" s="18" t="str">
        <f aca="false">IF($A979="","",MAX(0,$B979-$J979))</f>
        <v/>
      </c>
      <c r="L979" s="19" t="str">
        <f aca="false">IF($A979="","",IF($B979=0,0,$K979/$B979))</f>
        <v/>
      </c>
      <c r="M979" s="20" t="str">
        <f aca="false">IF($A979="","",IF($J979&lt;0,"BORCA BATIK",IF($I979&lt;$H979,"BORCA BATIK",IF($L979&gt;=TtkUcteIkiEsik,"2/3 KAYIP (KRİTİK)",IF($L979&gt;=TtkUcteBirEsik,"1/3 KAYIP (DİKKAT)","UYGUN")))))</f>
        <v/>
      </c>
    </row>
    <row r="980" customFormat="false" ht="15" hidden="false" customHeight="false" outlineLevel="0" collapsed="false">
      <c r="A980" s="21"/>
      <c r="B980" s="17"/>
      <c r="C980" s="17"/>
      <c r="D980" s="17"/>
      <c r="E980" s="17"/>
      <c r="F980" s="17"/>
      <c r="G980" s="17"/>
      <c r="H980" s="17"/>
      <c r="I980" s="17"/>
      <c r="J980" s="18" t="str">
        <f aca="false">IF($A980="","",$B980+$C980+$D980-$E980+$F980-$G980)</f>
        <v/>
      </c>
      <c r="K980" s="18" t="str">
        <f aca="false">IF($A980="","",MAX(0,$B980-$J980))</f>
        <v/>
      </c>
      <c r="L980" s="19" t="str">
        <f aca="false">IF($A980="","",IF($B980=0,0,$K980/$B980))</f>
        <v/>
      </c>
      <c r="M980" s="20" t="str">
        <f aca="false">IF($A980="","",IF($J980&lt;0,"BORCA BATIK",IF($I980&lt;$H980,"BORCA BATIK",IF($L980&gt;=TtkUcteIkiEsik,"2/3 KAYIP (KRİTİK)",IF($L980&gt;=TtkUcteBirEsik,"1/3 KAYIP (DİKKAT)","UYGUN")))))</f>
        <v/>
      </c>
    </row>
    <row r="981" customFormat="false" ht="15" hidden="false" customHeight="false" outlineLevel="0" collapsed="false">
      <c r="A981" s="21"/>
      <c r="B981" s="17"/>
      <c r="C981" s="17"/>
      <c r="D981" s="17"/>
      <c r="E981" s="17"/>
      <c r="F981" s="17"/>
      <c r="G981" s="17"/>
      <c r="H981" s="17"/>
      <c r="I981" s="17"/>
      <c r="J981" s="18" t="str">
        <f aca="false">IF($A981="","",$B981+$C981+$D981-$E981+$F981-$G981)</f>
        <v/>
      </c>
      <c r="K981" s="18" t="str">
        <f aca="false">IF($A981="","",MAX(0,$B981-$J981))</f>
        <v/>
      </c>
      <c r="L981" s="19" t="str">
        <f aca="false">IF($A981="","",IF($B981=0,0,$K981/$B981))</f>
        <v/>
      </c>
      <c r="M981" s="20" t="str">
        <f aca="false">IF($A981="","",IF($J981&lt;0,"BORCA BATIK",IF($I981&lt;$H981,"BORCA BATIK",IF($L981&gt;=TtkUcteIkiEsik,"2/3 KAYIP (KRİTİK)",IF($L981&gt;=TtkUcteBirEsik,"1/3 KAYIP (DİKKAT)","UYGUN")))))</f>
        <v/>
      </c>
    </row>
    <row r="982" customFormat="false" ht="15" hidden="false" customHeight="false" outlineLevel="0" collapsed="false">
      <c r="A982" s="21"/>
      <c r="B982" s="17"/>
      <c r="C982" s="17"/>
      <c r="D982" s="17"/>
      <c r="E982" s="17"/>
      <c r="F982" s="17"/>
      <c r="G982" s="17"/>
      <c r="H982" s="17"/>
      <c r="I982" s="17"/>
      <c r="J982" s="18" t="str">
        <f aca="false">IF($A982="","",$B982+$C982+$D982-$E982+$F982-$G982)</f>
        <v/>
      </c>
      <c r="K982" s="18" t="str">
        <f aca="false">IF($A982="","",MAX(0,$B982-$J982))</f>
        <v/>
      </c>
      <c r="L982" s="19" t="str">
        <f aca="false">IF($A982="","",IF($B982=0,0,$K982/$B982))</f>
        <v/>
      </c>
      <c r="M982" s="20" t="str">
        <f aca="false">IF($A982="","",IF($J982&lt;0,"BORCA BATIK",IF($I982&lt;$H982,"BORCA BATIK",IF($L982&gt;=TtkUcteIkiEsik,"2/3 KAYIP (KRİTİK)",IF($L982&gt;=TtkUcteBirEsik,"1/3 KAYIP (DİKKAT)","UYGUN")))))</f>
        <v/>
      </c>
    </row>
    <row r="983" customFormat="false" ht="15" hidden="false" customHeight="false" outlineLevel="0" collapsed="false">
      <c r="A983" s="21"/>
      <c r="B983" s="17"/>
      <c r="C983" s="17"/>
      <c r="D983" s="17"/>
      <c r="E983" s="17"/>
      <c r="F983" s="17"/>
      <c r="G983" s="17"/>
      <c r="H983" s="17"/>
      <c r="I983" s="17"/>
      <c r="J983" s="18" t="str">
        <f aca="false">IF($A983="","",$B983+$C983+$D983-$E983+$F983-$G983)</f>
        <v/>
      </c>
      <c r="K983" s="18" t="str">
        <f aca="false">IF($A983="","",MAX(0,$B983-$J983))</f>
        <v/>
      </c>
      <c r="L983" s="19" t="str">
        <f aca="false">IF($A983="","",IF($B983=0,0,$K983/$B983))</f>
        <v/>
      </c>
      <c r="M983" s="20" t="str">
        <f aca="false">IF($A983="","",IF($J983&lt;0,"BORCA BATIK",IF($I983&lt;$H983,"BORCA BATIK",IF($L983&gt;=TtkUcteIkiEsik,"2/3 KAYIP (KRİTİK)",IF($L983&gt;=TtkUcteBirEsik,"1/3 KAYIP (DİKKAT)","UYGUN")))))</f>
        <v/>
      </c>
    </row>
    <row r="984" customFormat="false" ht="15" hidden="false" customHeight="false" outlineLevel="0" collapsed="false">
      <c r="A984" s="21"/>
      <c r="B984" s="17"/>
      <c r="C984" s="17"/>
      <c r="D984" s="17"/>
      <c r="E984" s="17"/>
      <c r="F984" s="17"/>
      <c r="G984" s="17"/>
      <c r="H984" s="17"/>
      <c r="I984" s="17"/>
      <c r="J984" s="18" t="str">
        <f aca="false">IF($A984="","",$B984+$C984+$D984-$E984+$F984-$G984)</f>
        <v/>
      </c>
      <c r="K984" s="18" t="str">
        <f aca="false">IF($A984="","",MAX(0,$B984-$J984))</f>
        <v/>
      </c>
      <c r="L984" s="19" t="str">
        <f aca="false">IF($A984="","",IF($B984=0,0,$K984/$B984))</f>
        <v/>
      </c>
      <c r="M984" s="20" t="str">
        <f aca="false">IF($A984="","",IF($J984&lt;0,"BORCA BATIK",IF($I984&lt;$H984,"BORCA BATIK",IF($L984&gt;=TtkUcteIkiEsik,"2/3 KAYIP (KRİTİK)",IF($L984&gt;=TtkUcteBirEsik,"1/3 KAYIP (DİKKAT)","UYGUN")))))</f>
        <v/>
      </c>
    </row>
    <row r="985" customFormat="false" ht="15" hidden="false" customHeight="false" outlineLevel="0" collapsed="false">
      <c r="A985" s="21"/>
      <c r="B985" s="17"/>
      <c r="C985" s="17"/>
      <c r="D985" s="17"/>
      <c r="E985" s="17"/>
      <c r="F985" s="17"/>
      <c r="G985" s="17"/>
      <c r="H985" s="17"/>
      <c r="I985" s="17"/>
      <c r="J985" s="18" t="str">
        <f aca="false">IF($A985="","",$B985+$C985+$D985-$E985+$F985-$G985)</f>
        <v/>
      </c>
      <c r="K985" s="18" t="str">
        <f aca="false">IF($A985="","",MAX(0,$B985-$J985))</f>
        <v/>
      </c>
      <c r="L985" s="19" t="str">
        <f aca="false">IF($A985="","",IF($B985=0,0,$K985/$B985))</f>
        <v/>
      </c>
      <c r="M985" s="20" t="str">
        <f aca="false">IF($A985="","",IF($J985&lt;0,"BORCA BATIK",IF($I985&lt;$H985,"BORCA BATIK",IF($L985&gt;=TtkUcteIkiEsik,"2/3 KAYIP (KRİTİK)",IF($L985&gt;=TtkUcteBirEsik,"1/3 KAYIP (DİKKAT)","UYGUN")))))</f>
        <v/>
      </c>
    </row>
    <row r="986" customFormat="false" ht="15" hidden="false" customHeight="false" outlineLevel="0" collapsed="false">
      <c r="A986" s="21"/>
      <c r="B986" s="17"/>
      <c r="C986" s="17"/>
      <c r="D986" s="17"/>
      <c r="E986" s="17"/>
      <c r="F986" s="17"/>
      <c r="G986" s="17"/>
      <c r="H986" s="17"/>
      <c r="I986" s="17"/>
      <c r="J986" s="18" t="str">
        <f aca="false">IF($A986="","",$B986+$C986+$D986-$E986+$F986-$G986)</f>
        <v/>
      </c>
      <c r="K986" s="18" t="str">
        <f aca="false">IF($A986="","",MAX(0,$B986-$J986))</f>
        <v/>
      </c>
      <c r="L986" s="19" t="str">
        <f aca="false">IF($A986="","",IF($B986=0,0,$K986/$B986))</f>
        <v/>
      </c>
      <c r="M986" s="20" t="str">
        <f aca="false">IF($A986="","",IF($J986&lt;0,"BORCA BATIK",IF($I986&lt;$H986,"BORCA BATIK",IF($L986&gt;=TtkUcteIkiEsik,"2/3 KAYIP (KRİTİK)",IF($L986&gt;=TtkUcteBirEsik,"1/3 KAYIP (DİKKAT)","UYGUN")))))</f>
        <v/>
      </c>
    </row>
    <row r="987" customFormat="false" ht="15" hidden="false" customHeight="false" outlineLevel="0" collapsed="false">
      <c r="A987" s="21"/>
      <c r="B987" s="17"/>
      <c r="C987" s="17"/>
      <c r="D987" s="17"/>
      <c r="E987" s="17"/>
      <c r="F987" s="17"/>
      <c r="G987" s="17"/>
      <c r="H987" s="17"/>
      <c r="I987" s="17"/>
      <c r="J987" s="18" t="str">
        <f aca="false">IF($A987="","",$B987+$C987+$D987-$E987+$F987-$G987)</f>
        <v/>
      </c>
      <c r="K987" s="18" t="str">
        <f aca="false">IF($A987="","",MAX(0,$B987-$J987))</f>
        <v/>
      </c>
      <c r="L987" s="19" t="str">
        <f aca="false">IF($A987="","",IF($B987=0,0,$K987/$B987))</f>
        <v/>
      </c>
      <c r="M987" s="20" t="str">
        <f aca="false">IF($A987="","",IF($J987&lt;0,"BORCA BATIK",IF($I987&lt;$H987,"BORCA BATIK",IF($L987&gt;=TtkUcteIkiEsik,"2/3 KAYIP (KRİTİK)",IF($L987&gt;=TtkUcteBirEsik,"1/3 KAYIP (DİKKAT)","UYGUN")))))</f>
        <v/>
      </c>
    </row>
    <row r="988" customFormat="false" ht="15" hidden="false" customHeight="false" outlineLevel="0" collapsed="false">
      <c r="A988" s="21"/>
      <c r="B988" s="17"/>
      <c r="C988" s="17"/>
      <c r="D988" s="17"/>
      <c r="E988" s="17"/>
      <c r="F988" s="17"/>
      <c r="G988" s="17"/>
      <c r="H988" s="17"/>
      <c r="I988" s="17"/>
      <c r="J988" s="18" t="str">
        <f aca="false">IF($A988="","",$B988+$C988+$D988-$E988+$F988-$G988)</f>
        <v/>
      </c>
      <c r="K988" s="18" t="str">
        <f aca="false">IF($A988="","",MAX(0,$B988-$J988))</f>
        <v/>
      </c>
      <c r="L988" s="19" t="str">
        <f aca="false">IF($A988="","",IF($B988=0,0,$K988/$B988))</f>
        <v/>
      </c>
      <c r="M988" s="20" t="str">
        <f aca="false">IF($A988="","",IF($J988&lt;0,"BORCA BATIK",IF($I988&lt;$H988,"BORCA BATIK",IF($L988&gt;=TtkUcteIkiEsik,"2/3 KAYIP (KRİTİK)",IF($L988&gt;=TtkUcteBirEsik,"1/3 KAYIP (DİKKAT)","UYGUN")))))</f>
        <v/>
      </c>
    </row>
    <row r="989" customFormat="false" ht="15" hidden="false" customHeight="false" outlineLevel="0" collapsed="false">
      <c r="A989" s="21"/>
      <c r="B989" s="17"/>
      <c r="C989" s="17"/>
      <c r="D989" s="17"/>
      <c r="E989" s="17"/>
      <c r="F989" s="17"/>
      <c r="G989" s="17"/>
      <c r="H989" s="17"/>
      <c r="I989" s="17"/>
      <c r="J989" s="18" t="str">
        <f aca="false">IF($A989="","",$B989+$C989+$D989-$E989+$F989-$G989)</f>
        <v/>
      </c>
      <c r="K989" s="18" t="str">
        <f aca="false">IF($A989="","",MAX(0,$B989-$J989))</f>
        <v/>
      </c>
      <c r="L989" s="19" t="str">
        <f aca="false">IF($A989="","",IF($B989=0,0,$K989/$B989))</f>
        <v/>
      </c>
      <c r="M989" s="20" t="str">
        <f aca="false">IF($A989="","",IF($J989&lt;0,"BORCA BATIK",IF($I989&lt;$H989,"BORCA BATIK",IF($L989&gt;=TtkUcteIkiEsik,"2/3 KAYIP (KRİTİK)",IF($L989&gt;=TtkUcteBirEsik,"1/3 KAYIP (DİKKAT)","UYGUN")))))</f>
        <v/>
      </c>
    </row>
    <row r="990" customFormat="false" ht="15" hidden="false" customHeight="false" outlineLevel="0" collapsed="false">
      <c r="A990" s="21"/>
      <c r="B990" s="17"/>
      <c r="C990" s="17"/>
      <c r="D990" s="17"/>
      <c r="E990" s="17"/>
      <c r="F990" s="17"/>
      <c r="G990" s="17"/>
      <c r="H990" s="17"/>
      <c r="I990" s="17"/>
      <c r="J990" s="18" t="str">
        <f aca="false">IF($A990="","",$B990+$C990+$D990-$E990+$F990-$G990)</f>
        <v/>
      </c>
      <c r="K990" s="18" t="str">
        <f aca="false">IF($A990="","",MAX(0,$B990-$J990))</f>
        <v/>
      </c>
      <c r="L990" s="19" t="str">
        <f aca="false">IF($A990="","",IF($B990=0,0,$K990/$B990))</f>
        <v/>
      </c>
      <c r="M990" s="20" t="str">
        <f aca="false">IF($A990="","",IF($J990&lt;0,"BORCA BATIK",IF($I990&lt;$H990,"BORCA BATIK",IF($L990&gt;=TtkUcteIkiEsik,"2/3 KAYIP (KRİTİK)",IF($L990&gt;=TtkUcteBirEsik,"1/3 KAYIP (DİKKAT)","UYGUN")))))</f>
        <v/>
      </c>
    </row>
    <row r="991" customFormat="false" ht="15" hidden="false" customHeight="false" outlineLevel="0" collapsed="false">
      <c r="A991" s="21"/>
      <c r="B991" s="17"/>
      <c r="C991" s="17"/>
      <c r="D991" s="17"/>
      <c r="E991" s="17"/>
      <c r="F991" s="17"/>
      <c r="G991" s="17"/>
      <c r="H991" s="17"/>
      <c r="I991" s="17"/>
      <c r="J991" s="18" t="str">
        <f aca="false">IF($A991="","",$B991+$C991+$D991-$E991+$F991-$G991)</f>
        <v/>
      </c>
      <c r="K991" s="18" t="str">
        <f aca="false">IF($A991="","",MAX(0,$B991-$J991))</f>
        <v/>
      </c>
      <c r="L991" s="19" t="str">
        <f aca="false">IF($A991="","",IF($B991=0,0,$K991/$B991))</f>
        <v/>
      </c>
      <c r="M991" s="20" t="str">
        <f aca="false">IF($A991="","",IF($J991&lt;0,"BORCA BATIK",IF($I991&lt;$H991,"BORCA BATIK",IF($L991&gt;=TtkUcteIkiEsik,"2/3 KAYIP (KRİTİK)",IF($L991&gt;=TtkUcteBirEsik,"1/3 KAYIP (DİKKAT)","UYGUN")))))</f>
        <v/>
      </c>
    </row>
    <row r="992" customFormat="false" ht="15" hidden="false" customHeight="false" outlineLevel="0" collapsed="false">
      <c r="A992" s="21"/>
      <c r="B992" s="17"/>
      <c r="C992" s="17"/>
      <c r="D992" s="17"/>
      <c r="E992" s="17"/>
      <c r="F992" s="17"/>
      <c r="G992" s="17"/>
      <c r="H992" s="17"/>
      <c r="I992" s="17"/>
      <c r="J992" s="18" t="str">
        <f aca="false">IF($A992="","",$B992+$C992+$D992-$E992+$F992-$G992)</f>
        <v/>
      </c>
      <c r="K992" s="18" t="str">
        <f aca="false">IF($A992="","",MAX(0,$B992-$J992))</f>
        <v/>
      </c>
      <c r="L992" s="19" t="str">
        <f aca="false">IF($A992="","",IF($B992=0,0,$K992/$B992))</f>
        <v/>
      </c>
      <c r="M992" s="20" t="str">
        <f aca="false">IF($A992="","",IF($J992&lt;0,"BORCA BATIK",IF($I992&lt;$H992,"BORCA BATIK",IF($L992&gt;=TtkUcteIkiEsik,"2/3 KAYIP (KRİTİK)",IF($L992&gt;=TtkUcteBirEsik,"1/3 KAYIP (DİKKAT)","UYGUN")))))</f>
        <v/>
      </c>
    </row>
    <row r="993" customFormat="false" ht="15" hidden="false" customHeight="false" outlineLevel="0" collapsed="false">
      <c r="A993" s="21"/>
      <c r="B993" s="17"/>
      <c r="C993" s="17"/>
      <c r="D993" s="17"/>
      <c r="E993" s="17"/>
      <c r="F993" s="17"/>
      <c r="G993" s="17"/>
      <c r="H993" s="17"/>
      <c r="I993" s="17"/>
      <c r="J993" s="18" t="str">
        <f aca="false">IF($A993="","",$B993+$C993+$D993-$E993+$F993-$G993)</f>
        <v/>
      </c>
      <c r="K993" s="18" t="str">
        <f aca="false">IF($A993="","",MAX(0,$B993-$J993))</f>
        <v/>
      </c>
      <c r="L993" s="19" t="str">
        <f aca="false">IF($A993="","",IF($B993=0,0,$K993/$B993))</f>
        <v/>
      </c>
      <c r="M993" s="20" t="str">
        <f aca="false">IF($A993="","",IF($J993&lt;0,"BORCA BATIK",IF($I993&lt;$H993,"BORCA BATIK",IF($L993&gt;=TtkUcteIkiEsik,"2/3 KAYIP (KRİTİK)",IF($L993&gt;=TtkUcteBirEsik,"1/3 KAYIP (DİKKAT)","UYGUN")))))</f>
        <v/>
      </c>
    </row>
    <row r="994" customFormat="false" ht="15" hidden="false" customHeight="false" outlineLevel="0" collapsed="false">
      <c r="A994" s="21"/>
      <c r="B994" s="17"/>
      <c r="C994" s="17"/>
      <c r="D994" s="17"/>
      <c r="E994" s="17"/>
      <c r="F994" s="17"/>
      <c r="G994" s="17"/>
      <c r="H994" s="17"/>
      <c r="I994" s="17"/>
      <c r="J994" s="18" t="str">
        <f aca="false">IF($A994="","",$B994+$C994+$D994-$E994+$F994-$G994)</f>
        <v/>
      </c>
      <c r="K994" s="18" t="str">
        <f aca="false">IF($A994="","",MAX(0,$B994-$J994))</f>
        <v/>
      </c>
      <c r="L994" s="19" t="str">
        <f aca="false">IF($A994="","",IF($B994=0,0,$K994/$B994))</f>
        <v/>
      </c>
      <c r="M994" s="20" t="str">
        <f aca="false">IF($A994="","",IF($J994&lt;0,"BORCA BATIK",IF($I994&lt;$H994,"BORCA BATIK",IF($L994&gt;=TtkUcteIkiEsik,"2/3 KAYIP (KRİTİK)",IF($L994&gt;=TtkUcteBirEsik,"1/3 KAYIP (DİKKAT)","UYGUN")))))</f>
        <v/>
      </c>
    </row>
    <row r="995" customFormat="false" ht="15" hidden="false" customHeight="false" outlineLevel="0" collapsed="false">
      <c r="A995" s="21"/>
      <c r="B995" s="17"/>
      <c r="C995" s="17"/>
      <c r="D995" s="17"/>
      <c r="E995" s="17"/>
      <c r="F995" s="17"/>
      <c r="G995" s="17"/>
      <c r="H995" s="17"/>
      <c r="I995" s="17"/>
      <c r="J995" s="18" t="str">
        <f aca="false">IF($A995="","",$B995+$C995+$D995-$E995+$F995-$G995)</f>
        <v/>
      </c>
      <c r="K995" s="18" t="str">
        <f aca="false">IF($A995="","",MAX(0,$B995-$J995))</f>
        <v/>
      </c>
      <c r="L995" s="19" t="str">
        <f aca="false">IF($A995="","",IF($B995=0,0,$K995/$B995))</f>
        <v/>
      </c>
      <c r="M995" s="20" t="str">
        <f aca="false">IF($A995="","",IF($J995&lt;0,"BORCA BATIK",IF($I995&lt;$H995,"BORCA BATIK",IF($L995&gt;=TtkUcteIkiEsik,"2/3 KAYIP (KRİTİK)",IF($L995&gt;=TtkUcteBirEsik,"1/3 KAYIP (DİKKAT)","UYGUN")))))</f>
        <v/>
      </c>
    </row>
    <row r="996" customFormat="false" ht="15" hidden="false" customHeight="false" outlineLevel="0" collapsed="false">
      <c r="A996" s="21"/>
      <c r="B996" s="17"/>
      <c r="C996" s="17"/>
      <c r="D996" s="17"/>
      <c r="E996" s="17"/>
      <c r="F996" s="17"/>
      <c r="G996" s="17"/>
      <c r="H996" s="17"/>
      <c r="I996" s="17"/>
      <c r="J996" s="18" t="str">
        <f aca="false">IF($A996="","",$B996+$C996+$D996-$E996+$F996-$G996)</f>
        <v/>
      </c>
      <c r="K996" s="18" t="str">
        <f aca="false">IF($A996="","",MAX(0,$B996-$J996))</f>
        <v/>
      </c>
      <c r="L996" s="19" t="str">
        <f aca="false">IF($A996="","",IF($B996=0,0,$K996/$B996))</f>
        <v/>
      </c>
      <c r="M996" s="20" t="str">
        <f aca="false">IF($A996="","",IF($J996&lt;0,"BORCA BATIK",IF($I996&lt;$H996,"BORCA BATIK",IF($L996&gt;=TtkUcteIkiEsik,"2/3 KAYIP (KRİTİK)",IF($L996&gt;=TtkUcteBirEsik,"1/3 KAYIP (DİKKAT)","UYGUN")))))</f>
        <v/>
      </c>
    </row>
    <row r="997" customFormat="false" ht="15" hidden="false" customHeight="false" outlineLevel="0" collapsed="false">
      <c r="A997" s="21"/>
      <c r="B997" s="17"/>
      <c r="C997" s="17"/>
      <c r="D997" s="17"/>
      <c r="E997" s="17"/>
      <c r="F997" s="17"/>
      <c r="G997" s="17"/>
      <c r="H997" s="17"/>
      <c r="I997" s="17"/>
      <c r="J997" s="18" t="str">
        <f aca="false">IF($A997="","",$B997+$C997+$D997-$E997+$F997-$G997)</f>
        <v/>
      </c>
      <c r="K997" s="18" t="str">
        <f aca="false">IF($A997="","",MAX(0,$B997-$J997))</f>
        <v/>
      </c>
      <c r="L997" s="19" t="str">
        <f aca="false">IF($A997="","",IF($B997=0,0,$K997/$B997))</f>
        <v/>
      </c>
      <c r="M997" s="20" t="str">
        <f aca="false">IF($A997="","",IF($J997&lt;0,"BORCA BATIK",IF($I997&lt;$H997,"BORCA BATIK",IF($L997&gt;=TtkUcteIkiEsik,"2/3 KAYIP (KRİTİK)",IF($L997&gt;=TtkUcteBirEsik,"1/3 KAYIP (DİKKAT)","UYGUN")))))</f>
        <v/>
      </c>
    </row>
    <row r="998" customFormat="false" ht="15" hidden="false" customHeight="false" outlineLevel="0" collapsed="false">
      <c r="A998" s="21"/>
      <c r="B998" s="17"/>
      <c r="C998" s="17"/>
      <c r="D998" s="17"/>
      <c r="E998" s="17"/>
      <c r="F998" s="17"/>
      <c r="G998" s="17"/>
      <c r="H998" s="17"/>
      <c r="I998" s="17"/>
      <c r="J998" s="18" t="str">
        <f aca="false">IF($A998="","",$B998+$C998+$D998-$E998+$F998-$G998)</f>
        <v/>
      </c>
      <c r="K998" s="18" t="str">
        <f aca="false">IF($A998="","",MAX(0,$B998-$J998))</f>
        <v/>
      </c>
      <c r="L998" s="19" t="str">
        <f aca="false">IF($A998="","",IF($B998=0,0,$K998/$B998))</f>
        <v/>
      </c>
      <c r="M998" s="20" t="str">
        <f aca="false">IF($A998="","",IF($J998&lt;0,"BORCA BATIK",IF($I998&lt;$H998,"BORCA BATIK",IF($L998&gt;=TtkUcteIkiEsik,"2/3 KAYIP (KRİTİK)",IF($L998&gt;=TtkUcteBirEsik,"1/3 KAYIP (DİKKAT)","UYGUN")))))</f>
        <v/>
      </c>
    </row>
    <row r="999" customFormat="false" ht="15" hidden="false" customHeight="false" outlineLevel="0" collapsed="false">
      <c r="A999" s="21"/>
      <c r="B999" s="17"/>
      <c r="C999" s="17"/>
      <c r="D999" s="17"/>
      <c r="E999" s="17"/>
      <c r="F999" s="17"/>
      <c r="G999" s="17"/>
      <c r="H999" s="17"/>
      <c r="I999" s="17"/>
      <c r="J999" s="18" t="str">
        <f aca="false">IF($A999="","",$B999+$C999+$D999-$E999+$F999-$G999)</f>
        <v/>
      </c>
      <c r="K999" s="18" t="str">
        <f aca="false">IF($A999="","",MAX(0,$B999-$J999))</f>
        <v/>
      </c>
      <c r="L999" s="19" t="str">
        <f aca="false">IF($A999="","",IF($B999=0,0,$K999/$B999))</f>
        <v/>
      </c>
      <c r="M999" s="20" t="str">
        <f aca="false">IF($A999="","",IF($J999&lt;0,"BORCA BATIK",IF($I999&lt;$H999,"BORCA BATIK",IF($L999&gt;=TtkUcteIkiEsik,"2/3 KAYIP (KRİTİK)",IF($L999&gt;=TtkUcteBirEsik,"1/3 KAYIP (DİKKAT)","UYGUN")))))</f>
        <v/>
      </c>
    </row>
    <row r="1000" customFormat="false" ht="15" hidden="false" customHeight="false" outlineLevel="0" collapsed="false">
      <c r="A1000" s="21"/>
      <c r="B1000" s="17"/>
      <c r="C1000" s="17"/>
      <c r="D1000" s="17"/>
      <c r="E1000" s="17"/>
      <c r="F1000" s="17"/>
      <c r="G1000" s="17"/>
      <c r="H1000" s="17"/>
      <c r="I1000" s="17"/>
      <c r="J1000" s="18" t="str">
        <f aca="false">IF($A1000="","",$B1000+$C1000+$D1000-$E1000+$F1000-$G1000)</f>
        <v/>
      </c>
      <c r="K1000" s="18" t="str">
        <f aca="false">IF($A1000="","",MAX(0,$B1000-$J1000))</f>
        <v/>
      </c>
      <c r="L1000" s="19" t="str">
        <f aca="false">IF($A1000="","",IF($B1000=0,0,$K1000/$B1000))</f>
        <v/>
      </c>
      <c r="M1000" s="20" t="str">
        <f aca="false">IF($A1000="","",IF($J1000&lt;0,"BORCA BATIK",IF($I1000&lt;$H1000,"BORCA BATIK",IF($L1000&gt;=TtkUcteIkiEsik,"2/3 KAYIP (KRİTİK)",IF($L1000&gt;=TtkUcteBirEsik,"1/3 KAYIP (DİKKAT)","UYGUN")))))</f>
        <v/>
      </c>
    </row>
    <row r="1001" customFormat="false" ht="15" hidden="false" customHeight="false" outlineLevel="0" collapsed="false">
      <c r="A1001" s="21"/>
      <c r="B1001" s="17"/>
      <c r="C1001" s="17"/>
      <c r="D1001" s="17"/>
      <c r="E1001" s="17"/>
      <c r="F1001" s="17"/>
      <c r="G1001" s="17"/>
      <c r="H1001" s="17"/>
      <c r="I1001" s="17"/>
      <c r="J1001" s="18" t="str">
        <f aca="false">IF($A1001="","",$B1001+$C1001+$D1001-$E1001+$F1001-$G1001)</f>
        <v/>
      </c>
      <c r="K1001" s="18" t="str">
        <f aca="false">IF($A1001="","",MAX(0,$B1001-$J1001))</f>
        <v/>
      </c>
      <c r="L1001" s="19" t="str">
        <f aca="false">IF($A1001="","",IF($B1001=0,0,$K1001/$B1001))</f>
        <v/>
      </c>
      <c r="M1001" s="20" t="str">
        <f aca="false">IF($A1001="","",IF($J1001&lt;0,"BORCA BATIK",IF($I1001&lt;$H1001,"BORCA BATIK",IF($L1001&gt;=TtkUcteIkiEsik,"2/3 KAYIP (KRİTİK)",IF($L1001&gt;=TtkUcteBirEsik,"1/3 KAYIP (DİKKAT)","UYGUN")))))</f>
        <v/>
      </c>
    </row>
    <row r="1002" customFormat="false" ht="15" hidden="false" customHeight="false" outlineLevel="0" collapsed="false">
      <c r="A1002" s="21"/>
      <c r="B1002" s="17"/>
      <c r="C1002" s="17"/>
      <c r="D1002" s="17"/>
      <c r="E1002" s="17"/>
      <c r="F1002" s="17"/>
      <c r="G1002" s="17"/>
      <c r="H1002" s="17"/>
      <c r="I1002" s="17"/>
      <c r="J1002" s="18" t="str">
        <f aca="false">IF($A1002="","",$B1002+$C1002+$D1002-$E1002+$F1002-$G1002)</f>
        <v/>
      </c>
      <c r="K1002" s="18" t="str">
        <f aca="false">IF($A1002="","",MAX(0,$B1002-$J1002))</f>
        <v/>
      </c>
      <c r="L1002" s="19" t="str">
        <f aca="false">IF($A1002="","",IF($B1002=0,0,$K1002/$B1002))</f>
        <v/>
      </c>
      <c r="M1002" s="20" t="str">
        <f aca="false">IF($A1002="","",IF($J1002&lt;0,"BORCA BATIK",IF($I1002&lt;$H1002,"BORCA BATIK",IF($L1002&gt;=TtkUcteIkiEsik,"2/3 KAYIP (KRİTİK)",IF($L1002&gt;=TtkUcteBirEsik,"1/3 KAYIP (DİKKAT)","UYGUN")))))</f>
        <v/>
      </c>
    </row>
    <row r="1003" customFormat="false" ht="15" hidden="false" customHeight="false" outlineLevel="0" collapsed="false">
      <c r="A1003" s="21"/>
      <c r="B1003" s="17"/>
      <c r="C1003" s="17"/>
      <c r="D1003" s="17"/>
      <c r="E1003" s="17"/>
      <c r="F1003" s="17"/>
      <c r="G1003" s="17"/>
      <c r="H1003" s="17"/>
      <c r="I1003" s="17"/>
      <c r="J1003" s="18" t="str">
        <f aca="false">IF($A1003="","",$B1003+$C1003+$D1003-$E1003+$F1003-$G1003)</f>
        <v/>
      </c>
      <c r="K1003" s="18" t="str">
        <f aca="false">IF($A1003="","",MAX(0,$B1003-$J1003))</f>
        <v/>
      </c>
      <c r="L1003" s="19" t="str">
        <f aca="false">IF($A1003="","",IF($B1003=0,0,$K1003/$B1003))</f>
        <v/>
      </c>
      <c r="M1003" s="20" t="str">
        <f aca="false">IF($A1003="","",IF($J1003&lt;0,"BORCA BATIK",IF($I1003&lt;$H1003,"BORCA BATIK",IF($L1003&gt;=TtkUcteIkiEsik,"2/3 KAYIP (KRİTİK)",IF($L1003&gt;=TtkUcteBirEsik,"1/3 KAYIP (DİKKAT)","UYGUN")))))</f>
        <v/>
      </c>
    </row>
    <row r="1004" customFormat="false" ht="15" hidden="false" customHeight="false" outlineLevel="0" collapsed="false">
      <c r="A1004" s="21"/>
      <c r="B1004" s="21"/>
      <c r="C1004" s="21"/>
      <c r="D1004" s="21"/>
      <c r="E1004" s="21"/>
      <c r="F1004" s="21"/>
      <c r="G1004" s="21"/>
      <c r="H1004" s="21"/>
      <c r="I1004" s="21"/>
      <c r="J1004" s="20" t="str">
        <f aca="false">IF($A1004="","",$B1004+$C1004+$D1004-$E1004+$F1004-$G1004)</f>
        <v/>
      </c>
      <c r="K1004" s="20" t="str">
        <f aca="false">IF($A1004="","",MAX(0,$B1004-$J1004))</f>
        <v/>
      </c>
      <c r="L1004" s="20" t="str">
        <f aca="false">IF($A1004="","",IF($B1004=0,0,$K1004/$B1004))</f>
        <v/>
      </c>
      <c r="M1004" s="20" t="str">
        <f aca="false">IF($A1004="","",IF($J1004&lt;0,"BORCA BATIK",IF($I1004&lt;$H1004,"BORCA BATIK",IF($L1004&gt;=TtkUcteIkiEsik,"2/3 KAYIP (KRİTİK)",IF($L1004&gt;=TtkUcteBirEsik,"1/3 KAYIP (DİKKAT)","UYGUN")))))</f>
        <v/>
      </c>
    </row>
    <row r="1006" customFormat="false" ht="19.5" hidden="false" customHeight="true" outlineLevel="0" collapsed="false">
      <c r="A1006" s="22" t="s">
        <v>59</v>
      </c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22"/>
      <c r="AC1006" s="22"/>
      <c r="AD1006" s="22"/>
      <c r="AE1006" s="22"/>
      <c r="AF1006" s="22"/>
      <c r="AG1006" s="22"/>
      <c r="AH1006" s="22"/>
      <c r="AI1006" s="22"/>
      <c r="AJ1006" s="22"/>
      <c r="AK1006" s="22"/>
      <c r="AL1006" s="22"/>
      <c r="AM1006" s="22"/>
      <c r="AN1006" s="22"/>
    </row>
  </sheetData>
  <sheetProtection sheet="true" password="cc3d" objects="true" scenarios="true" deleteColumns="false" deleteRows="false"/>
  <mergeCells count="2">
    <mergeCell ref="A1:AD1"/>
    <mergeCell ref="A1006:AN1006"/>
  </mergeCells>
  <conditionalFormatting sqref="B6:B1004">
    <cfRule type="cellIs" priority="2" operator="lessThan" aboveAverage="0" equalAverage="0" bottom="0" percent="0" rank="0" text="" dxfId="11">
      <formula>0</formula>
    </cfRule>
  </conditionalFormatting>
  <conditionalFormatting sqref="C6:C1004">
    <cfRule type="cellIs" priority="3" operator="lessThan" aboveAverage="0" equalAverage="0" bottom="0" percent="0" rank="0" text="" dxfId="11">
      <formula>0</formula>
    </cfRule>
  </conditionalFormatting>
  <conditionalFormatting sqref="D6:D1004">
    <cfRule type="cellIs" priority="4" operator="lessThan" aboveAverage="0" equalAverage="0" bottom="0" percent="0" rank="0" text="" dxfId="11">
      <formula>0</formula>
    </cfRule>
  </conditionalFormatting>
  <conditionalFormatting sqref="E6:E1004">
    <cfRule type="cellIs" priority="5" operator="lessThan" aboveAverage="0" equalAverage="0" bottom="0" percent="0" rank="0" text="" dxfId="11">
      <formula>0</formula>
    </cfRule>
  </conditionalFormatting>
  <conditionalFormatting sqref="F6:F1004">
    <cfRule type="cellIs" priority="6" operator="lessThan" aboveAverage="0" equalAverage="0" bottom="0" percent="0" rank="0" text="" dxfId="11">
      <formula>0</formula>
    </cfRule>
  </conditionalFormatting>
  <conditionalFormatting sqref="G6:G1004">
    <cfRule type="cellIs" priority="7" operator="lessThan" aboveAverage="0" equalAverage="0" bottom="0" percent="0" rank="0" text="" dxfId="11">
      <formula>0</formula>
    </cfRule>
  </conditionalFormatting>
  <conditionalFormatting sqref="H6:H1004">
    <cfRule type="cellIs" priority="8" operator="lessThan" aboveAverage="0" equalAverage="0" bottom="0" percent="0" rank="0" text="" dxfId="11">
      <formula>0</formula>
    </cfRule>
  </conditionalFormatting>
  <conditionalFormatting sqref="I6:I1004">
    <cfRule type="cellIs" priority="9" operator="lessThan" aboveAverage="0" equalAverage="0" bottom="0" percent="0" rank="0" text="" dxfId="11">
      <formula>0</formula>
    </cfRule>
  </conditionalFormatting>
  <conditionalFormatting sqref="J6:J1004">
    <cfRule type="cellIs" priority="10" operator="lessThan" aboveAverage="0" equalAverage="0" bottom="0" percent="0" rank="0" text="" dxfId="11">
      <formula>0</formula>
    </cfRule>
  </conditionalFormatting>
  <conditionalFormatting sqref="K6:K1004">
    <cfRule type="cellIs" priority="11" operator="greaterThan" aboveAverage="0" equalAverage="0" bottom="0" percent="0" rank="0" text="" dxfId="12">
      <formula>0</formula>
    </cfRule>
  </conditionalFormatting>
  <conditionalFormatting sqref="L6:L1004">
    <cfRule type="cellIs" priority="12" operator="greaterThan" aboveAverage="0" equalAverage="0" bottom="0" percent="0" rank="0" text="" dxfId="11">
      <formula>0.666667</formula>
    </cfRule>
    <cfRule type="cellIs" priority="13" operator="between" aboveAverage="0" equalAverage="0" bottom="0" percent="0" rank="0" text="" dxfId="12">
      <formula>0.333333</formula>
      <formula>0.666667</formula>
    </cfRule>
    <cfRule type="cellIs" priority="14" operator="lessThan" aboveAverage="0" equalAverage="0" bottom="0" percent="0" rank="0" text="" dxfId="13">
      <formula>0.333333</formula>
    </cfRule>
  </conditionalFormatting>
  <conditionalFormatting sqref="M6:M1004">
    <cfRule type="cellIs" priority="15" operator="equal" aboveAverage="0" equalAverage="0" bottom="0" percent="0" rank="0" text="" dxfId="14">
      <formula>"BORCA BATIK"</formula>
    </cfRule>
    <cfRule type="cellIs" priority="16" operator="equal" aboveAverage="0" equalAverage="0" bottom="0" percent="0" rank="0" text="" dxfId="15">
      <formula>"2/3 KAYIP (KRİTİK)"</formula>
    </cfRule>
    <cfRule type="cellIs" priority="17" operator="equal" aboveAverage="0" equalAverage="0" bottom="0" percent="0" rank="0" text="" dxfId="15">
      <formula>"1/3 KAYIP (DİKKAT)"</formula>
    </cfRule>
    <cfRule type="cellIs" priority="18" operator="equal" aboveAverage="0" equalAverage="0" bottom="0" percent="0" rank="0" text="" dxfId="16">
      <formula>"UYGUN"</formula>
    </cfRule>
  </conditionalFormatting>
  <dataValidations count="9">
    <dataValidation allowBlank="true" error="Listede olmayan ay giremezsiniz." errorStyle="stop" errorTitle="Geçersiz ay" operator="between" prompt="Listeden dönem ayını seçin (ör. 2026-01)." promptTitle="Ay" showDropDown="false" showErrorMessage="true" showInputMessage="true" sqref="A6:A1004" type="list">
      <formula1>ListeAylar</formula1>
      <formula2>0</formula2>
    </dataValidation>
    <dataValidation allowBlank="true" error="0 ile 1000000000000 arasında olmalı." errorStyle="stop" errorTitle="Geçersiz değer" operator="between" prompt="Bu dönem sonu Ödenmiş Sermaye tutarını TL olarak girin." promptTitle="Ödenmiş Sermaye" showDropDown="false" showErrorMessage="true" showInputMessage="true" sqref="B6:B1004" type="decimal">
      <formula1>0</formula1>
      <formula2>1000000000000</formula2>
    </dataValidation>
    <dataValidation allowBlank="true" error="0 ile 1000000000000 arasında olmalı." errorStyle="stop" errorTitle="Geçersiz değer" operator="between" prompt="Bu dönem sonu Yedekler tutarını TL olarak girin." promptTitle="Yedekler" showDropDown="false" showErrorMessage="true" showInputMessage="true" sqref="C6:C1004" type="decimal">
      <formula1>0</formula1>
      <formula2>1000000000000</formula2>
    </dataValidation>
    <dataValidation allowBlank="true" error="0 ile 1000000000000 arasında olmalı." errorStyle="stop" errorTitle="Geçersiz değer" operator="between" prompt="Bu dönem sonu Geçmiş Yıl Kârı tutarını TL olarak girin." promptTitle="Geçmiş Yıl Kârı" showDropDown="false" showErrorMessage="true" showInputMessage="true" sqref="D6:D1004" type="decimal">
      <formula1>0</formula1>
      <formula2>1000000000000</formula2>
    </dataValidation>
    <dataValidation allowBlank="true" error="0 ile 1000000000000 arasında olmalı." errorStyle="stop" errorTitle="Geçersiz değer" operator="between" prompt="Bu dönem sonu Geçmiş Yıl Zararı tutarını TL olarak girin." promptTitle="Geçmiş Yıl Zararı" showDropDown="false" showErrorMessage="true" showInputMessage="true" sqref="E6:E1004" type="decimal">
      <formula1>0</formula1>
      <formula2>1000000000000</formula2>
    </dataValidation>
    <dataValidation allowBlank="true" error="0 ile 1000000000000 arasında olmalı." errorStyle="stop" errorTitle="Geçersiz değer" operator="between" prompt="Bu dönem sonu Dönem Kârı tutarını TL olarak girin." promptTitle="Dönem Kârı" showDropDown="false" showErrorMessage="true" showInputMessage="true" sqref="F6:F1004" type="decimal">
      <formula1>0</formula1>
      <formula2>1000000000000</formula2>
    </dataValidation>
    <dataValidation allowBlank="true" error="0 ile 1000000000000 arasında olmalı." errorStyle="stop" errorTitle="Geçersiz değer" operator="between" prompt="Bu dönem sonu Dönem Zararı tutarını TL olarak girin." promptTitle="Dönem Zararı" showDropDown="false" showErrorMessage="true" showInputMessage="true" sqref="G6:G1004" type="decimal">
      <formula1>0</formula1>
      <formula2>1000000000000</formula2>
    </dataValidation>
    <dataValidation allowBlank="true" error="0 ile 1000000000000 arasında olmalı." errorStyle="stop" errorTitle="Geçersiz değer" operator="between" prompt="Bu dönem sonu Toplam Borç tutarını TL olarak girin." promptTitle="Toplam Borç" showDropDown="false" showErrorMessage="true" showInputMessage="true" sqref="H6:H1004" type="decimal">
      <formula1>0</formula1>
      <formula2>1000000000000</formula2>
    </dataValidation>
    <dataValidation allowBlank="true" error="0 ile 1000000000000 arasında olmalı." errorStyle="stop" errorTitle="Geçersiz değer" operator="between" prompt="Bu dönem sonu Toplam Aktif tutarını TL olarak girin." promptTitle="Toplam Aktif" showDropDown="false" showErrorMessage="true" showInputMessage="true" sqref="I6:I1004" type="decimal">
      <formula1>0</formula1>
      <formula2>1000000000000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5" min="4" style="0" width="14"/>
    <col collapsed="false" customWidth="true" hidden="false" outlineLevel="0" max="6" min="6" style="0" width="18"/>
    <col collapsed="false" customWidth="true" hidden="false" outlineLevel="0" max="8" min="7" style="0" width="14"/>
    <col collapsed="false" customWidth="true" hidden="false" outlineLevel="0" max="9" min="9" style="0" width="22"/>
    <col collapsed="false" customWidth="true" hidden="false" outlineLevel="0" max="10" min="10" style="0" width="16"/>
  </cols>
  <sheetData>
    <row r="1" customFormat="false" ht="25.5" hidden="false" customHeight="true" outlineLevel="0" collapsed="false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61</v>
      </c>
    </row>
    <row r="4" customFormat="false" ht="189.55" hidden="false" customHeight="false" outlineLevel="0" collapsed="false">
      <c r="A4" s="13" t="s">
        <v>62</v>
      </c>
    </row>
    <row r="5" customFormat="false" ht="30" hidden="false" customHeight="true" outlineLevel="0" collapsed="false">
      <c r="A5" s="14" t="s">
        <v>63</v>
      </c>
      <c r="B5" s="14" t="s">
        <v>64</v>
      </c>
      <c r="C5" s="14" t="s">
        <v>65</v>
      </c>
      <c r="D5" s="14" t="s">
        <v>66</v>
      </c>
      <c r="E5" s="14" t="s">
        <v>67</v>
      </c>
      <c r="F5" s="14" t="s">
        <v>68</v>
      </c>
      <c r="G5" s="14" t="s">
        <v>69</v>
      </c>
      <c r="H5" s="14" t="s">
        <v>70</v>
      </c>
      <c r="I5" s="14" t="s">
        <v>71</v>
      </c>
      <c r="J5" s="14" t="s">
        <v>72</v>
      </c>
    </row>
    <row r="6" customFormat="false" ht="16.4" hidden="false" customHeight="false" outlineLevel="0" collapsed="false">
      <c r="A6" s="15" t="s">
        <v>73</v>
      </c>
      <c r="B6" s="15" t="s">
        <v>74</v>
      </c>
      <c r="C6" s="15" t="s">
        <v>75</v>
      </c>
      <c r="D6" s="23" t="n">
        <v>46037</v>
      </c>
      <c r="E6" s="23" t="n">
        <v>46402</v>
      </c>
      <c r="F6" s="16" t="n">
        <v>3500000</v>
      </c>
      <c r="G6" s="24" t="n">
        <v>0.3</v>
      </c>
      <c r="H6" s="15" t="s">
        <v>76</v>
      </c>
      <c r="I6" s="15" t="s">
        <v>77</v>
      </c>
      <c r="J6" s="18" t="n">
        <f aca="false">IF($A6="","",$F6*$G6)</f>
        <v>1050000</v>
      </c>
    </row>
    <row r="7" customFormat="false" ht="15" hidden="false" customHeight="false" outlineLevel="0" collapsed="false">
      <c r="A7" s="15" t="s">
        <v>78</v>
      </c>
      <c r="B7" s="15" t="s">
        <v>79</v>
      </c>
      <c r="C7" s="15" t="s">
        <v>80</v>
      </c>
      <c r="D7" s="23" t="n">
        <v>46054</v>
      </c>
      <c r="E7" s="23" t="n">
        <v>46235</v>
      </c>
      <c r="F7" s="16" t="n">
        <v>1200000</v>
      </c>
      <c r="G7" s="25" t="n">
        <v>0</v>
      </c>
      <c r="H7" s="15" t="s">
        <v>81</v>
      </c>
      <c r="I7" s="15" t="s">
        <v>82</v>
      </c>
      <c r="J7" s="18" t="n">
        <f aca="false">IF($A7="","",$F7*$G7)</f>
        <v>0</v>
      </c>
    </row>
    <row r="8" customFormat="false" ht="15" hidden="false" customHeight="false" outlineLevel="0" collapsed="false">
      <c r="A8" s="15" t="s">
        <v>83</v>
      </c>
      <c r="B8" s="15" t="s">
        <v>84</v>
      </c>
      <c r="C8" s="15" t="s">
        <v>85</v>
      </c>
      <c r="D8" s="23" t="n">
        <v>46091</v>
      </c>
      <c r="E8" s="23" t="n">
        <v>46822</v>
      </c>
      <c r="F8" s="16" t="n">
        <v>2000000</v>
      </c>
      <c r="G8" s="24" t="n">
        <v>0.28</v>
      </c>
      <c r="H8" s="15" t="s">
        <v>81</v>
      </c>
      <c r="I8" s="15" t="s">
        <v>86</v>
      </c>
      <c r="J8" s="18" t="n">
        <f aca="false">IF($A8="","",$F8*$G8)</f>
        <v>560000</v>
      </c>
    </row>
    <row r="9" customFormat="false" ht="15" hidden="false" customHeight="false" outlineLevel="0" collapsed="false">
      <c r="A9" s="15" t="s">
        <v>87</v>
      </c>
      <c r="B9" s="15" t="s">
        <v>88</v>
      </c>
      <c r="C9" s="15" t="s">
        <v>89</v>
      </c>
      <c r="D9" s="23" t="n">
        <v>46117</v>
      </c>
      <c r="E9" s="23" t="n">
        <v>46482</v>
      </c>
      <c r="F9" s="16" t="n">
        <v>1800000</v>
      </c>
      <c r="G9" s="24" t="n">
        <v>0.2</v>
      </c>
      <c r="H9" s="15" t="s">
        <v>81</v>
      </c>
      <c r="I9" s="15" t="s">
        <v>90</v>
      </c>
      <c r="J9" s="18" t="n">
        <f aca="false">IF($A9="","",$F9*$G9)</f>
        <v>360000</v>
      </c>
    </row>
    <row r="10" customFormat="false" ht="16.4" hidden="false" customHeight="false" outlineLevel="0" collapsed="false">
      <c r="A10" s="15" t="s">
        <v>91</v>
      </c>
      <c r="B10" s="15" t="s">
        <v>92</v>
      </c>
      <c r="C10" s="15" t="s">
        <v>93</v>
      </c>
      <c r="D10" s="23" t="n">
        <v>46162</v>
      </c>
      <c r="E10" s="23" t="n">
        <v>46893</v>
      </c>
      <c r="F10" s="16" t="n">
        <v>900000</v>
      </c>
      <c r="G10" s="24" t="n">
        <v>0.24</v>
      </c>
      <c r="H10" s="15" t="s">
        <v>76</v>
      </c>
      <c r="I10" s="15" t="s">
        <v>94</v>
      </c>
      <c r="J10" s="18" t="n">
        <f aca="false">IF($A10="","",$F10*$G10)</f>
        <v>216000</v>
      </c>
    </row>
    <row r="11" customFormat="false" ht="16.4" hidden="false" customHeight="false" outlineLevel="0" collapsed="false">
      <c r="A11" s="15" t="s">
        <v>95</v>
      </c>
      <c r="B11" s="15" t="s">
        <v>74</v>
      </c>
      <c r="C11" s="15" t="s">
        <v>96</v>
      </c>
      <c r="D11" s="23" t="n">
        <v>46174</v>
      </c>
      <c r="E11" s="23" t="n">
        <v>46539</v>
      </c>
      <c r="F11" s="16" t="n">
        <v>1500000</v>
      </c>
      <c r="G11" s="24" t="n">
        <v>0.32</v>
      </c>
      <c r="H11" s="15" t="s">
        <v>76</v>
      </c>
      <c r="I11" s="15" t="s">
        <v>97</v>
      </c>
      <c r="J11" s="18" t="n">
        <f aca="false">IF($A11="","",$F11*$G11)</f>
        <v>480000</v>
      </c>
    </row>
    <row r="12" customFormat="false" ht="15" hidden="false" customHeight="false" outlineLevel="0" collapsed="false">
      <c r="A12" s="21"/>
      <c r="B12" s="21"/>
      <c r="C12" s="21"/>
      <c r="D12" s="26"/>
      <c r="E12" s="26"/>
      <c r="F12" s="17"/>
      <c r="G12" s="25"/>
      <c r="H12" s="21"/>
      <c r="I12" s="21"/>
      <c r="J12" s="18" t="str">
        <f aca="false">IF($A12="","",$F12*$G12)</f>
        <v/>
      </c>
    </row>
    <row r="13" customFormat="false" ht="15" hidden="false" customHeight="false" outlineLevel="0" collapsed="false">
      <c r="A13" s="21"/>
      <c r="B13" s="21"/>
      <c r="C13" s="21"/>
      <c r="D13" s="26"/>
      <c r="E13" s="26"/>
      <c r="F13" s="17"/>
      <c r="G13" s="25"/>
      <c r="H13" s="21"/>
      <c r="I13" s="21"/>
      <c r="J13" s="18" t="str">
        <f aca="false">IF($A13="","",$F13*$G13)</f>
        <v/>
      </c>
    </row>
    <row r="14" customFormat="false" ht="15" hidden="false" customHeight="false" outlineLevel="0" collapsed="false">
      <c r="A14" s="21"/>
      <c r="B14" s="21"/>
      <c r="C14" s="21"/>
      <c r="D14" s="26"/>
      <c r="E14" s="26"/>
      <c r="F14" s="17"/>
      <c r="G14" s="25"/>
      <c r="H14" s="21"/>
      <c r="I14" s="21"/>
      <c r="J14" s="18" t="str">
        <f aca="false">IF($A14="","",$F14*$G14)</f>
        <v/>
      </c>
    </row>
    <row r="15" customFormat="false" ht="15" hidden="false" customHeight="false" outlineLevel="0" collapsed="false">
      <c r="A15" s="21"/>
      <c r="B15" s="21"/>
      <c r="C15" s="21"/>
      <c r="D15" s="26"/>
      <c r="E15" s="26"/>
      <c r="F15" s="17"/>
      <c r="G15" s="25"/>
      <c r="H15" s="21"/>
      <c r="I15" s="21"/>
      <c r="J15" s="18" t="str">
        <f aca="false">IF($A15="","",$F15*$G15)</f>
        <v/>
      </c>
    </row>
    <row r="16" customFormat="false" ht="15" hidden="false" customHeight="false" outlineLevel="0" collapsed="false">
      <c r="A16" s="21"/>
      <c r="B16" s="21"/>
      <c r="C16" s="21"/>
      <c r="D16" s="26"/>
      <c r="E16" s="26"/>
      <c r="F16" s="17"/>
      <c r="G16" s="25"/>
      <c r="H16" s="21"/>
      <c r="I16" s="21"/>
      <c r="J16" s="18" t="str">
        <f aca="false">IF($A16="","",$F16*$G16)</f>
        <v/>
      </c>
    </row>
    <row r="17" customFormat="false" ht="15" hidden="false" customHeight="false" outlineLevel="0" collapsed="false">
      <c r="A17" s="21"/>
      <c r="B17" s="21"/>
      <c r="C17" s="21"/>
      <c r="D17" s="26"/>
      <c r="E17" s="26"/>
      <c r="F17" s="17"/>
      <c r="G17" s="25"/>
      <c r="H17" s="21"/>
      <c r="I17" s="21"/>
      <c r="J17" s="18" t="str">
        <f aca="false">IF($A17="","",$F17*$G17)</f>
        <v/>
      </c>
    </row>
    <row r="18" customFormat="false" ht="15" hidden="false" customHeight="false" outlineLevel="0" collapsed="false">
      <c r="A18" s="21"/>
      <c r="B18" s="21"/>
      <c r="C18" s="21"/>
      <c r="D18" s="26"/>
      <c r="E18" s="26"/>
      <c r="F18" s="17"/>
      <c r="G18" s="25"/>
      <c r="H18" s="21"/>
      <c r="I18" s="21"/>
      <c r="J18" s="18" t="str">
        <f aca="false">IF($A18="","",$F18*$G18)</f>
        <v/>
      </c>
    </row>
    <row r="19" customFormat="false" ht="15" hidden="false" customHeight="false" outlineLevel="0" collapsed="false">
      <c r="A19" s="21"/>
      <c r="B19" s="21"/>
      <c r="C19" s="21"/>
      <c r="D19" s="26"/>
      <c r="E19" s="26"/>
      <c r="F19" s="17"/>
      <c r="G19" s="25"/>
      <c r="H19" s="21"/>
      <c r="I19" s="21"/>
      <c r="J19" s="18" t="str">
        <f aca="false">IF($A19="","",$F19*$G19)</f>
        <v/>
      </c>
    </row>
    <row r="20" customFormat="false" ht="15" hidden="false" customHeight="false" outlineLevel="0" collapsed="false">
      <c r="A20" s="21"/>
      <c r="B20" s="21"/>
      <c r="C20" s="21"/>
      <c r="D20" s="26"/>
      <c r="E20" s="26"/>
      <c r="F20" s="17"/>
      <c r="G20" s="25"/>
      <c r="H20" s="21"/>
      <c r="I20" s="21"/>
      <c r="J20" s="18" t="str">
        <f aca="false">IF($A20="","",$F20*$G20)</f>
        <v/>
      </c>
    </row>
    <row r="21" customFormat="false" ht="15" hidden="false" customHeight="false" outlineLevel="0" collapsed="false">
      <c r="A21" s="21"/>
      <c r="B21" s="21"/>
      <c r="C21" s="21"/>
      <c r="D21" s="26"/>
      <c r="E21" s="26"/>
      <c r="F21" s="17"/>
      <c r="G21" s="25"/>
      <c r="H21" s="21"/>
      <c r="I21" s="21"/>
      <c r="J21" s="18" t="str">
        <f aca="false">IF($A21="","",$F21*$G21)</f>
        <v/>
      </c>
    </row>
    <row r="22" customFormat="false" ht="15" hidden="false" customHeight="false" outlineLevel="0" collapsed="false">
      <c r="A22" s="21"/>
      <c r="B22" s="21"/>
      <c r="C22" s="21"/>
      <c r="D22" s="26"/>
      <c r="E22" s="26"/>
      <c r="F22" s="17"/>
      <c r="G22" s="25"/>
      <c r="H22" s="21"/>
      <c r="I22" s="21"/>
      <c r="J22" s="18" t="str">
        <f aca="false">IF($A22="","",$F22*$G22)</f>
        <v/>
      </c>
    </row>
    <row r="23" customFormat="false" ht="15" hidden="false" customHeight="false" outlineLevel="0" collapsed="false">
      <c r="A23" s="21"/>
      <c r="B23" s="21"/>
      <c r="C23" s="21"/>
      <c r="D23" s="26"/>
      <c r="E23" s="26"/>
      <c r="F23" s="17"/>
      <c r="G23" s="25"/>
      <c r="H23" s="21"/>
      <c r="I23" s="21"/>
      <c r="J23" s="18" t="str">
        <f aca="false">IF($A23="","",$F23*$G23)</f>
        <v/>
      </c>
    </row>
    <row r="24" customFormat="false" ht="15" hidden="false" customHeight="false" outlineLevel="0" collapsed="false">
      <c r="A24" s="21"/>
      <c r="B24" s="21"/>
      <c r="C24" s="21"/>
      <c r="D24" s="26"/>
      <c r="E24" s="26"/>
      <c r="F24" s="17"/>
      <c r="G24" s="25"/>
      <c r="H24" s="21"/>
      <c r="I24" s="21"/>
      <c r="J24" s="18" t="str">
        <f aca="false">IF($A24="","",$F24*$G24)</f>
        <v/>
      </c>
    </row>
    <row r="25" customFormat="false" ht="15" hidden="false" customHeight="false" outlineLevel="0" collapsed="false">
      <c r="A25" s="21"/>
      <c r="B25" s="21"/>
      <c r="C25" s="21"/>
      <c r="D25" s="26"/>
      <c r="E25" s="26"/>
      <c r="F25" s="17"/>
      <c r="G25" s="25"/>
      <c r="H25" s="21"/>
      <c r="I25" s="21"/>
      <c r="J25" s="18" t="str">
        <f aca="false">IF($A25="","",$F25*$G25)</f>
        <v/>
      </c>
    </row>
    <row r="26" customFormat="false" ht="15" hidden="false" customHeight="false" outlineLevel="0" collapsed="false">
      <c r="A26" s="21"/>
      <c r="B26" s="21"/>
      <c r="C26" s="21"/>
      <c r="D26" s="26"/>
      <c r="E26" s="26"/>
      <c r="F26" s="17"/>
      <c r="G26" s="25"/>
      <c r="H26" s="21"/>
      <c r="I26" s="21"/>
      <c r="J26" s="18" t="str">
        <f aca="false">IF($A26="","",$F26*$G26)</f>
        <v/>
      </c>
    </row>
    <row r="27" customFormat="false" ht="15" hidden="false" customHeight="false" outlineLevel="0" collapsed="false">
      <c r="A27" s="21"/>
      <c r="B27" s="21"/>
      <c r="C27" s="21"/>
      <c r="D27" s="26"/>
      <c r="E27" s="26"/>
      <c r="F27" s="17"/>
      <c r="G27" s="25"/>
      <c r="H27" s="21"/>
      <c r="I27" s="21"/>
      <c r="J27" s="18" t="str">
        <f aca="false">IF($A27="","",$F27*$G27)</f>
        <v/>
      </c>
    </row>
    <row r="28" customFormat="false" ht="15" hidden="false" customHeight="false" outlineLevel="0" collapsed="false">
      <c r="A28" s="21"/>
      <c r="B28" s="21"/>
      <c r="C28" s="21"/>
      <c r="D28" s="26"/>
      <c r="E28" s="26"/>
      <c r="F28" s="17"/>
      <c r="G28" s="25"/>
      <c r="H28" s="21"/>
      <c r="I28" s="21"/>
      <c r="J28" s="18" t="str">
        <f aca="false">IF($A28="","",$F28*$G28)</f>
        <v/>
      </c>
    </row>
    <row r="29" customFormat="false" ht="15" hidden="false" customHeight="false" outlineLevel="0" collapsed="false">
      <c r="A29" s="21"/>
      <c r="B29" s="21"/>
      <c r="C29" s="21"/>
      <c r="D29" s="26"/>
      <c r="E29" s="26"/>
      <c r="F29" s="17"/>
      <c r="G29" s="25"/>
      <c r="H29" s="21"/>
      <c r="I29" s="21"/>
      <c r="J29" s="18" t="str">
        <f aca="false">IF($A29="","",$F29*$G29)</f>
        <v/>
      </c>
    </row>
    <row r="30" customFormat="false" ht="15" hidden="false" customHeight="false" outlineLevel="0" collapsed="false">
      <c r="A30" s="21"/>
      <c r="B30" s="21"/>
      <c r="C30" s="21"/>
      <c r="D30" s="26"/>
      <c r="E30" s="26"/>
      <c r="F30" s="17"/>
      <c r="G30" s="25"/>
      <c r="H30" s="21"/>
      <c r="I30" s="21"/>
      <c r="J30" s="18" t="str">
        <f aca="false">IF($A30="","",$F30*$G30)</f>
        <v/>
      </c>
    </row>
    <row r="31" customFormat="false" ht="15" hidden="false" customHeight="false" outlineLevel="0" collapsed="false">
      <c r="A31" s="21"/>
      <c r="B31" s="21"/>
      <c r="C31" s="21"/>
      <c r="D31" s="26"/>
      <c r="E31" s="26"/>
      <c r="F31" s="17"/>
      <c r="G31" s="25"/>
      <c r="H31" s="21"/>
      <c r="I31" s="21"/>
      <c r="J31" s="18" t="str">
        <f aca="false">IF($A31="","",$F31*$G31)</f>
        <v/>
      </c>
    </row>
    <row r="32" customFormat="false" ht="15" hidden="false" customHeight="false" outlineLevel="0" collapsed="false">
      <c r="A32" s="21"/>
      <c r="B32" s="21"/>
      <c r="C32" s="21"/>
      <c r="D32" s="26"/>
      <c r="E32" s="26"/>
      <c r="F32" s="17"/>
      <c r="G32" s="25"/>
      <c r="H32" s="21"/>
      <c r="I32" s="21"/>
      <c r="J32" s="18" t="str">
        <f aca="false">IF($A32="","",$F32*$G32)</f>
        <v/>
      </c>
    </row>
    <row r="33" customFormat="false" ht="15" hidden="false" customHeight="false" outlineLevel="0" collapsed="false">
      <c r="A33" s="21"/>
      <c r="B33" s="21"/>
      <c r="C33" s="21"/>
      <c r="D33" s="26"/>
      <c r="E33" s="26"/>
      <c r="F33" s="17"/>
      <c r="G33" s="25"/>
      <c r="H33" s="21"/>
      <c r="I33" s="21"/>
      <c r="J33" s="18" t="str">
        <f aca="false">IF($A33="","",$F33*$G33)</f>
        <v/>
      </c>
    </row>
    <row r="34" customFormat="false" ht="15" hidden="false" customHeight="false" outlineLevel="0" collapsed="false">
      <c r="A34" s="21"/>
      <c r="B34" s="21"/>
      <c r="C34" s="21"/>
      <c r="D34" s="26"/>
      <c r="E34" s="26"/>
      <c r="F34" s="17"/>
      <c r="G34" s="25"/>
      <c r="H34" s="21"/>
      <c r="I34" s="21"/>
      <c r="J34" s="18" t="str">
        <f aca="false">IF($A34="","",$F34*$G34)</f>
        <v/>
      </c>
    </row>
    <row r="35" customFormat="false" ht="15" hidden="false" customHeight="false" outlineLevel="0" collapsed="false">
      <c r="A35" s="21"/>
      <c r="B35" s="21"/>
      <c r="C35" s="21"/>
      <c r="D35" s="26"/>
      <c r="E35" s="26"/>
      <c r="F35" s="17"/>
      <c r="G35" s="25"/>
      <c r="H35" s="21"/>
      <c r="I35" s="21"/>
      <c r="J35" s="18" t="str">
        <f aca="false">IF($A35="","",$F35*$G35)</f>
        <v/>
      </c>
    </row>
    <row r="36" customFormat="false" ht="15" hidden="false" customHeight="false" outlineLevel="0" collapsed="false">
      <c r="A36" s="21"/>
      <c r="B36" s="21"/>
      <c r="C36" s="21"/>
      <c r="D36" s="26"/>
      <c r="E36" s="26"/>
      <c r="F36" s="17"/>
      <c r="G36" s="25"/>
      <c r="H36" s="21"/>
      <c r="I36" s="21"/>
      <c r="J36" s="18" t="str">
        <f aca="false">IF($A36="","",$F36*$G36)</f>
        <v/>
      </c>
    </row>
    <row r="37" customFormat="false" ht="15" hidden="false" customHeight="false" outlineLevel="0" collapsed="false">
      <c r="A37" s="21"/>
      <c r="B37" s="21"/>
      <c r="C37" s="21"/>
      <c r="D37" s="26"/>
      <c r="E37" s="26"/>
      <c r="F37" s="17"/>
      <c r="G37" s="25"/>
      <c r="H37" s="21"/>
      <c r="I37" s="21"/>
      <c r="J37" s="18" t="str">
        <f aca="false">IF($A37="","",$F37*$G37)</f>
        <v/>
      </c>
    </row>
    <row r="38" customFormat="false" ht="15" hidden="false" customHeight="false" outlineLevel="0" collapsed="false">
      <c r="A38" s="21"/>
      <c r="B38" s="21"/>
      <c r="C38" s="21"/>
      <c r="D38" s="26"/>
      <c r="E38" s="26"/>
      <c r="F38" s="17"/>
      <c r="G38" s="25"/>
      <c r="H38" s="21"/>
      <c r="I38" s="21"/>
      <c r="J38" s="18" t="str">
        <f aca="false">IF($A38="","",$F38*$G38)</f>
        <v/>
      </c>
    </row>
    <row r="39" customFormat="false" ht="15" hidden="false" customHeight="false" outlineLevel="0" collapsed="false">
      <c r="A39" s="21"/>
      <c r="B39" s="21"/>
      <c r="C39" s="21"/>
      <c r="D39" s="26"/>
      <c r="E39" s="26"/>
      <c r="F39" s="17"/>
      <c r="G39" s="25"/>
      <c r="H39" s="21"/>
      <c r="I39" s="21"/>
      <c r="J39" s="18" t="str">
        <f aca="false">IF($A39="","",$F39*$G39)</f>
        <v/>
      </c>
    </row>
    <row r="40" customFormat="false" ht="15" hidden="false" customHeight="false" outlineLevel="0" collapsed="false">
      <c r="A40" s="21"/>
      <c r="B40" s="21"/>
      <c r="C40" s="21"/>
      <c r="D40" s="26"/>
      <c r="E40" s="26"/>
      <c r="F40" s="17"/>
      <c r="G40" s="25"/>
      <c r="H40" s="21"/>
      <c r="I40" s="21"/>
      <c r="J40" s="18" t="str">
        <f aca="false">IF($A40="","",$F40*$G40)</f>
        <v/>
      </c>
    </row>
    <row r="41" customFormat="false" ht="15" hidden="false" customHeight="false" outlineLevel="0" collapsed="false">
      <c r="A41" s="21"/>
      <c r="B41" s="21"/>
      <c r="C41" s="21"/>
      <c r="D41" s="26"/>
      <c r="E41" s="26"/>
      <c r="F41" s="17"/>
      <c r="G41" s="25"/>
      <c r="H41" s="21"/>
      <c r="I41" s="21"/>
      <c r="J41" s="18" t="str">
        <f aca="false">IF($A41="","",$F41*$G41)</f>
        <v/>
      </c>
    </row>
    <row r="42" customFormat="false" ht="15" hidden="false" customHeight="false" outlineLevel="0" collapsed="false">
      <c r="A42" s="21"/>
      <c r="B42" s="21"/>
      <c r="C42" s="21"/>
      <c r="D42" s="26"/>
      <c r="E42" s="26"/>
      <c r="F42" s="17"/>
      <c r="G42" s="25"/>
      <c r="H42" s="21"/>
      <c r="I42" s="21"/>
      <c r="J42" s="18" t="str">
        <f aca="false">IF($A42="","",$F42*$G42)</f>
        <v/>
      </c>
    </row>
    <row r="43" customFormat="false" ht="15" hidden="false" customHeight="false" outlineLevel="0" collapsed="false">
      <c r="A43" s="21"/>
      <c r="B43" s="21"/>
      <c r="C43" s="21"/>
      <c r="D43" s="26"/>
      <c r="E43" s="26"/>
      <c r="F43" s="17"/>
      <c r="G43" s="25"/>
      <c r="H43" s="21"/>
      <c r="I43" s="21"/>
      <c r="J43" s="18" t="str">
        <f aca="false">IF($A43="","",$F43*$G43)</f>
        <v/>
      </c>
    </row>
    <row r="44" customFormat="false" ht="15" hidden="false" customHeight="false" outlineLevel="0" collapsed="false">
      <c r="A44" s="21"/>
      <c r="B44" s="21"/>
      <c r="C44" s="21"/>
      <c r="D44" s="26"/>
      <c r="E44" s="26"/>
      <c r="F44" s="17"/>
      <c r="G44" s="25"/>
      <c r="H44" s="21"/>
      <c r="I44" s="21"/>
      <c r="J44" s="18" t="str">
        <f aca="false">IF($A44="","",$F44*$G44)</f>
        <v/>
      </c>
    </row>
    <row r="45" customFormat="false" ht="15" hidden="false" customHeight="false" outlineLevel="0" collapsed="false">
      <c r="A45" s="21"/>
      <c r="B45" s="21"/>
      <c r="C45" s="21"/>
      <c r="D45" s="26"/>
      <c r="E45" s="26"/>
      <c r="F45" s="17"/>
      <c r="G45" s="25"/>
      <c r="H45" s="21"/>
      <c r="I45" s="21"/>
      <c r="J45" s="18" t="str">
        <f aca="false">IF($A45="","",$F45*$G45)</f>
        <v/>
      </c>
    </row>
    <row r="46" customFormat="false" ht="15" hidden="false" customHeight="false" outlineLevel="0" collapsed="false">
      <c r="A46" s="21"/>
      <c r="B46" s="21"/>
      <c r="C46" s="21"/>
      <c r="D46" s="26"/>
      <c r="E46" s="26"/>
      <c r="F46" s="17"/>
      <c r="G46" s="25"/>
      <c r="H46" s="21"/>
      <c r="I46" s="21"/>
      <c r="J46" s="18" t="str">
        <f aca="false">IF($A46="","",$F46*$G46)</f>
        <v/>
      </c>
    </row>
    <row r="47" customFormat="false" ht="15" hidden="false" customHeight="false" outlineLevel="0" collapsed="false">
      <c r="A47" s="21"/>
      <c r="B47" s="21"/>
      <c r="C47" s="21"/>
      <c r="D47" s="26"/>
      <c r="E47" s="26"/>
      <c r="F47" s="17"/>
      <c r="G47" s="25"/>
      <c r="H47" s="21"/>
      <c r="I47" s="21"/>
      <c r="J47" s="18" t="str">
        <f aca="false">IF($A47="","",$F47*$G47)</f>
        <v/>
      </c>
    </row>
    <row r="48" customFormat="false" ht="15" hidden="false" customHeight="false" outlineLevel="0" collapsed="false">
      <c r="A48" s="21"/>
      <c r="B48" s="21"/>
      <c r="C48" s="21"/>
      <c r="D48" s="26"/>
      <c r="E48" s="26"/>
      <c r="F48" s="17"/>
      <c r="G48" s="25"/>
      <c r="H48" s="21"/>
      <c r="I48" s="21"/>
      <c r="J48" s="18" t="str">
        <f aca="false">IF($A48="","",$F48*$G48)</f>
        <v/>
      </c>
    </row>
    <row r="49" customFormat="false" ht="15" hidden="false" customHeight="false" outlineLevel="0" collapsed="false">
      <c r="A49" s="21"/>
      <c r="B49" s="21"/>
      <c r="C49" s="21"/>
      <c r="D49" s="26"/>
      <c r="E49" s="26"/>
      <c r="F49" s="17"/>
      <c r="G49" s="25"/>
      <c r="H49" s="21"/>
      <c r="I49" s="21"/>
      <c r="J49" s="18" t="str">
        <f aca="false">IF($A49="","",$F49*$G49)</f>
        <v/>
      </c>
    </row>
    <row r="50" customFormat="false" ht="15" hidden="false" customHeight="false" outlineLevel="0" collapsed="false">
      <c r="A50" s="21"/>
      <c r="B50" s="21"/>
      <c r="C50" s="21"/>
      <c r="D50" s="26"/>
      <c r="E50" s="26"/>
      <c r="F50" s="17"/>
      <c r="G50" s="25"/>
      <c r="H50" s="21"/>
      <c r="I50" s="21"/>
      <c r="J50" s="18" t="str">
        <f aca="false">IF($A50="","",$F50*$G50)</f>
        <v/>
      </c>
    </row>
    <row r="51" customFormat="false" ht="15" hidden="false" customHeight="false" outlineLevel="0" collapsed="false">
      <c r="A51" s="21"/>
      <c r="B51" s="21"/>
      <c r="C51" s="21"/>
      <c r="D51" s="26"/>
      <c r="E51" s="26"/>
      <c r="F51" s="17"/>
      <c r="G51" s="25"/>
      <c r="H51" s="21"/>
      <c r="I51" s="21"/>
      <c r="J51" s="18" t="str">
        <f aca="false">IF($A51="","",$F51*$G51)</f>
        <v/>
      </c>
    </row>
    <row r="52" customFormat="false" ht="15" hidden="false" customHeight="false" outlineLevel="0" collapsed="false">
      <c r="A52" s="21"/>
      <c r="B52" s="21"/>
      <c r="C52" s="21"/>
      <c r="D52" s="26"/>
      <c r="E52" s="26"/>
      <c r="F52" s="17"/>
      <c r="G52" s="25"/>
      <c r="H52" s="21"/>
      <c r="I52" s="21"/>
      <c r="J52" s="18" t="str">
        <f aca="false">IF($A52="","",$F52*$G52)</f>
        <v/>
      </c>
    </row>
    <row r="53" customFormat="false" ht="15" hidden="false" customHeight="false" outlineLevel="0" collapsed="false">
      <c r="A53" s="21"/>
      <c r="B53" s="21"/>
      <c r="C53" s="21"/>
      <c r="D53" s="26"/>
      <c r="E53" s="26"/>
      <c r="F53" s="17"/>
      <c r="G53" s="25"/>
      <c r="H53" s="21"/>
      <c r="I53" s="21"/>
      <c r="J53" s="18" t="str">
        <f aca="false">IF($A53="","",$F53*$G53)</f>
        <v/>
      </c>
    </row>
    <row r="54" customFormat="false" ht="15" hidden="false" customHeight="false" outlineLevel="0" collapsed="false">
      <c r="A54" s="21"/>
      <c r="B54" s="21"/>
      <c r="C54" s="21"/>
      <c r="D54" s="26"/>
      <c r="E54" s="26"/>
      <c r="F54" s="17"/>
      <c r="G54" s="25"/>
      <c r="H54" s="21"/>
      <c r="I54" s="21"/>
      <c r="J54" s="18" t="str">
        <f aca="false">IF($A54="","",$F54*$G54)</f>
        <v/>
      </c>
    </row>
    <row r="55" customFormat="false" ht="15" hidden="false" customHeight="false" outlineLevel="0" collapsed="false">
      <c r="A55" s="21"/>
      <c r="B55" s="21"/>
      <c r="C55" s="21"/>
      <c r="D55" s="26"/>
      <c r="E55" s="26"/>
      <c r="F55" s="17"/>
      <c r="G55" s="25"/>
      <c r="H55" s="21"/>
      <c r="I55" s="21"/>
      <c r="J55" s="18" t="str">
        <f aca="false">IF($A55="","",$F55*$G55)</f>
        <v/>
      </c>
    </row>
    <row r="56" customFormat="false" ht="15" hidden="false" customHeight="false" outlineLevel="0" collapsed="false">
      <c r="A56" s="21"/>
      <c r="B56" s="21"/>
      <c r="C56" s="21"/>
      <c r="D56" s="26"/>
      <c r="E56" s="26"/>
      <c r="F56" s="17"/>
      <c r="G56" s="25"/>
      <c r="H56" s="21"/>
      <c r="I56" s="21"/>
      <c r="J56" s="18" t="str">
        <f aca="false">IF($A56="","",$F56*$G56)</f>
        <v/>
      </c>
    </row>
    <row r="57" customFormat="false" ht="15" hidden="false" customHeight="false" outlineLevel="0" collapsed="false">
      <c r="A57" s="21"/>
      <c r="B57" s="21"/>
      <c r="C57" s="21"/>
      <c r="D57" s="26"/>
      <c r="E57" s="26"/>
      <c r="F57" s="17"/>
      <c r="G57" s="25"/>
      <c r="H57" s="21"/>
      <c r="I57" s="21"/>
      <c r="J57" s="18" t="str">
        <f aca="false">IF($A57="","",$F57*$G57)</f>
        <v/>
      </c>
    </row>
    <row r="58" customFormat="false" ht="15" hidden="false" customHeight="false" outlineLevel="0" collapsed="false">
      <c r="A58" s="21"/>
      <c r="B58" s="21"/>
      <c r="C58" s="21"/>
      <c r="D58" s="26"/>
      <c r="E58" s="26"/>
      <c r="F58" s="17"/>
      <c r="G58" s="25"/>
      <c r="H58" s="21"/>
      <c r="I58" s="21"/>
      <c r="J58" s="18" t="str">
        <f aca="false">IF($A58="","",$F58*$G58)</f>
        <v/>
      </c>
    </row>
    <row r="59" customFormat="false" ht="15" hidden="false" customHeight="false" outlineLevel="0" collapsed="false">
      <c r="A59" s="21"/>
      <c r="B59" s="21"/>
      <c r="C59" s="21"/>
      <c r="D59" s="26"/>
      <c r="E59" s="26"/>
      <c r="F59" s="17"/>
      <c r="G59" s="25"/>
      <c r="H59" s="21"/>
      <c r="I59" s="21"/>
      <c r="J59" s="18" t="str">
        <f aca="false">IF($A59="","",$F59*$G59)</f>
        <v/>
      </c>
    </row>
    <row r="60" customFormat="false" ht="15" hidden="false" customHeight="false" outlineLevel="0" collapsed="false">
      <c r="A60" s="21"/>
      <c r="B60" s="21"/>
      <c r="C60" s="21"/>
      <c r="D60" s="26"/>
      <c r="E60" s="26"/>
      <c r="F60" s="17"/>
      <c r="G60" s="25"/>
      <c r="H60" s="21"/>
      <c r="I60" s="21"/>
      <c r="J60" s="18" t="str">
        <f aca="false">IF($A60="","",$F60*$G60)</f>
        <v/>
      </c>
    </row>
    <row r="61" customFormat="false" ht="15" hidden="false" customHeight="false" outlineLevel="0" collapsed="false">
      <c r="A61" s="21"/>
      <c r="B61" s="21"/>
      <c r="C61" s="21"/>
      <c r="D61" s="26"/>
      <c r="E61" s="26"/>
      <c r="F61" s="17"/>
      <c r="G61" s="25"/>
      <c r="H61" s="21"/>
      <c r="I61" s="21"/>
      <c r="J61" s="18" t="str">
        <f aca="false">IF($A61="","",$F61*$G61)</f>
        <v/>
      </c>
    </row>
    <row r="62" customFormat="false" ht="15" hidden="false" customHeight="false" outlineLevel="0" collapsed="false">
      <c r="A62" s="21"/>
      <c r="B62" s="21"/>
      <c r="C62" s="21"/>
      <c r="D62" s="26"/>
      <c r="E62" s="26"/>
      <c r="F62" s="17"/>
      <c r="G62" s="25"/>
      <c r="H62" s="21"/>
      <c r="I62" s="21"/>
      <c r="J62" s="18" t="str">
        <f aca="false">IF($A62="","",$F62*$G62)</f>
        <v/>
      </c>
    </row>
    <row r="63" customFormat="false" ht="15" hidden="false" customHeight="false" outlineLevel="0" collapsed="false">
      <c r="A63" s="21"/>
      <c r="B63" s="21"/>
      <c r="C63" s="21"/>
      <c r="D63" s="26"/>
      <c r="E63" s="26"/>
      <c r="F63" s="17"/>
      <c r="G63" s="25"/>
      <c r="H63" s="21"/>
      <c r="I63" s="21"/>
      <c r="J63" s="18" t="str">
        <f aca="false">IF($A63="","",$F63*$G63)</f>
        <v/>
      </c>
    </row>
    <row r="64" customFormat="false" ht="15" hidden="false" customHeight="false" outlineLevel="0" collapsed="false">
      <c r="A64" s="21"/>
      <c r="B64" s="21"/>
      <c r="C64" s="21"/>
      <c r="D64" s="26"/>
      <c r="E64" s="26"/>
      <c r="F64" s="17"/>
      <c r="G64" s="25"/>
      <c r="H64" s="21"/>
      <c r="I64" s="21"/>
      <c r="J64" s="18" t="str">
        <f aca="false">IF($A64="","",$F64*$G64)</f>
        <v/>
      </c>
    </row>
    <row r="65" customFormat="false" ht="15" hidden="false" customHeight="false" outlineLevel="0" collapsed="false">
      <c r="A65" s="21"/>
      <c r="B65" s="21"/>
      <c r="C65" s="21"/>
      <c r="D65" s="26"/>
      <c r="E65" s="26"/>
      <c r="F65" s="17"/>
      <c r="G65" s="25"/>
      <c r="H65" s="21"/>
      <c r="I65" s="21"/>
      <c r="J65" s="18" t="str">
        <f aca="false">IF($A65="","",$F65*$G65)</f>
        <v/>
      </c>
    </row>
    <row r="66" customFormat="false" ht="15" hidden="false" customHeight="false" outlineLevel="0" collapsed="false">
      <c r="A66" s="21"/>
      <c r="B66" s="21"/>
      <c r="C66" s="21"/>
      <c r="D66" s="26"/>
      <c r="E66" s="26"/>
      <c r="F66" s="17"/>
      <c r="G66" s="25"/>
      <c r="H66" s="21"/>
      <c r="I66" s="21"/>
      <c r="J66" s="18" t="str">
        <f aca="false">IF($A66="","",$F66*$G66)</f>
        <v/>
      </c>
    </row>
    <row r="67" customFormat="false" ht="15" hidden="false" customHeight="false" outlineLevel="0" collapsed="false">
      <c r="A67" s="21"/>
      <c r="B67" s="21"/>
      <c r="C67" s="21"/>
      <c r="D67" s="26"/>
      <c r="E67" s="26"/>
      <c r="F67" s="17"/>
      <c r="G67" s="25"/>
      <c r="H67" s="21"/>
      <c r="I67" s="21"/>
      <c r="J67" s="18" t="str">
        <f aca="false">IF($A67="","",$F67*$G67)</f>
        <v/>
      </c>
    </row>
    <row r="68" customFormat="false" ht="15" hidden="false" customHeight="false" outlineLevel="0" collapsed="false">
      <c r="A68" s="21"/>
      <c r="B68" s="21"/>
      <c r="C68" s="21"/>
      <c r="D68" s="26"/>
      <c r="E68" s="26"/>
      <c r="F68" s="17"/>
      <c r="G68" s="25"/>
      <c r="H68" s="21"/>
      <c r="I68" s="21"/>
      <c r="J68" s="18" t="str">
        <f aca="false">IF($A68="","",$F68*$G68)</f>
        <v/>
      </c>
    </row>
    <row r="69" customFormat="false" ht="15" hidden="false" customHeight="false" outlineLevel="0" collapsed="false">
      <c r="A69" s="21"/>
      <c r="B69" s="21"/>
      <c r="C69" s="21"/>
      <c r="D69" s="26"/>
      <c r="E69" s="26"/>
      <c r="F69" s="17"/>
      <c r="G69" s="25"/>
      <c r="H69" s="21"/>
      <c r="I69" s="21"/>
      <c r="J69" s="18" t="str">
        <f aca="false">IF($A69="","",$F69*$G69)</f>
        <v/>
      </c>
    </row>
    <row r="70" customFormat="false" ht="15" hidden="false" customHeight="false" outlineLevel="0" collapsed="false">
      <c r="A70" s="21"/>
      <c r="B70" s="21"/>
      <c r="C70" s="21"/>
      <c r="D70" s="26"/>
      <c r="E70" s="26"/>
      <c r="F70" s="17"/>
      <c r="G70" s="25"/>
      <c r="H70" s="21"/>
      <c r="I70" s="21"/>
      <c r="J70" s="18" t="str">
        <f aca="false">IF($A70="","",$F70*$G70)</f>
        <v/>
      </c>
    </row>
    <row r="71" customFormat="false" ht="15" hidden="false" customHeight="false" outlineLevel="0" collapsed="false">
      <c r="A71" s="21"/>
      <c r="B71" s="21"/>
      <c r="C71" s="21"/>
      <c r="D71" s="26"/>
      <c r="E71" s="26"/>
      <c r="F71" s="17"/>
      <c r="G71" s="25"/>
      <c r="H71" s="21"/>
      <c r="I71" s="21"/>
      <c r="J71" s="18" t="str">
        <f aca="false">IF($A71="","",$F71*$G71)</f>
        <v/>
      </c>
    </row>
    <row r="72" customFormat="false" ht="15" hidden="false" customHeight="false" outlineLevel="0" collapsed="false">
      <c r="A72" s="21"/>
      <c r="B72" s="21"/>
      <c r="C72" s="21"/>
      <c r="D72" s="26"/>
      <c r="E72" s="26"/>
      <c r="F72" s="17"/>
      <c r="G72" s="25"/>
      <c r="H72" s="21"/>
      <c r="I72" s="21"/>
      <c r="J72" s="18" t="str">
        <f aca="false">IF($A72="","",$F72*$G72)</f>
        <v/>
      </c>
    </row>
    <row r="73" customFormat="false" ht="15" hidden="false" customHeight="false" outlineLevel="0" collapsed="false">
      <c r="A73" s="21"/>
      <c r="B73" s="21"/>
      <c r="C73" s="21"/>
      <c r="D73" s="26"/>
      <c r="E73" s="26"/>
      <c r="F73" s="17"/>
      <c r="G73" s="25"/>
      <c r="H73" s="21"/>
      <c r="I73" s="21"/>
      <c r="J73" s="18" t="str">
        <f aca="false">IF($A73="","",$F73*$G73)</f>
        <v/>
      </c>
    </row>
    <row r="74" customFormat="false" ht="15" hidden="false" customHeight="false" outlineLevel="0" collapsed="false">
      <c r="A74" s="21"/>
      <c r="B74" s="21"/>
      <c r="C74" s="21"/>
      <c r="D74" s="26"/>
      <c r="E74" s="26"/>
      <c r="F74" s="17"/>
      <c r="G74" s="25"/>
      <c r="H74" s="21"/>
      <c r="I74" s="21"/>
      <c r="J74" s="18" t="str">
        <f aca="false">IF($A74="","",$F74*$G74)</f>
        <v/>
      </c>
    </row>
    <row r="75" customFormat="false" ht="15" hidden="false" customHeight="false" outlineLevel="0" collapsed="false">
      <c r="A75" s="21"/>
      <c r="B75" s="21"/>
      <c r="C75" s="21"/>
      <c r="D75" s="26"/>
      <c r="E75" s="26"/>
      <c r="F75" s="17"/>
      <c r="G75" s="25"/>
      <c r="H75" s="21"/>
      <c r="I75" s="21"/>
      <c r="J75" s="18" t="str">
        <f aca="false">IF($A75="","",$F75*$G75)</f>
        <v/>
      </c>
    </row>
    <row r="76" customFormat="false" ht="15" hidden="false" customHeight="false" outlineLevel="0" collapsed="false">
      <c r="A76" s="21"/>
      <c r="B76" s="21"/>
      <c r="C76" s="21"/>
      <c r="D76" s="26"/>
      <c r="E76" s="26"/>
      <c r="F76" s="17"/>
      <c r="G76" s="25"/>
      <c r="H76" s="21"/>
      <c r="I76" s="21"/>
      <c r="J76" s="18" t="str">
        <f aca="false">IF($A76="","",$F76*$G76)</f>
        <v/>
      </c>
    </row>
    <row r="77" customFormat="false" ht="15" hidden="false" customHeight="false" outlineLevel="0" collapsed="false">
      <c r="A77" s="21"/>
      <c r="B77" s="21"/>
      <c r="C77" s="21"/>
      <c r="D77" s="26"/>
      <c r="E77" s="26"/>
      <c r="F77" s="17"/>
      <c r="G77" s="25"/>
      <c r="H77" s="21"/>
      <c r="I77" s="21"/>
      <c r="J77" s="18" t="str">
        <f aca="false">IF($A77="","",$F77*$G77)</f>
        <v/>
      </c>
    </row>
    <row r="78" customFormat="false" ht="15" hidden="false" customHeight="false" outlineLevel="0" collapsed="false">
      <c r="A78" s="21"/>
      <c r="B78" s="21"/>
      <c r="C78" s="21"/>
      <c r="D78" s="26"/>
      <c r="E78" s="26"/>
      <c r="F78" s="17"/>
      <c r="G78" s="25"/>
      <c r="H78" s="21"/>
      <c r="I78" s="21"/>
      <c r="J78" s="18" t="str">
        <f aca="false">IF($A78="","",$F78*$G78)</f>
        <v/>
      </c>
    </row>
    <row r="79" customFormat="false" ht="15" hidden="false" customHeight="false" outlineLevel="0" collapsed="false">
      <c r="A79" s="21"/>
      <c r="B79" s="21"/>
      <c r="C79" s="21"/>
      <c r="D79" s="26"/>
      <c r="E79" s="26"/>
      <c r="F79" s="17"/>
      <c r="G79" s="25"/>
      <c r="H79" s="21"/>
      <c r="I79" s="21"/>
      <c r="J79" s="18" t="str">
        <f aca="false">IF($A79="","",$F79*$G79)</f>
        <v/>
      </c>
    </row>
    <row r="80" customFormat="false" ht="15" hidden="false" customHeight="false" outlineLevel="0" collapsed="false">
      <c r="A80" s="21"/>
      <c r="B80" s="21"/>
      <c r="C80" s="21"/>
      <c r="D80" s="26"/>
      <c r="E80" s="26"/>
      <c r="F80" s="17"/>
      <c r="G80" s="25"/>
      <c r="H80" s="21"/>
      <c r="I80" s="21"/>
      <c r="J80" s="18" t="str">
        <f aca="false">IF($A80="","",$F80*$G80)</f>
        <v/>
      </c>
    </row>
    <row r="81" customFormat="false" ht="15" hidden="false" customHeight="false" outlineLevel="0" collapsed="false">
      <c r="A81" s="21"/>
      <c r="B81" s="21"/>
      <c r="C81" s="21"/>
      <c r="D81" s="26"/>
      <c r="E81" s="26"/>
      <c r="F81" s="17"/>
      <c r="G81" s="25"/>
      <c r="H81" s="21"/>
      <c r="I81" s="21"/>
      <c r="J81" s="18" t="str">
        <f aca="false">IF($A81="","",$F81*$G81)</f>
        <v/>
      </c>
    </row>
    <row r="82" customFormat="false" ht="15" hidden="false" customHeight="false" outlineLevel="0" collapsed="false">
      <c r="A82" s="21"/>
      <c r="B82" s="21"/>
      <c r="C82" s="21"/>
      <c r="D82" s="26"/>
      <c r="E82" s="26"/>
      <c r="F82" s="17"/>
      <c r="G82" s="25"/>
      <c r="H82" s="21"/>
      <c r="I82" s="21"/>
      <c r="J82" s="18" t="str">
        <f aca="false">IF($A82="","",$F82*$G82)</f>
        <v/>
      </c>
    </row>
    <row r="83" customFormat="false" ht="15" hidden="false" customHeight="false" outlineLevel="0" collapsed="false">
      <c r="A83" s="21"/>
      <c r="B83" s="21"/>
      <c r="C83" s="21"/>
      <c r="D83" s="26"/>
      <c r="E83" s="26"/>
      <c r="F83" s="17"/>
      <c r="G83" s="25"/>
      <c r="H83" s="21"/>
      <c r="I83" s="21"/>
      <c r="J83" s="18" t="str">
        <f aca="false">IF($A83="","",$F83*$G83)</f>
        <v/>
      </c>
    </row>
    <row r="84" customFormat="false" ht="15" hidden="false" customHeight="false" outlineLevel="0" collapsed="false">
      <c r="A84" s="21"/>
      <c r="B84" s="21"/>
      <c r="C84" s="21"/>
      <c r="D84" s="26"/>
      <c r="E84" s="26"/>
      <c r="F84" s="17"/>
      <c r="G84" s="25"/>
      <c r="H84" s="21"/>
      <c r="I84" s="21"/>
      <c r="J84" s="18" t="str">
        <f aca="false">IF($A84="","",$F84*$G84)</f>
        <v/>
      </c>
    </row>
    <row r="85" customFormat="false" ht="15" hidden="false" customHeight="false" outlineLevel="0" collapsed="false">
      <c r="A85" s="21"/>
      <c r="B85" s="21"/>
      <c r="C85" s="21"/>
      <c r="D85" s="26"/>
      <c r="E85" s="26"/>
      <c r="F85" s="17"/>
      <c r="G85" s="25"/>
      <c r="H85" s="21"/>
      <c r="I85" s="21"/>
      <c r="J85" s="18" t="str">
        <f aca="false">IF($A85="","",$F85*$G85)</f>
        <v/>
      </c>
    </row>
    <row r="86" customFormat="false" ht="15" hidden="false" customHeight="false" outlineLevel="0" collapsed="false">
      <c r="A86" s="21"/>
      <c r="B86" s="21"/>
      <c r="C86" s="21"/>
      <c r="D86" s="26"/>
      <c r="E86" s="26"/>
      <c r="F86" s="17"/>
      <c r="G86" s="25"/>
      <c r="H86" s="21"/>
      <c r="I86" s="21"/>
      <c r="J86" s="18" t="str">
        <f aca="false">IF($A86="","",$F86*$G86)</f>
        <v/>
      </c>
    </row>
    <row r="87" customFormat="false" ht="15" hidden="false" customHeight="false" outlineLevel="0" collapsed="false">
      <c r="A87" s="21"/>
      <c r="B87" s="21"/>
      <c r="C87" s="21"/>
      <c r="D87" s="26"/>
      <c r="E87" s="26"/>
      <c r="F87" s="17"/>
      <c r="G87" s="25"/>
      <c r="H87" s="21"/>
      <c r="I87" s="21"/>
      <c r="J87" s="18" t="str">
        <f aca="false">IF($A87="","",$F87*$G87)</f>
        <v/>
      </c>
    </row>
    <row r="88" customFormat="false" ht="15" hidden="false" customHeight="false" outlineLevel="0" collapsed="false">
      <c r="A88" s="21"/>
      <c r="B88" s="21"/>
      <c r="C88" s="21"/>
      <c r="D88" s="26"/>
      <c r="E88" s="26"/>
      <c r="F88" s="17"/>
      <c r="G88" s="25"/>
      <c r="H88" s="21"/>
      <c r="I88" s="21"/>
      <c r="J88" s="18" t="str">
        <f aca="false">IF($A88="","",$F88*$G88)</f>
        <v/>
      </c>
    </row>
    <row r="89" customFormat="false" ht="15" hidden="false" customHeight="false" outlineLevel="0" collapsed="false">
      <c r="A89" s="21"/>
      <c r="B89" s="21"/>
      <c r="C89" s="21"/>
      <c r="D89" s="26"/>
      <c r="E89" s="26"/>
      <c r="F89" s="17"/>
      <c r="G89" s="25"/>
      <c r="H89" s="21"/>
      <c r="I89" s="21"/>
      <c r="J89" s="18" t="str">
        <f aca="false">IF($A89="","",$F89*$G89)</f>
        <v/>
      </c>
    </row>
    <row r="90" customFormat="false" ht="15" hidden="false" customHeight="false" outlineLevel="0" collapsed="false">
      <c r="A90" s="21"/>
      <c r="B90" s="21"/>
      <c r="C90" s="21"/>
      <c r="D90" s="26"/>
      <c r="E90" s="26"/>
      <c r="F90" s="17"/>
      <c r="G90" s="25"/>
      <c r="H90" s="21"/>
      <c r="I90" s="21"/>
      <c r="J90" s="18" t="str">
        <f aca="false">IF($A90="","",$F90*$G90)</f>
        <v/>
      </c>
    </row>
    <row r="91" customFormat="false" ht="15" hidden="false" customHeight="false" outlineLevel="0" collapsed="false">
      <c r="A91" s="21"/>
      <c r="B91" s="21"/>
      <c r="C91" s="21"/>
      <c r="D91" s="26"/>
      <c r="E91" s="26"/>
      <c r="F91" s="17"/>
      <c r="G91" s="25"/>
      <c r="H91" s="21"/>
      <c r="I91" s="21"/>
      <c r="J91" s="18" t="str">
        <f aca="false">IF($A91="","",$F91*$G91)</f>
        <v/>
      </c>
    </row>
    <row r="92" customFormat="false" ht="15" hidden="false" customHeight="false" outlineLevel="0" collapsed="false">
      <c r="A92" s="21"/>
      <c r="B92" s="21"/>
      <c r="C92" s="21"/>
      <c r="D92" s="26"/>
      <c r="E92" s="26"/>
      <c r="F92" s="17"/>
      <c r="G92" s="25"/>
      <c r="H92" s="21"/>
      <c r="I92" s="21"/>
      <c r="J92" s="18" t="str">
        <f aca="false">IF($A92="","",$F92*$G92)</f>
        <v/>
      </c>
    </row>
    <row r="93" customFormat="false" ht="15" hidden="false" customHeight="false" outlineLevel="0" collapsed="false">
      <c r="A93" s="21"/>
      <c r="B93" s="21"/>
      <c r="C93" s="21"/>
      <c r="D93" s="26"/>
      <c r="E93" s="26"/>
      <c r="F93" s="17"/>
      <c r="G93" s="25"/>
      <c r="H93" s="21"/>
      <c r="I93" s="21"/>
      <c r="J93" s="18" t="str">
        <f aca="false">IF($A93="","",$F93*$G93)</f>
        <v/>
      </c>
    </row>
    <row r="94" customFormat="false" ht="15" hidden="false" customHeight="false" outlineLevel="0" collapsed="false">
      <c r="A94" s="21"/>
      <c r="B94" s="21"/>
      <c r="C94" s="21"/>
      <c r="D94" s="26"/>
      <c r="E94" s="26"/>
      <c r="F94" s="17"/>
      <c r="G94" s="25"/>
      <c r="H94" s="21"/>
      <c r="I94" s="21"/>
      <c r="J94" s="18" t="str">
        <f aca="false">IF($A94="","",$F94*$G94)</f>
        <v/>
      </c>
    </row>
    <row r="95" customFormat="false" ht="15" hidden="false" customHeight="false" outlineLevel="0" collapsed="false">
      <c r="A95" s="21"/>
      <c r="B95" s="21"/>
      <c r="C95" s="21"/>
      <c r="D95" s="26"/>
      <c r="E95" s="26"/>
      <c r="F95" s="17"/>
      <c r="G95" s="25"/>
      <c r="H95" s="21"/>
      <c r="I95" s="21"/>
      <c r="J95" s="18" t="str">
        <f aca="false">IF($A95="","",$F95*$G95)</f>
        <v/>
      </c>
    </row>
    <row r="96" customFormat="false" ht="15" hidden="false" customHeight="false" outlineLevel="0" collapsed="false">
      <c r="A96" s="21"/>
      <c r="B96" s="21"/>
      <c r="C96" s="21"/>
      <c r="D96" s="26"/>
      <c r="E96" s="26"/>
      <c r="F96" s="17"/>
      <c r="G96" s="25"/>
      <c r="H96" s="21"/>
      <c r="I96" s="21"/>
      <c r="J96" s="18" t="str">
        <f aca="false">IF($A96="","",$F96*$G96)</f>
        <v/>
      </c>
    </row>
    <row r="97" customFormat="false" ht="15" hidden="false" customHeight="false" outlineLevel="0" collapsed="false">
      <c r="A97" s="21"/>
      <c r="B97" s="21"/>
      <c r="C97" s="21"/>
      <c r="D97" s="26"/>
      <c r="E97" s="26"/>
      <c r="F97" s="17"/>
      <c r="G97" s="25"/>
      <c r="H97" s="21"/>
      <c r="I97" s="21"/>
      <c r="J97" s="18" t="str">
        <f aca="false">IF($A97="","",$F97*$G97)</f>
        <v/>
      </c>
    </row>
    <row r="98" customFormat="false" ht="15" hidden="false" customHeight="false" outlineLevel="0" collapsed="false">
      <c r="A98" s="21"/>
      <c r="B98" s="21"/>
      <c r="C98" s="21"/>
      <c r="D98" s="26"/>
      <c r="E98" s="26"/>
      <c r="F98" s="17"/>
      <c r="G98" s="25"/>
      <c r="H98" s="21"/>
      <c r="I98" s="21"/>
      <c r="J98" s="18" t="str">
        <f aca="false">IF($A98="","",$F98*$G98)</f>
        <v/>
      </c>
    </row>
    <row r="99" customFormat="false" ht="15" hidden="false" customHeight="false" outlineLevel="0" collapsed="false">
      <c r="A99" s="21"/>
      <c r="B99" s="21"/>
      <c r="C99" s="21"/>
      <c r="D99" s="26"/>
      <c r="E99" s="26"/>
      <c r="F99" s="17"/>
      <c r="G99" s="25"/>
      <c r="H99" s="21"/>
      <c r="I99" s="21"/>
      <c r="J99" s="18" t="str">
        <f aca="false">IF($A99="","",$F99*$G99)</f>
        <v/>
      </c>
    </row>
    <row r="100" customFormat="false" ht="15" hidden="false" customHeight="false" outlineLevel="0" collapsed="false">
      <c r="A100" s="21"/>
      <c r="B100" s="21"/>
      <c r="C100" s="21"/>
      <c r="D100" s="26"/>
      <c r="E100" s="26"/>
      <c r="F100" s="17"/>
      <c r="G100" s="25"/>
      <c r="H100" s="21"/>
      <c r="I100" s="21"/>
      <c r="J100" s="18" t="str">
        <f aca="false">IF($A100="","",$F100*$G100)</f>
        <v/>
      </c>
    </row>
    <row r="101" customFormat="false" ht="15" hidden="false" customHeight="false" outlineLevel="0" collapsed="false">
      <c r="A101" s="21"/>
      <c r="B101" s="21"/>
      <c r="C101" s="21"/>
      <c r="D101" s="26"/>
      <c r="E101" s="26"/>
      <c r="F101" s="17"/>
      <c r="G101" s="25"/>
      <c r="H101" s="21"/>
      <c r="I101" s="21"/>
      <c r="J101" s="18" t="str">
        <f aca="false">IF($A101="","",$F101*$G101)</f>
        <v/>
      </c>
    </row>
    <row r="102" customFormat="false" ht="15" hidden="false" customHeight="false" outlineLevel="0" collapsed="false">
      <c r="A102" s="21"/>
      <c r="B102" s="21"/>
      <c r="C102" s="21"/>
      <c r="D102" s="26"/>
      <c r="E102" s="26"/>
      <c r="F102" s="17"/>
      <c r="G102" s="25"/>
      <c r="H102" s="21"/>
      <c r="I102" s="21"/>
      <c r="J102" s="18" t="str">
        <f aca="false">IF($A102="","",$F102*$G102)</f>
        <v/>
      </c>
    </row>
    <row r="103" customFormat="false" ht="15" hidden="false" customHeight="false" outlineLevel="0" collapsed="false">
      <c r="A103" s="21"/>
      <c r="B103" s="21"/>
      <c r="C103" s="21"/>
      <c r="D103" s="26"/>
      <c r="E103" s="26"/>
      <c r="F103" s="17"/>
      <c r="G103" s="25"/>
      <c r="H103" s="21"/>
      <c r="I103" s="21"/>
      <c r="J103" s="18" t="str">
        <f aca="false">IF($A103="","",$F103*$G103)</f>
        <v/>
      </c>
    </row>
    <row r="104" customFormat="false" ht="15" hidden="false" customHeight="false" outlineLevel="0" collapsed="false">
      <c r="A104" s="21"/>
      <c r="B104" s="21"/>
      <c r="C104" s="21"/>
      <c r="D104" s="26"/>
      <c r="E104" s="26"/>
      <c r="F104" s="17"/>
      <c r="G104" s="25"/>
      <c r="H104" s="21"/>
      <c r="I104" s="21"/>
      <c r="J104" s="18" t="str">
        <f aca="false">IF($A104="","",$F104*$G104)</f>
        <v/>
      </c>
    </row>
    <row r="105" customFormat="false" ht="15" hidden="false" customHeight="false" outlineLevel="0" collapsed="false">
      <c r="A105" s="21"/>
      <c r="B105" s="21"/>
      <c r="C105" s="21"/>
      <c r="D105" s="26"/>
      <c r="E105" s="26"/>
      <c r="F105" s="17"/>
      <c r="G105" s="25"/>
      <c r="H105" s="21"/>
      <c r="I105" s="21"/>
      <c r="J105" s="18" t="str">
        <f aca="false">IF($A105="","",$F105*$G105)</f>
        <v/>
      </c>
    </row>
    <row r="106" customFormat="false" ht="15" hidden="false" customHeight="false" outlineLevel="0" collapsed="false">
      <c r="A106" s="21"/>
      <c r="B106" s="21"/>
      <c r="C106" s="21"/>
      <c r="D106" s="26"/>
      <c r="E106" s="26"/>
      <c r="F106" s="17"/>
      <c r="G106" s="25"/>
      <c r="H106" s="21"/>
      <c r="I106" s="21"/>
      <c r="J106" s="18" t="str">
        <f aca="false">IF($A106="","",$F106*$G106)</f>
        <v/>
      </c>
    </row>
    <row r="107" customFormat="false" ht="15" hidden="false" customHeight="false" outlineLevel="0" collapsed="false">
      <c r="A107" s="21"/>
      <c r="B107" s="21"/>
      <c r="C107" s="21"/>
      <c r="D107" s="26"/>
      <c r="E107" s="26"/>
      <c r="F107" s="17"/>
      <c r="G107" s="25"/>
      <c r="H107" s="21"/>
      <c r="I107" s="21"/>
      <c r="J107" s="18" t="str">
        <f aca="false">IF($A107="","",$F107*$G107)</f>
        <v/>
      </c>
    </row>
    <row r="108" customFormat="false" ht="15" hidden="false" customHeight="false" outlineLevel="0" collapsed="false">
      <c r="A108" s="21"/>
      <c r="B108" s="21"/>
      <c r="C108" s="21"/>
      <c r="D108" s="26"/>
      <c r="E108" s="26"/>
      <c r="F108" s="17"/>
      <c r="G108" s="25"/>
      <c r="H108" s="21"/>
      <c r="I108" s="21"/>
      <c r="J108" s="18" t="str">
        <f aca="false">IF($A108="","",$F108*$G108)</f>
        <v/>
      </c>
    </row>
    <row r="109" customFormat="false" ht="15" hidden="false" customHeight="false" outlineLevel="0" collapsed="false">
      <c r="A109" s="21"/>
      <c r="B109" s="21"/>
      <c r="C109" s="21"/>
      <c r="D109" s="26"/>
      <c r="E109" s="26"/>
      <c r="F109" s="17"/>
      <c r="G109" s="25"/>
      <c r="H109" s="21"/>
      <c r="I109" s="21"/>
      <c r="J109" s="18" t="str">
        <f aca="false">IF($A109="","",$F109*$G109)</f>
        <v/>
      </c>
    </row>
    <row r="110" customFormat="false" ht="15" hidden="false" customHeight="false" outlineLevel="0" collapsed="false">
      <c r="A110" s="21"/>
      <c r="B110" s="21"/>
      <c r="C110" s="21"/>
      <c r="D110" s="26"/>
      <c r="E110" s="26"/>
      <c r="F110" s="17"/>
      <c r="G110" s="25"/>
      <c r="H110" s="21"/>
      <c r="I110" s="21"/>
      <c r="J110" s="18" t="str">
        <f aca="false">IF($A110="","",$F110*$G110)</f>
        <v/>
      </c>
    </row>
    <row r="111" customFormat="false" ht="15" hidden="false" customHeight="false" outlineLevel="0" collapsed="false">
      <c r="A111" s="21"/>
      <c r="B111" s="21"/>
      <c r="C111" s="21"/>
      <c r="D111" s="26"/>
      <c r="E111" s="26"/>
      <c r="F111" s="17"/>
      <c r="G111" s="25"/>
      <c r="H111" s="21"/>
      <c r="I111" s="21"/>
      <c r="J111" s="18" t="str">
        <f aca="false">IF($A111="","",$F111*$G111)</f>
        <v/>
      </c>
    </row>
    <row r="112" customFormat="false" ht="15" hidden="false" customHeight="false" outlineLevel="0" collapsed="false">
      <c r="A112" s="21"/>
      <c r="B112" s="21"/>
      <c r="C112" s="21"/>
      <c r="D112" s="26"/>
      <c r="E112" s="26"/>
      <c r="F112" s="17"/>
      <c r="G112" s="25"/>
      <c r="H112" s="21"/>
      <c r="I112" s="21"/>
      <c r="J112" s="18" t="str">
        <f aca="false">IF($A112="","",$F112*$G112)</f>
        <v/>
      </c>
    </row>
    <row r="113" customFormat="false" ht="15" hidden="false" customHeight="false" outlineLevel="0" collapsed="false">
      <c r="A113" s="21"/>
      <c r="B113" s="21"/>
      <c r="C113" s="21"/>
      <c r="D113" s="26"/>
      <c r="E113" s="26"/>
      <c r="F113" s="17"/>
      <c r="G113" s="25"/>
      <c r="H113" s="21"/>
      <c r="I113" s="21"/>
      <c r="J113" s="18" t="str">
        <f aca="false">IF($A113="","",$F113*$G113)</f>
        <v/>
      </c>
    </row>
    <row r="114" customFormat="false" ht="15" hidden="false" customHeight="false" outlineLevel="0" collapsed="false">
      <c r="A114" s="21"/>
      <c r="B114" s="21"/>
      <c r="C114" s="21"/>
      <c r="D114" s="26"/>
      <c r="E114" s="26"/>
      <c r="F114" s="17"/>
      <c r="G114" s="25"/>
      <c r="H114" s="21"/>
      <c r="I114" s="21"/>
      <c r="J114" s="18" t="str">
        <f aca="false">IF($A114="","",$F114*$G114)</f>
        <v/>
      </c>
    </row>
    <row r="115" customFormat="false" ht="15" hidden="false" customHeight="false" outlineLevel="0" collapsed="false">
      <c r="A115" s="21"/>
      <c r="B115" s="21"/>
      <c r="C115" s="21"/>
      <c r="D115" s="26"/>
      <c r="E115" s="26"/>
      <c r="F115" s="17"/>
      <c r="G115" s="25"/>
      <c r="H115" s="21"/>
      <c r="I115" s="21"/>
      <c r="J115" s="18" t="str">
        <f aca="false">IF($A115="","",$F115*$G115)</f>
        <v/>
      </c>
    </row>
    <row r="116" customFormat="false" ht="15" hidden="false" customHeight="false" outlineLevel="0" collapsed="false">
      <c r="A116" s="21"/>
      <c r="B116" s="21"/>
      <c r="C116" s="21"/>
      <c r="D116" s="26"/>
      <c r="E116" s="26"/>
      <c r="F116" s="17"/>
      <c r="G116" s="25"/>
      <c r="H116" s="21"/>
      <c r="I116" s="21"/>
      <c r="J116" s="18" t="str">
        <f aca="false">IF($A116="","",$F116*$G116)</f>
        <v/>
      </c>
    </row>
    <row r="117" customFormat="false" ht="15" hidden="false" customHeight="false" outlineLevel="0" collapsed="false">
      <c r="A117" s="21"/>
      <c r="B117" s="21"/>
      <c r="C117" s="21"/>
      <c r="D117" s="26"/>
      <c r="E117" s="26"/>
      <c r="F117" s="17"/>
      <c r="G117" s="25"/>
      <c r="H117" s="21"/>
      <c r="I117" s="21"/>
      <c r="J117" s="18" t="str">
        <f aca="false">IF($A117="","",$F117*$G117)</f>
        <v/>
      </c>
    </row>
    <row r="118" customFormat="false" ht="15" hidden="false" customHeight="false" outlineLevel="0" collapsed="false">
      <c r="A118" s="21"/>
      <c r="B118" s="21"/>
      <c r="C118" s="21"/>
      <c r="D118" s="26"/>
      <c r="E118" s="26"/>
      <c r="F118" s="17"/>
      <c r="G118" s="25"/>
      <c r="H118" s="21"/>
      <c r="I118" s="21"/>
      <c r="J118" s="18" t="str">
        <f aca="false">IF($A118="","",$F118*$G118)</f>
        <v/>
      </c>
    </row>
    <row r="119" customFormat="false" ht="15" hidden="false" customHeight="false" outlineLevel="0" collapsed="false">
      <c r="A119" s="21"/>
      <c r="B119" s="21"/>
      <c r="C119" s="21"/>
      <c r="D119" s="26"/>
      <c r="E119" s="26"/>
      <c r="F119" s="17"/>
      <c r="G119" s="25"/>
      <c r="H119" s="21"/>
      <c r="I119" s="21"/>
      <c r="J119" s="18" t="str">
        <f aca="false">IF($A119="","",$F119*$G119)</f>
        <v/>
      </c>
    </row>
    <row r="120" customFormat="false" ht="15" hidden="false" customHeight="false" outlineLevel="0" collapsed="false">
      <c r="A120" s="21"/>
      <c r="B120" s="21"/>
      <c r="C120" s="21"/>
      <c r="D120" s="26"/>
      <c r="E120" s="26"/>
      <c r="F120" s="17"/>
      <c r="G120" s="25"/>
      <c r="H120" s="21"/>
      <c r="I120" s="21"/>
      <c r="J120" s="18" t="str">
        <f aca="false">IF($A120="","",$F120*$G120)</f>
        <v/>
      </c>
    </row>
    <row r="121" customFormat="false" ht="15" hidden="false" customHeight="false" outlineLevel="0" collapsed="false">
      <c r="A121" s="21"/>
      <c r="B121" s="21"/>
      <c r="C121" s="21"/>
      <c r="D121" s="26"/>
      <c r="E121" s="26"/>
      <c r="F121" s="17"/>
      <c r="G121" s="25"/>
      <c r="H121" s="21"/>
      <c r="I121" s="21"/>
      <c r="J121" s="18" t="str">
        <f aca="false">IF($A121="","",$F121*$G121)</f>
        <v/>
      </c>
    </row>
    <row r="122" customFormat="false" ht="15" hidden="false" customHeight="false" outlineLevel="0" collapsed="false">
      <c r="A122" s="21"/>
      <c r="B122" s="21"/>
      <c r="C122" s="21"/>
      <c r="D122" s="26"/>
      <c r="E122" s="26"/>
      <c r="F122" s="17"/>
      <c r="G122" s="25"/>
      <c r="H122" s="21"/>
      <c r="I122" s="21"/>
      <c r="J122" s="18" t="str">
        <f aca="false">IF($A122="","",$F122*$G122)</f>
        <v/>
      </c>
    </row>
    <row r="123" customFormat="false" ht="15" hidden="false" customHeight="false" outlineLevel="0" collapsed="false">
      <c r="A123" s="21"/>
      <c r="B123" s="21"/>
      <c r="C123" s="21"/>
      <c r="D123" s="26"/>
      <c r="E123" s="26"/>
      <c r="F123" s="17"/>
      <c r="G123" s="25"/>
      <c r="H123" s="21"/>
      <c r="I123" s="21"/>
      <c r="J123" s="18" t="str">
        <f aca="false">IF($A123="","",$F123*$G123)</f>
        <v/>
      </c>
    </row>
    <row r="124" customFormat="false" ht="15" hidden="false" customHeight="false" outlineLevel="0" collapsed="false">
      <c r="A124" s="21"/>
      <c r="B124" s="21"/>
      <c r="C124" s="21"/>
      <c r="D124" s="26"/>
      <c r="E124" s="26"/>
      <c r="F124" s="17"/>
      <c r="G124" s="25"/>
      <c r="H124" s="21"/>
      <c r="I124" s="21"/>
      <c r="J124" s="18" t="str">
        <f aca="false">IF($A124="","",$F124*$G124)</f>
        <v/>
      </c>
    </row>
    <row r="125" customFormat="false" ht="15" hidden="false" customHeight="false" outlineLevel="0" collapsed="false">
      <c r="A125" s="21"/>
      <c r="B125" s="21"/>
      <c r="C125" s="21"/>
      <c r="D125" s="26"/>
      <c r="E125" s="26"/>
      <c r="F125" s="17"/>
      <c r="G125" s="25"/>
      <c r="H125" s="21"/>
      <c r="I125" s="21"/>
      <c r="J125" s="18" t="str">
        <f aca="false">IF($A125="","",$F125*$G125)</f>
        <v/>
      </c>
    </row>
    <row r="126" customFormat="false" ht="15" hidden="false" customHeight="false" outlineLevel="0" collapsed="false">
      <c r="A126" s="21"/>
      <c r="B126" s="21"/>
      <c r="C126" s="21"/>
      <c r="D126" s="26"/>
      <c r="E126" s="26"/>
      <c r="F126" s="17"/>
      <c r="G126" s="25"/>
      <c r="H126" s="21"/>
      <c r="I126" s="21"/>
      <c r="J126" s="18" t="str">
        <f aca="false">IF($A126="","",$F126*$G126)</f>
        <v/>
      </c>
    </row>
    <row r="127" customFormat="false" ht="15" hidden="false" customHeight="false" outlineLevel="0" collapsed="false">
      <c r="A127" s="21"/>
      <c r="B127" s="21"/>
      <c r="C127" s="21"/>
      <c r="D127" s="26"/>
      <c r="E127" s="26"/>
      <c r="F127" s="17"/>
      <c r="G127" s="25"/>
      <c r="H127" s="21"/>
      <c r="I127" s="21"/>
      <c r="J127" s="18" t="str">
        <f aca="false">IF($A127="","",$F127*$G127)</f>
        <v/>
      </c>
    </row>
    <row r="128" customFormat="false" ht="15" hidden="false" customHeight="false" outlineLevel="0" collapsed="false">
      <c r="A128" s="21"/>
      <c r="B128" s="21"/>
      <c r="C128" s="21"/>
      <c r="D128" s="26"/>
      <c r="E128" s="26"/>
      <c r="F128" s="17"/>
      <c r="G128" s="25"/>
      <c r="H128" s="21"/>
      <c r="I128" s="21"/>
      <c r="J128" s="18" t="str">
        <f aca="false">IF($A128="","",$F128*$G128)</f>
        <v/>
      </c>
    </row>
    <row r="129" customFormat="false" ht="15" hidden="false" customHeight="false" outlineLevel="0" collapsed="false">
      <c r="A129" s="21"/>
      <c r="B129" s="21"/>
      <c r="C129" s="21"/>
      <c r="D129" s="26"/>
      <c r="E129" s="26"/>
      <c r="F129" s="17"/>
      <c r="G129" s="25"/>
      <c r="H129" s="21"/>
      <c r="I129" s="21"/>
      <c r="J129" s="18" t="str">
        <f aca="false">IF($A129="","",$F129*$G129)</f>
        <v/>
      </c>
    </row>
    <row r="130" customFormat="false" ht="15" hidden="false" customHeight="false" outlineLevel="0" collapsed="false">
      <c r="A130" s="21"/>
      <c r="B130" s="21"/>
      <c r="C130" s="21"/>
      <c r="D130" s="26"/>
      <c r="E130" s="26"/>
      <c r="F130" s="17"/>
      <c r="G130" s="25"/>
      <c r="H130" s="21"/>
      <c r="I130" s="21"/>
      <c r="J130" s="18" t="str">
        <f aca="false">IF($A130="","",$F130*$G130)</f>
        <v/>
      </c>
    </row>
    <row r="131" customFormat="false" ht="15" hidden="false" customHeight="false" outlineLevel="0" collapsed="false">
      <c r="A131" s="21"/>
      <c r="B131" s="21"/>
      <c r="C131" s="21"/>
      <c r="D131" s="26"/>
      <c r="E131" s="26"/>
      <c r="F131" s="17"/>
      <c r="G131" s="25"/>
      <c r="H131" s="21"/>
      <c r="I131" s="21"/>
      <c r="J131" s="18" t="str">
        <f aca="false">IF($A131="","",$F131*$G131)</f>
        <v/>
      </c>
    </row>
    <row r="132" customFormat="false" ht="15" hidden="false" customHeight="false" outlineLevel="0" collapsed="false">
      <c r="A132" s="21"/>
      <c r="B132" s="21"/>
      <c r="C132" s="21"/>
      <c r="D132" s="26"/>
      <c r="E132" s="26"/>
      <c r="F132" s="17"/>
      <c r="G132" s="25"/>
      <c r="H132" s="21"/>
      <c r="I132" s="21"/>
      <c r="J132" s="18" t="str">
        <f aca="false">IF($A132="","",$F132*$G132)</f>
        <v/>
      </c>
    </row>
    <row r="133" customFormat="false" ht="15" hidden="false" customHeight="false" outlineLevel="0" collapsed="false">
      <c r="A133" s="21"/>
      <c r="B133" s="21"/>
      <c r="C133" s="21"/>
      <c r="D133" s="26"/>
      <c r="E133" s="26"/>
      <c r="F133" s="17"/>
      <c r="G133" s="25"/>
      <c r="H133" s="21"/>
      <c r="I133" s="21"/>
      <c r="J133" s="18" t="str">
        <f aca="false">IF($A133="","",$F133*$G133)</f>
        <v/>
      </c>
    </row>
    <row r="134" customFormat="false" ht="15" hidden="false" customHeight="false" outlineLevel="0" collapsed="false">
      <c r="A134" s="21"/>
      <c r="B134" s="21"/>
      <c r="C134" s="21"/>
      <c r="D134" s="26"/>
      <c r="E134" s="26"/>
      <c r="F134" s="17"/>
      <c r="G134" s="25"/>
      <c r="H134" s="21"/>
      <c r="I134" s="21"/>
      <c r="J134" s="18" t="str">
        <f aca="false">IF($A134="","",$F134*$G134)</f>
        <v/>
      </c>
    </row>
    <row r="135" customFormat="false" ht="15" hidden="false" customHeight="false" outlineLevel="0" collapsed="false">
      <c r="A135" s="21"/>
      <c r="B135" s="21"/>
      <c r="C135" s="21"/>
      <c r="D135" s="26"/>
      <c r="E135" s="26"/>
      <c r="F135" s="17"/>
      <c r="G135" s="25"/>
      <c r="H135" s="21"/>
      <c r="I135" s="21"/>
      <c r="J135" s="18" t="str">
        <f aca="false">IF($A135="","",$F135*$G135)</f>
        <v/>
      </c>
    </row>
    <row r="136" customFormat="false" ht="15" hidden="false" customHeight="false" outlineLevel="0" collapsed="false">
      <c r="A136" s="21"/>
      <c r="B136" s="21"/>
      <c r="C136" s="21"/>
      <c r="D136" s="26"/>
      <c r="E136" s="26"/>
      <c r="F136" s="17"/>
      <c r="G136" s="25"/>
      <c r="H136" s="21"/>
      <c r="I136" s="21"/>
      <c r="J136" s="18" t="str">
        <f aca="false">IF($A136="","",$F136*$G136)</f>
        <v/>
      </c>
    </row>
    <row r="137" customFormat="false" ht="15" hidden="false" customHeight="false" outlineLevel="0" collapsed="false">
      <c r="A137" s="21"/>
      <c r="B137" s="21"/>
      <c r="C137" s="21"/>
      <c r="D137" s="26"/>
      <c r="E137" s="26"/>
      <c r="F137" s="17"/>
      <c r="G137" s="25"/>
      <c r="H137" s="21"/>
      <c r="I137" s="21"/>
      <c r="J137" s="18" t="str">
        <f aca="false">IF($A137="","",$F137*$G137)</f>
        <v/>
      </c>
    </row>
    <row r="138" customFormat="false" ht="15" hidden="false" customHeight="false" outlineLevel="0" collapsed="false">
      <c r="A138" s="21"/>
      <c r="B138" s="21"/>
      <c r="C138" s="21"/>
      <c r="D138" s="26"/>
      <c r="E138" s="26"/>
      <c r="F138" s="17"/>
      <c r="G138" s="25"/>
      <c r="H138" s="21"/>
      <c r="I138" s="21"/>
      <c r="J138" s="18" t="str">
        <f aca="false">IF($A138="","",$F138*$G138)</f>
        <v/>
      </c>
    </row>
    <row r="139" customFormat="false" ht="15" hidden="false" customHeight="false" outlineLevel="0" collapsed="false">
      <c r="A139" s="21"/>
      <c r="B139" s="21"/>
      <c r="C139" s="21"/>
      <c r="D139" s="26"/>
      <c r="E139" s="26"/>
      <c r="F139" s="17"/>
      <c r="G139" s="25"/>
      <c r="H139" s="21"/>
      <c r="I139" s="21"/>
      <c r="J139" s="18" t="str">
        <f aca="false">IF($A139="","",$F139*$G139)</f>
        <v/>
      </c>
    </row>
    <row r="140" customFormat="false" ht="15" hidden="false" customHeight="false" outlineLevel="0" collapsed="false">
      <c r="A140" s="21"/>
      <c r="B140" s="21"/>
      <c r="C140" s="21"/>
      <c r="D140" s="26"/>
      <c r="E140" s="26"/>
      <c r="F140" s="17"/>
      <c r="G140" s="25"/>
      <c r="H140" s="21"/>
      <c r="I140" s="21"/>
      <c r="J140" s="18" t="str">
        <f aca="false">IF($A140="","",$F140*$G140)</f>
        <v/>
      </c>
    </row>
    <row r="141" customFormat="false" ht="15" hidden="false" customHeight="false" outlineLevel="0" collapsed="false">
      <c r="A141" s="21"/>
      <c r="B141" s="21"/>
      <c r="C141" s="21"/>
      <c r="D141" s="26"/>
      <c r="E141" s="26"/>
      <c r="F141" s="17"/>
      <c r="G141" s="25"/>
      <c r="H141" s="21"/>
      <c r="I141" s="21"/>
      <c r="J141" s="18" t="str">
        <f aca="false">IF($A141="","",$F141*$G141)</f>
        <v/>
      </c>
    </row>
    <row r="142" customFormat="false" ht="15" hidden="false" customHeight="false" outlineLevel="0" collapsed="false">
      <c r="A142" s="21"/>
      <c r="B142" s="21"/>
      <c r="C142" s="21"/>
      <c r="D142" s="26"/>
      <c r="E142" s="26"/>
      <c r="F142" s="17"/>
      <c r="G142" s="25"/>
      <c r="H142" s="21"/>
      <c r="I142" s="21"/>
      <c r="J142" s="18" t="str">
        <f aca="false">IF($A142="","",$F142*$G142)</f>
        <v/>
      </c>
    </row>
    <row r="143" customFormat="false" ht="15" hidden="false" customHeight="false" outlineLevel="0" collapsed="false">
      <c r="A143" s="21"/>
      <c r="B143" s="21"/>
      <c r="C143" s="21"/>
      <c r="D143" s="26"/>
      <c r="E143" s="26"/>
      <c r="F143" s="17"/>
      <c r="G143" s="25"/>
      <c r="H143" s="21"/>
      <c r="I143" s="21"/>
      <c r="J143" s="18" t="str">
        <f aca="false">IF($A143="","",$F143*$G143)</f>
        <v/>
      </c>
    </row>
    <row r="144" customFormat="false" ht="15" hidden="false" customHeight="false" outlineLevel="0" collapsed="false">
      <c r="A144" s="21"/>
      <c r="B144" s="21"/>
      <c r="C144" s="21"/>
      <c r="D144" s="26"/>
      <c r="E144" s="26"/>
      <c r="F144" s="17"/>
      <c r="G144" s="25"/>
      <c r="H144" s="21"/>
      <c r="I144" s="21"/>
      <c r="J144" s="18" t="str">
        <f aca="false">IF($A144="","",$F144*$G144)</f>
        <v/>
      </c>
    </row>
    <row r="145" customFormat="false" ht="15" hidden="false" customHeight="false" outlineLevel="0" collapsed="false">
      <c r="A145" s="21"/>
      <c r="B145" s="21"/>
      <c r="C145" s="21"/>
      <c r="D145" s="26"/>
      <c r="E145" s="26"/>
      <c r="F145" s="17"/>
      <c r="G145" s="25"/>
      <c r="H145" s="21"/>
      <c r="I145" s="21"/>
      <c r="J145" s="18" t="str">
        <f aca="false">IF($A145="","",$F145*$G145)</f>
        <v/>
      </c>
    </row>
    <row r="146" customFormat="false" ht="15" hidden="false" customHeight="false" outlineLevel="0" collapsed="false">
      <c r="A146" s="21"/>
      <c r="B146" s="21"/>
      <c r="C146" s="21"/>
      <c r="D146" s="26"/>
      <c r="E146" s="26"/>
      <c r="F146" s="17"/>
      <c r="G146" s="25"/>
      <c r="H146" s="21"/>
      <c r="I146" s="21"/>
      <c r="J146" s="18" t="str">
        <f aca="false">IF($A146="","",$F146*$G146)</f>
        <v/>
      </c>
    </row>
    <row r="147" customFormat="false" ht="15" hidden="false" customHeight="false" outlineLevel="0" collapsed="false">
      <c r="A147" s="21"/>
      <c r="B147" s="21"/>
      <c r="C147" s="21"/>
      <c r="D147" s="26"/>
      <c r="E147" s="26"/>
      <c r="F147" s="17"/>
      <c r="G147" s="25"/>
      <c r="H147" s="21"/>
      <c r="I147" s="21"/>
      <c r="J147" s="18" t="str">
        <f aca="false">IF($A147="","",$F147*$G147)</f>
        <v/>
      </c>
    </row>
    <row r="148" customFormat="false" ht="15" hidden="false" customHeight="false" outlineLevel="0" collapsed="false">
      <c r="A148" s="21"/>
      <c r="B148" s="21"/>
      <c r="C148" s="21"/>
      <c r="D148" s="26"/>
      <c r="E148" s="26"/>
      <c r="F148" s="17"/>
      <c r="G148" s="25"/>
      <c r="H148" s="21"/>
      <c r="I148" s="21"/>
      <c r="J148" s="18" t="str">
        <f aca="false">IF($A148="","",$F148*$G148)</f>
        <v/>
      </c>
    </row>
    <row r="149" customFormat="false" ht="15" hidden="false" customHeight="false" outlineLevel="0" collapsed="false">
      <c r="A149" s="21"/>
      <c r="B149" s="21"/>
      <c r="C149" s="21"/>
      <c r="D149" s="26"/>
      <c r="E149" s="26"/>
      <c r="F149" s="17"/>
      <c r="G149" s="25"/>
      <c r="H149" s="21"/>
      <c r="I149" s="21"/>
      <c r="J149" s="18" t="str">
        <f aca="false">IF($A149="","",$F149*$G149)</f>
        <v/>
      </c>
    </row>
    <row r="150" customFormat="false" ht="15" hidden="false" customHeight="false" outlineLevel="0" collapsed="false">
      <c r="A150" s="21"/>
      <c r="B150" s="21"/>
      <c r="C150" s="21"/>
      <c r="D150" s="26"/>
      <c r="E150" s="26"/>
      <c r="F150" s="17"/>
      <c r="G150" s="25"/>
      <c r="H150" s="21"/>
      <c r="I150" s="21"/>
      <c r="J150" s="18" t="str">
        <f aca="false">IF($A150="","",$F150*$G150)</f>
        <v/>
      </c>
    </row>
    <row r="151" customFormat="false" ht="15" hidden="false" customHeight="false" outlineLevel="0" collapsed="false">
      <c r="A151" s="21"/>
      <c r="B151" s="21"/>
      <c r="C151" s="21"/>
      <c r="D151" s="26"/>
      <c r="E151" s="26"/>
      <c r="F151" s="17"/>
      <c r="G151" s="25"/>
      <c r="H151" s="21"/>
      <c r="I151" s="21"/>
      <c r="J151" s="18" t="str">
        <f aca="false">IF($A151="","",$F151*$G151)</f>
        <v/>
      </c>
    </row>
    <row r="152" customFormat="false" ht="15" hidden="false" customHeight="false" outlineLevel="0" collapsed="false">
      <c r="A152" s="21"/>
      <c r="B152" s="21"/>
      <c r="C152" s="21"/>
      <c r="D152" s="26"/>
      <c r="E152" s="26"/>
      <c r="F152" s="17"/>
      <c r="G152" s="25"/>
      <c r="H152" s="21"/>
      <c r="I152" s="21"/>
      <c r="J152" s="18" t="str">
        <f aca="false">IF($A152="","",$F152*$G152)</f>
        <v/>
      </c>
    </row>
    <row r="153" customFormat="false" ht="15" hidden="false" customHeight="false" outlineLevel="0" collapsed="false">
      <c r="A153" s="21"/>
      <c r="B153" s="21"/>
      <c r="C153" s="21"/>
      <c r="D153" s="26"/>
      <c r="E153" s="26"/>
      <c r="F153" s="17"/>
      <c r="G153" s="25"/>
      <c r="H153" s="21"/>
      <c r="I153" s="21"/>
      <c r="J153" s="18" t="str">
        <f aca="false">IF($A153="","",$F153*$G153)</f>
        <v/>
      </c>
    </row>
    <row r="154" customFormat="false" ht="15" hidden="false" customHeight="false" outlineLevel="0" collapsed="false">
      <c r="A154" s="21"/>
      <c r="B154" s="21"/>
      <c r="C154" s="21"/>
      <c r="D154" s="26"/>
      <c r="E154" s="26"/>
      <c r="F154" s="17"/>
      <c r="G154" s="25"/>
      <c r="H154" s="21"/>
      <c r="I154" s="21"/>
      <c r="J154" s="18" t="str">
        <f aca="false">IF($A154="","",$F154*$G154)</f>
        <v/>
      </c>
    </row>
    <row r="155" customFormat="false" ht="15" hidden="false" customHeight="false" outlineLevel="0" collapsed="false">
      <c r="A155" s="21"/>
      <c r="B155" s="21"/>
      <c r="C155" s="21"/>
      <c r="D155" s="26"/>
      <c r="E155" s="26"/>
      <c r="F155" s="17"/>
      <c r="G155" s="25"/>
      <c r="H155" s="21"/>
      <c r="I155" s="21"/>
      <c r="J155" s="18" t="str">
        <f aca="false">IF($A155="","",$F155*$G155)</f>
        <v/>
      </c>
    </row>
    <row r="156" customFormat="false" ht="15" hidden="false" customHeight="false" outlineLevel="0" collapsed="false">
      <c r="A156" s="21"/>
      <c r="B156" s="21"/>
      <c r="C156" s="21"/>
      <c r="D156" s="26"/>
      <c r="E156" s="26"/>
      <c r="F156" s="17"/>
      <c r="G156" s="25"/>
      <c r="H156" s="21"/>
      <c r="I156" s="21"/>
      <c r="J156" s="18" t="str">
        <f aca="false">IF($A156="","",$F156*$G156)</f>
        <v/>
      </c>
    </row>
    <row r="157" customFormat="false" ht="15" hidden="false" customHeight="false" outlineLevel="0" collapsed="false">
      <c r="A157" s="21"/>
      <c r="B157" s="21"/>
      <c r="C157" s="21"/>
      <c r="D157" s="26"/>
      <c r="E157" s="26"/>
      <c r="F157" s="17"/>
      <c r="G157" s="25"/>
      <c r="H157" s="21"/>
      <c r="I157" s="21"/>
      <c r="J157" s="18" t="str">
        <f aca="false">IF($A157="","",$F157*$G157)</f>
        <v/>
      </c>
    </row>
    <row r="158" customFormat="false" ht="15" hidden="false" customHeight="false" outlineLevel="0" collapsed="false">
      <c r="A158" s="21"/>
      <c r="B158" s="21"/>
      <c r="C158" s="21"/>
      <c r="D158" s="26"/>
      <c r="E158" s="26"/>
      <c r="F158" s="17"/>
      <c r="G158" s="25"/>
      <c r="H158" s="21"/>
      <c r="I158" s="21"/>
      <c r="J158" s="18" t="str">
        <f aca="false">IF($A158="","",$F158*$G158)</f>
        <v/>
      </c>
    </row>
    <row r="159" customFormat="false" ht="15" hidden="false" customHeight="false" outlineLevel="0" collapsed="false">
      <c r="A159" s="21"/>
      <c r="B159" s="21"/>
      <c r="C159" s="21"/>
      <c r="D159" s="26"/>
      <c r="E159" s="26"/>
      <c r="F159" s="17"/>
      <c r="G159" s="25"/>
      <c r="H159" s="21"/>
      <c r="I159" s="21"/>
      <c r="J159" s="18" t="str">
        <f aca="false">IF($A159="","",$F159*$G159)</f>
        <v/>
      </c>
    </row>
    <row r="160" customFormat="false" ht="15" hidden="false" customHeight="false" outlineLevel="0" collapsed="false">
      <c r="A160" s="21"/>
      <c r="B160" s="21"/>
      <c r="C160" s="21"/>
      <c r="D160" s="26"/>
      <c r="E160" s="26"/>
      <c r="F160" s="17"/>
      <c r="G160" s="25"/>
      <c r="H160" s="21"/>
      <c r="I160" s="21"/>
      <c r="J160" s="18" t="str">
        <f aca="false">IF($A160="","",$F160*$G160)</f>
        <v/>
      </c>
    </row>
    <row r="161" customFormat="false" ht="15" hidden="false" customHeight="false" outlineLevel="0" collapsed="false">
      <c r="A161" s="21"/>
      <c r="B161" s="21"/>
      <c r="C161" s="21"/>
      <c r="D161" s="26"/>
      <c r="E161" s="26"/>
      <c r="F161" s="17"/>
      <c r="G161" s="25"/>
      <c r="H161" s="21"/>
      <c r="I161" s="21"/>
      <c r="J161" s="18" t="str">
        <f aca="false">IF($A161="","",$F161*$G161)</f>
        <v/>
      </c>
    </row>
    <row r="162" customFormat="false" ht="15" hidden="false" customHeight="false" outlineLevel="0" collapsed="false">
      <c r="A162" s="21"/>
      <c r="B162" s="21"/>
      <c r="C162" s="21"/>
      <c r="D162" s="26"/>
      <c r="E162" s="26"/>
      <c r="F162" s="17"/>
      <c r="G162" s="25"/>
      <c r="H162" s="21"/>
      <c r="I162" s="21"/>
      <c r="J162" s="18" t="str">
        <f aca="false">IF($A162="","",$F162*$G162)</f>
        <v/>
      </c>
    </row>
    <row r="163" customFormat="false" ht="15" hidden="false" customHeight="false" outlineLevel="0" collapsed="false">
      <c r="A163" s="21"/>
      <c r="B163" s="21"/>
      <c r="C163" s="21"/>
      <c r="D163" s="26"/>
      <c r="E163" s="26"/>
      <c r="F163" s="17"/>
      <c r="G163" s="25"/>
      <c r="H163" s="21"/>
      <c r="I163" s="21"/>
      <c r="J163" s="18" t="str">
        <f aca="false">IF($A163="","",$F163*$G163)</f>
        <v/>
      </c>
    </row>
    <row r="164" customFormat="false" ht="15" hidden="false" customHeight="false" outlineLevel="0" collapsed="false">
      <c r="A164" s="21"/>
      <c r="B164" s="21"/>
      <c r="C164" s="21"/>
      <c r="D164" s="26"/>
      <c r="E164" s="26"/>
      <c r="F164" s="17"/>
      <c r="G164" s="25"/>
      <c r="H164" s="21"/>
      <c r="I164" s="21"/>
      <c r="J164" s="18" t="str">
        <f aca="false">IF($A164="","",$F164*$G164)</f>
        <v/>
      </c>
    </row>
    <row r="165" customFormat="false" ht="15" hidden="false" customHeight="false" outlineLevel="0" collapsed="false">
      <c r="A165" s="21"/>
      <c r="B165" s="21"/>
      <c r="C165" s="21"/>
      <c r="D165" s="26"/>
      <c r="E165" s="26"/>
      <c r="F165" s="17"/>
      <c r="G165" s="25"/>
      <c r="H165" s="21"/>
      <c r="I165" s="21"/>
      <c r="J165" s="18" t="str">
        <f aca="false">IF($A165="","",$F165*$G165)</f>
        <v/>
      </c>
    </row>
    <row r="166" customFormat="false" ht="15" hidden="false" customHeight="false" outlineLevel="0" collapsed="false">
      <c r="A166" s="21"/>
      <c r="B166" s="21"/>
      <c r="C166" s="21"/>
      <c r="D166" s="26"/>
      <c r="E166" s="26"/>
      <c r="F166" s="17"/>
      <c r="G166" s="25"/>
      <c r="H166" s="21"/>
      <c r="I166" s="21"/>
      <c r="J166" s="18" t="str">
        <f aca="false">IF($A166="","",$F166*$G166)</f>
        <v/>
      </c>
    </row>
    <row r="167" customFormat="false" ht="15" hidden="false" customHeight="false" outlineLevel="0" collapsed="false">
      <c r="A167" s="21"/>
      <c r="B167" s="21"/>
      <c r="C167" s="21"/>
      <c r="D167" s="26"/>
      <c r="E167" s="26"/>
      <c r="F167" s="17"/>
      <c r="G167" s="25"/>
      <c r="H167" s="21"/>
      <c r="I167" s="21"/>
      <c r="J167" s="18" t="str">
        <f aca="false">IF($A167="","",$F167*$G167)</f>
        <v/>
      </c>
    </row>
    <row r="168" customFormat="false" ht="15" hidden="false" customHeight="false" outlineLevel="0" collapsed="false">
      <c r="A168" s="21"/>
      <c r="B168" s="21"/>
      <c r="C168" s="21"/>
      <c r="D168" s="26"/>
      <c r="E168" s="26"/>
      <c r="F168" s="17"/>
      <c r="G168" s="25"/>
      <c r="H168" s="21"/>
      <c r="I168" s="21"/>
      <c r="J168" s="18" t="str">
        <f aca="false">IF($A168="","",$F168*$G168)</f>
        <v/>
      </c>
    </row>
    <row r="169" customFormat="false" ht="15" hidden="false" customHeight="false" outlineLevel="0" collapsed="false">
      <c r="A169" s="21"/>
      <c r="B169" s="21"/>
      <c r="C169" s="21"/>
      <c r="D169" s="26"/>
      <c r="E169" s="26"/>
      <c r="F169" s="17"/>
      <c r="G169" s="25"/>
      <c r="H169" s="21"/>
      <c r="I169" s="21"/>
      <c r="J169" s="18" t="str">
        <f aca="false">IF($A169="","",$F169*$G169)</f>
        <v/>
      </c>
    </row>
    <row r="170" customFormat="false" ht="15" hidden="false" customHeight="false" outlineLevel="0" collapsed="false">
      <c r="A170" s="21"/>
      <c r="B170" s="21"/>
      <c r="C170" s="21"/>
      <c r="D170" s="26"/>
      <c r="E170" s="26"/>
      <c r="F170" s="17"/>
      <c r="G170" s="25"/>
      <c r="H170" s="21"/>
      <c r="I170" s="21"/>
      <c r="J170" s="18" t="str">
        <f aca="false">IF($A170="","",$F170*$G170)</f>
        <v/>
      </c>
    </row>
    <row r="171" customFormat="false" ht="15" hidden="false" customHeight="false" outlineLevel="0" collapsed="false">
      <c r="A171" s="21"/>
      <c r="B171" s="21"/>
      <c r="C171" s="21"/>
      <c r="D171" s="26"/>
      <c r="E171" s="26"/>
      <c r="F171" s="17"/>
      <c r="G171" s="25"/>
      <c r="H171" s="21"/>
      <c r="I171" s="21"/>
      <c r="J171" s="18" t="str">
        <f aca="false">IF($A171="","",$F171*$G171)</f>
        <v/>
      </c>
    </row>
    <row r="172" customFormat="false" ht="15" hidden="false" customHeight="false" outlineLevel="0" collapsed="false">
      <c r="A172" s="21"/>
      <c r="B172" s="21"/>
      <c r="C172" s="21"/>
      <c r="D172" s="26"/>
      <c r="E172" s="26"/>
      <c r="F172" s="17"/>
      <c r="G172" s="25"/>
      <c r="H172" s="21"/>
      <c r="I172" s="21"/>
      <c r="J172" s="18" t="str">
        <f aca="false">IF($A172="","",$F172*$G172)</f>
        <v/>
      </c>
    </row>
    <row r="173" customFormat="false" ht="15" hidden="false" customHeight="false" outlineLevel="0" collapsed="false">
      <c r="A173" s="21"/>
      <c r="B173" s="21"/>
      <c r="C173" s="21"/>
      <c r="D173" s="26"/>
      <c r="E173" s="26"/>
      <c r="F173" s="17"/>
      <c r="G173" s="25"/>
      <c r="H173" s="21"/>
      <c r="I173" s="21"/>
      <c r="J173" s="18" t="str">
        <f aca="false">IF($A173="","",$F173*$G173)</f>
        <v/>
      </c>
    </row>
    <row r="174" customFormat="false" ht="15" hidden="false" customHeight="false" outlineLevel="0" collapsed="false">
      <c r="A174" s="21"/>
      <c r="B174" s="21"/>
      <c r="C174" s="21"/>
      <c r="D174" s="26"/>
      <c r="E174" s="26"/>
      <c r="F174" s="17"/>
      <c r="G174" s="25"/>
      <c r="H174" s="21"/>
      <c r="I174" s="21"/>
      <c r="J174" s="18" t="str">
        <f aca="false">IF($A174="","",$F174*$G174)</f>
        <v/>
      </c>
    </row>
    <row r="175" customFormat="false" ht="15" hidden="false" customHeight="false" outlineLevel="0" collapsed="false">
      <c r="A175" s="21"/>
      <c r="B175" s="21"/>
      <c r="C175" s="21"/>
      <c r="D175" s="26"/>
      <c r="E175" s="26"/>
      <c r="F175" s="17"/>
      <c r="G175" s="25"/>
      <c r="H175" s="21"/>
      <c r="I175" s="21"/>
      <c r="J175" s="18" t="str">
        <f aca="false">IF($A175="","",$F175*$G175)</f>
        <v/>
      </c>
    </row>
    <row r="176" customFormat="false" ht="15" hidden="false" customHeight="false" outlineLevel="0" collapsed="false">
      <c r="A176" s="21"/>
      <c r="B176" s="21"/>
      <c r="C176" s="21"/>
      <c r="D176" s="26"/>
      <c r="E176" s="26"/>
      <c r="F176" s="17"/>
      <c r="G176" s="25"/>
      <c r="H176" s="21"/>
      <c r="I176" s="21"/>
      <c r="J176" s="18" t="str">
        <f aca="false">IF($A176="","",$F176*$G176)</f>
        <v/>
      </c>
    </row>
    <row r="177" customFormat="false" ht="15" hidden="false" customHeight="false" outlineLevel="0" collapsed="false">
      <c r="A177" s="21"/>
      <c r="B177" s="21"/>
      <c r="C177" s="21"/>
      <c r="D177" s="26"/>
      <c r="E177" s="26"/>
      <c r="F177" s="17"/>
      <c r="G177" s="25"/>
      <c r="H177" s="21"/>
      <c r="I177" s="21"/>
      <c r="J177" s="18" t="str">
        <f aca="false">IF($A177="","",$F177*$G177)</f>
        <v/>
      </c>
    </row>
    <row r="178" customFormat="false" ht="15" hidden="false" customHeight="false" outlineLevel="0" collapsed="false">
      <c r="A178" s="21"/>
      <c r="B178" s="21"/>
      <c r="C178" s="21"/>
      <c r="D178" s="26"/>
      <c r="E178" s="26"/>
      <c r="F178" s="17"/>
      <c r="G178" s="25"/>
      <c r="H178" s="21"/>
      <c r="I178" s="21"/>
      <c r="J178" s="18" t="str">
        <f aca="false">IF($A178="","",$F178*$G178)</f>
        <v/>
      </c>
    </row>
    <row r="179" customFormat="false" ht="15" hidden="false" customHeight="false" outlineLevel="0" collapsed="false">
      <c r="A179" s="21"/>
      <c r="B179" s="21"/>
      <c r="C179" s="21"/>
      <c r="D179" s="26"/>
      <c r="E179" s="26"/>
      <c r="F179" s="17"/>
      <c r="G179" s="25"/>
      <c r="H179" s="21"/>
      <c r="I179" s="21"/>
      <c r="J179" s="18" t="str">
        <f aca="false">IF($A179="","",$F179*$G179)</f>
        <v/>
      </c>
    </row>
    <row r="180" customFormat="false" ht="15" hidden="false" customHeight="false" outlineLevel="0" collapsed="false">
      <c r="A180" s="21"/>
      <c r="B180" s="21"/>
      <c r="C180" s="21"/>
      <c r="D180" s="26"/>
      <c r="E180" s="26"/>
      <c r="F180" s="17"/>
      <c r="G180" s="25"/>
      <c r="H180" s="21"/>
      <c r="I180" s="21"/>
      <c r="J180" s="18" t="str">
        <f aca="false">IF($A180="","",$F180*$G180)</f>
        <v/>
      </c>
    </row>
    <row r="181" customFormat="false" ht="15" hidden="false" customHeight="false" outlineLevel="0" collapsed="false">
      <c r="A181" s="21"/>
      <c r="B181" s="21"/>
      <c r="C181" s="21"/>
      <c r="D181" s="26"/>
      <c r="E181" s="26"/>
      <c r="F181" s="17"/>
      <c r="G181" s="25"/>
      <c r="H181" s="21"/>
      <c r="I181" s="21"/>
      <c r="J181" s="18" t="str">
        <f aca="false">IF($A181="","",$F181*$G181)</f>
        <v/>
      </c>
    </row>
    <row r="182" customFormat="false" ht="15" hidden="false" customHeight="false" outlineLevel="0" collapsed="false">
      <c r="A182" s="21"/>
      <c r="B182" s="21"/>
      <c r="C182" s="21"/>
      <c r="D182" s="26"/>
      <c r="E182" s="26"/>
      <c r="F182" s="17"/>
      <c r="G182" s="25"/>
      <c r="H182" s="21"/>
      <c r="I182" s="21"/>
      <c r="J182" s="18" t="str">
        <f aca="false">IF($A182="","",$F182*$G182)</f>
        <v/>
      </c>
    </row>
    <row r="183" customFormat="false" ht="15" hidden="false" customHeight="false" outlineLevel="0" collapsed="false">
      <c r="A183" s="21"/>
      <c r="B183" s="21"/>
      <c r="C183" s="21"/>
      <c r="D183" s="26"/>
      <c r="E183" s="26"/>
      <c r="F183" s="17"/>
      <c r="G183" s="25"/>
      <c r="H183" s="21"/>
      <c r="I183" s="21"/>
      <c r="J183" s="18" t="str">
        <f aca="false">IF($A183="","",$F183*$G183)</f>
        <v/>
      </c>
    </row>
    <row r="184" customFormat="false" ht="15" hidden="false" customHeight="false" outlineLevel="0" collapsed="false">
      <c r="A184" s="21"/>
      <c r="B184" s="21"/>
      <c r="C184" s="21"/>
      <c r="D184" s="26"/>
      <c r="E184" s="26"/>
      <c r="F184" s="17"/>
      <c r="G184" s="25"/>
      <c r="H184" s="21"/>
      <c r="I184" s="21"/>
      <c r="J184" s="18" t="str">
        <f aca="false">IF($A184="","",$F184*$G184)</f>
        <v/>
      </c>
    </row>
    <row r="185" customFormat="false" ht="15" hidden="false" customHeight="false" outlineLevel="0" collapsed="false">
      <c r="A185" s="21"/>
      <c r="B185" s="21"/>
      <c r="C185" s="21"/>
      <c r="D185" s="26"/>
      <c r="E185" s="26"/>
      <c r="F185" s="17"/>
      <c r="G185" s="25"/>
      <c r="H185" s="21"/>
      <c r="I185" s="21"/>
      <c r="J185" s="18" t="str">
        <f aca="false">IF($A185="","",$F185*$G185)</f>
        <v/>
      </c>
    </row>
    <row r="186" customFormat="false" ht="15" hidden="false" customHeight="false" outlineLevel="0" collapsed="false">
      <c r="A186" s="21"/>
      <c r="B186" s="21"/>
      <c r="C186" s="21"/>
      <c r="D186" s="26"/>
      <c r="E186" s="26"/>
      <c r="F186" s="17"/>
      <c r="G186" s="25"/>
      <c r="H186" s="21"/>
      <c r="I186" s="21"/>
      <c r="J186" s="18" t="str">
        <f aca="false">IF($A186="","",$F186*$G186)</f>
        <v/>
      </c>
    </row>
    <row r="187" customFormat="false" ht="15" hidden="false" customHeight="false" outlineLevel="0" collapsed="false">
      <c r="A187" s="21"/>
      <c r="B187" s="21"/>
      <c r="C187" s="21"/>
      <c r="D187" s="26"/>
      <c r="E187" s="26"/>
      <c r="F187" s="17"/>
      <c r="G187" s="25"/>
      <c r="H187" s="21"/>
      <c r="I187" s="21"/>
      <c r="J187" s="18" t="str">
        <f aca="false">IF($A187="","",$F187*$G187)</f>
        <v/>
      </c>
    </row>
    <row r="188" customFormat="false" ht="15" hidden="false" customHeight="false" outlineLevel="0" collapsed="false">
      <c r="A188" s="21"/>
      <c r="B188" s="21"/>
      <c r="C188" s="21"/>
      <c r="D188" s="26"/>
      <c r="E188" s="26"/>
      <c r="F188" s="17"/>
      <c r="G188" s="25"/>
      <c r="H188" s="21"/>
      <c r="I188" s="21"/>
      <c r="J188" s="18" t="str">
        <f aca="false">IF($A188="","",$F188*$G188)</f>
        <v/>
      </c>
    </row>
    <row r="189" customFormat="false" ht="15" hidden="false" customHeight="false" outlineLevel="0" collapsed="false">
      <c r="A189" s="21"/>
      <c r="B189" s="21"/>
      <c r="C189" s="21"/>
      <c r="D189" s="26"/>
      <c r="E189" s="26"/>
      <c r="F189" s="17"/>
      <c r="G189" s="25"/>
      <c r="H189" s="21"/>
      <c r="I189" s="21"/>
      <c r="J189" s="18" t="str">
        <f aca="false">IF($A189="","",$F189*$G189)</f>
        <v/>
      </c>
    </row>
    <row r="190" customFormat="false" ht="15" hidden="false" customHeight="false" outlineLevel="0" collapsed="false">
      <c r="A190" s="21"/>
      <c r="B190" s="21"/>
      <c r="C190" s="21"/>
      <c r="D190" s="26"/>
      <c r="E190" s="26"/>
      <c r="F190" s="17"/>
      <c r="G190" s="25"/>
      <c r="H190" s="21"/>
      <c r="I190" s="21"/>
      <c r="J190" s="18" t="str">
        <f aca="false">IF($A190="","",$F190*$G190)</f>
        <v/>
      </c>
    </row>
    <row r="191" customFormat="false" ht="15" hidden="false" customHeight="false" outlineLevel="0" collapsed="false">
      <c r="A191" s="21"/>
      <c r="B191" s="21"/>
      <c r="C191" s="21"/>
      <c r="D191" s="26"/>
      <c r="E191" s="26"/>
      <c r="F191" s="17"/>
      <c r="G191" s="25"/>
      <c r="H191" s="21"/>
      <c r="I191" s="21"/>
      <c r="J191" s="18" t="str">
        <f aca="false">IF($A191="","",$F191*$G191)</f>
        <v/>
      </c>
    </row>
    <row r="192" customFormat="false" ht="15" hidden="false" customHeight="false" outlineLevel="0" collapsed="false">
      <c r="A192" s="21"/>
      <c r="B192" s="21"/>
      <c r="C192" s="21"/>
      <c r="D192" s="26"/>
      <c r="E192" s="26"/>
      <c r="F192" s="17"/>
      <c r="G192" s="25"/>
      <c r="H192" s="21"/>
      <c r="I192" s="21"/>
      <c r="J192" s="18" t="str">
        <f aca="false">IF($A192="","",$F192*$G192)</f>
        <v/>
      </c>
    </row>
    <row r="193" customFormat="false" ht="15" hidden="false" customHeight="false" outlineLevel="0" collapsed="false">
      <c r="A193" s="21"/>
      <c r="B193" s="21"/>
      <c r="C193" s="21"/>
      <c r="D193" s="26"/>
      <c r="E193" s="26"/>
      <c r="F193" s="17"/>
      <c r="G193" s="25"/>
      <c r="H193" s="21"/>
      <c r="I193" s="21"/>
      <c r="J193" s="18" t="str">
        <f aca="false">IF($A193="","",$F193*$G193)</f>
        <v/>
      </c>
    </row>
    <row r="194" customFormat="false" ht="15" hidden="false" customHeight="false" outlineLevel="0" collapsed="false">
      <c r="A194" s="21"/>
      <c r="B194" s="21"/>
      <c r="C194" s="21"/>
      <c r="D194" s="26"/>
      <c r="E194" s="26"/>
      <c r="F194" s="17"/>
      <c r="G194" s="25"/>
      <c r="H194" s="21"/>
      <c r="I194" s="21"/>
      <c r="J194" s="18" t="str">
        <f aca="false">IF($A194="","",$F194*$G194)</f>
        <v/>
      </c>
    </row>
    <row r="195" customFormat="false" ht="15" hidden="false" customHeight="false" outlineLevel="0" collapsed="false">
      <c r="A195" s="21"/>
      <c r="B195" s="21"/>
      <c r="C195" s="21"/>
      <c r="D195" s="26"/>
      <c r="E195" s="26"/>
      <c r="F195" s="17"/>
      <c r="G195" s="25"/>
      <c r="H195" s="21"/>
      <c r="I195" s="21"/>
      <c r="J195" s="18" t="str">
        <f aca="false">IF($A195="","",$F195*$G195)</f>
        <v/>
      </c>
    </row>
    <row r="196" customFormat="false" ht="15" hidden="false" customHeight="false" outlineLevel="0" collapsed="false">
      <c r="A196" s="21"/>
      <c r="B196" s="21"/>
      <c r="C196" s="21"/>
      <c r="D196" s="26"/>
      <c r="E196" s="26"/>
      <c r="F196" s="17"/>
      <c r="G196" s="25"/>
      <c r="H196" s="21"/>
      <c r="I196" s="21"/>
      <c r="J196" s="18" t="str">
        <f aca="false">IF($A196="","",$F196*$G196)</f>
        <v/>
      </c>
    </row>
    <row r="197" customFormat="false" ht="15" hidden="false" customHeight="false" outlineLevel="0" collapsed="false">
      <c r="A197" s="21"/>
      <c r="B197" s="21"/>
      <c r="C197" s="21"/>
      <c r="D197" s="26"/>
      <c r="E197" s="26"/>
      <c r="F197" s="17"/>
      <c r="G197" s="25"/>
      <c r="H197" s="21"/>
      <c r="I197" s="21"/>
      <c r="J197" s="18" t="str">
        <f aca="false">IF($A197="","",$F197*$G197)</f>
        <v/>
      </c>
    </row>
    <row r="198" customFormat="false" ht="15" hidden="false" customHeight="false" outlineLevel="0" collapsed="false">
      <c r="A198" s="21"/>
      <c r="B198" s="21"/>
      <c r="C198" s="21"/>
      <c r="D198" s="26"/>
      <c r="E198" s="26"/>
      <c r="F198" s="17"/>
      <c r="G198" s="25"/>
      <c r="H198" s="21"/>
      <c r="I198" s="21"/>
      <c r="J198" s="18" t="str">
        <f aca="false">IF($A198="","",$F198*$G198)</f>
        <v/>
      </c>
    </row>
    <row r="199" customFormat="false" ht="15" hidden="false" customHeight="false" outlineLevel="0" collapsed="false">
      <c r="A199" s="21"/>
      <c r="B199" s="21"/>
      <c r="C199" s="21"/>
      <c r="D199" s="26"/>
      <c r="E199" s="26"/>
      <c r="F199" s="17"/>
      <c r="G199" s="25"/>
      <c r="H199" s="21"/>
      <c r="I199" s="21"/>
      <c r="J199" s="18" t="str">
        <f aca="false">IF($A199="","",$F199*$G199)</f>
        <v/>
      </c>
    </row>
    <row r="200" customFormat="false" ht="15" hidden="false" customHeight="false" outlineLevel="0" collapsed="false">
      <c r="A200" s="21"/>
      <c r="B200" s="21"/>
      <c r="C200" s="21"/>
      <c r="D200" s="26"/>
      <c r="E200" s="26"/>
      <c r="F200" s="17"/>
      <c r="G200" s="25"/>
      <c r="H200" s="21"/>
      <c r="I200" s="21"/>
      <c r="J200" s="18" t="str">
        <f aca="false">IF($A200="","",$F200*$G200)</f>
        <v/>
      </c>
    </row>
    <row r="201" customFormat="false" ht="15" hidden="false" customHeight="false" outlineLevel="0" collapsed="false">
      <c r="A201" s="21"/>
      <c r="B201" s="21"/>
      <c r="C201" s="21"/>
      <c r="D201" s="26"/>
      <c r="E201" s="26"/>
      <c r="F201" s="17"/>
      <c r="G201" s="25"/>
      <c r="H201" s="21"/>
      <c r="I201" s="21"/>
      <c r="J201" s="18" t="str">
        <f aca="false">IF($A201="","",$F201*$G201)</f>
        <v/>
      </c>
    </row>
    <row r="202" customFormat="false" ht="15" hidden="false" customHeight="false" outlineLevel="0" collapsed="false">
      <c r="A202" s="21"/>
      <c r="B202" s="21"/>
      <c r="C202" s="21"/>
      <c r="D202" s="26"/>
      <c r="E202" s="26"/>
      <c r="F202" s="17"/>
      <c r="G202" s="25"/>
      <c r="H202" s="21"/>
      <c r="I202" s="21"/>
      <c r="J202" s="18" t="str">
        <f aca="false">IF($A202="","",$F202*$G202)</f>
        <v/>
      </c>
    </row>
    <row r="203" customFormat="false" ht="15" hidden="false" customHeight="false" outlineLevel="0" collapsed="false">
      <c r="A203" s="21"/>
      <c r="B203" s="21"/>
      <c r="C203" s="21"/>
      <c r="D203" s="26"/>
      <c r="E203" s="26"/>
      <c r="F203" s="17"/>
      <c r="G203" s="25"/>
      <c r="H203" s="21"/>
      <c r="I203" s="21"/>
      <c r="J203" s="18" t="str">
        <f aca="false">IF($A203="","",$F203*$G203)</f>
        <v/>
      </c>
    </row>
    <row r="204" customFormat="false" ht="15" hidden="false" customHeight="false" outlineLevel="0" collapsed="false">
      <c r="A204" s="21"/>
      <c r="B204" s="21"/>
      <c r="C204" s="21"/>
      <c r="D204" s="26"/>
      <c r="E204" s="26"/>
      <c r="F204" s="17"/>
      <c r="G204" s="25"/>
      <c r="H204" s="21"/>
      <c r="I204" s="21"/>
      <c r="J204" s="18" t="str">
        <f aca="false">IF($A204="","",$F204*$G204)</f>
        <v/>
      </c>
    </row>
    <row r="205" customFormat="false" ht="15" hidden="false" customHeight="false" outlineLevel="0" collapsed="false">
      <c r="A205" s="21"/>
      <c r="B205" s="21"/>
      <c r="C205" s="21"/>
      <c r="D205" s="26"/>
      <c r="E205" s="26"/>
      <c r="F205" s="17"/>
      <c r="G205" s="25"/>
      <c r="H205" s="21"/>
      <c r="I205" s="21"/>
      <c r="J205" s="18" t="str">
        <f aca="false">IF($A205="","",$F205*$G205)</f>
        <v/>
      </c>
    </row>
    <row r="206" customFormat="false" ht="15" hidden="false" customHeight="false" outlineLevel="0" collapsed="false">
      <c r="A206" s="21"/>
      <c r="B206" s="21"/>
      <c r="C206" s="21"/>
      <c r="D206" s="26"/>
      <c r="E206" s="26"/>
      <c r="F206" s="17"/>
      <c r="G206" s="25"/>
      <c r="H206" s="21"/>
      <c r="I206" s="21"/>
      <c r="J206" s="18" t="str">
        <f aca="false">IF($A206="","",$F206*$G206)</f>
        <v/>
      </c>
    </row>
    <row r="207" customFormat="false" ht="15" hidden="false" customHeight="false" outlineLevel="0" collapsed="false">
      <c r="A207" s="21"/>
      <c r="B207" s="21"/>
      <c r="C207" s="21"/>
      <c r="D207" s="26"/>
      <c r="E207" s="26"/>
      <c r="F207" s="17"/>
      <c r="G207" s="25"/>
      <c r="H207" s="21"/>
      <c r="I207" s="21"/>
      <c r="J207" s="18" t="str">
        <f aca="false">IF($A207="","",$F207*$G207)</f>
        <v/>
      </c>
    </row>
    <row r="208" customFormat="false" ht="15" hidden="false" customHeight="false" outlineLevel="0" collapsed="false">
      <c r="A208" s="21"/>
      <c r="B208" s="21"/>
      <c r="C208" s="21"/>
      <c r="D208" s="26"/>
      <c r="E208" s="26"/>
      <c r="F208" s="17"/>
      <c r="G208" s="25"/>
      <c r="H208" s="21"/>
      <c r="I208" s="21"/>
      <c r="J208" s="18" t="str">
        <f aca="false">IF($A208="","",$F208*$G208)</f>
        <v/>
      </c>
    </row>
    <row r="209" customFormat="false" ht="15" hidden="false" customHeight="false" outlineLevel="0" collapsed="false">
      <c r="A209" s="21"/>
      <c r="B209" s="21"/>
      <c r="C209" s="21"/>
      <c r="D209" s="26"/>
      <c r="E209" s="26"/>
      <c r="F209" s="17"/>
      <c r="G209" s="25"/>
      <c r="H209" s="21"/>
      <c r="I209" s="21"/>
      <c r="J209" s="18" t="str">
        <f aca="false">IF($A209="","",$F209*$G209)</f>
        <v/>
      </c>
    </row>
    <row r="210" customFormat="false" ht="15" hidden="false" customHeight="false" outlineLevel="0" collapsed="false">
      <c r="A210" s="21"/>
      <c r="B210" s="21"/>
      <c r="C210" s="21"/>
      <c r="D210" s="26"/>
      <c r="E210" s="26"/>
      <c r="F210" s="17"/>
      <c r="G210" s="25"/>
      <c r="H210" s="21"/>
      <c r="I210" s="21"/>
      <c r="J210" s="18" t="str">
        <f aca="false">IF($A210="","",$F210*$G210)</f>
        <v/>
      </c>
    </row>
    <row r="211" customFormat="false" ht="15" hidden="false" customHeight="false" outlineLevel="0" collapsed="false">
      <c r="A211" s="21"/>
      <c r="B211" s="21"/>
      <c r="C211" s="21"/>
      <c r="D211" s="26"/>
      <c r="E211" s="26"/>
      <c r="F211" s="17"/>
      <c r="G211" s="25"/>
      <c r="H211" s="21"/>
      <c r="I211" s="21"/>
      <c r="J211" s="18" t="str">
        <f aca="false">IF($A211="","",$F211*$G211)</f>
        <v/>
      </c>
    </row>
    <row r="212" customFormat="false" ht="15" hidden="false" customHeight="false" outlineLevel="0" collapsed="false">
      <c r="A212" s="21"/>
      <c r="B212" s="21"/>
      <c r="C212" s="21"/>
      <c r="D212" s="26"/>
      <c r="E212" s="26"/>
      <c r="F212" s="17"/>
      <c r="G212" s="25"/>
      <c r="H212" s="21"/>
      <c r="I212" s="21"/>
      <c r="J212" s="18" t="str">
        <f aca="false">IF($A212="","",$F212*$G212)</f>
        <v/>
      </c>
    </row>
    <row r="213" customFormat="false" ht="15" hidden="false" customHeight="false" outlineLevel="0" collapsed="false">
      <c r="A213" s="21"/>
      <c r="B213" s="21"/>
      <c r="C213" s="21"/>
      <c r="D213" s="26"/>
      <c r="E213" s="26"/>
      <c r="F213" s="17"/>
      <c r="G213" s="25"/>
      <c r="H213" s="21"/>
      <c r="I213" s="21"/>
      <c r="J213" s="18" t="str">
        <f aca="false">IF($A213="","",$F213*$G213)</f>
        <v/>
      </c>
    </row>
    <row r="214" customFormat="false" ht="15" hidden="false" customHeight="false" outlineLevel="0" collapsed="false">
      <c r="A214" s="21"/>
      <c r="B214" s="21"/>
      <c r="C214" s="21"/>
      <c r="D214" s="26"/>
      <c r="E214" s="26"/>
      <c r="F214" s="17"/>
      <c r="G214" s="25"/>
      <c r="H214" s="21"/>
      <c r="I214" s="21"/>
      <c r="J214" s="18" t="str">
        <f aca="false">IF($A214="","",$F214*$G214)</f>
        <v/>
      </c>
    </row>
    <row r="215" customFormat="false" ht="15" hidden="false" customHeight="false" outlineLevel="0" collapsed="false">
      <c r="A215" s="21"/>
      <c r="B215" s="21"/>
      <c r="C215" s="21"/>
      <c r="D215" s="26"/>
      <c r="E215" s="26"/>
      <c r="F215" s="17"/>
      <c r="G215" s="25"/>
      <c r="H215" s="21"/>
      <c r="I215" s="21"/>
      <c r="J215" s="18" t="str">
        <f aca="false">IF($A215="","",$F215*$G215)</f>
        <v/>
      </c>
    </row>
    <row r="216" customFormat="false" ht="15" hidden="false" customHeight="false" outlineLevel="0" collapsed="false">
      <c r="A216" s="21"/>
      <c r="B216" s="21"/>
      <c r="C216" s="21"/>
      <c r="D216" s="26"/>
      <c r="E216" s="26"/>
      <c r="F216" s="17"/>
      <c r="G216" s="25"/>
      <c r="H216" s="21"/>
      <c r="I216" s="21"/>
      <c r="J216" s="18" t="str">
        <f aca="false">IF($A216="","",$F216*$G216)</f>
        <v/>
      </c>
    </row>
    <row r="217" customFormat="false" ht="15" hidden="false" customHeight="false" outlineLevel="0" collapsed="false">
      <c r="A217" s="21"/>
      <c r="B217" s="21"/>
      <c r="C217" s="21"/>
      <c r="D217" s="26"/>
      <c r="E217" s="26"/>
      <c r="F217" s="17"/>
      <c r="G217" s="25"/>
      <c r="H217" s="21"/>
      <c r="I217" s="21"/>
      <c r="J217" s="18" t="str">
        <f aca="false">IF($A217="","",$F217*$G217)</f>
        <v/>
      </c>
    </row>
    <row r="218" customFormat="false" ht="15" hidden="false" customHeight="false" outlineLevel="0" collapsed="false">
      <c r="A218" s="21"/>
      <c r="B218" s="21"/>
      <c r="C218" s="21"/>
      <c r="D218" s="26"/>
      <c r="E218" s="26"/>
      <c r="F218" s="17"/>
      <c r="G218" s="25"/>
      <c r="H218" s="21"/>
      <c r="I218" s="21"/>
      <c r="J218" s="18" t="str">
        <f aca="false">IF($A218="","",$F218*$G218)</f>
        <v/>
      </c>
    </row>
    <row r="219" customFormat="false" ht="15" hidden="false" customHeight="false" outlineLevel="0" collapsed="false">
      <c r="A219" s="21"/>
      <c r="B219" s="21"/>
      <c r="C219" s="21"/>
      <c r="D219" s="26"/>
      <c r="E219" s="26"/>
      <c r="F219" s="17"/>
      <c r="G219" s="25"/>
      <c r="H219" s="21"/>
      <c r="I219" s="21"/>
      <c r="J219" s="18" t="str">
        <f aca="false">IF($A219="","",$F219*$G219)</f>
        <v/>
      </c>
    </row>
    <row r="220" customFormat="false" ht="15" hidden="false" customHeight="false" outlineLevel="0" collapsed="false">
      <c r="A220" s="21"/>
      <c r="B220" s="21"/>
      <c r="C220" s="21"/>
      <c r="D220" s="26"/>
      <c r="E220" s="26"/>
      <c r="F220" s="17"/>
      <c r="G220" s="25"/>
      <c r="H220" s="21"/>
      <c r="I220" s="21"/>
      <c r="J220" s="18" t="str">
        <f aca="false">IF($A220="","",$F220*$G220)</f>
        <v/>
      </c>
    </row>
    <row r="221" customFormat="false" ht="15" hidden="false" customHeight="false" outlineLevel="0" collapsed="false">
      <c r="A221" s="21"/>
      <c r="B221" s="21"/>
      <c r="C221" s="21"/>
      <c r="D221" s="26"/>
      <c r="E221" s="26"/>
      <c r="F221" s="17"/>
      <c r="G221" s="25"/>
      <c r="H221" s="21"/>
      <c r="I221" s="21"/>
      <c r="J221" s="18" t="str">
        <f aca="false">IF($A221="","",$F221*$G221)</f>
        <v/>
      </c>
    </row>
    <row r="222" customFormat="false" ht="15" hidden="false" customHeight="false" outlineLevel="0" collapsed="false">
      <c r="A222" s="21"/>
      <c r="B222" s="21"/>
      <c r="C222" s="21"/>
      <c r="D222" s="26"/>
      <c r="E222" s="26"/>
      <c r="F222" s="17"/>
      <c r="G222" s="25"/>
      <c r="H222" s="21"/>
      <c r="I222" s="21"/>
      <c r="J222" s="18" t="str">
        <f aca="false">IF($A222="","",$F222*$G222)</f>
        <v/>
      </c>
    </row>
    <row r="223" customFormat="false" ht="15" hidden="false" customHeight="false" outlineLevel="0" collapsed="false">
      <c r="A223" s="21"/>
      <c r="B223" s="21"/>
      <c r="C223" s="21"/>
      <c r="D223" s="26"/>
      <c r="E223" s="26"/>
      <c r="F223" s="17"/>
      <c r="G223" s="25"/>
      <c r="H223" s="21"/>
      <c r="I223" s="21"/>
      <c r="J223" s="18" t="str">
        <f aca="false">IF($A223="","",$F223*$G223)</f>
        <v/>
      </c>
    </row>
    <row r="224" customFormat="false" ht="15" hidden="false" customHeight="false" outlineLevel="0" collapsed="false">
      <c r="A224" s="21"/>
      <c r="B224" s="21"/>
      <c r="C224" s="21"/>
      <c r="D224" s="26"/>
      <c r="E224" s="26"/>
      <c r="F224" s="17"/>
      <c r="G224" s="25"/>
      <c r="H224" s="21"/>
      <c r="I224" s="21"/>
      <c r="J224" s="18" t="str">
        <f aca="false">IF($A224="","",$F224*$G224)</f>
        <v/>
      </c>
    </row>
    <row r="225" customFormat="false" ht="15" hidden="false" customHeight="false" outlineLevel="0" collapsed="false">
      <c r="A225" s="21"/>
      <c r="B225" s="21"/>
      <c r="C225" s="21"/>
      <c r="D225" s="26"/>
      <c r="E225" s="26"/>
      <c r="F225" s="17"/>
      <c r="G225" s="25"/>
      <c r="H225" s="21"/>
      <c r="I225" s="21"/>
      <c r="J225" s="18" t="str">
        <f aca="false">IF($A225="","",$F225*$G225)</f>
        <v/>
      </c>
    </row>
    <row r="226" customFormat="false" ht="15" hidden="false" customHeight="false" outlineLevel="0" collapsed="false">
      <c r="A226" s="21"/>
      <c r="B226" s="21"/>
      <c r="C226" s="21"/>
      <c r="D226" s="26"/>
      <c r="E226" s="26"/>
      <c r="F226" s="17"/>
      <c r="G226" s="25"/>
      <c r="H226" s="21"/>
      <c r="I226" s="21"/>
      <c r="J226" s="18" t="str">
        <f aca="false">IF($A226="","",$F226*$G226)</f>
        <v/>
      </c>
    </row>
    <row r="227" customFormat="false" ht="15" hidden="false" customHeight="false" outlineLevel="0" collapsed="false">
      <c r="A227" s="21"/>
      <c r="B227" s="21"/>
      <c r="C227" s="21"/>
      <c r="D227" s="26"/>
      <c r="E227" s="26"/>
      <c r="F227" s="17"/>
      <c r="G227" s="25"/>
      <c r="H227" s="21"/>
      <c r="I227" s="21"/>
      <c r="J227" s="18" t="str">
        <f aca="false">IF($A227="","",$F227*$G227)</f>
        <v/>
      </c>
    </row>
    <row r="228" customFormat="false" ht="15" hidden="false" customHeight="false" outlineLevel="0" collapsed="false">
      <c r="A228" s="21"/>
      <c r="B228" s="21"/>
      <c r="C228" s="21"/>
      <c r="D228" s="26"/>
      <c r="E228" s="26"/>
      <c r="F228" s="17"/>
      <c r="G228" s="25"/>
      <c r="H228" s="21"/>
      <c r="I228" s="21"/>
      <c r="J228" s="18" t="str">
        <f aca="false">IF($A228="","",$F228*$G228)</f>
        <v/>
      </c>
    </row>
    <row r="229" customFormat="false" ht="15" hidden="false" customHeight="false" outlineLevel="0" collapsed="false">
      <c r="A229" s="21"/>
      <c r="B229" s="21"/>
      <c r="C229" s="21"/>
      <c r="D229" s="26"/>
      <c r="E229" s="26"/>
      <c r="F229" s="17"/>
      <c r="G229" s="25"/>
      <c r="H229" s="21"/>
      <c r="I229" s="21"/>
      <c r="J229" s="18" t="str">
        <f aca="false">IF($A229="","",$F229*$G229)</f>
        <v/>
      </c>
    </row>
    <row r="230" customFormat="false" ht="15" hidden="false" customHeight="false" outlineLevel="0" collapsed="false">
      <c r="A230" s="21"/>
      <c r="B230" s="21"/>
      <c r="C230" s="21"/>
      <c r="D230" s="26"/>
      <c r="E230" s="26"/>
      <c r="F230" s="17"/>
      <c r="G230" s="25"/>
      <c r="H230" s="21"/>
      <c r="I230" s="21"/>
      <c r="J230" s="18" t="str">
        <f aca="false">IF($A230="","",$F230*$G230)</f>
        <v/>
      </c>
    </row>
    <row r="231" customFormat="false" ht="15" hidden="false" customHeight="false" outlineLevel="0" collapsed="false">
      <c r="A231" s="21"/>
      <c r="B231" s="21"/>
      <c r="C231" s="21"/>
      <c r="D231" s="26"/>
      <c r="E231" s="26"/>
      <c r="F231" s="17"/>
      <c r="G231" s="25"/>
      <c r="H231" s="21"/>
      <c r="I231" s="21"/>
      <c r="J231" s="18" t="str">
        <f aca="false">IF($A231="","",$F231*$G231)</f>
        <v/>
      </c>
    </row>
    <row r="232" customFormat="false" ht="15" hidden="false" customHeight="false" outlineLevel="0" collapsed="false">
      <c r="A232" s="21"/>
      <c r="B232" s="21"/>
      <c r="C232" s="21"/>
      <c r="D232" s="26"/>
      <c r="E232" s="26"/>
      <c r="F232" s="17"/>
      <c r="G232" s="25"/>
      <c r="H232" s="21"/>
      <c r="I232" s="21"/>
      <c r="J232" s="18" t="str">
        <f aca="false">IF($A232="","",$F232*$G232)</f>
        <v/>
      </c>
    </row>
    <row r="233" customFormat="false" ht="15" hidden="false" customHeight="false" outlineLevel="0" collapsed="false">
      <c r="A233" s="21"/>
      <c r="B233" s="21"/>
      <c r="C233" s="21"/>
      <c r="D233" s="26"/>
      <c r="E233" s="26"/>
      <c r="F233" s="17"/>
      <c r="G233" s="25"/>
      <c r="H233" s="21"/>
      <c r="I233" s="21"/>
      <c r="J233" s="18" t="str">
        <f aca="false">IF($A233="","",$F233*$G233)</f>
        <v/>
      </c>
    </row>
    <row r="234" customFormat="false" ht="15" hidden="false" customHeight="false" outlineLevel="0" collapsed="false">
      <c r="A234" s="21"/>
      <c r="B234" s="21"/>
      <c r="C234" s="21"/>
      <c r="D234" s="26"/>
      <c r="E234" s="26"/>
      <c r="F234" s="17"/>
      <c r="G234" s="25"/>
      <c r="H234" s="21"/>
      <c r="I234" s="21"/>
      <c r="J234" s="18" t="str">
        <f aca="false">IF($A234="","",$F234*$G234)</f>
        <v/>
      </c>
    </row>
    <row r="235" customFormat="false" ht="15" hidden="false" customHeight="false" outlineLevel="0" collapsed="false">
      <c r="A235" s="21"/>
      <c r="B235" s="21"/>
      <c r="C235" s="21"/>
      <c r="D235" s="26"/>
      <c r="E235" s="26"/>
      <c r="F235" s="17"/>
      <c r="G235" s="25"/>
      <c r="H235" s="21"/>
      <c r="I235" s="21"/>
      <c r="J235" s="18" t="str">
        <f aca="false">IF($A235="","",$F235*$G235)</f>
        <v/>
      </c>
    </row>
    <row r="236" customFormat="false" ht="15" hidden="false" customHeight="false" outlineLevel="0" collapsed="false">
      <c r="A236" s="21"/>
      <c r="B236" s="21"/>
      <c r="C236" s="21"/>
      <c r="D236" s="26"/>
      <c r="E236" s="26"/>
      <c r="F236" s="17"/>
      <c r="G236" s="25"/>
      <c r="H236" s="21"/>
      <c r="I236" s="21"/>
      <c r="J236" s="18" t="str">
        <f aca="false">IF($A236="","",$F236*$G236)</f>
        <v/>
      </c>
    </row>
    <row r="237" customFormat="false" ht="15" hidden="false" customHeight="false" outlineLevel="0" collapsed="false">
      <c r="A237" s="21"/>
      <c r="B237" s="21"/>
      <c r="C237" s="21"/>
      <c r="D237" s="26"/>
      <c r="E237" s="26"/>
      <c r="F237" s="17"/>
      <c r="G237" s="25"/>
      <c r="H237" s="21"/>
      <c r="I237" s="21"/>
      <c r="J237" s="18" t="str">
        <f aca="false">IF($A237="","",$F237*$G237)</f>
        <v/>
      </c>
    </row>
    <row r="238" customFormat="false" ht="15" hidden="false" customHeight="false" outlineLevel="0" collapsed="false">
      <c r="A238" s="21"/>
      <c r="B238" s="21"/>
      <c r="C238" s="21"/>
      <c r="D238" s="26"/>
      <c r="E238" s="26"/>
      <c r="F238" s="17"/>
      <c r="G238" s="25"/>
      <c r="H238" s="21"/>
      <c r="I238" s="21"/>
      <c r="J238" s="18" t="str">
        <f aca="false">IF($A238="","",$F238*$G238)</f>
        <v/>
      </c>
    </row>
    <row r="239" customFormat="false" ht="15" hidden="false" customHeight="false" outlineLevel="0" collapsed="false">
      <c r="A239" s="21"/>
      <c r="B239" s="21"/>
      <c r="C239" s="21"/>
      <c r="D239" s="26"/>
      <c r="E239" s="26"/>
      <c r="F239" s="17"/>
      <c r="G239" s="25"/>
      <c r="H239" s="21"/>
      <c r="I239" s="21"/>
      <c r="J239" s="18" t="str">
        <f aca="false">IF($A239="","",$F239*$G239)</f>
        <v/>
      </c>
    </row>
    <row r="240" customFormat="false" ht="15" hidden="false" customHeight="false" outlineLevel="0" collapsed="false">
      <c r="A240" s="21"/>
      <c r="B240" s="21"/>
      <c r="C240" s="21"/>
      <c r="D240" s="26"/>
      <c r="E240" s="26"/>
      <c r="F240" s="17"/>
      <c r="G240" s="25"/>
      <c r="H240" s="21"/>
      <c r="I240" s="21"/>
      <c r="J240" s="18" t="str">
        <f aca="false">IF($A240="","",$F240*$G240)</f>
        <v/>
      </c>
    </row>
    <row r="241" customFormat="false" ht="15" hidden="false" customHeight="false" outlineLevel="0" collapsed="false">
      <c r="A241" s="21"/>
      <c r="B241" s="21"/>
      <c r="C241" s="21"/>
      <c r="D241" s="26"/>
      <c r="E241" s="26"/>
      <c r="F241" s="17"/>
      <c r="G241" s="25"/>
      <c r="H241" s="21"/>
      <c r="I241" s="21"/>
      <c r="J241" s="18" t="str">
        <f aca="false">IF($A241="","",$F241*$G241)</f>
        <v/>
      </c>
    </row>
    <row r="242" customFormat="false" ht="15" hidden="false" customHeight="false" outlineLevel="0" collapsed="false">
      <c r="A242" s="21"/>
      <c r="B242" s="21"/>
      <c r="C242" s="21"/>
      <c r="D242" s="26"/>
      <c r="E242" s="26"/>
      <c r="F242" s="17"/>
      <c r="G242" s="25"/>
      <c r="H242" s="21"/>
      <c r="I242" s="21"/>
      <c r="J242" s="18" t="str">
        <f aca="false">IF($A242="","",$F242*$G242)</f>
        <v/>
      </c>
    </row>
    <row r="243" customFormat="false" ht="15" hidden="false" customHeight="false" outlineLevel="0" collapsed="false">
      <c r="A243" s="21"/>
      <c r="B243" s="21"/>
      <c r="C243" s="21"/>
      <c r="D243" s="26"/>
      <c r="E243" s="26"/>
      <c r="F243" s="17"/>
      <c r="G243" s="25"/>
      <c r="H243" s="21"/>
      <c r="I243" s="21"/>
      <c r="J243" s="18" t="str">
        <f aca="false">IF($A243="","",$F243*$G243)</f>
        <v/>
      </c>
    </row>
    <row r="244" customFormat="false" ht="15" hidden="false" customHeight="false" outlineLevel="0" collapsed="false">
      <c r="A244" s="21"/>
      <c r="B244" s="21"/>
      <c r="C244" s="21"/>
      <c r="D244" s="26"/>
      <c r="E244" s="26"/>
      <c r="F244" s="17"/>
      <c r="G244" s="25"/>
      <c r="H244" s="21"/>
      <c r="I244" s="21"/>
      <c r="J244" s="18" t="str">
        <f aca="false">IF($A244="","",$F244*$G244)</f>
        <v/>
      </c>
    </row>
    <row r="245" customFormat="false" ht="15" hidden="false" customHeight="false" outlineLevel="0" collapsed="false">
      <c r="A245" s="21"/>
      <c r="B245" s="21"/>
      <c r="C245" s="21"/>
      <c r="D245" s="26"/>
      <c r="E245" s="26"/>
      <c r="F245" s="17"/>
      <c r="G245" s="25"/>
      <c r="H245" s="21"/>
      <c r="I245" s="21"/>
      <c r="J245" s="18" t="str">
        <f aca="false">IF($A245="","",$F245*$G245)</f>
        <v/>
      </c>
    </row>
    <row r="246" customFormat="false" ht="15" hidden="false" customHeight="false" outlineLevel="0" collapsed="false">
      <c r="A246" s="21"/>
      <c r="B246" s="21"/>
      <c r="C246" s="21"/>
      <c r="D246" s="26"/>
      <c r="E246" s="26"/>
      <c r="F246" s="17"/>
      <c r="G246" s="25"/>
      <c r="H246" s="21"/>
      <c r="I246" s="21"/>
      <c r="J246" s="18" t="str">
        <f aca="false">IF($A246="","",$F246*$G246)</f>
        <v/>
      </c>
    </row>
    <row r="247" customFormat="false" ht="15" hidden="false" customHeight="false" outlineLevel="0" collapsed="false">
      <c r="A247" s="21"/>
      <c r="B247" s="21"/>
      <c r="C247" s="21"/>
      <c r="D247" s="26"/>
      <c r="E247" s="26"/>
      <c r="F247" s="17"/>
      <c r="G247" s="25"/>
      <c r="H247" s="21"/>
      <c r="I247" s="21"/>
      <c r="J247" s="18" t="str">
        <f aca="false">IF($A247="","",$F247*$G247)</f>
        <v/>
      </c>
    </row>
    <row r="248" customFormat="false" ht="15" hidden="false" customHeight="false" outlineLevel="0" collapsed="false">
      <c r="A248" s="21"/>
      <c r="B248" s="21"/>
      <c r="C248" s="21"/>
      <c r="D248" s="26"/>
      <c r="E248" s="26"/>
      <c r="F248" s="17"/>
      <c r="G248" s="25"/>
      <c r="H248" s="21"/>
      <c r="I248" s="21"/>
      <c r="J248" s="18" t="str">
        <f aca="false">IF($A248="","",$F248*$G248)</f>
        <v/>
      </c>
    </row>
    <row r="249" customFormat="false" ht="15" hidden="false" customHeight="false" outlineLevel="0" collapsed="false">
      <c r="A249" s="21"/>
      <c r="B249" s="21"/>
      <c r="C249" s="21"/>
      <c r="D249" s="26"/>
      <c r="E249" s="26"/>
      <c r="F249" s="17"/>
      <c r="G249" s="25"/>
      <c r="H249" s="21"/>
      <c r="I249" s="21"/>
      <c r="J249" s="18" t="str">
        <f aca="false">IF($A249="","",$F249*$G249)</f>
        <v/>
      </c>
    </row>
    <row r="250" customFormat="false" ht="15" hidden="false" customHeight="false" outlineLevel="0" collapsed="false">
      <c r="A250" s="21"/>
      <c r="B250" s="21"/>
      <c r="C250" s="21"/>
      <c r="D250" s="26"/>
      <c r="E250" s="26"/>
      <c r="F250" s="17"/>
      <c r="G250" s="25"/>
      <c r="H250" s="21"/>
      <c r="I250" s="21"/>
      <c r="J250" s="18" t="str">
        <f aca="false">IF($A250="","",$F250*$G250)</f>
        <v/>
      </c>
    </row>
    <row r="251" customFormat="false" ht="15" hidden="false" customHeight="false" outlineLevel="0" collapsed="false">
      <c r="A251" s="21"/>
      <c r="B251" s="21"/>
      <c r="C251" s="21"/>
      <c r="D251" s="26"/>
      <c r="E251" s="26"/>
      <c r="F251" s="17"/>
      <c r="G251" s="25"/>
      <c r="H251" s="21"/>
      <c r="I251" s="21"/>
      <c r="J251" s="18" t="str">
        <f aca="false">IF($A251="","",$F251*$G251)</f>
        <v/>
      </c>
    </row>
    <row r="252" customFormat="false" ht="15" hidden="false" customHeight="false" outlineLevel="0" collapsed="false">
      <c r="A252" s="21"/>
      <c r="B252" s="21"/>
      <c r="C252" s="21"/>
      <c r="D252" s="26"/>
      <c r="E252" s="26"/>
      <c r="F252" s="17"/>
      <c r="G252" s="25"/>
      <c r="H252" s="21"/>
      <c r="I252" s="21"/>
      <c r="J252" s="18" t="str">
        <f aca="false">IF($A252="","",$F252*$G252)</f>
        <v/>
      </c>
    </row>
    <row r="253" customFormat="false" ht="15" hidden="false" customHeight="false" outlineLevel="0" collapsed="false">
      <c r="A253" s="21"/>
      <c r="B253" s="21"/>
      <c r="C253" s="21"/>
      <c r="D253" s="26"/>
      <c r="E253" s="26"/>
      <c r="F253" s="17"/>
      <c r="G253" s="25"/>
      <c r="H253" s="21"/>
      <c r="I253" s="21"/>
      <c r="J253" s="18" t="str">
        <f aca="false">IF($A253="","",$F253*$G253)</f>
        <v/>
      </c>
    </row>
    <row r="254" customFormat="false" ht="15" hidden="false" customHeight="false" outlineLevel="0" collapsed="false">
      <c r="A254" s="21"/>
      <c r="B254" s="21"/>
      <c r="C254" s="21"/>
      <c r="D254" s="26"/>
      <c r="E254" s="26"/>
      <c r="F254" s="17"/>
      <c r="G254" s="25"/>
      <c r="H254" s="21"/>
      <c r="I254" s="21"/>
      <c r="J254" s="18" t="str">
        <f aca="false">IF($A254="","",$F254*$G254)</f>
        <v/>
      </c>
    </row>
    <row r="255" customFormat="false" ht="15" hidden="false" customHeight="false" outlineLevel="0" collapsed="false">
      <c r="A255" s="21"/>
      <c r="B255" s="21"/>
      <c r="C255" s="21"/>
      <c r="D255" s="26"/>
      <c r="E255" s="26"/>
      <c r="F255" s="17"/>
      <c r="G255" s="25"/>
      <c r="H255" s="21"/>
      <c r="I255" s="21"/>
      <c r="J255" s="18" t="str">
        <f aca="false">IF($A255="","",$F255*$G255)</f>
        <v/>
      </c>
    </row>
    <row r="256" customFormat="false" ht="15" hidden="false" customHeight="false" outlineLevel="0" collapsed="false">
      <c r="A256" s="21"/>
      <c r="B256" s="21"/>
      <c r="C256" s="21"/>
      <c r="D256" s="26"/>
      <c r="E256" s="26"/>
      <c r="F256" s="17"/>
      <c r="G256" s="25"/>
      <c r="H256" s="21"/>
      <c r="I256" s="21"/>
      <c r="J256" s="18" t="str">
        <f aca="false">IF($A256="","",$F256*$G256)</f>
        <v/>
      </c>
    </row>
    <row r="257" customFormat="false" ht="15" hidden="false" customHeight="false" outlineLevel="0" collapsed="false">
      <c r="A257" s="21"/>
      <c r="B257" s="21"/>
      <c r="C257" s="21"/>
      <c r="D257" s="26"/>
      <c r="E257" s="26"/>
      <c r="F257" s="17"/>
      <c r="G257" s="25"/>
      <c r="H257" s="21"/>
      <c r="I257" s="21"/>
      <c r="J257" s="18" t="str">
        <f aca="false">IF($A257="","",$F257*$G257)</f>
        <v/>
      </c>
    </row>
    <row r="258" customFormat="false" ht="15" hidden="false" customHeight="false" outlineLevel="0" collapsed="false">
      <c r="A258" s="21"/>
      <c r="B258" s="21"/>
      <c r="C258" s="21"/>
      <c r="D258" s="26"/>
      <c r="E258" s="26"/>
      <c r="F258" s="17"/>
      <c r="G258" s="25"/>
      <c r="H258" s="21"/>
      <c r="I258" s="21"/>
      <c r="J258" s="18" t="str">
        <f aca="false">IF($A258="","",$F258*$G258)</f>
        <v/>
      </c>
    </row>
    <row r="259" customFormat="false" ht="15" hidden="false" customHeight="false" outlineLevel="0" collapsed="false">
      <c r="A259" s="21"/>
      <c r="B259" s="21"/>
      <c r="C259" s="21"/>
      <c r="D259" s="26"/>
      <c r="E259" s="26"/>
      <c r="F259" s="17"/>
      <c r="G259" s="25"/>
      <c r="H259" s="21"/>
      <c r="I259" s="21"/>
      <c r="J259" s="18" t="str">
        <f aca="false">IF($A259="","",$F259*$G259)</f>
        <v/>
      </c>
    </row>
    <row r="260" customFormat="false" ht="15" hidden="false" customHeight="false" outlineLevel="0" collapsed="false">
      <c r="A260" s="21"/>
      <c r="B260" s="21"/>
      <c r="C260" s="21"/>
      <c r="D260" s="26"/>
      <c r="E260" s="26"/>
      <c r="F260" s="17"/>
      <c r="G260" s="25"/>
      <c r="H260" s="21"/>
      <c r="I260" s="21"/>
      <c r="J260" s="18" t="str">
        <f aca="false">IF($A260="","",$F260*$G260)</f>
        <v/>
      </c>
    </row>
    <row r="261" customFormat="false" ht="15" hidden="false" customHeight="false" outlineLevel="0" collapsed="false">
      <c r="A261" s="21"/>
      <c r="B261" s="21"/>
      <c r="C261" s="21"/>
      <c r="D261" s="26"/>
      <c r="E261" s="26"/>
      <c r="F261" s="17"/>
      <c r="G261" s="25"/>
      <c r="H261" s="21"/>
      <c r="I261" s="21"/>
      <c r="J261" s="18" t="str">
        <f aca="false">IF($A261="","",$F261*$G261)</f>
        <v/>
      </c>
    </row>
    <row r="262" customFormat="false" ht="15" hidden="false" customHeight="false" outlineLevel="0" collapsed="false">
      <c r="A262" s="21"/>
      <c r="B262" s="21"/>
      <c r="C262" s="21"/>
      <c r="D262" s="26"/>
      <c r="E262" s="26"/>
      <c r="F262" s="17"/>
      <c r="G262" s="25"/>
      <c r="H262" s="21"/>
      <c r="I262" s="21"/>
      <c r="J262" s="18" t="str">
        <f aca="false">IF($A262="","",$F262*$G262)</f>
        <v/>
      </c>
    </row>
    <row r="263" customFormat="false" ht="15" hidden="false" customHeight="false" outlineLevel="0" collapsed="false">
      <c r="A263" s="21"/>
      <c r="B263" s="21"/>
      <c r="C263" s="21"/>
      <c r="D263" s="26"/>
      <c r="E263" s="26"/>
      <c r="F263" s="17"/>
      <c r="G263" s="25"/>
      <c r="H263" s="21"/>
      <c r="I263" s="21"/>
      <c r="J263" s="18" t="str">
        <f aca="false">IF($A263="","",$F263*$G263)</f>
        <v/>
      </c>
    </row>
    <row r="264" customFormat="false" ht="15" hidden="false" customHeight="false" outlineLevel="0" collapsed="false">
      <c r="A264" s="21"/>
      <c r="B264" s="21"/>
      <c r="C264" s="21"/>
      <c r="D264" s="26"/>
      <c r="E264" s="26"/>
      <c r="F264" s="17"/>
      <c r="G264" s="25"/>
      <c r="H264" s="21"/>
      <c r="I264" s="21"/>
      <c r="J264" s="18" t="str">
        <f aca="false">IF($A264="","",$F264*$G264)</f>
        <v/>
      </c>
    </row>
    <row r="265" customFormat="false" ht="15" hidden="false" customHeight="false" outlineLevel="0" collapsed="false">
      <c r="A265" s="21"/>
      <c r="B265" s="21"/>
      <c r="C265" s="21"/>
      <c r="D265" s="26"/>
      <c r="E265" s="26"/>
      <c r="F265" s="17"/>
      <c r="G265" s="25"/>
      <c r="H265" s="21"/>
      <c r="I265" s="21"/>
      <c r="J265" s="18" t="str">
        <f aca="false">IF($A265="","",$F265*$G265)</f>
        <v/>
      </c>
    </row>
    <row r="266" customFormat="false" ht="15" hidden="false" customHeight="false" outlineLevel="0" collapsed="false">
      <c r="A266" s="21"/>
      <c r="B266" s="21"/>
      <c r="C266" s="21"/>
      <c r="D266" s="26"/>
      <c r="E266" s="26"/>
      <c r="F266" s="17"/>
      <c r="G266" s="25"/>
      <c r="H266" s="21"/>
      <c r="I266" s="21"/>
      <c r="J266" s="18" t="str">
        <f aca="false">IF($A266="","",$F266*$G266)</f>
        <v/>
      </c>
    </row>
    <row r="267" customFormat="false" ht="15" hidden="false" customHeight="false" outlineLevel="0" collapsed="false">
      <c r="A267" s="21"/>
      <c r="B267" s="21"/>
      <c r="C267" s="21"/>
      <c r="D267" s="26"/>
      <c r="E267" s="26"/>
      <c r="F267" s="17"/>
      <c r="G267" s="25"/>
      <c r="H267" s="21"/>
      <c r="I267" s="21"/>
      <c r="J267" s="18" t="str">
        <f aca="false">IF($A267="","",$F267*$G267)</f>
        <v/>
      </c>
    </row>
    <row r="268" customFormat="false" ht="15" hidden="false" customHeight="false" outlineLevel="0" collapsed="false">
      <c r="A268" s="21"/>
      <c r="B268" s="21"/>
      <c r="C268" s="21"/>
      <c r="D268" s="26"/>
      <c r="E268" s="26"/>
      <c r="F268" s="17"/>
      <c r="G268" s="25"/>
      <c r="H268" s="21"/>
      <c r="I268" s="21"/>
      <c r="J268" s="18" t="str">
        <f aca="false">IF($A268="","",$F268*$G268)</f>
        <v/>
      </c>
    </row>
    <row r="269" customFormat="false" ht="15" hidden="false" customHeight="false" outlineLevel="0" collapsed="false">
      <c r="A269" s="21"/>
      <c r="B269" s="21"/>
      <c r="C269" s="21"/>
      <c r="D269" s="26"/>
      <c r="E269" s="26"/>
      <c r="F269" s="17"/>
      <c r="G269" s="25"/>
      <c r="H269" s="21"/>
      <c r="I269" s="21"/>
      <c r="J269" s="18" t="str">
        <f aca="false">IF($A269="","",$F269*$G269)</f>
        <v/>
      </c>
    </row>
    <row r="270" customFormat="false" ht="15" hidden="false" customHeight="false" outlineLevel="0" collapsed="false">
      <c r="A270" s="21"/>
      <c r="B270" s="21"/>
      <c r="C270" s="21"/>
      <c r="D270" s="26"/>
      <c r="E270" s="26"/>
      <c r="F270" s="17"/>
      <c r="G270" s="25"/>
      <c r="H270" s="21"/>
      <c r="I270" s="21"/>
      <c r="J270" s="18" t="str">
        <f aca="false">IF($A270="","",$F270*$G270)</f>
        <v/>
      </c>
    </row>
    <row r="271" customFormat="false" ht="15" hidden="false" customHeight="false" outlineLevel="0" collapsed="false">
      <c r="A271" s="21"/>
      <c r="B271" s="21"/>
      <c r="C271" s="21"/>
      <c r="D271" s="26"/>
      <c r="E271" s="26"/>
      <c r="F271" s="17"/>
      <c r="G271" s="25"/>
      <c r="H271" s="21"/>
      <c r="I271" s="21"/>
      <c r="J271" s="18" t="str">
        <f aca="false">IF($A271="","",$F271*$G271)</f>
        <v/>
      </c>
    </row>
    <row r="272" customFormat="false" ht="15" hidden="false" customHeight="false" outlineLevel="0" collapsed="false">
      <c r="A272" s="21"/>
      <c r="B272" s="21"/>
      <c r="C272" s="21"/>
      <c r="D272" s="26"/>
      <c r="E272" s="26"/>
      <c r="F272" s="17"/>
      <c r="G272" s="25"/>
      <c r="H272" s="21"/>
      <c r="I272" s="21"/>
      <c r="J272" s="18" t="str">
        <f aca="false">IF($A272="","",$F272*$G272)</f>
        <v/>
      </c>
    </row>
    <row r="273" customFormat="false" ht="15" hidden="false" customHeight="false" outlineLevel="0" collapsed="false">
      <c r="A273" s="21"/>
      <c r="B273" s="21"/>
      <c r="C273" s="21"/>
      <c r="D273" s="26"/>
      <c r="E273" s="26"/>
      <c r="F273" s="17"/>
      <c r="G273" s="25"/>
      <c r="H273" s="21"/>
      <c r="I273" s="21"/>
      <c r="J273" s="18" t="str">
        <f aca="false">IF($A273="","",$F273*$G273)</f>
        <v/>
      </c>
    </row>
    <row r="274" customFormat="false" ht="15" hidden="false" customHeight="false" outlineLevel="0" collapsed="false">
      <c r="A274" s="21"/>
      <c r="B274" s="21"/>
      <c r="C274" s="21"/>
      <c r="D274" s="26"/>
      <c r="E274" s="26"/>
      <c r="F274" s="17"/>
      <c r="G274" s="25"/>
      <c r="H274" s="21"/>
      <c r="I274" s="21"/>
      <c r="J274" s="18" t="str">
        <f aca="false">IF($A274="","",$F274*$G274)</f>
        <v/>
      </c>
    </row>
    <row r="275" customFormat="false" ht="15" hidden="false" customHeight="false" outlineLevel="0" collapsed="false">
      <c r="A275" s="21"/>
      <c r="B275" s="21"/>
      <c r="C275" s="21"/>
      <c r="D275" s="26"/>
      <c r="E275" s="26"/>
      <c r="F275" s="17"/>
      <c r="G275" s="25"/>
      <c r="H275" s="21"/>
      <c r="I275" s="21"/>
      <c r="J275" s="18" t="str">
        <f aca="false">IF($A275="","",$F275*$G275)</f>
        <v/>
      </c>
    </row>
    <row r="276" customFormat="false" ht="15" hidden="false" customHeight="false" outlineLevel="0" collapsed="false">
      <c r="A276" s="21"/>
      <c r="B276" s="21"/>
      <c r="C276" s="21"/>
      <c r="D276" s="26"/>
      <c r="E276" s="26"/>
      <c r="F276" s="17"/>
      <c r="G276" s="25"/>
      <c r="H276" s="21"/>
      <c r="I276" s="21"/>
      <c r="J276" s="18" t="str">
        <f aca="false">IF($A276="","",$F276*$G276)</f>
        <v/>
      </c>
    </row>
    <row r="277" customFormat="false" ht="15" hidden="false" customHeight="false" outlineLevel="0" collapsed="false">
      <c r="A277" s="21"/>
      <c r="B277" s="21"/>
      <c r="C277" s="21"/>
      <c r="D277" s="26"/>
      <c r="E277" s="26"/>
      <c r="F277" s="17"/>
      <c r="G277" s="25"/>
      <c r="H277" s="21"/>
      <c r="I277" s="21"/>
      <c r="J277" s="18" t="str">
        <f aca="false">IF($A277="","",$F277*$G277)</f>
        <v/>
      </c>
    </row>
    <row r="278" customFormat="false" ht="15" hidden="false" customHeight="false" outlineLevel="0" collapsed="false">
      <c r="A278" s="21"/>
      <c r="B278" s="21"/>
      <c r="C278" s="21"/>
      <c r="D278" s="26"/>
      <c r="E278" s="26"/>
      <c r="F278" s="17"/>
      <c r="G278" s="25"/>
      <c r="H278" s="21"/>
      <c r="I278" s="21"/>
      <c r="J278" s="18" t="str">
        <f aca="false">IF($A278="","",$F278*$G278)</f>
        <v/>
      </c>
    </row>
    <row r="279" customFormat="false" ht="15" hidden="false" customHeight="false" outlineLevel="0" collapsed="false">
      <c r="A279" s="21"/>
      <c r="B279" s="21"/>
      <c r="C279" s="21"/>
      <c r="D279" s="26"/>
      <c r="E279" s="26"/>
      <c r="F279" s="17"/>
      <c r="G279" s="25"/>
      <c r="H279" s="21"/>
      <c r="I279" s="21"/>
      <c r="J279" s="18" t="str">
        <f aca="false">IF($A279="","",$F279*$G279)</f>
        <v/>
      </c>
    </row>
    <row r="280" customFormat="false" ht="15" hidden="false" customHeight="false" outlineLevel="0" collapsed="false">
      <c r="A280" s="21"/>
      <c r="B280" s="21"/>
      <c r="C280" s="21"/>
      <c r="D280" s="26"/>
      <c r="E280" s="26"/>
      <c r="F280" s="17"/>
      <c r="G280" s="25"/>
      <c r="H280" s="21"/>
      <c r="I280" s="21"/>
      <c r="J280" s="18" t="str">
        <f aca="false">IF($A280="","",$F280*$G280)</f>
        <v/>
      </c>
    </row>
    <row r="281" customFormat="false" ht="15" hidden="false" customHeight="false" outlineLevel="0" collapsed="false">
      <c r="A281" s="21"/>
      <c r="B281" s="21"/>
      <c r="C281" s="21"/>
      <c r="D281" s="26"/>
      <c r="E281" s="26"/>
      <c r="F281" s="17"/>
      <c r="G281" s="25"/>
      <c r="H281" s="21"/>
      <c r="I281" s="21"/>
      <c r="J281" s="18" t="str">
        <f aca="false">IF($A281="","",$F281*$G281)</f>
        <v/>
      </c>
    </row>
    <row r="282" customFormat="false" ht="15" hidden="false" customHeight="false" outlineLevel="0" collapsed="false">
      <c r="A282" s="21"/>
      <c r="B282" s="21"/>
      <c r="C282" s="21"/>
      <c r="D282" s="26"/>
      <c r="E282" s="26"/>
      <c r="F282" s="17"/>
      <c r="G282" s="25"/>
      <c r="H282" s="21"/>
      <c r="I282" s="21"/>
      <c r="J282" s="18" t="str">
        <f aca="false">IF($A282="","",$F282*$G282)</f>
        <v/>
      </c>
    </row>
    <row r="283" customFormat="false" ht="15" hidden="false" customHeight="false" outlineLevel="0" collapsed="false">
      <c r="A283" s="21"/>
      <c r="B283" s="21"/>
      <c r="C283" s="21"/>
      <c r="D283" s="26"/>
      <c r="E283" s="26"/>
      <c r="F283" s="17"/>
      <c r="G283" s="25"/>
      <c r="H283" s="21"/>
      <c r="I283" s="21"/>
      <c r="J283" s="18" t="str">
        <f aca="false">IF($A283="","",$F283*$G283)</f>
        <v/>
      </c>
    </row>
    <row r="284" customFormat="false" ht="15" hidden="false" customHeight="false" outlineLevel="0" collapsed="false">
      <c r="A284" s="21"/>
      <c r="B284" s="21"/>
      <c r="C284" s="21"/>
      <c r="D284" s="26"/>
      <c r="E284" s="26"/>
      <c r="F284" s="17"/>
      <c r="G284" s="25"/>
      <c r="H284" s="21"/>
      <c r="I284" s="21"/>
      <c r="J284" s="18" t="str">
        <f aca="false">IF($A284="","",$F284*$G284)</f>
        <v/>
      </c>
    </row>
    <row r="285" customFormat="false" ht="15" hidden="false" customHeight="false" outlineLevel="0" collapsed="false">
      <c r="A285" s="21"/>
      <c r="B285" s="21"/>
      <c r="C285" s="21"/>
      <c r="D285" s="26"/>
      <c r="E285" s="26"/>
      <c r="F285" s="17"/>
      <c r="G285" s="25"/>
      <c r="H285" s="21"/>
      <c r="I285" s="21"/>
      <c r="J285" s="18" t="str">
        <f aca="false">IF($A285="","",$F285*$G285)</f>
        <v/>
      </c>
    </row>
    <row r="286" customFormat="false" ht="15" hidden="false" customHeight="false" outlineLevel="0" collapsed="false">
      <c r="A286" s="21"/>
      <c r="B286" s="21"/>
      <c r="C286" s="21"/>
      <c r="D286" s="26"/>
      <c r="E286" s="26"/>
      <c r="F286" s="17"/>
      <c r="G286" s="25"/>
      <c r="H286" s="21"/>
      <c r="I286" s="21"/>
      <c r="J286" s="18" t="str">
        <f aca="false">IF($A286="","",$F286*$G286)</f>
        <v/>
      </c>
    </row>
    <row r="287" customFormat="false" ht="15" hidden="false" customHeight="false" outlineLevel="0" collapsed="false">
      <c r="A287" s="21"/>
      <c r="B287" s="21"/>
      <c r="C287" s="21"/>
      <c r="D287" s="26"/>
      <c r="E287" s="26"/>
      <c r="F287" s="17"/>
      <c r="G287" s="25"/>
      <c r="H287" s="21"/>
      <c r="I287" s="21"/>
      <c r="J287" s="18" t="str">
        <f aca="false">IF($A287="","",$F287*$G287)</f>
        <v/>
      </c>
    </row>
    <row r="288" customFormat="false" ht="15" hidden="false" customHeight="false" outlineLevel="0" collapsed="false">
      <c r="A288" s="21"/>
      <c r="B288" s="21"/>
      <c r="C288" s="21"/>
      <c r="D288" s="26"/>
      <c r="E288" s="26"/>
      <c r="F288" s="17"/>
      <c r="G288" s="25"/>
      <c r="H288" s="21"/>
      <c r="I288" s="21"/>
      <c r="J288" s="18" t="str">
        <f aca="false">IF($A288="","",$F288*$G288)</f>
        <v/>
      </c>
    </row>
    <row r="289" customFormat="false" ht="15" hidden="false" customHeight="false" outlineLevel="0" collapsed="false">
      <c r="A289" s="21"/>
      <c r="B289" s="21"/>
      <c r="C289" s="21"/>
      <c r="D289" s="26"/>
      <c r="E289" s="26"/>
      <c r="F289" s="17"/>
      <c r="G289" s="25"/>
      <c r="H289" s="21"/>
      <c r="I289" s="21"/>
      <c r="J289" s="18" t="str">
        <f aca="false">IF($A289="","",$F289*$G289)</f>
        <v/>
      </c>
    </row>
    <row r="290" customFormat="false" ht="15" hidden="false" customHeight="false" outlineLevel="0" collapsed="false">
      <c r="A290" s="21"/>
      <c r="B290" s="21"/>
      <c r="C290" s="21"/>
      <c r="D290" s="26"/>
      <c r="E290" s="26"/>
      <c r="F290" s="17"/>
      <c r="G290" s="25"/>
      <c r="H290" s="21"/>
      <c r="I290" s="21"/>
      <c r="J290" s="18" t="str">
        <f aca="false">IF($A290="","",$F290*$G290)</f>
        <v/>
      </c>
    </row>
    <row r="291" customFormat="false" ht="15" hidden="false" customHeight="false" outlineLevel="0" collapsed="false">
      <c r="A291" s="21"/>
      <c r="B291" s="21"/>
      <c r="C291" s="21"/>
      <c r="D291" s="26"/>
      <c r="E291" s="26"/>
      <c r="F291" s="17"/>
      <c r="G291" s="25"/>
      <c r="H291" s="21"/>
      <c r="I291" s="21"/>
      <c r="J291" s="18" t="str">
        <f aca="false">IF($A291="","",$F291*$G291)</f>
        <v/>
      </c>
    </row>
    <row r="292" customFormat="false" ht="15" hidden="false" customHeight="false" outlineLevel="0" collapsed="false">
      <c r="A292" s="21"/>
      <c r="B292" s="21"/>
      <c r="C292" s="21"/>
      <c r="D292" s="26"/>
      <c r="E292" s="26"/>
      <c r="F292" s="17"/>
      <c r="G292" s="25"/>
      <c r="H292" s="21"/>
      <c r="I292" s="21"/>
      <c r="J292" s="18" t="str">
        <f aca="false">IF($A292="","",$F292*$G292)</f>
        <v/>
      </c>
    </row>
    <row r="293" customFormat="false" ht="15" hidden="false" customHeight="false" outlineLevel="0" collapsed="false">
      <c r="A293" s="21"/>
      <c r="B293" s="21"/>
      <c r="C293" s="21"/>
      <c r="D293" s="26"/>
      <c r="E293" s="26"/>
      <c r="F293" s="17"/>
      <c r="G293" s="25"/>
      <c r="H293" s="21"/>
      <c r="I293" s="21"/>
      <c r="J293" s="18" t="str">
        <f aca="false">IF($A293="","",$F293*$G293)</f>
        <v/>
      </c>
    </row>
    <row r="294" customFormat="false" ht="15" hidden="false" customHeight="false" outlineLevel="0" collapsed="false">
      <c r="A294" s="21"/>
      <c r="B294" s="21"/>
      <c r="C294" s="21"/>
      <c r="D294" s="26"/>
      <c r="E294" s="26"/>
      <c r="F294" s="17"/>
      <c r="G294" s="25"/>
      <c r="H294" s="21"/>
      <c r="I294" s="21"/>
      <c r="J294" s="18" t="str">
        <f aca="false">IF($A294="","",$F294*$G294)</f>
        <v/>
      </c>
    </row>
    <row r="295" customFormat="false" ht="15" hidden="false" customHeight="false" outlineLevel="0" collapsed="false">
      <c r="A295" s="21"/>
      <c r="B295" s="21"/>
      <c r="C295" s="21"/>
      <c r="D295" s="26"/>
      <c r="E295" s="26"/>
      <c r="F295" s="17"/>
      <c r="G295" s="25"/>
      <c r="H295" s="21"/>
      <c r="I295" s="21"/>
      <c r="J295" s="18" t="str">
        <f aca="false">IF($A295="","",$F295*$G295)</f>
        <v/>
      </c>
    </row>
    <row r="296" customFormat="false" ht="15" hidden="false" customHeight="false" outlineLevel="0" collapsed="false">
      <c r="A296" s="21"/>
      <c r="B296" s="21"/>
      <c r="C296" s="21"/>
      <c r="D296" s="26"/>
      <c r="E296" s="26"/>
      <c r="F296" s="17"/>
      <c r="G296" s="25"/>
      <c r="H296" s="21"/>
      <c r="I296" s="21"/>
      <c r="J296" s="18" t="str">
        <f aca="false">IF($A296="","",$F296*$G296)</f>
        <v/>
      </c>
    </row>
    <row r="297" customFormat="false" ht="15" hidden="false" customHeight="false" outlineLevel="0" collapsed="false">
      <c r="A297" s="21"/>
      <c r="B297" s="21"/>
      <c r="C297" s="21"/>
      <c r="D297" s="26"/>
      <c r="E297" s="26"/>
      <c r="F297" s="17"/>
      <c r="G297" s="25"/>
      <c r="H297" s="21"/>
      <c r="I297" s="21"/>
      <c r="J297" s="18" t="str">
        <f aca="false">IF($A297="","",$F297*$G297)</f>
        <v/>
      </c>
    </row>
    <row r="298" customFormat="false" ht="15" hidden="false" customHeight="false" outlineLevel="0" collapsed="false">
      <c r="A298" s="21"/>
      <c r="B298" s="21"/>
      <c r="C298" s="21"/>
      <c r="D298" s="26"/>
      <c r="E298" s="26"/>
      <c r="F298" s="17"/>
      <c r="G298" s="25"/>
      <c r="H298" s="21"/>
      <c r="I298" s="21"/>
      <c r="J298" s="18" t="str">
        <f aca="false">IF($A298="","",$F298*$G298)</f>
        <v/>
      </c>
    </row>
    <row r="299" customFormat="false" ht="15" hidden="false" customHeight="false" outlineLevel="0" collapsed="false">
      <c r="A299" s="21"/>
      <c r="B299" s="21"/>
      <c r="C299" s="21"/>
      <c r="D299" s="26"/>
      <c r="E299" s="26"/>
      <c r="F299" s="17"/>
      <c r="G299" s="25"/>
      <c r="H299" s="21"/>
      <c r="I299" s="21"/>
      <c r="J299" s="18" t="str">
        <f aca="false">IF($A299="","",$F299*$G299)</f>
        <v/>
      </c>
    </row>
    <row r="300" customFormat="false" ht="15" hidden="false" customHeight="false" outlineLevel="0" collapsed="false">
      <c r="A300" s="21"/>
      <c r="B300" s="21"/>
      <c r="C300" s="21"/>
      <c r="D300" s="26"/>
      <c r="E300" s="26"/>
      <c r="F300" s="17"/>
      <c r="G300" s="25"/>
      <c r="H300" s="21"/>
      <c r="I300" s="21"/>
      <c r="J300" s="18" t="str">
        <f aca="false">IF($A300="","",$F300*$G300)</f>
        <v/>
      </c>
    </row>
    <row r="301" customFormat="false" ht="15" hidden="false" customHeight="false" outlineLevel="0" collapsed="false">
      <c r="A301" s="21"/>
      <c r="B301" s="21"/>
      <c r="C301" s="21"/>
      <c r="D301" s="26"/>
      <c r="E301" s="26"/>
      <c r="F301" s="17"/>
      <c r="G301" s="25"/>
      <c r="H301" s="21"/>
      <c r="I301" s="21"/>
      <c r="J301" s="18" t="str">
        <f aca="false">IF($A301="","",$F301*$G301)</f>
        <v/>
      </c>
    </row>
    <row r="302" customFormat="false" ht="15" hidden="false" customHeight="false" outlineLevel="0" collapsed="false">
      <c r="A302" s="21"/>
      <c r="B302" s="21"/>
      <c r="C302" s="21"/>
      <c r="D302" s="26"/>
      <c r="E302" s="26"/>
      <c r="F302" s="17"/>
      <c r="G302" s="25"/>
      <c r="H302" s="21"/>
      <c r="I302" s="21"/>
      <c r="J302" s="18" t="str">
        <f aca="false">IF($A302="","",$F302*$G302)</f>
        <v/>
      </c>
    </row>
    <row r="303" customFormat="false" ht="15" hidden="false" customHeight="false" outlineLevel="0" collapsed="false">
      <c r="A303" s="21"/>
      <c r="B303" s="21"/>
      <c r="C303" s="21"/>
      <c r="D303" s="26"/>
      <c r="E303" s="26"/>
      <c r="F303" s="17"/>
      <c r="G303" s="25"/>
      <c r="H303" s="21"/>
      <c r="I303" s="21"/>
      <c r="J303" s="18" t="str">
        <f aca="false">IF($A303="","",$F303*$G303)</f>
        <v/>
      </c>
    </row>
    <row r="304" customFormat="false" ht="15" hidden="false" customHeight="false" outlineLevel="0" collapsed="false">
      <c r="A304" s="21"/>
      <c r="B304" s="21"/>
      <c r="C304" s="21"/>
      <c r="D304" s="26"/>
      <c r="E304" s="26"/>
      <c r="F304" s="17"/>
      <c r="G304" s="25"/>
      <c r="H304" s="21"/>
      <c r="I304" s="21"/>
      <c r="J304" s="18" t="str">
        <f aca="false">IF($A304="","",$F304*$G304)</f>
        <v/>
      </c>
    </row>
    <row r="305" customFormat="false" ht="15" hidden="false" customHeight="false" outlineLevel="0" collapsed="false">
      <c r="A305" s="21"/>
      <c r="B305" s="21"/>
      <c r="C305" s="21"/>
      <c r="D305" s="26"/>
      <c r="E305" s="26"/>
      <c r="F305" s="17"/>
      <c r="G305" s="25"/>
      <c r="H305" s="21"/>
      <c r="I305" s="21"/>
      <c r="J305" s="18" t="str">
        <f aca="false">IF($A305="","",$F305*$G305)</f>
        <v/>
      </c>
    </row>
    <row r="306" customFormat="false" ht="15" hidden="false" customHeight="false" outlineLevel="0" collapsed="false">
      <c r="A306" s="21"/>
      <c r="B306" s="21"/>
      <c r="C306" s="21"/>
      <c r="D306" s="26"/>
      <c r="E306" s="26"/>
      <c r="F306" s="17"/>
      <c r="G306" s="25"/>
      <c r="H306" s="21"/>
      <c r="I306" s="21"/>
      <c r="J306" s="18" t="str">
        <f aca="false">IF($A306="","",$F306*$G306)</f>
        <v/>
      </c>
    </row>
    <row r="307" customFormat="false" ht="15" hidden="false" customHeight="false" outlineLevel="0" collapsed="false">
      <c r="A307" s="21"/>
      <c r="B307" s="21"/>
      <c r="C307" s="21"/>
      <c r="D307" s="26"/>
      <c r="E307" s="26"/>
      <c r="F307" s="17"/>
      <c r="G307" s="25"/>
      <c r="H307" s="21"/>
      <c r="I307" s="21"/>
      <c r="J307" s="18" t="str">
        <f aca="false">IF($A307="","",$F307*$G307)</f>
        <v/>
      </c>
    </row>
    <row r="308" customFormat="false" ht="15" hidden="false" customHeight="false" outlineLevel="0" collapsed="false">
      <c r="A308" s="21"/>
      <c r="B308" s="21"/>
      <c r="C308" s="21"/>
      <c r="D308" s="26"/>
      <c r="E308" s="26"/>
      <c r="F308" s="17"/>
      <c r="G308" s="25"/>
      <c r="H308" s="21"/>
      <c r="I308" s="21"/>
      <c r="J308" s="18" t="str">
        <f aca="false">IF($A308="","",$F308*$G308)</f>
        <v/>
      </c>
    </row>
    <row r="309" customFormat="false" ht="15" hidden="false" customHeight="false" outlineLevel="0" collapsed="false">
      <c r="A309" s="21"/>
      <c r="B309" s="21"/>
      <c r="C309" s="21"/>
      <c r="D309" s="26"/>
      <c r="E309" s="26"/>
      <c r="F309" s="17"/>
      <c r="G309" s="25"/>
      <c r="H309" s="21"/>
      <c r="I309" s="21"/>
      <c r="J309" s="18" t="str">
        <f aca="false">IF($A309="","",$F309*$G309)</f>
        <v/>
      </c>
    </row>
    <row r="310" customFormat="false" ht="15" hidden="false" customHeight="false" outlineLevel="0" collapsed="false">
      <c r="A310" s="21"/>
      <c r="B310" s="21"/>
      <c r="C310" s="21"/>
      <c r="D310" s="26"/>
      <c r="E310" s="26"/>
      <c r="F310" s="17"/>
      <c r="G310" s="25"/>
      <c r="H310" s="21"/>
      <c r="I310" s="21"/>
      <c r="J310" s="18" t="str">
        <f aca="false">IF($A310="","",$F310*$G310)</f>
        <v/>
      </c>
    </row>
    <row r="311" customFormat="false" ht="15" hidden="false" customHeight="false" outlineLevel="0" collapsed="false">
      <c r="A311" s="21"/>
      <c r="B311" s="21"/>
      <c r="C311" s="21"/>
      <c r="D311" s="26"/>
      <c r="E311" s="26"/>
      <c r="F311" s="17"/>
      <c r="G311" s="25"/>
      <c r="H311" s="21"/>
      <c r="I311" s="21"/>
      <c r="J311" s="18" t="str">
        <f aca="false">IF($A311="","",$F311*$G311)</f>
        <v/>
      </c>
    </row>
    <row r="312" customFormat="false" ht="15" hidden="false" customHeight="false" outlineLevel="0" collapsed="false">
      <c r="A312" s="21"/>
      <c r="B312" s="21"/>
      <c r="C312" s="21"/>
      <c r="D312" s="26"/>
      <c r="E312" s="26"/>
      <c r="F312" s="17"/>
      <c r="G312" s="25"/>
      <c r="H312" s="21"/>
      <c r="I312" s="21"/>
      <c r="J312" s="18" t="str">
        <f aca="false">IF($A312="","",$F312*$G312)</f>
        <v/>
      </c>
    </row>
    <row r="313" customFormat="false" ht="15" hidden="false" customHeight="false" outlineLevel="0" collapsed="false">
      <c r="A313" s="21"/>
      <c r="B313" s="21"/>
      <c r="C313" s="21"/>
      <c r="D313" s="26"/>
      <c r="E313" s="26"/>
      <c r="F313" s="17"/>
      <c r="G313" s="25"/>
      <c r="H313" s="21"/>
      <c r="I313" s="21"/>
      <c r="J313" s="18" t="str">
        <f aca="false">IF($A313="","",$F313*$G313)</f>
        <v/>
      </c>
    </row>
    <row r="314" customFormat="false" ht="15" hidden="false" customHeight="false" outlineLevel="0" collapsed="false">
      <c r="A314" s="21"/>
      <c r="B314" s="21"/>
      <c r="C314" s="21"/>
      <c r="D314" s="26"/>
      <c r="E314" s="26"/>
      <c r="F314" s="17"/>
      <c r="G314" s="25"/>
      <c r="H314" s="21"/>
      <c r="I314" s="21"/>
      <c r="J314" s="18" t="str">
        <f aca="false">IF($A314="","",$F314*$G314)</f>
        <v/>
      </c>
    </row>
    <row r="315" customFormat="false" ht="15" hidden="false" customHeight="false" outlineLevel="0" collapsed="false">
      <c r="A315" s="21"/>
      <c r="B315" s="21"/>
      <c r="C315" s="21"/>
      <c r="D315" s="26"/>
      <c r="E315" s="26"/>
      <c r="F315" s="17"/>
      <c r="G315" s="25"/>
      <c r="H315" s="21"/>
      <c r="I315" s="21"/>
      <c r="J315" s="18" t="str">
        <f aca="false">IF($A315="","",$F315*$G315)</f>
        <v/>
      </c>
    </row>
    <row r="316" customFormat="false" ht="15" hidden="false" customHeight="false" outlineLevel="0" collapsed="false">
      <c r="A316" s="21"/>
      <c r="B316" s="21"/>
      <c r="C316" s="21"/>
      <c r="D316" s="26"/>
      <c r="E316" s="26"/>
      <c r="F316" s="17"/>
      <c r="G316" s="25"/>
      <c r="H316" s="21"/>
      <c r="I316" s="21"/>
      <c r="J316" s="18" t="str">
        <f aca="false">IF($A316="","",$F316*$G316)</f>
        <v/>
      </c>
    </row>
    <row r="317" customFormat="false" ht="15" hidden="false" customHeight="false" outlineLevel="0" collapsed="false">
      <c r="A317" s="21"/>
      <c r="B317" s="21"/>
      <c r="C317" s="21"/>
      <c r="D317" s="26"/>
      <c r="E317" s="26"/>
      <c r="F317" s="17"/>
      <c r="G317" s="25"/>
      <c r="H317" s="21"/>
      <c r="I317" s="21"/>
      <c r="J317" s="18" t="str">
        <f aca="false">IF($A317="","",$F317*$G317)</f>
        <v/>
      </c>
    </row>
    <row r="318" customFormat="false" ht="15" hidden="false" customHeight="false" outlineLevel="0" collapsed="false">
      <c r="A318" s="21"/>
      <c r="B318" s="21"/>
      <c r="C318" s="21"/>
      <c r="D318" s="26"/>
      <c r="E318" s="26"/>
      <c r="F318" s="17"/>
      <c r="G318" s="25"/>
      <c r="H318" s="21"/>
      <c r="I318" s="21"/>
      <c r="J318" s="18" t="str">
        <f aca="false">IF($A318="","",$F318*$G318)</f>
        <v/>
      </c>
    </row>
    <row r="319" customFormat="false" ht="15" hidden="false" customHeight="false" outlineLevel="0" collapsed="false">
      <c r="A319" s="21"/>
      <c r="B319" s="21"/>
      <c r="C319" s="21"/>
      <c r="D319" s="26"/>
      <c r="E319" s="26"/>
      <c r="F319" s="17"/>
      <c r="G319" s="25"/>
      <c r="H319" s="21"/>
      <c r="I319" s="21"/>
      <c r="J319" s="18" t="str">
        <f aca="false">IF($A319="","",$F319*$G319)</f>
        <v/>
      </c>
    </row>
    <row r="320" customFormat="false" ht="15" hidden="false" customHeight="false" outlineLevel="0" collapsed="false">
      <c r="A320" s="21"/>
      <c r="B320" s="21"/>
      <c r="C320" s="21"/>
      <c r="D320" s="26"/>
      <c r="E320" s="26"/>
      <c r="F320" s="17"/>
      <c r="G320" s="25"/>
      <c r="H320" s="21"/>
      <c r="I320" s="21"/>
      <c r="J320" s="18" t="str">
        <f aca="false">IF($A320="","",$F320*$G320)</f>
        <v/>
      </c>
    </row>
    <row r="321" customFormat="false" ht="15" hidden="false" customHeight="false" outlineLevel="0" collapsed="false">
      <c r="A321" s="21"/>
      <c r="B321" s="21"/>
      <c r="C321" s="21"/>
      <c r="D321" s="26"/>
      <c r="E321" s="26"/>
      <c r="F321" s="17"/>
      <c r="G321" s="25"/>
      <c r="H321" s="21"/>
      <c r="I321" s="21"/>
      <c r="J321" s="18" t="str">
        <f aca="false">IF($A321="","",$F321*$G321)</f>
        <v/>
      </c>
    </row>
    <row r="322" customFormat="false" ht="15" hidden="false" customHeight="false" outlineLevel="0" collapsed="false">
      <c r="A322" s="21"/>
      <c r="B322" s="21"/>
      <c r="C322" s="21"/>
      <c r="D322" s="26"/>
      <c r="E322" s="26"/>
      <c r="F322" s="17"/>
      <c r="G322" s="25"/>
      <c r="H322" s="21"/>
      <c r="I322" s="21"/>
      <c r="J322" s="18" t="str">
        <f aca="false">IF($A322="","",$F322*$G322)</f>
        <v/>
      </c>
    </row>
    <row r="323" customFormat="false" ht="15" hidden="false" customHeight="false" outlineLevel="0" collapsed="false">
      <c r="A323" s="21"/>
      <c r="B323" s="21"/>
      <c r="C323" s="21"/>
      <c r="D323" s="26"/>
      <c r="E323" s="26"/>
      <c r="F323" s="17"/>
      <c r="G323" s="25"/>
      <c r="H323" s="21"/>
      <c r="I323" s="21"/>
      <c r="J323" s="18" t="str">
        <f aca="false">IF($A323="","",$F323*$G323)</f>
        <v/>
      </c>
    </row>
    <row r="324" customFormat="false" ht="15" hidden="false" customHeight="false" outlineLevel="0" collapsed="false">
      <c r="A324" s="21"/>
      <c r="B324" s="21"/>
      <c r="C324" s="21"/>
      <c r="D324" s="26"/>
      <c r="E324" s="26"/>
      <c r="F324" s="17"/>
      <c r="G324" s="25"/>
      <c r="H324" s="21"/>
      <c r="I324" s="21"/>
      <c r="J324" s="18" t="str">
        <f aca="false">IF($A324="","",$F324*$G324)</f>
        <v/>
      </c>
    </row>
    <row r="325" customFormat="false" ht="15" hidden="false" customHeight="false" outlineLevel="0" collapsed="false">
      <c r="A325" s="21"/>
      <c r="B325" s="21"/>
      <c r="C325" s="21"/>
      <c r="D325" s="26"/>
      <c r="E325" s="26"/>
      <c r="F325" s="17"/>
      <c r="G325" s="25"/>
      <c r="H325" s="21"/>
      <c r="I325" s="21"/>
      <c r="J325" s="18" t="str">
        <f aca="false">IF($A325="","",$F325*$G325)</f>
        <v/>
      </c>
    </row>
    <row r="326" customFormat="false" ht="15" hidden="false" customHeight="false" outlineLevel="0" collapsed="false">
      <c r="A326" s="21"/>
      <c r="B326" s="21"/>
      <c r="C326" s="21"/>
      <c r="D326" s="26"/>
      <c r="E326" s="26"/>
      <c r="F326" s="17"/>
      <c r="G326" s="25"/>
      <c r="H326" s="21"/>
      <c r="I326" s="21"/>
      <c r="J326" s="18" t="str">
        <f aca="false">IF($A326="","",$F326*$G326)</f>
        <v/>
      </c>
    </row>
    <row r="327" customFormat="false" ht="15" hidden="false" customHeight="false" outlineLevel="0" collapsed="false">
      <c r="A327" s="21"/>
      <c r="B327" s="21"/>
      <c r="C327" s="21"/>
      <c r="D327" s="26"/>
      <c r="E327" s="26"/>
      <c r="F327" s="17"/>
      <c r="G327" s="25"/>
      <c r="H327" s="21"/>
      <c r="I327" s="21"/>
      <c r="J327" s="18" t="str">
        <f aca="false">IF($A327="","",$F327*$G327)</f>
        <v/>
      </c>
    </row>
    <row r="328" customFormat="false" ht="15" hidden="false" customHeight="false" outlineLevel="0" collapsed="false">
      <c r="A328" s="21"/>
      <c r="B328" s="21"/>
      <c r="C328" s="21"/>
      <c r="D328" s="26"/>
      <c r="E328" s="26"/>
      <c r="F328" s="17"/>
      <c r="G328" s="25"/>
      <c r="H328" s="21"/>
      <c r="I328" s="21"/>
      <c r="J328" s="18" t="str">
        <f aca="false">IF($A328="","",$F328*$G328)</f>
        <v/>
      </c>
    </row>
    <row r="329" customFormat="false" ht="15" hidden="false" customHeight="false" outlineLevel="0" collapsed="false">
      <c r="A329" s="21"/>
      <c r="B329" s="21"/>
      <c r="C329" s="21"/>
      <c r="D329" s="26"/>
      <c r="E329" s="26"/>
      <c r="F329" s="17"/>
      <c r="G329" s="25"/>
      <c r="H329" s="21"/>
      <c r="I329" s="21"/>
      <c r="J329" s="18" t="str">
        <f aca="false">IF($A329="","",$F329*$G329)</f>
        <v/>
      </c>
    </row>
    <row r="330" customFormat="false" ht="15" hidden="false" customHeight="false" outlineLevel="0" collapsed="false">
      <c r="A330" s="21"/>
      <c r="B330" s="21"/>
      <c r="C330" s="21"/>
      <c r="D330" s="26"/>
      <c r="E330" s="26"/>
      <c r="F330" s="17"/>
      <c r="G330" s="25"/>
      <c r="H330" s="21"/>
      <c r="I330" s="21"/>
      <c r="J330" s="18" t="str">
        <f aca="false">IF($A330="","",$F330*$G330)</f>
        <v/>
      </c>
    </row>
    <row r="331" customFormat="false" ht="15" hidden="false" customHeight="false" outlineLevel="0" collapsed="false">
      <c r="A331" s="21"/>
      <c r="B331" s="21"/>
      <c r="C331" s="21"/>
      <c r="D331" s="26"/>
      <c r="E331" s="26"/>
      <c r="F331" s="17"/>
      <c r="G331" s="25"/>
      <c r="H331" s="21"/>
      <c r="I331" s="21"/>
      <c r="J331" s="18" t="str">
        <f aca="false">IF($A331="","",$F331*$G331)</f>
        <v/>
      </c>
    </row>
    <row r="332" customFormat="false" ht="15" hidden="false" customHeight="false" outlineLevel="0" collapsed="false">
      <c r="A332" s="21"/>
      <c r="B332" s="21"/>
      <c r="C332" s="21"/>
      <c r="D332" s="26"/>
      <c r="E332" s="26"/>
      <c r="F332" s="17"/>
      <c r="G332" s="25"/>
      <c r="H332" s="21"/>
      <c r="I332" s="21"/>
      <c r="J332" s="18" t="str">
        <f aca="false">IF($A332="","",$F332*$G332)</f>
        <v/>
      </c>
    </row>
    <row r="333" customFormat="false" ht="15" hidden="false" customHeight="false" outlineLevel="0" collapsed="false">
      <c r="A333" s="21"/>
      <c r="B333" s="21"/>
      <c r="C333" s="21"/>
      <c r="D333" s="26"/>
      <c r="E333" s="26"/>
      <c r="F333" s="17"/>
      <c r="G333" s="25"/>
      <c r="H333" s="21"/>
      <c r="I333" s="21"/>
      <c r="J333" s="18" t="str">
        <f aca="false">IF($A333="","",$F333*$G333)</f>
        <v/>
      </c>
    </row>
    <row r="334" customFormat="false" ht="15" hidden="false" customHeight="false" outlineLevel="0" collapsed="false">
      <c r="A334" s="21"/>
      <c r="B334" s="21"/>
      <c r="C334" s="21"/>
      <c r="D334" s="26"/>
      <c r="E334" s="26"/>
      <c r="F334" s="17"/>
      <c r="G334" s="25"/>
      <c r="H334" s="21"/>
      <c r="I334" s="21"/>
      <c r="J334" s="18" t="str">
        <f aca="false">IF($A334="","",$F334*$G334)</f>
        <v/>
      </c>
    </row>
    <row r="335" customFormat="false" ht="15" hidden="false" customHeight="false" outlineLevel="0" collapsed="false">
      <c r="A335" s="21"/>
      <c r="B335" s="21"/>
      <c r="C335" s="21"/>
      <c r="D335" s="26"/>
      <c r="E335" s="26"/>
      <c r="F335" s="17"/>
      <c r="G335" s="25"/>
      <c r="H335" s="21"/>
      <c r="I335" s="21"/>
      <c r="J335" s="18" t="str">
        <f aca="false">IF($A335="","",$F335*$G335)</f>
        <v/>
      </c>
    </row>
    <row r="336" customFormat="false" ht="15" hidden="false" customHeight="false" outlineLevel="0" collapsed="false">
      <c r="A336" s="21"/>
      <c r="B336" s="21"/>
      <c r="C336" s="21"/>
      <c r="D336" s="26"/>
      <c r="E336" s="26"/>
      <c r="F336" s="17"/>
      <c r="G336" s="25"/>
      <c r="H336" s="21"/>
      <c r="I336" s="21"/>
      <c r="J336" s="18" t="str">
        <f aca="false">IF($A336="","",$F336*$G336)</f>
        <v/>
      </c>
    </row>
    <row r="337" customFormat="false" ht="15" hidden="false" customHeight="false" outlineLevel="0" collapsed="false">
      <c r="A337" s="21"/>
      <c r="B337" s="21"/>
      <c r="C337" s="21"/>
      <c r="D337" s="26"/>
      <c r="E337" s="26"/>
      <c r="F337" s="17"/>
      <c r="G337" s="25"/>
      <c r="H337" s="21"/>
      <c r="I337" s="21"/>
      <c r="J337" s="18" t="str">
        <f aca="false">IF($A337="","",$F337*$G337)</f>
        <v/>
      </c>
    </row>
    <row r="338" customFormat="false" ht="15" hidden="false" customHeight="false" outlineLevel="0" collapsed="false">
      <c r="A338" s="21"/>
      <c r="B338" s="21"/>
      <c r="C338" s="21"/>
      <c r="D338" s="26"/>
      <c r="E338" s="26"/>
      <c r="F338" s="17"/>
      <c r="G338" s="25"/>
      <c r="H338" s="21"/>
      <c r="I338" s="21"/>
      <c r="J338" s="18" t="str">
        <f aca="false">IF($A338="","",$F338*$G338)</f>
        <v/>
      </c>
    </row>
    <row r="339" customFormat="false" ht="15" hidden="false" customHeight="false" outlineLevel="0" collapsed="false">
      <c r="A339" s="21"/>
      <c r="B339" s="21"/>
      <c r="C339" s="21"/>
      <c r="D339" s="26"/>
      <c r="E339" s="26"/>
      <c r="F339" s="17"/>
      <c r="G339" s="25"/>
      <c r="H339" s="21"/>
      <c r="I339" s="21"/>
      <c r="J339" s="18" t="str">
        <f aca="false">IF($A339="","",$F339*$G339)</f>
        <v/>
      </c>
    </row>
    <row r="340" customFormat="false" ht="15" hidden="false" customHeight="false" outlineLevel="0" collapsed="false">
      <c r="A340" s="21"/>
      <c r="B340" s="21"/>
      <c r="C340" s="21"/>
      <c r="D340" s="26"/>
      <c r="E340" s="26"/>
      <c r="F340" s="17"/>
      <c r="G340" s="25"/>
      <c r="H340" s="21"/>
      <c r="I340" s="21"/>
      <c r="J340" s="18" t="str">
        <f aca="false">IF($A340="","",$F340*$G340)</f>
        <v/>
      </c>
    </row>
    <row r="341" customFormat="false" ht="15" hidden="false" customHeight="false" outlineLevel="0" collapsed="false">
      <c r="A341" s="21"/>
      <c r="B341" s="21"/>
      <c r="C341" s="21"/>
      <c r="D341" s="26"/>
      <c r="E341" s="26"/>
      <c r="F341" s="17"/>
      <c r="G341" s="25"/>
      <c r="H341" s="21"/>
      <c r="I341" s="21"/>
      <c r="J341" s="18" t="str">
        <f aca="false">IF($A341="","",$F341*$G341)</f>
        <v/>
      </c>
    </row>
    <row r="342" customFormat="false" ht="15" hidden="false" customHeight="false" outlineLevel="0" collapsed="false">
      <c r="A342" s="21"/>
      <c r="B342" s="21"/>
      <c r="C342" s="21"/>
      <c r="D342" s="26"/>
      <c r="E342" s="26"/>
      <c r="F342" s="17"/>
      <c r="G342" s="25"/>
      <c r="H342" s="21"/>
      <c r="I342" s="21"/>
      <c r="J342" s="18" t="str">
        <f aca="false">IF($A342="","",$F342*$G342)</f>
        <v/>
      </c>
    </row>
    <row r="343" customFormat="false" ht="15" hidden="false" customHeight="false" outlineLevel="0" collapsed="false">
      <c r="A343" s="21"/>
      <c r="B343" s="21"/>
      <c r="C343" s="21"/>
      <c r="D343" s="26"/>
      <c r="E343" s="26"/>
      <c r="F343" s="17"/>
      <c r="G343" s="25"/>
      <c r="H343" s="21"/>
      <c r="I343" s="21"/>
      <c r="J343" s="18" t="str">
        <f aca="false">IF($A343="","",$F343*$G343)</f>
        <v/>
      </c>
    </row>
    <row r="344" customFormat="false" ht="15" hidden="false" customHeight="false" outlineLevel="0" collapsed="false">
      <c r="A344" s="21"/>
      <c r="B344" s="21"/>
      <c r="C344" s="21"/>
      <c r="D344" s="26"/>
      <c r="E344" s="26"/>
      <c r="F344" s="17"/>
      <c r="G344" s="25"/>
      <c r="H344" s="21"/>
      <c r="I344" s="21"/>
      <c r="J344" s="18" t="str">
        <f aca="false">IF($A344="","",$F344*$G344)</f>
        <v/>
      </c>
    </row>
    <row r="345" customFormat="false" ht="15" hidden="false" customHeight="false" outlineLevel="0" collapsed="false">
      <c r="A345" s="21"/>
      <c r="B345" s="21"/>
      <c r="C345" s="21"/>
      <c r="D345" s="26"/>
      <c r="E345" s="26"/>
      <c r="F345" s="17"/>
      <c r="G345" s="25"/>
      <c r="H345" s="21"/>
      <c r="I345" s="21"/>
      <c r="J345" s="18" t="str">
        <f aca="false">IF($A345="","",$F345*$G345)</f>
        <v/>
      </c>
    </row>
    <row r="346" customFormat="false" ht="15" hidden="false" customHeight="false" outlineLevel="0" collapsed="false">
      <c r="A346" s="21"/>
      <c r="B346" s="21"/>
      <c r="C346" s="21"/>
      <c r="D346" s="26"/>
      <c r="E346" s="26"/>
      <c r="F346" s="17"/>
      <c r="G346" s="25"/>
      <c r="H346" s="21"/>
      <c r="I346" s="21"/>
      <c r="J346" s="18" t="str">
        <f aca="false">IF($A346="","",$F346*$G346)</f>
        <v/>
      </c>
    </row>
    <row r="347" customFormat="false" ht="15" hidden="false" customHeight="false" outlineLevel="0" collapsed="false">
      <c r="A347" s="21"/>
      <c r="B347" s="21"/>
      <c r="C347" s="21"/>
      <c r="D347" s="26"/>
      <c r="E347" s="26"/>
      <c r="F347" s="17"/>
      <c r="G347" s="25"/>
      <c r="H347" s="21"/>
      <c r="I347" s="21"/>
      <c r="J347" s="18" t="str">
        <f aca="false">IF($A347="","",$F347*$G347)</f>
        <v/>
      </c>
    </row>
    <row r="348" customFormat="false" ht="15" hidden="false" customHeight="false" outlineLevel="0" collapsed="false">
      <c r="A348" s="21"/>
      <c r="B348" s="21"/>
      <c r="C348" s="21"/>
      <c r="D348" s="26"/>
      <c r="E348" s="26"/>
      <c r="F348" s="17"/>
      <c r="G348" s="25"/>
      <c r="H348" s="21"/>
      <c r="I348" s="21"/>
      <c r="J348" s="18" t="str">
        <f aca="false">IF($A348="","",$F348*$G348)</f>
        <v/>
      </c>
    </row>
    <row r="349" customFormat="false" ht="15" hidden="false" customHeight="false" outlineLevel="0" collapsed="false">
      <c r="A349" s="21"/>
      <c r="B349" s="21"/>
      <c r="C349" s="21"/>
      <c r="D349" s="26"/>
      <c r="E349" s="26"/>
      <c r="F349" s="17"/>
      <c r="G349" s="25"/>
      <c r="H349" s="21"/>
      <c r="I349" s="21"/>
      <c r="J349" s="18" t="str">
        <f aca="false">IF($A349="","",$F349*$G349)</f>
        <v/>
      </c>
    </row>
    <row r="350" customFormat="false" ht="15" hidden="false" customHeight="false" outlineLevel="0" collapsed="false">
      <c r="A350" s="21"/>
      <c r="B350" s="21"/>
      <c r="C350" s="21"/>
      <c r="D350" s="26"/>
      <c r="E350" s="26"/>
      <c r="F350" s="17"/>
      <c r="G350" s="25"/>
      <c r="H350" s="21"/>
      <c r="I350" s="21"/>
      <c r="J350" s="18" t="str">
        <f aca="false">IF($A350="","",$F350*$G350)</f>
        <v/>
      </c>
    </row>
    <row r="351" customFormat="false" ht="15" hidden="false" customHeight="false" outlineLevel="0" collapsed="false">
      <c r="A351" s="21"/>
      <c r="B351" s="21"/>
      <c r="C351" s="21"/>
      <c r="D351" s="26"/>
      <c r="E351" s="26"/>
      <c r="F351" s="17"/>
      <c r="G351" s="25"/>
      <c r="H351" s="21"/>
      <c r="I351" s="21"/>
      <c r="J351" s="18" t="str">
        <f aca="false">IF($A351="","",$F351*$G351)</f>
        <v/>
      </c>
    </row>
    <row r="352" customFormat="false" ht="15" hidden="false" customHeight="false" outlineLevel="0" collapsed="false">
      <c r="A352" s="21"/>
      <c r="B352" s="21"/>
      <c r="C352" s="21"/>
      <c r="D352" s="26"/>
      <c r="E352" s="26"/>
      <c r="F352" s="17"/>
      <c r="G352" s="25"/>
      <c r="H352" s="21"/>
      <c r="I352" s="21"/>
      <c r="J352" s="18" t="str">
        <f aca="false">IF($A352="","",$F352*$G352)</f>
        <v/>
      </c>
    </row>
    <row r="353" customFormat="false" ht="15" hidden="false" customHeight="false" outlineLevel="0" collapsed="false">
      <c r="A353" s="21"/>
      <c r="B353" s="21"/>
      <c r="C353" s="21"/>
      <c r="D353" s="26"/>
      <c r="E353" s="26"/>
      <c r="F353" s="17"/>
      <c r="G353" s="25"/>
      <c r="H353" s="21"/>
      <c r="I353" s="21"/>
      <c r="J353" s="18" t="str">
        <f aca="false">IF($A353="","",$F353*$G353)</f>
        <v/>
      </c>
    </row>
    <row r="354" customFormat="false" ht="15" hidden="false" customHeight="false" outlineLevel="0" collapsed="false">
      <c r="A354" s="21"/>
      <c r="B354" s="21"/>
      <c r="C354" s="21"/>
      <c r="D354" s="26"/>
      <c r="E354" s="26"/>
      <c r="F354" s="17"/>
      <c r="G354" s="25"/>
      <c r="H354" s="21"/>
      <c r="I354" s="21"/>
      <c r="J354" s="18" t="str">
        <f aca="false">IF($A354="","",$F354*$G354)</f>
        <v/>
      </c>
    </row>
    <row r="355" customFormat="false" ht="15" hidden="false" customHeight="false" outlineLevel="0" collapsed="false">
      <c r="A355" s="21"/>
      <c r="B355" s="21"/>
      <c r="C355" s="21"/>
      <c r="D355" s="26"/>
      <c r="E355" s="26"/>
      <c r="F355" s="17"/>
      <c r="G355" s="25"/>
      <c r="H355" s="21"/>
      <c r="I355" s="21"/>
      <c r="J355" s="18" t="str">
        <f aca="false">IF($A355="","",$F355*$G355)</f>
        <v/>
      </c>
    </row>
    <row r="356" customFormat="false" ht="15" hidden="false" customHeight="false" outlineLevel="0" collapsed="false">
      <c r="A356" s="21"/>
      <c r="B356" s="21"/>
      <c r="C356" s="21"/>
      <c r="D356" s="26"/>
      <c r="E356" s="26"/>
      <c r="F356" s="17"/>
      <c r="G356" s="25"/>
      <c r="H356" s="21"/>
      <c r="I356" s="21"/>
      <c r="J356" s="18" t="str">
        <f aca="false">IF($A356="","",$F356*$G356)</f>
        <v/>
      </c>
    </row>
    <row r="357" customFormat="false" ht="15" hidden="false" customHeight="false" outlineLevel="0" collapsed="false">
      <c r="A357" s="21"/>
      <c r="B357" s="21"/>
      <c r="C357" s="21"/>
      <c r="D357" s="26"/>
      <c r="E357" s="26"/>
      <c r="F357" s="17"/>
      <c r="G357" s="25"/>
      <c r="H357" s="21"/>
      <c r="I357" s="21"/>
      <c r="J357" s="18" t="str">
        <f aca="false">IF($A357="","",$F357*$G357)</f>
        <v/>
      </c>
    </row>
    <row r="358" customFormat="false" ht="15" hidden="false" customHeight="false" outlineLevel="0" collapsed="false">
      <c r="A358" s="21"/>
      <c r="B358" s="21"/>
      <c r="C358" s="21"/>
      <c r="D358" s="26"/>
      <c r="E358" s="26"/>
      <c r="F358" s="17"/>
      <c r="G358" s="25"/>
      <c r="H358" s="21"/>
      <c r="I358" s="21"/>
      <c r="J358" s="18" t="str">
        <f aca="false">IF($A358="","",$F358*$G358)</f>
        <v/>
      </c>
    </row>
    <row r="359" customFormat="false" ht="15" hidden="false" customHeight="false" outlineLevel="0" collapsed="false">
      <c r="A359" s="21"/>
      <c r="B359" s="21"/>
      <c r="C359" s="21"/>
      <c r="D359" s="26"/>
      <c r="E359" s="26"/>
      <c r="F359" s="17"/>
      <c r="G359" s="25"/>
      <c r="H359" s="21"/>
      <c r="I359" s="21"/>
      <c r="J359" s="18" t="str">
        <f aca="false">IF($A359="","",$F359*$G359)</f>
        <v/>
      </c>
    </row>
    <row r="360" customFormat="false" ht="15" hidden="false" customHeight="false" outlineLevel="0" collapsed="false">
      <c r="A360" s="21"/>
      <c r="B360" s="21"/>
      <c r="C360" s="21"/>
      <c r="D360" s="26"/>
      <c r="E360" s="26"/>
      <c r="F360" s="17"/>
      <c r="G360" s="25"/>
      <c r="H360" s="21"/>
      <c r="I360" s="21"/>
      <c r="J360" s="18" t="str">
        <f aca="false">IF($A360="","",$F360*$G360)</f>
        <v/>
      </c>
    </row>
    <row r="361" customFormat="false" ht="15" hidden="false" customHeight="false" outlineLevel="0" collapsed="false">
      <c r="A361" s="21"/>
      <c r="B361" s="21"/>
      <c r="C361" s="21"/>
      <c r="D361" s="26"/>
      <c r="E361" s="26"/>
      <c r="F361" s="17"/>
      <c r="G361" s="25"/>
      <c r="H361" s="21"/>
      <c r="I361" s="21"/>
      <c r="J361" s="18" t="str">
        <f aca="false">IF($A361="","",$F361*$G361)</f>
        <v/>
      </c>
    </row>
    <row r="362" customFormat="false" ht="15" hidden="false" customHeight="false" outlineLevel="0" collapsed="false">
      <c r="A362" s="21"/>
      <c r="B362" s="21"/>
      <c r="C362" s="21"/>
      <c r="D362" s="26"/>
      <c r="E362" s="26"/>
      <c r="F362" s="17"/>
      <c r="G362" s="25"/>
      <c r="H362" s="21"/>
      <c r="I362" s="21"/>
      <c r="J362" s="18" t="str">
        <f aca="false">IF($A362="","",$F362*$G362)</f>
        <v/>
      </c>
    </row>
    <row r="363" customFormat="false" ht="15" hidden="false" customHeight="false" outlineLevel="0" collapsed="false">
      <c r="A363" s="21"/>
      <c r="B363" s="21"/>
      <c r="C363" s="21"/>
      <c r="D363" s="26"/>
      <c r="E363" s="26"/>
      <c r="F363" s="17"/>
      <c r="G363" s="25"/>
      <c r="H363" s="21"/>
      <c r="I363" s="21"/>
      <c r="J363" s="18" t="str">
        <f aca="false">IF($A363="","",$F363*$G363)</f>
        <v/>
      </c>
    </row>
    <row r="364" customFormat="false" ht="15" hidden="false" customHeight="false" outlineLevel="0" collapsed="false">
      <c r="A364" s="21"/>
      <c r="B364" s="21"/>
      <c r="C364" s="21"/>
      <c r="D364" s="26"/>
      <c r="E364" s="26"/>
      <c r="F364" s="17"/>
      <c r="G364" s="25"/>
      <c r="H364" s="21"/>
      <c r="I364" s="21"/>
      <c r="J364" s="18" t="str">
        <f aca="false">IF($A364="","",$F364*$G364)</f>
        <v/>
      </c>
    </row>
    <row r="365" customFormat="false" ht="15" hidden="false" customHeight="false" outlineLevel="0" collapsed="false">
      <c r="A365" s="21"/>
      <c r="B365" s="21"/>
      <c r="C365" s="21"/>
      <c r="D365" s="26"/>
      <c r="E365" s="26"/>
      <c r="F365" s="17"/>
      <c r="G365" s="25"/>
      <c r="H365" s="21"/>
      <c r="I365" s="21"/>
      <c r="J365" s="18" t="str">
        <f aca="false">IF($A365="","",$F365*$G365)</f>
        <v/>
      </c>
    </row>
    <row r="366" customFormat="false" ht="15" hidden="false" customHeight="false" outlineLevel="0" collapsed="false">
      <c r="A366" s="21"/>
      <c r="B366" s="21"/>
      <c r="C366" s="21"/>
      <c r="D366" s="26"/>
      <c r="E366" s="26"/>
      <c r="F366" s="17"/>
      <c r="G366" s="25"/>
      <c r="H366" s="21"/>
      <c r="I366" s="21"/>
      <c r="J366" s="18" t="str">
        <f aca="false">IF($A366="","",$F366*$G366)</f>
        <v/>
      </c>
    </row>
    <row r="367" customFormat="false" ht="15" hidden="false" customHeight="false" outlineLevel="0" collapsed="false">
      <c r="A367" s="21"/>
      <c r="B367" s="21"/>
      <c r="C367" s="21"/>
      <c r="D367" s="26"/>
      <c r="E367" s="26"/>
      <c r="F367" s="17"/>
      <c r="G367" s="25"/>
      <c r="H367" s="21"/>
      <c r="I367" s="21"/>
      <c r="J367" s="18" t="str">
        <f aca="false">IF($A367="","",$F367*$G367)</f>
        <v/>
      </c>
    </row>
    <row r="368" customFormat="false" ht="15" hidden="false" customHeight="false" outlineLevel="0" collapsed="false">
      <c r="A368" s="21"/>
      <c r="B368" s="21"/>
      <c r="C368" s="21"/>
      <c r="D368" s="26"/>
      <c r="E368" s="26"/>
      <c r="F368" s="17"/>
      <c r="G368" s="25"/>
      <c r="H368" s="21"/>
      <c r="I368" s="21"/>
      <c r="J368" s="18" t="str">
        <f aca="false">IF($A368="","",$F368*$G368)</f>
        <v/>
      </c>
    </row>
    <row r="369" customFormat="false" ht="15" hidden="false" customHeight="false" outlineLevel="0" collapsed="false">
      <c r="A369" s="21"/>
      <c r="B369" s="21"/>
      <c r="C369" s="21"/>
      <c r="D369" s="26"/>
      <c r="E369" s="26"/>
      <c r="F369" s="17"/>
      <c r="G369" s="25"/>
      <c r="H369" s="21"/>
      <c r="I369" s="21"/>
      <c r="J369" s="18" t="str">
        <f aca="false">IF($A369="","",$F369*$G369)</f>
        <v/>
      </c>
    </row>
    <row r="370" customFormat="false" ht="15" hidden="false" customHeight="false" outlineLevel="0" collapsed="false">
      <c r="A370" s="21"/>
      <c r="B370" s="21"/>
      <c r="C370" s="21"/>
      <c r="D370" s="26"/>
      <c r="E370" s="26"/>
      <c r="F370" s="17"/>
      <c r="G370" s="25"/>
      <c r="H370" s="21"/>
      <c r="I370" s="21"/>
      <c r="J370" s="18" t="str">
        <f aca="false">IF($A370="","",$F370*$G370)</f>
        <v/>
      </c>
    </row>
    <row r="371" customFormat="false" ht="15" hidden="false" customHeight="false" outlineLevel="0" collapsed="false">
      <c r="A371" s="21"/>
      <c r="B371" s="21"/>
      <c r="C371" s="21"/>
      <c r="D371" s="26"/>
      <c r="E371" s="26"/>
      <c r="F371" s="17"/>
      <c r="G371" s="25"/>
      <c r="H371" s="21"/>
      <c r="I371" s="21"/>
      <c r="J371" s="18" t="str">
        <f aca="false">IF($A371="","",$F371*$G371)</f>
        <v/>
      </c>
    </row>
    <row r="372" customFormat="false" ht="15" hidden="false" customHeight="false" outlineLevel="0" collapsed="false">
      <c r="A372" s="21"/>
      <c r="B372" s="21"/>
      <c r="C372" s="21"/>
      <c r="D372" s="26"/>
      <c r="E372" s="26"/>
      <c r="F372" s="17"/>
      <c r="G372" s="25"/>
      <c r="H372" s="21"/>
      <c r="I372" s="21"/>
      <c r="J372" s="18" t="str">
        <f aca="false">IF($A372="","",$F372*$G372)</f>
        <v/>
      </c>
    </row>
    <row r="373" customFormat="false" ht="15" hidden="false" customHeight="false" outlineLevel="0" collapsed="false">
      <c r="A373" s="21"/>
      <c r="B373" s="21"/>
      <c r="C373" s="21"/>
      <c r="D373" s="26"/>
      <c r="E373" s="26"/>
      <c r="F373" s="17"/>
      <c r="G373" s="25"/>
      <c r="H373" s="21"/>
      <c r="I373" s="21"/>
      <c r="J373" s="18" t="str">
        <f aca="false">IF($A373="","",$F373*$G373)</f>
        <v/>
      </c>
    </row>
    <row r="374" customFormat="false" ht="15" hidden="false" customHeight="false" outlineLevel="0" collapsed="false">
      <c r="A374" s="21"/>
      <c r="B374" s="21"/>
      <c r="C374" s="21"/>
      <c r="D374" s="26"/>
      <c r="E374" s="26"/>
      <c r="F374" s="17"/>
      <c r="G374" s="25"/>
      <c r="H374" s="21"/>
      <c r="I374" s="21"/>
      <c r="J374" s="18" t="str">
        <f aca="false">IF($A374="","",$F374*$G374)</f>
        <v/>
      </c>
    </row>
    <row r="375" customFormat="false" ht="15" hidden="false" customHeight="false" outlineLevel="0" collapsed="false">
      <c r="A375" s="21"/>
      <c r="B375" s="21"/>
      <c r="C375" s="21"/>
      <c r="D375" s="26"/>
      <c r="E375" s="26"/>
      <c r="F375" s="17"/>
      <c r="G375" s="25"/>
      <c r="H375" s="21"/>
      <c r="I375" s="21"/>
      <c r="J375" s="18" t="str">
        <f aca="false">IF($A375="","",$F375*$G375)</f>
        <v/>
      </c>
    </row>
    <row r="376" customFormat="false" ht="15" hidden="false" customHeight="false" outlineLevel="0" collapsed="false">
      <c r="A376" s="21"/>
      <c r="B376" s="21"/>
      <c r="C376" s="21"/>
      <c r="D376" s="26"/>
      <c r="E376" s="26"/>
      <c r="F376" s="17"/>
      <c r="G376" s="25"/>
      <c r="H376" s="21"/>
      <c r="I376" s="21"/>
      <c r="J376" s="18" t="str">
        <f aca="false">IF($A376="","",$F376*$G376)</f>
        <v/>
      </c>
    </row>
    <row r="377" customFormat="false" ht="15" hidden="false" customHeight="false" outlineLevel="0" collapsed="false">
      <c r="A377" s="21"/>
      <c r="B377" s="21"/>
      <c r="C377" s="21"/>
      <c r="D377" s="26"/>
      <c r="E377" s="26"/>
      <c r="F377" s="17"/>
      <c r="G377" s="25"/>
      <c r="H377" s="21"/>
      <c r="I377" s="21"/>
      <c r="J377" s="18" t="str">
        <f aca="false">IF($A377="","",$F377*$G377)</f>
        <v/>
      </c>
    </row>
    <row r="378" customFormat="false" ht="15" hidden="false" customHeight="false" outlineLevel="0" collapsed="false">
      <c r="A378" s="21"/>
      <c r="B378" s="21"/>
      <c r="C378" s="21"/>
      <c r="D378" s="26"/>
      <c r="E378" s="26"/>
      <c r="F378" s="17"/>
      <c r="G378" s="25"/>
      <c r="H378" s="21"/>
      <c r="I378" s="21"/>
      <c r="J378" s="18" t="str">
        <f aca="false">IF($A378="","",$F378*$G378)</f>
        <v/>
      </c>
    </row>
    <row r="379" customFormat="false" ht="15" hidden="false" customHeight="false" outlineLevel="0" collapsed="false">
      <c r="A379" s="21"/>
      <c r="B379" s="21"/>
      <c r="C379" s="21"/>
      <c r="D379" s="26"/>
      <c r="E379" s="26"/>
      <c r="F379" s="17"/>
      <c r="G379" s="25"/>
      <c r="H379" s="21"/>
      <c r="I379" s="21"/>
      <c r="J379" s="18" t="str">
        <f aca="false">IF($A379="","",$F379*$G379)</f>
        <v/>
      </c>
    </row>
    <row r="380" customFormat="false" ht="15" hidden="false" customHeight="false" outlineLevel="0" collapsed="false">
      <c r="A380" s="21"/>
      <c r="B380" s="21"/>
      <c r="C380" s="21"/>
      <c r="D380" s="26"/>
      <c r="E380" s="26"/>
      <c r="F380" s="17"/>
      <c r="G380" s="25"/>
      <c r="H380" s="21"/>
      <c r="I380" s="21"/>
      <c r="J380" s="18" t="str">
        <f aca="false">IF($A380="","",$F380*$G380)</f>
        <v/>
      </c>
    </row>
    <row r="381" customFormat="false" ht="15" hidden="false" customHeight="false" outlineLevel="0" collapsed="false">
      <c r="A381" s="21"/>
      <c r="B381" s="21"/>
      <c r="C381" s="21"/>
      <c r="D381" s="26"/>
      <c r="E381" s="26"/>
      <c r="F381" s="17"/>
      <c r="G381" s="25"/>
      <c r="H381" s="21"/>
      <c r="I381" s="21"/>
      <c r="J381" s="18" t="str">
        <f aca="false">IF($A381="","",$F381*$G381)</f>
        <v/>
      </c>
    </row>
    <row r="382" customFormat="false" ht="15" hidden="false" customHeight="false" outlineLevel="0" collapsed="false">
      <c r="A382" s="21"/>
      <c r="B382" s="21"/>
      <c r="C382" s="21"/>
      <c r="D382" s="26"/>
      <c r="E382" s="26"/>
      <c r="F382" s="17"/>
      <c r="G382" s="25"/>
      <c r="H382" s="21"/>
      <c r="I382" s="21"/>
      <c r="J382" s="18" t="str">
        <f aca="false">IF($A382="","",$F382*$G382)</f>
        <v/>
      </c>
    </row>
    <row r="383" customFormat="false" ht="15" hidden="false" customHeight="false" outlineLevel="0" collapsed="false">
      <c r="A383" s="21"/>
      <c r="B383" s="21"/>
      <c r="C383" s="21"/>
      <c r="D383" s="26"/>
      <c r="E383" s="26"/>
      <c r="F383" s="17"/>
      <c r="G383" s="25"/>
      <c r="H383" s="21"/>
      <c r="I383" s="21"/>
      <c r="J383" s="18" t="str">
        <f aca="false">IF($A383="","",$F383*$G383)</f>
        <v/>
      </c>
    </row>
    <row r="384" customFormat="false" ht="15" hidden="false" customHeight="false" outlineLevel="0" collapsed="false">
      <c r="A384" s="21"/>
      <c r="B384" s="21"/>
      <c r="C384" s="21"/>
      <c r="D384" s="26"/>
      <c r="E384" s="26"/>
      <c r="F384" s="17"/>
      <c r="G384" s="25"/>
      <c r="H384" s="21"/>
      <c r="I384" s="21"/>
      <c r="J384" s="18" t="str">
        <f aca="false">IF($A384="","",$F384*$G384)</f>
        <v/>
      </c>
    </row>
    <row r="385" customFormat="false" ht="15" hidden="false" customHeight="false" outlineLevel="0" collapsed="false">
      <c r="A385" s="21"/>
      <c r="B385" s="21"/>
      <c r="C385" s="21"/>
      <c r="D385" s="26"/>
      <c r="E385" s="26"/>
      <c r="F385" s="17"/>
      <c r="G385" s="25"/>
      <c r="H385" s="21"/>
      <c r="I385" s="21"/>
      <c r="J385" s="18" t="str">
        <f aca="false">IF($A385="","",$F385*$G385)</f>
        <v/>
      </c>
    </row>
    <row r="386" customFormat="false" ht="15" hidden="false" customHeight="false" outlineLevel="0" collapsed="false">
      <c r="A386" s="21"/>
      <c r="B386" s="21"/>
      <c r="C386" s="21"/>
      <c r="D386" s="26"/>
      <c r="E386" s="26"/>
      <c r="F386" s="17"/>
      <c r="G386" s="25"/>
      <c r="H386" s="21"/>
      <c r="I386" s="21"/>
      <c r="J386" s="18" t="str">
        <f aca="false">IF($A386="","",$F386*$G386)</f>
        <v/>
      </c>
    </row>
    <row r="387" customFormat="false" ht="15" hidden="false" customHeight="false" outlineLevel="0" collapsed="false">
      <c r="A387" s="21"/>
      <c r="B387" s="21"/>
      <c r="C387" s="21"/>
      <c r="D387" s="26"/>
      <c r="E387" s="26"/>
      <c r="F387" s="17"/>
      <c r="G387" s="25"/>
      <c r="H387" s="21"/>
      <c r="I387" s="21"/>
      <c r="J387" s="18" t="str">
        <f aca="false">IF($A387="","",$F387*$G387)</f>
        <v/>
      </c>
    </row>
    <row r="388" customFormat="false" ht="15" hidden="false" customHeight="false" outlineLevel="0" collapsed="false">
      <c r="A388" s="21"/>
      <c r="B388" s="21"/>
      <c r="C388" s="21"/>
      <c r="D388" s="26"/>
      <c r="E388" s="26"/>
      <c r="F388" s="17"/>
      <c r="G388" s="25"/>
      <c r="H388" s="21"/>
      <c r="I388" s="21"/>
      <c r="J388" s="18" t="str">
        <f aca="false">IF($A388="","",$F388*$G388)</f>
        <v/>
      </c>
    </row>
    <row r="389" customFormat="false" ht="15" hidden="false" customHeight="false" outlineLevel="0" collapsed="false">
      <c r="A389" s="21"/>
      <c r="B389" s="21"/>
      <c r="C389" s="21"/>
      <c r="D389" s="26"/>
      <c r="E389" s="26"/>
      <c r="F389" s="17"/>
      <c r="G389" s="25"/>
      <c r="H389" s="21"/>
      <c r="I389" s="21"/>
      <c r="J389" s="18" t="str">
        <f aca="false">IF($A389="","",$F389*$G389)</f>
        <v/>
      </c>
    </row>
    <row r="390" customFormat="false" ht="15" hidden="false" customHeight="false" outlineLevel="0" collapsed="false">
      <c r="A390" s="21"/>
      <c r="B390" s="21"/>
      <c r="C390" s="21"/>
      <c r="D390" s="26"/>
      <c r="E390" s="26"/>
      <c r="F390" s="17"/>
      <c r="G390" s="25"/>
      <c r="H390" s="21"/>
      <c r="I390" s="21"/>
      <c r="J390" s="18" t="str">
        <f aca="false">IF($A390="","",$F390*$G390)</f>
        <v/>
      </c>
    </row>
    <row r="391" customFormat="false" ht="15" hidden="false" customHeight="false" outlineLevel="0" collapsed="false">
      <c r="A391" s="21"/>
      <c r="B391" s="21"/>
      <c r="C391" s="21"/>
      <c r="D391" s="26"/>
      <c r="E391" s="26"/>
      <c r="F391" s="17"/>
      <c r="G391" s="25"/>
      <c r="H391" s="21"/>
      <c r="I391" s="21"/>
      <c r="J391" s="18" t="str">
        <f aca="false">IF($A391="","",$F391*$G391)</f>
        <v/>
      </c>
    </row>
    <row r="392" customFormat="false" ht="15" hidden="false" customHeight="false" outlineLevel="0" collapsed="false">
      <c r="A392" s="21"/>
      <c r="B392" s="21"/>
      <c r="C392" s="21"/>
      <c r="D392" s="26"/>
      <c r="E392" s="26"/>
      <c r="F392" s="17"/>
      <c r="G392" s="25"/>
      <c r="H392" s="21"/>
      <c r="I392" s="21"/>
      <c r="J392" s="18" t="str">
        <f aca="false">IF($A392="","",$F392*$G392)</f>
        <v/>
      </c>
    </row>
    <row r="393" customFormat="false" ht="15" hidden="false" customHeight="false" outlineLevel="0" collapsed="false">
      <c r="A393" s="21"/>
      <c r="B393" s="21"/>
      <c r="C393" s="21"/>
      <c r="D393" s="26"/>
      <c r="E393" s="26"/>
      <c r="F393" s="17"/>
      <c r="G393" s="25"/>
      <c r="H393" s="21"/>
      <c r="I393" s="21"/>
      <c r="J393" s="18" t="str">
        <f aca="false">IF($A393="","",$F393*$G393)</f>
        <v/>
      </c>
    </row>
    <row r="394" customFormat="false" ht="15" hidden="false" customHeight="false" outlineLevel="0" collapsed="false">
      <c r="A394" s="21"/>
      <c r="B394" s="21"/>
      <c r="C394" s="21"/>
      <c r="D394" s="26"/>
      <c r="E394" s="26"/>
      <c r="F394" s="17"/>
      <c r="G394" s="25"/>
      <c r="H394" s="21"/>
      <c r="I394" s="21"/>
      <c r="J394" s="18" t="str">
        <f aca="false">IF($A394="","",$F394*$G394)</f>
        <v/>
      </c>
    </row>
    <row r="395" customFormat="false" ht="15" hidden="false" customHeight="false" outlineLevel="0" collapsed="false">
      <c r="A395" s="21"/>
      <c r="B395" s="21"/>
      <c r="C395" s="21"/>
      <c r="D395" s="26"/>
      <c r="E395" s="26"/>
      <c r="F395" s="17"/>
      <c r="G395" s="25"/>
      <c r="H395" s="21"/>
      <c r="I395" s="21"/>
      <c r="J395" s="18" t="str">
        <f aca="false">IF($A395="","",$F395*$G395)</f>
        <v/>
      </c>
    </row>
    <row r="396" customFormat="false" ht="15" hidden="false" customHeight="false" outlineLevel="0" collapsed="false">
      <c r="A396" s="21"/>
      <c r="B396" s="21"/>
      <c r="C396" s="21"/>
      <c r="D396" s="26"/>
      <c r="E396" s="26"/>
      <c r="F396" s="17"/>
      <c r="G396" s="25"/>
      <c r="H396" s="21"/>
      <c r="I396" s="21"/>
      <c r="J396" s="18" t="str">
        <f aca="false">IF($A396="","",$F396*$G396)</f>
        <v/>
      </c>
    </row>
    <row r="397" customFormat="false" ht="15" hidden="false" customHeight="false" outlineLevel="0" collapsed="false">
      <c r="A397" s="21"/>
      <c r="B397" s="21"/>
      <c r="C397" s="21"/>
      <c r="D397" s="26"/>
      <c r="E397" s="26"/>
      <c r="F397" s="17"/>
      <c r="G397" s="25"/>
      <c r="H397" s="21"/>
      <c r="I397" s="21"/>
      <c r="J397" s="18" t="str">
        <f aca="false">IF($A397="","",$F397*$G397)</f>
        <v/>
      </c>
    </row>
    <row r="398" customFormat="false" ht="15" hidden="false" customHeight="false" outlineLevel="0" collapsed="false">
      <c r="A398" s="21"/>
      <c r="B398" s="21"/>
      <c r="C398" s="21"/>
      <c r="D398" s="26"/>
      <c r="E398" s="26"/>
      <c r="F398" s="17"/>
      <c r="G398" s="25"/>
      <c r="H398" s="21"/>
      <c r="I398" s="21"/>
      <c r="J398" s="18" t="str">
        <f aca="false">IF($A398="","",$F398*$G398)</f>
        <v/>
      </c>
    </row>
    <row r="399" customFormat="false" ht="15" hidden="false" customHeight="false" outlineLevel="0" collapsed="false">
      <c r="A399" s="21"/>
      <c r="B399" s="21"/>
      <c r="C399" s="21"/>
      <c r="D399" s="26"/>
      <c r="E399" s="26"/>
      <c r="F399" s="17"/>
      <c r="G399" s="25"/>
      <c r="H399" s="21"/>
      <c r="I399" s="21"/>
      <c r="J399" s="18" t="str">
        <f aca="false">IF($A399="","",$F399*$G399)</f>
        <v/>
      </c>
    </row>
    <row r="400" customFormat="false" ht="15" hidden="false" customHeight="false" outlineLevel="0" collapsed="false">
      <c r="A400" s="21"/>
      <c r="B400" s="21"/>
      <c r="C400" s="21"/>
      <c r="D400" s="26"/>
      <c r="E400" s="26"/>
      <c r="F400" s="17"/>
      <c r="G400" s="25"/>
      <c r="H400" s="21"/>
      <c r="I400" s="21"/>
      <c r="J400" s="18" t="str">
        <f aca="false">IF($A400="","",$F400*$G400)</f>
        <v/>
      </c>
    </row>
    <row r="401" customFormat="false" ht="15" hidden="false" customHeight="false" outlineLevel="0" collapsed="false">
      <c r="A401" s="21"/>
      <c r="B401" s="21"/>
      <c r="C401" s="21"/>
      <c r="D401" s="26"/>
      <c r="E401" s="26"/>
      <c r="F401" s="17"/>
      <c r="G401" s="25"/>
      <c r="H401" s="21"/>
      <c r="I401" s="21"/>
      <c r="J401" s="18" t="str">
        <f aca="false">IF($A401="","",$F401*$G401)</f>
        <v/>
      </c>
    </row>
    <row r="402" customFormat="false" ht="15" hidden="false" customHeight="false" outlineLevel="0" collapsed="false">
      <c r="A402" s="21"/>
      <c r="B402" s="21"/>
      <c r="C402" s="21"/>
      <c r="D402" s="26"/>
      <c r="E402" s="26"/>
      <c r="F402" s="17"/>
      <c r="G402" s="25"/>
      <c r="H402" s="21"/>
      <c r="I402" s="21"/>
      <c r="J402" s="18" t="str">
        <f aca="false">IF($A402="","",$F402*$G402)</f>
        <v/>
      </c>
    </row>
    <row r="403" customFormat="false" ht="15" hidden="false" customHeight="false" outlineLevel="0" collapsed="false">
      <c r="A403" s="21"/>
      <c r="B403" s="21"/>
      <c r="C403" s="21"/>
      <c r="D403" s="26"/>
      <c r="E403" s="26"/>
      <c r="F403" s="17"/>
      <c r="G403" s="25"/>
      <c r="H403" s="21"/>
      <c r="I403" s="21"/>
      <c r="J403" s="18" t="str">
        <f aca="false">IF($A403="","",$F403*$G403)</f>
        <v/>
      </c>
    </row>
    <row r="404" customFormat="false" ht="15" hidden="false" customHeight="false" outlineLevel="0" collapsed="false">
      <c r="A404" s="21"/>
      <c r="B404" s="21"/>
      <c r="C404" s="21"/>
      <c r="D404" s="26"/>
      <c r="E404" s="26"/>
      <c r="F404" s="17"/>
      <c r="G404" s="25"/>
      <c r="H404" s="21"/>
      <c r="I404" s="21"/>
      <c r="J404" s="18" t="str">
        <f aca="false">IF($A404="","",$F404*$G404)</f>
        <v/>
      </c>
    </row>
    <row r="405" customFormat="false" ht="15" hidden="false" customHeight="false" outlineLevel="0" collapsed="false">
      <c r="A405" s="21"/>
      <c r="B405" s="21"/>
      <c r="C405" s="21"/>
      <c r="D405" s="26"/>
      <c r="E405" s="26"/>
      <c r="F405" s="17"/>
      <c r="G405" s="25"/>
      <c r="H405" s="21"/>
      <c r="I405" s="21"/>
      <c r="J405" s="18" t="str">
        <f aca="false">IF($A405="","",$F405*$G405)</f>
        <v/>
      </c>
    </row>
    <row r="406" customFormat="false" ht="15" hidden="false" customHeight="false" outlineLevel="0" collapsed="false">
      <c r="A406" s="21"/>
      <c r="B406" s="21"/>
      <c r="C406" s="21"/>
      <c r="D406" s="26"/>
      <c r="E406" s="26"/>
      <c r="F406" s="17"/>
      <c r="G406" s="25"/>
      <c r="H406" s="21"/>
      <c r="I406" s="21"/>
      <c r="J406" s="18" t="str">
        <f aca="false">IF($A406="","",$F406*$G406)</f>
        <v/>
      </c>
    </row>
    <row r="407" customFormat="false" ht="15" hidden="false" customHeight="false" outlineLevel="0" collapsed="false">
      <c r="A407" s="21"/>
      <c r="B407" s="21"/>
      <c r="C407" s="21"/>
      <c r="D407" s="26"/>
      <c r="E407" s="26"/>
      <c r="F407" s="17"/>
      <c r="G407" s="25"/>
      <c r="H407" s="21"/>
      <c r="I407" s="21"/>
      <c r="J407" s="18" t="str">
        <f aca="false">IF($A407="","",$F407*$G407)</f>
        <v/>
      </c>
    </row>
    <row r="408" customFormat="false" ht="15" hidden="false" customHeight="false" outlineLevel="0" collapsed="false">
      <c r="A408" s="21"/>
      <c r="B408" s="21"/>
      <c r="C408" s="21"/>
      <c r="D408" s="26"/>
      <c r="E408" s="26"/>
      <c r="F408" s="17"/>
      <c r="G408" s="25"/>
      <c r="H408" s="21"/>
      <c r="I408" s="21"/>
      <c r="J408" s="18" t="str">
        <f aca="false">IF($A408="","",$F408*$G408)</f>
        <v/>
      </c>
    </row>
    <row r="409" customFormat="false" ht="15" hidden="false" customHeight="false" outlineLevel="0" collapsed="false">
      <c r="A409" s="21"/>
      <c r="B409" s="21"/>
      <c r="C409" s="21"/>
      <c r="D409" s="26"/>
      <c r="E409" s="26"/>
      <c r="F409" s="17"/>
      <c r="G409" s="25"/>
      <c r="H409" s="21"/>
      <c r="I409" s="21"/>
      <c r="J409" s="18" t="str">
        <f aca="false">IF($A409="","",$F409*$G409)</f>
        <v/>
      </c>
    </row>
    <row r="410" customFormat="false" ht="15" hidden="false" customHeight="false" outlineLevel="0" collapsed="false">
      <c r="A410" s="21"/>
      <c r="B410" s="21"/>
      <c r="C410" s="21"/>
      <c r="D410" s="26"/>
      <c r="E410" s="26"/>
      <c r="F410" s="17"/>
      <c r="G410" s="25"/>
      <c r="H410" s="21"/>
      <c r="I410" s="21"/>
      <c r="J410" s="18" t="str">
        <f aca="false">IF($A410="","",$F410*$G410)</f>
        <v/>
      </c>
    </row>
    <row r="411" customFormat="false" ht="15" hidden="false" customHeight="false" outlineLevel="0" collapsed="false">
      <c r="A411" s="21"/>
      <c r="B411" s="21"/>
      <c r="C411" s="21"/>
      <c r="D411" s="26"/>
      <c r="E411" s="26"/>
      <c r="F411" s="17"/>
      <c r="G411" s="25"/>
      <c r="H411" s="21"/>
      <c r="I411" s="21"/>
      <c r="J411" s="18" t="str">
        <f aca="false">IF($A411="","",$F411*$G411)</f>
        <v/>
      </c>
    </row>
    <row r="412" customFormat="false" ht="15" hidden="false" customHeight="false" outlineLevel="0" collapsed="false">
      <c r="A412" s="21"/>
      <c r="B412" s="21"/>
      <c r="C412" s="21"/>
      <c r="D412" s="26"/>
      <c r="E412" s="26"/>
      <c r="F412" s="17"/>
      <c r="G412" s="25"/>
      <c r="H412" s="21"/>
      <c r="I412" s="21"/>
      <c r="J412" s="18" t="str">
        <f aca="false">IF($A412="","",$F412*$G412)</f>
        <v/>
      </c>
    </row>
    <row r="413" customFormat="false" ht="15" hidden="false" customHeight="false" outlineLevel="0" collapsed="false">
      <c r="A413" s="21"/>
      <c r="B413" s="21"/>
      <c r="C413" s="21"/>
      <c r="D413" s="26"/>
      <c r="E413" s="26"/>
      <c r="F413" s="17"/>
      <c r="G413" s="25"/>
      <c r="H413" s="21"/>
      <c r="I413" s="21"/>
      <c r="J413" s="18" t="str">
        <f aca="false">IF($A413="","",$F413*$G413)</f>
        <v/>
      </c>
    </row>
    <row r="414" customFormat="false" ht="15" hidden="false" customHeight="false" outlineLevel="0" collapsed="false">
      <c r="A414" s="21"/>
      <c r="B414" s="21"/>
      <c r="C414" s="21"/>
      <c r="D414" s="26"/>
      <c r="E414" s="26"/>
      <c r="F414" s="17"/>
      <c r="G414" s="25"/>
      <c r="H414" s="21"/>
      <c r="I414" s="21"/>
      <c r="J414" s="18" t="str">
        <f aca="false">IF($A414="","",$F414*$G414)</f>
        <v/>
      </c>
    </row>
    <row r="415" customFormat="false" ht="15" hidden="false" customHeight="false" outlineLevel="0" collapsed="false">
      <c r="A415" s="21"/>
      <c r="B415" s="21"/>
      <c r="C415" s="21"/>
      <c r="D415" s="26"/>
      <c r="E415" s="26"/>
      <c r="F415" s="17"/>
      <c r="G415" s="25"/>
      <c r="H415" s="21"/>
      <c r="I415" s="21"/>
      <c r="J415" s="18" t="str">
        <f aca="false">IF($A415="","",$F415*$G415)</f>
        <v/>
      </c>
    </row>
    <row r="416" customFormat="false" ht="15" hidden="false" customHeight="false" outlineLevel="0" collapsed="false">
      <c r="A416" s="21"/>
      <c r="B416" s="21"/>
      <c r="C416" s="21"/>
      <c r="D416" s="26"/>
      <c r="E416" s="26"/>
      <c r="F416" s="17"/>
      <c r="G416" s="25"/>
      <c r="H416" s="21"/>
      <c r="I416" s="21"/>
      <c r="J416" s="18" t="str">
        <f aca="false">IF($A416="","",$F416*$G416)</f>
        <v/>
      </c>
    </row>
    <row r="417" customFormat="false" ht="15" hidden="false" customHeight="false" outlineLevel="0" collapsed="false">
      <c r="A417" s="21"/>
      <c r="B417" s="21"/>
      <c r="C417" s="21"/>
      <c r="D417" s="26"/>
      <c r="E417" s="26"/>
      <c r="F417" s="17"/>
      <c r="G417" s="25"/>
      <c r="H417" s="21"/>
      <c r="I417" s="21"/>
      <c r="J417" s="18" t="str">
        <f aca="false">IF($A417="","",$F417*$G417)</f>
        <v/>
      </c>
    </row>
    <row r="418" customFormat="false" ht="15" hidden="false" customHeight="false" outlineLevel="0" collapsed="false">
      <c r="A418" s="21"/>
      <c r="B418" s="21"/>
      <c r="C418" s="21"/>
      <c r="D418" s="26"/>
      <c r="E418" s="26"/>
      <c r="F418" s="17"/>
      <c r="G418" s="25"/>
      <c r="H418" s="21"/>
      <c r="I418" s="21"/>
      <c r="J418" s="18" t="str">
        <f aca="false">IF($A418="","",$F418*$G418)</f>
        <v/>
      </c>
    </row>
    <row r="419" customFormat="false" ht="15" hidden="false" customHeight="false" outlineLevel="0" collapsed="false">
      <c r="A419" s="21"/>
      <c r="B419" s="21"/>
      <c r="C419" s="21"/>
      <c r="D419" s="26"/>
      <c r="E419" s="26"/>
      <c r="F419" s="17"/>
      <c r="G419" s="25"/>
      <c r="H419" s="21"/>
      <c r="I419" s="21"/>
      <c r="J419" s="18" t="str">
        <f aca="false">IF($A419="","",$F419*$G419)</f>
        <v/>
      </c>
    </row>
    <row r="420" customFormat="false" ht="15" hidden="false" customHeight="false" outlineLevel="0" collapsed="false">
      <c r="A420" s="21"/>
      <c r="B420" s="21"/>
      <c r="C420" s="21"/>
      <c r="D420" s="26"/>
      <c r="E420" s="26"/>
      <c r="F420" s="17"/>
      <c r="G420" s="25"/>
      <c r="H420" s="21"/>
      <c r="I420" s="21"/>
      <c r="J420" s="18" t="str">
        <f aca="false">IF($A420="","",$F420*$G420)</f>
        <v/>
      </c>
    </row>
    <row r="421" customFormat="false" ht="15" hidden="false" customHeight="false" outlineLevel="0" collapsed="false">
      <c r="A421" s="21"/>
      <c r="B421" s="21"/>
      <c r="C421" s="21"/>
      <c r="D421" s="26"/>
      <c r="E421" s="26"/>
      <c r="F421" s="17"/>
      <c r="G421" s="25"/>
      <c r="H421" s="21"/>
      <c r="I421" s="21"/>
      <c r="J421" s="18" t="str">
        <f aca="false">IF($A421="","",$F421*$G421)</f>
        <v/>
      </c>
    </row>
    <row r="422" customFormat="false" ht="15" hidden="false" customHeight="false" outlineLevel="0" collapsed="false">
      <c r="A422" s="21"/>
      <c r="B422" s="21"/>
      <c r="C422" s="21"/>
      <c r="D422" s="26"/>
      <c r="E422" s="26"/>
      <c r="F422" s="17"/>
      <c r="G422" s="25"/>
      <c r="H422" s="21"/>
      <c r="I422" s="21"/>
      <c r="J422" s="18" t="str">
        <f aca="false">IF($A422="","",$F422*$G422)</f>
        <v/>
      </c>
    </row>
    <row r="423" customFormat="false" ht="15" hidden="false" customHeight="false" outlineLevel="0" collapsed="false">
      <c r="A423" s="21"/>
      <c r="B423" s="21"/>
      <c r="C423" s="21"/>
      <c r="D423" s="26"/>
      <c r="E423" s="26"/>
      <c r="F423" s="17"/>
      <c r="G423" s="25"/>
      <c r="H423" s="21"/>
      <c r="I423" s="21"/>
      <c r="J423" s="18" t="str">
        <f aca="false">IF($A423="","",$F423*$G423)</f>
        <v/>
      </c>
    </row>
    <row r="424" customFormat="false" ht="15" hidden="false" customHeight="false" outlineLevel="0" collapsed="false">
      <c r="A424" s="21"/>
      <c r="B424" s="21"/>
      <c r="C424" s="21"/>
      <c r="D424" s="26"/>
      <c r="E424" s="26"/>
      <c r="F424" s="17"/>
      <c r="G424" s="25"/>
      <c r="H424" s="21"/>
      <c r="I424" s="21"/>
      <c r="J424" s="18" t="str">
        <f aca="false">IF($A424="","",$F424*$G424)</f>
        <v/>
      </c>
    </row>
    <row r="425" customFormat="false" ht="15" hidden="false" customHeight="false" outlineLevel="0" collapsed="false">
      <c r="A425" s="21"/>
      <c r="B425" s="21"/>
      <c r="C425" s="21"/>
      <c r="D425" s="26"/>
      <c r="E425" s="26"/>
      <c r="F425" s="17"/>
      <c r="G425" s="25"/>
      <c r="H425" s="21"/>
      <c r="I425" s="21"/>
      <c r="J425" s="18" t="str">
        <f aca="false">IF($A425="","",$F425*$G425)</f>
        <v/>
      </c>
    </row>
    <row r="426" customFormat="false" ht="15" hidden="false" customHeight="false" outlineLevel="0" collapsed="false">
      <c r="A426" s="21"/>
      <c r="B426" s="21"/>
      <c r="C426" s="21"/>
      <c r="D426" s="26"/>
      <c r="E426" s="26"/>
      <c r="F426" s="17"/>
      <c r="G426" s="25"/>
      <c r="H426" s="21"/>
      <c r="I426" s="21"/>
      <c r="J426" s="18" t="str">
        <f aca="false">IF($A426="","",$F426*$G426)</f>
        <v/>
      </c>
    </row>
    <row r="427" customFormat="false" ht="15" hidden="false" customHeight="false" outlineLevel="0" collapsed="false">
      <c r="A427" s="21"/>
      <c r="B427" s="21"/>
      <c r="C427" s="21"/>
      <c r="D427" s="26"/>
      <c r="E427" s="26"/>
      <c r="F427" s="17"/>
      <c r="G427" s="25"/>
      <c r="H427" s="21"/>
      <c r="I427" s="21"/>
      <c r="J427" s="18" t="str">
        <f aca="false">IF($A427="","",$F427*$G427)</f>
        <v/>
      </c>
    </row>
    <row r="428" customFormat="false" ht="15" hidden="false" customHeight="false" outlineLevel="0" collapsed="false">
      <c r="A428" s="21"/>
      <c r="B428" s="21"/>
      <c r="C428" s="21"/>
      <c r="D428" s="26"/>
      <c r="E428" s="26"/>
      <c r="F428" s="17"/>
      <c r="G428" s="25"/>
      <c r="H428" s="21"/>
      <c r="I428" s="21"/>
      <c r="J428" s="18" t="str">
        <f aca="false">IF($A428="","",$F428*$G428)</f>
        <v/>
      </c>
    </row>
    <row r="429" customFormat="false" ht="15" hidden="false" customHeight="false" outlineLevel="0" collapsed="false">
      <c r="A429" s="21"/>
      <c r="B429" s="21"/>
      <c r="C429" s="21"/>
      <c r="D429" s="26"/>
      <c r="E429" s="26"/>
      <c r="F429" s="17"/>
      <c r="G429" s="25"/>
      <c r="H429" s="21"/>
      <c r="I429" s="21"/>
      <c r="J429" s="18" t="str">
        <f aca="false">IF($A429="","",$F429*$G429)</f>
        <v/>
      </c>
    </row>
    <row r="430" customFormat="false" ht="15" hidden="false" customHeight="false" outlineLevel="0" collapsed="false">
      <c r="A430" s="21"/>
      <c r="B430" s="21"/>
      <c r="C430" s="21"/>
      <c r="D430" s="26"/>
      <c r="E430" s="26"/>
      <c r="F430" s="17"/>
      <c r="G430" s="25"/>
      <c r="H430" s="21"/>
      <c r="I430" s="21"/>
      <c r="J430" s="18" t="str">
        <f aca="false">IF($A430="","",$F430*$G430)</f>
        <v/>
      </c>
    </row>
    <row r="431" customFormat="false" ht="15" hidden="false" customHeight="false" outlineLevel="0" collapsed="false">
      <c r="A431" s="21"/>
      <c r="B431" s="21"/>
      <c r="C431" s="21"/>
      <c r="D431" s="26"/>
      <c r="E431" s="26"/>
      <c r="F431" s="17"/>
      <c r="G431" s="25"/>
      <c r="H431" s="21"/>
      <c r="I431" s="21"/>
      <c r="J431" s="18" t="str">
        <f aca="false">IF($A431="","",$F431*$G431)</f>
        <v/>
      </c>
    </row>
    <row r="432" customFormat="false" ht="15" hidden="false" customHeight="false" outlineLevel="0" collapsed="false">
      <c r="A432" s="21"/>
      <c r="B432" s="21"/>
      <c r="C432" s="21"/>
      <c r="D432" s="26"/>
      <c r="E432" s="26"/>
      <c r="F432" s="17"/>
      <c r="G432" s="25"/>
      <c r="H432" s="21"/>
      <c r="I432" s="21"/>
      <c r="J432" s="18" t="str">
        <f aca="false">IF($A432="","",$F432*$G432)</f>
        <v/>
      </c>
    </row>
    <row r="433" customFormat="false" ht="15" hidden="false" customHeight="false" outlineLevel="0" collapsed="false">
      <c r="A433" s="21"/>
      <c r="B433" s="21"/>
      <c r="C433" s="21"/>
      <c r="D433" s="26"/>
      <c r="E433" s="26"/>
      <c r="F433" s="17"/>
      <c r="G433" s="25"/>
      <c r="H433" s="21"/>
      <c r="I433" s="21"/>
      <c r="J433" s="18" t="str">
        <f aca="false">IF($A433="","",$F433*$G433)</f>
        <v/>
      </c>
    </row>
    <row r="434" customFormat="false" ht="15" hidden="false" customHeight="false" outlineLevel="0" collapsed="false">
      <c r="A434" s="21"/>
      <c r="B434" s="21"/>
      <c r="C434" s="21"/>
      <c r="D434" s="26"/>
      <c r="E434" s="26"/>
      <c r="F434" s="17"/>
      <c r="G434" s="25"/>
      <c r="H434" s="21"/>
      <c r="I434" s="21"/>
      <c r="J434" s="18" t="str">
        <f aca="false">IF($A434="","",$F434*$G434)</f>
        <v/>
      </c>
    </row>
    <row r="435" customFormat="false" ht="15" hidden="false" customHeight="false" outlineLevel="0" collapsed="false">
      <c r="A435" s="21"/>
      <c r="B435" s="21"/>
      <c r="C435" s="21"/>
      <c r="D435" s="26"/>
      <c r="E435" s="26"/>
      <c r="F435" s="17"/>
      <c r="G435" s="25"/>
      <c r="H435" s="21"/>
      <c r="I435" s="21"/>
      <c r="J435" s="18" t="str">
        <f aca="false">IF($A435="","",$F435*$G435)</f>
        <v/>
      </c>
    </row>
    <row r="436" customFormat="false" ht="15" hidden="false" customHeight="false" outlineLevel="0" collapsed="false">
      <c r="A436" s="21"/>
      <c r="B436" s="21"/>
      <c r="C436" s="21"/>
      <c r="D436" s="26"/>
      <c r="E436" s="26"/>
      <c r="F436" s="17"/>
      <c r="G436" s="25"/>
      <c r="H436" s="21"/>
      <c r="I436" s="21"/>
      <c r="J436" s="18" t="str">
        <f aca="false">IF($A436="","",$F436*$G436)</f>
        <v/>
      </c>
    </row>
    <row r="437" customFormat="false" ht="15" hidden="false" customHeight="false" outlineLevel="0" collapsed="false">
      <c r="A437" s="21"/>
      <c r="B437" s="21"/>
      <c r="C437" s="21"/>
      <c r="D437" s="26"/>
      <c r="E437" s="26"/>
      <c r="F437" s="17"/>
      <c r="G437" s="25"/>
      <c r="H437" s="21"/>
      <c r="I437" s="21"/>
      <c r="J437" s="18" t="str">
        <f aca="false">IF($A437="","",$F437*$G437)</f>
        <v/>
      </c>
    </row>
    <row r="438" customFormat="false" ht="15" hidden="false" customHeight="false" outlineLevel="0" collapsed="false">
      <c r="A438" s="21"/>
      <c r="B438" s="21"/>
      <c r="C438" s="21"/>
      <c r="D438" s="26"/>
      <c r="E438" s="26"/>
      <c r="F438" s="17"/>
      <c r="G438" s="25"/>
      <c r="H438" s="21"/>
      <c r="I438" s="21"/>
      <c r="J438" s="18" t="str">
        <f aca="false">IF($A438="","",$F438*$G438)</f>
        <v/>
      </c>
    </row>
    <row r="439" customFormat="false" ht="15" hidden="false" customHeight="false" outlineLevel="0" collapsed="false">
      <c r="A439" s="21"/>
      <c r="B439" s="21"/>
      <c r="C439" s="21"/>
      <c r="D439" s="26"/>
      <c r="E439" s="26"/>
      <c r="F439" s="17"/>
      <c r="G439" s="25"/>
      <c r="H439" s="21"/>
      <c r="I439" s="21"/>
      <c r="J439" s="18" t="str">
        <f aca="false">IF($A439="","",$F439*$G439)</f>
        <v/>
      </c>
    </row>
    <row r="440" customFormat="false" ht="15" hidden="false" customHeight="false" outlineLevel="0" collapsed="false">
      <c r="A440" s="21"/>
      <c r="B440" s="21"/>
      <c r="C440" s="21"/>
      <c r="D440" s="26"/>
      <c r="E440" s="26"/>
      <c r="F440" s="17"/>
      <c r="G440" s="25"/>
      <c r="H440" s="21"/>
      <c r="I440" s="21"/>
      <c r="J440" s="18" t="str">
        <f aca="false">IF($A440="","",$F440*$G440)</f>
        <v/>
      </c>
    </row>
    <row r="441" customFormat="false" ht="15" hidden="false" customHeight="false" outlineLevel="0" collapsed="false">
      <c r="A441" s="21"/>
      <c r="B441" s="21"/>
      <c r="C441" s="21"/>
      <c r="D441" s="26"/>
      <c r="E441" s="26"/>
      <c r="F441" s="17"/>
      <c r="G441" s="25"/>
      <c r="H441" s="21"/>
      <c r="I441" s="21"/>
      <c r="J441" s="18" t="str">
        <f aca="false">IF($A441="","",$F441*$G441)</f>
        <v/>
      </c>
    </row>
    <row r="442" customFormat="false" ht="15" hidden="false" customHeight="false" outlineLevel="0" collapsed="false">
      <c r="A442" s="21"/>
      <c r="B442" s="21"/>
      <c r="C442" s="21"/>
      <c r="D442" s="26"/>
      <c r="E442" s="26"/>
      <c r="F442" s="17"/>
      <c r="G442" s="25"/>
      <c r="H442" s="21"/>
      <c r="I442" s="21"/>
      <c r="J442" s="18" t="str">
        <f aca="false">IF($A442="","",$F442*$G442)</f>
        <v/>
      </c>
    </row>
    <row r="443" customFormat="false" ht="15" hidden="false" customHeight="false" outlineLevel="0" collapsed="false">
      <c r="A443" s="21"/>
      <c r="B443" s="21"/>
      <c r="C443" s="21"/>
      <c r="D443" s="26"/>
      <c r="E443" s="26"/>
      <c r="F443" s="17"/>
      <c r="G443" s="25"/>
      <c r="H443" s="21"/>
      <c r="I443" s="21"/>
      <c r="J443" s="18" t="str">
        <f aca="false">IF($A443="","",$F443*$G443)</f>
        <v/>
      </c>
    </row>
    <row r="444" customFormat="false" ht="15" hidden="false" customHeight="false" outlineLevel="0" collapsed="false">
      <c r="A444" s="21"/>
      <c r="B444" s="21"/>
      <c r="C444" s="21"/>
      <c r="D444" s="26"/>
      <c r="E444" s="26"/>
      <c r="F444" s="17"/>
      <c r="G444" s="25"/>
      <c r="H444" s="21"/>
      <c r="I444" s="21"/>
      <c r="J444" s="18" t="str">
        <f aca="false">IF($A444="","",$F444*$G444)</f>
        <v/>
      </c>
    </row>
    <row r="445" customFormat="false" ht="15" hidden="false" customHeight="false" outlineLevel="0" collapsed="false">
      <c r="A445" s="21"/>
      <c r="B445" s="21"/>
      <c r="C445" s="21"/>
      <c r="D445" s="26"/>
      <c r="E445" s="26"/>
      <c r="F445" s="17"/>
      <c r="G445" s="25"/>
      <c r="H445" s="21"/>
      <c r="I445" s="21"/>
      <c r="J445" s="18" t="str">
        <f aca="false">IF($A445="","",$F445*$G445)</f>
        <v/>
      </c>
    </row>
    <row r="446" customFormat="false" ht="15" hidden="false" customHeight="false" outlineLevel="0" collapsed="false">
      <c r="A446" s="21"/>
      <c r="B446" s="21"/>
      <c r="C446" s="21"/>
      <c r="D446" s="26"/>
      <c r="E446" s="26"/>
      <c r="F446" s="17"/>
      <c r="G446" s="25"/>
      <c r="H446" s="21"/>
      <c r="I446" s="21"/>
      <c r="J446" s="18" t="str">
        <f aca="false">IF($A446="","",$F446*$G446)</f>
        <v/>
      </c>
    </row>
    <row r="447" customFormat="false" ht="15" hidden="false" customHeight="false" outlineLevel="0" collapsed="false">
      <c r="A447" s="21"/>
      <c r="B447" s="21"/>
      <c r="C447" s="21"/>
      <c r="D447" s="26"/>
      <c r="E447" s="26"/>
      <c r="F447" s="17"/>
      <c r="G447" s="25"/>
      <c r="H447" s="21"/>
      <c r="I447" s="21"/>
      <c r="J447" s="18" t="str">
        <f aca="false">IF($A447="","",$F447*$G447)</f>
        <v/>
      </c>
    </row>
    <row r="448" customFormat="false" ht="15" hidden="false" customHeight="false" outlineLevel="0" collapsed="false">
      <c r="A448" s="21"/>
      <c r="B448" s="21"/>
      <c r="C448" s="21"/>
      <c r="D448" s="26"/>
      <c r="E448" s="26"/>
      <c r="F448" s="17"/>
      <c r="G448" s="25"/>
      <c r="H448" s="21"/>
      <c r="I448" s="21"/>
      <c r="J448" s="18" t="str">
        <f aca="false">IF($A448="","",$F448*$G448)</f>
        <v/>
      </c>
    </row>
    <row r="449" customFormat="false" ht="15" hidden="false" customHeight="false" outlineLevel="0" collapsed="false">
      <c r="A449" s="21"/>
      <c r="B449" s="21"/>
      <c r="C449" s="21"/>
      <c r="D449" s="26"/>
      <c r="E449" s="26"/>
      <c r="F449" s="17"/>
      <c r="G449" s="25"/>
      <c r="H449" s="21"/>
      <c r="I449" s="21"/>
      <c r="J449" s="18" t="str">
        <f aca="false">IF($A449="","",$F449*$G449)</f>
        <v/>
      </c>
    </row>
    <row r="450" customFormat="false" ht="15" hidden="false" customHeight="false" outlineLevel="0" collapsed="false">
      <c r="A450" s="21"/>
      <c r="B450" s="21"/>
      <c r="C450" s="21"/>
      <c r="D450" s="26"/>
      <c r="E450" s="26"/>
      <c r="F450" s="17"/>
      <c r="G450" s="25"/>
      <c r="H450" s="21"/>
      <c r="I450" s="21"/>
      <c r="J450" s="18" t="str">
        <f aca="false">IF($A450="","",$F450*$G450)</f>
        <v/>
      </c>
    </row>
    <row r="451" customFormat="false" ht="15" hidden="false" customHeight="false" outlineLevel="0" collapsed="false">
      <c r="A451" s="21"/>
      <c r="B451" s="21"/>
      <c r="C451" s="21"/>
      <c r="D451" s="26"/>
      <c r="E451" s="26"/>
      <c r="F451" s="17"/>
      <c r="G451" s="25"/>
      <c r="H451" s="21"/>
      <c r="I451" s="21"/>
      <c r="J451" s="18" t="str">
        <f aca="false">IF($A451="","",$F451*$G451)</f>
        <v/>
      </c>
    </row>
    <row r="452" customFormat="false" ht="15" hidden="false" customHeight="false" outlineLevel="0" collapsed="false">
      <c r="A452" s="21"/>
      <c r="B452" s="21"/>
      <c r="C452" s="21"/>
      <c r="D452" s="26"/>
      <c r="E452" s="26"/>
      <c r="F452" s="17"/>
      <c r="G452" s="25"/>
      <c r="H452" s="21"/>
      <c r="I452" s="21"/>
      <c r="J452" s="18" t="str">
        <f aca="false">IF($A452="","",$F452*$G452)</f>
        <v/>
      </c>
    </row>
    <row r="453" customFormat="false" ht="15" hidden="false" customHeight="false" outlineLevel="0" collapsed="false">
      <c r="A453" s="21"/>
      <c r="B453" s="21"/>
      <c r="C453" s="21"/>
      <c r="D453" s="26"/>
      <c r="E453" s="26"/>
      <c r="F453" s="17"/>
      <c r="G453" s="25"/>
      <c r="H453" s="21"/>
      <c r="I453" s="21"/>
      <c r="J453" s="18" t="str">
        <f aca="false">IF($A453="","",$F453*$G453)</f>
        <v/>
      </c>
    </row>
    <row r="454" customFormat="false" ht="15" hidden="false" customHeight="false" outlineLevel="0" collapsed="false">
      <c r="A454" s="21"/>
      <c r="B454" s="21"/>
      <c r="C454" s="21"/>
      <c r="D454" s="26"/>
      <c r="E454" s="26"/>
      <c r="F454" s="17"/>
      <c r="G454" s="25"/>
      <c r="H454" s="21"/>
      <c r="I454" s="21"/>
      <c r="J454" s="18" t="str">
        <f aca="false">IF($A454="","",$F454*$G454)</f>
        <v/>
      </c>
    </row>
    <row r="455" customFormat="false" ht="15" hidden="false" customHeight="false" outlineLevel="0" collapsed="false">
      <c r="A455" s="21"/>
      <c r="B455" s="21"/>
      <c r="C455" s="21"/>
      <c r="D455" s="26"/>
      <c r="E455" s="26"/>
      <c r="F455" s="17"/>
      <c r="G455" s="25"/>
      <c r="H455" s="21"/>
      <c r="I455" s="21"/>
      <c r="J455" s="18" t="str">
        <f aca="false">IF($A455="","",$F455*$G455)</f>
        <v/>
      </c>
    </row>
    <row r="456" customFormat="false" ht="15" hidden="false" customHeight="false" outlineLevel="0" collapsed="false">
      <c r="A456" s="21"/>
      <c r="B456" s="21"/>
      <c r="C456" s="21"/>
      <c r="D456" s="26"/>
      <c r="E456" s="26"/>
      <c r="F456" s="17"/>
      <c r="G456" s="25"/>
      <c r="H456" s="21"/>
      <c r="I456" s="21"/>
      <c r="J456" s="18" t="str">
        <f aca="false">IF($A456="","",$F456*$G456)</f>
        <v/>
      </c>
    </row>
    <row r="457" customFormat="false" ht="15" hidden="false" customHeight="false" outlineLevel="0" collapsed="false">
      <c r="A457" s="21"/>
      <c r="B457" s="21"/>
      <c r="C457" s="21"/>
      <c r="D457" s="26"/>
      <c r="E457" s="26"/>
      <c r="F457" s="17"/>
      <c r="G457" s="25"/>
      <c r="H457" s="21"/>
      <c r="I457" s="21"/>
      <c r="J457" s="18" t="str">
        <f aca="false">IF($A457="","",$F457*$G457)</f>
        <v/>
      </c>
    </row>
    <row r="458" customFormat="false" ht="15" hidden="false" customHeight="false" outlineLevel="0" collapsed="false">
      <c r="A458" s="21"/>
      <c r="B458" s="21"/>
      <c r="C458" s="21"/>
      <c r="D458" s="26"/>
      <c r="E458" s="26"/>
      <c r="F458" s="17"/>
      <c r="G458" s="25"/>
      <c r="H458" s="21"/>
      <c r="I458" s="21"/>
      <c r="J458" s="18" t="str">
        <f aca="false">IF($A458="","",$F458*$G458)</f>
        <v/>
      </c>
    </row>
    <row r="459" customFormat="false" ht="15" hidden="false" customHeight="false" outlineLevel="0" collapsed="false">
      <c r="A459" s="21"/>
      <c r="B459" s="21"/>
      <c r="C459" s="21"/>
      <c r="D459" s="26"/>
      <c r="E459" s="26"/>
      <c r="F459" s="17"/>
      <c r="G459" s="25"/>
      <c r="H459" s="21"/>
      <c r="I459" s="21"/>
      <c r="J459" s="18" t="str">
        <f aca="false">IF($A459="","",$F459*$G459)</f>
        <v/>
      </c>
    </row>
    <row r="460" customFormat="false" ht="15" hidden="false" customHeight="false" outlineLevel="0" collapsed="false">
      <c r="A460" s="21"/>
      <c r="B460" s="21"/>
      <c r="C460" s="21"/>
      <c r="D460" s="26"/>
      <c r="E460" s="26"/>
      <c r="F460" s="17"/>
      <c r="G460" s="25"/>
      <c r="H460" s="21"/>
      <c r="I460" s="21"/>
      <c r="J460" s="18" t="str">
        <f aca="false">IF($A460="","",$F460*$G460)</f>
        <v/>
      </c>
    </row>
    <row r="461" customFormat="false" ht="15" hidden="false" customHeight="false" outlineLevel="0" collapsed="false">
      <c r="A461" s="21"/>
      <c r="B461" s="21"/>
      <c r="C461" s="21"/>
      <c r="D461" s="26"/>
      <c r="E461" s="26"/>
      <c r="F461" s="17"/>
      <c r="G461" s="25"/>
      <c r="H461" s="21"/>
      <c r="I461" s="21"/>
      <c r="J461" s="18" t="str">
        <f aca="false">IF($A461="","",$F461*$G461)</f>
        <v/>
      </c>
    </row>
    <row r="462" customFormat="false" ht="15" hidden="false" customHeight="false" outlineLevel="0" collapsed="false">
      <c r="A462" s="21"/>
      <c r="B462" s="21"/>
      <c r="C462" s="21"/>
      <c r="D462" s="26"/>
      <c r="E462" s="26"/>
      <c r="F462" s="17"/>
      <c r="G462" s="25"/>
      <c r="H462" s="21"/>
      <c r="I462" s="21"/>
      <c r="J462" s="18" t="str">
        <f aca="false">IF($A462="","",$F462*$G462)</f>
        <v/>
      </c>
    </row>
    <row r="463" customFormat="false" ht="15" hidden="false" customHeight="false" outlineLevel="0" collapsed="false">
      <c r="A463" s="21"/>
      <c r="B463" s="21"/>
      <c r="C463" s="21"/>
      <c r="D463" s="26"/>
      <c r="E463" s="26"/>
      <c r="F463" s="17"/>
      <c r="G463" s="25"/>
      <c r="H463" s="21"/>
      <c r="I463" s="21"/>
      <c r="J463" s="18" t="str">
        <f aca="false">IF($A463="","",$F463*$G463)</f>
        <v/>
      </c>
    </row>
    <row r="464" customFormat="false" ht="15" hidden="false" customHeight="false" outlineLevel="0" collapsed="false">
      <c r="A464" s="21"/>
      <c r="B464" s="21"/>
      <c r="C464" s="21"/>
      <c r="D464" s="26"/>
      <c r="E464" s="26"/>
      <c r="F464" s="17"/>
      <c r="G464" s="25"/>
      <c r="H464" s="21"/>
      <c r="I464" s="21"/>
      <c r="J464" s="18" t="str">
        <f aca="false">IF($A464="","",$F464*$G464)</f>
        <v/>
      </c>
    </row>
    <row r="465" customFormat="false" ht="15" hidden="false" customHeight="false" outlineLevel="0" collapsed="false">
      <c r="A465" s="21"/>
      <c r="B465" s="21"/>
      <c r="C465" s="21"/>
      <c r="D465" s="26"/>
      <c r="E465" s="26"/>
      <c r="F465" s="17"/>
      <c r="G465" s="25"/>
      <c r="H465" s="21"/>
      <c r="I465" s="21"/>
      <c r="J465" s="18" t="str">
        <f aca="false">IF($A465="","",$F465*$G465)</f>
        <v/>
      </c>
    </row>
    <row r="466" customFormat="false" ht="15" hidden="false" customHeight="false" outlineLevel="0" collapsed="false">
      <c r="A466" s="21"/>
      <c r="B466" s="21"/>
      <c r="C466" s="21"/>
      <c r="D466" s="26"/>
      <c r="E466" s="26"/>
      <c r="F466" s="17"/>
      <c r="G466" s="25"/>
      <c r="H466" s="21"/>
      <c r="I466" s="21"/>
      <c r="J466" s="18" t="str">
        <f aca="false">IF($A466="","",$F466*$G466)</f>
        <v/>
      </c>
    </row>
    <row r="467" customFormat="false" ht="15" hidden="false" customHeight="false" outlineLevel="0" collapsed="false">
      <c r="A467" s="21"/>
      <c r="B467" s="21"/>
      <c r="C467" s="21"/>
      <c r="D467" s="26"/>
      <c r="E467" s="26"/>
      <c r="F467" s="17"/>
      <c r="G467" s="25"/>
      <c r="H467" s="21"/>
      <c r="I467" s="21"/>
      <c r="J467" s="18" t="str">
        <f aca="false">IF($A467="","",$F467*$G467)</f>
        <v/>
      </c>
    </row>
    <row r="468" customFormat="false" ht="15" hidden="false" customHeight="false" outlineLevel="0" collapsed="false">
      <c r="A468" s="21"/>
      <c r="B468" s="21"/>
      <c r="C468" s="21"/>
      <c r="D468" s="26"/>
      <c r="E468" s="26"/>
      <c r="F468" s="17"/>
      <c r="G468" s="25"/>
      <c r="H468" s="21"/>
      <c r="I468" s="21"/>
      <c r="J468" s="18" t="str">
        <f aca="false">IF($A468="","",$F468*$G468)</f>
        <v/>
      </c>
    </row>
    <row r="469" customFormat="false" ht="15" hidden="false" customHeight="false" outlineLevel="0" collapsed="false">
      <c r="A469" s="21"/>
      <c r="B469" s="21"/>
      <c r="C469" s="21"/>
      <c r="D469" s="26"/>
      <c r="E469" s="26"/>
      <c r="F469" s="17"/>
      <c r="G469" s="25"/>
      <c r="H469" s="21"/>
      <c r="I469" s="21"/>
      <c r="J469" s="18" t="str">
        <f aca="false">IF($A469="","",$F469*$G469)</f>
        <v/>
      </c>
    </row>
    <row r="470" customFormat="false" ht="15" hidden="false" customHeight="false" outlineLevel="0" collapsed="false">
      <c r="A470" s="21"/>
      <c r="B470" s="21"/>
      <c r="C470" s="21"/>
      <c r="D470" s="26"/>
      <c r="E470" s="26"/>
      <c r="F470" s="17"/>
      <c r="G470" s="25"/>
      <c r="H470" s="21"/>
      <c r="I470" s="21"/>
      <c r="J470" s="18" t="str">
        <f aca="false">IF($A470="","",$F470*$G470)</f>
        <v/>
      </c>
    </row>
    <row r="471" customFormat="false" ht="15" hidden="false" customHeight="false" outlineLevel="0" collapsed="false">
      <c r="A471" s="21"/>
      <c r="B471" s="21"/>
      <c r="C471" s="21"/>
      <c r="D471" s="26"/>
      <c r="E471" s="26"/>
      <c r="F471" s="17"/>
      <c r="G471" s="25"/>
      <c r="H471" s="21"/>
      <c r="I471" s="21"/>
      <c r="J471" s="18" t="str">
        <f aca="false">IF($A471="","",$F471*$G471)</f>
        <v/>
      </c>
    </row>
    <row r="472" customFormat="false" ht="15" hidden="false" customHeight="false" outlineLevel="0" collapsed="false">
      <c r="A472" s="21"/>
      <c r="B472" s="21"/>
      <c r="C472" s="21"/>
      <c r="D472" s="26"/>
      <c r="E472" s="26"/>
      <c r="F472" s="17"/>
      <c r="G472" s="25"/>
      <c r="H472" s="21"/>
      <c r="I472" s="21"/>
      <c r="J472" s="18" t="str">
        <f aca="false">IF($A472="","",$F472*$G472)</f>
        <v/>
      </c>
    </row>
    <row r="473" customFormat="false" ht="15" hidden="false" customHeight="false" outlineLevel="0" collapsed="false">
      <c r="A473" s="21"/>
      <c r="B473" s="21"/>
      <c r="C473" s="21"/>
      <c r="D473" s="26"/>
      <c r="E473" s="26"/>
      <c r="F473" s="17"/>
      <c r="G473" s="25"/>
      <c r="H473" s="21"/>
      <c r="I473" s="21"/>
      <c r="J473" s="18" t="str">
        <f aca="false">IF($A473="","",$F473*$G473)</f>
        <v/>
      </c>
    </row>
    <row r="474" customFormat="false" ht="15" hidden="false" customHeight="false" outlineLevel="0" collapsed="false">
      <c r="A474" s="21"/>
      <c r="B474" s="21"/>
      <c r="C474" s="21"/>
      <c r="D474" s="26"/>
      <c r="E474" s="26"/>
      <c r="F474" s="17"/>
      <c r="G474" s="25"/>
      <c r="H474" s="21"/>
      <c r="I474" s="21"/>
      <c r="J474" s="18" t="str">
        <f aca="false">IF($A474="","",$F474*$G474)</f>
        <v/>
      </c>
    </row>
    <row r="475" customFormat="false" ht="15" hidden="false" customHeight="false" outlineLevel="0" collapsed="false">
      <c r="A475" s="21"/>
      <c r="B475" s="21"/>
      <c r="C475" s="21"/>
      <c r="D475" s="26"/>
      <c r="E475" s="26"/>
      <c r="F475" s="17"/>
      <c r="G475" s="25"/>
      <c r="H475" s="21"/>
      <c r="I475" s="21"/>
      <c r="J475" s="18" t="str">
        <f aca="false">IF($A475="","",$F475*$G475)</f>
        <v/>
      </c>
    </row>
    <row r="476" customFormat="false" ht="15" hidden="false" customHeight="false" outlineLevel="0" collapsed="false">
      <c r="A476" s="21"/>
      <c r="B476" s="21"/>
      <c r="C476" s="21"/>
      <c r="D476" s="26"/>
      <c r="E476" s="26"/>
      <c r="F476" s="17"/>
      <c r="G476" s="25"/>
      <c r="H476" s="21"/>
      <c r="I476" s="21"/>
      <c r="J476" s="18" t="str">
        <f aca="false">IF($A476="","",$F476*$G476)</f>
        <v/>
      </c>
    </row>
    <row r="477" customFormat="false" ht="15" hidden="false" customHeight="false" outlineLevel="0" collapsed="false">
      <c r="A477" s="21"/>
      <c r="B477" s="21"/>
      <c r="C477" s="21"/>
      <c r="D477" s="26"/>
      <c r="E477" s="26"/>
      <c r="F477" s="17"/>
      <c r="G477" s="25"/>
      <c r="H477" s="21"/>
      <c r="I477" s="21"/>
      <c r="J477" s="18" t="str">
        <f aca="false">IF($A477="","",$F477*$G477)</f>
        <v/>
      </c>
    </row>
    <row r="478" customFormat="false" ht="15" hidden="false" customHeight="false" outlineLevel="0" collapsed="false">
      <c r="A478" s="21"/>
      <c r="B478" s="21"/>
      <c r="C478" s="21"/>
      <c r="D478" s="26"/>
      <c r="E478" s="26"/>
      <c r="F478" s="17"/>
      <c r="G478" s="25"/>
      <c r="H478" s="21"/>
      <c r="I478" s="21"/>
      <c r="J478" s="18" t="str">
        <f aca="false">IF($A478="","",$F478*$G478)</f>
        <v/>
      </c>
    </row>
    <row r="479" customFormat="false" ht="15" hidden="false" customHeight="false" outlineLevel="0" collapsed="false">
      <c r="A479" s="21"/>
      <c r="B479" s="21"/>
      <c r="C479" s="21"/>
      <c r="D479" s="26"/>
      <c r="E479" s="26"/>
      <c r="F479" s="17"/>
      <c r="G479" s="25"/>
      <c r="H479" s="21"/>
      <c r="I479" s="21"/>
      <c r="J479" s="18" t="str">
        <f aca="false">IF($A479="","",$F479*$G479)</f>
        <v/>
      </c>
    </row>
    <row r="480" customFormat="false" ht="15" hidden="false" customHeight="false" outlineLevel="0" collapsed="false">
      <c r="A480" s="21"/>
      <c r="B480" s="21"/>
      <c r="C480" s="21"/>
      <c r="D480" s="26"/>
      <c r="E480" s="26"/>
      <c r="F480" s="17"/>
      <c r="G480" s="25"/>
      <c r="H480" s="21"/>
      <c r="I480" s="21"/>
      <c r="J480" s="18" t="str">
        <f aca="false">IF($A480="","",$F480*$G480)</f>
        <v/>
      </c>
    </row>
    <row r="481" customFormat="false" ht="15" hidden="false" customHeight="false" outlineLevel="0" collapsed="false">
      <c r="A481" s="21"/>
      <c r="B481" s="21"/>
      <c r="C481" s="21"/>
      <c r="D481" s="26"/>
      <c r="E481" s="26"/>
      <c r="F481" s="17"/>
      <c r="G481" s="25"/>
      <c r="H481" s="21"/>
      <c r="I481" s="21"/>
      <c r="J481" s="18" t="str">
        <f aca="false">IF($A481="","",$F481*$G481)</f>
        <v/>
      </c>
    </row>
    <row r="482" customFormat="false" ht="15" hidden="false" customHeight="false" outlineLevel="0" collapsed="false">
      <c r="A482" s="21"/>
      <c r="B482" s="21"/>
      <c r="C482" s="21"/>
      <c r="D482" s="26"/>
      <c r="E482" s="26"/>
      <c r="F482" s="17"/>
      <c r="G482" s="25"/>
      <c r="H482" s="21"/>
      <c r="I482" s="21"/>
      <c r="J482" s="18" t="str">
        <f aca="false">IF($A482="","",$F482*$G482)</f>
        <v/>
      </c>
    </row>
    <row r="483" customFormat="false" ht="15" hidden="false" customHeight="false" outlineLevel="0" collapsed="false">
      <c r="A483" s="21"/>
      <c r="B483" s="21"/>
      <c r="C483" s="21"/>
      <c r="D483" s="26"/>
      <c r="E483" s="26"/>
      <c r="F483" s="17"/>
      <c r="G483" s="25"/>
      <c r="H483" s="21"/>
      <c r="I483" s="21"/>
      <c r="J483" s="18" t="str">
        <f aca="false">IF($A483="","",$F483*$G483)</f>
        <v/>
      </c>
    </row>
    <row r="484" customFormat="false" ht="15" hidden="false" customHeight="false" outlineLevel="0" collapsed="false">
      <c r="A484" s="21"/>
      <c r="B484" s="21"/>
      <c r="C484" s="21"/>
      <c r="D484" s="26"/>
      <c r="E484" s="26"/>
      <c r="F484" s="17"/>
      <c r="G484" s="25"/>
      <c r="H484" s="21"/>
      <c r="I484" s="21"/>
      <c r="J484" s="18" t="str">
        <f aca="false">IF($A484="","",$F484*$G484)</f>
        <v/>
      </c>
    </row>
    <row r="485" customFormat="false" ht="15" hidden="false" customHeight="false" outlineLevel="0" collapsed="false">
      <c r="A485" s="21"/>
      <c r="B485" s="21"/>
      <c r="C485" s="21"/>
      <c r="D485" s="26"/>
      <c r="E485" s="26"/>
      <c r="F485" s="17"/>
      <c r="G485" s="25"/>
      <c r="H485" s="21"/>
      <c r="I485" s="21"/>
      <c r="J485" s="18" t="str">
        <f aca="false">IF($A485="","",$F485*$G485)</f>
        <v/>
      </c>
    </row>
    <row r="486" customFormat="false" ht="15" hidden="false" customHeight="false" outlineLevel="0" collapsed="false">
      <c r="A486" s="21"/>
      <c r="B486" s="21"/>
      <c r="C486" s="21"/>
      <c r="D486" s="26"/>
      <c r="E486" s="26"/>
      <c r="F486" s="17"/>
      <c r="G486" s="25"/>
      <c r="H486" s="21"/>
      <c r="I486" s="21"/>
      <c r="J486" s="18" t="str">
        <f aca="false">IF($A486="","",$F486*$G486)</f>
        <v/>
      </c>
    </row>
    <row r="487" customFormat="false" ht="15" hidden="false" customHeight="false" outlineLevel="0" collapsed="false">
      <c r="A487" s="21"/>
      <c r="B487" s="21"/>
      <c r="C487" s="21"/>
      <c r="D487" s="26"/>
      <c r="E487" s="26"/>
      <c r="F487" s="17"/>
      <c r="G487" s="25"/>
      <c r="H487" s="21"/>
      <c r="I487" s="21"/>
      <c r="J487" s="18" t="str">
        <f aca="false">IF($A487="","",$F487*$G487)</f>
        <v/>
      </c>
    </row>
    <row r="488" customFormat="false" ht="15" hidden="false" customHeight="false" outlineLevel="0" collapsed="false">
      <c r="A488" s="21"/>
      <c r="B488" s="21"/>
      <c r="C488" s="21"/>
      <c r="D488" s="26"/>
      <c r="E488" s="26"/>
      <c r="F488" s="17"/>
      <c r="G488" s="25"/>
      <c r="H488" s="21"/>
      <c r="I488" s="21"/>
      <c r="J488" s="18" t="str">
        <f aca="false">IF($A488="","",$F488*$G488)</f>
        <v/>
      </c>
    </row>
    <row r="489" customFormat="false" ht="15" hidden="false" customHeight="false" outlineLevel="0" collapsed="false">
      <c r="A489" s="21"/>
      <c r="B489" s="21"/>
      <c r="C489" s="21"/>
      <c r="D489" s="26"/>
      <c r="E489" s="26"/>
      <c r="F489" s="17"/>
      <c r="G489" s="25"/>
      <c r="H489" s="21"/>
      <c r="I489" s="21"/>
      <c r="J489" s="18" t="str">
        <f aca="false">IF($A489="","",$F489*$G489)</f>
        <v/>
      </c>
    </row>
    <row r="490" customFormat="false" ht="15" hidden="false" customHeight="false" outlineLevel="0" collapsed="false">
      <c r="A490" s="21"/>
      <c r="B490" s="21"/>
      <c r="C490" s="21"/>
      <c r="D490" s="26"/>
      <c r="E490" s="26"/>
      <c r="F490" s="17"/>
      <c r="G490" s="25"/>
      <c r="H490" s="21"/>
      <c r="I490" s="21"/>
      <c r="J490" s="18" t="str">
        <f aca="false">IF($A490="","",$F490*$G490)</f>
        <v/>
      </c>
    </row>
    <row r="491" customFormat="false" ht="15" hidden="false" customHeight="false" outlineLevel="0" collapsed="false">
      <c r="A491" s="21"/>
      <c r="B491" s="21"/>
      <c r="C491" s="21"/>
      <c r="D491" s="26"/>
      <c r="E491" s="26"/>
      <c r="F491" s="17"/>
      <c r="G491" s="25"/>
      <c r="H491" s="21"/>
      <c r="I491" s="21"/>
      <c r="J491" s="18" t="str">
        <f aca="false">IF($A491="","",$F491*$G491)</f>
        <v/>
      </c>
    </row>
    <row r="492" customFormat="false" ht="15" hidden="false" customHeight="false" outlineLevel="0" collapsed="false">
      <c r="A492" s="21"/>
      <c r="B492" s="21"/>
      <c r="C492" s="21"/>
      <c r="D492" s="26"/>
      <c r="E492" s="26"/>
      <c r="F492" s="17"/>
      <c r="G492" s="25"/>
      <c r="H492" s="21"/>
      <c r="I492" s="21"/>
      <c r="J492" s="18" t="str">
        <f aca="false">IF($A492="","",$F492*$G492)</f>
        <v/>
      </c>
    </row>
    <row r="493" customFormat="false" ht="15" hidden="false" customHeight="false" outlineLevel="0" collapsed="false">
      <c r="A493" s="21"/>
      <c r="B493" s="21"/>
      <c r="C493" s="21"/>
      <c r="D493" s="26"/>
      <c r="E493" s="26"/>
      <c r="F493" s="17"/>
      <c r="G493" s="25"/>
      <c r="H493" s="21"/>
      <c r="I493" s="21"/>
      <c r="J493" s="18" t="str">
        <f aca="false">IF($A493="","",$F493*$G493)</f>
        <v/>
      </c>
    </row>
    <row r="494" customFormat="false" ht="15" hidden="false" customHeight="false" outlineLevel="0" collapsed="false">
      <c r="A494" s="21"/>
      <c r="B494" s="21"/>
      <c r="C494" s="21"/>
      <c r="D494" s="26"/>
      <c r="E494" s="26"/>
      <c r="F494" s="17"/>
      <c r="G494" s="25"/>
      <c r="H494" s="21"/>
      <c r="I494" s="21"/>
      <c r="J494" s="18" t="str">
        <f aca="false">IF($A494="","",$F494*$G494)</f>
        <v/>
      </c>
    </row>
    <row r="495" customFormat="false" ht="15" hidden="false" customHeight="false" outlineLevel="0" collapsed="false">
      <c r="A495" s="21"/>
      <c r="B495" s="21"/>
      <c r="C495" s="21"/>
      <c r="D495" s="26"/>
      <c r="E495" s="26"/>
      <c r="F495" s="17"/>
      <c r="G495" s="25"/>
      <c r="H495" s="21"/>
      <c r="I495" s="21"/>
      <c r="J495" s="18" t="str">
        <f aca="false">IF($A495="","",$F495*$G495)</f>
        <v/>
      </c>
    </row>
    <row r="496" customFormat="false" ht="15" hidden="false" customHeight="false" outlineLevel="0" collapsed="false">
      <c r="A496" s="21"/>
      <c r="B496" s="21"/>
      <c r="C496" s="21"/>
      <c r="D496" s="26"/>
      <c r="E496" s="26"/>
      <c r="F496" s="17"/>
      <c r="G496" s="25"/>
      <c r="H496" s="21"/>
      <c r="I496" s="21"/>
      <c r="J496" s="18" t="str">
        <f aca="false">IF($A496="","",$F496*$G496)</f>
        <v/>
      </c>
    </row>
    <row r="497" customFormat="false" ht="15" hidden="false" customHeight="false" outlineLevel="0" collapsed="false">
      <c r="A497" s="21"/>
      <c r="B497" s="21"/>
      <c r="C497" s="21"/>
      <c r="D497" s="26"/>
      <c r="E497" s="26"/>
      <c r="F497" s="17"/>
      <c r="G497" s="25"/>
      <c r="H497" s="21"/>
      <c r="I497" s="21"/>
      <c r="J497" s="18" t="str">
        <f aca="false">IF($A497="","",$F497*$G497)</f>
        <v/>
      </c>
    </row>
    <row r="498" customFormat="false" ht="15" hidden="false" customHeight="false" outlineLevel="0" collapsed="false">
      <c r="A498" s="21"/>
      <c r="B498" s="21"/>
      <c r="C498" s="21"/>
      <c r="D498" s="26"/>
      <c r="E498" s="26"/>
      <c r="F498" s="17"/>
      <c r="G498" s="25"/>
      <c r="H498" s="21"/>
      <c r="I498" s="21"/>
      <c r="J498" s="18" t="str">
        <f aca="false">IF($A498="","",$F498*$G498)</f>
        <v/>
      </c>
    </row>
    <row r="499" customFormat="false" ht="15" hidden="false" customHeight="false" outlineLevel="0" collapsed="false">
      <c r="A499" s="21"/>
      <c r="B499" s="21"/>
      <c r="C499" s="21"/>
      <c r="D499" s="26"/>
      <c r="E499" s="26"/>
      <c r="F499" s="17"/>
      <c r="G499" s="25"/>
      <c r="H499" s="21"/>
      <c r="I499" s="21"/>
      <c r="J499" s="18" t="str">
        <f aca="false">IF($A499="","",$F499*$G499)</f>
        <v/>
      </c>
    </row>
    <row r="500" customFormat="false" ht="15" hidden="false" customHeight="false" outlineLevel="0" collapsed="false">
      <c r="A500" s="21"/>
      <c r="B500" s="21"/>
      <c r="C500" s="21"/>
      <c r="D500" s="26"/>
      <c r="E500" s="26"/>
      <c r="F500" s="17"/>
      <c r="G500" s="25"/>
      <c r="H500" s="21"/>
      <c r="I500" s="21"/>
      <c r="J500" s="18" t="str">
        <f aca="false">IF($A500="","",$F500*$G500)</f>
        <v/>
      </c>
    </row>
    <row r="501" customFormat="false" ht="15" hidden="false" customHeight="false" outlineLevel="0" collapsed="false">
      <c r="A501" s="21"/>
      <c r="B501" s="21"/>
      <c r="C501" s="21"/>
      <c r="D501" s="26"/>
      <c r="E501" s="26"/>
      <c r="F501" s="17"/>
      <c r="G501" s="25"/>
      <c r="H501" s="21"/>
      <c r="I501" s="21"/>
      <c r="J501" s="18" t="str">
        <f aca="false">IF($A501="","",$F501*$G501)</f>
        <v/>
      </c>
    </row>
    <row r="502" customFormat="false" ht="15" hidden="false" customHeight="false" outlineLevel="0" collapsed="false">
      <c r="A502" s="21"/>
      <c r="B502" s="21"/>
      <c r="C502" s="21"/>
      <c r="D502" s="26"/>
      <c r="E502" s="26"/>
      <c r="F502" s="17"/>
      <c r="G502" s="25"/>
      <c r="H502" s="21"/>
      <c r="I502" s="21"/>
      <c r="J502" s="18" t="str">
        <f aca="false">IF($A502="","",$F502*$G502)</f>
        <v/>
      </c>
    </row>
    <row r="503" customFormat="false" ht="15" hidden="false" customHeight="false" outlineLevel="0" collapsed="false">
      <c r="A503" s="21"/>
      <c r="B503" s="21"/>
      <c r="C503" s="21"/>
      <c r="D503" s="26"/>
      <c r="E503" s="26"/>
      <c r="F503" s="17"/>
      <c r="G503" s="25"/>
      <c r="H503" s="21"/>
      <c r="I503" s="21"/>
      <c r="J503" s="18" t="str">
        <f aca="false">IF($A503="","",$F503*$G503)</f>
        <v/>
      </c>
    </row>
    <row r="504" customFormat="false" ht="15" hidden="false" customHeight="false" outlineLevel="0" collapsed="false">
      <c r="A504" s="21"/>
      <c r="B504" s="21"/>
      <c r="C504" s="21"/>
      <c r="D504" s="26"/>
      <c r="E504" s="26"/>
      <c r="F504" s="17"/>
      <c r="G504" s="25"/>
      <c r="H504" s="21"/>
      <c r="I504" s="21"/>
      <c r="J504" s="18" t="str">
        <f aca="false">IF($A504="","",$F504*$G504)</f>
        <v/>
      </c>
    </row>
    <row r="505" customFormat="false" ht="15" hidden="false" customHeight="false" outlineLevel="0" collapsed="false">
      <c r="A505" s="21"/>
      <c r="B505" s="21"/>
      <c r="C505" s="21"/>
      <c r="D505" s="26"/>
      <c r="E505" s="26"/>
      <c r="F505" s="17"/>
      <c r="G505" s="25"/>
      <c r="H505" s="21"/>
      <c r="I505" s="21"/>
      <c r="J505" s="18" t="str">
        <f aca="false">IF($A505="","",$F505*$G505)</f>
        <v/>
      </c>
    </row>
    <row r="506" customFormat="false" ht="15" hidden="false" customHeight="false" outlineLevel="0" collapsed="false">
      <c r="A506" s="21"/>
      <c r="B506" s="21"/>
      <c r="C506" s="21"/>
      <c r="D506" s="26"/>
      <c r="E506" s="26"/>
      <c r="F506" s="17"/>
      <c r="G506" s="25"/>
      <c r="H506" s="21"/>
      <c r="I506" s="21"/>
      <c r="J506" s="18" t="str">
        <f aca="false">IF($A506="","",$F506*$G506)</f>
        <v/>
      </c>
    </row>
    <row r="507" customFormat="false" ht="15" hidden="false" customHeight="false" outlineLevel="0" collapsed="false">
      <c r="A507" s="21"/>
      <c r="B507" s="21"/>
      <c r="C507" s="21"/>
      <c r="D507" s="26"/>
      <c r="E507" s="26"/>
      <c r="F507" s="17"/>
      <c r="G507" s="25"/>
      <c r="H507" s="21"/>
      <c r="I507" s="21"/>
      <c r="J507" s="18" t="str">
        <f aca="false">IF($A507="","",$F507*$G507)</f>
        <v/>
      </c>
    </row>
    <row r="508" customFormat="false" ht="15" hidden="false" customHeight="false" outlineLevel="0" collapsed="false">
      <c r="A508" s="21"/>
      <c r="B508" s="21"/>
      <c r="C508" s="21"/>
      <c r="D508" s="26"/>
      <c r="E508" s="26"/>
      <c r="F508" s="17"/>
      <c r="G508" s="25"/>
      <c r="H508" s="21"/>
      <c r="I508" s="21"/>
      <c r="J508" s="18" t="str">
        <f aca="false">IF($A508="","",$F508*$G508)</f>
        <v/>
      </c>
    </row>
    <row r="509" customFormat="false" ht="15" hidden="false" customHeight="false" outlineLevel="0" collapsed="false">
      <c r="A509" s="21"/>
      <c r="B509" s="21"/>
      <c r="C509" s="21"/>
      <c r="D509" s="26"/>
      <c r="E509" s="26"/>
      <c r="F509" s="17"/>
      <c r="G509" s="25"/>
      <c r="H509" s="21"/>
      <c r="I509" s="21"/>
      <c r="J509" s="18" t="str">
        <f aca="false">IF($A509="","",$F509*$G509)</f>
        <v/>
      </c>
    </row>
    <row r="510" customFormat="false" ht="15" hidden="false" customHeight="false" outlineLevel="0" collapsed="false">
      <c r="A510" s="21"/>
      <c r="B510" s="21"/>
      <c r="C510" s="21"/>
      <c r="D510" s="26"/>
      <c r="E510" s="26"/>
      <c r="F510" s="17"/>
      <c r="G510" s="25"/>
      <c r="H510" s="21"/>
      <c r="I510" s="21"/>
      <c r="J510" s="18" t="str">
        <f aca="false">IF($A510="","",$F510*$G510)</f>
        <v/>
      </c>
    </row>
    <row r="511" customFormat="false" ht="15" hidden="false" customHeight="false" outlineLevel="0" collapsed="false">
      <c r="A511" s="21"/>
      <c r="B511" s="21"/>
      <c r="C511" s="21"/>
      <c r="D511" s="26"/>
      <c r="E511" s="26"/>
      <c r="F511" s="17"/>
      <c r="G511" s="25"/>
      <c r="H511" s="21"/>
      <c r="I511" s="21"/>
      <c r="J511" s="18" t="str">
        <f aca="false">IF($A511="","",$F511*$G511)</f>
        <v/>
      </c>
    </row>
    <row r="512" customFormat="false" ht="15" hidden="false" customHeight="false" outlineLevel="0" collapsed="false">
      <c r="A512" s="21"/>
      <c r="B512" s="21"/>
      <c r="C512" s="21"/>
      <c r="D512" s="26"/>
      <c r="E512" s="26"/>
      <c r="F512" s="17"/>
      <c r="G512" s="25"/>
      <c r="H512" s="21"/>
      <c r="I512" s="21"/>
      <c r="J512" s="18" t="str">
        <f aca="false">IF($A512="","",$F512*$G512)</f>
        <v/>
      </c>
    </row>
    <row r="513" customFormat="false" ht="15" hidden="false" customHeight="false" outlineLevel="0" collapsed="false">
      <c r="A513" s="21"/>
      <c r="B513" s="21"/>
      <c r="C513" s="21"/>
      <c r="D513" s="26"/>
      <c r="E513" s="26"/>
      <c r="F513" s="17"/>
      <c r="G513" s="25"/>
      <c r="H513" s="21"/>
      <c r="I513" s="21"/>
      <c r="J513" s="18" t="str">
        <f aca="false">IF($A513="","",$F513*$G513)</f>
        <v/>
      </c>
    </row>
    <row r="514" customFormat="false" ht="15" hidden="false" customHeight="false" outlineLevel="0" collapsed="false">
      <c r="A514" s="21"/>
      <c r="B514" s="21"/>
      <c r="C514" s="21"/>
      <c r="D514" s="26"/>
      <c r="E514" s="26"/>
      <c r="F514" s="17"/>
      <c r="G514" s="25"/>
      <c r="H514" s="21"/>
      <c r="I514" s="21"/>
      <c r="J514" s="18" t="str">
        <f aca="false">IF($A514="","",$F514*$G514)</f>
        <v/>
      </c>
    </row>
    <row r="515" customFormat="false" ht="15" hidden="false" customHeight="false" outlineLevel="0" collapsed="false">
      <c r="A515" s="21"/>
      <c r="B515" s="21"/>
      <c r="C515" s="21"/>
      <c r="D515" s="26"/>
      <c r="E515" s="26"/>
      <c r="F515" s="17"/>
      <c r="G515" s="25"/>
      <c r="H515" s="21"/>
      <c r="I515" s="21"/>
      <c r="J515" s="18" t="str">
        <f aca="false">IF($A515="","",$F515*$G515)</f>
        <v/>
      </c>
    </row>
    <row r="516" customFormat="false" ht="15" hidden="false" customHeight="false" outlineLevel="0" collapsed="false">
      <c r="A516" s="21"/>
      <c r="B516" s="21"/>
      <c r="C516" s="21"/>
      <c r="D516" s="26"/>
      <c r="E516" s="26"/>
      <c r="F516" s="17"/>
      <c r="G516" s="25"/>
      <c r="H516" s="21"/>
      <c r="I516" s="21"/>
      <c r="J516" s="18" t="str">
        <f aca="false">IF($A516="","",$F516*$G516)</f>
        <v/>
      </c>
    </row>
    <row r="517" customFormat="false" ht="15" hidden="false" customHeight="false" outlineLevel="0" collapsed="false">
      <c r="A517" s="21"/>
      <c r="B517" s="21"/>
      <c r="C517" s="21"/>
      <c r="D517" s="26"/>
      <c r="E517" s="26"/>
      <c r="F517" s="17"/>
      <c r="G517" s="25"/>
      <c r="H517" s="21"/>
      <c r="I517" s="21"/>
      <c r="J517" s="18" t="str">
        <f aca="false">IF($A517="","",$F517*$G517)</f>
        <v/>
      </c>
    </row>
    <row r="518" customFormat="false" ht="15" hidden="false" customHeight="false" outlineLevel="0" collapsed="false">
      <c r="A518" s="21"/>
      <c r="B518" s="21"/>
      <c r="C518" s="21"/>
      <c r="D518" s="26"/>
      <c r="E518" s="26"/>
      <c r="F518" s="17"/>
      <c r="G518" s="25"/>
      <c r="H518" s="21"/>
      <c r="I518" s="21"/>
      <c r="J518" s="18" t="str">
        <f aca="false">IF($A518="","",$F518*$G518)</f>
        <v/>
      </c>
    </row>
    <row r="519" customFormat="false" ht="15" hidden="false" customHeight="false" outlineLevel="0" collapsed="false">
      <c r="A519" s="21"/>
      <c r="B519" s="21"/>
      <c r="C519" s="21"/>
      <c r="D519" s="26"/>
      <c r="E519" s="26"/>
      <c r="F519" s="17"/>
      <c r="G519" s="25"/>
      <c r="H519" s="21"/>
      <c r="I519" s="21"/>
      <c r="J519" s="18" t="str">
        <f aca="false">IF($A519="","",$F519*$G519)</f>
        <v/>
      </c>
    </row>
    <row r="520" customFormat="false" ht="15" hidden="false" customHeight="false" outlineLevel="0" collapsed="false">
      <c r="A520" s="21"/>
      <c r="B520" s="21"/>
      <c r="C520" s="21"/>
      <c r="D520" s="26"/>
      <c r="E520" s="26"/>
      <c r="F520" s="17"/>
      <c r="G520" s="25"/>
      <c r="H520" s="21"/>
      <c r="I520" s="21"/>
      <c r="J520" s="18" t="str">
        <f aca="false">IF($A520="","",$F520*$G520)</f>
        <v/>
      </c>
    </row>
    <row r="521" customFormat="false" ht="15" hidden="false" customHeight="false" outlineLevel="0" collapsed="false">
      <c r="A521" s="21"/>
      <c r="B521" s="21"/>
      <c r="C521" s="21"/>
      <c r="D521" s="26"/>
      <c r="E521" s="26"/>
      <c r="F521" s="17"/>
      <c r="G521" s="25"/>
      <c r="H521" s="21"/>
      <c r="I521" s="21"/>
      <c r="J521" s="18" t="str">
        <f aca="false">IF($A521="","",$F521*$G521)</f>
        <v/>
      </c>
    </row>
    <row r="522" customFormat="false" ht="15" hidden="false" customHeight="false" outlineLevel="0" collapsed="false">
      <c r="A522" s="21"/>
      <c r="B522" s="21"/>
      <c r="C522" s="21"/>
      <c r="D522" s="26"/>
      <c r="E522" s="26"/>
      <c r="F522" s="17"/>
      <c r="G522" s="25"/>
      <c r="H522" s="21"/>
      <c r="I522" s="21"/>
      <c r="J522" s="18" t="str">
        <f aca="false">IF($A522="","",$F522*$G522)</f>
        <v/>
      </c>
    </row>
    <row r="523" customFormat="false" ht="15" hidden="false" customHeight="false" outlineLevel="0" collapsed="false">
      <c r="A523" s="21"/>
      <c r="B523" s="21"/>
      <c r="C523" s="21"/>
      <c r="D523" s="26"/>
      <c r="E523" s="26"/>
      <c r="F523" s="17"/>
      <c r="G523" s="25"/>
      <c r="H523" s="21"/>
      <c r="I523" s="21"/>
      <c r="J523" s="18" t="str">
        <f aca="false">IF($A523="","",$F523*$G523)</f>
        <v/>
      </c>
    </row>
    <row r="524" customFormat="false" ht="15" hidden="false" customHeight="false" outlineLevel="0" collapsed="false">
      <c r="A524" s="21"/>
      <c r="B524" s="21"/>
      <c r="C524" s="21"/>
      <c r="D524" s="26"/>
      <c r="E524" s="26"/>
      <c r="F524" s="17"/>
      <c r="G524" s="25"/>
      <c r="H524" s="21"/>
      <c r="I524" s="21"/>
      <c r="J524" s="18" t="str">
        <f aca="false">IF($A524="","",$F524*$G524)</f>
        <v/>
      </c>
    </row>
    <row r="525" customFormat="false" ht="15" hidden="false" customHeight="false" outlineLevel="0" collapsed="false">
      <c r="A525" s="21"/>
      <c r="B525" s="21"/>
      <c r="C525" s="21"/>
      <c r="D525" s="26"/>
      <c r="E525" s="26"/>
      <c r="F525" s="17"/>
      <c r="G525" s="25"/>
      <c r="H525" s="21"/>
      <c r="I525" s="21"/>
      <c r="J525" s="18" t="str">
        <f aca="false">IF($A525="","",$F525*$G525)</f>
        <v/>
      </c>
    </row>
    <row r="526" customFormat="false" ht="15" hidden="false" customHeight="false" outlineLevel="0" collapsed="false">
      <c r="A526" s="21"/>
      <c r="B526" s="21"/>
      <c r="C526" s="21"/>
      <c r="D526" s="26"/>
      <c r="E526" s="26"/>
      <c r="F526" s="17"/>
      <c r="G526" s="25"/>
      <c r="H526" s="21"/>
      <c r="I526" s="21"/>
      <c r="J526" s="18" t="str">
        <f aca="false">IF($A526="","",$F526*$G526)</f>
        <v/>
      </c>
    </row>
    <row r="527" customFormat="false" ht="15" hidden="false" customHeight="false" outlineLevel="0" collapsed="false">
      <c r="A527" s="21"/>
      <c r="B527" s="21"/>
      <c r="C527" s="21"/>
      <c r="D527" s="26"/>
      <c r="E527" s="26"/>
      <c r="F527" s="17"/>
      <c r="G527" s="25"/>
      <c r="H527" s="21"/>
      <c r="I527" s="21"/>
      <c r="J527" s="18" t="str">
        <f aca="false">IF($A527="","",$F527*$G527)</f>
        <v/>
      </c>
    </row>
    <row r="528" customFormat="false" ht="15" hidden="false" customHeight="false" outlineLevel="0" collapsed="false">
      <c r="A528" s="21"/>
      <c r="B528" s="21"/>
      <c r="C528" s="21"/>
      <c r="D528" s="26"/>
      <c r="E528" s="26"/>
      <c r="F528" s="17"/>
      <c r="G528" s="25"/>
      <c r="H528" s="21"/>
      <c r="I528" s="21"/>
      <c r="J528" s="18" t="str">
        <f aca="false">IF($A528="","",$F528*$G528)</f>
        <v/>
      </c>
    </row>
    <row r="529" customFormat="false" ht="15" hidden="false" customHeight="false" outlineLevel="0" collapsed="false">
      <c r="A529" s="21"/>
      <c r="B529" s="21"/>
      <c r="C529" s="21"/>
      <c r="D529" s="26"/>
      <c r="E529" s="26"/>
      <c r="F529" s="17"/>
      <c r="G529" s="25"/>
      <c r="H529" s="21"/>
      <c r="I529" s="21"/>
      <c r="J529" s="18" t="str">
        <f aca="false">IF($A529="","",$F529*$G529)</f>
        <v/>
      </c>
    </row>
    <row r="530" customFormat="false" ht="15" hidden="false" customHeight="false" outlineLevel="0" collapsed="false">
      <c r="A530" s="21"/>
      <c r="B530" s="21"/>
      <c r="C530" s="21"/>
      <c r="D530" s="26"/>
      <c r="E530" s="26"/>
      <c r="F530" s="17"/>
      <c r="G530" s="25"/>
      <c r="H530" s="21"/>
      <c r="I530" s="21"/>
      <c r="J530" s="18" t="str">
        <f aca="false">IF($A530="","",$F530*$G530)</f>
        <v/>
      </c>
    </row>
    <row r="531" customFormat="false" ht="15" hidden="false" customHeight="false" outlineLevel="0" collapsed="false">
      <c r="A531" s="21"/>
      <c r="B531" s="21"/>
      <c r="C531" s="21"/>
      <c r="D531" s="26"/>
      <c r="E531" s="26"/>
      <c r="F531" s="17"/>
      <c r="G531" s="25"/>
      <c r="H531" s="21"/>
      <c r="I531" s="21"/>
      <c r="J531" s="18" t="str">
        <f aca="false">IF($A531="","",$F531*$G531)</f>
        <v/>
      </c>
    </row>
    <row r="532" customFormat="false" ht="15" hidden="false" customHeight="false" outlineLevel="0" collapsed="false">
      <c r="A532" s="21"/>
      <c r="B532" s="21"/>
      <c r="C532" s="21"/>
      <c r="D532" s="26"/>
      <c r="E532" s="26"/>
      <c r="F532" s="17"/>
      <c r="G532" s="25"/>
      <c r="H532" s="21"/>
      <c r="I532" s="21"/>
      <c r="J532" s="18" t="str">
        <f aca="false">IF($A532="","",$F532*$G532)</f>
        <v/>
      </c>
    </row>
    <row r="533" customFormat="false" ht="15" hidden="false" customHeight="false" outlineLevel="0" collapsed="false">
      <c r="A533" s="21"/>
      <c r="B533" s="21"/>
      <c r="C533" s="21"/>
      <c r="D533" s="26"/>
      <c r="E533" s="26"/>
      <c r="F533" s="17"/>
      <c r="G533" s="25"/>
      <c r="H533" s="21"/>
      <c r="I533" s="21"/>
      <c r="J533" s="18" t="str">
        <f aca="false">IF($A533="","",$F533*$G533)</f>
        <v/>
      </c>
    </row>
    <row r="534" customFormat="false" ht="15" hidden="false" customHeight="false" outlineLevel="0" collapsed="false">
      <c r="A534" s="21"/>
      <c r="B534" s="21"/>
      <c r="C534" s="21"/>
      <c r="D534" s="26"/>
      <c r="E534" s="26"/>
      <c r="F534" s="17"/>
      <c r="G534" s="25"/>
      <c r="H534" s="21"/>
      <c r="I534" s="21"/>
      <c r="J534" s="18" t="str">
        <f aca="false">IF($A534="","",$F534*$G534)</f>
        <v/>
      </c>
    </row>
    <row r="535" customFormat="false" ht="15" hidden="false" customHeight="false" outlineLevel="0" collapsed="false">
      <c r="A535" s="21"/>
      <c r="B535" s="21"/>
      <c r="C535" s="21"/>
      <c r="D535" s="26"/>
      <c r="E535" s="26"/>
      <c r="F535" s="17"/>
      <c r="G535" s="25"/>
      <c r="H535" s="21"/>
      <c r="I535" s="21"/>
      <c r="J535" s="18" t="str">
        <f aca="false">IF($A535="","",$F535*$G535)</f>
        <v/>
      </c>
    </row>
    <row r="536" customFormat="false" ht="15" hidden="false" customHeight="false" outlineLevel="0" collapsed="false">
      <c r="A536" s="21"/>
      <c r="B536" s="21"/>
      <c r="C536" s="21"/>
      <c r="D536" s="26"/>
      <c r="E536" s="26"/>
      <c r="F536" s="17"/>
      <c r="G536" s="25"/>
      <c r="H536" s="21"/>
      <c r="I536" s="21"/>
      <c r="J536" s="18" t="str">
        <f aca="false">IF($A536="","",$F536*$G536)</f>
        <v/>
      </c>
    </row>
    <row r="537" customFormat="false" ht="15" hidden="false" customHeight="false" outlineLevel="0" collapsed="false">
      <c r="A537" s="21"/>
      <c r="B537" s="21"/>
      <c r="C537" s="21"/>
      <c r="D537" s="26"/>
      <c r="E537" s="26"/>
      <c r="F537" s="17"/>
      <c r="G537" s="25"/>
      <c r="H537" s="21"/>
      <c r="I537" s="21"/>
      <c r="J537" s="18" t="str">
        <f aca="false">IF($A537="","",$F537*$G537)</f>
        <v/>
      </c>
    </row>
    <row r="538" customFormat="false" ht="15" hidden="false" customHeight="false" outlineLevel="0" collapsed="false">
      <c r="A538" s="21"/>
      <c r="B538" s="21"/>
      <c r="C538" s="21"/>
      <c r="D538" s="26"/>
      <c r="E538" s="26"/>
      <c r="F538" s="17"/>
      <c r="G538" s="25"/>
      <c r="H538" s="21"/>
      <c r="I538" s="21"/>
      <c r="J538" s="18" t="str">
        <f aca="false">IF($A538="","",$F538*$G538)</f>
        <v/>
      </c>
    </row>
    <row r="539" customFormat="false" ht="15" hidden="false" customHeight="false" outlineLevel="0" collapsed="false">
      <c r="A539" s="21"/>
      <c r="B539" s="21"/>
      <c r="C539" s="21"/>
      <c r="D539" s="26"/>
      <c r="E539" s="26"/>
      <c r="F539" s="17"/>
      <c r="G539" s="25"/>
      <c r="H539" s="21"/>
      <c r="I539" s="21"/>
      <c r="J539" s="18" t="str">
        <f aca="false">IF($A539="","",$F539*$G539)</f>
        <v/>
      </c>
    </row>
    <row r="540" customFormat="false" ht="15" hidden="false" customHeight="false" outlineLevel="0" collapsed="false">
      <c r="A540" s="21"/>
      <c r="B540" s="21"/>
      <c r="C540" s="21"/>
      <c r="D540" s="26"/>
      <c r="E540" s="26"/>
      <c r="F540" s="17"/>
      <c r="G540" s="25"/>
      <c r="H540" s="21"/>
      <c r="I540" s="21"/>
      <c r="J540" s="18" t="str">
        <f aca="false">IF($A540="","",$F540*$G540)</f>
        <v/>
      </c>
    </row>
    <row r="541" customFormat="false" ht="15" hidden="false" customHeight="false" outlineLevel="0" collapsed="false">
      <c r="A541" s="21"/>
      <c r="B541" s="21"/>
      <c r="C541" s="21"/>
      <c r="D541" s="26"/>
      <c r="E541" s="26"/>
      <c r="F541" s="17"/>
      <c r="G541" s="25"/>
      <c r="H541" s="21"/>
      <c r="I541" s="21"/>
      <c r="J541" s="18" t="str">
        <f aca="false">IF($A541="","",$F541*$G541)</f>
        <v/>
      </c>
    </row>
    <row r="542" customFormat="false" ht="15" hidden="false" customHeight="false" outlineLevel="0" collapsed="false">
      <c r="A542" s="21"/>
      <c r="B542" s="21"/>
      <c r="C542" s="21"/>
      <c r="D542" s="26"/>
      <c r="E542" s="26"/>
      <c r="F542" s="17"/>
      <c r="G542" s="25"/>
      <c r="H542" s="21"/>
      <c r="I542" s="21"/>
      <c r="J542" s="18" t="str">
        <f aca="false">IF($A542="","",$F542*$G542)</f>
        <v/>
      </c>
    </row>
    <row r="543" customFormat="false" ht="15" hidden="false" customHeight="false" outlineLevel="0" collapsed="false">
      <c r="A543" s="21"/>
      <c r="B543" s="21"/>
      <c r="C543" s="21"/>
      <c r="D543" s="26"/>
      <c r="E543" s="26"/>
      <c r="F543" s="17"/>
      <c r="G543" s="25"/>
      <c r="H543" s="21"/>
      <c r="I543" s="21"/>
      <c r="J543" s="18" t="str">
        <f aca="false">IF($A543="","",$F543*$G543)</f>
        <v/>
      </c>
    </row>
    <row r="544" customFormat="false" ht="15" hidden="false" customHeight="false" outlineLevel="0" collapsed="false">
      <c r="A544" s="21"/>
      <c r="B544" s="21"/>
      <c r="C544" s="21"/>
      <c r="D544" s="26"/>
      <c r="E544" s="26"/>
      <c r="F544" s="17"/>
      <c r="G544" s="25"/>
      <c r="H544" s="21"/>
      <c r="I544" s="21"/>
      <c r="J544" s="18" t="str">
        <f aca="false">IF($A544="","",$F544*$G544)</f>
        <v/>
      </c>
    </row>
    <row r="545" customFormat="false" ht="15" hidden="false" customHeight="false" outlineLevel="0" collapsed="false">
      <c r="A545" s="21"/>
      <c r="B545" s="21"/>
      <c r="C545" s="21"/>
      <c r="D545" s="26"/>
      <c r="E545" s="26"/>
      <c r="F545" s="17"/>
      <c r="G545" s="25"/>
      <c r="H545" s="21"/>
      <c r="I545" s="21"/>
      <c r="J545" s="18" t="str">
        <f aca="false">IF($A545="","",$F545*$G545)</f>
        <v/>
      </c>
    </row>
    <row r="546" customFormat="false" ht="15" hidden="false" customHeight="false" outlineLevel="0" collapsed="false">
      <c r="A546" s="21"/>
      <c r="B546" s="21"/>
      <c r="C546" s="21"/>
      <c r="D546" s="26"/>
      <c r="E546" s="26"/>
      <c r="F546" s="17"/>
      <c r="G546" s="25"/>
      <c r="H546" s="21"/>
      <c r="I546" s="21"/>
      <c r="J546" s="18" t="str">
        <f aca="false">IF($A546="","",$F546*$G546)</f>
        <v/>
      </c>
    </row>
    <row r="547" customFormat="false" ht="15" hidden="false" customHeight="false" outlineLevel="0" collapsed="false">
      <c r="A547" s="21"/>
      <c r="B547" s="21"/>
      <c r="C547" s="21"/>
      <c r="D547" s="26"/>
      <c r="E547" s="26"/>
      <c r="F547" s="17"/>
      <c r="G547" s="25"/>
      <c r="H547" s="21"/>
      <c r="I547" s="21"/>
      <c r="J547" s="18" t="str">
        <f aca="false">IF($A547="","",$F547*$G547)</f>
        <v/>
      </c>
    </row>
    <row r="548" customFormat="false" ht="15" hidden="false" customHeight="false" outlineLevel="0" collapsed="false">
      <c r="A548" s="21"/>
      <c r="B548" s="21"/>
      <c r="C548" s="21"/>
      <c r="D548" s="26"/>
      <c r="E548" s="26"/>
      <c r="F548" s="17"/>
      <c r="G548" s="25"/>
      <c r="H548" s="21"/>
      <c r="I548" s="21"/>
      <c r="J548" s="18" t="str">
        <f aca="false">IF($A548="","",$F548*$G548)</f>
        <v/>
      </c>
    </row>
    <row r="549" customFormat="false" ht="15" hidden="false" customHeight="false" outlineLevel="0" collapsed="false">
      <c r="A549" s="21"/>
      <c r="B549" s="21"/>
      <c r="C549" s="21"/>
      <c r="D549" s="26"/>
      <c r="E549" s="26"/>
      <c r="F549" s="17"/>
      <c r="G549" s="25"/>
      <c r="H549" s="21"/>
      <c r="I549" s="21"/>
      <c r="J549" s="18" t="str">
        <f aca="false">IF($A549="","",$F549*$G549)</f>
        <v/>
      </c>
    </row>
    <row r="550" customFormat="false" ht="15" hidden="false" customHeight="false" outlineLevel="0" collapsed="false">
      <c r="A550" s="21"/>
      <c r="B550" s="21"/>
      <c r="C550" s="21"/>
      <c r="D550" s="26"/>
      <c r="E550" s="26"/>
      <c r="F550" s="17"/>
      <c r="G550" s="25"/>
      <c r="H550" s="21"/>
      <c r="I550" s="21"/>
      <c r="J550" s="18" t="str">
        <f aca="false">IF($A550="","",$F550*$G550)</f>
        <v/>
      </c>
    </row>
    <row r="551" customFormat="false" ht="15" hidden="false" customHeight="false" outlineLevel="0" collapsed="false">
      <c r="A551" s="21"/>
      <c r="B551" s="21"/>
      <c r="C551" s="21"/>
      <c r="D551" s="26"/>
      <c r="E551" s="26"/>
      <c r="F551" s="17"/>
      <c r="G551" s="25"/>
      <c r="H551" s="21"/>
      <c r="I551" s="21"/>
      <c r="J551" s="18" t="str">
        <f aca="false">IF($A551="","",$F551*$G551)</f>
        <v/>
      </c>
    </row>
    <row r="552" customFormat="false" ht="15" hidden="false" customHeight="false" outlineLevel="0" collapsed="false">
      <c r="A552" s="21"/>
      <c r="B552" s="21"/>
      <c r="C552" s="21"/>
      <c r="D552" s="26"/>
      <c r="E552" s="26"/>
      <c r="F552" s="17"/>
      <c r="G552" s="25"/>
      <c r="H552" s="21"/>
      <c r="I552" s="21"/>
      <c r="J552" s="18" t="str">
        <f aca="false">IF($A552="","",$F552*$G552)</f>
        <v/>
      </c>
    </row>
    <row r="553" customFormat="false" ht="15" hidden="false" customHeight="false" outlineLevel="0" collapsed="false">
      <c r="A553" s="21"/>
      <c r="B553" s="21"/>
      <c r="C553" s="21"/>
      <c r="D553" s="26"/>
      <c r="E553" s="26"/>
      <c r="F553" s="17"/>
      <c r="G553" s="25"/>
      <c r="H553" s="21"/>
      <c r="I553" s="21"/>
      <c r="J553" s="18" t="str">
        <f aca="false">IF($A553="","",$F553*$G553)</f>
        <v/>
      </c>
    </row>
    <row r="554" customFormat="false" ht="15" hidden="false" customHeight="false" outlineLevel="0" collapsed="false">
      <c r="A554" s="21"/>
      <c r="B554" s="21"/>
      <c r="C554" s="21"/>
      <c r="D554" s="26"/>
      <c r="E554" s="26"/>
      <c r="F554" s="17"/>
      <c r="G554" s="25"/>
      <c r="H554" s="21"/>
      <c r="I554" s="21"/>
      <c r="J554" s="18" t="str">
        <f aca="false">IF($A554="","",$F554*$G554)</f>
        <v/>
      </c>
    </row>
    <row r="555" customFormat="false" ht="15" hidden="false" customHeight="false" outlineLevel="0" collapsed="false">
      <c r="A555" s="21"/>
      <c r="B555" s="21"/>
      <c r="C555" s="21"/>
      <c r="D555" s="26"/>
      <c r="E555" s="26"/>
      <c r="F555" s="17"/>
      <c r="G555" s="25"/>
      <c r="H555" s="21"/>
      <c r="I555" s="21"/>
      <c r="J555" s="18" t="str">
        <f aca="false">IF($A555="","",$F555*$G555)</f>
        <v/>
      </c>
    </row>
    <row r="556" customFormat="false" ht="15" hidden="false" customHeight="false" outlineLevel="0" collapsed="false">
      <c r="A556" s="21"/>
      <c r="B556" s="21"/>
      <c r="C556" s="21"/>
      <c r="D556" s="26"/>
      <c r="E556" s="26"/>
      <c r="F556" s="17"/>
      <c r="G556" s="25"/>
      <c r="H556" s="21"/>
      <c r="I556" s="21"/>
      <c r="J556" s="18" t="str">
        <f aca="false">IF($A556="","",$F556*$G556)</f>
        <v/>
      </c>
    </row>
    <row r="557" customFormat="false" ht="15" hidden="false" customHeight="false" outlineLevel="0" collapsed="false">
      <c r="A557" s="21"/>
      <c r="B557" s="21"/>
      <c r="C557" s="21"/>
      <c r="D557" s="26"/>
      <c r="E557" s="26"/>
      <c r="F557" s="17"/>
      <c r="G557" s="25"/>
      <c r="H557" s="21"/>
      <c r="I557" s="21"/>
      <c r="J557" s="18" t="str">
        <f aca="false">IF($A557="","",$F557*$G557)</f>
        <v/>
      </c>
    </row>
    <row r="558" customFormat="false" ht="15" hidden="false" customHeight="false" outlineLevel="0" collapsed="false">
      <c r="A558" s="21"/>
      <c r="B558" s="21"/>
      <c r="C558" s="21"/>
      <c r="D558" s="26"/>
      <c r="E558" s="26"/>
      <c r="F558" s="17"/>
      <c r="G558" s="25"/>
      <c r="H558" s="21"/>
      <c r="I558" s="21"/>
      <c r="J558" s="18" t="str">
        <f aca="false">IF($A558="","",$F558*$G558)</f>
        <v/>
      </c>
    </row>
    <row r="559" customFormat="false" ht="15" hidden="false" customHeight="false" outlineLevel="0" collapsed="false">
      <c r="A559" s="21"/>
      <c r="B559" s="21"/>
      <c r="C559" s="21"/>
      <c r="D559" s="26"/>
      <c r="E559" s="26"/>
      <c r="F559" s="17"/>
      <c r="G559" s="25"/>
      <c r="H559" s="21"/>
      <c r="I559" s="21"/>
      <c r="J559" s="18" t="str">
        <f aca="false">IF($A559="","",$F559*$G559)</f>
        <v/>
      </c>
    </row>
    <row r="560" customFormat="false" ht="15" hidden="false" customHeight="false" outlineLevel="0" collapsed="false">
      <c r="A560" s="21"/>
      <c r="B560" s="21"/>
      <c r="C560" s="21"/>
      <c r="D560" s="26"/>
      <c r="E560" s="26"/>
      <c r="F560" s="17"/>
      <c r="G560" s="25"/>
      <c r="H560" s="21"/>
      <c r="I560" s="21"/>
      <c r="J560" s="18" t="str">
        <f aca="false">IF($A560="","",$F560*$G560)</f>
        <v/>
      </c>
    </row>
    <row r="561" customFormat="false" ht="15" hidden="false" customHeight="false" outlineLevel="0" collapsed="false">
      <c r="A561" s="21"/>
      <c r="B561" s="21"/>
      <c r="C561" s="21"/>
      <c r="D561" s="26"/>
      <c r="E561" s="26"/>
      <c r="F561" s="17"/>
      <c r="G561" s="25"/>
      <c r="H561" s="21"/>
      <c r="I561" s="21"/>
      <c r="J561" s="18" t="str">
        <f aca="false">IF($A561="","",$F561*$G561)</f>
        <v/>
      </c>
    </row>
    <row r="562" customFormat="false" ht="15" hidden="false" customHeight="false" outlineLevel="0" collapsed="false">
      <c r="A562" s="21"/>
      <c r="B562" s="21"/>
      <c r="C562" s="21"/>
      <c r="D562" s="26"/>
      <c r="E562" s="26"/>
      <c r="F562" s="17"/>
      <c r="G562" s="25"/>
      <c r="H562" s="21"/>
      <c r="I562" s="21"/>
      <c r="J562" s="18" t="str">
        <f aca="false">IF($A562="","",$F562*$G562)</f>
        <v/>
      </c>
    </row>
    <row r="563" customFormat="false" ht="15" hidden="false" customHeight="false" outlineLevel="0" collapsed="false">
      <c r="A563" s="21"/>
      <c r="B563" s="21"/>
      <c r="C563" s="21"/>
      <c r="D563" s="26"/>
      <c r="E563" s="26"/>
      <c r="F563" s="17"/>
      <c r="G563" s="25"/>
      <c r="H563" s="21"/>
      <c r="I563" s="21"/>
      <c r="J563" s="18" t="str">
        <f aca="false">IF($A563="","",$F563*$G563)</f>
        <v/>
      </c>
    </row>
    <row r="564" customFormat="false" ht="15" hidden="false" customHeight="false" outlineLevel="0" collapsed="false">
      <c r="A564" s="21"/>
      <c r="B564" s="21"/>
      <c r="C564" s="21"/>
      <c r="D564" s="26"/>
      <c r="E564" s="26"/>
      <c r="F564" s="17"/>
      <c r="G564" s="25"/>
      <c r="H564" s="21"/>
      <c r="I564" s="21"/>
      <c r="J564" s="18" t="str">
        <f aca="false">IF($A564="","",$F564*$G564)</f>
        <v/>
      </c>
    </row>
    <row r="565" customFormat="false" ht="15" hidden="false" customHeight="false" outlineLevel="0" collapsed="false">
      <c r="A565" s="21"/>
      <c r="B565" s="21"/>
      <c r="C565" s="21"/>
      <c r="D565" s="26"/>
      <c r="E565" s="26"/>
      <c r="F565" s="17"/>
      <c r="G565" s="25"/>
      <c r="H565" s="21"/>
      <c r="I565" s="21"/>
      <c r="J565" s="18" t="str">
        <f aca="false">IF($A565="","",$F565*$G565)</f>
        <v/>
      </c>
    </row>
    <row r="566" customFormat="false" ht="15" hidden="false" customHeight="false" outlineLevel="0" collapsed="false">
      <c r="A566" s="21"/>
      <c r="B566" s="21"/>
      <c r="C566" s="21"/>
      <c r="D566" s="26"/>
      <c r="E566" s="26"/>
      <c r="F566" s="17"/>
      <c r="G566" s="25"/>
      <c r="H566" s="21"/>
      <c r="I566" s="21"/>
      <c r="J566" s="18" t="str">
        <f aca="false">IF($A566="","",$F566*$G566)</f>
        <v/>
      </c>
    </row>
    <row r="567" customFormat="false" ht="15" hidden="false" customHeight="false" outlineLevel="0" collapsed="false">
      <c r="A567" s="21"/>
      <c r="B567" s="21"/>
      <c r="C567" s="21"/>
      <c r="D567" s="26"/>
      <c r="E567" s="26"/>
      <c r="F567" s="17"/>
      <c r="G567" s="25"/>
      <c r="H567" s="21"/>
      <c r="I567" s="21"/>
      <c r="J567" s="18" t="str">
        <f aca="false">IF($A567="","",$F567*$G567)</f>
        <v/>
      </c>
    </row>
    <row r="568" customFormat="false" ht="15" hidden="false" customHeight="false" outlineLevel="0" collapsed="false">
      <c r="A568" s="21"/>
      <c r="B568" s="21"/>
      <c r="C568" s="21"/>
      <c r="D568" s="26"/>
      <c r="E568" s="26"/>
      <c r="F568" s="17"/>
      <c r="G568" s="25"/>
      <c r="H568" s="21"/>
      <c r="I568" s="21"/>
      <c r="J568" s="18" t="str">
        <f aca="false">IF($A568="","",$F568*$G568)</f>
        <v/>
      </c>
    </row>
    <row r="569" customFormat="false" ht="15" hidden="false" customHeight="false" outlineLevel="0" collapsed="false">
      <c r="A569" s="21"/>
      <c r="B569" s="21"/>
      <c r="C569" s="21"/>
      <c r="D569" s="26"/>
      <c r="E569" s="26"/>
      <c r="F569" s="17"/>
      <c r="G569" s="25"/>
      <c r="H569" s="21"/>
      <c r="I569" s="21"/>
      <c r="J569" s="18" t="str">
        <f aca="false">IF($A569="","",$F569*$G569)</f>
        <v/>
      </c>
    </row>
    <row r="570" customFormat="false" ht="15" hidden="false" customHeight="false" outlineLevel="0" collapsed="false">
      <c r="A570" s="21"/>
      <c r="B570" s="21"/>
      <c r="C570" s="21"/>
      <c r="D570" s="26"/>
      <c r="E570" s="26"/>
      <c r="F570" s="17"/>
      <c r="G570" s="25"/>
      <c r="H570" s="21"/>
      <c r="I570" s="21"/>
      <c r="J570" s="18" t="str">
        <f aca="false">IF($A570="","",$F570*$G570)</f>
        <v/>
      </c>
    </row>
    <row r="571" customFormat="false" ht="15" hidden="false" customHeight="false" outlineLevel="0" collapsed="false">
      <c r="A571" s="21"/>
      <c r="B571" s="21"/>
      <c r="C571" s="21"/>
      <c r="D571" s="26"/>
      <c r="E571" s="26"/>
      <c r="F571" s="17"/>
      <c r="G571" s="25"/>
      <c r="H571" s="21"/>
      <c r="I571" s="21"/>
      <c r="J571" s="18" t="str">
        <f aca="false">IF($A571="","",$F571*$G571)</f>
        <v/>
      </c>
    </row>
    <row r="572" customFormat="false" ht="15" hidden="false" customHeight="false" outlineLevel="0" collapsed="false">
      <c r="A572" s="21"/>
      <c r="B572" s="21"/>
      <c r="C572" s="21"/>
      <c r="D572" s="26"/>
      <c r="E572" s="26"/>
      <c r="F572" s="17"/>
      <c r="G572" s="25"/>
      <c r="H572" s="21"/>
      <c r="I572" s="21"/>
      <c r="J572" s="18" t="str">
        <f aca="false">IF($A572="","",$F572*$G572)</f>
        <v/>
      </c>
    </row>
    <row r="573" customFormat="false" ht="15" hidden="false" customHeight="false" outlineLevel="0" collapsed="false">
      <c r="A573" s="21"/>
      <c r="B573" s="21"/>
      <c r="C573" s="21"/>
      <c r="D573" s="26"/>
      <c r="E573" s="26"/>
      <c r="F573" s="17"/>
      <c r="G573" s="25"/>
      <c r="H573" s="21"/>
      <c r="I573" s="21"/>
      <c r="J573" s="18" t="str">
        <f aca="false">IF($A573="","",$F573*$G573)</f>
        <v/>
      </c>
    </row>
    <row r="574" customFormat="false" ht="15" hidden="false" customHeight="false" outlineLevel="0" collapsed="false">
      <c r="A574" s="21"/>
      <c r="B574" s="21"/>
      <c r="C574" s="21"/>
      <c r="D574" s="26"/>
      <c r="E574" s="26"/>
      <c r="F574" s="17"/>
      <c r="G574" s="25"/>
      <c r="H574" s="21"/>
      <c r="I574" s="21"/>
      <c r="J574" s="18" t="str">
        <f aca="false">IF($A574="","",$F574*$G574)</f>
        <v/>
      </c>
    </row>
    <row r="575" customFormat="false" ht="15" hidden="false" customHeight="false" outlineLevel="0" collapsed="false">
      <c r="A575" s="21"/>
      <c r="B575" s="21"/>
      <c r="C575" s="21"/>
      <c r="D575" s="26"/>
      <c r="E575" s="26"/>
      <c r="F575" s="17"/>
      <c r="G575" s="25"/>
      <c r="H575" s="21"/>
      <c r="I575" s="21"/>
      <c r="J575" s="18" t="str">
        <f aca="false">IF($A575="","",$F575*$G575)</f>
        <v/>
      </c>
    </row>
    <row r="576" customFormat="false" ht="15" hidden="false" customHeight="false" outlineLevel="0" collapsed="false">
      <c r="A576" s="21"/>
      <c r="B576" s="21"/>
      <c r="C576" s="21"/>
      <c r="D576" s="26"/>
      <c r="E576" s="26"/>
      <c r="F576" s="17"/>
      <c r="G576" s="25"/>
      <c r="H576" s="21"/>
      <c r="I576" s="21"/>
      <c r="J576" s="18" t="str">
        <f aca="false">IF($A576="","",$F576*$G576)</f>
        <v/>
      </c>
    </row>
    <row r="577" customFormat="false" ht="15" hidden="false" customHeight="false" outlineLevel="0" collapsed="false">
      <c r="A577" s="21"/>
      <c r="B577" s="21"/>
      <c r="C577" s="21"/>
      <c r="D577" s="26"/>
      <c r="E577" s="26"/>
      <c r="F577" s="17"/>
      <c r="G577" s="25"/>
      <c r="H577" s="21"/>
      <c r="I577" s="21"/>
      <c r="J577" s="18" t="str">
        <f aca="false">IF($A577="","",$F577*$G577)</f>
        <v/>
      </c>
    </row>
    <row r="578" customFormat="false" ht="15" hidden="false" customHeight="false" outlineLevel="0" collapsed="false">
      <c r="A578" s="21"/>
      <c r="B578" s="21"/>
      <c r="C578" s="21"/>
      <c r="D578" s="26"/>
      <c r="E578" s="26"/>
      <c r="F578" s="17"/>
      <c r="G578" s="25"/>
      <c r="H578" s="21"/>
      <c r="I578" s="21"/>
      <c r="J578" s="18" t="str">
        <f aca="false">IF($A578="","",$F578*$G578)</f>
        <v/>
      </c>
    </row>
    <row r="579" customFormat="false" ht="15" hidden="false" customHeight="false" outlineLevel="0" collapsed="false">
      <c r="A579" s="21"/>
      <c r="B579" s="21"/>
      <c r="C579" s="21"/>
      <c r="D579" s="26"/>
      <c r="E579" s="26"/>
      <c r="F579" s="17"/>
      <c r="G579" s="25"/>
      <c r="H579" s="21"/>
      <c r="I579" s="21"/>
      <c r="J579" s="18" t="str">
        <f aca="false">IF($A579="","",$F579*$G579)</f>
        <v/>
      </c>
    </row>
    <row r="580" customFormat="false" ht="15" hidden="false" customHeight="false" outlineLevel="0" collapsed="false">
      <c r="A580" s="21"/>
      <c r="B580" s="21"/>
      <c r="C580" s="21"/>
      <c r="D580" s="26"/>
      <c r="E580" s="26"/>
      <c r="F580" s="17"/>
      <c r="G580" s="25"/>
      <c r="H580" s="21"/>
      <c r="I580" s="21"/>
      <c r="J580" s="18" t="str">
        <f aca="false">IF($A580="","",$F580*$G580)</f>
        <v/>
      </c>
    </row>
    <row r="581" customFormat="false" ht="15" hidden="false" customHeight="false" outlineLevel="0" collapsed="false">
      <c r="A581" s="21"/>
      <c r="B581" s="21"/>
      <c r="C581" s="21"/>
      <c r="D581" s="26"/>
      <c r="E581" s="26"/>
      <c r="F581" s="17"/>
      <c r="G581" s="25"/>
      <c r="H581" s="21"/>
      <c r="I581" s="21"/>
      <c r="J581" s="18" t="str">
        <f aca="false">IF($A581="","",$F581*$G581)</f>
        <v/>
      </c>
    </row>
    <row r="582" customFormat="false" ht="15" hidden="false" customHeight="false" outlineLevel="0" collapsed="false">
      <c r="A582" s="21"/>
      <c r="B582" s="21"/>
      <c r="C582" s="21"/>
      <c r="D582" s="26"/>
      <c r="E582" s="26"/>
      <c r="F582" s="17"/>
      <c r="G582" s="25"/>
      <c r="H582" s="21"/>
      <c r="I582" s="21"/>
      <c r="J582" s="18" t="str">
        <f aca="false">IF($A582="","",$F582*$G582)</f>
        <v/>
      </c>
    </row>
    <row r="583" customFormat="false" ht="15" hidden="false" customHeight="false" outlineLevel="0" collapsed="false">
      <c r="A583" s="21"/>
      <c r="B583" s="21"/>
      <c r="C583" s="21"/>
      <c r="D583" s="26"/>
      <c r="E583" s="26"/>
      <c r="F583" s="17"/>
      <c r="G583" s="25"/>
      <c r="H583" s="21"/>
      <c r="I583" s="21"/>
      <c r="J583" s="18" t="str">
        <f aca="false">IF($A583="","",$F583*$G583)</f>
        <v/>
      </c>
    </row>
    <row r="584" customFormat="false" ht="15" hidden="false" customHeight="false" outlineLevel="0" collapsed="false">
      <c r="A584" s="21"/>
      <c r="B584" s="21"/>
      <c r="C584" s="21"/>
      <c r="D584" s="26"/>
      <c r="E584" s="26"/>
      <c r="F584" s="17"/>
      <c r="G584" s="25"/>
      <c r="H584" s="21"/>
      <c r="I584" s="21"/>
      <c r="J584" s="18" t="str">
        <f aca="false">IF($A584="","",$F584*$G584)</f>
        <v/>
      </c>
    </row>
    <row r="585" customFormat="false" ht="15" hidden="false" customHeight="false" outlineLevel="0" collapsed="false">
      <c r="A585" s="21"/>
      <c r="B585" s="21"/>
      <c r="C585" s="21"/>
      <c r="D585" s="26"/>
      <c r="E585" s="26"/>
      <c r="F585" s="17"/>
      <c r="G585" s="25"/>
      <c r="H585" s="21"/>
      <c r="I585" s="21"/>
      <c r="J585" s="18" t="str">
        <f aca="false">IF($A585="","",$F585*$G585)</f>
        <v/>
      </c>
    </row>
    <row r="586" customFormat="false" ht="15" hidden="false" customHeight="false" outlineLevel="0" collapsed="false">
      <c r="A586" s="21"/>
      <c r="B586" s="21"/>
      <c r="C586" s="21"/>
      <c r="D586" s="26"/>
      <c r="E586" s="26"/>
      <c r="F586" s="17"/>
      <c r="G586" s="25"/>
      <c r="H586" s="21"/>
      <c r="I586" s="21"/>
      <c r="J586" s="18" t="str">
        <f aca="false">IF($A586="","",$F586*$G586)</f>
        <v/>
      </c>
    </row>
    <row r="587" customFormat="false" ht="15" hidden="false" customHeight="false" outlineLevel="0" collapsed="false">
      <c r="A587" s="21"/>
      <c r="B587" s="21"/>
      <c r="C587" s="21"/>
      <c r="D587" s="26"/>
      <c r="E587" s="26"/>
      <c r="F587" s="17"/>
      <c r="G587" s="25"/>
      <c r="H587" s="21"/>
      <c r="I587" s="21"/>
      <c r="J587" s="18" t="str">
        <f aca="false">IF($A587="","",$F587*$G587)</f>
        <v/>
      </c>
    </row>
    <row r="588" customFormat="false" ht="15" hidden="false" customHeight="false" outlineLevel="0" collapsed="false">
      <c r="A588" s="21"/>
      <c r="B588" s="21"/>
      <c r="C588" s="21"/>
      <c r="D588" s="26"/>
      <c r="E588" s="26"/>
      <c r="F588" s="17"/>
      <c r="G588" s="25"/>
      <c r="H588" s="21"/>
      <c r="I588" s="21"/>
      <c r="J588" s="18" t="str">
        <f aca="false">IF($A588="","",$F588*$G588)</f>
        <v/>
      </c>
    </row>
    <row r="589" customFormat="false" ht="15" hidden="false" customHeight="false" outlineLevel="0" collapsed="false">
      <c r="A589" s="21"/>
      <c r="B589" s="21"/>
      <c r="C589" s="21"/>
      <c r="D589" s="26"/>
      <c r="E589" s="26"/>
      <c r="F589" s="17"/>
      <c r="G589" s="25"/>
      <c r="H589" s="21"/>
      <c r="I589" s="21"/>
      <c r="J589" s="18" t="str">
        <f aca="false">IF($A589="","",$F589*$G589)</f>
        <v/>
      </c>
    </row>
    <row r="590" customFormat="false" ht="15" hidden="false" customHeight="false" outlineLevel="0" collapsed="false">
      <c r="A590" s="21"/>
      <c r="B590" s="21"/>
      <c r="C590" s="21"/>
      <c r="D590" s="26"/>
      <c r="E590" s="26"/>
      <c r="F590" s="17"/>
      <c r="G590" s="25"/>
      <c r="H590" s="21"/>
      <c r="I590" s="21"/>
      <c r="J590" s="18" t="str">
        <f aca="false">IF($A590="","",$F590*$G590)</f>
        <v/>
      </c>
    </row>
    <row r="591" customFormat="false" ht="15" hidden="false" customHeight="false" outlineLevel="0" collapsed="false">
      <c r="A591" s="21"/>
      <c r="B591" s="21"/>
      <c r="C591" s="21"/>
      <c r="D591" s="26"/>
      <c r="E591" s="26"/>
      <c r="F591" s="17"/>
      <c r="G591" s="25"/>
      <c r="H591" s="21"/>
      <c r="I591" s="21"/>
      <c r="J591" s="18" t="str">
        <f aca="false">IF($A591="","",$F591*$G591)</f>
        <v/>
      </c>
    </row>
    <row r="592" customFormat="false" ht="15" hidden="false" customHeight="false" outlineLevel="0" collapsed="false">
      <c r="A592" s="21"/>
      <c r="B592" s="21"/>
      <c r="C592" s="21"/>
      <c r="D592" s="26"/>
      <c r="E592" s="26"/>
      <c r="F592" s="17"/>
      <c r="G592" s="25"/>
      <c r="H592" s="21"/>
      <c r="I592" s="21"/>
      <c r="J592" s="18" t="str">
        <f aca="false">IF($A592="","",$F592*$G592)</f>
        <v/>
      </c>
    </row>
    <row r="593" customFormat="false" ht="15" hidden="false" customHeight="false" outlineLevel="0" collapsed="false">
      <c r="A593" s="21"/>
      <c r="B593" s="21"/>
      <c r="C593" s="21"/>
      <c r="D593" s="26"/>
      <c r="E593" s="26"/>
      <c r="F593" s="17"/>
      <c r="G593" s="25"/>
      <c r="H593" s="21"/>
      <c r="I593" s="21"/>
      <c r="J593" s="18" t="str">
        <f aca="false">IF($A593="","",$F593*$G593)</f>
        <v/>
      </c>
    </row>
    <row r="594" customFormat="false" ht="15" hidden="false" customHeight="false" outlineLevel="0" collapsed="false">
      <c r="A594" s="21"/>
      <c r="B594" s="21"/>
      <c r="C594" s="21"/>
      <c r="D594" s="26"/>
      <c r="E594" s="26"/>
      <c r="F594" s="17"/>
      <c r="G594" s="25"/>
      <c r="H594" s="21"/>
      <c r="I594" s="21"/>
      <c r="J594" s="18" t="str">
        <f aca="false">IF($A594="","",$F594*$G594)</f>
        <v/>
      </c>
    </row>
    <row r="595" customFormat="false" ht="15" hidden="false" customHeight="false" outlineLevel="0" collapsed="false">
      <c r="A595" s="21"/>
      <c r="B595" s="21"/>
      <c r="C595" s="21"/>
      <c r="D595" s="26"/>
      <c r="E595" s="26"/>
      <c r="F595" s="17"/>
      <c r="G595" s="25"/>
      <c r="H595" s="21"/>
      <c r="I595" s="21"/>
      <c r="J595" s="18" t="str">
        <f aca="false">IF($A595="","",$F595*$G595)</f>
        <v/>
      </c>
    </row>
    <row r="596" customFormat="false" ht="15" hidden="false" customHeight="false" outlineLevel="0" collapsed="false">
      <c r="A596" s="21"/>
      <c r="B596" s="21"/>
      <c r="C596" s="21"/>
      <c r="D596" s="26"/>
      <c r="E596" s="26"/>
      <c r="F596" s="17"/>
      <c r="G596" s="25"/>
      <c r="H596" s="21"/>
      <c r="I596" s="21"/>
      <c r="J596" s="18" t="str">
        <f aca="false">IF($A596="","",$F596*$G596)</f>
        <v/>
      </c>
    </row>
    <row r="597" customFormat="false" ht="15" hidden="false" customHeight="false" outlineLevel="0" collapsed="false">
      <c r="A597" s="21"/>
      <c r="B597" s="21"/>
      <c r="C597" s="21"/>
      <c r="D597" s="26"/>
      <c r="E597" s="26"/>
      <c r="F597" s="17"/>
      <c r="G597" s="25"/>
      <c r="H597" s="21"/>
      <c r="I597" s="21"/>
      <c r="J597" s="18" t="str">
        <f aca="false">IF($A597="","",$F597*$G597)</f>
        <v/>
      </c>
    </row>
    <row r="598" customFormat="false" ht="15" hidden="false" customHeight="false" outlineLevel="0" collapsed="false">
      <c r="A598" s="21"/>
      <c r="B598" s="21"/>
      <c r="C598" s="21"/>
      <c r="D598" s="26"/>
      <c r="E598" s="26"/>
      <c r="F598" s="17"/>
      <c r="G598" s="25"/>
      <c r="H598" s="21"/>
      <c r="I598" s="21"/>
      <c r="J598" s="18" t="str">
        <f aca="false">IF($A598="","",$F598*$G598)</f>
        <v/>
      </c>
    </row>
    <row r="599" customFormat="false" ht="15" hidden="false" customHeight="false" outlineLevel="0" collapsed="false">
      <c r="A599" s="21"/>
      <c r="B599" s="21"/>
      <c r="C599" s="21"/>
      <c r="D599" s="26"/>
      <c r="E599" s="26"/>
      <c r="F599" s="17"/>
      <c r="G599" s="25"/>
      <c r="H599" s="21"/>
      <c r="I599" s="21"/>
      <c r="J599" s="18" t="str">
        <f aca="false">IF($A599="","",$F599*$G599)</f>
        <v/>
      </c>
    </row>
    <row r="600" customFormat="false" ht="15" hidden="false" customHeight="false" outlineLevel="0" collapsed="false">
      <c r="A600" s="21"/>
      <c r="B600" s="21"/>
      <c r="C600" s="21"/>
      <c r="D600" s="26"/>
      <c r="E600" s="26"/>
      <c r="F600" s="17"/>
      <c r="G600" s="25"/>
      <c r="H600" s="21"/>
      <c r="I600" s="21"/>
      <c r="J600" s="18" t="str">
        <f aca="false">IF($A600="","",$F600*$G600)</f>
        <v/>
      </c>
    </row>
    <row r="601" customFormat="false" ht="15" hidden="false" customHeight="false" outlineLevel="0" collapsed="false">
      <c r="A601" s="21"/>
      <c r="B601" s="21"/>
      <c r="C601" s="21"/>
      <c r="D601" s="26"/>
      <c r="E601" s="26"/>
      <c r="F601" s="17"/>
      <c r="G601" s="25"/>
      <c r="H601" s="21"/>
      <c r="I601" s="21"/>
      <c r="J601" s="18" t="str">
        <f aca="false">IF($A601="","",$F601*$G601)</f>
        <v/>
      </c>
    </row>
    <row r="602" customFormat="false" ht="15" hidden="false" customHeight="false" outlineLevel="0" collapsed="false">
      <c r="A602" s="21"/>
      <c r="B602" s="21"/>
      <c r="C602" s="21"/>
      <c r="D602" s="26"/>
      <c r="E602" s="26"/>
      <c r="F602" s="17"/>
      <c r="G602" s="25"/>
      <c r="H602" s="21"/>
      <c r="I602" s="21"/>
      <c r="J602" s="18" t="str">
        <f aca="false">IF($A602="","",$F602*$G602)</f>
        <v/>
      </c>
    </row>
    <row r="603" customFormat="false" ht="15" hidden="false" customHeight="false" outlineLevel="0" collapsed="false">
      <c r="A603" s="21"/>
      <c r="B603" s="21"/>
      <c r="C603" s="21"/>
      <c r="D603" s="26"/>
      <c r="E603" s="26"/>
      <c r="F603" s="17"/>
      <c r="G603" s="25"/>
      <c r="H603" s="21"/>
      <c r="I603" s="21"/>
      <c r="J603" s="18" t="str">
        <f aca="false">IF($A603="","",$F603*$G603)</f>
        <v/>
      </c>
    </row>
    <row r="604" customFormat="false" ht="15" hidden="false" customHeight="false" outlineLevel="0" collapsed="false">
      <c r="A604" s="21"/>
      <c r="B604" s="21"/>
      <c r="C604" s="21"/>
      <c r="D604" s="26"/>
      <c r="E604" s="26"/>
      <c r="F604" s="17"/>
      <c r="G604" s="25"/>
      <c r="H604" s="21"/>
      <c r="I604" s="21"/>
      <c r="J604" s="18" t="str">
        <f aca="false">IF($A604="","",$F604*$G604)</f>
        <v/>
      </c>
    </row>
    <row r="605" customFormat="false" ht="15" hidden="false" customHeight="false" outlineLevel="0" collapsed="false">
      <c r="A605" s="21"/>
      <c r="B605" s="21"/>
      <c r="C605" s="21"/>
      <c r="D605" s="26"/>
      <c r="E605" s="26"/>
      <c r="F605" s="17"/>
      <c r="G605" s="25"/>
      <c r="H605" s="21"/>
      <c r="I605" s="21"/>
      <c r="J605" s="18" t="str">
        <f aca="false">IF($A605="","",$F605*$G605)</f>
        <v/>
      </c>
    </row>
    <row r="606" customFormat="false" ht="15" hidden="false" customHeight="false" outlineLevel="0" collapsed="false">
      <c r="A606" s="21"/>
      <c r="B606" s="21"/>
      <c r="C606" s="21"/>
      <c r="D606" s="26"/>
      <c r="E606" s="26"/>
      <c r="F606" s="17"/>
      <c r="G606" s="25"/>
      <c r="H606" s="21"/>
      <c r="I606" s="21"/>
      <c r="J606" s="18" t="str">
        <f aca="false">IF($A606="","",$F606*$G606)</f>
        <v/>
      </c>
    </row>
    <row r="607" customFormat="false" ht="15" hidden="false" customHeight="false" outlineLevel="0" collapsed="false">
      <c r="A607" s="21"/>
      <c r="B607" s="21"/>
      <c r="C607" s="21"/>
      <c r="D607" s="26"/>
      <c r="E607" s="26"/>
      <c r="F607" s="17"/>
      <c r="G607" s="25"/>
      <c r="H607" s="21"/>
      <c r="I607" s="21"/>
      <c r="J607" s="18" t="str">
        <f aca="false">IF($A607="","",$F607*$G607)</f>
        <v/>
      </c>
    </row>
    <row r="608" customFormat="false" ht="15" hidden="false" customHeight="false" outlineLevel="0" collapsed="false">
      <c r="A608" s="21"/>
      <c r="B608" s="21"/>
      <c r="C608" s="21"/>
      <c r="D608" s="26"/>
      <c r="E608" s="26"/>
      <c r="F608" s="17"/>
      <c r="G608" s="25"/>
      <c r="H608" s="21"/>
      <c r="I608" s="21"/>
      <c r="J608" s="18" t="str">
        <f aca="false">IF($A608="","",$F608*$G608)</f>
        <v/>
      </c>
    </row>
    <row r="609" customFormat="false" ht="15" hidden="false" customHeight="false" outlineLevel="0" collapsed="false">
      <c r="A609" s="21"/>
      <c r="B609" s="21"/>
      <c r="C609" s="21"/>
      <c r="D609" s="26"/>
      <c r="E609" s="26"/>
      <c r="F609" s="17"/>
      <c r="G609" s="25"/>
      <c r="H609" s="21"/>
      <c r="I609" s="21"/>
      <c r="J609" s="18" t="str">
        <f aca="false">IF($A609="","",$F609*$G609)</f>
        <v/>
      </c>
    </row>
    <row r="610" customFormat="false" ht="15" hidden="false" customHeight="false" outlineLevel="0" collapsed="false">
      <c r="A610" s="21"/>
      <c r="B610" s="21"/>
      <c r="C610" s="21"/>
      <c r="D610" s="26"/>
      <c r="E610" s="26"/>
      <c r="F610" s="17"/>
      <c r="G610" s="25"/>
      <c r="H610" s="21"/>
      <c r="I610" s="21"/>
      <c r="J610" s="18" t="str">
        <f aca="false">IF($A610="","",$F610*$G610)</f>
        <v/>
      </c>
    </row>
    <row r="611" customFormat="false" ht="15" hidden="false" customHeight="false" outlineLevel="0" collapsed="false">
      <c r="A611" s="21"/>
      <c r="B611" s="21"/>
      <c r="C611" s="21"/>
      <c r="D611" s="26"/>
      <c r="E611" s="26"/>
      <c r="F611" s="17"/>
      <c r="G611" s="25"/>
      <c r="H611" s="21"/>
      <c r="I611" s="21"/>
      <c r="J611" s="18" t="str">
        <f aca="false">IF($A611="","",$F611*$G611)</f>
        <v/>
      </c>
    </row>
    <row r="612" customFormat="false" ht="15" hidden="false" customHeight="false" outlineLevel="0" collapsed="false">
      <c r="A612" s="21"/>
      <c r="B612" s="21"/>
      <c r="C612" s="21"/>
      <c r="D612" s="26"/>
      <c r="E612" s="26"/>
      <c r="F612" s="17"/>
      <c r="G612" s="25"/>
      <c r="H612" s="21"/>
      <c r="I612" s="21"/>
      <c r="J612" s="18" t="str">
        <f aca="false">IF($A612="","",$F612*$G612)</f>
        <v/>
      </c>
    </row>
    <row r="613" customFormat="false" ht="15" hidden="false" customHeight="false" outlineLevel="0" collapsed="false">
      <c r="A613" s="21"/>
      <c r="B613" s="21"/>
      <c r="C613" s="21"/>
      <c r="D613" s="26"/>
      <c r="E613" s="26"/>
      <c r="F613" s="17"/>
      <c r="G613" s="25"/>
      <c r="H613" s="21"/>
      <c r="I613" s="21"/>
      <c r="J613" s="18" t="str">
        <f aca="false">IF($A613="","",$F613*$G613)</f>
        <v/>
      </c>
    </row>
    <row r="614" customFormat="false" ht="15" hidden="false" customHeight="false" outlineLevel="0" collapsed="false">
      <c r="A614" s="21"/>
      <c r="B614" s="21"/>
      <c r="C614" s="21"/>
      <c r="D614" s="26"/>
      <c r="E614" s="26"/>
      <c r="F614" s="17"/>
      <c r="G614" s="25"/>
      <c r="H614" s="21"/>
      <c r="I614" s="21"/>
      <c r="J614" s="18" t="str">
        <f aca="false">IF($A614="","",$F614*$G614)</f>
        <v/>
      </c>
    </row>
    <row r="615" customFormat="false" ht="15" hidden="false" customHeight="false" outlineLevel="0" collapsed="false">
      <c r="A615" s="21"/>
      <c r="B615" s="21"/>
      <c r="C615" s="21"/>
      <c r="D615" s="26"/>
      <c r="E615" s="26"/>
      <c r="F615" s="17"/>
      <c r="G615" s="25"/>
      <c r="H615" s="21"/>
      <c r="I615" s="21"/>
      <c r="J615" s="18" t="str">
        <f aca="false">IF($A615="","",$F615*$G615)</f>
        <v/>
      </c>
    </row>
    <row r="616" customFormat="false" ht="15" hidden="false" customHeight="false" outlineLevel="0" collapsed="false">
      <c r="A616" s="21"/>
      <c r="B616" s="21"/>
      <c r="C616" s="21"/>
      <c r="D616" s="26"/>
      <c r="E616" s="26"/>
      <c r="F616" s="17"/>
      <c r="G616" s="25"/>
      <c r="H616" s="21"/>
      <c r="I616" s="21"/>
      <c r="J616" s="18" t="str">
        <f aca="false">IF($A616="","",$F616*$G616)</f>
        <v/>
      </c>
    </row>
    <row r="617" customFormat="false" ht="15" hidden="false" customHeight="false" outlineLevel="0" collapsed="false">
      <c r="A617" s="21"/>
      <c r="B617" s="21"/>
      <c r="C617" s="21"/>
      <c r="D617" s="26"/>
      <c r="E617" s="26"/>
      <c r="F617" s="17"/>
      <c r="G617" s="25"/>
      <c r="H617" s="21"/>
      <c r="I617" s="21"/>
      <c r="J617" s="18" t="str">
        <f aca="false">IF($A617="","",$F617*$G617)</f>
        <v/>
      </c>
    </row>
    <row r="618" customFormat="false" ht="15" hidden="false" customHeight="false" outlineLevel="0" collapsed="false">
      <c r="A618" s="21"/>
      <c r="B618" s="21"/>
      <c r="C618" s="21"/>
      <c r="D618" s="26"/>
      <c r="E618" s="26"/>
      <c r="F618" s="17"/>
      <c r="G618" s="25"/>
      <c r="H618" s="21"/>
      <c r="I618" s="21"/>
      <c r="J618" s="18" t="str">
        <f aca="false">IF($A618="","",$F618*$G618)</f>
        <v/>
      </c>
    </row>
    <row r="619" customFormat="false" ht="15" hidden="false" customHeight="false" outlineLevel="0" collapsed="false">
      <c r="A619" s="21"/>
      <c r="B619" s="21"/>
      <c r="C619" s="21"/>
      <c r="D619" s="26"/>
      <c r="E619" s="26"/>
      <c r="F619" s="17"/>
      <c r="G619" s="25"/>
      <c r="H619" s="21"/>
      <c r="I619" s="21"/>
      <c r="J619" s="18" t="str">
        <f aca="false">IF($A619="","",$F619*$G619)</f>
        <v/>
      </c>
    </row>
    <row r="620" customFormat="false" ht="15" hidden="false" customHeight="false" outlineLevel="0" collapsed="false">
      <c r="A620" s="21"/>
      <c r="B620" s="21"/>
      <c r="C620" s="21"/>
      <c r="D620" s="26"/>
      <c r="E620" s="26"/>
      <c r="F620" s="17"/>
      <c r="G620" s="25"/>
      <c r="H620" s="21"/>
      <c r="I620" s="21"/>
      <c r="J620" s="18" t="str">
        <f aca="false">IF($A620="","",$F620*$G620)</f>
        <v/>
      </c>
    </row>
    <row r="621" customFormat="false" ht="15" hidden="false" customHeight="false" outlineLevel="0" collapsed="false">
      <c r="A621" s="21"/>
      <c r="B621" s="21"/>
      <c r="C621" s="21"/>
      <c r="D621" s="26"/>
      <c r="E621" s="26"/>
      <c r="F621" s="17"/>
      <c r="G621" s="25"/>
      <c r="H621" s="21"/>
      <c r="I621" s="21"/>
      <c r="J621" s="18" t="str">
        <f aca="false">IF($A621="","",$F621*$G621)</f>
        <v/>
      </c>
    </row>
    <row r="622" customFormat="false" ht="15" hidden="false" customHeight="false" outlineLevel="0" collapsed="false">
      <c r="A622" s="21"/>
      <c r="B622" s="21"/>
      <c r="C622" s="21"/>
      <c r="D622" s="26"/>
      <c r="E622" s="26"/>
      <c r="F622" s="17"/>
      <c r="G622" s="25"/>
      <c r="H622" s="21"/>
      <c r="I622" s="21"/>
      <c r="J622" s="18" t="str">
        <f aca="false">IF($A622="","",$F622*$G622)</f>
        <v/>
      </c>
    </row>
    <row r="623" customFormat="false" ht="15" hidden="false" customHeight="false" outlineLevel="0" collapsed="false">
      <c r="A623" s="21"/>
      <c r="B623" s="21"/>
      <c r="C623" s="21"/>
      <c r="D623" s="26"/>
      <c r="E623" s="26"/>
      <c r="F623" s="17"/>
      <c r="G623" s="25"/>
      <c r="H623" s="21"/>
      <c r="I623" s="21"/>
      <c r="J623" s="18" t="str">
        <f aca="false">IF($A623="","",$F623*$G623)</f>
        <v/>
      </c>
    </row>
    <row r="624" customFormat="false" ht="15" hidden="false" customHeight="false" outlineLevel="0" collapsed="false">
      <c r="A624" s="21"/>
      <c r="B624" s="21"/>
      <c r="C624" s="21"/>
      <c r="D624" s="26"/>
      <c r="E624" s="26"/>
      <c r="F624" s="17"/>
      <c r="G624" s="25"/>
      <c r="H624" s="21"/>
      <c r="I624" s="21"/>
      <c r="J624" s="18" t="str">
        <f aca="false">IF($A624="","",$F624*$G624)</f>
        <v/>
      </c>
    </row>
    <row r="625" customFormat="false" ht="15" hidden="false" customHeight="false" outlineLevel="0" collapsed="false">
      <c r="A625" s="21"/>
      <c r="B625" s="21"/>
      <c r="C625" s="21"/>
      <c r="D625" s="26"/>
      <c r="E625" s="26"/>
      <c r="F625" s="17"/>
      <c r="G625" s="25"/>
      <c r="H625" s="21"/>
      <c r="I625" s="21"/>
      <c r="J625" s="18" t="str">
        <f aca="false">IF($A625="","",$F625*$G625)</f>
        <v/>
      </c>
    </row>
    <row r="626" customFormat="false" ht="15" hidden="false" customHeight="false" outlineLevel="0" collapsed="false">
      <c r="A626" s="21"/>
      <c r="B626" s="21"/>
      <c r="C626" s="21"/>
      <c r="D626" s="26"/>
      <c r="E626" s="26"/>
      <c r="F626" s="17"/>
      <c r="G626" s="25"/>
      <c r="H626" s="21"/>
      <c r="I626" s="21"/>
      <c r="J626" s="18" t="str">
        <f aca="false">IF($A626="","",$F626*$G626)</f>
        <v/>
      </c>
    </row>
    <row r="627" customFormat="false" ht="15" hidden="false" customHeight="false" outlineLevel="0" collapsed="false">
      <c r="A627" s="21"/>
      <c r="B627" s="21"/>
      <c r="C627" s="21"/>
      <c r="D627" s="26"/>
      <c r="E627" s="26"/>
      <c r="F627" s="17"/>
      <c r="G627" s="25"/>
      <c r="H627" s="21"/>
      <c r="I627" s="21"/>
      <c r="J627" s="18" t="str">
        <f aca="false">IF($A627="","",$F627*$G627)</f>
        <v/>
      </c>
    </row>
    <row r="628" customFormat="false" ht="15" hidden="false" customHeight="false" outlineLevel="0" collapsed="false">
      <c r="A628" s="21"/>
      <c r="B628" s="21"/>
      <c r="C628" s="21"/>
      <c r="D628" s="26"/>
      <c r="E628" s="26"/>
      <c r="F628" s="17"/>
      <c r="G628" s="25"/>
      <c r="H628" s="21"/>
      <c r="I628" s="21"/>
      <c r="J628" s="18" t="str">
        <f aca="false">IF($A628="","",$F628*$G628)</f>
        <v/>
      </c>
    </row>
    <row r="629" customFormat="false" ht="15" hidden="false" customHeight="false" outlineLevel="0" collapsed="false">
      <c r="A629" s="21"/>
      <c r="B629" s="21"/>
      <c r="C629" s="21"/>
      <c r="D629" s="26"/>
      <c r="E629" s="26"/>
      <c r="F629" s="17"/>
      <c r="G629" s="25"/>
      <c r="H629" s="21"/>
      <c r="I629" s="21"/>
      <c r="J629" s="18" t="str">
        <f aca="false">IF($A629="","",$F629*$G629)</f>
        <v/>
      </c>
    </row>
    <row r="630" customFormat="false" ht="15" hidden="false" customHeight="false" outlineLevel="0" collapsed="false">
      <c r="A630" s="21"/>
      <c r="B630" s="21"/>
      <c r="C630" s="21"/>
      <c r="D630" s="26"/>
      <c r="E630" s="26"/>
      <c r="F630" s="17"/>
      <c r="G630" s="25"/>
      <c r="H630" s="21"/>
      <c r="I630" s="21"/>
      <c r="J630" s="18" t="str">
        <f aca="false">IF($A630="","",$F630*$G630)</f>
        <v/>
      </c>
    </row>
    <row r="631" customFormat="false" ht="15" hidden="false" customHeight="false" outlineLevel="0" collapsed="false">
      <c r="A631" s="21"/>
      <c r="B631" s="21"/>
      <c r="C631" s="21"/>
      <c r="D631" s="26"/>
      <c r="E631" s="26"/>
      <c r="F631" s="17"/>
      <c r="G631" s="25"/>
      <c r="H631" s="21"/>
      <c r="I631" s="21"/>
      <c r="J631" s="18" t="str">
        <f aca="false">IF($A631="","",$F631*$G631)</f>
        <v/>
      </c>
    </row>
    <row r="632" customFormat="false" ht="15" hidden="false" customHeight="false" outlineLevel="0" collapsed="false">
      <c r="A632" s="21"/>
      <c r="B632" s="21"/>
      <c r="C632" s="21"/>
      <c r="D632" s="26"/>
      <c r="E632" s="26"/>
      <c r="F632" s="17"/>
      <c r="G632" s="25"/>
      <c r="H632" s="21"/>
      <c r="I632" s="21"/>
      <c r="J632" s="18" t="str">
        <f aca="false">IF($A632="","",$F632*$G632)</f>
        <v/>
      </c>
    </row>
    <row r="633" customFormat="false" ht="15" hidden="false" customHeight="false" outlineLevel="0" collapsed="false">
      <c r="A633" s="21"/>
      <c r="B633" s="21"/>
      <c r="C633" s="21"/>
      <c r="D633" s="26"/>
      <c r="E633" s="26"/>
      <c r="F633" s="17"/>
      <c r="G633" s="25"/>
      <c r="H633" s="21"/>
      <c r="I633" s="21"/>
      <c r="J633" s="18" t="str">
        <f aca="false">IF($A633="","",$F633*$G633)</f>
        <v/>
      </c>
    </row>
    <row r="634" customFormat="false" ht="15" hidden="false" customHeight="false" outlineLevel="0" collapsed="false">
      <c r="A634" s="21"/>
      <c r="B634" s="21"/>
      <c r="C634" s="21"/>
      <c r="D634" s="26"/>
      <c r="E634" s="26"/>
      <c r="F634" s="17"/>
      <c r="G634" s="25"/>
      <c r="H634" s="21"/>
      <c r="I634" s="21"/>
      <c r="J634" s="18" t="str">
        <f aca="false">IF($A634="","",$F634*$G634)</f>
        <v/>
      </c>
    </row>
    <row r="635" customFormat="false" ht="15" hidden="false" customHeight="false" outlineLevel="0" collapsed="false">
      <c r="A635" s="21"/>
      <c r="B635" s="21"/>
      <c r="C635" s="21"/>
      <c r="D635" s="26"/>
      <c r="E635" s="26"/>
      <c r="F635" s="17"/>
      <c r="G635" s="25"/>
      <c r="H635" s="21"/>
      <c r="I635" s="21"/>
      <c r="J635" s="18" t="str">
        <f aca="false">IF($A635="","",$F635*$G635)</f>
        <v/>
      </c>
    </row>
    <row r="636" customFormat="false" ht="15" hidden="false" customHeight="false" outlineLevel="0" collapsed="false">
      <c r="A636" s="21"/>
      <c r="B636" s="21"/>
      <c r="C636" s="21"/>
      <c r="D636" s="26"/>
      <c r="E636" s="26"/>
      <c r="F636" s="17"/>
      <c r="G636" s="25"/>
      <c r="H636" s="21"/>
      <c r="I636" s="21"/>
      <c r="J636" s="18" t="str">
        <f aca="false">IF($A636="","",$F636*$G636)</f>
        <v/>
      </c>
    </row>
    <row r="637" customFormat="false" ht="15" hidden="false" customHeight="false" outlineLevel="0" collapsed="false">
      <c r="A637" s="21"/>
      <c r="B637" s="21"/>
      <c r="C637" s="21"/>
      <c r="D637" s="26"/>
      <c r="E637" s="26"/>
      <c r="F637" s="17"/>
      <c r="G637" s="25"/>
      <c r="H637" s="21"/>
      <c r="I637" s="21"/>
      <c r="J637" s="18" t="str">
        <f aca="false">IF($A637="","",$F637*$G637)</f>
        <v/>
      </c>
    </row>
    <row r="638" customFormat="false" ht="15" hidden="false" customHeight="false" outlineLevel="0" collapsed="false">
      <c r="A638" s="21"/>
      <c r="B638" s="21"/>
      <c r="C638" s="21"/>
      <c r="D638" s="26"/>
      <c r="E638" s="26"/>
      <c r="F638" s="17"/>
      <c r="G638" s="25"/>
      <c r="H638" s="21"/>
      <c r="I638" s="21"/>
      <c r="J638" s="18" t="str">
        <f aca="false">IF($A638="","",$F638*$G638)</f>
        <v/>
      </c>
    </row>
    <row r="639" customFormat="false" ht="15" hidden="false" customHeight="false" outlineLevel="0" collapsed="false">
      <c r="A639" s="21"/>
      <c r="B639" s="21"/>
      <c r="C639" s="21"/>
      <c r="D639" s="26"/>
      <c r="E639" s="26"/>
      <c r="F639" s="17"/>
      <c r="G639" s="25"/>
      <c r="H639" s="21"/>
      <c r="I639" s="21"/>
      <c r="J639" s="18" t="str">
        <f aca="false">IF($A639="","",$F639*$G639)</f>
        <v/>
      </c>
    </row>
    <row r="640" customFormat="false" ht="15" hidden="false" customHeight="false" outlineLevel="0" collapsed="false">
      <c r="A640" s="21"/>
      <c r="B640" s="21"/>
      <c r="C640" s="21"/>
      <c r="D640" s="26"/>
      <c r="E640" s="26"/>
      <c r="F640" s="17"/>
      <c r="G640" s="25"/>
      <c r="H640" s="21"/>
      <c r="I640" s="21"/>
      <c r="J640" s="18" t="str">
        <f aca="false">IF($A640="","",$F640*$G640)</f>
        <v/>
      </c>
    </row>
    <row r="641" customFormat="false" ht="15" hidden="false" customHeight="false" outlineLevel="0" collapsed="false">
      <c r="A641" s="21"/>
      <c r="B641" s="21"/>
      <c r="C641" s="21"/>
      <c r="D641" s="26"/>
      <c r="E641" s="26"/>
      <c r="F641" s="17"/>
      <c r="G641" s="25"/>
      <c r="H641" s="21"/>
      <c r="I641" s="21"/>
      <c r="J641" s="18" t="str">
        <f aca="false">IF($A641="","",$F641*$G641)</f>
        <v/>
      </c>
    </row>
    <row r="642" customFormat="false" ht="15" hidden="false" customHeight="false" outlineLevel="0" collapsed="false">
      <c r="A642" s="21"/>
      <c r="B642" s="21"/>
      <c r="C642" s="21"/>
      <c r="D642" s="26"/>
      <c r="E642" s="26"/>
      <c r="F642" s="17"/>
      <c r="G642" s="25"/>
      <c r="H642" s="21"/>
      <c r="I642" s="21"/>
      <c r="J642" s="18" t="str">
        <f aca="false">IF($A642="","",$F642*$G642)</f>
        <v/>
      </c>
    </row>
    <row r="643" customFormat="false" ht="15" hidden="false" customHeight="false" outlineLevel="0" collapsed="false">
      <c r="A643" s="21"/>
      <c r="B643" s="21"/>
      <c r="C643" s="21"/>
      <c r="D643" s="26"/>
      <c r="E643" s="26"/>
      <c r="F643" s="17"/>
      <c r="G643" s="25"/>
      <c r="H643" s="21"/>
      <c r="I643" s="21"/>
      <c r="J643" s="18" t="str">
        <f aca="false">IF($A643="","",$F643*$G643)</f>
        <v/>
      </c>
    </row>
    <row r="644" customFormat="false" ht="15" hidden="false" customHeight="false" outlineLevel="0" collapsed="false">
      <c r="A644" s="21"/>
      <c r="B644" s="21"/>
      <c r="C644" s="21"/>
      <c r="D644" s="26"/>
      <c r="E644" s="26"/>
      <c r="F644" s="17"/>
      <c r="G644" s="25"/>
      <c r="H644" s="21"/>
      <c r="I644" s="21"/>
      <c r="J644" s="18" t="str">
        <f aca="false">IF($A644="","",$F644*$G644)</f>
        <v/>
      </c>
    </row>
    <row r="645" customFormat="false" ht="15" hidden="false" customHeight="false" outlineLevel="0" collapsed="false">
      <c r="A645" s="21"/>
      <c r="B645" s="21"/>
      <c r="C645" s="21"/>
      <c r="D645" s="26"/>
      <c r="E645" s="26"/>
      <c r="F645" s="17"/>
      <c r="G645" s="25"/>
      <c r="H645" s="21"/>
      <c r="I645" s="21"/>
      <c r="J645" s="18" t="str">
        <f aca="false">IF($A645="","",$F645*$G645)</f>
        <v/>
      </c>
    </row>
    <row r="646" customFormat="false" ht="15" hidden="false" customHeight="false" outlineLevel="0" collapsed="false">
      <c r="A646" s="21"/>
      <c r="B646" s="21"/>
      <c r="C646" s="21"/>
      <c r="D646" s="26"/>
      <c r="E646" s="26"/>
      <c r="F646" s="17"/>
      <c r="G646" s="25"/>
      <c r="H646" s="21"/>
      <c r="I646" s="21"/>
      <c r="J646" s="18" t="str">
        <f aca="false">IF($A646="","",$F646*$G646)</f>
        <v/>
      </c>
    </row>
    <row r="647" customFormat="false" ht="15" hidden="false" customHeight="false" outlineLevel="0" collapsed="false">
      <c r="A647" s="21"/>
      <c r="B647" s="21"/>
      <c r="C647" s="21"/>
      <c r="D647" s="26"/>
      <c r="E647" s="26"/>
      <c r="F647" s="17"/>
      <c r="G647" s="25"/>
      <c r="H647" s="21"/>
      <c r="I647" s="21"/>
      <c r="J647" s="18" t="str">
        <f aca="false">IF($A647="","",$F647*$G647)</f>
        <v/>
      </c>
    </row>
    <row r="648" customFormat="false" ht="15" hidden="false" customHeight="false" outlineLevel="0" collapsed="false">
      <c r="A648" s="21"/>
      <c r="B648" s="21"/>
      <c r="C648" s="21"/>
      <c r="D648" s="26"/>
      <c r="E648" s="26"/>
      <c r="F648" s="17"/>
      <c r="G648" s="25"/>
      <c r="H648" s="21"/>
      <c r="I648" s="21"/>
      <c r="J648" s="18" t="str">
        <f aca="false">IF($A648="","",$F648*$G648)</f>
        <v/>
      </c>
    </row>
    <row r="649" customFormat="false" ht="15" hidden="false" customHeight="false" outlineLevel="0" collapsed="false">
      <c r="A649" s="21"/>
      <c r="B649" s="21"/>
      <c r="C649" s="21"/>
      <c r="D649" s="26"/>
      <c r="E649" s="26"/>
      <c r="F649" s="17"/>
      <c r="G649" s="25"/>
      <c r="H649" s="21"/>
      <c r="I649" s="21"/>
      <c r="J649" s="18" t="str">
        <f aca="false">IF($A649="","",$F649*$G649)</f>
        <v/>
      </c>
    </row>
    <row r="650" customFormat="false" ht="15" hidden="false" customHeight="false" outlineLevel="0" collapsed="false">
      <c r="A650" s="21"/>
      <c r="B650" s="21"/>
      <c r="C650" s="21"/>
      <c r="D650" s="26"/>
      <c r="E650" s="26"/>
      <c r="F650" s="17"/>
      <c r="G650" s="25"/>
      <c r="H650" s="21"/>
      <c r="I650" s="21"/>
      <c r="J650" s="18" t="str">
        <f aca="false">IF($A650="","",$F650*$G650)</f>
        <v/>
      </c>
    </row>
    <row r="651" customFormat="false" ht="15" hidden="false" customHeight="false" outlineLevel="0" collapsed="false">
      <c r="A651" s="21"/>
      <c r="B651" s="21"/>
      <c r="C651" s="21"/>
      <c r="D651" s="26"/>
      <c r="E651" s="26"/>
      <c r="F651" s="17"/>
      <c r="G651" s="25"/>
      <c r="H651" s="21"/>
      <c r="I651" s="21"/>
      <c r="J651" s="18" t="str">
        <f aca="false">IF($A651="","",$F651*$G651)</f>
        <v/>
      </c>
    </row>
    <row r="652" customFormat="false" ht="15" hidden="false" customHeight="false" outlineLevel="0" collapsed="false">
      <c r="A652" s="21"/>
      <c r="B652" s="21"/>
      <c r="C652" s="21"/>
      <c r="D652" s="26"/>
      <c r="E652" s="26"/>
      <c r="F652" s="17"/>
      <c r="G652" s="25"/>
      <c r="H652" s="21"/>
      <c r="I652" s="21"/>
      <c r="J652" s="18" t="str">
        <f aca="false">IF($A652="","",$F652*$G652)</f>
        <v/>
      </c>
    </row>
    <row r="653" customFormat="false" ht="15" hidden="false" customHeight="false" outlineLevel="0" collapsed="false">
      <c r="A653" s="21"/>
      <c r="B653" s="21"/>
      <c r="C653" s="21"/>
      <c r="D653" s="26"/>
      <c r="E653" s="26"/>
      <c r="F653" s="17"/>
      <c r="G653" s="25"/>
      <c r="H653" s="21"/>
      <c r="I653" s="21"/>
      <c r="J653" s="18" t="str">
        <f aca="false">IF($A653="","",$F653*$G653)</f>
        <v/>
      </c>
    </row>
    <row r="654" customFormat="false" ht="15" hidden="false" customHeight="false" outlineLevel="0" collapsed="false">
      <c r="A654" s="21"/>
      <c r="B654" s="21"/>
      <c r="C654" s="21"/>
      <c r="D654" s="26"/>
      <c r="E654" s="26"/>
      <c r="F654" s="17"/>
      <c r="G654" s="25"/>
      <c r="H654" s="21"/>
      <c r="I654" s="21"/>
      <c r="J654" s="18" t="str">
        <f aca="false">IF($A654="","",$F654*$G654)</f>
        <v/>
      </c>
    </row>
    <row r="655" customFormat="false" ht="15" hidden="false" customHeight="false" outlineLevel="0" collapsed="false">
      <c r="A655" s="21"/>
      <c r="B655" s="21"/>
      <c r="C655" s="21"/>
      <c r="D655" s="26"/>
      <c r="E655" s="26"/>
      <c r="F655" s="17"/>
      <c r="G655" s="25"/>
      <c r="H655" s="21"/>
      <c r="I655" s="21"/>
      <c r="J655" s="18" t="str">
        <f aca="false">IF($A655="","",$F655*$G655)</f>
        <v/>
      </c>
    </row>
    <row r="656" customFormat="false" ht="15" hidden="false" customHeight="false" outlineLevel="0" collapsed="false">
      <c r="A656" s="21"/>
      <c r="B656" s="21"/>
      <c r="C656" s="21"/>
      <c r="D656" s="26"/>
      <c r="E656" s="26"/>
      <c r="F656" s="17"/>
      <c r="G656" s="25"/>
      <c r="H656" s="21"/>
      <c r="I656" s="21"/>
      <c r="J656" s="18" t="str">
        <f aca="false">IF($A656="","",$F656*$G656)</f>
        <v/>
      </c>
    </row>
    <row r="657" customFormat="false" ht="15" hidden="false" customHeight="false" outlineLevel="0" collapsed="false">
      <c r="A657" s="21"/>
      <c r="B657" s="21"/>
      <c r="C657" s="21"/>
      <c r="D657" s="26"/>
      <c r="E657" s="26"/>
      <c r="F657" s="17"/>
      <c r="G657" s="25"/>
      <c r="H657" s="21"/>
      <c r="I657" s="21"/>
      <c r="J657" s="18" t="str">
        <f aca="false">IF($A657="","",$F657*$G657)</f>
        <v/>
      </c>
    </row>
    <row r="658" customFormat="false" ht="15" hidden="false" customHeight="false" outlineLevel="0" collapsed="false">
      <c r="A658" s="21"/>
      <c r="B658" s="21"/>
      <c r="C658" s="21"/>
      <c r="D658" s="26"/>
      <c r="E658" s="26"/>
      <c r="F658" s="17"/>
      <c r="G658" s="25"/>
      <c r="H658" s="21"/>
      <c r="I658" s="21"/>
      <c r="J658" s="18" t="str">
        <f aca="false">IF($A658="","",$F658*$G658)</f>
        <v/>
      </c>
    </row>
    <row r="659" customFormat="false" ht="15" hidden="false" customHeight="false" outlineLevel="0" collapsed="false">
      <c r="A659" s="21"/>
      <c r="B659" s="21"/>
      <c r="C659" s="21"/>
      <c r="D659" s="26"/>
      <c r="E659" s="26"/>
      <c r="F659" s="17"/>
      <c r="G659" s="25"/>
      <c r="H659" s="21"/>
      <c r="I659" s="21"/>
      <c r="J659" s="18" t="str">
        <f aca="false">IF($A659="","",$F659*$G659)</f>
        <v/>
      </c>
    </row>
    <row r="660" customFormat="false" ht="15" hidden="false" customHeight="false" outlineLevel="0" collapsed="false">
      <c r="A660" s="21"/>
      <c r="B660" s="21"/>
      <c r="C660" s="21"/>
      <c r="D660" s="26"/>
      <c r="E660" s="26"/>
      <c r="F660" s="17"/>
      <c r="G660" s="25"/>
      <c r="H660" s="21"/>
      <c r="I660" s="21"/>
      <c r="J660" s="18" t="str">
        <f aca="false">IF($A660="","",$F660*$G660)</f>
        <v/>
      </c>
    </row>
    <row r="661" customFormat="false" ht="15" hidden="false" customHeight="false" outlineLevel="0" collapsed="false">
      <c r="A661" s="21"/>
      <c r="B661" s="21"/>
      <c r="C661" s="21"/>
      <c r="D661" s="26"/>
      <c r="E661" s="26"/>
      <c r="F661" s="17"/>
      <c r="G661" s="25"/>
      <c r="H661" s="21"/>
      <c r="I661" s="21"/>
      <c r="J661" s="18" t="str">
        <f aca="false">IF($A661="","",$F661*$G661)</f>
        <v/>
      </c>
    </row>
    <row r="662" customFormat="false" ht="15" hidden="false" customHeight="false" outlineLevel="0" collapsed="false">
      <c r="A662" s="21"/>
      <c r="B662" s="21"/>
      <c r="C662" s="21"/>
      <c r="D662" s="26"/>
      <c r="E662" s="26"/>
      <c r="F662" s="17"/>
      <c r="G662" s="25"/>
      <c r="H662" s="21"/>
      <c r="I662" s="21"/>
      <c r="J662" s="18" t="str">
        <f aca="false">IF($A662="","",$F662*$G662)</f>
        <v/>
      </c>
    </row>
    <row r="663" customFormat="false" ht="15" hidden="false" customHeight="false" outlineLevel="0" collapsed="false">
      <c r="A663" s="21"/>
      <c r="B663" s="21"/>
      <c r="C663" s="21"/>
      <c r="D663" s="26"/>
      <c r="E663" s="26"/>
      <c r="F663" s="17"/>
      <c r="G663" s="25"/>
      <c r="H663" s="21"/>
      <c r="I663" s="21"/>
      <c r="J663" s="18" t="str">
        <f aca="false">IF($A663="","",$F663*$G663)</f>
        <v/>
      </c>
    </row>
    <row r="664" customFormat="false" ht="15" hidden="false" customHeight="false" outlineLevel="0" collapsed="false">
      <c r="A664" s="21"/>
      <c r="B664" s="21"/>
      <c r="C664" s="21"/>
      <c r="D664" s="26"/>
      <c r="E664" s="26"/>
      <c r="F664" s="17"/>
      <c r="G664" s="25"/>
      <c r="H664" s="21"/>
      <c r="I664" s="21"/>
      <c r="J664" s="18" t="str">
        <f aca="false">IF($A664="","",$F664*$G664)</f>
        <v/>
      </c>
    </row>
    <row r="665" customFormat="false" ht="15" hidden="false" customHeight="false" outlineLevel="0" collapsed="false">
      <c r="A665" s="21"/>
      <c r="B665" s="21"/>
      <c r="C665" s="21"/>
      <c r="D665" s="26"/>
      <c r="E665" s="26"/>
      <c r="F665" s="17"/>
      <c r="G665" s="25"/>
      <c r="H665" s="21"/>
      <c r="I665" s="21"/>
      <c r="J665" s="18" t="str">
        <f aca="false">IF($A665="","",$F665*$G665)</f>
        <v/>
      </c>
    </row>
    <row r="666" customFormat="false" ht="15" hidden="false" customHeight="false" outlineLevel="0" collapsed="false">
      <c r="A666" s="21"/>
      <c r="B666" s="21"/>
      <c r="C666" s="21"/>
      <c r="D666" s="26"/>
      <c r="E666" s="26"/>
      <c r="F666" s="17"/>
      <c r="G666" s="25"/>
      <c r="H666" s="21"/>
      <c r="I666" s="21"/>
      <c r="J666" s="18" t="str">
        <f aca="false">IF($A666="","",$F666*$G666)</f>
        <v/>
      </c>
    </row>
    <row r="667" customFormat="false" ht="15" hidden="false" customHeight="false" outlineLevel="0" collapsed="false">
      <c r="A667" s="21"/>
      <c r="B667" s="21"/>
      <c r="C667" s="21"/>
      <c r="D667" s="26"/>
      <c r="E667" s="26"/>
      <c r="F667" s="17"/>
      <c r="G667" s="25"/>
      <c r="H667" s="21"/>
      <c r="I667" s="21"/>
      <c r="J667" s="18" t="str">
        <f aca="false">IF($A667="","",$F667*$G667)</f>
        <v/>
      </c>
    </row>
    <row r="668" customFormat="false" ht="15" hidden="false" customHeight="false" outlineLevel="0" collapsed="false">
      <c r="A668" s="21"/>
      <c r="B668" s="21"/>
      <c r="C668" s="21"/>
      <c r="D668" s="26"/>
      <c r="E668" s="26"/>
      <c r="F668" s="17"/>
      <c r="G668" s="25"/>
      <c r="H668" s="21"/>
      <c r="I668" s="21"/>
      <c r="J668" s="18" t="str">
        <f aca="false">IF($A668="","",$F668*$G668)</f>
        <v/>
      </c>
    </row>
    <row r="669" customFormat="false" ht="15" hidden="false" customHeight="false" outlineLevel="0" collapsed="false">
      <c r="A669" s="21"/>
      <c r="B669" s="21"/>
      <c r="C669" s="21"/>
      <c r="D669" s="26"/>
      <c r="E669" s="26"/>
      <c r="F669" s="17"/>
      <c r="G669" s="25"/>
      <c r="H669" s="21"/>
      <c r="I669" s="21"/>
      <c r="J669" s="18" t="str">
        <f aca="false">IF($A669="","",$F669*$G669)</f>
        <v/>
      </c>
    </row>
    <row r="670" customFormat="false" ht="15" hidden="false" customHeight="false" outlineLevel="0" collapsed="false">
      <c r="A670" s="21"/>
      <c r="B670" s="21"/>
      <c r="C670" s="21"/>
      <c r="D670" s="26"/>
      <c r="E670" s="26"/>
      <c r="F670" s="17"/>
      <c r="G670" s="25"/>
      <c r="H670" s="21"/>
      <c r="I670" s="21"/>
      <c r="J670" s="18" t="str">
        <f aca="false">IF($A670="","",$F670*$G670)</f>
        <v/>
      </c>
    </row>
    <row r="671" customFormat="false" ht="15" hidden="false" customHeight="false" outlineLevel="0" collapsed="false">
      <c r="A671" s="21"/>
      <c r="B671" s="21"/>
      <c r="C671" s="21"/>
      <c r="D671" s="26"/>
      <c r="E671" s="26"/>
      <c r="F671" s="17"/>
      <c r="G671" s="25"/>
      <c r="H671" s="21"/>
      <c r="I671" s="21"/>
      <c r="J671" s="18" t="str">
        <f aca="false">IF($A671="","",$F671*$G671)</f>
        <v/>
      </c>
    </row>
    <row r="672" customFormat="false" ht="15" hidden="false" customHeight="false" outlineLevel="0" collapsed="false">
      <c r="A672" s="21"/>
      <c r="B672" s="21"/>
      <c r="C672" s="21"/>
      <c r="D672" s="26"/>
      <c r="E672" s="26"/>
      <c r="F672" s="17"/>
      <c r="G672" s="25"/>
      <c r="H672" s="21"/>
      <c r="I672" s="21"/>
      <c r="J672" s="18" t="str">
        <f aca="false">IF($A672="","",$F672*$G672)</f>
        <v/>
      </c>
    </row>
    <row r="673" customFormat="false" ht="15" hidden="false" customHeight="false" outlineLevel="0" collapsed="false">
      <c r="A673" s="21"/>
      <c r="B673" s="21"/>
      <c r="C673" s="21"/>
      <c r="D673" s="26"/>
      <c r="E673" s="26"/>
      <c r="F673" s="17"/>
      <c r="G673" s="25"/>
      <c r="H673" s="21"/>
      <c r="I673" s="21"/>
      <c r="J673" s="18" t="str">
        <f aca="false">IF($A673="","",$F673*$G673)</f>
        <v/>
      </c>
    </row>
    <row r="674" customFormat="false" ht="15" hidden="false" customHeight="false" outlineLevel="0" collapsed="false">
      <c r="A674" s="21"/>
      <c r="B674" s="21"/>
      <c r="C674" s="21"/>
      <c r="D674" s="26"/>
      <c r="E674" s="26"/>
      <c r="F674" s="17"/>
      <c r="G674" s="25"/>
      <c r="H674" s="21"/>
      <c r="I674" s="21"/>
      <c r="J674" s="18" t="str">
        <f aca="false">IF($A674="","",$F674*$G674)</f>
        <v/>
      </c>
    </row>
    <row r="675" customFormat="false" ht="15" hidden="false" customHeight="false" outlineLevel="0" collapsed="false">
      <c r="A675" s="21"/>
      <c r="B675" s="21"/>
      <c r="C675" s="21"/>
      <c r="D675" s="26"/>
      <c r="E675" s="26"/>
      <c r="F675" s="17"/>
      <c r="G675" s="25"/>
      <c r="H675" s="21"/>
      <c r="I675" s="21"/>
      <c r="J675" s="18" t="str">
        <f aca="false">IF($A675="","",$F675*$G675)</f>
        <v/>
      </c>
    </row>
    <row r="676" customFormat="false" ht="15" hidden="false" customHeight="false" outlineLevel="0" collapsed="false">
      <c r="A676" s="21"/>
      <c r="B676" s="21"/>
      <c r="C676" s="21"/>
      <c r="D676" s="26"/>
      <c r="E676" s="26"/>
      <c r="F676" s="17"/>
      <c r="G676" s="25"/>
      <c r="H676" s="21"/>
      <c r="I676" s="21"/>
      <c r="J676" s="18" t="str">
        <f aca="false">IF($A676="","",$F676*$G676)</f>
        <v/>
      </c>
    </row>
    <row r="677" customFormat="false" ht="15" hidden="false" customHeight="false" outlineLevel="0" collapsed="false">
      <c r="A677" s="21"/>
      <c r="B677" s="21"/>
      <c r="C677" s="21"/>
      <c r="D677" s="26"/>
      <c r="E677" s="26"/>
      <c r="F677" s="17"/>
      <c r="G677" s="25"/>
      <c r="H677" s="21"/>
      <c r="I677" s="21"/>
      <c r="J677" s="18" t="str">
        <f aca="false">IF($A677="","",$F677*$G677)</f>
        <v/>
      </c>
    </row>
    <row r="678" customFormat="false" ht="15" hidden="false" customHeight="false" outlineLevel="0" collapsed="false">
      <c r="A678" s="21"/>
      <c r="B678" s="21"/>
      <c r="C678" s="21"/>
      <c r="D678" s="26"/>
      <c r="E678" s="26"/>
      <c r="F678" s="17"/>
      <c r="G678" s="25"/>
      <c r="H678" s="21"/>
      <c r="I678" s="21"/>
      <c r="J678" s="18" t="str">
        <f aca="false">IF($A678="","",$F678*$G678)</f>
        <v/>
      </c>
    </row>
    <row r="679" customFormat="false" ht="15" hidden="false" customHeight="false" outlineLevel="0" collapsed="false">
      <c r="A679" s="21"/>
      <c r="B679" s="21"/>
      <c r="C679" s="21"/>
      <c r="D679" s="26"/>
      <c r="E679" s="26"/>
      <c r="F679" s="17"/>
      <c r="G679" s="25"/>
      <c r="H679" s="21"/>
      <c r="I679" s="21"/>
      <c r="J679" s="18" t="str">
        <f aca="false">IF($A679="","",$F679*$G679)</f>
        <v/>
      </c>
    </row>
    <row r="680" customFormat="false" ht="15" hidden="false" customHeight="false" outlineLevel="0" collapsed="false">
      <c r="A680" s="21"/>
      <c r="B680" s="21"/>
      <c r="C680" s="21"/>
      <c r="D680" s="26"/>
      <c r="E680" s="26"/>
      <c r="F680" s="17"/>
      <c r="G680" s="25"/>
      <c r="H680" s="21"/>
      <c r="I680" s="21"/>
      <c r="J680" s="18" t="str">
        <f aca="false">IF($A680="","",$F680*$G680)</f>
        <v/>
      </c>
    </row>
    <row r="681" customFormat="false" ht="15" hidden="false" customHeight="false" outlineLevel="0" collapsed="false">
      <c r="A681" s="21"/>
      <c r="B681" s="21"/>
      <c r="C681" s="21"/>
      <c r="D681" s="26"/>
      <c r="E681" s="26"/>
      <c r="F681" s="17"/>
      <c r="G681" s="25"/>
      <c r="H681" s="21"/>
      <c r="I681" s="21"/>
      <c r="J681" s="18" t="str">
        <f aca="false">IF($A681="","",$F681*$G681)</f>
        <v/>
      </c>
    </row>
    <row r="682" customFormat="false" ht="15" hidden="false" customHeight="false" outlineLevel="0" collapsed="false">
      <c r="A682" s="21"/>
      <c r="B682" s="21"/>
      <c r="C682" s="21"/>
      <c r="D682" s="26"/>
      <c r="E682" s="26"/>
      <c r="F682" s="17"/>
      <c r="G682" s="25"/>
      <c r="H682" s="21"/>
      <c r="I682" s="21"/>
      <c r="J682" s="18" t="str">
        <f aca="false">IF($A682="","",$F682*$G682)</f>
        <v/>
      </c>
    </row>
    <row r="683" customFormat="false" ht="15" hidden="false" customHeight="false" outlineLevel="0" collapsed="false">
      <c r="A683" s="21"/>
      <c r="B683" s="21"/>
      <c r="C683" s="21"/>
      <c r="D683" s="26"/>
      <c r="E683" s="26"/>
      <c r="F683" s="17"/>
      <c r="G683" s="25"/>
      <c r="H683" s="21"/>
      <c r="I683" s="21"/>
      <c r="J683" s="18" t="str">
        <f aca="false">IF($A683="","",$F683*$G683)</f>
        <v/>
      </c>
    </row>
    <row r="684" customFormat="false" ht="15" hidden="false" customHeight="false" outlineLevel="0" collapsed="false">
      <c r="A684" s="21"/>
      <c r="B684" s="21"/>
      <c r="C684" s="21"/>
      <c r="D684" s="26"/>
      <c r="E684" s="26"/>
      <c r="F684" s="17"/>
      <c r="G684" s="25"/>
      <c r="H684" s="21"/>
      <c r="I684" s="21"/>
      <c r="J684" s="18" t="str">
        <f aca="false">IF($A684="","",$F684*$G684)</f>
        <v/>
      </c>
    </row>
    <row r="685" customFormat="false" ht="15" hidden="false" customHeight="false" outlineLevel="0" collapsed="false">
      <c r="A685" s="21"/>
      <c r="B685" s="21"/>
      <c r="C685" s="21"/>
      <c r="D685" s="26"/>
      <c r="E685" s="26"/>
      <c r="F685" s="17"/>
      <c r="G685" s="25"/>
      <c r="H685" s="21"/>
      <c r="I685" s="21"/>
      <c r="J685" s="18" t="str">
        <f aca="false">IF($A685="","",$F685*$G685)</f>
        <v/>
      </c>
    </row>
    <row r="686" customFormat="false" ht="15" hidden="false" customHeight="false" outlineLevel="0" collapsed="false">
      <c r="A686" s="21"/>
      <c r="B686" s="21"/>
      <c r="C686" s="21"/>
      <c r="D686" s="26"/>
      <c r="E686" s="26"/>
      <c r="F686" s="17"/>
      <c r="G686" s="25"/>
      <c r="H686" s="21"/>
      <c r="I686" s="21"/>
      <c r="J686" s="18" t="str">
        <f aca="false">IF($A686="","",$F686*$G686)</f>
        <v/>
      </c>
    </row>
    <row r="687" customFormat="false" ht="15" hidden="false" customHeight="false" outlineLevel="0" collapsed="false">
      <c r="A687" s="21"/>
      <c r="B687" s="21"/>
      <c r="C687" s="21"/>
      <c r="D687" s="26"/>
      <c r="E687" s="26"/>
      <c r="F687" s="17"/>
      <c r="G687" s="25"/>
      <c r="H687" s="21"/>
      <c r="I687" s="21"/>
      <c r="J687" s="18" t="str">
        <f aca="false">IF($A687="","",$F687*$G687)</f>
        <v/>
      </c>
    </row>
    <row r="688" customFormat="false" ht="15" hidden="false" customHeight="false" outlineLevel="0" collapsed="false">
      <c r="A688" s="21"/>
      <c r="B688" s="21"/>
      <c r="C688" s="21"/>
      <c r="D688" s="26"/>
      <c r="E688" s="26"/>
      <c r="F688" s="17"/>
      <c r="G688" s="25"/>
      <c r="H688" s="21"/>
      <c r="I688" s="21"/>
      <c r="J688" s="18" t="str">
        <f aca="false">IF($A688="","",$F688*$G688)</f>
        <v/>
      </c>
    </row>
    <row r="689" customFormat="false" ht="15" hidden="false" customHeight="false" outlineLevel="0" collapsed="false">
      <c r="A689" s="21"/>
      <c r="B689" s="21"/>
      <c r="C689" s="21"/>
      <c r="D689" s="26"/>
      <c r="E689" s="26"/>
      <c r="F689" s="17"/>
      <c r="G689" s="25"/>
      <c r="H689" s="21"/>
      <c r="I689" s="21"/>
      <c r="J689" s="18" t="str">
        <f aca="false">IF($A689="","",$F689*$G689)</f>
        <v/>
      </c>
    </row>
    <row r="690" customFormat="false" ht="15" hidden="false" customHeight="false" outlineLevel="0" collapsed="false">
      <c r="A690" s="21"/>
      <c r="B690" s="21"/>
      <c r="C690" s="21"/>
      <c r="D690" s="26"/>
      <c r="E690" s="26"/>
      <c r="F690" s="17"/>
      <c r="G690" s="25"/>
      <c r="H690" s="21"/>
      <c r="I690" s="21"/>
      <c r="J690" s="18" t="str">
        <f aca="false">IF($A690="","",$F690*$G690)</f>
        <v/>
      </c>
    </row>
    <row r="691" customFormat="false" ht="15" hidden="false" customHeight="false" outlineLevel="0" collapsed="false">
      <c r="A691" s="21"/>
      <c r="B691" s="21"/>
      <c r="C691" s="21"/>
      <c r="D691" s="26"/>
      <c r="E691" s="26"/>
      <c r="F691" s="17"/>
      <c r="G691" s="25"/>
      <c r="H691" s="21"/>
      <c r="I691" s="21"/>
      <c r="J691" s="18" t="str">
        <f aca="false">IF($A691="","",$F691*$G691)</f>
        <v/>
      </c>
    </row>
    <row r="692" customFormat="false" ht="15" hidden="false" customHeight="false" outlineLevel="0" collapsed="false">
      <c r="A692" s="21"/>
      <c r="B692" s="21"/>
      <c r="C692" s="21"/>
      <c r="D692" s="26"/>
      <c r="E692" s="26"/>
      <c r="F692" s="17"/>
      <c r="G692" s="25"/>
      <c r="H692" s="21"/>
      <c r="I692" s="21"/>
      <c r="J692" s="18" t="str">
        <f aca="false">IF($A692="","",$F692*$G692)</f>
        <v/>
      </c>
    </row>
    <row r="693" customFormat="false" ht="15" hidden="false" customHeight="false" outlineLevel="0" collapsed="false">
      <c r="A693" s="21"/>
      <c r="B693" s="21"/>
      <c r="C693" s="21"/>
      <c r="D693" s="26"/>
      <c r="E693" s="26"/>
      <c r="F693" s="17"/>
      <c r="G693" s="25"/>
      <c r="H693" s="21"/>
      <c r="I693" s="21"/>
      <c r="J693" s="18" t="str">
        <f aca="false">IF($A693="","",$F693*$G693)</f>
        <v/>
      </c>
    </row>
    <row r="694" customFormat="false" ht="15" hidden="false" customHeight="false" outlineLevel="0" collapsed="false">
      <c r="A694" s="21"/>
      <c r="B694" s="21"/>
      <c r="C694" s="21"/>
      <c r="D694" s="26"/>
      <c r="E694" s="26"/>
      <c r="F694" s="17"/>
      <c r="G694" s="25"/>
      <c r="H694" s="21"/>
      <c r="I694" s="21"/>
      <c r="J694" s="18" t="str">
        <f aca="false">IF($A694="","",$F694*$G694)</f>
        <v/>
      </c>
    </row>
    <row r="695" customFormat="false" ht="15" hidden="false" customHeight="false" outlineLevel="0" collapsed="false">
      <c r="A695" s="21"/>
      <c r="B695" s="21"/>
      <c r="C695" s="21"/>
      <c r="D695" s="26"/>
      <c r="E695" s="26"/>
      <c r="F695" s="17"/>
      <c r="G695" s="25"/>
      <c r="H695" s="21"/>
      <c r="I695" s="21"/>
      <c r="J695" s="18" t="str">
        <f aca="false">IF($A695="","",$F695*$G695)</f>
        <v/>
      </c>
    </row>
    <row r="696" customFormat="false" ht="15" hidden="false" customHeight="false" outlineLevel="0" collapsed="false">
      <c r="A696" s="21"/>
      <c r="B696" s="21"/>
      <c r="C696" s="21"/>
      <c r="D696" s="26"/>
      <c r="E696" s="26"/>
      <c r="F696" s="17"/>
      <c r="G696" s="25"/>
      <c r="H696" s="21"/>
      <c r="I696" s="21"/>
      <c r="J696" s="18" t="str">
        <f aca="false">IF($A696="","",$F696*$G696)</f>
        <v/>
      </c>
    </row>
    <row r="697" customFormat="false" ht="15" hidden="false" customHeight="false" outlineLevel="0" collapsed="false">
      <c r="A697" s="21"/>
      <c r="B697" s="21"/>
      <c r="C697" s="21"/>
      <c r="D697" s="26"/>
      <c r="E697" s="26"/>
      <c r="F697" s="17"/>
      <c r="G697" s="25"/>
      <c r="H697" s="21"/>
      <c r="I697" s="21"/>
      <c r="J697" s="18" t="str">
        <f aca="false">IF($A697="","",$F697*$G697)</f>
        <v/>
      </c>
    </row>
    <row r="698" customFormat="false" ht="15" hidden="false" customHeight="false" outlineLevel="0" collapsed="false">
      <c r="A698" s="21"/>
      <c r="B698" s="21"/>
      <c r="C698" s="21"/>
      <c r="D698" s="26"/>
      <c r="E698" s="26"/>
      <c r="F698" s="17"/>
      <c r="G698" s="25"/>
      <c r="H698" s="21"/>
      <c r="I698" s="21"/>
      <c r="J698" s="18" t="str">
        <f aca="false">IF($A698="","",$F698*$G698)</f>
        <v/>
      </c>
    </row>
    <row r="699" customFormat="false" ht="15" hidden="false" customHeight="false" outlineLevel="0" collapsed="false">
      <c r="A699" s="21"/>
      <c r="B699" s="21"/>
      <c r="C699" s="21"/>
      <c r="D699" s="26"/>
      <c r="E699" s="26"/>
      <c r="F699" s="17"/>
      <c r="G699" s="25"/>
      <c r="H699" s="21"/>
      <c r="I699" s="21"/>
      <c r="J699" s="18" t="str">
        <f aca="false">IF($A699="","",$F699*$G699)</f>
        <v/>
      </c>
    </row>
    <row r="700" customFormat="false" ht="15" hidden="false" customHeight="false" outlineLevel="0" collapsed="false">
      <c r="A700" s="21"/>
      <c r="B700" s="21"/>
      <c r="C700" s="21"/>
      <c r="D700" s="26"/>
      <c r="E700" s="26"/>
      <c r="F700" s="17"/>
      <c r="G700" s="25"/>
      <c r="H700" s="21"/>
      <c r="I700" s="21"/>
      <c r="J700" s="18" t="str">
        <f aca="false">IF($A700="","",$F700*$G700)</f>
        <v/>
      </c>
    </row>
    <row r="701" customFormat="false" ht="15" hidden="false" customHeight="false" outlineLevel="0" collapsed="false">
      <c r="A701" s="21"/>
      <c r="B701" s="21"/>
      <c r="C701" s="21"/>
      <c r="D701" s="26"/>
      <c r="E701" s="26"/>
      <c r="F701" s="17"/>
      <c r="G701" s="25"/>
      <c r="H701" s="21"/>
      <c r="I701" s="21"/>
      <c r="J701" s="18" t="str">
        <f aca="false">IF($A701="","",$F701*$G701)</f>
        <v/>
      </c>
    </row>
    <row r="702" customFormat="false" ht="15" hidden="false" customHeight="false" outlineLevel="0" collapsed="false">
      <c r="A702" s="21"/>
      <c r="B702" s="21"/>
      <c r="C702" s="21"/>
      <c r="D702" s="26"/>
      <c r="E702" s="26"/>
      <c r="F702" s="17"/>
      <c r="G702" s="25"/>
      <c r="H702" s="21"/>
      <c r="I702" s="21"/>
      <c r="J702" s="18" t="str">
        <f aca="false">IF($A702="","",$F702*$G702)</f>
        <v/>
      </c>
    </row>
    <row r="703" customFormat="false" ht="15" hidden="false" customHeight="false" outlineLevel="0" collapsed="false">
      <c r="A703" s="21"/>
      <c r="B703" s="21"/>
      <c r="C703" s="21"/>
      <c r="D703" s="26"/>
      <c r="E703" s="26"/>
      <c r="F703" s="17"/>
      <c r="G703" s="25"/>
      <c r="H703" s="21"/>
      <c r="I703" s="21"/>
      <c r="J703" s="18" t="str">
        <f aca="false">IF($A703="","",$F703*$G703)</f>
        <v/>
      </c>
    </row>
    <row r="704" customFormat="false" ht="15" hidden="false" customHeight="false" outlineLevel="0" collapsed="false">
      <c r="A704" s="21"/>
      <c r="B704" s="21"/>
      <c r="C704" s="21"/>
      <c r="D704" s="26"/>
      <c r="E704" s="26"/>
      <c r="F704" s="17"/>
      <c r="G704" s="25"/>
      <c r="H704" s="21"/>
      <c r="I704" s="21"/>
      <c r="J704" s="18" t="str">
        <f aca="false">IF($A704="","",$F704*$G704)</f>
        <v/>
      </c>
    </row>
    <row r="705" customFormat="false" ht="15" hidden="false" customHeight="false" outlineLevel="0" collapsed="false">
      <c r="A705" s="21"/>
      <c r="B705" s="21"/>
      <c r="C705" s="21"/>
      <c r="D705" s="26"/>
      <c r="E705" s="26"/>
      <c r="F705" s="17"/>
      <c r="G705" s="25"/>
      <c r="H705" s="21"/>
      <c r="I705" s="21"/>
      <c r="J705" s="18" t="str">
        <f aca="false">IF($A705="","",$F705*$G705)</f>
        <v/>
      </c>
    </row>
    <row r="706" customFormat="false" ht="15" hidden="false" customHeight="false" outlineLevel="0" collapsed="false">
      <c r="A706" s="21"/>
      <c r="B706" s="21"/>
      <c r="C706" s="21"/>
      <c r="D706" s="26"/>
      <c r="E706" s="26"/>
      <c r="F706" s="17"/>
      <c r="G706" s="25"/>
      <c r="H706" s="21"/>
      <c r="I706" s="21"/>
      <c r="J706" s="18" t="str">
        <f aca="false">IF($A706="","",$F706*$G706)</f>
        <v/>
      </c>
    </row>
    <row r="707" customFormat="false" ht="15" hidden="false" customHeight="false" outlineLevel="0" collapsed="false">
      <c r="A707" s="21"/>
      <c r="B707" s="21"/>
      <c r="C707" s="21"/>
      <c r="D707" s="26"/>
      <c r="E707" s="26"/>
      <c r="F707" s="17"/>
      <c r="G707" s="25"/>
      <c r="H707" s="21"/>
      <c r="I707" s="21"/>
      <c r="J707" s="18" t="str">
        <f aca="false">IF($A707="","",$F707*$G707)</f>
        <v/>
      </c>
    </row>
    <row r="708" customFormat="false" ht="15" hidden="false" customHeight="false" outlineLevel="0" collapsed="false">
      <c r="A708" s="21"/>
      <c r="B708" s="21"/>
      <c r="C708" s="21"/>
      <c r="D708" s="26"/>
      <c r="E708" s="26"/>
      <c r="F708" s="17"/>
      <c r="G708" s="25"/>
      <c r="H708" s="21"/>
      <c r="I708" s="21"/>
      <c r="J708" s="18" t="str">
        <f aca="false">IF($A708="","",$F708*$G708)</f>
        <v/>
      </c>
    </row>
    <row r="709" customFormat="false" ht="15" hidden="false" customHeight="false" outlineLevel="0" collapsed="false">
      <c r="A709" s="21"/>
      <c r="B709" s="21"/>
      <c r="C709" s="21"/>
      <c r="D709" s="26"/>
      <c r="E709" s="26"/>
      <c r="F709" s="17"/>
      <c r="G709" s="25"/>
      <c r="H709" s="21"/>
      <c r="I709" s="21"/>
      <c r="J709" s="18" t="str">
        <f aca="false">IF($A709="","",$F709*$G709)</f>
        <v/>
      </c>
    </row>
    <row r="710" customFormat="false" ht="15" hidden="false" customHeight="false" outlineLevel="0" collapsed="false">
      <c r="A710" s="21"/>
      <c r="B710" s="21"/>
      <c r="C710" s="21"/>
      <c r="D710" s="26"/>
      <c r="E710" s="26"/>
      <c r="F710" s="17"/>
      <c r="G710" s="25"/>
      <c r="H710" s="21"/>
      <c r="I710" s="21"/>
      <c r="J710" s="18" t="str">
        <f aca="false">IF($A710="","",$F710*$G710)</f>
        <v/>
      </c>
    </row>
    <row r="711" customFormat="false" ht="15" hidden="false" customHeight="false" outlineLevel="0" collapsed="false">
      <c r="A711" s="21"/>
      <c r="B711" s="21"/>
      <c r="C711" s="21"/>
      <c r="D711" s="26"/>
      <c r="E711" s="26"/>
      <c r="F711" s="17"/>
      <c r="G711" s="25"/>
      <c r="H711" s="21"/>
      <c r="I711" s="21"/>
      <c r="J711" s="18" t="str">
        <f aca="false">IF($A711="","",$F711*$G711)</f>
        <v/>
      </c>
    </row>
    <row r="712" customFormat="false" ht="15" hidden="false" customHeight="false" outlineLevel="0" collapsed="false">
      <c r="A712" s="21"/>
      <c r="B712" s="21"/>
      <c r="C712" s="21"/>
      <c r="D712" s="26"/>
      <c r="E712" s="26"/>
      <c r="F712" s="17"/>
      <c r="G712" s="25"/>
      <c r="H712" s="21"/>
      <c r="I712" s="21"/>
      <c r="J712" s="18" t="str">
        <f aca="false">IF($A712="","",$F712*$G712)</f>
        <v/>
      </c>
    </row>
    <row r="713" customFormat="false" ht="15" hidden="false" customHeight="false" outlineLevel="0" collapsed="false">
      <c r="A713" s="21"/>
      <c r="B713" s="21"/>
      <c r="C713" s="21"/>
      <c r="D713" s="26"/>
      <c r="E713" s="26"/>
      <c r="F713" s="17"/>
      <c r="G713" s="25"/>
      <c r="H713" s="21"/>
      <c r="I713" s="21"/>
      <c r="J713" s="18" t="str">
        <f aca="false">IF($A713="","",$F713*$G713)</f>
        <v/>
      </c>
    </row>
    <row r="714" customFormat="false" ht="15" hidden="false" customHeight="false" outlineLevel="0" collapsed="false">
      <c r="A714" s="21"/>
      <c r="B714" s="21"/>
      <c r="C714" s="21"/>
      <c r="D714" s="26"/>
      <c r="E714" s="26"/>
      <c r="F714" s="17"/>
      <c r="G714" s="25"/>
      <c r="H714" s="21"/>
      <c r="I714" s="21"/>
      <c r="J714" s="18" t="str">
        <f aca="false">IF($A714="","",$F714*$G714)</f>
        <v/>
      </c>
    </row>
    <row r="715" customFormat="false" ht="15" hidden="false" customHeight="false" outlineLevel="0" collapsed="false">
      <c r="A715" s="21"/>
      <c r="B715" s="21"/>
      <c r="C715" s="21"/>
      <c r="D715" s="26"/>
      <c r="E715" s="26"/>
      <c r="F715" s="17"/>
      <c r="G715" s="25"/>
      <c r="H715" s="21"/>
      <c r="I715" s="21"/>
      <c r="J715" s="18" t="str">
        <f aca="false">IF($A715="","",$F715*$G715)</f>
        <v/>
      </c>
    </row>
    <row r="716" customFormat="false" ht="15" hidden="false" customHeight="false" outlineLevel="0" collapsed="false">
      <c r="A716" s="21"/>
      <c r="B716" s="21"/>
      <c r="C716" s="21"/>
      <c r="D716" s="26"/>
      <c r="E716" s="26"/>
      <c r="F716" s="17"/>
      <c r="G716" s="25"/>
      <c r="H716" s="21"/>
      <c r="I716" s="21"/>
      <c r="J716" s="18" t="str">
        <f aca="false">IF($A716="","",$F716*$G716)</f>
        <v/>
      </c>
    </row>
    <row r="717" customFormat="false" ht="15" hidden="false" customHeight="false" outlineLevel="0" collapsed="false">
      <c r="A717" s="21"/>
      <c r="B717" s="21"/>
      <c r="C717" s="21"/>
      <c r="D717" s="26"/>
      <c r="E717" s="26"/>
      <c r="F717" s="17"/>
      <c r="G717" s="25"/>
      <c r="H717" s="21"/>
      <c r="I717" s="21"/>
      <c r="J717" s="18" t="str">
        <f aca="false">IF($A717="","",$F717*$G717)</f>
        <v/>
      </c>
    </row>
    <row r="718" customFormat="false" ht="15" hidden="false" customHeight="false" outlineLevel="0" collapsed="false">
      <c r="A718" s="21"/>
      <c r="B718" s="21"/>
      <c r="C718" s="21"/>
      <c r="D718" s="26"/>
      <c r="E718" s="26"/>
      <c r="F718" s="17"/>
      <c r="G718" s="25"/>
      <c r="H718" s="21"/>
      <c r="I718" s="21"/>
      <c r="J718" s="18" t="str">
        <f aca="false">IF($A718="","",$F718*$G718)</f>
        <v/>
      </c>
    </row>
    <row r="719" customFormat="false" ht="15" hidden="false" customHeight="false" outlineLevel="0" collapsed="false">
      <c r="A719" s="21"/>
      <c r="B719" s="21"/>
      <c r="C719" s="21"/>
      <c r="D719" s="26"/>
      <c r="E719" s="26"/>
      <c r="F719" s="17"/>
      <c r="G719" s="25"/>
      <c r="H719" s="21"/>
      <c r="I719" s="21"/>
      <c r="J719" s="18" t="str">
        <f aca="false">IF($A719="","",$F719*$G719)</f>
        <v/>
      </c>
    </row>
    <row r="720" customFormat="false" ht="15" hidden="false" customHeight="false" outlineLevel="0" collapsed="false">
      <c r="A720" s="21"/>
      <c r="B720" s="21"/>
      <c r="C720" s="21"/>
      <c r="D720" s="26"/>
      <c r="E720" s="26"/>
      <c r="F720" s="17"/>
      <c r="G720" s="25"/>
      <c r="H720" s="21"/>
      <c r="I720" s="21"/>
      <c r="J720" s="18" t="str">
        <f aca="false">IF($A720="","",$F720*$G720)</f>
        <v/>
      </c>
    </row>
    <row r="721" customFormat="false" ht="15" hidden="false" customHeight="false" outlineLevel="0" collapsed="false">
      <c r="A721" s="21"/>
      <c r="B721" s="21"/>
      <c r="C721" s="21"/>
      <c r="D721" s="26"/>
      <c r="E721" s="26"/>
      <c r="F721" s="17"/>
      <c r="G721" s="25"/>
      <c r="H721" s="21"/>
      <c r="I721" s="21"/>
      <c r="J721" s="18" t="str">
        <f aca="false">IF($A721="","",$F721*$G721)</f>
        <v/>
      </c>
    </row>
    <row r="722" customFormat="false" ht="15" hidden="false" customHeight="false" outlineLevel="0" collapsed="false">
      <c r="A722" s="21"/>
      <c r="B722" s="21"/>
      <c r="C722" s="21"/>
      <c r="D722" s="26"/>
      <c r="E722" s="26"/>
      <c r="F722" s="17"/>
      <c r="G722" s="25"/>
      <c r="H722" s="21"/>
      <c r="I722" s="21"/>
      <c r="J722" s="18" t="str">
        <f aca="false">IF($A722="","",$F722*$G722)</f>
        <v/>
      </c>
    </row>
    <row r="723" customFormat="false" ht="15" hidden="false" customHeight="false" outlineLevel="0" collapsed="false">
      <c r="A723" s="21"/>
      <c r="B723" s="21"/>
      <c r="C723" s="21"/>
      <c r="D723" s="26"/>
      <c r="E723" s="26"/>
      <c r="F723" s="17"/>
      <c r="G723" s="25"/>
      <c r="H723" s="21"/>
      <c r="I723" s="21"/>
      <c r="J723" s="18" t="str">
        <f aca="false">IF($A723="","",$F723*$G723)</f>
        <v/>
      </c>
    </row>
    <row r="724" customFormat="false" ht="15" hidden="false" customHeight="false" outlineLevel="0" collapsed="false">
      <c r="A724" s="21"/>
      <c r="B724" s="21"/>
      <c r="C724" s="21"/>
      <c r="D724" s="26"/>
      <c r="E724" s="26"/>
      <c r="F724" s="17"/>
      <c r="G724" s="25"/>
      <c r="H724" s="21"/>
      <c r="I724" s="21"/>
      <c r="J724" s="18" t="str">
        <f aca="false">IF($A724="","",$F724*$G724)</f>
        <v/>
      </c>
    </row>
    <row r="725" customFormat="false" ht="15" hidden="false" customHeight="false" outlineLevel="0" collapsed="false">
      <c r="A725" s="21"/>
      <c r="B725" s="21"/>
      <c r="C725" s="21"/>
      <c r="D725" s="26"/>
      <c r="E725" s="26"/>
      <c r="F725" s="17"/>
      <c r="G725" s="25"/>
      <c r="H725" s="21"/>
      <c r="I725" s="21"/>
      <c r="J725" s="18" t="str">
        <f aca="false">IF($A725="","",$F725*$G725)</f>
        <v/>
      </c>
    </row>
    <row r="726" customFormat="false" ht="15" hidden="false" customHeight="false" outlineLevel="0" collapsed="false">
      <c r="A726" s="21"/>
      <c r="B726" s="21"/>
      <c r="C726" s="21"/>
      <c r="D726" s="26"/>
      <c r="E726" s="26"/>
      <c r="F726" s="17"/>
      <c r="G726" s="25"/>
      <c r="H726" s="21"/>
      <c r="I726" s="21"/>
      <c r="J726" s="18" t="str">
        <f aca="false">IF($A726="","",$F726*$G726)</f>
        <v/>
      </c>
    </row>
    <row r="727" customFormat="false" ht="15" hidden="false" customHeight="false" outlineLevel="0" collapsed="false">
      <c r="A727" s="21"/>
      <c r="B727" s="21"/>
      <c r="C727" s="21"/>
      <c r="D727" s="26"/>
      <c r="E727" s="26"/>
      <c r="F727" s="17"/>
      <c r="G727" s="25"/>
      <c r="H727" s="21"/>
      <c r="I727" s="21"/>
      <c r="J727" s="18" t="str">
        <f aca="false">IF($A727="","",$F727*$G727)</f>
        <v/>
      </c>
    </row>
    <row r="728" customFormat="false" ht="15" hidden="false" customHeight="false" outlineLevel="0" collapsed="false">
      <c r="A728" s="21"/>
      <c r="B728" s="21"/>
      <c r="C728" s="21"/>
      <c r="D728" s="26"/>
      <c r="E728" s="26"/>
      <c r="F728" s="17"/>
      <c r="G728" s="25"/>
      <c r="H728" s="21"/>
      <c r="I728" s="21"/>
      <c r="J728" s="18" t="str">
        <f aca="false">IF($A728="","",$F728*$G728)</f>
        <v/>
      </c>
    </row>
    <row r="729" customFormat="false" ht="15" hidden="false" customHeight="false" outlineLevel="0" collapsed="false">
      <c r="A729" s="21"/>
      <c r="B729" s="21"/>
      <c r="C729" s="21"/>
      <c r="D729" s="26"/>
      <c r="E729" s="26"/>
      <c r="F729" s="17"/>
      <c r="G729" s="25"/>
      <c r="H729" s="21"/>
      <c r="I729" s="21"/>
      <c r="J729" s="18" t="str">
        <f aca="false">IF($A729="","",$F729*$G729)</f>
        <v/>
      </c>
    </row>
    <row r="730" customFormat="false" ht="15" hidden="false" customHeight="false" outlineLevel="0" collapsed="false">
      <c r="A730" s="21"/>
      <c r="B730" s="21"/>
      <c r="C730" s="21"/>
      <c r="D730" s="26"/>
      <c r="E730" s="26"/>
      <c r="F730" s="17"/>
      <c r="G730" s="25"/>
      <c r="H730" s="21"/>
      <c r="I730" s="21"/>
      <c r="J730" s="18" t="str">
        <f aca="false">IF($A730="","",$F730*$G730)</f>
        <v/>
      </c>
    </row>
    <row r="731" customFormat="false" ht="15" hidden="false" customHeight="false" outlineLevel="0" collapsed="false">
      <c r="A731" s="21"/>
      <c r="B731" s="21"/>
      <c r="C731" s="21"/>
      <c r="D731" s="26"/>
      <c r="E731" s="26"/>
      <c r="F731" s="17"/>
      <c r="G731" s="25"/>
      <c r="H731" s="21"/>
      <c r="I731" s="21"/>
      <c r="J731" s="18" t="str">
        <f aca="false">IF($A731="","",$F731*$G731)</f>
        <v/>
      </c>
    </row>
    <row r="732" customFormat="false" ht="15" hidden="false" customHeight="false" outlineLevel="0" collapsed="false">
      <c r="A732" s="21"/>
      <c r="B732" s="21"/>
      <c r="C732" s="21"/>
      <c r="D732" s="26"/>
      <c r="E732" s="26"/>
      <c r="F732" s="17"/>
      <c r="G732" s="25"/>
      <c r="H732" s="21"/>
      <c r="I732" s="21"/>
      <c r="J732" s="18" t="str">
        <f aca="false">IF($A732="","",$F732*$G732)</f>
        <v/>
      </c>
    </row>
    <row r="733" customFormat="false" ht="15" hidden="false" customHeight="false" outlineLevel="0" collapsed="false">
      <c r="A733" s="21"/>
      <c r="B733" s="21"/>
      <c r="C733" s="21"/>
      <c r="D733" s="26"/>
      <c r="E733" s="26"/>
      <c r="F733" s="17"/>
      <c r="G733" s="25"/>
      <c r="H733" s="21"/>
      <c r="I733" s="21"/>
      <c r="J733" s="18" t="str">
        <f aca="false">IF($A733="","",$F733*$G733)</f>
        <v/>
      </c>
    </row>
    <row r="734" customFormat="false" ht="15" hidden="false" customHeight="false" outlineLevel="0" collapsed="false">
      <c r="A734" s="21"/>
      <c r="B734" s="21"/>
      <c r="C734" s="21"/>
      <c r="D734" s="26"/>
      <c r="E734" s="26"/>
      <c r="F734" s="17"/>
      <c r="G734" s="25"/>
      <c r="H734" s="21"/>
      <c r="I734" s="21"/>
      <c r="J734" s="18" t="str">
        <f aca="false">IF($A734="","",$F734*$G734)</f>
        <v/>
      </c>
    </row>
    <row r="735" customFormat="false" ht="15" hidden="false" customHeight="false" outlineLevel="0" collapsed="false">
      <c r="A735" s="21"/>
      <c r="B735" s="21"/>
      <c r="C735" s="21"/>
      <c r="D735" s="26"/>
      <c r="E735" s="26"/>
      <c r="F735" s="17"/>
      <c r="G735" s="25"/>
      <c r="H735" s="21"/>
      <c r="I735" s="21"/>
      <c r="J735" s="18" t="str">
        <f aca="false">IF($A735="","",$F735*$G735)</f>
        <v/>
      </c>
    </row>
    <row r="736" customFormat="false" ht="15" hidden="false" customHeight="false" outlineLevel="0" collapsed="false">
      <c r="A736" s="21"/>
      <c r="B736" s="21"/>
      <c r="C736" s="21"/>
      <c r="D736" s="26"/>
      <c r="E736" s="26"/>
      <c r="F736" s="17"/>
      <c r="G736" s="25"/>
      <c r="H736" s="21"/>
      <c r="I736" s="21"/>
      <c r="J736" s="18" t="str">
        <f aca="false">IF($A736="","",$F736*$G736)</f>
        <v/>
      </c>
    </row>
    <row r="737" customFormat="false" ht="15" hidden="false" customHeight="false" outlineLevel="0" collapsed="false">
      <c r="A737" s="21"/>
      <c r="B737" s="21"/>
      <c r="C737" s="21"/>
      <c r="D737" s="26"/>
      <c r="E737" s="26"/>
      <c r="F737" s="17"/>
      <c r="G737" s="25"/>
      <c r="H737" s="21"/>
      <c r="I737" s="21"/>
      <c r="J737" s="18" t="str">
        <f aca="false">IF($A737="","",$F737*$G737)</f>
        <v/>
      </c>
    </row>
    <row r="738" customFormat="false" ht="15" hidden="false" customHeight="false" outlineLevel="0" collapsed="false">
      <c r="A738" s="21"/>
      <c r="B738" s="21"/>
      <c r="C738" s="21"/>
      <c r="D738" s="26"/>
      <c r="E738" s="26"/>
      <c r="F738" s="17"/>
      <c r="G738" s="25"/>
      <c r="H738" s="21"/>
      <c r="I738" s="21"/>
      <c r="J738" s="18" t="str">
        <f aca="false">IF($A738="","",$F738*$G738)</f>
        <v/>
      </c>
    </row>
    <row r="739" customFormat="false" ht="15" hidden="false" customHeight="false" outlineLevel="0" collapsed="false">
      <c r="A739" s="21"/>
      <c r="B739" s="21"/>
      <c r="C739" s="21"/>
      <c r="D739" s="26"/>
      <c r="E739" s="26"/>
      <c r="F739" s="17"/>
      <c r="G739" s="25"/>
      <c r="H739" s="21"/>
      <c r="I739" s="21"/>
      <c r="J739" s="18" t="str">
        <f aca="false">IF($A739="","",$F739*$G739)</f>
        <v/>
      </c>
    </row>
    <row r="740" customFormat="false" ht="15" hidden="false" customHeight="false" outlineLevel="0" collapsed="false">
      <c r="A740" s="21"/>
      <c r="B740" s="21"/>
      <c r="C740" s="21"/>
      <c r="D740" s="26"/>
      <c r="E740" s="26"/>
      <c r="F740" s="17"/>
      <c r="G740" s="25"/>
      <c r="H740" s="21"/>
      <c r="I740" s="21"/>
      <c r="J740" s="18" t="str">
        <f aca="false">IF($A740="","",$F740*$G740)</f>
        <v/>
      </c>
    </row>
    <row r="741" customFormat="false" ht="15" hidden="false" customHeight="false" outlineLevel="0" collapsed="false">
      <c r="A741" s="21"/>
      <c r="B741" s="21"/>
      <c r="C741" s="21"/>
      <c r="D741" s="26"/>
      <c r="E741" s="26"/>
      <c r="F741" s="17"/>
      <c r="G741" s="25"/>
      <c r="H741" s="21"/>
      <c r="I741" s="21"/>
      <c r="J741" s="18" t="str">
        <f aca="false">IF($A741="","",$F741*$G741)</f>
        <v/>
      </c>
    </row>
    <row r="742" customFormat="false" ht="15" hidden="false" customHeight="false" outlineLevel="0" collapsed="false">
      <c r="A742" s="21"/>
      <c r="B742" s="21"/>
      <c r="C742" s="21"/>
      <c r="D742" s="26"/>
      <c r="E742" s="26"/>
      <c r="F742" s="17"/>
      <c r="G742" s="25"/>
      <c r="H742" s="21"/>
      <c r="I742" s="21"/>
      <c r="J742" s="18" t="str">
        <f aca="false">IF($A742="","",$F742*$G742)</f>
        <v/>
      </c>
    </row>
    <row r="743" customFormat="false" ht="15" hidden="false" customHeight="false" outlineLevel="0" collapsed="false">
      <c r="A743" s="21"/>
      <c r="B743" s="21"/>
      <c r="C743" s="21"/>
      <c r="D743" s="26"/>
      <c r="E743" s="26"/>
      <c r="F743" s="17"/>
      <c r="G743" s="25"/>
      <c r="H743" s="21"/>
      <c r="I743" s="21"/>
      <c r="J743" s="18" t="str">
        <f aca="false">IF($A743="","",$F743*$G743)</f>
        <v/>
      </c>
    </row>
    <row r="744" customFormat="false" ht="15" hidden="false" customHeight="false" outlineLevel="0" collapsed="false">
      <c r="A744" s="21"/>
      <c r="B744" s="21"/>
      <c r="C744" s="21"/>
      <c r="D744" s="26"/>
      <c r="E744" s="26"/>
      <c r="F744" s="17"/>
      <c r="G744" s="25"/>
      <c r="H744" s="21"/>
      <c r="I744" s="21"/>
      <c r="J744" s="18" t="str">
        <f aca="false">IF($A744="","",$F744*$G744)</f>
        <v/>
      </c>
    </row>
    <row r="745" customFormat="false" ht="15" hidden="false" customHeight="false" outlineLevel="0" collapsed="false">
      <c r="A745" s="21"/>
      <c r="B745" s="21"/>
      <c r="C745" s="21"/>
      <c r="D745" s="26"/>
      <c r="E745" s="26"/>
      <c r="F745" s="17"/>
      <c r="G745" s="25"/>
      <c r="H745" s="21"/>
      <c r="I745" s="21"/>
      <c r="J745" s="18" t="str">
        <f aca="false">IF($A745="","",$F745*$G745)</f>
        <v/>
      </c>
    </row>
    <row r="746" customFormat="false" ht="15" hidden="false" customHeight="false" outlineLevel="0" collapsed="false">
      <c r="A746" s="21"/>
      <c r="B746" s="21"/>
      <c r="C746" s="21"/>
      <c r="D746" s="26"/>
      <c r="E746" s="26"/>
      <c r="F746" s="17"/>
      <c r="G746" s="25"/>
      <c r="H746" s="21"/>
      <c r="I746" s="21"/>
      <c r="J746" s="18" t="str">
        <f aca="false">IF($A746="","",$F746*$G746)</f>
        <v/>
      </c>
    </row>
    <row r="747" customFormat="false" ht="15" hidden="false" customHeight="false" outlineLevel="0" collapsed="false">
      <c r="A747" s="21"/>
      <c r="B747" s="21"/>
      <c r="C747" s="21"/>
      <c r="D747" s="26"/>
      <c r="E747" s="26"/>
      <c r="F747" s="17"/>
      <c r="G747" s="25"/>
      <c r="H747" s="21"/>
      <c r="I747" s="21"/>
      <c r="J747" s="18" t="str">
        <f aca="false">IF($A747="","",$F747*$G747)</f>
        <v/>
      </c>
    </row>
    <row r="748" customFormat="false" ht="15" hidden="false" customHeight="false" outlineLevel="0" collapsed="false">
      <c r="A748" s="21"/>
      <c r="B748" s="21"/>
      <c r="C748" s="21"/>
      <c r="D748" s="26"/>
      <c r="E748" s="26"/>
      <c r="F748" s="17"/>
      <c r="G748" s="25"/>
      <c r="H748" s="21"/>
      <c r="I748" s="21"/>
      <c r="J748" s="18" t="str">
        <f aca="false">IF($A748="","",$F748*$G748)</f>
        <v/>
      </c>
    </row>
    <row r="749" customFormat="false" ht="15" hidden="false" customHeight="false" outlineLevel="0" collapsed="false">
      <c r="A749" s="21"/>
      <c r="B749" s="21"/>
      <c r="C749" s="21"/>
      <c r="D749" s="26"/>
      <c r="E749" s="26"/>
      <c r="F749" s="17"/>
      <c r="G749" s="25"/>
      <c r="H749" s="21"/>
      <c r="I749" s="21"/>
      <c r="J749" s="18" t="str">
        <f aca="false">IF($A749="","",$F749*$G749)</f>
        <v/>
      </c>
    </row>
    <row r="750" customFormat="false" ht="15" hidden="false" customHeight="false" outlineLevel="0" collapsed="false">
      <c r="A750" s="21"/>
      <c r="B750" s="21"/>
      <c r="C750" s="21"/>
      <c r="D750" s="26"/>
      <c r="E750" s="26"/>
      <c r="F750" s="17"/>
      <c r="G750" s="25"/>
      <c r="H750" s="21"/>
      <c r="I750" s="21"/>
      <c r="J750" s="18" t="str">
        <f aca="false">IF($A750="","",$F750*$G750)</f>
        <v/>
      </c>
    </row>
    <row r="751" customFormat="false" ht="15" hidden="false" customHeight="false" outlineLevel="0" collapsed="false">
      <c r="A751" s="21"/>
      <c r="B751" s="21"/>
      <c r="C751" s="21"/>
      <c r="D751" s="26"/>
      <c r="E751" s="26"/>
      <c r="F751" s="17"/>
      <c r="G751" s="25"/>
      <c r="H751" s="21"/>
      <c r="I751" s="21"/>
      <c r="J751" s="18" t="str">
        <f aca="false">IF($A751="","",$F751*$G751)</f>
        <v/>
      </c>
    </row>
    <row r="752" customFormat="false" ht="15" hidden="false" customHeight="false" outlineLevel="0" collapsed="false">
      <c r="A752" s="21"/>
      <c r="B752" s="21"/>
      <c r="C752" s="21"/>
      <c r="D752" s="26"/>
      <c r="E752" s="26"/>
      <c r="F752" s="17"/>
      <c r="G752" s="25"/>
      <c r="H752" s="21"/>
      <c r="I752" s="21"/>
      <c r="J752" s="18" t="str">
        <f aca="false">IF($A752="","",$F752*$G752)</f>
        <v/>
      </c>
    </row>
    <row r="753" customFormat="false" ht="15" hidden="false" customHeight="false" outlineLevel="0" collapsed="false">
      <c r="A753" s="21"/>
      <c r="B753" s="21"/>
      <c r="C753" s="21"/>
      <c r="D753" s="26"/>
      <c r="E753" s="26"/>
      <c r="F753" s="17"/>
      <c r="G753" s="25"/>
      <c r="H753" s="21"/>
      <c r="I753" s="21"/>
      <c r="J753" s="18" t="str">
        <f aca="false">IF($A753="","",$F753*$G753)</f>
        <v/>
      </c>
    </row>
    <row r="754" customFormat="false" ht="15" hidden="false" customHeight="false" outlineLevel="0" collapsed="false">
      <c r="A754" s="21"/>
      <c r="B754" s="21"/>
      <c r="C754" s="21"/>
      <c r="D754" s="26"/>
      <c r="E754" s="26"/>
      <c r="F754" s="17"/>
      <c r="G754" s="25"/>
      <c r="H754" s="21"/>
      <c r="I754" s="21"/>
      <c r="J754" s="18" t="str">
        <f aca="false">IF($A754="","",$F754*$G754)</f>
        <v/>
      </c>
    </row>
    <row r="755" customFormat="false" ht="15" hidden="false" customHeight="false" outlineLevel="0" collapsed="false">
      <c r="A755" s="21"/>
      <c r="B755" s="21"/>
      <c r="C755" s="21"/>
      <c r="D755" s="26"/>
      <c r="E755" s="26"/>
      <c r="F755" s="17"/>
      <c r="G755" s="25"/>
      <c r="H755" s="21"/>
      <c r="I755" s="21"/>
      <c r="J755" s="18" t="str">
        <f aca="false">IF($A755="","",$F755*$G755)</f>
        <v/>
      </c>
    </row>
    <row r="756" customFormat="false" ht="15" hidden="false" customHeight="false" outlineLevel="0" collapsed="false">
      <c r="A756" s="21"/>
      <c r="B756" s="21"/>
      <c r="C756" s="21"/>
      <c r="D756" s="26"/>
      <c r="E756" s="26"/>
      <c r="F756" s="17"/>
      <c r="G756" s="25"/>
      <c r="H756" s="21"/>
      <c r="I756" s="21"/>
      <c r="J756" s="18" t="str">
        <f aca="false">IF($A756="","",$F756*$G756)</f>
        <v/>
      </c>
    </row>
    <row r="757" customFormat="false" ht="15" hidden="false" customHeight="false" outlineLevel="0" collapsed="false">
      <c r="A757" s="21"/>
      <c r="B757" s="21"/>
      <c r="C757" s="21"/>
      <c r="D757" s="26"/>
      <c r="E757" s="26"/>
      <c r="F757" s="17"/>
      <c r="G757" s="25"/>
      <c r="H757" s="21"/>
      <c r="I757" s="21"/>
      <c r="J757" s="18" t="str">
        <f aca="false">IF($A757="","",$F757*$G757)</f>
        <v/>
      </c>
    </row>
    <row r="758" customFormat="false" ht="15" hidden="false" customHeight="false" outlineLevel="0" collapsed="false">
      <c r="A758" s="21"/>
      <c r="B758" s="21"/>
      <c r="C758" s="21"/>
      <c r="D758" s="26"/>
      <c r="E758" s="26"/>
      <c r="F758" s="17"/>
      <c r="G758" s="25"/>
      <c r="H758" s="21"/>
      <c r="I758" s="21"/>
      <c r="J758" s="18" t="str">
        <f aca="false">IF($A758="","",$F758*$G758)</f>
        <v/>
      </c>
    </row>
    <row r="759" customFormat="false" ht="15" hidden="false" customHeight="false" outlineLevel="0" collapsed="false">
      <c r="A759" s="21"/>
      <c r="B759" s="21"/>
      <c r="C759" s="21"/>
      <c r="D759" s="26"/>
      <c r="E759" s="26"/>
      <c r="F759" s="17"/>
      <c r="G759" s="25"/>
      <c r="H759" s="21"/>
      <c r="I759" s="21"/>
      <c r="J759" s="18" t="str">
        <f aca="false">IF($A759="","",$F759*$G759)</f>
        <v/>
      </c>
    </row>
    <row r="760" customFormat="false" ht="15" hidden="false" customHeight="false" outlineLevel="0" collapsed="false">
      <c r="A760" s="21"/>
      <c r="B760" s="21"/>
      <c r="C760" s="21"/>
      <c r="D760" s="26"/>
      <c r="E760" s="26"/>
      <c r="F760" s="17"/>
      <c r="G760" s="25"/>
      <c r="H760" s="21"/>
      <c r="I760" s="21"/>
      <c r="J760" s="18" t="str">
        <f aca="false">IF($A760="","",$F760*$G760)</f>
        <v/>
      </c>
    </row>
    <row r="761" customFormat="false" ht="15" hidden="false" customHeight="false" outlineLevel="0" collapsed="false">
      <c r="A761" s="21"/>
      <c r="B761" s="21"/>
      <c r="C761" s="21"/>
      <c r="D761" s="26"/>
      <c r="E761" s="26"/>
      <c r="F761" s="17"/>
      <c r="G761" s="25"/>
      <c r="H761" s="21"/>
      <c r="I761" s="21"/>
      <c r="J761" s="18" t="str">
        <f aca="false">IF($A761="","",$F761*$G761)</f>
        <v/>
      </c>
    </row>
    <row r="762" customFormat="false" ht="15" hidden="false" customHeight="false" outlineLevel="0" collapsed="false">
      <c r="A762" s="21"/>
      <c r="B762" s="21"/>
      <c r="C762" s="21"/>
      <c r="D762" s="26"/>
      <c r="E762" s="26"/>
      <c r="F762" s="17"/>
      <c r="G762" s="25"/>
      <c r="H762" s="21"/>
      <c r="I762" s="21"/>
      <c r="J762" s="18" t="str">
        <f aca="false">IF($A762="","",$F762*$G762)</f>
        <v/>
      </c>
    </row>
    <row r="763" customFormat="false" ht="15" hidden="false" customHeight="false" outlineLevel="0" collapsed="false">
      <c r="A763" s="21"/>
      <c r="B763" s="21"/>
      <c r="C763" s="21"/>
      <c r="D763" s="26"/>
      <c r="E763" s="26"/>
      <c r="F763" s="17"/>
      <c r="G763" s="25"/>
      <c r="H763" s="21"/>
      <c r="I763" s="21"/>
      <c r="J763" s="18" t="str">
        <f aca="false">IF($A763="","",$F763*$G763)</f>
        <v/>
      </c>
    </row>
    <row r="764" customFormat="false" ht="15" hidden="false" customHeight="false" outlineLevel="0" collapsed="false">
      <c r="A764" s="21"/>
      <c r="B764" s="21"/>
      <c r="C764" s="21"/>
      <c r="D764" s="26"/>
      <c r="E764" s="26"/>
      <c r="F764" s="17"/>
      <c r="G764" s="25"/>
      <c r="H764" s="21"/>
      <c r="I764" s="21"/>
      <c r="J764" s="18" t="str">
        <f aca="false">IF($A764="","",$F764*$G764)</f>
        <v/>
      </c>
    </row>
    <row r="765" customFormat="false" ht="15" hidden="false" customHeight="false" outlineLevel="0" collapsed="false">
      <c r="A765" s="21"/>
      <c r="B765" s="21"/>
      <c r="C765" s="21"/>
      <c r="D765" s="26"/>
      <c r="E765" s="26"/>
      <c r="F765" s="17"/>
      <c r="G765" s="25"/>
      <c r="H765" s="21"/>
      <c r="I765" s="21"/>
      <c r="J765" s="18" t="str">
        <f aca="false">IF($A765="","",$F765*$G765)</f>
        <v/>
      </c>
    </row>
    <row r="766" customFormat="false" ht="15" hidden="false" customHeight="false" outlineLevel="0" collapsed="false">
      <c r="A766" s="21"/>
      <c r="B766" s="21"/>
      <c r="C766" s="21"/>
      <c r="D766" s="26"/>
      <c r="E766" s="26"/>
      <c r="F766" s="17"/>
      <c r="G766" s="25"/>
      <c r="H766" s="21"/>
      <c r="I766" s="21"/>
      <c r="J766" s="18" t="str">
        <f aca="false">IF($A766="","",$F766*$G766)</f>
        <v/>
      </c>
    </row>
    <row r="767" customFormat="false" ht="15" hidden="false" customHeight="false" outlineLevel="0" collapsed="false">
      <c r="A767" s="21"/>
      <c r="B767" s="21"/>
      <c r="C767" s="21"/>
      <c r="D767" s="26"/>
      <c r="E767" s="26"/>
      <c r="F767" s="17"/>
      <c r="G767" s="25"/>
      <c r="H767" s="21"/>
      <c r="I767" s="21"/>
      <c r="J767" s="18" t="str">
        <f aca="false">IF($A767="","",$F767*$G767)</f>
        <v/>
      </c>
    </row>
    <row r="768" customFormat="false" ht="15" hidden="false" customHeight="false" outlineLevel="0" collapsed="false">
      <c r="A768" s="21"/>
      <c r="B768" s="21"/>
      <c r="C768" s="21"/>
      <c r="D768" s="26"/>
      <c r="E768" s="26"/>
      <c r="F768" s="17"/>
      <c r="G768" s="25"/>
      <c r="H768" s="21"/>
      <c r="I768" s="21"/>
      <c r="J768" s="18" t="str">
        <f aca="false">IF($A768="","",$F768*$G768)</f>
        <v/>
      </c>
    </row>
    <row r="769" customFormat="false" ht="15" hidden="false" customHeight="false" outlineLevel="0" collapsed="false">
      <c r="A769" s="21"/>
      <c r="B769" s="21"/>
      <c r="C769" s="21"/>
      <c r="D769" s="26"/>
      <c r="E769" s="26"/>
      <c r="F769" s="17"/>
      <c r="G769" s="25"/>
      <c r="H769" s="21"/>
      <c r="I769" s="21"/>
      <c r="J769" s="18" t="str">
        <f aca="false">IF($A769="","",$F769*$G769)</f>
        <v/>
      </c>
    </row>
    <row r="770" customFormat="false" ht="15" hidden="false" customHeight="false" outlineLevel="0" collapsed="false">
      <c r="A770" s="21"/>
      <c r="B770" s="21"/>
      <c r="C770" s="21"/>
      <c r="D770" s="26"/>
      <c r="E770" s="26"/>
      <c r="F770" s="17"/>
      <c r="G770" s="25"/>
      <c r="H770" s="21"/>
      <c r="I770" s="21"/>
      <c r="J770" s="18" t="str">
        <f aca="false">IF($A770="","",$F770*$G770)</f>
        <v/>
      </c>
    </row>
    <row r="771" customFormat="false" ht="15" hidden="false" customHeight="false" outlineLevel="0" collapsed="false">
      <c r="A771" s="21"/>
      <c r="B771" s="21"/>
      <c r="C771" s="21"/>
      <c r="D771" s="26"/>
      <c r="E771" s="26"/>
      <c r="F771" s="17"/>
      <c r="G771" s="25"/>
      <c r="H771" s="21"/>
      <c r="I771" s="21"/>
      <c r="J771" s="18" t="str">
        <f aca="false">IF($A771="","",$F771*$G771)</f>
        <v/>
      </c>
    </row>
    <row r="772" customFormat="false" ht="15" hidden="false" customHeight="false" outlineLevel="0" collapsed="false">
      <c r="A772" s="21"/>
      <c r="B772" s="21"/>
      <c r="C772" s="21"/>
      <c r="D772" s="26"/>
      <c r="E772" s="26"/>
      <c r="F772" s="17"/>
      <c r="G772" s="25"/>
      <c r="H772" s="21"/>
      <c r="I772" s="21"/>
      <c r="J772" s="18" t="str">
        <f aca="false">IF($A772="","",$F772*$G772)</f>
        <v/>
      </c>
    </row>
    <row r="773" customFormat="false" ht="15" hidden="false" customHeight="false" outlineLevel="0" collapsed="false">
      <c r="A773" s="21"/>
      <c r="B773" s="21"/>
      <c r="C773" s="21"/>
      <c r="D773" s="26"/>
      <c r="E773" s="26"/>
      <c r="F773" s="17"/>
      <c r="G773" s="25"/>
      <c r="H773" s="21"/>
      <c r="I773" s="21"/>
      <c r="J773" s="18" t="str">
        <f aca="false">IF($A773="","",$F773*$G773)</f>
        <v/>
      </c>
    </row>
    <row r="774" customFormat="false" ht="15" hidden="false" customHeight="false" outlineLevel="0" collapsed="false">
      <c r="A774" s="21"/>
      <c r="B774" s="21"/>
      <c r="C774" s="21"/>
      <c r="D774" s="26"/>
      <c r="E774" s="26"/>
      <c r="F774" s="17"/>
      <c r="G774" s="25"/>
      <c r="H774" s="21"/>
      <c r="I774" s="21"/>
      <c r="J774" s="18" t="str">
        <f aca="false">IF($A774="","",$F774*$G774)</f>
        <v/>
      </c>
    </row>
    <row r="775" customFormat="false" ht="15" hidden="false" customHeight="false" outlineLevel="0" collapsed="false">
      <c r="A775" s="21"/>
      <c r="B775" s="21"/>
      <c r="C775" s="21"/>
      <c r="D775" s="26"/>
      <c r="E775" s="26"/>
      <c r="F775" s="17"/>
      <c r="G775" s="25"/>
      <c r="H775" s="21"/>
      <c r="I775" s="21"/>
      <c r="J775" s="18" t="str">
        <f aca="false">IF($A775="","",$F775*$G775)</f>
        <v/>
      </c>
    </row>
    <row r="776" customFormat="false" ht="15" hidden="false" customHeight="false" outlineLevel="0" collapsed="false">
      <c r="A776" s="21"/>
      <c r="B776" s="21"/>
      <c r="C776" s="21"/>
      <c r="D776" s="26"/>
      <c r="E776" s="26"/>
      <c r="F776" s="17"/>
      <c r="G776" s="25"/>
      <c r="H776" s="21"/>
      <c r="I776" s="21"/>
      <c r="J776" s="18" t="str">
        <f aca="false">IF($A776="","",$F776*$G776)</f>
        <v/>
      </c>
    </row>
    <row r="777" customFormat="false" ht="15" hidden="false" customHeight="false" outlineLevel="0" collapsed="false">
      <c r="A777" s="21"/>
      <c r="B777" s="21"/>
      <c r="C777" s="21"/>
      <c r="D777" s="26"/>
      <c r="E777" s="26"/>
      <c r="F777" s="17"/>
      <c r="G777" s="25"/>
      <c r="H777" s="21"/>
      <c r="I777" s="21"/>
      <c r="J777" s="18" t="str">
        <f aca="false">IF($A777="","",$F777*$G777)</f>
        <v/>
      </c>
    </row>
    <row r="778" customFormat="false" ht="15" hidden="false" customHeight="false" outlineLevel="0" collapsed="false">
      <c r="A778" s="21"/>
      <c r="B778" s="21"/>
      <c r="C778" s="21"/>
      <c r="D778" s="26"/>
      <c r="E778" s="26"/>
      <c r="F778" s="17"/>
      <c r="G778" s="25"/>
      <c r="H778" s="21"/>
      <c r="I778" s="21"/>
      <c r="J778" s="18" t="str">
        <f aca="false">IF($A778="","",$F778*$G778)</f>
        <v/>
      </c>
    </row>
    <row r="779" customFormat="false" ht="15" hidden="false" customHeight="false" outlineLevel="0" collapsed="false">
      <c r="A779" s="21"/>
      <c r="B779" s="21"/>
      <c r="C779" s="21"/>
      <c r="D779" s="26"/>
      <c r="E779" s="26"/>
      <c r="F779" s="17"/>
      <c r="G779" s="25"/>
      <c r="H779" s="21"/>
      <c r="I779" s="21"/>
      <c r="J779" s="18" t="str">
        <f aca="false">IF($A779="","",$F779*$G779)</f>
        <v/>
      </c>
    </row>
    <row r="780" customFormat="false" ht="15" hidden="false" customHeight="false" outlineLevel="0" collapsed="false">
      <c r="A780" s="21"/>
      <c r="B780" s="21"/>
      <c r="C780" s="21"/>
      <c r="D780" s="26"/>
      <c r="E780" s="26"/>
      <c r="F780" s="17"/>
      <c r="G780" s="25"/>
      <c r="H780" s="21"/>
      <c r="I780" s="21"/>
      <c r="J780" s="18" t="str">
        <f aca="false">IF($A780="","",$F780*$G780)</f>
        <v/>
      </c>
    </row>
    <row r="781" customFormat="false" ht="15" hidden="false" customHeight="false" outlineLevel="0" collapsed="false">
      <c r="A781" s="21"/>
      <c r="B781" s="21"/>
      <c r="C781" s="21"/>
      <c r="D781" s="26"/>
      <c r="E781" s="26"/>
      <c r="F781" s="17"/>
      <c r="G781" s="25"/>
      <c r="H781" s="21"/>
      <c r="I781" s="21"/>
      <c r="J781" s="18" t="str">
        <f aca="false">IF($A781="","",$F781*$G781)</f>
        <v/>
      </c>
    </row>
    <row r="782" customFormat="false" ht="15" hidden="false" customHeight="false" outlineLevel="0" collapsed="false">
      <c r="A782" s="21"/>
      <c r="B782" s="21"/>
      <c r="C782" s="21"/>
      <c r="D782" s="26"/>
      <c r="E782" s="26"/>
      <c r="F782" s="17"/>
      <c r="G782" s="25"/>
      <c r="H782" s="21"/>
      <c r="I782" s="21"/>
      <c r="J782" s="18" t="str">
        <f aca="false">IF($A782="","",$F782*$G782)</f>
        <v/>
      </c>
    </row>
    <row r="783" customFormat="false" ht="15" hidden="false" customHeight="false" outlineLevel="0" collapsed="false">
      <c r="A783" s="21"/>
      <c r="B783" s="21"/>
      <c r="C783" s="21"/>
      <c r="D783" s="26"/>
      <c r="E783" s="26"/>
      <c r="F783" s="17"/>
      <c r="G783" s="25"/>
      <c r="H783" s="21"/>
      <c r="I783" s="21"/>
      <c r="J783" s="18" t="str">
        <f aca="false">IF($A783="","",$F783*$G783)</f>
        <v/>
      </c>
    </row>
    <row r="784" customFormat="false" ht="15" hidden="false" customHeight="false" outlineLevel="0" collapsed="false">
      <c r="A784" s="21"/>
      <c r="B784" s="21"/>
      <c r="C784" s="21"/>
      <c r="D784" s="26"/>
      <c r="E784" s="26"/>
      <c r="F784" s="17"/>
      <c r="G784" s="25"/>
      <c r="H784" s="21"/>
      <c r="I784" s="21"/>
      <c r="J784" s="18" t="str">
        <f aca="false">IF($A784="","",$F784*$G784)</f>
        <v/>
      </c>
    </row>
    <row r="785" customFormat="false" ht="15" hidden="false" customHeight="false" outlineLevel="0" collapsed="false">
      <c r="A785" s="21"/>
      <c r="B785" s="21"/>
      <c r="C785" s="21"/>
      <c r="D785" s="26"/>
      <c r="E785" s="26"/>
      <c r="F785" s="17"/>
      <c r="G785" s="25"/>
      <c r="H785" s="21"/>
      <c r="I785" s="21"/>
      <c r="J785" s="18" t="str">
        <f aca="false">IF($A785="","",$F785*$G785)</f>
        <v/>
      </c>
    </row>
    <row r="786" customFormat="false" ht="15" hidden="false" customHeight="false" outlineLevel="0" collapsed="false">
      <c r="A786" s="21"/>
      <c r="B786" s="21"/>
      <c r="C786" s="21"/>
      <c r="D786" s="26"/>
      <c r="E786" s="26"/>
      <c r="F786" s="17"/>
      <c r="G786" s="25"/>
      <c r="H786" s="21"/>
      <c r="I786" s="21"/>
      <c r="J786" s="18" t="str">
        <f aca="false">IF($A786="","",$F786*$G786)</f>
        <v/>
      </c>
    </row>
    <row r="787" customFormat="false" ht="15" hidden="false" customHeight="false" outlineLevel="0" collapsed="false">
      <c r="A787" s="21"/>
      <c r="B787" s="21"/>
      <c r="C787" s="21"/>
      <c r="D787" s="26"/>
      <c r="E787" s="26"/>
      <c r="F787" s="17"/>
      <c r="G787" s="25"/>
      <c r="H787" s="21"/>
      <c r="I787" s="21"/>
      <c r="J787" s="18" t="str">
        <f aca="false">IF($A787="","",$F787*$G787)</f>
        <v/>
      </c>
    </row>
    <row r="788" customFormat="false" ht="15" hidden="false" customHeight="false" outlineLevel="0" collapsed="false">
      <c r="A788" s="21"/>
      <c r="B788" s="21"/>
      <c r="C788" s="21"/>
      <c r="D788" s="26"/>
      <c r="E788" s="26"/>
      <c r="F788" s="17"/>
      <c r="G788" s="25"/>
      <c r="H788" s="21"/>
      <c r="I788" s="21"/>
      <c r="J788" s="18" t="str">
        <f aca="false">IF($A788="","",$F788*$G788)</f>
        <v/>
      </c>
    </row>
    <row r="789" customFormat="false" ht="15" hidden="false" customHeight="false" outlineLevel="0" collapsed="false">
      <c r="A789" s="21"/>
      <c r="B789" s="21"/>
      <c r="C789" s="21"/>
      <c r="D789" s="26"/>
      <c r="E789" s="26"/>
      <c r="F789" s="17"/>
      <c r="G789" s="25"/>
      <c r="H789" s="21"/>
      <c r="I789" s="21"/>
      <c r="J789" s="18" t="str">
        <f aca="false">IF($A789="","",$F789*$G789)</f>
        <v/>
      </c>
    </row>
    <row r="790" customFormat="false" ht="15" hidden="false" customHeight="false" outlineLevel="0" collapsed="false">
      <c r="A790" s="21"/>
      <c r="B790" s="21"/>
      <c r="C790" s="21"/>
      <c r="D790" s="26"/>
      <c r="E790" s="26"/>
      <c r="F790" s="17"/>
      <c r="G790" s="25"/>
      <c r="H790" s="21"/>
      <c r="I790" s="21"/>
      <c r="J790" s="18" t="str">
        <f aca="false">IF($A790="","",$F790*$G790)</f>
        <v/>
      </c>
    </row>
    <row r="791" customFormat="false" ht="15" hidden="false" customHeight="false" outlineLevel="0" collapsed="false">
      <c r="A791" s="21"/>
      <c r="B791" s="21"/>
      <c r="C791" s="21"/>
      <c r="D791" s="26"/>
      <c r="E791" s="26"/>
      <c r="F791" s="17"/>
      <c r="G791" s="25"/>
      <c r="H791" s="21"/>
      <c r="I791" s="21"/>
      <c r="J791" s="18" t="str">
        <f aca="false">IF($A791="","",$F791*$G791)</f>
        <v/>
      </c>
    </row>
    <row r="792" customFormat="false" ht="15" hidden="false" customHeight="false" outlineLevel="0" collapsed="false">
      <c r="A792" s="21"/>
      <c r="B792" s="21"/>
      <c r="C792" s="21"/>
      <c r="D792" s="26"/>
      <c r="E792" s="26"/>
      <c r="F792" s="17"/>
      <c r="G792" s="25"/>
      <c r="H792" s="21"/>
      <c r="I792" s="21"/>
      <c r="J792" s="18" t="str">
        <f aca="false">IF($A792="","",$F792*$G792)</f>
        <v/>
      </c>
    </row>
    <row r="793" customFormat="false" ht="15" hidden="false" customHeight="false" outlineLevel="0" collapsed="false">
      <c r="A793" s="21"/>
      <c r="B793" s="21"/>
      <c r="C793" s="21"/>
      <c r="D793" s="26"/>
      <c r="E793" s="26"/>
      <c r="F793" s="17"/>
      <c r="G793" s="25"/>
      <c r="H793" s="21"/>
      <c r="I793" s="21"/>
      <c r="J793" s="18" t="str">
        <f aca="false">IF($A793="","",$F793*$G793)</f>
        <v/>
      </c>
    </row>
    <row r="794" customFormat="false" ht="15" hidden="false" customHeight="false" outlineLevel="0" collapsed="false">
      <c r="A794" s="21"/>
      <c r="B794" s="21"/>
      <c r="C794" s="21"/>
      <c r="D794" s="26"/>
      <c r="E794" s="26"/>
      <c r="F794" s="17"/>
      <c r="G794" s="25"/>
      <c r="H794" s="21"/>
      <c r="I794" s="21"/>
      <c r="J794" s="18" t="str">
        <f aca="false">IF($A794="","",$F794*$G794)</f>
        <v/>
      </c>
    </row>
    <row r="795" customFormat="false" ht="15" hidden="false" customHeight="false" outlineLevel="0" collapsed="false">
      <c r="A795" s="21"/>
      <c r="B795" s="21"/>
      <c r="C795" s="21"/>
      <c r="D795" s="26"/>
      <c r="E795" s="26"/>
      <c r="F795" s="17"/>
      <c r="G795" s="25"/>
      <c r="H795" s="21"/>
      <c r="I795" s="21"/>
      <c r="J795" s="18" t="str">
        <f aca="false">IF($A795="","",$F795*$G795)</f>
        <v/>
      </c>
    </row>
    <row r="796" customFormat="false" ht="15" hidden="false" customHeight="false" outlineLevel="0" collapsed="false">
      <c r="A796" s="21"/>
      <c r="B796" s="21"/>
      <c r="C796" s="21"/>
      <c r="D796" s="26"/>
      <c r="E796" s="26"/>
      <c r="F796" s="17"/>
      <c r="G796" s="25"/>
      <c r="H796" s="21"/>
      <c r="I796" s="21"/>
      <c r="J796" s="18" t="str">
        <f aca="false">IF($A796="","",$F796*$G796)</f>
        <v/>
      </c>
    </row>
    <row r="797" customFormat="false" ht="15" hidden="false" customHeight="false" outlineLevel="0" collapsed="false">
      <c r="A797" s="21"/>
      <c r="B797" s="21"/>
      <c r="C797" s="21"/>
      <c r="D797" s="26"/>
      <c r="E797" s="26"/>
      <c r="F797" s="17"/>
      <c r="G797" s="25"/>
      <c r="H797" s="21"/>
      <c r="I797" s="21"/>
      <c r="J797" s="18" t="str">
        <f aca="false">IF($A797="","",$F797*$G797)</f>
        <v/>
      </c>
    </row>
    <row r="798" customFormat="false" ht="15" hidden="false" customHeight="false" outlineLevel="0" collapsed="false">
      <c r="A798" s="21"/>
      <c r="B798" s="21"/>
      <c r="C798" s="21"/>
      <c r="D798" s="26"/>
      <c r="E798" s="26"/>
      <c r="F798" s="17"/>
      <c r="G798" s="25"/>
      <c r="H798" s="21"/>
      <c r="I798" s="21"/>
      <c r="J798" s="18" t="str">
        <f aca="false">IF($A798="","",$F798*$G798)</f>
        <v/>
      </c>
    </row>
    <row r="799" customFormat="false" ht="15" hidden="false" customHeight="false" outlineLevel="0" collapsed="false">
      <c r="A799" s="21"/>
      <c r="B799" s="21"/>
      <c r="C799" s="21"/>
      <c r="D799" s="26"/>
      <c r="E799" s="26"/>
      <c r="F799" s="17"/>
      <c r="G799" s="25"/>
      <c r="H799" s="21"/>
      <c r="I799" s="21"/>
      <c r="J799" s="18" t="str">
        <f aca="false">IF($A799="","",$F799*$G799)</f>
        <v/>
      </c>
    </row>
    <row r="800" customFormat="false" ht="15" hidden="false" customHeight="false" outlineLevel="0" collapsed="false">
      <c r="A800" s="21"/>
      <c r="B800" s="21"/>
      <c r="C800" s="21"/>
      <c r="D800" s="26"/>
      <c r="E800" s="26"/>
      <c r="F800" s="17"/>
      <c r="G800" s="25"/>
      <c r="H800" s="21"/>
      <c r="I800" s="21"/>
      <c r="J800" s="18" t="str">
        <f aca="false">IF($A800="","",$F800*$G800)</f>
        <v/>
      </c>
    </row>
    <row r="801" customFormat="false" ht="15" hidden="false" customHeight="false" outlineLevel="0" collapsed="false">
      <c r="A801" s="21"/>
      <c r="B801" s="21"/>
      <c r="C801" s="21"/>
      <c r="D801" s="26"/>
      <c r="E801" s="26"/>
      <c r="F801" s="17"/>
      <c r="G801" s="25"/>
      <c r="H801" s="21"/>
      <c r="I801" s="21"/>
      <c r="J801" s="18" t="str">
        <f aca="false">IF($A801="","",$F801*$G801)</f>
        <v/>
      </c>
    </row>
    <row r="802" customFormat="false" ht="15" hidden="false" customHeight="false" outlineLevel="0" collapsed="false">
      <c r="A802" s="21"/>
      <c r="B802" s="21"/>
      <c r="C802" s="21"/>
      <c r="D802" s="26"/>
      <c r="E802" s="26"/>
      <c r="F802" s="17"/>
      <c r="G802" s="25"/>
      <c r="H802" s="21"/>
      <c r="I802" s="21"/>
      <c r="J802" s="18" t="str">
        <f aca="false">IF($A802="","",$F802*$G802)</f>
        <v/>
      </c>
    </row>
    <row r="803" customFormat="false" ht="15" hidden="false" customHeight="false" outlineLevel="0" collapsed="false">
      <c r="A803" s="21"/>
      <c r="B803" s="21"/>
      <c r="C803" s="21"/>
      <c r="D803" s="26"/>
      <c r="E803" s="26"/>
      <c r="F803" s="17"/>
      <c r="G803" s="25"/>
      <c r="H803" s="21"/>
      <c r="I803" s="21"/>
      <c r="J803" s="18" t="str">
        <f aca="false">IF($A803="","",$F803*$G803)</f>
        <v/>
      </c>
    </row>
    <row r="804" customFormat="false" ht="15" hidden="false" customHeight="false" outlineLevel="0" collapsed="false">
      <c r="A804" s="21"/>
      <c r="B804" s="21"/>
      <c r="C804" s="21"/>
      <c r="D804" s="26"/>
      <c r="E804" s="26"/>
      <c r="F804" s="17"/>
      <c r="G804" s="25"/>
      <c r="H804" s="21"/>
      <c r="I804" s="21"/>
      <c r="J804" s="18" t="str">
        <f aca="false">IF($A804="","",$F804*$G804)</f>
        <v/>
      </c>
    </row>
    <row r="805" customFormat="false" ht="15" hidden="false" customHeight="false" outlineLevel="0" collapsed="false">
      <c r="A805" s="21"/>
      <c r="B805" s="21"/>
      <c r="C805" s="21"/>
      <c r="D805" s="26"/>
      <c r="E805" s="26"/>
      <c r="F805" s="17"/>
      <c r="G805" s="25"/>
      <c r="H805" s="21"/>
      <c r="I805" s="21"/>
      <c r="J805" s="18" t="str">
        <f aca="false">IF($A805="","",$F805*$G805)</f>
        <v/>
      </c>
    </row>
    <row r="806" customFormat="false" ht="15" hidden="false" customHeight="false" outlineLevel="0" collapsed="false">
      <c r="A806" s="21"/>
      <c r="B806" s="21"/>
      <c r="C806" s="21"/>
      <c r="D806" s="26"/>
      <c r="E806" s="26"/>
      <c r="F806" s="17"/>
      <c r="G806" s="25"/>
      <c r="H806" s="21"/>
      <c r="I806" s="21"/>
      <c r="J806" s="18" t="str">
        <f aca="false">IF($A806="","",$F806*$G806)</f>
        <v/>
      </c>
    </row>
    <row r="807" customFormat="false" ht="15" hidden="false" customHeight="false" outlineLevel="0" collapsed="false">
      <c r="A807" s="21"/>
      <c r="B807" s="21"/>
      <c r="C807" s="21"/>
      <c r="D807" s="26"/>
      <c r="E807" s="26"/>
      <c r="F807" s="17"/>
      <c r="G807" s="25"/>
      <c r="H807" s="21"/>
      <c r="I807" s="21"/>
      <c r="J807" s="18" t="str">
        <f aca="false">IF($A807="","",$F807*$G807)</f>
        <v/>
      </c>
    </row>
    <row r="808" customFormat="false" ht="15" hidden="false" customHeight="false" outlineLevel="0" collapsed="false">
      <c r="A808" s="21"/>
      <c r="B808" s="21"/>
      <c r="C808" s="21"/>
      <c r="D808" s="26"/>
      <c r="E808" s="26"/>
      <c r="F808" s="17"/>
      <c r="G808" s="25"/>
      <c r="H808" s="21"/>
      <c r="I808" s="21"/>
      <c r="J808" s="18" t="str">
        <f aca="false">IF($A808="","",$F808*$G808)</f>
        <v/>
      </c>
    </row>
    <row r="809" customFormat="false" ht="15" hidden="false" customHeight="false" outlineLevel="0" collapsed="false">
      <c r="A809" s="21"/>
      <c r="B809" s="21"/>
      <c r="C809" s="21"/>
      <c r="D809" s="26"/>
      <c r="E809" s="26"/>
      <c r="F809" s="17"/>
      <c r="G809" s="25"/>
      <c r="H809" s="21"/>
      <c r="I809" s="21"/>
      <c r="J809" s="18" t="str">
        <f aca="false">IF($A809="","",$F809*$G809)</f>
        <v/>
      </c>
    </row>
    <row r="810" customFormat="false" ht="15" hidden="false" customHeight="false" outlineLevel="0" collapsed="false">
      <c r="A810" s="21"/>
      <c r="B810" s="21"/>
      <c r="C810" s="21"/>
      <c r="D810" s="26"/>
      <c r="E810" s="26"/>
      <c r="F810" s="17"/>
      <c r="G810" s="25"/>
      <c r="H810" s="21"/>
      <c r="I810" s="21"/>
      <c r="J810" s="18" t="str">
        <f aca="false">IF($A810="","",$F810*$G810)</f>
        <v/>
      </c>
    </row>
    <row r="811" customFormat="false" ht="15" hidden="false" customHeight="false" outlineLevel="0" collapsed="false">
      <c r="A811" s="21"/>
      <c r="B811" s="21"/>
      <c r="C811" s="21"/>
      <c r="D811" s="26"/>
      <c r="E811" s="26"/>
      <c r="F811" s="17"/>
      <c r="G811" s="25"/>
      <c r="H811" s="21"/>
      <c r="I811" s="21"/>
      <c r="J811" s="18" t="str">
        <f aca="false">IF($A811="","",$F811*$G811)</f>
        <v/>
      </c>
    </row>
    <row r="812" customFormat="false" ht="15" hidden="false" customHeight="false" outlineLevel="0" collapsed="false">
      <c r="A812" s="21"/>
      <c r="B812" s="21"/>
      <c r="C812" s="21"/>
      <c r="D812" s="26"/>
      <c r="E812" s="26"/>
      <c r="F812" s="17"/>
      <c r="G812" s="25"/>
      <c r="H812" s="21"/>
      <c r="I812" s="21"/>
      <c r="J812" s="18" t="str">
        <f aca="false">IF($A812="","",$F812*$G812)</f>
        <v/>
      </c>
    </row>
    <row r="813" customFormat="false" ht="15" hidden="false" customHeight="false" outlineLevel="0" collapsed="false">
      <c r="A813" s="21"/>
      <c r="B813" s="21"/>
      <c r="C813" s="21"/>
      <c r="D813" s="26"/>
      <c r="E813" s="26"/>
      <c r="F813" s="17"/>
      <c r="G813" s="25"/>
      <c r="H813" s="21"/>
      <c r="I813" s="21"/>
      <c r="J813" s="18" t="str">
        <f aca="false">IF($A813="","",$F813*$G813)</f>
        <v/>
      </c>
    </row>
    <row r="814" customFormat="false" ht="15" hidden="false" customHeight="false" outlineLevel="0" collapsed="false">
      <c r="A814" s="21"/>
      <c r="B814" s="21"/>
      <c r="C814" s="21"/>
      <c r="D814" s="26"/>
      <c r="E814" s="26"/>
      <c r="F814" s="17"/>
      <c r="G814" s="25"/>
      <c r="H814" s="21"/>
      <c r="I814" s="21"/>
      <c r="J814" s="18" t="str">
        <f aca="false">IF($A814="","",$F814*$G814)</f>
        <v/>
      </c>
    </row>
    <row r="815" customFormat="false" ht="15" hidden="false" customHeight="false" outlineLevel="0" collapsed="false">
      <c r="A815" s="21"/>
      <c r="B815" s="21"/>
      <c r="C815" s="21"/>
      <c r="D815" s="26"/>
      <c r="E815" s="26"/>
      <c r="F815" s="17"/>
      <c r="G815" s="25"/>
      <c r="H815" s="21"/>
      <c r="I815" s="21"/>
      <c r="J815" s="18" t="str">
        <f aca="false">IF($A815="","",$F815*$G815)</f>
        <v/>
      </c>
    </row>
    <row r="816" customFormat="false" ht="15" hidden="false" customHeight="false" outlineLevel="0" collapsed="false">
      <c r="A816" s="21"/>
      <c r="B816" s="21"/>
      <c r="C816" s="21"/>
      <c r="D816" s="26"/>
      <c r="E816" s="26"/>
      <c r="F816" s="17"/>
      <c r="G816" s="25"/>
      <c r="H816" s="21"/>
      <c r="I816" s="21"/>
      <c r="J816" s="18" t="str">
        <f aca="false">IF($A816="","",$F816*$G816)</f>
        <v/>
      </c>
    </row>
    <row r="817" customFormat="false" ht="15" hidden="false" customHeight="false" outlineLevel="0" collapsed="false">
      <c r="A817" s="21"/>
      <c r="B817" s="21"/>
      <c r="C817" s="21"/>
      <c r="D817" s="26"/>
      <c r="E817" s="26"/>
      <c r="F817" s="17"/>
      <c r="G817" s="25"/>
      <c r="H817" s="21"/>
      <c r="I817" s="21"/>
      <c r="J817" s="18" t="str">
        <f aca="false">IF($A817="","",$F817*$G817)</f>
        <v/>
      </c>
    </row>
    <row r="818" customFormat="false" ht="15" hidden="false" customHeight="false" outlineLevel="0" collapsed="false">
      <c r="A818" s="21"/>
      <c r="B818" s="21"/>
      <c r="C818" s="21"/>
      <c r="D818" s="26"/>
      <c r="E818" s="26"/>
      <c r="F818" s="17"/>
      <c r="G818" s="25"/>
      <c r="H818" s="21"/>
      <c r="I818" s="21"/>
      <c r="J818" s="18" t="str">
        <f aca="false">IF($A818="","",$F818*$G818)</f>
        <v/>
      </c>
    </row>
    <row r="819" customFormat="false" ht="15" hidden="false" customHeight="false" outlineLevel="0" collapsed="false">
      <c r="A819" s="21"/>
      <c r="B819" s="21"/>
      <c r="C819" s="21"/>
      <c r="D819" s="26"/>
      <c r="E819" s="26"/>
      <c r="F819" s="17"/>
      <c r="G819" s="25"/>
      <c r="H819" s="21"/>
      <c r="I819" s="21"/>
      <c r="J819" s="18" t="str">
        <f aca="false">IF($A819="","",$F819*$G819)</f>
        <v/>
      </c>
    </row>
    <row r="820" customFormat="false" ht="15" hidden="false" customHeight="false" outlineLevel="0" collapsed="false">
      <c r="A820" s="21"/>
      <c r="B820" s="21"/>
      <c r="C820" s="21"/>
      <c r="D820" s="26"/>
      <c r="E820" s="26"/>
      <c r="F820" s="17"/>
      <c r="G820" s="25"/>
      <c r="H820" s="21"/>
      <c r="I820" s="21"/>
      <c r="J820" s="18" t="str">
        <f aca="false">IF($A820="","",$F820*$G820)</f>
        <v/>
      </c>
    </row>
    <row r="821" customFormat="false" ht="15" hidden="false" customHeight="false" outlineLevel="0" collapsed="false">
      <c r="A821" s="21"/>
      <c r="B821" s="21"/>
      <c r="C821" s="21"/>
      <c r="D821" s="26"/>
      <c r="E821" s="26"/>
      <c r="F821" s="17"/>
      <c r="G821" s="25"/>
      <c r="H821" s="21"/>
      <c r="I821" s="21"/>
      <c r="J821" s="18" t="str">
        <f aca="false">IF($A821="","",$F821*$G821)</f>
        <v/>
      </c>
    </row>
    <row r="822" customFormat="false" ht="15" hidden="false" customHeight="false" outlineLevel="0" collapsed="false">
      <c r="A822" s="21"/>
      <c r="B822" s="21"/>
      <c r="C822" s="21"/>
      <c r="D822" s="26"/>
      <c r="E822" s="26"/>
      <c r="F822" s="17"/>
      <c r="G822" s="25"/>
      <c r="H822" s="21"/>
      <c r="I822" s="21"/>
      <c r="J822" s="18" t="str">
        <f aca="false">IF($A822="","",$F822*$G822)</f>
        <v/>
      </c>
    </row>
    <row r="823" customFormat="false" ht="15" hidden="false" customHeight="false" outlineLevel="0" collapsed="false">
      <c r="A823" s="21"/>
      <c r="B823" s="21"/>
      <c r="C823" s="21"/>
      <c r="D823" s="26"/>
      <c r="E823" s="26"/>
      <c r="F823" s="17"/>
      <c r="G823" s="25"/>
      <c r="H823" s="21"/>
      <c r="I823" s="21"/>
      <c r="J823" s="18" t="str">
        <f aca="false">IF($A823="","",$F823*$G823)</f>
        <v/>
      </c>
    </row>
    <row r="824" customFormat="false" ht="15" hidden="false" customHeight="false" outlineLevel="0" collapsed="false">
      <c r="A824" s="21"/>
      <c r="B824" s="21"/>
      <c r="C824" s="21"/>
      <c r="D824" s="26"/>
      <c r="E824" s="26"/>
      <c r="F824" s="17"/>
      <c r="G824" s="25"/>
      <c r="H824" s="21"/>
      <c r="I824" s="21"/>
      <c r="J824" s="18" t="str">
        <f aca="false">IF($A824="","",$F824*$G824)</f>
        <v/>
      </c>
    </row>
    <row r="825" customFormat="false" ht="15" hidden="false" customHeight="false" outlineLevel="0" collapsed="false">
      <c r="A825" s="21"/>
      <c r="B825" s="21"/>
      <c r="C825" s="21"/>
      <c r="D825" s="26"/>
      <c r="E825" s="26"/>
      <c r="F825" s="17"/>
      <c r="G825" s="25"/>
      <c r="H825" s="21"/>
      <c r="I825" s="21"/>
      <c r="J825" s="18" t="str">
        <f aca="false">IF($A825="","",$F825*$G825)</f>
        <v/>
      </c>
    </row>
    <row r="826" customFormat="false" ht="15" hidden="false" customHeight="false" outlineLevel="0" collapsed="false">
      <c r="A826" s="21"/>
      <c r="B826" s="21"/>
      <c r="C826" s="21"/>
      <c r="D826" s="26"/>
      <c r="E826" s="26"/>
      <c r="F826" s="17"/>
      <c r="G826" s="25"/>
      <c r="H826" s="21"/>
      <c r="I826" s="21"/>
      <c r="J826" s="18" t="str">
        <f aca="false">IF($A826="","",$F826*$G826)</f>
        <v/>
      </c>
    </row>
    <row r="827" customFormat="false" ht="15" hidden="false" customHeight="false" outlineLevel="0" collapsed="false">
      <c r="A827" s="21"/>
      <c r="B827" s="21"/>
      <c r="C827" s="21"/>
      <c r="D827" s="26"/>
      <c r="E827" s="26"/>
      <c r="F827" s="17"/>
      <c r="G827" s="25"/>
      <c r="H827" s="21"/>
      <c r="I827" s="21"/>
      <c r="J827" s="18" t="str">
        <f aca="false">IF($A827="","",$F827*$G827)</f>
        <v/>
      </c>
    </row>
    <row r="828" customFormat="false" ht="15" hidden="false" customHeight="false" outlineLevel="0" collapsed="false">
      <c r="A828" s="21"/>
      <c r="B828" s="21"/>
      <c r="C828" s="21"/>
      <c r="D828" s="26"/>
      <c r="E828" s="26"/>
      <c r="F828" s="17"/>
      <c r="G828" s="25"/>
      <c r="H828" s="21"/>
      <c r="I828" s="21"/>
      <c r="J828" s="18" t="str">
        <f aca="false">IF($A828="","",$F828*$G828)</f>
        <v/>
      </c>
    </row>
    <row r="829" customFormat="false" ht="15" hidden="false" customHeight="false" outlineLevel="0" collapsed="false">
      <c r="A829" s="21"/>
      <c r="B829" s="21"/>
      <c r="C829" s="21"/>
      <c r="D829" s="26"/>
      <c r="E829" s="26"/>
      <c r="F829" s="17"/>
      <c r="G829" s="25"/>
      <c r="H829" s="21"/>
      <c r="I829" s="21"/>
      <c r="J829" s="18" t="str">
        <f aca="false">IF($A829="","",$F829*$G829)</f>
        <v/>
      </c>
    </row>
    <row r="830" customFormat="false" ht="15" hidden="false" customHeight="false" outlineLevel="0" collapsed="false">
      <c r="A830" s="21"/>
      <c r="B830" s="21"/>
      <c r="C830" s="21"/>
      <c r="D830" s="26"/>
      <c r="E830" s="26"/>
      <c r="F830" s="17"/>
      <c r="G830" s="25"/>
      <c r="H830" s="21"/>
      <c r="I830" s="21"/>
      <c r="J830" s="18" t="str">
        <f aca="false">IF($A830="","",$F830*$G830)</f>
        <v/>
      </c>
    </row>
    <row r="831" customFormat="false" ht="15" hidden="false" customHeight="false" outlineLevel="0" collapsed="false">
      <c r="A831" s="21"/>
      <c r="B831" s="21"/>
      <c r="C831" s="21"/>
      <c r="D831" s="26"/>
      <c r="E831" s="26"/>
      <c r="F831" s="17"/>
      <c r="G831" s="25"/>
      <c r="H831" s="21"/>
      <c r="I831" s="21"/>
      <c r="J831" s="18" t="str">
        <f aca="false">IF($A831="","",$F831*$G831)</f>
        <v/>
      </c>
    </row>
    <row r="832" customFormat="false" ht="15" hidden="false" customHeight="false" outlineLevel="0" collapsed="false">
      <c r="A832" s="21"/>
      <c r="B832" s="21"/>
      <c r="C832" s="21"/>
      <c r="D832" s="26"/>
      <c r="E832" s="26"/>
      <c r="F832" s="17"/>
      <c r="G832" s="25"/>
      <c r="H832" s="21"/>
      <c r="I832" s="21"/>
      <c r="J832" s="18" t="str">
        <f aca="false">IF($A832="","",$F832*$G832)</f>
        <v/>
      </c>
    </row>
    <row r="833" customFormat="false" ht="15" hidden="false" customHeight="false" outlineLevel="0" collapsed="false">
      <c r="A833" s="21"/>
      <c r="B833" s="21"/>
      <c r="C833" s="21"/>
      <c r="D833" s="26"/>
      <c r="E833" s="26"/>
      <c r="F833" s="17"/>
      <c r="G833" s="25"/>
      <c r="H833" s="21"/>
      <c r="I833" s="21"/>
      <c r="J833" s="18" t="str">
        <f aca="false">IF($A833="","",$F833*$G833)</f>
        <v/>
      </c>
    </row>
    <row r="834" customFormat="false" ht="15" hidden="false" customHeight="false" outlineLevel="0" collapsed="false">
      <c r="A834" s="21"/>
      <c r="B834" s="21"/>
      <c r="C834" s="21"/>
      <c r="D834" s="26"/>
      <c r="E834" s="26"/>
      <c r="F834" s="17"/>
      <c r="G834" s="25"/>
      <c r="H834" s="21"/>
      <c r="I834" s="21"/>
      <c r="J834" s="18" t="str">
        <f aca="false">IF($A834="","",$F834*$G834)</f>
        <v/>
      </c>
    </row>
    <row r="835" customFormat="false" ht="15" hidden="false" customHeight="false" outlineLevel="0" collapsed="false">
      <c r="A835" s="21"/>
      <c r="B835" s="21"/>
      <c r="C835" s="21"/>
      <c r="D835" s="26"/>
      <c r="E835" s="26"/>
      <c r="F835" s="17"/>
      <c r="G835" s="25"/>
      <c r="H835" s="21"/>
      <c r="I835" s="21"/>
      <c r="J835" s="18" t="str">
        <f aca="false">IF($A835="","",$F835*$G835)</f>
        <v/>
      </c>
    </row>
    <row r="836" customFormat="false" ht="15" hidden="false" customHeight="false" outlineLevel="0" collapsed="false">
      <c r="A836" s="21"/>
      <c r="B836" s="21"/>
      <c r="C836" s="21"/>
      <c r="D836" s="26"/>
      <c r="E836" s="26"/>
      <c r="F836" s="17"/>
      <c r="G836" s="25"/>
      <c r="H836" s="21"/>
      <c r="I836" s="21"/>
      <c r="J836" s="18" t="str">
        <f aca="false">IF($A836="","",$F836*$G836)</f>
        <v/>
      </c>
    </row>
    <row r="837" customFormat="false" ht="15" hidden="false" customHeight="false" outlineLevel="0" collapsed="false">
      <c r="A837" s="21"/>
      <c r="B837" s="21"/>
      <c r="C837" s="21"/>
      <c r="D837" s="26"/>
      <c r="E837" s="26"/>
      <c r="F837" s="17"/>
      <c r="G837" s="25"/>
      <c r="H837" s="21"/>
      <c r="I837" s="21"/>
      <c r="J837" s="18" t="str">
        <f aca="false">IF($A837="","",$F837*$G837)</f>
        <v/>
      </c>
    </row>
    <row r="838" customFormat="false" ht="15" hidden="false" customHeight="false" outlineLevel="0" collapsed="false">
      <c r="A838" s="21"/>
      <c r="B838" s="21"/>
      <c r="C838" s="21"/>
      <c r="D838" s="26"/>
      <c r="E838" s="26"/>
      <c r="F838" s="17"/>
      <c r="G838" s="25"/>
      <c r="H838" s="21"/>
      <c r="I838" s="21"/>
      <c r="J838" s="18" t="str">
        <f aca="false">IF($A838="","",$F838*$G838)</f>
        <v/>
      </c>
    </row>
    <row r="839" customFormat="false" ht="15" hidden="false" customHeight="false" outlineLevel="0" collapsed="false">
      <c r="A839" s="21"/>
      <c r="B839" s="21"/>
      <c r="C839" s="21"/>
      <c r="D839" s="26"/>
      <c r="E839" s="26"/>
      <c r="F839" s="17"/>
      <c r="G839" s="25"/>
      <c r="H839" s="21"/>
      <c r="I839" s="21"/>
      <c r="J839" s="18" t="str">
        <f aca="false">IF($A839="","",$F839*$G839)</f>
        <v/>
      </c>
    </row>
    <row r="840" customFormat="false" ht="15" hidden="false" customHeight="false" outlineLevel="0" collapsed="false">
      <c r="A840" s="21"/>
      <c r="B840" s="21"/>
      <c r="C840" s="21"/>
      <c r="D840" s="26"/>
      <c r="E840" s="26"/>
      <c r="F840" s="17"/>
      <c r="G840" s="25"/>
      <c r="H840" s="21"/>
      <c r="I840" s="21"/>
      <c r="J840" s="18" t="str">
        <f aca="false">IF($A840="","",$F840*$G840)</f>
        <v/>
      </c>
    </row>
    <row r="841" customFormat="false" ht="15" hidden="false" customHeight="false" outlineLevel="0" collapsed="false">
      <c r="A841" s="21"/>
      <c r="B841" s="21"/>
      <c r="C841" s="21"/>
      <c r="D841" s="26"/>
      <c r="E841" s="26"/>
      <c r="F841" s="17"/>
      <c r="G841" s="25"/>
      <c r="H841" s="21"/>
      <c r="I841" s="21"/>
      <c r="J841" s="18" t="str">
        <f aca="false">IF($A841="","",$F841*$G841)</f>
        <v/>
      </c>
    </row>
    <row r="842" customFormat="false" ht="15" hidden="false" customHeight="false" outlineLevel="0" collapsed="false">
      <c r="A842" s="21"/>
      <c r="B842" s="21"/>
      <c r="C842" s="21"/>
      <c r="D842" s="26"/>
      <c r="E842" s="26"/>
      <c r="F842" s="17"/>
      <c r="G842" s="25"/>
      <c r="H842" s="21"/>
      <c r="I842" s="21"/>
      <c r="J842" s="18" t="str">
        <f aca="false">IF($A842="","",$F842*$G842)</f>
        <v/>
      </c>
    </row>
    <row r="843" customFormat="false" ht="15" hidden="false" customHeight="false" outlineLevel="0" collapsed="false">
      <c r="A843" s="21"/>
      <c r="B843" s="21"/>
      <c r="C843" s="21"/>
      <c r="D843" s="26"/>
      <c r="E843" s="26"/>
      <c r="F843" s="17"/>
      <c r="G843" s="25"/>
      <c r="H843" s="21"/>
      <c r="I843" s="21"/>
      <c r="J843" s="18" t="str">
        <f aca="false">IF($A843="","",$F843*$G843)</f>
        <v/>
      </c>
    </row>
    <row r="844" customFormat="false" ht="15" hidden="false" customHeight="false" outlineLevel="0" collapsed="false">
      <c r="A844" s="21"/>
      <c r="B844" s="21"/>
      <c r="C844" s="21"/>
      <c r="D844" s="26"/>
      <c r="E844" s="26"/>
      <c r="F844" s="17"/>
      <c r="G844" s="25"/>
      <c r="H844" s="21"/>
      <c r="I844" s="21"/>
      <c r="J844" s="18" t="str">
        <f aca="false">IF($A844="","",$F844*$G844)</f>
        <v/>
      </c>
    </row>
    <row r="845" customFormat="false" ht="15" hidden="false" customHeight="false" outlineLevel="0" collapsed="false">
      <c r="A845" s="21"/>
      <c r="B845" s="21"/>
      <c r="C845" s="21"/>
      <c r="D845" s="26"/>
      <c r="E845" s="26"/>
      <c r="F845" s="17"/>
      <c r="G845" s="25"/>
      <c r="H845" s="21"/>
      <c r="I845" s="21"/>
      <c r="J845" s="18" t="str">
        <f aca="false">IF($A845="","",$F845*$G845)</f>
        <v/>
      </c>
    </row>
    <row r="846" customFormat="false" ht="15" hidden="false" customHeight="false" outlineLevel="0" collapsed="false">
      <c r="A846" s="21"/>
      <c r="B846" s="21"/>
      <c r="C846" s="21"/>
      <c r="D846" s="26"/>
      <c r="E846" s="26"/>
      <c r="F846" s="17"/>
      <c r="G846" s="25"/>
      <c r="H846" s="21"/>
      <c r="I846" s="21"/>
      <c r="J846" s="18" t="str">
        <f aca="false">IF($A846="","",$F846*$G846)</f>
        <v/>
      </c>
    </row>
    <row r="847" customFormat="false" ht="15" hidden="false" customHeight="false" outlineLevel="0" collapsed="false">
      <c r="A847" s="21"/>
      <c r="B847" s="21"/>
      <c r="C847" s="21"/>
      <c r="D847" s="26"/>
      <c r="E847" s="26"/>
      <c r="F847" s="17"/>
      <c r="G847" s="25"/>
      <c r="H847" s="21"/>
      <c r="I847" s="21"/>
      <c r="J847" s="18" t="str">
        <f aca="false">IF($A847="","",$F847*$G847)</f>
        <v/>
      </c>
    </row>
    <row r="848" customFormat="false" ht="15" hidden="false" customHeight="false" outlineLevel="0" collapsed="false">
      <c r="A848" s="21"/>
      <c r="B848" s="21"/>
      <c r="C848" s="21"/>
      <c r="D848" s="26"/>
      <c r="E848" s="26"/>
      <c r="F848" s="17"/>
      <c r="G848" s="25"/>
      <c r="H848" s="21"/>
      <c r="I848" s="21"/>
      <c r="J848" s="18" t="str">
        <f aca="false">IF($A848="","",$F848*$G848)</f>
        <v/>
      </c>
    </row>
    <row r="849" customFormat="false" ht="15" hidden="false" customHeight="false" outlineLevel="0" collapsed="false">
      <c r="A849" s="21"/>
      <c r="B849" s="21"/>
      <c r="C849" s="21"/>
      <c r="D849" s="26"/>
      <c r="E849" s="26"/>
      <c r="F849" s="17"/>
      <c r="G849" s="25"/>
      <c r="H849" s="21"/>
      <c r="I849" s="21"/>
      <c r="J849" s="18" t="str">
        <f aca="false">IF($A849="","",$F849*$G849)</f>
        <v/>
      </c>
    </row>
    <row r="850" customFormat="false" ht="15" hidden="false" customHeight="false" outlineLevel="0" collapsed="false">
      <c r="A850" s="21"/>
      <c r="B850" s="21"/>
      <c r="C850" s="21"/>
      <c r="D850" s="26"/>
      <c r="E850" s="26"/>
      <c r="F850" s="17"/>
      <c r="G850" s="25"/>
      <c r="H850" s="21"/>
      <c r="I850" s="21"/>
      <c r="J850" s="18" t="str">
        <f aca="false">IF($A850="","",$F850*$G850)</f>
        <v/>
      </c>
    </row>
    <row r="851" customFormat="false" ht="15" hidden="false" customHeight="false" outlineLevel="0" collapsed="false">
      <c r="A851" s="21"/>
      <c r="B851" s="21"/>
      <c r="C851" s="21"/>
      <c r="D851" s="26"/>
      <c r="E851" s="26"/>
      <c r="F851" s="17"/>
      <c r="G851" s="25"/>
      <c r="H851" s="21"/>
      <c r="I851" s="21"/>
      <c r="J851" s="18" t="str">
        <f aca="false">IF($A851="","",$F851*$G851)</f>
        <v/>
      </c>
    </row>
    <row r="852" customFormat="false" ht="15" hidden="false" customHeight="false" outlineLevel="0" collapsed="false">
      <c r="A852" s="21"/>
      <c r="B852" s="21"/>
      <c r="C852" s="21"/>
      <c r="D852" s="26"/>
      <c r="E852" s="26"/>
      <c r="F852" s="17"/>
      <c r="G852" s="25"/>
      <c r="H852" s="21"/>
      <c r="I852" s="21"/>
      <c r="J852" s="18" t="str">
        <f aca="false">IF($A852="","",$F852*$G852)</f>
        <v/>
      </c>
    </row>
    <row r="853" customFormat="false" ht="15" hidden="false" customHeight="false" outlineLevel="0" collapsed="false">
      <c r="A853" s="21"/>
      <c r="B853" s="21"/>
      <c r="C853" s="21"/>
      <c r="D853" s="26"/>
      <c r="E853" s="26"/>
      <c r="F853" s="17"/>
      <c r="G853" s="25"/>
      <c r="H853" s="21"/>
      <c r="I853" s="21"/>
      <c r="J853" s="18" t="str">
        <f aca="false">IF($A853="","",$F853*$G853)</f>
        <v/>
      </c>
    </row>
    <row r="854" customFormat="false" ht="15" hidden="false" customHeight="false" outlineLevel="0" collapsed="false">
      <c r="A854" s="21"/>
      <c r="B854" s="21"/>
      <c r="C854" s="21"/>
      <c r="D854" s="26"/>
      <c r="E854" s="26"/>
      <c r="F854" s="17"/>
      <c r="G854" s="25"/>
      <c r="H854" s="21"/>
      <c r="I854" s="21"/>
      <c r="J854" s="18" t="str">
        <f aca="false">IF($A854="","",$F854*$G854)</f>
        <v/>
      </c>
    </row>
    <row r="855" customFormat="false" ht="15" hidden="false" customHeight="false" outlineLevel="0" collapsed="false">
      <c r="A855" s="21"/>
      <c r="B855" s="21"/>
      <c r="C855" s="21"/>
      <c r="D855" s="26"/>
      <c r="E855" s="26"/>
      <c r="F855" s="17"/>
      <c r="G855" s="25"/>
      <c r="H855" s="21"/>
      <c r="I855" s="21"/>
      <c r="J855" s="18" t="str">
        <f aca="false">IF($A855="","",$F855*$G855)</f>
        <v/>
      </c>
    </row>
    <row r="856" customFormat="false" ht="15" hidden="false" customHeight="false" outlineLevel="0" collapsed="false">
      <c r="A856" s="21"/>
      <c r="B856" s="21"/>
      <c r="C856" s="21"/>
      <c r="D856" s="26"/>
      <c r="E856" s="26"/>
      <c r="F856" s="17"/>
      <c r="G856" s="25"/>
      <c r="H856" s="21"/>
      <c r="I856" s="21"/>
      <c r="J856" s="18" t="str">
        <f aca="false">IF($A856="","",$F856*$G856)</f>
        <v/>
      </c>
    </row>
    <row r="857" customFormat="false" ht="15" hidden="false" customHeight="false" outlineLevel="0" collapsed="false">
      <c r="A857" s="21"/>
      <c r="B857" s="21"/>
      <c r="C857" s="21"/>
      <c r="D857" s="26"/>
      <c r="E857" s="26"/>
      <c r="F857" s="17"/>
      <c r="G857" s="25"/>
      <c r="H857" s="21"/>
      <c r="I857" s="21"/>
      <c r="J857" s="18" t="str">
        <f aca="false">IF($A857="","",$F857*$G857)</f>
        <v/>
      </c>
    </row>
    <row r="858" customFormat="false" ht="15" hidden="false" customHeight="false" outlineLevel="0" collapsed="false">
      <c r="A858" s="21"/>
      <c r="B858" s="21"/>
      <c r="C858" s="21"/>
      <c r="D858" s="26"/>
      <c r="E858" s="26"/>
      <c r="F858" s="17"/>
      <c r="G858" s="25"/>
      <c r="H858" s="21"/>
      <c r="I858" s="21"/>
      <c r="J858" s="18" t="str">
        <f aca="false">IF($A858="","",$F858*$G858)</f>
        <v/>
      </c>
    </row>
    <row r="859" customFormat="false" ht="15" hidden="false" customHeight="false" outlineLevel="0" collapsed="false">
      <c r="A859" s="21"/>
      <c r="B859" s="21"/>
      <c r="C859" s="21"/>
      <c r="D859" s="26"/>
      <c r="E859" s="26"/>
      <c r="F859" s="17"/>
      <c r="G859" s="25"/>
      <c r="H859" s="21"/>
      <c r="I859" s="21"/>
      <c r="J859" s="18" t="str">
        <f aca="false">IF($A859="","",$F859*$G859)</f>
        <v/>
      </c>
    </row>
    <row r="860" customFormat="false" ht="15" hidden="false" customHeight="false" outlineLevel="0" collapsed="false">
      <c r="A860" s="21"/>
      <c r="B860" s="21"/>
      <c r="C860" s="21"/>
      <c r="D860" s="26"/>
      <c r="E860" s="26"/>
      <c r="F860" s="17"/>
      <c r="G860" s="25"/>
      <c r="H860" s="21"/>
      <c r="I860" s="21"/>
      <c r="J860" s="18" t="str">
        <f aca="false">IF($A860="","",$F860*$G860)</f>
        <v/>
      </c>
    </row>
    <row r="861" customFormat="false" ht="15" hidden="false" customHeight="false" outlineLevel="0" collapsed="false">
      <c r="A861" s="21"/>
      <c r="B861" s="21"/>
      <c r="C861" s="21"/>
      <c r="D861" s="26"/>
      <c r="E861" s="26"/>
      <c r="F861" s="17"/>
      <c r="G861" s="25"/>
      <c r="H861" s="21"/>
      <c r="I861" s="21"/>
      <c r="J861" s="18" t="str">
        <f aca="false">IF($A861="","",$F861*$G861)</f>
        <v/>
      </c>
    </row>
    <row r="862" customFormat="false" ht="15" hidden="false" customHeight="false" outlineLevel="0" collapsed="false">
      <c r="A862" s="21"/>
      <c r="B862" s="21"/>
      <c r="C862" s="21"/>
      <c r="D862" s="26"/>
      <c r="E862" s="26"/>
      <c r="F862" s="17"/>
      <c r="G862" s="25"/>
      <c r="H862" s="21"/>
      <c r="I862" s="21"/>
      <c r="J862" s="18" t="str">
        <f aca="false">IF($A862="","",$F862*$G862)</f>
        <v/>
      </c>
    </row>
    <row r="863" customFormat="false" ht="15" hidden="false" customHeight="false" outlineLevel="0" collapsed="false">
      <c r="A863" s="21"/>
      <c r="B863" s="21"/>
      <c r="C863" s="21"/>
      <c r="D863" s="26"/>
      <c r="E863" s="26"/>
      <c r="F863" s="17"/>
      <c r="G863" s="25"/>
      <c r="H863" s="21"/>
      <c r="I863" s="21"/>
      <c r="J863" s="18" t="str">
        <f aca="false">IF($A863="","",$F863*$G863)</f>
        <v/>
      </c>
    </row>
    <row r="864" customFormat="false" ht="15" hidden="false" customHeight="false" outlineLevel="0" collapsed="false">
      <c r="A864" s="21"/>
      <c r="B864" s="21"/>
      <c r="C864" s="21"/>
      <c r="D864" s="26"/>
      <c r="E864" s="26"/>
      <c r="F864" s="17"/>
      <c r="G864" s="25"/>
      <c r="H864" s="21"/>
      <c r="I864" s="21"/>
      <c r="J864" s="18" t="str">
        <f aca="false">IF($A864="","",$F864*$G864)</f>
        <v/>
      </c>
    </row>
    <row r="865" customFormat="false" ht="15" hidden="false" customHeight="false" outlineLevel="0" collapsed="false">
      <c r="A865" s="21"/>
      <c r="B865" s="21"/>
      <c r="C865" s="21"/>
      <c r="D865" s="26"/>
      <c r="E865" s="26"/>
      <c r="F865" s="17"/>
      <c r="G865" s="25"/>
      <c r="H865" s="21"/>
      <c r="I865" s="21"/>
      <c r="J865" s="18" t="str">
        <f aca="false">IF($A865="","",$F865*$G865)</f>
        <v/>
      </c>
    </row>
    <row r="866" customFormat="false" ht="15" hidden="false" customHeight="false" outlineLevel="0" collapsed="false">
      <c r="A866" s="21"/>
      <c r="B866" s="21"/>
      <c r="C866" s="21"/>
      <c r="D866" s="26"/>
      <c r="E866" s="26"/>
      <c r="F866" s="17"/>
      <c r="G866" s="25"/>
      <c r="H866" s="21"/>
      <c r="I866" s="21"/>
      <c r="J866" s="18" t="str">
        <f aca="false">IF($A866="","",$F866*$G866)</f>
        <v/>
      </c>
    </row>
    <row r="867" customFormat="false" ht="15" hidden="false" customHeight="false" outlineLevel="0" collapsed="false">
      <c r="A867" s="21"/>
      <c r="B867" s="21"/>
      <c r="C867" s="21"/>
      <c r="D867" s="26"/>
      <c r="E867" s="26"/>
      <c r="F867" s="17"/>
      <c r="G867" s="25"/>
      <c r="H867" s="21"/>
      <c r="I867" s="21"/>
      <c r="J867" s="18" t="str">
        <f aca="false">IF($A867="","",$F867*$G867)</f>
        <v/>
      </c>
    </row>
    <row r="868" customFormat="false" ht="15" hidden="false" customHeight="false" outlineLevel="0" collapsed="false">
      <c r="A868" s="21"/>
      <c r="B868" s="21"/>
      <c r="C868" s="21"/>
      <c r="D868" s="26"/>
      <c r="E868" s="26"/>
      <c r="F868" s="17"/>
      <c r="G868" s="25"/>
      <c r="H868" s="21"/>
      <c r="I868" s="21"/>
      <c r="J868" s="18" t="str">
        <f aca="false">IF($A868="","",$F868*$G868)</f>
        <v/>
      </c>
    </row>
    <row r="869" customFormat="false" ht="15" hidden="false" customHeight="false" outlineLevel="0" collapsed="false">
      <c r="A869" s="21"/>
      <c r="B869" s="21"/>
      <c r="C869" s="21"/>
      <c r="D869" s="26"/>
      <c r="E869" s="26"/>
      <c r="F869" s="17"/>
      <c r="G869" s="25"/>
      <c r="H869" s="21"/>
      <c r="I869" s="21"/>
      <c r="J869" s="18" t="str">
        <f aca="false">IF($A869="","",$F869*$G869)</f>
        <v/>
      </c>
    </row>
    <row r="870" customFormat="false" ht="15" hidden="false" customHeight="false" outlineLevel="0" collapsed="false">
      <c r="A870" s="21"/>
      <c r="B870" s="21"/>
      <c r="C870" s="21"/>
      <c r="D870" s="26"/>
      <c r="E870" s="26"/>
      <c r="F870" s="17"/>
      <c r="G870" s="25"/>
      <c r="H870" s="21"/>
      <c r="I870" s="21"/>
      <c r="J870" s="18" t="str">
        <f aca="false">IF($A870="","",$F870*$G870)</f>
        <v/>
      </c>
    </row>
    <row r="871" customFormat="false" ht="15" hidden="false" customHeight="false" outlineLevel="0" collapsed="false">
      <c r="A871" s="21"/>
      <c r="B871" s="21"/>
      <c r="C871" s="21"/>
      <c r="D871" s="26"/>
      <c r="E871" s="26"/>
      <c r="F871" s="17"/>
      <c r="G871" s="25"/>
      <c r="H871" s="21"/>
      <c r="I871" s="21"/>
      <c r="J871" s="18" t="str">
        <f aca="false">IF($A871="","",$F871*$G871)</f>
        <v/>
      </c>
    </row>
    <row r="872" customFormat="false" ht="15" hidden="false" customHeight="false" outlineLevel="0" collapsed="false">
      <c r="A872" s="21"/>
      <c r="B872" s="21"/>
      <c r="C872" s="21"/>
      <c r="D872" s="26"/>
      <c r="E872" s="26"/>
      <c r="F872" s="17"/>
      <c r="G872" s="25"/>
      <c r="H872" s="21"/>
      <c r="I872" s="21"/>
      <c r="J872" s="18" t="str">
        <f aca="false">IF($A872="","",$F872*$G872)</f>
        <v/>
      </c>
    </row>
    <row r="873" customFormat="false" ht="15" hidden="false" customHeight="false" outlineLevel="0" collapsed="false">
      <c r="A873" s="21"/>
      <c r="B873" s="21"/>
      <c r="C873" s="21"/>
      <c r="D873" s="26"/>
      <c r="E873" s="26"/>
      <c r="F873" s="17"/>
      <c r="G873" s="25"/>
      <c r="H873" s="21"/>
      <c r="I873" s="21"/>
      <c r="J873" s="18" t="str">
        <f aca="false">IF($A873="","",$F873*$G873)</f>
        <v/>
      </c>
    </row>
    <row r="874" customFormat="false" ht="15" hidden="false" customHeight="false" outlineLevel="0" collapsed="false">
      <c r="A874" s="21"/>
      <c r="B874" s="21"/>
      <c r="C874" s="21"/>
      <c r="D874" s="26"/>
      <c r="E874" s="26"/>
      <c r="F874" s="17"/>
      <c r="G874" s="25"/>
      <c r="H874" s="21"/>
      <c r="I874" s="21"/>
      <c r="J874" s="18" t="str">
        <f aca="false">IF($A874="","",$F874*$G874)</f>
        <v/>
      </c>
    </row>
    <row r="875" customFormat="false" ht="15" hidden="false" customHeight="false" outlineLevel="0" collapsed="false">
      <c r="A875" s="21"/>
      <c r="B875" s="21"/>
      <c r="C875" s="21"/>
      <c r="D875" s="26"/>
      <c r="E875" s="26"/>
      <c r="F875" s="17"/>
      <c r="G875" s="25"/>
      <c r="H875" s="21"/>
      <c r="I875" s="21"/>
      <c r="J875" s="18" t="str">
        <f aca="false">IF($A875="","",$F875*$G875)</f>
        <v/>
      </c>
    </row>
    <row r="876" customFormat="false" ht="15" hidden="false" customHeight="false" outlineLevel="0" collapsed="false">
      <c r="A876" s="21"/>
      <c r="B876" s="21"/>
      <c r="C876" s="21"/>
      <c r="D876" s="26"/>
      <c r="E876" s="26"/>
      <c r="F876" s="17"/>
      <c r="G876" s="25"/>
      <c r="H876" s="21"/>
      <c r="I876" s="21"/>
      <c r="J876" s="18" t="str">
        <f aca="false">IF($A876="","",$F876*$G876)</f>
        <v/>
      </c>
    </row>
    <row r="877" customFormat="false" ht="15" hidden="false" customHeight="false" outlineLevel="0" collapsed="false">
      <c r="A877" s="21"/>
      <c r="B877" s="21"/>
      <c r="C877" s="21"/>
      <c r="D877" s="26"/>
      <c r="E877" s="26"/>
      <c r="F877" s="17"/>
      <c r="G877" s="25"/>
      <c r="H877" s="21"/>
      <c r="I877" s="21"/>
      <c r="J877" s="18" t="str">
        <f aca="false">IF($A877="","",$F877*$G877)</f>
        <v/>
      </c>
    </row>
    <row r="878" customFormat="false" ht="15" hidden="false" customHeight="false" outlineLevel="0" collapsed="false">
      <c r="A878" s="21"/>
      <c r="B878" s="21"/>
      <c r="C878" s="21"/>
      <c r="D878" s="26"/>
      <c r="E878" s="26"/>
      <c r="F878" s="17"/>
      <c r="G878" s="25"/>
      <c r="H878" s="21"/>
      <c r="I878" s="21"/>
      <c r="J878" s="18" t="str">
        <f aca="false">IF($A878="","",$F878*$G878)</f>
        <v/>
      </c>
    </row>
    <row r="879" customFormat="false" ht="15" hidden="false" customHeight="false" outlineLevel="0" collapsed="false">
      <c r="A879" s="21"/>
      <c r="B879" s="21"/>
      <c r="C879" s="21"/>
      <c r="D879" s="26"/>
      <c r="E879" s="26"/>
      <c r="F879" s="17"/>
      <c r="G879" s="25"/>
      <c r="H879" s="21"/>
      <c r="I879" s="21"/>
      <c r="J879" s="18" t="str">
        <f aca="false">IF($A879="","",$F879*$G879)</f>
        <v/>
      </c>
    </row>
    <row r="880" customFormat="false" ht="15" hidden="false" customHeight="false" outlineLevel="0" collapsed="false">
      <c r="A880" s="21"/>
      <c r="B880" s="21"/>
      <c r="C880" s="21"/>
      <c r="D880" s="26"/>
      <c r="E880" s="26"/>
      <c r="F880" s="17"/>
      <c r="G880" s="25"/>
      <c r="H880" s="21"/>
      <c r="I880" s="21"/>
      <c r="J880" s="18" t="str">
        <f aca="false">IF($A880="","",$F880*$G880)</f>
        <v/>
      </c>
    </row>
    <row r="881" customFormat="false" ht="15" hidden="false" customHeight="false" outlineLevel="0" collapsed="false">
      <c r="A881" s="21"/>
      <c r="B881" s="21"/>
      <c r="C881" s="21"/>
      <c r="D881" s="26"/>
      <c r="E881" s="26"/>
      <c r="F881" s="17"/>
      <c r="G881" s="25"/>
      <c r="H881" s="21"/>
      <c r="I881" s="21"/>
      <c r="J881" s="18" t="str">
        <f aca="false">IF($A881="","",$F881*$G881)</f>
        <v/>
      </c>
    </row>
    <row r="882" customFormat="false" ht="15" hidden="false" customHeight="false" outlineLevel="0" collapsed="false">
      <c r="A882" s="21"/>
      <c r="B882" s="21"/>
      <c r="C882" s="21"/>
      <c r="D882" s="26"/>
      <c r="E882" s="26"/>
      <c r="F882" s="17"/>
      <c r="G882" s="25"/>
      <c r="H882" s="21"/>
      <c r="I882" s="21"/>
      <c r="J882" s="18" t="str">
        <f aca="false">IF($A882="","",$F882*$G882)</f>
        <v/>
      </c>
    </row>
    <row r="883" customFormat="false" ht="15" hidden="false" customHeight="false" outlineLevel="0" collapsed="false">
      <c r="A883" s="21"/>
      <c r="B883" s="21"/>
      <c r="C883" s="21"/>
      <c r="D883" s="26"/>
      <c r="E883" s="26"/>
      <c r="F883" s="17"/>
      <c r="G883" s="25"/>
      <c r="H883" s="21"/>
      <c r="I883" s="21"/>
      <c r="J883" s="18" t="str">
        <f aca="false">IF($A883="","",$F883*$G883)</f>
        <v/>
      </c>
    </row>
    <row r="884" customFormat="false" ht="15" hidden="false" customHeight="false" outlineLevel="0" collapsed="false">
      <c r="A884" s="21"/>
      <c r="B884" s="21"/>
      <c r="C884" s="21"/>
      <c r="D884" s="26"/>
      <c r="E884" s="26"/>
      <c r="F884" s="17"/>
      <c r="G884" s="25"/>
      <c r="H884" s="21"/>
      <c r="I884" s="21"/>
      <c r="J884" s="18" t="str">
        <f aca="false">IF($A884="","",$F884*$G884)</f>
        <v/>
      </c>
    </row>
    <row r="885" customFormat="false" ht="15" hidden="false" customHeight="false" outlineLevel="0" collapsed="false">
      <c r="A885" s="21"/>
      <c r="B885" s="21"/>
      <c r="C885" s="21"/>
      <c r="D885" s="26"/>
      <c r="E885" s="26"/>
      <c r="F885" s="17"/>
      <c r="G885" s="25"/>
      <c r="H885" s="21"/>
      <c r="I885" s="21"/>
      <c r="J885" s="18" t="str">
        <f aca="false">IF($A885="","",$F885*$G885)</f>
        <v/>
      </c>
    </row>
    <row r="886" customFormat="false" ht="15" hidden="false" customHeight="false" outlineLevel="0" collapsed="false">
      <c r="A886" s="21"/>
      <c r="B886" s="21"/>
      <c r="C886" s="21"/>
      <c r="D886" s="26"/>
      <c r="E886" s="26"/>
      <c r="F886" s="17"/>
      <c r="G886" s="25"/>
      <c r="H886" s="21"/>
      <c r="I886" s="21"/>
      <c r="J886" s="18" t="str">
        <f aca="false">IF($A886="","",$F886*$G886)</f>
        <v/>
      </c>
    </row>
    <row r="887" customFormat="false" ht="15" hidden="false" customHeight="false" outlineLevel="0" collapsed="false">
      <c r="A887" s="21"/>
      <c r="B887" s="21"/>
      <c r="C887" s="21"/>
      <c r="D887" s="26"/>
      <c r="E887" s="26"/>
      <c r="F887" s="17"/>
      <c r="G887" s="25"/>
      <c r="H887" s="21"/>
      <c r="I887" s="21"/>
      <c r="J887" s="18" t="str">
        <f aca="false">IF($A887="","",$F887*$G887)</f>
        <v/>
      </c>
    </row>
    <row r="888" customFormat="false" ht="15" hidden="false" customHeight="false" outlineLevel="0" collapsed="false">
      <c r="A888" s="21"/>
      <c r="B888" s="21"/>
      <c r="C888" s="21"/>
      <c r="D888" s="26"/>
      <c r="E888" s="26"/>
      <c r="F888" s="17"/>
      <c r="G888" s="25"/>
      <c r="H888" s="21"/>
      <c r="I888" s="21"/>
      <c r="J888" s="18" t="str">
        <f aca="false">IF($A888="","",$F888*$G888)</f>
        <v/>
      </c>
    </row>
    <row r="889" customFormat="false" ht="15" hidden="false" customHeight="false" outlineLevel="0" collapsed="false">
      <c r="A889" s="21"/>
      <c r="B889" s="21"/>
      <c r="C889" s="21"/>
      <c r="D889" s="26"/>
      <c r="E889" s="26"/>
      <c r="F889" s="17"/>
      <c r="G889" s="25"/>
      <c r="H889" s="21"/>
      <c r="I889" s="21"/>
      <c r="J889" s="18" t="str">
        <f aca="false">IF($A889="","",$F889*$G889)</f>
        <v/>
      </c>
    </row>
    <row r="890" customFormat="false" ht="15" hidden="false" customHeight="false" outlineLevel="0" collapsed="false">
      <c r="A890" s="21"/>
      <c r="B890" s="21"/>
      <c r="C890" s="21"/>
      <c r="D890" s="26"/>
      <c r="E890" s="26"/>
      <c r="F890" s="17"/>
      <c r="G890" s="25"/>
      <c r="H890" s="21"/>
      <c r="I890" s="21"/>
      <c r="J890" s="18" t="str">
        <f aca="false">IF($A890="","",$F890*$G890)</f>
        <v/>
      </c>
    </row>
    <row r="891" customFormat="false" ht="15" hidden="false" customHeight="false" outlineLevel="0" collapsed="false">
      <c r="A891" s="21"/>
      <c r="B891" s="21"/>
      <c r="C891" s="21"/>
      <c r="D891" s="26"/>
      <c r="E891" s="26"/>
      <c r="F891" s="17"/>
      <c r="G891" s="25"/>
      <c r="H891" s="21"/>
      <c r="I891" s="21"/>
      <c r="J891" s="18" t="str">
        <f aca="false">IF($A891="","",$F891*$G891)</f>
        <v/>
      </c>
    </row>
    <row r="892" customFormat="false" ht="15" hidden="false" customHeight="false" outlineLevel="0" collapsed="false">
      <c r="A892" s="21"/>
      <c r="B892" s="21"/>
      <c r="C892" s="21"/>
      <c r="D892" s="26"/>
      <c r="E892" s="26"/>
      <c r="F892" s="17"/>
      <c r="G892" s="25"/>
      <c r="H892" s="21"/>
      <c r="I892" s="21"/>
      <c r="J892" s="18" t="str">
        <f aca="false">IF($A892="","",$F892*$G892)</f>
        <v/>
      </c>
    </row>
    <row r="893" customFormat="false" ht="15" hidden="false" customHeight="false" outlineLevel="0" collapsed="false">
      <c r="A893" s="21"/>
      <c r="B893" s="21"/>
      <c r="C893" s="21"/>
      <c r="D893" s="26"/>
      <c r="E893" s="26"/>
      <c r="F893" s="17"/>
      <c r="G893" s="25"/>
      <c r="H893" s="21"/>
      <c r="I893" s="21"/>
      <c r="J893" s="18" t="str">
        <f aca="false">IF($A893="","",$F893*$G893)</f>
        <v/>
      </c>
    </row>
    <row r="894" customFormat="false" ht="15" hidden="false" customHeight="false" outlineLevel="0" collapsed="false">
      <c r="A894" s="21"/>
      <c r="B894" s="21"/>
      <c r="C894" s="21"/>
      <c r="D894" s="26"/>
      <c r="E894" s="26"/>
      <c r="F894" s="17"/>
      <c r="G894" s="25"/>
      <c r="H894" s="21"/>
      <c r="I894" s="21"/>
      <c r="J894" s="18" t="str">
        <f aca="false">IF($A894="","",$F894*$G894)</f>
        <v/>
      </c>
    </row>
    <row r="895" customFormat="false" ht="15" hidden="false" customHeight="false" outlineLevel="0" collapsed="false">
      <c r="A895" s="21"/>
      <c r="B895" s="21"/>
      <c r="C895" s="21"/>
      <c r="D895" s="26"/>
      <c r="E895" s="26"/>
      <c r="F895" s="17"/>
      <c r="G895" s="25"/>
      <c r="H895" s="21"/>
      <c r="I895" s="21"/>
      <c r="J895" s="18" t="str">
        <f aca="false">IF($A895="","",$F895*$G895)</f>
        <v/>
      </c>
    </row>
    <row r="896" customFormat="false" ht="15" hidden="false" customHeight="false" outlineLevel="0" collapsed="false">
      <c r="A896" s="21"/>
      <c r="B896" s="21"/>
      <c r="C896" s="21"/>
      <c r="D896" s="26"/>
      <c r="E896" s="26"/>
      <c r="F896" s="17"/>
      <c r="G896" s="25"/>
      <c r="H896" s="21"/>
      <c r="I896" s="21"/>
      <c r="J896" s="18" t="str">
        <f aca="false">IF($A896="","",$F896*$G896)</f>
        <v/>
      </c>
    </row>
    <row r="897" customFormat="false" ht="15" hidden="false" customHeight="false" outlineLevel="0" collapsed="false">
      <c r="A897" s="21"/>
      <c r="B897" s="21"/>
      <c r="C897" s="21"/>
      <c r="D897" s="26"/>
      <c r="E897" s="26"/>
      <c r="F897" s="17"/>
      <c r="G897" s="25"/>
      <c r="H897" s="21"/>
      <c r="I897" s="21"/>
      <c r="J897" s="18" t="str">
        <f aca="false">IF($A897="","",$F897*$G897)</f>
        <v/>
      </c>
    </row>
    <row r="898" customFormat="false" ht="15" hidden="false" customHeight="false" outlineLevel="0" collapsed="false">
      <c r="A898" s="21"/>
      <c r="B898" s="21"/>
      <c r="C898" s="21"/>
      <c r="D898" s="26"/>
      <c r="E898" s="26"/>
      <c r="F898" s="17"/>
      <c r="G898" s="25"/>
      <c r="H898" s="21"/>
      <c r="I898" s="21"/>
      <c r="J898" s="18" t="str">
        <f aca="false">IF($A898="","",$F898*$G898)</f>
        <v/>
      </c>
    </row>
    <row r="899" customFormat="false" ht="15" hidden="false" customHeight="false" outlineLevel="0" collapsed="false">
      <c r="A899" s="21"/>
      <c r="B899" s="21"/>
      <c r="C899" s="21"/>
      <c r="D899" s="26"/>
      <c r="E899" s="26"/>
      <c r="F899" s="17"/>
      <c r="G899" s="25"/>
      <c r="H899" s="21"/>
      <c r="I899" s="21"/>
      <c r="J899" s="18" t="str">
        <f aca="false">IF($A899="","",$F899*$G899)</f>
        <v/>
      </c>
    </row>
    <row r="900" customFormat="false" ht="15" hidden="false" customHeight="false" outlineLevel="0" collapsed="false">
      <c r="A900" s="21"/>
      <c r="B900" s="21"/>
      <c r="C900" s="21"/>
      <c r="D900" s="26"/>
      <c r="E900" s="26"/>
      <c r="F900" s="17"/>
      <c r="G900" s="25"/>
      <c r="H900" s="21"/>
      <c r="I900" s="21"/>
      <c r="J900" s="18" t="str">
        <f aca="false">IF($A900="","",$F900*$G900)</f>
        <v/>
      </c>
    </row>
    <row r="901" customFormat="false" ht="15" hidden="false" customHeight="false" outlineLevel="0" collapsed="false">
      <c r="A901" s="21"/>
      <c r="B901" s="21"/>
      <c r="C901" s="21"/>
      <c r="D901" s="26"/>
      <c r="E901" s="26"/>
      <c r="F901" s="17"/>
      <c r="G901" s="25"/>
      <c r="H901" s="21"/>
      <c r="I901" s="21"/>
      <c r="J901" s="18" t="str">
        <f aca="false">IF($A901="","",$F901*$G901)</f>
        <v/>
      </c>
    </row>
    <row r="902" customFormat="false" ht="15" hidden="false" customHeight="false" outlineLevel="0" collapsed="false">
      <c r="A902" s="21"/>
      <c r="B902" s="21"/>
      <c r="C902" s="21"/>
      <c r="D902" s="26"/>
      <c r="E902" s="26"/>
      <c r="F902" s="17"/>
      <c r="G902" s="25"/>
      <c r="H902" s="21"/>
      <c r="I902" s="21"/>
      <c r="J902" s="18" t="str">
        <f aca="false">IF($A902="","",$F902*$G902)</f>
        <v/>
      </c>
    </row>
    <row r="903" customFormat="false" ht="15" hidden="false" customHeight="false" outlineLevel="0" collapsed="false">
      <c r="A903" s="21"/>
      <c r="B903" s="21"/>
      <c r="C903" s="21"/>
      <c r="D903" s="26"/>
      <c r="E903" s="26"/>
      <c r="F903" s="17"/>
      <c r="G903" s="25"/>
      <c r="H903" s="21"/>
      <c r="I903" s="21"/>
      <c r="J903" s="18" t="str">
        <f aca="false">IF($A903="","",$F903*$G903)</f>
        <v/>
      </c>
    </row>
    <row r="904" customFormat="false" ht="15" hidden="false" customHeight="false" outlineLevel="0" collapsed="false">
      <c r="A904" s="21"/>
      <c r="B904" s="21"/>
      <c r="C904" s="21"/>
      <c r="D904" s="26"/>
      <c r="E904" s="26"/>
      <c r="F904" s="17"/>
      <c r="G904" s="25"/>
      <c r="H904" s="21"/>
      <c r="I904" s="21"/>
      <c r="J904" s="18" t="str">
        <f aca="false">IF($A904="","",$F904*$G904)</f>
        <v/>
      </c>
    </row>
    <row r="905" customFormat="false" ht="15" hidden="false" customHeight="false" outlineLevel="0" collapsed="false">
      <c r="A905" s="21"/>
      <c r="B905" s="21"/>
      <c r="C905" s="21"/>
      <c r="D905" s="26"/>
      <c r="E905" s="26"/>
      <c r="F905" s="17"/>
      <c r="G905" s="25"/>
      <c r="H905" s="21"/>
      <c r="I905" s="21"/>
      <c r="J905" s="18" t="str">
        <f aca="false">IF($A905="","",$F905*$G905)</f>
        <v/>
      </c>
    </row>
    <row r="906" customFormat="false" ht="15" hidden="false" customHeight="false" outlineLevel="0" collapsed="false">
      <c r="A906" s="21"/>
      <c r="B906" s="21"/>
      <c r="C906" s="21"/>
      <c r="D906" s="26"/>
      <c r="E906" s="26"/>
      <c r="F906" s="17"/>
      <c r="G906" s="25"/>
      <c r="H906" s="21"/>
      <c r="I906" s="21"/>
      <c r="J906" s="18" t="str">
        <f aca="false">IF($A906="","",$F906*$G906)</f>
        <v/>
      </c>
    </row>
    <row r="907" customFormat="false" ht="15" hidden="false" customHeight="false" outlineLevel="0" collapsed="false">
      <c r="A907" s="21"/>
      <c r="B907" s="21"/>
      <c r="C907" s="21"/>
      <c r="D907" s="26"/>
      <c r="E907" s="26"/>
      <c r="F907" s="17"/>
      <c r="G907" s="25"/>
      <c r="H907" s="21"/>
      <c r="I907" s="21"/>
      <c r="J907" s="18" t="str">
        <f aca="false">IF($A907="","",$F907*$G907)</f>
        <v/>
      </c>
    </row>
    <row r="908" customFormat="false" ht="15" hidden="false" customHeight="false" outlineLevel="0" collapsed="false">
      <c r="A908" s="21"/>
      <c r="B908" s="21"/>
      <c r="C908" s="21"/>
      <c r="D908" s="26"/>
      <c r="E908" s="26"/>
      <c r="F908" s="17"/>
      <c r="G908" s="25"/>
      <c r="H908" s="21"/>
      <c r="I908" s="21"/>
      <c r="J908" s="18" t="str">
        <f aca="false">IF($A908="","",$F908*$G908)</f>
        <v/>
      </c>
    </row>
    <row r="909" customFormat="false" ht="15" hidden="false" customHeight="false" outlineLevel="0" collapsed="false">
      <c r="A909" s="21"/>
      <c r="B909" s="21"/>
      <c r="C909" s="21"/>
      <c r="D909" s="26"/>
      <c r="E909" s="26"/>
      <c r="F909" s="17"/>
      <c r="G909" s="25"/>
      <c r="H909" s="21"/>
      <c r="I909" s="21"/>
      <c r="J909" s="18" t="str">
        <f aca="false">IF($A909="","",$F909*$G909)</f>
        <v/>
      </c>
    </row>
    <row r="910" customFormat="false" ht="15" hidden="false" customHeight="false" outlineLevel="0" collapsed="false">
      <c r="A910" s="21"/>
      <c r="B910" s="21"/>
      <c r="C910" s="21"/>
      <c r="D910" s="26"/>
      <c r="E910" s="26"/>
      <c r="F910" s="17"/>
      <c r="G910" s="25"/>
      <c r="H910" s="21"/>
      <c r="I910" s="21"/>
      <c r="J910" s="18" t="str">
        <f aca="false">IF($A910="","",$F910*$G910)</f>
        <v/>
      </c>
    </row>
    <row r="911" customFormat="false" ht="15" hidden="false" customHeight="false" outlineLevel="0" collapsed="false">
      <c r="A911" s="21"/>
      <c r="B911" s="21"/>
      <c r="C911" s="21"/>
      <c r="D911" s="26"/>
      <c r="E911" s="26"/>
      <c r="F911" s="17"/>
      <c r="G911" s="25"/>
      <c r="H911" s="21"/>
      <c r="I911" s="21"/>
      <c r="J911" s="18" t="str">
        <f aca="false">IF($A911="","",$F911*$G911)</f>
        <v/>
      </c>
    </row>
    <row r="912" customFormat="false" ht="15" hidden="false" customHeight="false" outlineLevel="0" collapsed="false">
      <c r="A912" s="21"/>
      <c r="B912" s="21"/>
      <c r="C912" s="21"/>
      <c r="D912" s="26"/>
      <c r="E912" s="26"/>
      <c r="F912" s="17"/>
      <c r="G912" s="25"/>
      <c r="H912" s="21"/>
      <c r="I912" s="21"/>
      <c r="J912" s="18" t="str">
        <f aca="false">IF($A912="","",$F912*$G912)</f>
        <v/>
      </c>
    </row>
    <row r="913" customFormat="false" ht="15" hidden="false" customHeight="false" outlineLevel="0" collapsed="false">
      <c r="A913" s="21"/>
      <c r="B913" s="21"/>
      <c r="C913" s="21"/>
      <c r="D913" s="26"/>
      <c r="E913" s="26"/>
      <c r="F913" s="17"/>
      <c r="G913" s="25"/>
      <c r="H913" s="21"/>
      <c r="I913" s="21"/>
      <c r="J913" s="18" t="str">
        <f aca="false">IF($A913="","",$F913*$G913)</f>
        <v/>
      </c>
    </row>
    <row r="914" customFormat="false" ht="15" hidden="false" customHeight="false" outlineLevel="0" collapsed="false">
      <c r="A914" s="21"/>
      <c r="B914" s="21"/>
      <c r="C914" s="21"/>
      <c r="D914" s="26"/>
      <c r="E914" s="26"/>
      <c r="F914" s="17"/>
      <c r="G914" s="25"/>
      <c r="H914" s="21"/>
      <c r="I914" s="21"/>
      <c r="J914" s="18" t="str">
        <f aca="false">IF($A914="","",$F914*$G914)</f>
        <v/>
      </c>
    </row>
    <row r="915" customFormat="false" ht="15" hidden="false" customHeight="false" outlineLevel="0" collapsed="false">
      <c r="A915" s="21"/>
      <c r="B915" s="21"/>
      <c r="C915" s="21"/>
      <c r="D915" s="26"/>
      <c r="E915" s="26"/>
      <c r="F915" s="17"/>
      <c r="G915" s="25"/>
      <c r="H915" s="21"/>
      <c r="I915" s="21"/>
      <c r="J915" s="18" t="str">
        <f aca="false">IF($A915="","",$F915*$G915)</f>
        <v/>
      </c>
    </row>
    <row r="916" customFormat="false" ht="15" hidden="false" customHeight="false" outlineLevel="0" collapsed="false">
      <c r="A916" s="21"/>
      <c r="B916" s="21"/>
      <c r="C916" s="21"/>
      <c r="D916" s="26"/>
      <c r="E916" s="26"/>
      <c r="F916" s="17"/>
      <c r="G916" s="25"/>
      <c r="H916" s="21"/>
      <c r="I916" s="21"/>
      <c r="J916" s="18" t="str">
        <f aca="false">IF($A916="","",$F916*$G916)</f>
        <v/>
      </c>
    </row>
    <row r="917" customFormat="false" ht="15" hidden="false" customHeight="false" outlineLevel="0" collapsed="false">
      <c r="A917" s="21"/>
      <c r="B917" s="21"/>
      <c r="C917" s="21"/>
      <c r="D917" s="26"/>
      <c r="E917" s="26"/>
      <c r="F917" s="17"/>
      <c r="G917" s="25"/>
      <c r="H917" s="21"/>
      <c r="I917" s="21"/>
      <c r="J917" s="18" t="str">
        <f aca="false">IF($A917="","",$F917*$G917)</f>
        <v/>
      </c>
    </row>
    <row r="918" customFormat="false" ht="15" hidden="false" customHeight="false" outlineLevel="0" collapsed="false">
      <c r="A918" s="21"/>
      <c r="B918" s="21"/>
      <c r="C918" s="21"/>
      <c r="D918" s="26"/>
      <c r="E918" s="26"/>
      <c r="F918" s="17"/>
      <c r="G918" s="25"/>
      <c r="H918" s="21"/>
      <c r="I918" s="21"/>
      <c r="J918" s="18" t="str">
        <f aca="false">IF($A918="","",$F918*$G918)</f>
        <v/>
      </c>
    </row>
    <row r="919" customFormat="false" ht="15" hidden="false" customHeight="false" outlineLevel="0" collapsed="false">
      <c r="A919" s="21"/>
      <c r="B919" s="21"/>
      <c r="C919" s="21"/>
      <c r="D919" s="26"/>
      <c r="E919" s="26"/>
      <c r="F919" s="17"/>
      <c r="G919" s="25"/>
      <c r="H919" s="21"/>
      <c r="I919" s="21"/>
      <c r="J919" s="18" t="str">
        <f aca="false">IF($A919="","",$F919*$G919)</f>
        <v/>
      </c>
    </row>
    <row r="920" customFormat="false" ht="15" hidden="false" customHeight="false" outlineLevel="0" collapsed="false">
      <c r="A920" s="21"/>
      <c r="B920" s="21"/>
      <c r="C920" s="21"/>
      <c r="D920" s="26"/>
      <c r="E920" s="26"/>
      <c r="F920" s="17"/>
      <c r="G920" s="25"/>
      <c r="H920" s="21"/>
      <c r="I920" s="21"/>
      <c r="J920" s="18" t="str">
        <f aca="false">IF($A920="","",$F920*$G920)</f>
        <v/>
      </c>
    </row>
    <row r="921" customFormat="false" ht="15" hidden="false" customHeight="false" outlineLevel="0" collapsed="false">
      <c r="A921" s="21"/>
      <c r="B921" s="21"/>
      <c r="C921" s="21"/>
      <c r="D921" s="26"/>
      <c r="E921" s="26"/>
      <c r="F921" s="17"/>
      <c r="G921" s="25"/>
      <c r="H921" s="21"/>
      <c r="I921" s="21"/>
      <c r="J921" s="18" t="str">
        <f aca="false">IF($A921="","",$F921*$G921)</f>
        <v/>
      </c>
    </row>
    <row r="922" customFormat="false" ht="15" hidden="false" customHeight="false" outlineLevel="0" collapsed="false">
      <c r="A922" s="21"/>
      <c r="B922" s="21"/>
      <c r="C922" s="21"/>
      <c r="D922" s="26"/>
      <c r="E922" s="26"/>
      <c r="F922" s="17"/>
      <c r="G922" s="25"/>
      <c r="H922" s="21"/>
      <c r="I922" s="21"/>
      <c r="J922" s="18" t="str">
        <f aca="false">IF($A922="","",$F922*$G922)</f>
        <v/>
      </c>
    </row>
    <row r="923" customFormat="false" ht="15" hidden="false" customHeight="false" outlineLevel="0" collapsed="false">
      <c r="A923" s="21"/>
      <c r="B923" s="21"/>
      <c r="C923" s="21"/>
      <c r="D923" s="26"/>
      <c r="E923" s="26"/>
      <c r="F923" s="17"/>
      <c r="G923" s="25"/>
      <c r="H923" s="21"/>
      <c r="I923" s="21"/>
      <c r="J923" s="18" t="str">
        <f aca="false">IF($A923="","",$F923*$G923)</f>
        <v/>
      </c>
    </row>
    <row r="924" customFormat="false" ht="15" hidden="false" customHeight="false" outlineLevel="0" collapsed="false">
      <c r="A924" s="21"/>
      <c r="B924" s="21"/>
      <c r="C924" s="21"/>
      <c r="D924" s="26"/>
      <c r="E924" s="26"/>
      <c r="F924" s="17"/>
      <c r="G924" s="25"/>
      <c r="H924" s="21"/>
      <c r="I924" s="21"/>
      <c r="J924" s="18" t="str">
        <f aca="false">IF($A924="","",$F924*$G924)</f>
        <v/>
      </c>
    </row>
    <row r="925" customFormat="false" ht="15" hidden="false" customHeight="false" outlineLevel="0" collapsed="false">
      <c r="A925" s="21"/>
      <c r="B925" s="21"/>
      <c r="C925" s="21"/>
      <c r="D925" s="26"/>
      <c r="E925" s="26"/>
      <c r="F925" s="17"/>
      <c r="G925" s="25"/>
      <c r="H925" s="21"/>
      <c r="I925" s="21"/>
      <c r="J925" s="18" t="str">
        <f aca="false">IF($A925="","",$F925*$G925)</f>
        <v/>
      </c>
    </row>
    <row r="926" customFormat="false" ht="15" hidden="false" customHeight="false" outlineLevel="0" collapsed="false">
      <c r="A926" s="21"/>
      <c r="B926" s="21"/>
      <c r="C926" s="21"/>
      <c r="D926" s="26"/>
      <c r="E926" s="26"/>
      <c r="F926" s="17"/>
      <c r="G926" s="25"/>
      <c r="H926" s="21"/>
      <c r="I926" s="21"/>
      <c r="J926" s="18" t="str">
        <f aca="false">IF($A926="","",$F926*$G926)</f>
        <v/>
      </c>
    </row>
    <row r="927" customFormat="false" ht="15" hidden="false" customHeight="false" outlineLevel="0" collapsed="false">
      <c r="A927" s="21"/>
      <c r="B927" s="21"/>
      <c r="C927" s="21"/>
      <c r="D927" s="26"/>
      <c r="E927" s="26"/>
      <c r="F927" s="17"/>
      <c r="G927" s="25"/>
      <c r="H927" s="21"/>
      <c r="I927" s="21"/>
      <c r="J927" s="18" t="str">
        <f aca="false">IF($A927="","",$F927*$G927)</f>
        <v/>
      </c>
    </row>
    <row r="928" customFormat="false" ht="15" hidden="false" customHeight="false" outlineLevel="0" collapsed="false">
      <c r="A928" s="21"/>
      <c r="B928" s="21"/>
      <c r="C928" s="21"/>
      <c r="D928" s="26"/>
      <c r="E928" s="26"/>
      <c r="F928" s="17"/>
      <c r="G928" s="25"/>
      <c r="H928" s="21"/>
      <c r="I928" s="21"/>
      <c r="J928" s="18" t="str">
        <f aca="false">IF($A928="","",$F928*$G928)</f>
        <v/>
      </c>
    </row>
    <row r="929" customFormat="false" ht="15" hidden="false" customHeight="false" outlineLevel="0" collapsed="false">
      <c r="A929" s="21"/>
      <c r="B929" s="21"/>
      <c r="C929" s="21"/>
      <c r="D929" s="26"/>
      <c r="E929" s="26"/>
      <c r="F929" s="17"/>
      <c r="G929" s="25"/>
      <c r="H929" s="21"/>
      <c r="I929" s="21"/>
      <c r="J929" s="18" t="str">
        <f aca="false">IF($A929="","",$F929*$G929)</f>
        <v/>
      </c>
    </row>
    <row r="930" customFormat="false" ht="15" hidden="false" customHeight="false" outlineLevel="0" collapsed="false">
      <c r="A930" s="21"/>
      <c r="B930" s="21"/>
      <c r="C930" s="21"/>
      <c r="D930" s="26"/>
      <c r="E930" s="26"/>
      <c r="F930" s="17"/>
      <c r="G930" s="25"/>
      <c r="H930" s="21"/>
      <c r="I930" s="21"/>
      <c r="J930" s="18" t="str">
        <f aca="false">IF($A930="","",$F930*$G930)</f>
        <v/>
      </c>
    </row>
    <row r="931" customFormat="false" ht="15" hidden="false" customHeight="false" outlineLevel="0" collapsed="false">
      <c r="A931" s="21"/>
      <c r="B931" s="21"/>
      <c r="C931" s="21"/>
      <c r="D931" s="26"/>
      <c r="E931" s="26"/>
      <c r="F931" s="17"/>
      <c r="G931" s="25"/>
      <c r="H931" s="21"/>
      <c r="I931" s="21"/>
      <c r="J931" s="18" t="str">
        <f aca="false">IF($A931="","",$F931*$G931)</f>
        <v/>
      </c>
    </row>
    <row r="932" customFormat="false" ht="15" hidden="false" customHeight="false" outlineLevel="0" collapsed="false">
      <c r="A932" s="21"/>
      <c r="B932" s="21"/>
      <c r="C932" s="21"/>
      <c r="D932" s="26"/>
      <c r="E932" s="26"/>
      <c r="F932" s="17"/>
      <c r="G932" s="25"/>
      <c r="H932" s="21"/>
      <c r="I932" s="21"/>
      <c r="J932" s="18" t="str">
        <f aca="false">IF($A932="","",$F932*$G932)</f>
        <v/>
      </c>
    </row>
    <row r="933" customFormat="false" ht="15" hidden="false" customHeight="false" outlineLevel="0" collapsed="false">
      <c r="A933" s="21"/>
      <c r="B933" s="21"/>
      <c r="C933" s="21"/>
      <c r="D933" s="26"/>
      <c r="E933" s="26"/>
      <c r="F933" s="17"/>
      <c r="G933" s="25"/>
      <c r="H933" s="21"/>
      <c r="I933" s="21"/>
      <c r="J933" s="18" t="str">
        <f aca="false">IF($A933="","",$F933*$G933)</f>
        <v/>
      </c>
    </row>
    <row r="934" customFormat="false" ht="15" hidden="false" customHeight="false" outlineLevel="0" collapsed="false">
      <c r="A934" s="21"/>
      <c r="B934" s="21"/>
      <c r="C934" s="21"/>
      <c r="D934" s="26"/>
      <c r="E934" s="26"/>
      <c r="F934" s="17"/>
      <c r="G934" s="25"/>
      <c r="H934" s="21"/>
      <c r="I934" s="21"/>
      <c r="J934" s="18" t="str">
        <f aca="false">IF($A934="","",$F934*$G934)</f>
        <v/>
      </c>
    </row>
    <row r="935" customFormat="false" ht="15" hidden="false" customHeight="false" outlineLevel="0" collapsed="false">
      <c r="A935" s="21"/>
      <c r="B935" s="21"/>
      <c r="C935" s="21"/>
      <c r="D935" s="26"/>
      <c r="E935" s="26"/>
      <c r="F935" s="17"/>
      <c r="G935" s="25"/>
      <c r="H935" s="21"/>
      <c r="I935" s="21"/>
      <c r="J935" s="18" t="str">
        <f aca="false">IF($A935="","",$F935*$G935)</f>
        <v/>
      </c>
    </row>
    <row r="936" customFormat="false" ht="15" hidden="false" customHeight="false" outlineLevel="0" collapsed="false">
      <c r="A936" s="21"/>
      <c r="B936" s="21"/>
      <c r="C936" s="21"/>
      <c r="D936" s="26"/>
      <c r="E936" s="26"/>
      <c r="F936" s="17"/>
      <c r="G936" s="25"/>
      <c r="H936" s="21"/>
      <c r="I936" s="21"/>
      <c r="J936" s="18" t="str">
        <f aca="false">IF($A936="","",$F936*$G936)</f>
        <v/>
      </c>
    </row>
    <row r="937" customFormat="false" ht="15" hidden="false" customHeight="false" outlineLevel="0" collapsed="false">
      <c r="A937" s="21"/>
      <c r="B937" s="21"/>
      <c r="C937" s="21"/>
      <c r="D937" s="26"/>
      <c r="E937" s="26"/>
      <c r="F937" s="17"/>
      <c r="G937" s="25"/>
      <c r="H937" s="21"/>
      <c r="I937" s="21"/>
      <c r="J937" s="18" t="str">
        <f aca="false">IF($A937="","",$F937*$G937)</f>
        <v/>
      </c>
    </row>
    <row r="938" customFormat="false" ht="15" hidden="false" customHeight="false" outlineLevel="0" collapsed="false">
      <c r="A938" s="21"/>
      <c r="B938" s="21"/>
      <c r="C938" s="21"/>
      <c r="D938" s="26"/>
      <c r="E938" s="26"/>
      <c r="F938" s="17"/>
      <c r="G938" s="25"/>
      <c r="H938" s="21"/>
      <c r="I938" s="21"/>
      <c r="J938" s="18" t="str">
        <f aca="false">IF($A938="","",$F938*$G938)</f>
        <v/>
      </c>
    </row>
    <row r="939" customFormat="false" ht="15" hidden="false" customHeight="false" outlineLevel="0" collapsed="false">
      <c r="A939" s="21"/>
      <c r="B939" s="21"/>
      <c r="C939" s="21"/>
      <c r="D939" s="26"/>
      <c r="E939" s="26"/>
      <c r="F939" s="17"/>
      <c r="G939" s="25"/>
      <c r="H939" s="21"/>
      <c r="I939" s="21"/>
      <c r="J939" s="18" t="str">
        <f aca="false">IF($A939="","",$F939*$G939)</f>
        <v/>
      </c>
    </row>
    <row r="940" customFormat="false" ht="15" hidden="false" customHeight="false" outlineLevel="0" collapsed="false">
      <c r="A940" s="21"/>
      <c r="B940" s="21"/>
      <c r="C940" s="21"/>
      <c r="D940" s="26"/>
      <c r="E940" s="26"/>
      <c r="F940" s="17"/>
      <c r="G940" s="25"/>
      <c r="H940" s="21"/>
      <c r="I940" s="21"/>
      <c r="J940" s="18" t="str">
        <f aca="false">IF($A940="","",$F940*$G940)</f>
        <v/>
      </c>
    </row>
    <row r="941" customFormat="false" ht="15" hidden="false" customHeight="false" outlineLevel="0" collapsed="false">
      <c r="A941" s="21"/>
      <c r="B941" s="21"/>
      <c r="C941" s="21"/>
      <c r="D941" s="26"/>
      <c r="E941" s="26"/>
      <c r="F941" s="17"/>
      <c r="G941" s="25"/>
      <c r="H941" s="21"/>
      <c r="I941" s="21"/>
      <c r="J941" s="18" t="str">
        <f aca="false">IF($A941="","",$F941*$G941)</f>
        <v/>
      </c>
    </row>
    <row r="942" customFormat="false" ht="15" hidden="false" customHeight="false" outlineLevel="0" collapsed="false">
      <c r="A942" s="21"/>
      <c r="B942" s="21"/>
      <c r="C942" s="21"/>
      <c r="D942" s="26"/>
      <c r="E942" s="26"/>
      <c r="F942" s="17"/>
      <c r="G942" s="25"/>
      <c r="H942" s="21"/>
      <c r="I942" s="21"/>
      <c r="J942" s="18" t="str">
        <f aca="false">IF($A942="","",$F942*$G942)</f>
        <v/>
      </c>
    </row>
    <row r="943" customFormat="false" ht="15" hidden="false" customHeight="false" outlineLevel="0" collapsed="false">
      <c r="A943" s="21"/>
      <c r="B943" s="21"/>
      <c r="C943" s="21"/>
      <c r="D943" s="26"/>
      <c r="E943" s="26"/>
      <c r="F943" s="17"/>
      <c r="G943" s="25"/>
      <c r="H943" s="21"/>
      <c r="I943" s="21"/>
      <c r="J943" s="18" t="str">
        <f aca="false">IF($A943="","",$F943*$G943)</f>
        <v/>
      </c>
    </row>
    <row r="944" customFormat="false" ht="15" hidden="false" customHeight="false" outlineLevel="0" collapsed="false">
      <c r="A944" s="21"/>
      <c r="B944" s="21"/>
      <c r="C944" s="21"/>
      <c r="D944" s="26"/>
      <c r="E944" s="26"/>
      <c r="F944" s="17"/>
      <c r="G944" s="25"/>
      <c r="H944" s="21"/>
      <c r="I944" s="21"/>
      <c r="J944" s="18" t="str">
        <f aca="false">IF($A944="","",$F944*$G944)</f>
        <v/>
      </c>
    </row>
    <row r="945" customFormat="false" ht="15" hidden="false" customHeight="false" outlineLevel="0" collapsed="false">
      <c r="A945" s="21"/>
      <c r="B945" s="21"/>
      <c r="C945" s="21"/>
      <c r="D945" s="26"/>
      <c r="E945" s="26"/>
      <c r="F945" s="17"/>
      <c r="G945" s="25"/>
      <c r="H945" s="21"/>
      <c r="I945" s="21"/>
      <c r="J945" s="18" t="str">
        <f aca="false">IF($A945="","",$F945*$G945)</f>
        <v/>
      </c>
    </row>
    <row r="946" customFormat="false" ht="15" hidden="false" customHeight="false" outlineLevel="0" collapsed="false">
      <c r="A946" s="21"/>
      <c r="B946" s="21"/>
      <c r="C946" s="21"/>
      <c r="D946" s="26"/>
      <c r="E946" s="26"/>
      <c r="F946" s="17"/>
      <c r="G946" s="25"/>
      <c r="H946" s="21"/>
      <c r="I946" s="21"/>
      <c r="J946" s="18" t="str">
        <f aca="false">IF($A946="","",$F946*$G946)</f>
        <v/>
      </c>
    </row>
    <row r="947" customFormat="false" ht="15" hidden="false" customHeight="false" outlineLevel="0" collapsed="false">
      <c r="A947" s="21"/>
      <c r="B947" s="21"/>
      <c r="C947" s="21"/>
      <c r="D947" s="26"/>
      <c r="E947" s="26"/>
      <c r="F947" s="17"/>
      <c r="G947" s="25"/>
      <c r="H947" s="21"/>
      <c r="I947" s="21"/>
      <c r="J947" s="18" t="str">
        <f aca="false">IF($A947="","",$F947*$G947)</f>
        <v/>
      </c>
    </row>
    <row r="948" customFormat="false" ht="15" hidden="false" customHeight="false" outlineLevel="0" collapsed="false">
      <c r="A948" s="21"/>
      <c r="B948" s="21"/>
      <c r="C948" s="21"/>
      <c r="D948" s="26"/>
      <c r="E948" s="26"/>
      <c r="F948" s="17"/>
      <c r="G948" s="25"/>
      <c r="H948" s="21"/>
      <c r="I948" s="21"/>
      <c r="J948" s="18" t="str">
        <f aca="false">IF($A948="","",$F948*$G948)</f>
        <v/>
      </c>
    </row>
    <row r="949" customFormat="false" ht="15" hidden="false" customHeight="false" outlineLevel="0" collapsed="false">
      <c r="A949" s="21"/>
      <c r="B949" s="21"/>
      <c r="C949" s="21"/>
      <c r="D949" s="26"/>
      <c r="E949" s="26"/>
      <c r="F949" s="17"/>
      <c r="G949" s="25"/>
      <c r="H949" s="21"/>
      <c r="I949" s="21"/>
      <c r="J949" s="18" t="str">
        <f aca="false">IF($A949="","",$F949*$G949)</f>
        <v/>
      </c>
    </row>
    <row r="950" customFormat="false" ht="15" hidden="false" customHeight="false" outlineLevel="0" collapsed="false">
      <c r="A950" s="21"/>
      <c r="B950" s="21"/>
      <c r="C950" s="21"/>
      <c r="D950" s="26"/>
      <c r="E950" s="26"/>
      <c r="F950" s="17"/>
      <c r="G950" s="25"/>
      <c r="H950" s="21"/>
      <c r="I950" s="21"/>
      <c r="J950" s="18" t="str">
        <f aca="false">IF($A950="","",$F950*$G950)</f>
        <v/>
      </c>
    </row>
    <row r="951" customFormat="false" ht="15" hidden="false" customHeight="false" outlineLevel="0" collapsed="false">
      <c r="A951" s="21"/>
      <c r="B951" s="21"/>
      <c r="C951" s="21"/>
      <c r="D951" s="26"/>
      <c r="E951" s="26"/>
      <c r="F951" s="17"/>
      <c r="G951" s="25"/>
      <c r="H951" s="21"/>
      <c r="I951" s="21"/>
      <c r="J951" s="18" t="str">
        <f aca="false">IF($A951="","",$F951*$G951)</f>
        <v/>
      </c>
    </row>
    <row r="952" customFormat="false" ht="15" hidden="false" customHeight="false" outlineLevel="0" collapsed="false">
      <c r="A952" s="21"/>
      <c r="B952" s="21"/>
      <c r="C952" s="21"/>
      <c r="D952" s="26"/>
      <c r="E952" s="26"/>
      <c r="F952" s="17"/>
      <c r="G952" s="25"/>
      <c r="H952" s="21"/>
      <c r="I952" s="21"/>
      <c r="J952" s="18" t="str">
        <f aca="false">IF($A952="","",$F952*$G952)</f>
        <v/>
      </c>
    </row>
    <row r="953" customFormat="false" ht="15" hidden="false" customHeight="false" outlineLevel="0" collapsed="false">
      <c r="A953" s="21"/>
      <c r="B953" s="21"/>
      <c r="C953" s="21"/>
      <c r="D953" s="26"/>
      <c r="E953" s="26"/>
      <c r="F953" s="17"/>
      <c r="G953" s="25"/>
      <c r="H953" s="21"/>
      <c r="I953" s="21"/>
      <c r="J953" s="18" t="str">
        <f aca="false">IF($A953="","",$F953*$G953)</f>
        <v/>
      </c>
    </row>
    <row r="954" customFormat="false" ht="15" hidden="false" customHeight="false" outlineLevel="0" collapsed="false">
      <c r="A954" s="21"/>
      <c r="B954" s="21"/>
      <c r="C954" s="21"/>
      <c r="D954" s="26"/>
      <c r="E954" s="26"/>
      <c r="F954" s="17"/>
      <c r="G954" s="25"/>
      <c r="H954" s="21"/>
      <c r="I954" s="21"/>
      <c r="J954" s="18" t="str">
        <f aca="false">IF($A954="","",$F954*$G954)</f>
        <v/>
      </c>
    </row>
    <row r="955" customFormat="false" ht="15" hidden="false" customHeight="false" outlineLevel="0" collapsed="false">
      <c r="A955" s="21"/>
      <c r="B955" s="21"/>
      <c r="C955" s="21"/>
      <c r="D955" s="26"/>
      <c r="E955" s="26"/>
      <c r="F955" s="17"/>
      <c r="G955" s="25"/>
      <c r="H955" s="21"/>
      <c r="I955" s="21"/>
      <c r="J955" s="18" t="str">
        <f aca="false">IF($A955="","",$F955*$G955)</f>
        <v/>
      </c>
    </row>
    <row r="956" customFormat="false" ht="15" hidden="false" customHeight="false" outlineLevel="0" collapsed="false">
      <c r="A956" s="21"/>
      <c r="B956" s="21"/>
      <c r="C956" s="21"/>
      <c r="D956" s="26"/>
      <c r="E956" s="26"/>
      <c r="F956" s="17"/>
      <c r="G956" s="25"/>
      <c r="H956" s="21"/>
      <c r="I956" s="21"/>
      <c r="J956" s="18" t="str">
        <f aca="false">IF($A956="","",$F956*$G956)</f>
        <v/>
      </c>
    </row>
    <row r="957" customFormat="false" ht="15" hidden="false" customHeight="false" outlineLevel="0" collapsed="false">
      <c r="A957" s="21"/>
      <c r="B957" s="21"/>
      <c r="C957" s="21"/>
      <c r="D957" s="26"/>
      <c r="E957" s="26"/>
      <c r="F957" s="17"/>
      <c r="G957" s="25"/>
      <c r="H957" s="21"/>
      <c r="I957" s="21"/>
      <c r="J957" s="18" t="str">
        <f aca="false">IF($A957="","",$F957*$G957)</f>
        <v/>
      </c>
    </row>
    <row r="958" customFormat="false" ht="15" hidden="false" customHeight="false" outlineLevel="0" collapsed="false">
      <c r="A958" s="21"/>
      <c r="B958" s="21"/>
      <c r="C958" s="21"/>
      <c r="D958" s="26"/>
      <c r="E958" s="26"/>
      <c r="F958" s="17"/>
      <c r="G958" s="25"/>
      <c r="H958" s="21"/>
      <c r="I958" s="21"/>
      <c r="J958" s="18" t="str">
        <f aca="false">IF($A958="","",$F958*$G958)</f>
        <v/>
      </c>
    </row>
    <row r="959" customFormat="false" ht="15" hidden="false" customHeight="false" outlineLevel="0" collapsed="false">
      <c r="A959" s="21"/>
      <c r="B959" s="21"/>
      <c r="C959" s="21"/>
      <c r="D959" s="26"/>
      <c r="E959" s="26"/>
      <c r="F959" s="17"/>
      <c r="G959" s="25"/>
      <c r="H959" s="21"/>
      <c r="I959" s="21"/>
      <c r="J959" s="18" t="str">
        <f aca="false">IF($A959="","",$F959*$G959)</f>
        <v/>
      </c>
    </row>
    <row r="960" customFormat="false" ht="15" hidden="false" customHeight="false" outlineLevel="0" collapsed="false">
      <c r="A960" s="21"/>
      <c r="B960" s="21"/>
      <c r="C960" s="21"/>
      <c r="D960" s="26"/>
      <c r="E960" s="26"/>
      <c r="F960" s="17"/>
      <c r="G960" s="25"/>
      <c r="H960" s="21"/>
      <c r="I960" s="21"/>
      <c r="J960" s="18" t="str">
        <f aca="false">IF($A960="","",$F960*$G960)</f>
        <v/>
      </c>
    </row>
    <row r="961" customFormat="false" ht="15" hidden="false" customHeight="false" outlineLevel="0" collapsed="false">
      <c r="A961" s="21"/>
      <c r="B961" s="21"/>
      <c r="C961" s="21"/>
      <c r="D961" s="26"/>
      <c r="E961" s="26"/>
      <c r="F961" s="17"/>
      <c r="G961" s="25"/>
      <c r="H961" s="21"/>
      <c r="I961" s="21"/>
      <c r="J961" s="18" t="str">
        <f aca="false">IF($A961="","",$F961*$G961)</f>
        <v/>
      </c>
    </row>
    <row r="962" customFormat="false" ht="15" hidden="false" customHeight="false" outlineLevel="0" collapsed="false">
      <c r="A962" s="21"/>
      <c r="B962" s="21"/>
      <c r="C962" s="21"/>
      <c r="D962" s="26"/>
      <c r="E962" s="26"/>
      <c r="F962" s="17"/>
      <c r="G962" s="25"/>
      <c r="H962" s="21"/>
      <c r="I962" s="21"/>
      <c r="J962" s="18" t="str">
        <f aca="false">IF($A962="","",$F962*$G962)</f>
        <v/>
      </c>
    </row>
    <row r="963" customFormat="false" ht="15" hidden="false" customHeight="false" outlineLevel="0" collapsed="false">
      <c r="A963" s="21"/>
      <c r="B963" s="21"/>
      <c r="C963" s="21"/>
      <c r="D963" s="26"/>
      <c r="E963" s="26"/>
      <c r="F963" s="17"/>
      <c r="G963" s="25"/>
      <c r="H963" s="21"/>
      <c r="I963" s="21"/>
      <c r="J963" s="18" t="str">
        <f aca="false">IF($A963="","",$F963*$G963)</f>
        <v/>
      </c>
    </row>
    <row r="964" customFormat="false" ht="15" hidden="false" customHeight="false" outlineLevel="0" collapsed="false">
      <c r="A964" s="21"/>
      <c r="B964" s="21"/>
      <c r="C964" s="21"/>
      <c r="D964" s="26"/>
      <c r="E964" s="26"/>
      <c r="F964" s="17"/>
      <c r="G964" s="25"/>
      <c r="H964" s="21"/>
      <c r="I964" s="21"/>
      <c r="J964" s="18" t="str">
        <f aca="false">IF($A964="","",$F964*$G964)</f>
        <v/>
      </c>
    </row>
    <row r="965" customFormat="false" ht="15" hidden="false" customHeight="false" outlineLevel="0" collapsed="false">
      <c r="A965" s="21"/>
      <c r="B965" s="21"/>
      <c r="C965" s="21"/>
      <c r="D965" s="26"/>
      <c r="E965" s="26"/>
      <c r="F965" s="17"/>
      <c r="G965" s="25"/>
      <c r="H965" s="21"/>
      <c r="I965" s="21"/>
      <c r="J965" s="18" t="str">
        <f aca="false">IF($A965="","",$F965*$G965)</f>
        <v/>
      </c>
    </row>
    <row r="966" customFormat="false" ht="15" hidden="false" customHeight="false" outlineLevel="0" collapsed="false">
      <c r="A966" s="21"/>
      <c r="B966" s="21"/>
      <c r="C966" s="21"/>
      <c r="D966" s="26"/>
      <c r="E966" s="26"/>
      <c r="F966" s="17"/>
      <c r="G966" s="25"/>
      <c r="H966" s="21"/>
      <c r="I966" s="21"/>
      <c r="J966" s="18" t="str">
        <f aca="false">IF($A966="","",$F966*$G966)</f>
        <v/>
      </c>
    </row>
    <row r="967" customFormat="false" ht="15" hidden="false" customHeight="false" outlineLevel="0" collapsed="false">
      <c r="A967" s="21"/>
      <c r="B967" s="21"/>
      <c r="C967" s="21"/>
      <c r="D967" s="26"/>
      <c r="E967" s="26"/>
      <c r="F967" s="17"/>
      <c r="G967" s="25"/>
      <c r="H967" s="21"/>
      <c r="I967" s="21"/>
      <c r="J967" s="18" t="str">
        <f aca="false">IF($A967="","",$F967*$G967)</f>
        <v/>
      </c>
    </row>
    <row r="968" customFormat="false" ht="15" hidden="false" customHeight="false" outlineLevel="0" collapsed="false">
      <c r="A968" s="21"/>
      <c r="B968" s="21"/>
      <c r="C968" s="21"/>
      <c r="D968" s="26"/>
      <c r="E968" s="26"/>
      <c r="F968" s="17"/>
      <c r="G968" s="25"/>
      <c r="H968" s="21"/>
      <c r="I968" s="21"/>
      <c r="J968" s="18" t="str">
        <f aca="false">IF($A968="","",$F968*$G968)</f>
        <v/>
      </c>
    </row>
    <row r="969" customFormat="false" ht="15" hidden="false" customHeight="false" outlineLevel="0" collapsed="false">
      <c r="A969" s="21"/>
      <c r="B969" s="21"/>
      <c r="C969" s="21"/>
      <c r="D969" s="26"/>
      <c r="E969" s="26"/>
      <c r="F969" s="17"/>
      <c r="G969" s="25"/>
      <c r="H969" s="21"/>
      <c r="I969" s="21"/>
      <c r="J969" s="18" t="str">
        <f aca="false">IF($A969="","",$F969*$G969)</f>
        <v/>
      </c>
    </row>
    <row r="970" customFormat="false" ht="15" hidden="false" customHeight="false" outlineLevel="0" collapsed="false">
      <c r="A970" s="21"/>
      <c r="B970" s="21"/>
      <c r="C970" s="21"/>
      <c r="D970" s="26"/>
      <c r="E970" s="26"/>
      <c r="F970" s="17"/>
      <c r="G970" s="25"/>
      <c r="H970" s="21"/>
      <c r="I970" s="21"/>
      <c r="J970" s="18" t="str">
        <f aca="false">IF($A970="","",$F970*$G970)</f>
        <v/>
      </c>
    </row>
    <row r="971" customFormat="false" ht="15" hidden="false" customHeight="false" outlineLevel="0" collapsed="false">
      <c r="A971" s="21"/>
      <c r="B971" s="21"/>
      <c r="C971" s="21"/>
      <c r="D971" s="26"/>
      <c r="E971" s="26"/>
      <c r="F971" s="17"/>
      <c r="G971" s="25"/>
      <c r="H971" s="21"/>
      <c r="I971" s="21"/>
      <c r="J971" s="18" t="str">
        <f aca="false">IF($A971="","",$F971*$G971)</f>
        <v/>
      </c>
    </row>
    <row r="972" customFormat="false" ht="15" hidden="false" customHeight="false" outlineLevel="0" collapsed="false">
      <c r="A972" s="21"/>
      <c r="B972" s="21"/>
      <c r="C972" s="21"/>
      <c r="D972" s="26"/>
      <c r="E972" s="26"/>
      <c r="F972" s="17"/>
      <c r="G972" s="25"/>
      <c r="H972" s="21"/>
      <c r="I972" s="21"/>
      <c r="J972" s="18" t="str">
        <f aca="false">IF($A972="","",$F972*$G972)</f>
        <v/>
      </c>
    </row>
    <row r="973" customFormat="false" ht="15" hidden="false" customHeight="false" outlineLevel="0" collapsed="false">
      <c r="A973" s="21"/>
      <c r="B973" s="21"/>
      <c r="C973" s="21"/>
      <c r="D973" s="26"/>
      <c r="E973" s="26"/>
      <c r="F973" s="17"/>
      <c r="G973" s="25"/>
      <c r="H973" s="21"/>
      <c r="I973" s="21"/>
      <c r="J973" s="18" t="str">
        <f aca="false">IF($A973="","",$F973*$G973)</f>
        <v/>
      </c>
    </row>
    <row r="974" customFormat="false" ht="15" hidden="false" customHeight="false" outlineLevel="0" collapsed="false">
      <c r="A974" s="21"/>
      <c r="B974" s="21"/>
      <c r="C974" s="21"/>
      <c r="D974" s="26"/>
      <c r="E974" s="26"/>
      <c r="F974" s="17"/>
      <c r="G974" s="25"/>
      <c r="H974" s="21"/>
      <c r="I974" s="21"/>
      <c r="J974" s="18" t="str">
        <f aca="false">IF($A974="","",$F974*$G974)</f>
        <v/>
      </c>
    </row>
    <row r="975" customFormat="false" ht="15" hidden="false" customHeight="false" outlineLevel="0" collapsed="false">
      <c r="A975" s="21"/>
      <c r="B975" s="21"/>
      <c r="C975" s="21"/>
      <c r="D975" s="26"/>
      <c r="E975" s="26"/>
      <c r="F975" s="17"/>
      <c r="G975" s="25"/>
      <c r="H975" s="21"/>
      <c r="I975" s="21"/>
      <c r="J975" s="18" t="str">
        <f aca="false">IF($A975="","",$F975*$G975)</f>
        <v/>
      </c>
    </row>
    <row r="976" customFormat="false" ht="15" hidden="false" customHeight="false" outlineLevel="0" collapsed="false">
      <c r="A976" s="21"/>
      <c r="B976" s="21"/>
      <c r="C976" s="21"/>
      <c r="D976" s="26"/>
      <c r="E976" s="26"/>
      <c r="F976" s="17"/>
      <c r="G976" s="25"/>
      <c r="H976" s="21"/>
      <c r="I976" s="21"/>
      <c r="J976" s="18" t="str">
        <f aca="false">IF($A976="","",$F976*$G976)</f>
        <v/>
      </c>
    </row>
    <row r="977" customFormat="false" ht="15" hidden="false" customHeight="false" outlineLevel="0" collapsed="false">
      <c r="A977" s="21"/>
      <c r="B977" s="21"/>
      <c r="C977" s="21"/>
      <c r="D977" s="26"/>
      <c r="E977" s="26"/>
      <c r="F977" s="17"/>
      <c r="G977" s="25"/>
      <c r="H977" s="21"/>
      <c r="I977" s="21"/>
      <c r="J977" s="18" t="str">
        <f aca="false">IF($A977="","",$F977*$G977)</f>
        <v/>
      </c>
    </row>
    <row r="978" customFormat="false" ht="15" hidden="false" customHeight="false" outlineLevel="0" collapsed="false">
      <c r="A978" s="21"/>
      <c r="B978" s="21"/>
      <c r="C978" s="21"/>
      <c r="D978" s="26"/>
      <c r="E978" s="26"/>
      <c r="F978" s="17"/>
      <c r="G978" s="25"/>
      <c r="H978" s="21"/>
      <c r="I978" s="21"/>
      <c r="J978" s="18" t="str">
        <f aca="false">IF($A978="","",$F978*$G978)</f>
        <v/>
      </c>
    </row>
    <row r="979" customFormat="false" ht="15" hidden="false" customHeight="false" outlineLevel="0" collapsed="false">
      <c r="A979" s="21"/>
      <c r="B979" s="21"/>
      <c r="C979" s="21"/>
      <c r="D979" s="26"/>
      <c r="E979" s="26"/>
      <c r="F979" s="17"/>
      <c r="G979" s="25"/>
      <c r="H979" s="21"/>
      <c r="I979" s="21"/>
      <c r="J979" s="18" t="str">
        <f aca="false">IF($A979="","",$F979*$G979)</f>
        <v/>
      </c>
    </row>
    <row r="980" customFormat="false" ht="15" hidden="false" customHeight="false" outlineLevel="0" collapsed="false">
      <c r="A980" s="21"/>
      <c r="B980" s="21"/>
      <c r="C980" s="21"/>
      <c r="D980" s="26"/>
      <c r="E980" s="26"/>
      <c r="F980" s="17"/>
      <c r="G980" s="25"/>
      <c r="H980" s="21"/>
      <c r="I980" s="21"/>
      <c r="J980" s="18" t="str">
        <f aca="false">IF($A980="","",$F980*$G980)</f>
        <v/>
      </c>
    </row>
    <row r="981" customFormat="false" ht="15" hidden="false" customHeight="false" outlineLevel="0" collapsed="false">
      <c r="A981" s="21"/>
      <c r="B981" s="21"/>
      <c r="C981" s="21"/>
      <c r="D981" s="26"/>
      <c r="E981" s="26"/>
      <c r="F981" s="17"/>
      <c r="G981" s="25"/>
      <c r="H981" s="21"/>
      <c r="I981" s="21"/>
      <c r="J981" s="18" t="str">
        <f aca="false">IF($A981="","",$F981*$G981)</f>
        <v/>
      </c>
    </row>
    <row r="982" customFormat="false" ht="15" hidden="false" customHeight="false" outlineLevel="0" collapsed="false">
      <c r="A982" s="21"/>
      <c r="B982" s="21"/>
      <c r="C982" s="21"/>
      <c r="D982" s="26"/>
      <c r="E982" s="26"/>
      <c r="F982" s="17"/>
      <c r="G982" s="25"/>
      <c r="H982" s="21"/>
      <c r="I982" s="21"/>
      <c r="J982" s="18" t="str">
        <f aca="false">IF($A982="","",$F982*$G982)</f>
        <v/>
      </c>
    </row>
    <row r="983" customFormat="false" ht="15" hidden="false" customHeight="false" outlineLevel="0" collapsed="false">
      <c r="A983" s="21"/>
      <c r="B983" s="21"/>
      <c r="C983" s="21"/>
      <c r="D983" s="26"/>
      <c r="E983" s="26"/>
      <c r="F983" s="17"/>
      <c r="G983" s="25"/>
      <c r="H983" s="21"/>
      <c r="I983" s="21"/>
      <c r="J983" s="18" t="str">
        <f aca="false">IF($A983="","",$F983*$G983)</f>
        <v/>
      </c>
    </row>
    <row r="984" customFormat="false" ht="15" hidden="false" customHeight="false" outlineLevel="0" collapsed="false">
      <c r="A984" s="21"/>
      <c r="B984" s="21"/>
      <c r="C984" s="21"/>
      <c r="D984" s="26"/>
      <c r="E984" s="26"/>
      <c r="F984" s="17"/>
      <c r="G984" s="25"/>
      <c r="H984" s="21"/>
      <c r="I984" s="21"/>
      <c r="J984" s="18" t="str">
        <f aca="false">IF($A984="","",$F984*$G984)</f>
        <v/>
      </c>
    </row>
    <row r="985" customFormat="false" ht="15" hidden="false" customHeight="false" outlineLevel="0" collapsed="false">
      <c r="A985" s="21"/>
      <c r="B985" s="21"/>
      <c r="C985" s="21"/>
      <c r="D985" s="26"/>
      <c r="E985" s="26"/>
      <c r="F985" s="17"/>
      <c r="G985" s="25"/>
      <c r="H985" s="21"/>
      <c r="I985" s="21"/>
      <c r="J985" s="18" t="str">
        <f aca="false">IF($A985="","",$F985*$G985)</f>
        <v/>
      </c>
    </row>
    <row r="986" customFormat="false" ht="15" hidden="false" customHeight="false" outlineLevel="0" collapsed="false">
      <c r="A986" s="21"/>
      <c r="B986" s="21"/>
      <c r="C986" s="21"/>
      <c r="D986" s="26"/>
      <c r="E986" s="26"/>
      <c r="F986" s="17"/>
      <c r="G986" s="25"/>
      <c r="H986" s="21"/>
      <c r="I986" s="21"/>
      <c r="J986" s="18" t="str">
        <f aca="false">IF($A986="","",$F986*$G986)</f>
        <v/>
      </c>
    </row>
    <row r="987" customFormat="false" ht="15" hidden="false" customHeight="false" outlineLevel="0" collapsed="false">
      <c r="A987" s="21"/>
      <c r="B987" s="21"/>
      <c r="C987" s="21"/>
      <c r="D987" s="26"/>
      <c r="E987" s="26"/>
      <c r="F987" s="17"/>
      <c r="G987" s="25"/>
      <c r="H987" s="21"/>
      <c r="I987" s="21"/>
      <c r="J987" s="18" t="str">
        <f aca="false">IF($A987="","",$F987*$G987)</f>
        <v/>
      </c>
    </row>
    <row r="988" customFormat="false" ht="15" hidden="false" customHeight="false" outlineLevel="0" collapsed="false">
      <c r="A988" s="21"/>
      <c r="B988" s="21"/>
      <c r="C988" s="21"/>
      <c r="D988" s="26"/>
      <c r="E988" s="26"/>
      <c r="F988" s="17"/>
      <c r="G988" s="25"/>
      <c r="H988" s="21"/>
      <c r="I988" s="21"/>
      <c r="J988" s="18" t="str">
        <f aca="false">IF($A988="","",$F988*$G988)</f>
        <v/>
      </c>
    </row>
    <row r="989" customFormat="false" ht="15" hidden="false" customHeight="false" outlineLevel="0" collapsed="false">
      <c r="A989" s="21"/>
      <c r="B989" s="21"/>
      <c r="C989" s="21"/>
      <c r="D989" s="26"/>
      <c r="E989" s="26"/>
      <c r="F989" s="17"/>
      <c r="G989" s="25"/>
      <c r="H989" s="21"/>
      <c r="I989" s="21"/>
      <c r="J989" s="18" t="str">
        <f aca="false">IF($A989="","",$F989*$G989)</f>
        <v/>
      </c>
    </row>
    <row r="990" customFormat="false" ht="15" hidden="false" customHeight="false" outlineLevel="0" collapsed="false">
      <c r="A990" s="21"/>
      <c r="B990" s="21"/>
      <c r="C990" s="21"/>
      <c r="D990" s="26"/>
      <c r="E990" s="26"/>
      <c r="F990" s="17"/>
      <c r="G990" s="25"/>
      <c r="H990" s="21"/>
      <c r="I990" s="21"/>
      <c r="J990" s="18" t="str">
        <f aca="false">IF($A990="","",$F990*$G990)</f>
        <v/>
      </c>
    </row>
    <row r="991" customFormat="false" ht="15" hidden="false" customHeight="false" outlineLevel="0" collapsed="false">
      <c r="A991" s="21"/>
      <c r="B991" s="21"/>
      <c r="C991" s="21"/>
      <c r="D991" s="26"/>
      <c r="E991" s="26"/>
      <c r="F991" s="17"/>
      <c r="G991" s="25"/>
      <c r="H991" s="21"/>
      <c r="I991" s="21"/>
      <c r="J991" s="18" t="str">
        <f aca="false">IF($A991="","",$F991*$G991)</f>
        <v/>
      </c>
    </row>
    <row r="992" customFormat="false" ht="15" hidden="false" customHeight="false" outlineLevel="0" collapsed="false">
      <c r="A992" s="21"/>
      <c r="B992" s="21"/>
      <c r="C992" s="21"/>
      <c r="D992" s="26"/>
      <c r="E992" s="26"/>
      <c r="F992" s="17"/>
      <c r="G992" s="25"/>
      <c r="H992" s="21"/>
      <c r="I992" s="21"/>
      <c r="J992" s="18" t="str">
        <f aca="false">IF($A992="","",$F992*$G992)</f>
        <v/>
      </c>
    </row>
    <row r="993" customFormat="false" ht="15" hidden="false" customHeight="false" outlineLevel="0" collapsed="false">
      <c r="A993" s="21"/>
      <c r="B993" s="21"/>
      <c r="C993" s="21"/>
      <c r="D993" s="26"/>
      <c r="E993" s="26"/>
      <c r="F993" s="17"/>
      <c r="G993" s="25"/>
      <c r="H993" s="21"/>
      <c r="I993" s="21"/>
      <c r="J993" s="18" t="str">
        <f aca="false">IF($A993="","",$F993*$G993)</f>
        <v/>
      </c>
    </row>
    <row r="994" customFormat="false" ht="15" hidden="false" customHeight="false" outlineLevel="0" collapsed="false">
      <c r="A994" s="21"/>
      <c r="B994" s="21"/>
      <c r="C994" s="21"/>
      <c r="D994" s="26"/>
      <c r="E994" s="26"/>
      <c r="F994" s="17"/>
      <c r="G994" s="25"/>
      <c r="H994" s="21"/>
      <c r="I994" s="21"/>
      <c r="J994" s="18" t="str">
        <f aca="false">IF($A994="","",$F994*$G994)</f>
        <v/>
      </c>
    </row>
    <row r="995" customFormat="false" ht="15" hidden="false" customHeight="false" outlineLevel="0" collapsed="false">
      <c r="A995" s="21"/>
      <c r="B995" s="21"/>
      <c r="C995" s="21"/>
      <c r="D995" s="26"/>
      <c r="E995" s="26"/>
      <c r="F995" s="17"/>
      <c r="G995" s="25"/>
      <c r="H995" s="21"/>
      <c r="I995" s="21"/>
      <c r="J995" s="18" t="str">
        <f aca="false">IF($A995="","",$F995*$G995)</f>
        <v/>
      </c>
    </row>
    <row r="996" customFormat="false" ht="15" hidden="false" customHeight="false" outlineLevel="0" collapsed="false">
      <c r="A996" s="21"/>
      <c r="B996" s="21"/>
      <c r="C996" s="21"/>
      <c r="D996" s="26"/>
      <c r="E996" s="26"/>
      <c r="F996" s="17"/>
      <c r="G996" s="25"/>
      <c r="H996" s="21"/>
      <c r="I996" s="21"/>
      <c r="J996" s="18" t="str">
        <f aca="false">IF($A996="","",$F996*$G996)</f>
        <v/>
      </c>
    </row>
    <row r="997" customFormat="false" ht="15" hidden="false" customHeight="false" outlineLevel="0" collapsed="false">
      <c r="A997" s="21"/>
      <c r="B997" s="21"/>
      <c r="C997" s="21"/>
      <c r="D997" s="26"/>
      <c r="E997" s="26"/>
      <c r="F997" s="17"/>
      <c r="G997" s="25"/>
      <c r="H997" s="21"/>
      <c r="I997" s="21"/>
      <c r="J997" s="18" t="str">
        <f aca="false">IF($A997="","",$F997*$G997)</f>
        <v/>
      </c>
    </row>
    <row r="998" customFormat="false" ht="15" hidden="false" customHeight="false" outlineLevel="0" collapsed="false">
      <c r="A998" s="21"/>
      <c r="B998" s="21"/>
      <c r="C998" s="21"/>
      <c r="D998" s="26"/>
      <c r="E998" s="26"/>
      <c r="F998" s="17"/>
      <c r="G998" s="25"/>
      <c r="H998" s="21"/>
      <c r="I998" s="21"/>
      <c r="J998" s="18" t="str">
        <f aca="false">IF($A998="","",$F998*$G998)</f>
        <v/>
      </c>
    </row>
    <row r="999" customFormat="false" ht="15" hidden="false" customHeight="false" outlineLevel="0" collapsed="false">
      <c r="A999" s="21"/>
      <c r="B999" s="21"/>
      <c r="C999" s="21"/>
      <c r="D999" s="26"/>
      <c r="E999" s="26"/>
      <c r="F999" s="17"/>
      <c r="G999" s="25"/>
      <c r="H999" s="21"/>
      <c r="I999" s="21"/>
      <c r="J999" s="18" t="str">
        <f aca="false">IF($A999="","",$F999*$G999)</f>
        <v/>
      </c>
    </row>
    <row r="1000" customFormat="false" ht="15" hidden="false" customHeight="false" outlineLevel="0" collapsed="false">
      <c r="A1000" s="21"/>
      <c r="B1000" s="21"/>
      <c r="C1000" s="21"/>
      <c r="D1000" s="26"/>
      <c r="E1000" s="26"/>
      <c r="F1000" s="17"/>
      <c r="G1000" s="25"/>
      <c r="H1000" s="21"/>
      <c r="I1000" s="21"/>
      <c r="J1000" s="18" t="str">
        <f aca="false">IF($A1000="","",$F1000*$G1000)</f>
        <v/>
      </c>
    </row>
    <row r="1001" customFormat="false" ht="15" hidden="false" customHeight="false" outlineLevel="0" collapsed="false">
      <c r="A1001" s="21"/>
      <c r="B1001" s="21"/>
      <c r="C1001" s="21"/>
      <c r="D1001" s="26"/>
      <c r="E1001" s="26"/>
      <c r="F1001" s="17"/>
      <c r="G1001" s="25"/>
      <c r="H1001" s="21"/>
      <c r="I1001" s="21"/>
      <c r="J1001" s="18" t="str">
        <f aca="false">IF($A1001="","",$F1001*$G1001)</f>
        <v/>
      </c>
    </row>
    <row r="1002" customFormat="false" ht="15" hidden="false" customHeight="false" outlineLevel="0" collapsed="false">
      <c r="A1002" s="21"/>
      <c r="B1002" s="21"/>
      <c r="C1002" s="21"/>
      <c r="D1002" s="26"/>
      <c r="E1002" s="26"/>
      <c r="F1002" s="17"/>
      <c r="G1002" s="25"/>
      <c r="H1002" s="21"/>
      <c r="I1002" s="21"/>
      <c r="J1002" s="18" t="str">
        <f aca="false">IF($A1002="","",$F1002*$G1002)</f>
        <v/>
      </c>
    </row>
    <row r="1003" customFormat="false" ht="15" hidden="false" customHeight="false" outlineLevel="0" collapsed="false">
      <c r="A1003" s="21"/>
      <c r="B1003" s="21"/>
      <c r="C1003" s="21"/>
      <c r="D1003" s="26"/>
      <c r="E1003" s="26"/>
      <c r="F1003" s="17"/>
      <c r="G1003" s="25"/>
      <c r="H1003" s="21"/>
      <c r="I1003" s="21"/>
      <c r="J1003" s="18" t="str">
        <f aca="false">IF($A1003="","",$F1003*$G1003)</f>
        <v/>
      </c>
    </row>
    <row r="1004" customFormat="false" ht="15" hidden="false" customHeight="false" outlineLevel="0" collapsed="false">
      <c r="A1004" s="21"/>
      <c r="B1004" s="21"/>
      <c r="C1004" s="21"/>
      <c r="D1004" s="21"/>
      <c r="E1004" s="21"/>
      <c r="F1004" s="21"/>
      <c r="G1004" s="21"/>
      <c r="H1004" s="21"/>
      <c r="I1004" s="21"/>
      <c r="J1004" s="20" t="str">
        <f aca="false">IF($A1004="","",$F1004*$G1004)</f>
        <v/>
      </c>
    </row>
    <row r="1006" customFormat="false" ht="19.5" hidden="false" customHeight="true" outlineLevel="0" collapsed="false">
      <c r="A1006" s="22" t="s">
        <v>59</v>
      </c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22"/>
      <c r="AC1006" s="22"/>
      <c r="AD1006" s="22"/>
      <c r="AE1006" s="22"/>
      <c r="AF1006" s="22"/>
      <c r="AG1006" s="22"/>
      <c r="AH1006" s="22"/>
      <c r="AI1006" s="22"/>
      <c r="AJ1006" s="22"/>
      <c r="AK1006" s="22"/>
      <c r="AL1006" s="22"/>
      <c r="AM1006" s="22"/>
      <c r="AN1006" s="22"/>
    </row>
  </sheetData>
  <sheetProtection sheet="true" password="cc3d" objects="true" scenarios="true" deleteColumns="false" deleteRows="false"/>
  <mergeCells count="2">
    <mergeCell ref="A1:AD1"/>
    <mergeCell ref="A1006:AN1006"/>
  </mergeCells>
  <conditionalFormatting sqref="F6:F1004">
    <cfRule type="cellIs" priority="2" operator="lessThan" aboveAverage="0" equalAverage="0" bottom="0" percent="0" rank="0" text="" dxfId="11">
      <formula>0</formula>
    </cfRule>
    <cfRule type="cellIs" priority="3" operator="greaterThan" aboveAverage="0" equalAverage="0" bottom="0" percent="0" rank="0" text="" dxfId="12">
      <formula>5000000</formula>
    </cfRule>
  </conditionalFormatting>
  <conditionalFormatting sqref="G6:G1004">
    <cfRule type="cellIs" priority="4" operator="lessThan" aboveAverage="0" equalAverage="0" bottom="0" percent="0" rank="0" text="" dxfId="11">
      <formula>0</formula>
    </cfRule>
    <cfRule type="cellIs" priority="5" operator="greaterThan" aboveAverage="0" equalAverage="0" bottom="0" percent="0" rank="0" text="" dxfId="12">
      <formula>0.5</formula>
    </cfRule>
  </conditionalFormatting>
  <conditionalFormatting sqref="H6:H1004">
    <cfRule type="cellIs" priority="6" operator="equal" aboveAverage="0" equalAverage="0" bottom="0" percent="0" rank="0" text="" dxfId="16">
      <formula>"Evet"</formula>
    </cfRule>
  </conditionalFormatting>
  <dataValidations count="6">
    <dataValidation allowBlank="true" error="Listede olmayan tür giremezsiniz." errorStyle="stop" errorTitle="Geçersiz tür" operator="between" prompt="Listeden borç türünü seçin." promptTitle="Borç Türü" showDropDown="false" showErrorMessage="true" showInputMessage="true" sqref="B6:B1004" type="list">
      <formula1>ListeBorcTurleri</formula1>
      <formula2>0</formula2>
    </dataValidation>
    <dataValidation allowBlank="true" error="Evet veya Hayır girin." errorStyle="stop" errorTitle="Geçersiz seçim" operator="between" prompt="Evet veya Hayır seçin." promptTitle="Teminat Var mı?" showDropDown="false" showErrorMessage="true" showInputMessage="true" sqref="H6:H1004" type="list">
      <formula1>ListeEvetHayir</formula1>
      <formula2>0</formula2>
    </dataValidation>
    <dataValidation allowBlank="true" error="Tarih 01.01.2024 - 31.12.2027 aralığında olmalı." errorStyle="stop" errorTitle="Geçersiz tarih" operator="between" prompt="GG.AA.YYYY biçiminde borç kullanım tarihi girin." promptTitle="Kullanım Tarihi" showDropDown="false" showErrorMessage="true" showInputMessage="true" sqref="D6:D1004" type="date">
      <formula1>01.01.2024</formula1>
      <formula2>31.12.2027</formula2>
    </dataValidation>
    <dataValidation allowBlank="true" error="Tarih 01.01.2024 - 31.12.2030 aralığında olmalı." errorStyle="stop" errorTitle="Geçersiz tarih" operator="between" prompt="GG.AA.YYYY biçiminde vade tarihi girin." promptTitle="Vade Tarihi" showDropDown="false" showErrorMessage="true" showInputMessage="true" sqref="E6:E1004" type="date">
      <formula1>01.01.2024</formula1>
      <formula2>31.12.2030</formula2>
    </dataValidation>
    <dataValidation allowBlank="true" error="0 ile 100.000.000.000 arasında olmalı." errorStyle="stop" errorTitle="Geçersiz tutar" operator="between" prompt="Borç tutarını TL olarak girin." promptTitle="Borç Tutarı" showDropDown="false" showErrorMessage="true" showInputMessage="true" sqref="F6:F1004" type="decimal">
      <formula1>0</formula1>
      <formula2>100000000000</formula2>
    </dataValidation>
    <dataValidation allowBlank="true" error="0 ile 2 arasında olmalı." errorStyle="stop" errorTitle="Geçersiz oran" operator="between" prompt="Yıllık faiz oranını ondalık girin (ör. %25 için 0,25)." promptTitle="Faiz Oranı" showDropDown="false" showErrorMessage="true" showInputMessage="true" sqref="G6:G1004" type="decimal">
      <formula1>0</formula1>
      <formula2>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5" min="3" style="0" width="20"/>
    <col collapsed="false" customWidth="true" hidden="false" outlineLevel="0" max="6" min="6" style="0" width="12"/>
  </cols>
  <sheetData>
    <row r="1" customFormat="false" ht="25.5" hidden="false" customHeight="true" outlineLevel="0" collapsed="false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99</v>
      </c>
    </row>
    <row r="4" customFormat="false" ht="28.35" hidden="false" customHeight="false" outlineLevel="0" collapsed="false">
      <c r="A4" s="13" t="s">
        <v>100</v>
      </c>
    </row>
    <row r="5" customFormat="false" ht="30" hidden="false" customHeight="true" outlineLevel="0" collapsed="false">
      <c r="A5" s="14" t="s">
        <v>64</v>
      </c>
      <c r="B5" s="14" t="s">
        <v>101</v>
      </c>
      <c r="C5" s="14" t="s">
        <v>41</v>
      </c>
      <c r="D5" s="14" t="s">
        <v>102</v>
      </c>
      <c r="E5" s="14" t="s">
        <v>103</v>
      </c>
      <c r="F5" s="14" t="s">
        <v>104</v>
      </c>
    </row>
    <row r="6" customFormat="false" ht="15" hidden="false" customHeight="false" outlineLevel="0" collapsed="false">
      <c r="A6" s="27" t="s">
        <v>74</v>
      </c>
      <c r="B6" s="28" t="n">
        <f aca="false">COUNTIFS(tblBorc[Borç Türü],$A6)</f>
        <v>2</v>
      </c>
      <c r="C6" s="29" t="n">
        <f aca="false">SUMIFS(tblBorc[Borç Tutarı (₺)],tblBorc[Borç Türü],$A6)</f>
        <v>5000000</v>
      </c>
      <c r="D6" s="30" t="n">
        <f aca="false">IF($B$6=0,0,AVERAGEIFS(tblBorc[Yıllık Faiz Oranı],tblBorc[Borç Türü],$A6))</f>
        <v>0.31</v>
      </c>
      <c r="E6" s="29" t="n">
        <f aca="false">SUMIFS(tblBorc[Borç Tutarı (₺)],tblBorc[Borç Türü],$A6,tblBorc[Teminat Var mı?],"Evet")</f>
        <v>5000000</v>
      </c>
      <c r="F6" s="30" t="n">
        <f aca="false">IF($C$11=0,0,C6/$C$11)</f>
        <v>0</v>
      </c>
    </row>
    <row r="7" customFormat="false" ht="15" hidden="false" customHeight="false" outlineLevel="0" collapsed="false">
      <c r="A7" s="27" t="s">
        <v>79</v>
      </c>
      <c r="B7" s="28" t="n">
        <f aca="false">COUNTIFS(tblBorc[Borç Türü],$A7)</f>
        <v>1</v>
      </c>
      <c r="C7" s="29" t="n">
        <f aca="false">SUMIFS(tblBorc[Borç Tutarı (₺)],tblBorc[Borç Türü],$A7)</f>
        <v>1200000</v>
      </c>
      <c r="D7" s="30" t="n">
        <f aca="false">IF($B$7=0,0,AVERAGEIFS(tblBorc[Yıllık Faiz Oranı],tblBorc[Borç Türü],$A7))</f>
        <v>0</v>
      </c>
      <c r="E7" s="29" t="n">
        <f aca="false">SUMIFS(tblBorc[Borç Tutarı (₺)],tblBorc[Borç Türü],$A7,tblBorc[Teminat Var mı?],"Evet")</f>
        <v>0</v>
      </c>
      <c r="F7" s="30" t="n">
        <f aca="false">IF($C$11=0,0,C7/$C$11)</f>
        <v>0</v>
      </c>
    </row>
    <row r="8" customFormat="false" ht="15" hidden="false" customHeight="false" outlineLevel="0" collapsed="false">
      <c r="A8" s="27" t="s">
        <v>92</v>
      </c>
      <c r="B8" s="28" t="n">
        <f aca="false">COUNTIFS(tblBorc[Borç Türü],$A8)</f>
        <v>1</v>
      </c>
      <c r="C8" s="29" t="n">
        <f aca="false">SUMIFS(tblBorc[Borç Tutarı (₺)],tblBorc[Borç Türü],$A8)</f>
        <v>900000</v>
      </c>
      <c r="D8" s="30" t="n">
        <f aca="false">IF($B$8=0,0,AVERAGEIFS(tblBorc[Yıllık Faiz Oranı],tblBorc[Borç Türü],$A8))</f>
        <v>0.24</v>
      </c>
      <c r="E8" s="29" t="n">
        <f aca="false">SUMIFS(tblBorc[Borç Tutarı (₺)],tblBorc[Borç Türü],$A8,tblBorc[Teminat Var mı?],"Evet")</f>
        <v>900000</v>
      </c>
      <c r="F8" s="30" t="n">
        <f aca="false">IF($C$11=0,0,C8/$C$11)</f>
        <v>0</v>
      </c>
    </row>
    <row r="9" customFormat="false" ht="15" hidden="false" customHeight="false" outlineLevel="0" collapsed="false">
      <c r="A9" s="27" t="s">
        <v>84</v>
      </c>
      <c r="B9" s="28" t="n">
        <f aca="false">COUNTIFS(tblBorc[Borç Türü],$A9)</f>
        <v>1</v>
      </c>
      <c r="C9" s="29" t="n">
        <f aca="false">SUMIFS(tblBorc[Borç Tutarı (₺)],tblBorc[Borç Türü],$A9)</f>
        <v>2000000</v>
      </c>
      <c r="D9" s="30" t="n">
        <f aca="false">IF($B$9=0,0,AVERAGEIFS(tblBorc[Yıllık Faiz Oranı],tblBorc[Borç Türü],$A9))</f>
        <v>0.28</v>
      </c>
      <c r="E9" s="29" t="n">
        <f aca="false">SUMIFS(tblBorc[Borç Tutarı (₺)],tblBorc[Borç Türü],$A9,tblBorc[Teminat Var mı?],"Evet")</f>
        <v>0</v>
      </c>
      <c r="F9" s="30" t="n">
        <f aca="false">IF($C$11=0,0,C9/$C$11)</f>
        <v>0</v>
      </c>
    </row>
    <row r="10" customFormat="false" ht="15" hidden="false" customHeight="false" outlineLevel="0" collapsed="false">
      <c r="A10" s="27" t="s">
        <v>88</v>
      </c>
      <c r="B10" s="28" t="n">
        <f aca="false">COUNTIFS(tblBorc[Borç Türü],$A10)</f>
        <v>1</v>
      </c>
      <c r="C10" s="29" t="n">
        <f aca="false">SUMIFS(tblBorc[Borç Tutarı (₺)],tblBorc[Borç Türü],$A10)</f>
        <v>1800000</v>
      </c>
      <c r="D10" s="30" t="n">
        <f aca="false">IF($B$10=0,0,AVERAGEIFS(tblBorc[Yıllık Faiz Oranı],tblBorc[Borç Türü],$A10))</f>
        <v>0.2</v>
      </c>
      <c r="E10" s="29" t="n">
        <f aca="false">SUMIFS(tblBorc[Borç Tutarı (₺)],tblBorc[Borç Türü],$A10,tblBorc[Teminat Var mı?],"Evet")</f>
        <v>0</v>
      </c>
      <c r="F10" s="30" t="n">
        <f aca="false">IF($C$11=0,0,C10/$C$11)</f>
        <v>0</v>
      </c>
    </row>
    <row r="11" customFormat="false" ht="15" hidden="false" customHeight="false" outlineLevel="0" collapsed="false">
      <c r="A11" s="27" t="s">
        <v>105</v>
      </c>
      <c r="B11" s="28" t="n">
        <f aca="false">COUNTIFS(tblBorc[Borç Türü],$A11)</f>
        <v>0</v>
      </c>
      <c r="C11" s="29" t="n">
        <f aca="false">SUMIFS(tblBorc[Borç Tutarı (₺)],tblBorc[Borç Türü],$A11)</f>
        <v>0</v>
      </c>
      <c r="D11" s="30" t="n">
        <f aca="false">IF($B$11=0,0,AVERAGEIFS(tblBorc[Yıllık Faiz Oranı],tblBorc[Borç Türü],$A11))</f>
        <v>0</v>
      </c>
      <c r="E11" s="29" t="n">
        <f aca="false">SUMIFS(tblBorc[Borç Tutarı (₺)],tblBorc[Borç Türü],$A11,tblBorc[Teminat Var mı?],"Evet")</f>
        <v>0</v>
      </c>
      <c r="F11" s="30" t="n">
        <f aca="false">IF($C$11=0,0,C11/$C$11)</f>
        <v>0</v>
      </c>
    </row>
    <row r="12" customFormat="false" ht="15" hidden="false" customHeight="false" outlineLevel="0" collapsed="false">
      <c r="A12" s="31" t="s">
        <v>106</v>
      </c>
      <c r="B12" s="32" t="n">
        <f aca="false">SUM(B6:B11)</f>
        <v>6</v>
      </c>
      <c r="C12" s="33" t="n">
        <f aca="false">SUM(C6:C11)</f>
        <v>10900000</v>
      </c>
      <c r="D12" s="32" t="n">
        <f aca="false">SUM(D6:D11)</f>
        <v>1.03</v>
      </c>
      <c r="E12" s="33" t="n">
        <f aca="false">SUM(E6:E11)</f>
        <v>5900000</v>
      </c>
      <c r="F12" s="34" t="n">
        <f aca="false">SUM(F6:F11)</f>
        <v>0</v>
      </c>
    </row>
    <row r="13" customFormat="false" ht="15" hidden="false" customHeight="false" outlineLevel="0" collapsed="false">
      <c r="A13" s="31" t="s">
        <v>107</v>
      </c>
      <c r="B13" s="33" t="n">
        <f aca="false">IFERROR(INDEX(tblBilanco[Ödenmiş Sermaye (₺)],COUNTA(tblBilanco[Ay])),0)</f>
        <v>5000000</v>
      </c>
    </row>
    <row r="14" customFormat="false" ht="15" hidden="false" customHeight="false" outlineLevel="0" collapsed="false">
      <c r="A14" s="31" t="s">
        <v>108</v>
      </c>
      <c r="B14" s="33" t="n">
        <f aca="false">IFERROR(INDEX(tblBilanco[Yedekler (₺)],COUNTA(tblBilanco[Ay])),0)</f>
        <v>800000</v>
      </c>
    </row>
    <row r="15" customFormat="false" ht="15" hidden="false" customHeight="false" outlineLevel="0" collapsed="false">
      <c r="A15" s="31" t="s">
        <v>109</v>
      </c>
      <c r="B15" s="33" t="n">
        <f aca="false">IFERROR(INDEX(tblBilanco[Geçmiş Yıl Kârı (₺)],COUNTA(tblBilanco[Ay])),0)</f>
        <v>200000</v>
      </c>
    </row>
    <row r="16" customFormat="false" ht="15" hidden="false" customHeight="false" outlineLevel="0" collapsed="false">
      <c r="A16" s="31" t="s">
        <v>110</v>
      </c>
      <c r="B16" s="33" t="n">
        <f aca="false">IFERROR(INDEX(tblBilanco[Geçmiş Yıl Zararı (₺)],COUNTA(tblBilanco[Ay])),0)</f>
        <v>0</v>
      </c>
    </row>
    <row r="17" customFormat="false" ht="15" hidden="false" customHeight="false" outlineLevel="0" collapsed="false">
      <c r="A17" s="31" t="s">
        <v>111</v>
      </c>
      <c r="B17" s="33" t="n">
        <f aca="false">IFERROR(INDEX(tblBilanco[Dönem Kârı (₺)],COUNTA(tblBilanco[Ay])),0)</f>
        <v>0</v>
      </c>
    </row>
    <row r="18" customFormat="false" ht="15" hidden="false" customHeight="false" outlineLevel="0" collapsed="false">
      <c r="A18" s="31" t="s">
        <v>112</v>
      </c>
      <c r="B18" s="33" t="n">
        <f aca="false">IFERROR(INDEX(tblBilanco[Dönem Zararı (₺)],COUNTA(tblBilanco[Ay])),0)</f>
        <v>1250000</v>
      </c>
    </row>
    <row r="19" customFormat="false" ht="15" hidden="false" customHeight="false" outlineLevel="0" collapsed="false">
      <c r="A19" s="31" t="s">
        <v>113</v>
      </c>
      <c r="B19" s="33" t="n">
        <f aca="false">B13+B14+B15-B16+B17-B18</f>
        <v>4750000</v>
      </c>
    </row>
    <row r="20" customFormat="false" ht="15" hidden="false" customHeight="false" outlineLevel="0" collapsed="false">
      <c r="A20" s="31" t="s">
        <v>114</v>
      </c>
      <c r="B20" s="33" t="n">
        <f aca="false">MAX(0,B13-B19)</f>
        <v>250000</v>
      </c>
    </row>
    <row r="21" customFormat="false" ht="15" hidden="false" customHeight="false" outlineLevel="0" collapsed="false">
      <c r="A21" s="31" t="s">
        <v>115</v>
      </c>
      <c r="B21" s="34" t="n">
        <f aca="false">IF(B13=0,0,B20/B13)</f>
        <v>0.05</v>
      </c>
    </row>
    <row r="22" customFormat="false" ht="15" hidden="false" customHeight="false" outlineLevel="0" collapsed="false">
      <c r="A22" s="31" t="s">
        <v>116</v>
      </c>
      <c r="B22" s="33" t="n">
        <f aca="false">B13*TtkUcteBirEsik</f>
        <v>1666665</v>
      </c>
    </row>
    <row r="23" customFormat="false" ht="15" hidden="false" customHeight="false" outlineLevel="0" collapsed="false">
      <c r="A23" s="31" t="s">
        <v>117</v>
      </c>
      <c r="B23" s="33" t="n">
        <f aca="false">B13*TtkUcteIkiEsik</f>
        <v>3333335</v>
      </c>
    </row>
    <row r="24" customFormat="false" ht="15" hidden="false" customHeight="false" outlineLevel="0" collapsed="false">
      <c r="A24" s="31" t="s">
        <v>118</v>
      </c>
      <c r="B24" s="33" t="n">
        <f aca="false">IFERROR(INDEX(tblBilanco[Toplam Borç (₺)],COUNTA(tblBilanco[Ay])),0)</f>
        <v>10300000</v>
      </c>
    </row>
    <row r="25" customFormat="false" ht="15" hidden="false" customHeight="false" outlineLevel="0" collapsed="false">
      <c r="A25" s="31" t="s">
        <v>119</v>
      </c>
      <c r="B25" s="33" t="n">
        <f aca="false">IFERROR(INDEX(tblBilanco[Toplam Aktif (₺)],COUNTA(tblBilanco[Ay])),0)</f>
        <v>6700000</v>
      </c>
    </row>
    <row r="26" customFormat="false" ht="15" hidden="false" customHeight="false" outlineLevel="0" collapsed="false">
      <c r="A26" s="31" t="s">
        <v>120</v>
      </c>
      <c r="B26" s="35" t="str">
        <f aca="false">IF(OR(B19&lt;0,B25&lt;B24),"BORCA BATIK","BORCA BATIK DEĞİL")</f>
        <v>BORCA BATIK</v>
      </c>
    </row>
    <row r="27" customFormat="false" ht="15" hidden="false" customHeight="false" outlineLevel="0" collapsed="false">
      <c r="A27" s="31" t="s">
        <v>121</v>
      </c>
      <c r="B27" s="34" t="n">
        <f aca="false">IF(B25=0,0,B19/B25)</f>
        <v>0.708955223880597</v>
      </c>
    </row>
    <row r="28" customFormat="false" ht="15" hidden="false" customHeight="false" outlineLevel="0" collapsed="false">
      <c r="A28" s="31" t="s">
        <v>122</v>
      </c>
      <c r="B28" s="33" t="n">
        <f aca="false">IFERROR(INDEX(tblBilanco[Öz Kaynak (₺)],COUNTA(tblBilanco[Ay]))-INDEX(tblBilanco[Öz Kaynak (₺)],1),0)</f>
        <v>-1600000</v>
      </c>
    </row>
    <row r="29" customFormat="false" ht="15" hidden="false" customHeight="false" outlineLevel="0" collapsed="false">
      <c r="A29" s="31" t="s">
        <v>123</v>
      </c>
      <c r="B29" s="35" t="str">
        <f aca="false">IF(OR(B24&gt;TtkAzamiBilancoTutari,B25&gt;TtkAzamiBilancoTutari),"AŞIM VAR","NORMAL")</f>
        <v>NORMAL</v>
      </c>
    </row>
    <row r="31" customFormat="false" ht="19.5" hidden="false" customHeight="true" outlineLevel="0" collapsed="false">
      <c r="A31" s="22" t="s">
        <v>124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</row>
  </sheetData>
  <sheetProtection sheet="true" password="cc3d" objects="true" scenarios="true" deleteColumns="false" deleteRows="false"/>
  <mergeCells count="2">
    <mergeCell ref="A1:AD1"/>
    <mergeCell ref="A31:AN31"/>
  </mergeCells>
  <conditionalFormatting sqref="C6:C11">
    <cfRule type="cellIs" priority="2" operator="lessThan" aboveAverage="0" equalAverage="0" bottom="0" percent="0" rank="0" text="" dxfId="11">
      <formula>0</formula>
    </cfRule>
  </conditionalFormatting>
  <conditionalFormatting sqref="D6:D11">
    <cfRule type="cellIs" priority="3" operator="lessThan" aboveAverage="0" equalAverage="0" bottom="0" percent="0" rank="0" text="" dxfId="11">
      <formula>0</formula>
    </cfRule>
  </conditionalFormatting>
  <conditionalFormatting sqref="E6:E11">
    <cfRule type="cellIs" priority="4" operator="lessThan" aboveAverage="0" equalAverage="0" bottom="0" percent="0" rank="0" text="" dxfId="11">
      <formula>0</formula>
    </cfRule>
  </conditionalFormatting>
  <conditionalFormatting sqref="B19">
    <cfRule type="cellIs" priority="5" operator="lessThan" aboveAverage="0" equalAverage="0" bottom="0" percent="0" rank="0" text="" dxfId="11">
      <formula>0</formula>
    </cfRule>
  </conditionalFormatting>
  <conditionalFormatting sqref="B21">
    <cfRule type="cellIs" priority="6" operator="greaterThan" aboveAverage="0" equalAverage="0" bottom="0" percent="0" rank="0" text="" dxfId="12">
      <formula>0.333333</formula>
    </cfRule>
    <cfRule type="cellIs" priority="7" operator="greaterThan" aboveAverage="0" equalAverage="0" bottom="0" percent="0" rank="0" text="" dxfId="11">
      <formula>0.666667</formula>
    </cfRule>
  </conditionalFormatting>
  <conditionalFormatting sqref="B20">
    <cfRule type="cellIs" priority="8" operator="greaterThan" aboveAverage="0" equalAverage="0" bottom="0" percent="0" rank="0" text="" dxfId="12">
      <formula>0</formula>
    </cfRule>
  </conditionalFormatting>
  <conditionalFormatting sqref="B26">
    <cfRule type="cellIs" priority="9" operator="equal" aboveAverage="0" equalAverage="0" bottom="0" percent="0" rank="0" text="" dxfId="14">
      <formula>"BORCA BATIK"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52"/>
    <col collapsed="false" customWidth="true" hidden="false" outlineLevel="0" max="4" min="4" style="0" width="72"/>
  </cols>
  <sheetData>
    <row r="1" customFormat="false" ht="25.5" hidden="false" customHeight="true" outlineLevel="0" collapsed="false">
      <c r="A1" s="1" t="s">
        <v>125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36" t="s">
        <v>126</v>
      </c>
      <c r="B3" s="36"/>
      <c r="C3" s="36"/>
      <c r="D3" s="36"/>
    </row>
    <row r="5" customFormat="false" ht="30" hidden="false" customHeight="true" outlineLevel="0" collapsed="false">
      <c r="A5" s="14" t="s">
        <v>127</v>
      </c>
      <c r="B5" s="14" t="s">
        <v>128</v>
      </c>
      <c r="C5" s="14" t="s">
        <v>129</v>
      </c>
      <c r="D5" s="14" t="s">
        <v>130</v>
      </c>
    </row>
    <row r="6" customFormat="false" ht="30" hidden="false" customHeight="true" outlineLevel="0" collapsed="false">
      <c r="A6" s="37" t="s">
        <v>131</v>
      </c>
      <c r="B6" s="38" t="s">
        <v>132</v>
      </c>
      <c r="C6" s="39" t="n">
        <f aca="false">IFERROR(IF(INDEX(tblBilanco[Öz Kaynak (₺)],1)=0,0,INDEX(tblBilanco[Öz Kaynak (₺)],COUNTA(tblBilanco[Ay]))/INDEX(tblBilanco[Öz Kaynak (₺)],1)),0)</f>
        <v>0.748031496062992</v>
      </c>
      <c r="D6" s="40" t="str">
        <f aca="false">_xlfn.TEXTJOIN("; ",TRUE(),"Öz kaynak trendi ",TEXT(C6,"0.00"),"x — 1 altındaysa öz kaynak eriyor, eşikler yaklaşıyor")</f>
        <v>Öz kaynak trendi ; 0,75; x — 1 altındaysa öz kaynak eriyor, eşikler yaklaşıyor</v>
      </c>
    </row>
    <row r="7" customFormat="false" ht="30" hidden="false" customHeight="true" outlineLevel="0" collapsed="false">
      <c r="A7" s="37" t="s">
        <v>133</v>
      </c>
      <c r="B7" s="38" t="s">
        <v>122</v>
      </c>
      <c r="C7" s="29" t="n">
        <f aca="false">HESAP!B28</f>
        <v>-1600000</v>
      </c>
      <c r="D7" s="40" t="str">
        <f aca="false">_xlfn.TEXTJOIN("; ",TRUE(),"İlk ile son ay öz kaynak farkı ",TEXT(C7,"₺ #,##0")," TL — negatif fark erime hızını gösterir")</f>
        <v>İlk ile son ay öz kaynak farkı ; -₺ 1600000,000;  TL — negatif fark erime hızını gösterir</v>
      </c>
    </row>
    <row r="8" customFormat="false" ht="30" hidden="false" customHeight="true" outlineLevel="0" collapsed="false">
      <c r="A8" s="37" t="s">
        <v>134</v>
      </c>
      <c r="B8" s="38" t="s">
        <v>135</v>
      </c>
      <c r="C8" s="39" t="n">
        <f aca="false">IFERROR(stdev.p(tblBilanco[Kayıp Oranı]),0)</f>
        <v>0</v>
      </c>
      <c r="D8" s="40" t="str">
        <f aca="false">_xlfn.TEXTJOIN("; ",TRUE(),"Aylık kayıp oranlarının standart sapması ",TEXT(C8,"0.00%")," — sapma yüksekse erime hızı düzensizdir")</f>
        <v>Aylık kayıp oranlarının standart sapması ; 0,00%;  — sapma yüksekse erime hızı düzensizdir</v>
      </c>
    </row>
    <row r="9" customFormat="false" ht="30" hidden="false" customHeight="true" outlineLevel="0" collapsed="false">
      <c r="A9" s="37" t="s">
        <v>136</v>
      </c>
      <c r="B9" s="38" t="s">
        <v>137</v>
      </c>
      <c r="C9" s="39" t="n">
        <f aca="false">MAX(SENARYO_DUYARLILIK!B12:B13)</f>
        <v>0.0094059405940594</v>
      </c>
      <c r="D9" s="40" t="str">
        <f aca="false">_xlfn.TEXTJOIN("; ",TRUE(),"Kayıp oranını en çok etkileyen değişkenin etkisi ",TEXT(C9,"0.00%")," — öncelik bu değişkenin yönetiminde")</f>
        <v>Kayıp oranını en çok etkileyen değişkenin etkisi ; 0,94%;  — öncelik bu değişkenin yönetiminde</v>
      </c>
    </row>
    <row r="10" customFormat="false" ht="30" hidden="false" customHeight="true" outlineLevel="0" collapsed="false">
      <c r="A10" s="37" t="s">
        <v>138</v>
      </c>
      <c r="B10" s="38" t="s">
        <v>139</v>
      </c>
      <c r="C10" s="39" t="n">
        <f aca="false">SENARYO_DUYARLILIK!C7-SENARYO_DUYARLILIK!C9</f>
        <v>-0.175</v>
      </c>
      <c r="D10" s="40" t="str">
        <f aca="false">_xlfn.TEXTJOIN("; ",TRUE(),"İyimser ile kötümser senaryo kayıp oranı farkı ",TEXT(C10,"0.00%")," — belirsizlik aralığını gösterir")</f>
        <v>İyimser ile kötümser senaryo kayıp oranı farkı ; -17,50%;  — belirsizlik aralığını gösterir</v>
      </c>
    </row>
    <row r="11" customFormat="false" ht="30" hidden="false" customHeight="true" outlineLevel="0" collapsed="false">
      <c r="A11" s="37" t="s">
        <v>140</v>
      </c>
      <c r="B11" s="38" t="s">
        <v>141</v>
      </c>
      <c r="C11" s="39" t="n">
        <f aca="false">IFERROR(SUMPRODUCT((HESAP!$C$6:$C$11/SUM(HESAP!$C$6:$C$11))^2),0)</f>
        <v>0.290295429677637</v>
      </c>
      <c r="D11" s="40" t="str">
        <f aca="false">_xlfn.TEXTJOIN("; ",TRUE(),"Borç yoğunlaşma endeksi ",TEXT(C11,"0.000")," — 1 e yaklaştıkça borç tek türde toplanır, kırılganlık artar")</f>
        <v>Borç yoğunlaşma endeksi ; 0.000;  — 1 e yaklaştıkça borç tek türde toplanır, kırılganlık artar</v>
      </c>
    </row>
    <row r="12" customFormat="false" ht="30" hidden="false" customHeight="true" outlineLevel="0" collapsed="false">
      <c r="A12" s="37" t="s">
        <v>142</v>
      </c>
      <c r="B12" s="38" t="s">
        <v>143</v>
      </c>
      <c r="C12" s="28" t="n">
        <f aca="false">KONTROLLER!B19</f>
        <v>89</v>
      </c>
      <c r="D12" s="40" t="str">
        <f aca="false">_xlfn.TEXTJOIN("; ",TRUE(),"Veri kalite skoru ",TEXT(C12,"0")," puan — ",IF(C12&gt;=TtkKaliteIyi,"yüksek güven","veri girişi tamamlanmalı"))</f>
        <v>Veri kalite skoru ; 89;  puan — ; veri girişi tamamlanmalı</v>
      </c>
    </row>
    <row r="13" customFormat="false" ht="30" hidden="false" customHeight="true" outlineLevel="0" collapsed="false">
      <c r="A13" s="37" t="s">
        <v>144</v>
      </c>
      <c r="B13" s="38" t="s">
        <v>145</v>
      </c>
      <c r="C13" s="29" t="n">
        <f aca="false">PANO!B24</f>
        <v>0</v>
      </c>
      <c r="D13" s="40" t="str">
        <f aca="false">_xlfn.TEXTJOIN("; ",TRUE(),"Gelecek dönem öz kaynak tahmini ",TEXT(C13,"₺ #,##0")," TL — güven bandı için alt/üst sınır PANO sayfasındadır")</f>
        <v>Gelecek dönem öz kaynak tahmini ; ₺ ,000;  TL — güven bandı için alt/üst sınır PANO sayfasındadır</v>
      </c>
    </row>
    <row r="14" customFormat="false" ht="30" hidden="false" customHeight="true" outlineLevel="0" collapsed="false">
      <c r="A14" s="37" t="s">
        <v>146</v>
      </c>
      <c r="B14" s="38" t="s">
        <v>147</v>
      </c>
      <c r="C14" s="39" t="n">
        <f aca="false">IFERROR(_xlfn.PERCENTILE.INC(tblBorc[Borç Tutarı (₺)],TtkP90Oran),0)</f>
        <v>2750000</v>
      </c>
      <c r="D14" s="40" t="str">
        <f aca="false">_xlfn.TEXTJOIN("; ",TRUE(),"Borç tutarlarının %90 ı ",TEXT(C14,"₺ #,##0")," TL altında gerçekleşir — üst sınır finansman planı için kullanılabilir")</f>
        <v>Borç tutarlarının %90 ı ; ₺ 2750000,000;  TL altında gerçekleşir — üst sınır finansman planı için kullanılabilir</v>
      </c>
    </row>
  </sheetData>
  <sheetProtection sheet="true" password="cc3d" objects="true" scenarios="true" deleteColumns="false" deleteRows="false"/>
  <mergeCells count="2">
    <mergeCell ref="A1:A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55"/>
  </cols>
  <sheetData>
    <row r="1" customFormat="false" ht="25.5" hidden="false" customHeight="true" outlineLevel="0" collapsed="false">
      <c r="A1" s="1" t="s">
        <v>148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149</v>
      </c>
    </row>
    <row r="4" customFormat="false" ht="28.35" hidden="false" customHeight="false" outlineLevel="0" collapsed="false">
      <c r="A4" s="13" t="s">
        <v>150</v>
      </c>
    </row>
    <row r="6" customFormat="false" ht="15" hidden="false" customHeight="false" outlineLevel="0" collapsed="false">
      <c r="A6" s="41" t="s">
        <v>151</v>
      </c>
      <c r="B6" s="39" t="str">
        <f aca="false">IF(COUNTBLANK(tblBilanco[Ay])=0,"TEMİZ","BOŞ VAR")</f>
        <v>BOŞ VAR</v>
      </c>
    </row>
    <row r="7" customFormat="false" ht="15" hidden="false" customHeight="false" outlineLevel="0" collapsed="false">
      <c r="A7" s="41" t="s">
        <v>152</v>
      </c>
      <c r="B7" s="39" t="str">
        <f aca="false">IF(COUNTBLANK(tblBilanco[Ödenmiş Sermaye (₺)])=0,"TEMİZ","BOŞ VAR")</f>
        <v>BOŞ VAR</v>
      </c>
    </row>
    <row r="8" customFormat="false" ht="15" hidden="false" customHeight="false" outlineLevel="0" collapsed="false">
      <c r="A8" s="41" t="s">
        <v>153</v>
      </c>
      <c r="B8" s="39" t="str">
        <f aca="false">IF(COUNTIF(tblBilanco[Ödenmiş Sermaye (₺)],"&lt;0")=0,"TEMİZ","NEGATİF VAR")</f>
        <v>TEMİZ</v>
      </c>
    </row>
    <row r="9" customFormat="false" ht="15" hidden="false" customHeight="false" outlineLevel="0" collapsed="false">
      <c r="A9" s="41" t="s">
        <v>154</v>
      </c>
      <c r="B9" s="39" t="str">
        <f aca="false">IF(COUNTIF(tblBilanco[Ödenmiş Sermaye (₺)],"=0")&gt;0,"SIFIR VAR","NORMAL")</f>
        <v>NORMAL</v>
      </c>
    </row>
    <row r="10" customFormat="false" ht="15" hidden="false" customHeight="false" outlineLevel="0" collapsed="false">
      <c r="A10" s="41" t="s">
        <v>155</v>
      </c>
      <c r="B10" s="39" t="str">
        <f aca="false">IF(COUNTIF(tblBorc[Borç Türü],"")&gt;0,"BOŞ VAR","TEMİZ")</f>
        <v>BOŞ VAR</v>
      </c>
    </row>
    <row r="11" customFormat="false" ht="15" hidden="false" customHeight="false" outlineLevel="0" collapsed="false">
      <c r="A11" s="41" t="s">
        <v>156</v>
      </c>
      <c r="B11" s="39" t="str">
        <f aca="false">IF(HESAP!B21&gt;TtkUcteBirEsik,"AŞIYOR","NORMAL")</f>
        <v>NORMAL</v>
      </c>
    </row>
    <row r="12" customFormat="false" ht="15" hidden="false" customHeight="false" outlineLevel="0" collapsed="false">
      <c r="A12" s="41" t="s">
        <v>157</v>
      </c>
      <c r="B12" s="39" t="str">
        <f aca="false">IF(HESAP!B21&gt;TtkUcteIkiEsik,"AŞIYOR","NORMAL")</f>
        <v>NORMAL</v>
      </c>
    </row>
    <row r="13" customFormat="false" ht="15" hidden="false" customHeight="false" outlineLevel="0" collapsed="false">
      <c r="A13" s="41" t="s">
        <v>158</v>
      </c>
      <c r="B13" s="39" t="str">
        <f aca="false">IF(HESAP!B26="BORCA BATIK","VAR","YOK")</f>
        <v>VAR</v>
      </c>
    </row>
    <row r="15" customFormat="false" ht="15" hidden="false" customHeight="false" outlineLevel="0" collapsed="false">
      <c r="A15" s="4" t="s">
        <v>159</v>
      </c>
    </row>
    <row r="16" customFormat="false" ht="28.35" hidden="false" customHeight="false" outlineLevel="0" collapsed="false">
      <c r="A16" s="13" t="s">
        <v>160</v>
      </c>
    </row>
    <row r="17" customFormat="false" ht="15" hidden="false" customHeight="false" outlineLevel="0" collapsed="false">
      <c r="A17" s="41" t="s">
        <v>161</v>
      </c>
      <c r="B17" s="28" t="n">
        <f aca="false">COUNTA(tblBilanco[Ay])*TtkDonemGirisKolon+COUNTA(tblBorc[Borç Kodu])*TtkBorcGirisKolon</f>
        <v>162</v>
      </c>
    </row>
    <row r="18" customFormat="false" ht="15" hidden="false" customHeight="false" outlineLevel="0" collapsed="false">
      <c r="A18" s="41" t="s">
        <v>162</v>
      </c>
      <c r="B18" s="28" t="n">
        <f aca="false">COUNTA(tblBilanco[Ay])+COUNTA(tblBilanco[Ödenmiş Sermaye (₺)])+COUNTA(tblBilanco[Yedekler (₺)])+COUNTA(tblBilanco[Geçmiş Yıl Kârı (₺)])+COUNTA(tblBilanco[Geçmiş Yıl Zararı (₺)])+COUNTA(tblBilanco[Dönem Kârı (₺)])+COUNTA(tblBilanco[Dönem Zararı (₺)])+COUNTA(tblBilanco[Toplam Borç (₺)])+COUNTA(tblBilanco[Toplam Aktif (₺)])+COUNTA(tblBorc[Borç Kodu])+COUNTA(tblBorc[Borç Türü])+COUNTA(tblBorc[Borç Tutarı (₺)])+COUNTA(tblBorc[Yıllık Faiz Oranı])+COUNTA(tblBorc[Teminat Var mı?])+COUNTA(tblBorc[Açıklama])</f>
        <v>144</v>
      </c>
    </row>
    <row r="19" customFormat="false" ht="15" hidden="false" customHeight="false" outlineLevel="0" collapsed="false">
      <c r="A19" s="27" t="s">
        <v>163</v>
      </c>
      <c r="B19" s="32" t="n">
        <f aca="false">ROUND(IF(TtkToplamGiris=0,0,TtkDoluGiris/TtkToplamGiris*100),0)</f>
        <v>89</v>
      </c>
    </row>
    <row r="20" customFormat="false" ht="15" hidden="false" customHeight="false" outlineLevel="0" collapsed="false">
      <c r="A20" s="41" t="s">
        <v>164</v>
      </c>
      <c r="B20" s="39" t="str">
        <f aca="false">IF(B19&gt;=TtkKaliteIyi,"YÜKSEK",IF(B19&gt;=TtkKaliteOrta,"ORTA","DÜŞÜK"))</f>
        <v>ORTA</v>
      </c>
    </row>
    <row r="22" customFormat="false" ht="19.5" hidden="false" customHeight="true" outlineLevel="0" collapsed="false">
      <c r="A22" s="22" t="s">
        <v>165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</row>
  </sheetData>
  <sheetProtection sheet="true" password="cc3d" objects="true" scenarios="true" deleteColumns="false" deleteRows="false"/>
  <mergeCells count="2">
    <mergeCell ref="A1:AD1"/>
    <mergeCell ref="A22:AN22"/>
  </mergeCells>
  <conditionalFormatting sqref="B6:B13">
    <cfRule type="cellIs" priority="2" operator="equal" aboveAverage="0" equalAverage="0" bottom="0" percent="0" rank="0" text="" dxfId="14">
      <formula>"BOŞ VAR"</formula>
    </cfRule>
    <cfRule type="cellIs" priority="3" operator="equal" aboveAverage="0" equalAverage="0" bottom="0" percent="0" rank="0" text="" dxfId="14">
      <formula>"NEGATİF VAR"</formula>
    </cfRule>
    <cfRule type="cellIs" priority="4" operator="equal" aboveAverage="0" equalAverage="0" bottom="0" percent="0" rank="0" text="" dxfId="14">
      <formula>"SIFIR VAR"</formula>
    </cfRule>
    <cfRule type="cellIs" priority="5" operator="equal" aboveAverage="0" equalAverage="0" bottom="0" percent="0" rank="0" text="" dxfId="14">
      <formula>"EKSİK VAR"</formula>
    </cfRule>
    <cfRule type="cellIs" priority="6" operator="equal" aboveAverage="0" equalAverage="0" bottom="0" percent="0" rank="0" text="" dxfId="14">
      <formula>"AŞIYOR"</formula>
    </cfRule>
    <cfRule type="cellIs" priority="7" operator="equal" aboveAverage="0" equalAverage="0" bottom="0" percent="0" rank="0" text="" dxfId="14">
      <formula>"YÜKSEK"</formula>
    </cfRule>
    <cfRule type="cellIs" priority="8" operator="equal" aboveAverage="0" equalAverage="0" bottom="0" percent="0" rank="0" text="" dxfId="14">
      <formula>"VAR"</formula>
    </cfRule>
    <cfRule type="cellIs" priority="9" operator="equal" aboveAverage="0" equalAverage="0" bottom="0" percent="0" rank="0" text="" dxfId="13">
      <formula>"TEMİZ"</formula>
    </cfRule>
    <cfRule type="cellIs" priority="10" operator="equal" aboveAverage="0" equalAverage="0" bottom="0" percent="0" rank="0" text="" dxfId="13">
      <formula>"NORMAL"</formula>
    </cfRule>
    <cfRule type="cellIs" priority="11" operator="equal" aboveAverage="0" equalAverage="0" bottom="0" percent="0" rank="0" text="" dxfId="13">
      <formula>"YOK"</formula>
    </cfRule>
  </conditionalFormatting>
  <conditionalFormatting sqref="B19">
    <cfRule type="cellIs" priority="12" operator="lessThan" aboveAverage="0" equalAverage="0" bottom="0" percent="0" rank="0" text="" dxfId="11">
      <formula>70</formula>
    </cfRule>
    <cfRule type="cellIs" priority="13" operator="between" aboveAverage="0" equalAverage="0" bottom="0" percent="0" rank="0" text="" dxfId="12">
      <formula>70</formula>
      <formula>90</formula>
    </cfRule>
    <cfRule type="cellIs" priority="14" operator="greaterThanOrEqual" aboveAverage="0" equalAverage="0" bottom="0" percent="0" rank="0" text="" dxfId="13">
      <formula>90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166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167</v>
      </c>
    </row>
    <row r="4" customFormat="false" ht="28.35" hidden="false" customHeight="false" outlineLevel="0" collapsed="false">
      <c r="A4" s="13" t="s">
        <v>168</v>
      </c>
    </row>
    <row r="6" customFormat="false" ht="15" hidden="false" customHeight="false" outlineLevel="0" collapsed="false">
      <c r="A6" s="41" t="s">
        <v>169</v>
      </c>
      <c r="B6" s="33" t="n">
        <f aca="false">HESAP!B19</f>
        <v>4750000</v>
      </c>
    </row>
    <row r="7" customFormat="false" ht="15" hidden="false" customHeight="false" outlineLevel="0" collapsed="false">
      <c r="A7" s="41" t="s">
        <v>114</v>
      </c>
      <c r="B7" s="29" t="n">
        <f aca="false">HESAP!B20</f>
        <v>250000</v>
      </c>
    </row>
    <row r="8" customFormat="false" ht="15" hidden="false" customHeight="false" outlineLevel="0" collapsed="false">
      <c r="A8" s="41" t="s">
        <v>45</v>
      </c>
      <c r="B8" s="30" t="n">
        <f aca="false">HESAP!B21</f>
        <v>0.05</v>
      </c>
    </row>
    <row r="9" customFormat="false" ht="15" hidden="false" customHeight="false" outlineLevel="0" collapsed="false">
      <c r="A9" s="41" t="s">
        <v>120</v>
      </c>
      <c r="B9" s="39" t="str">
        <f aca="false">HESAP!B26</f>
        <v>BORCA BATIK</v>
      </c>
    </row>
    <row r="11" customFormat="false" ht="21.6" hidden="false" customHeight="false" outlineLevel="0" collapsed="false">
      <c r="A11" s="42" t="s">
        <v>170</v>
      </c>
      <c r="B11" s="43" t="str">
        <f aca="false">IF(COUNTA(tblBilanco[Ay])=0,"VERİ YOK",IF(HESAP!B29="AŞIM VAR","İNCELE",IF(HESAP!B26="BORCA BATIK","DURDUR",IF(HESAP!B21&gt;=TtkUcteIkiEsik,"DURDUR",IF(HESAP!B21&gt;=TtkUcteBirEsik,"İNCELE","UYGUN")))))</f>
        <v>DURDUR</v>
      </c>
    </row>
    <row r="12" customFormat="false" ht="15" hidden="false" customHeight="false" outlineLevel="0" collapsed="false">
      <c r="A12" s="27" t="s">
        <v>171</v>
      </c>
      <c r="B12" s="44" t="str">
        <f aca="false">IF(COUNTA(tblBilanco[Ay])=0,"Veri girişi yapılmamış; karar üretilemez.",IF(HESAP!B29="AŞIM VAR","Bilanço tutarları gerçekçilik üst sınırının üzerinde; verilerin doğru girildiği doğrulanmalı.",IF(HESAP!B26="BORCA BATIK","Öz kaynak negatif veya aktifler borçları karşılamıyor; TTK 376 kapsamında yönetim kurulu mahkemeye bildirim yükümlülüğü doğar.",IF(HESAP!B21&gt;=TtkUcteIkiEsik,"Sermayenin 2/3 ü kaybolmuş; genel kurul derhal toplanmalı, sermaye tamamlama veya infisah kararı alınmalı.",IF(HESAP!B21&gt;=TtkUcteBirEsik,"Sermayenin 1/3 ü kaybolmuş; genel kurul toplanıp tamamlama veya azaltım kararı alınmalı.","Öz kaynak sermayenin 1/3 ünden fazla erimemiş; TTK 376 kapsamında zorunlu önlem gerekmiyor.")))))</f>
        <v>Öz kaynak negatif veya aktifler borçları karşılamıyor; TTK 376 kapsamında yönetim kurulu mahkemeye bildirim yükümlülüğü doğar.</v>
      </c>
      <c r="C12" s="44"/>
      <c r="D12" s="44"/>
      <c r="E12" s="44"/>
      <c r="F12" s="44"/>
      <c r="G12" s="44"/>
      <c r="H12" s="44"/>
      <c r="I12" s="44"/>
      <c r="J12" s="44"/>
    </row>
    <row r="14" customFormat="false" ht="15" hidden="false" customHeight="false" outlineLevel="0" collapsed="false">
      <c r="A14" s="4" t="s">
        <v>172</v>
      </c>
    </row>
    <row r="15" customFormat="false" ht="15" hidden="false" customHeight="false" outlineLevel="0" collapsed="false">
      <c r="A15" s="41" t="s">
        <v>173</v>
      </c>
      <c r="B15" s="44" t="str">
        <f aca="false">TtkAksiyon1_ACIKLAMA</f>
        <v>1/3 eşiğine yaklaşılıyorsa ödenmiş sermayeyi koruyacak şekilde ortaklardan sermaye taahhüdü veya borç/kâr transferi planlayın.</v>
      </c>
      <c r="C15" s="44"/>
      <c r="D15" s="44"/>
      <c r="E15" s="44"/>
      <c r="F15" s="44"/>
      <c r="G15" s="44"/>
      <c r="H15" s="44"/>
      <c r="I15" s="44"/>
      <c r="J15" s="44"/>
    </row>
    <row r="16" customFormat="false" ht="15" hidden="false" customHeight="false" outlineLevel="0" collapsed="false">
      <c r="A16" s="41" t="s">
        <v>174</v>
      </c>
      <c r="B16" s="44" t="str">
        <f aca="false">TtkAksiyon2_ACIKLAMA</f>
        <v>2/3 kayıp durumunda genel kurulu derhal toplayın; sermaye artırımı, azaltım veya infisah kararı için hukuki ve mali danışman desteği alın.</v>
      </c>
      <c r="C16" s="44"/>
      <c r="D16" s="44"/>
      <c r="E16" s="44"/>
      <c r="F16" s="44"/>
      <c r="G16" s="44"/>
      <c r="H16" s="44"/>
      <c r="I16" s="44"/>
      <c r="J16" s="44"/>
    </row>
    <row r="17" customFormat="false" ht="15" hidden="false" customHeight="false" outlineLevel="0" collapsed="false">
      <c r="A17" s="41" t="s">
        <v>175</v>
      </c>
      <c r="B17" s="44" t="str">
        <f aca="false">TtkAksiyon3_ACIKLAMA</f>
        <v>Borca batıklıkta aktif değerlemesini yeniden yapın; bilanço güncellemesi ve mahkeme bildirimi sürecini mali müşavirle birlikte yürütün.</v>
      </c>
      <c r="C17" s="44"/>
      <c r="D17" s="44"/>
      <c r="E17" s="44"/>
      <c r="F17" s="44"/>
      <c r="G17" s="44"/>
      <c r="H17" s="44"/>
      <c r="I17" s="44"/>
      <c r="J17" s="44"/>
    </row>
    <row r="19" customFormat="false" ht="19.5" hidden="false" customHeight="true" outlineLevel="0" collapsed="false">
      <c r="A19" s="22" t="s">
        <v>176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</row>
  </sheetData>
  <sheetProtection sheet="true" password="cc3d" objects="true" scenarios="true" deleteColumns="false" deleteRows="false"/>
  <mergeCells count="6">
    <mergeCell ref="A1:AD1"/>
    <mergeCell ref="B12:J12"/>
    <mergeCell ref="B15:J15"/>
    <mergeCell ref="B16:J16"/>
    <mergeCell ref="B17:J17"/>
    <mergeCell ref="A19:AN19"/>
  </mergeCells>
  <conditionalFormatting sqref="B11">
    <cfRule type="cellIs" priority="2" operator="equal" aboveAverage="0" equalAverage="0" bottom="0" percent="0" rank="0" text="" dxfId="16">
      <formula>"UYGUN"</formula>
    </cfRule>
    <cfRule type="cellIs" priority="3" operator="equal" aboveAverage="0" equalAverage="0" bottom="0" percent="0" rank="0" text="" dxfId="15">
      <formula>"İNCELE"</formula>
    </cfRule>
    <cfRule type="cellIs" priority="4" operator="equal" aboveAverage="0" equalAverage="0" bottom="0" percent="0" rank="0" text="" dxfId="14">
      <formula>"DURDUR"</formula>
    </cfRule>
    <cfRule type="cellIs" priority="5" operator="equal" aboveAverage="0" equalAverage="0" bottom="0" percent="0" rank="0" text="" dxfId="14">
      <formula>"VERİ YOK"</formula>
    </cfRule>
  </conditionalFormatting>
  <conditionalFormatting sqref="B6">
    <cfRule type="cellIs" priority="6" operator="lessThan" aboveAverage="0" equalAverage="0" bottom="0" percent="0" rank="0" text="" dxfId="11">
      <formula>0</formula>
    </cfRule>
  </conditionalFormatting>
  <conditionalFormatting sqref="B8">
    <cfRule type="cellIs" priority="7" operator="greaterThan" aboveAverage="0" equalAverage="0" bottom="0" percent="0" rank="0" text="" dxfId="11">
      <formula>0.666667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6" min="2" style="0" width="22"/>
  </cols>
  <sheetData>
    <row r="1" customFormat="false" ht="25.5" hidden="false" customHeight="true" outlineLevel="0" collapsed="false">
      <c r="A1" s="1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28.35" hidden="false" customHeight="false" outlineLevel="0" collapsed="false">
      <c r="A3" s="42" t="s">
        <v>178</v>
      </c>
      <c r="B3" s="45" t="s">
        <v>169</v>
      </c>
      <c r="C3" s="45" t="s">
        <v>179</v>
      </c>
      <c r="D3" s="45" t="s">
        <v>45</v>
      </c>
      <c r="E3" s="45" t="s">
        <v>180</v>
      </c>
      <c r="F3" s="45" t="s">
        <v>181</v>
      </c>
      <c r="G3" s="45" t="s">
        <v>163</v>
      </c>
    </row>
    <row r="4" customFormat="false" ht="15" hidden="false" customHeight="false" outlineLevel="0" collapsed="false">
      <c r="B4" s="46" t="n">
        <f aca="false">HESAP!B19</f>
        <v>4750000</v>
      </c>
      <c r="C4" s="46" t="n">
        <f aca="false">HESAP!B20</f>
        <v>250000</v>
      </c>
      <c r="D4" s="47" t="n">
        <f aca="false">HESAP!B21</f>
        <v>0.05</v>
      </c>
      <c r="E4" s="47" t="n">
        <f aca="false">HESAP!B27</f>
        <v>0.708955223880597</v>
      </c>
      <c r="F4" s="48" t="str">
        <f aca="false">HESAP!B26</f>
        <v>BORCA BATIK</v>
      </c>
      <c r="G4" s="49" t="n">
        <f aca="false">KONTROLLER!B19</f>
        <v>89</v>
      </c>
    </row>
    <row r="6" customFormat="false" ht="18.65" hidden="false" customHeight="false" outlineLevel="0" collapsed="false">
      <c r="A6" s="50" t="s">
        <v>182</v>
      </c>
      <c r="B6" s="51" t="str">
        <f aca="false">KARAR!B11</f>
        <v>DURDUR</v>
      </c>
      <c r="D6" s="50" t="s">
        <v>183</v>
      </c>
      <c r="E6" s="52" t="n">
        <f aca="false">HESAP!B24</f>
        <v>10300000</v>
      </c>
    </row>
    <row r="10" customFormat="false" ht="15" hidden="false" customHeight="false" outlineLevel="0" collapsed="false">
      <c r="A10" s="31" t="s">
        <v>64</v>
      </c>
      <c r="B10" s="31" t="s">
        <v>101</v>
      </c>
      <c r="C10" s="9" t="s">
        <v>41</v>
      </c>
      <c r="D10" s="9" t="s">
        <v>184</v>
      </c>
      <c r="F10" s="9" t="s">
        <v>103</v>
      </c>
    </row>
    <row r="11" customFormat="false" ht="15" hidden="false" customHeight="false" outlineLevel="0" collapsed="false">
      <c r="A11" s="53" t="s">
        <v>74</v>
      </c>
      <c r="B11" s="28" t="n">
        <f aca="false">HESAP!B6</f>
        <v>2</v>
      </c>
      <c r="C11" s="29" t="n">
        <f aca="false">HESAP!C6</f>
        <v>5000000</v>
      </c>
      <c r="D11" s="53" t="s">
        <v>185</v>
      </c>
      <c r="E11" s="29" t="n">
        <f aca="false">IFERROR(INDEX(tblBilanco[Öz Kaynak (₺)],AYARLAR!$B$13),0)</f>
        <v>6350000</v>
      </c>
      <c r="F11" s="29" t="n">
        <f aca="false">HESAP!E6</f>
        <v>5000000</v>
      </c>
    </row>
    <row r="12" customFormat="false" ht="15" hidden="false" customHeight="false" outlineLevel="0" collapsed="false">
      <c r="A12" s="53" t="s">
        <v>79</v>
      </c>
      <c r="B12" s="28" t="n">
        <f aca="false">HESAP!B7</f>
        <v>1</v>
      </c>
      <c r="C12" s="29" t="n">
        <f aca="false">HESAP!C7</f>
        <v>1200000</v>
      </c>
      <c r="D12" s="53" t="s">
        <v>186</v>
      </c>
      <c r="E12" s="29" t="n">
        <f aca="false">IFERROR(INDEX(tblBilanco[Öz Kaynak (₺)],AYARLAR!$B$14),0)</f>
        <v>5390000</v>
      </c>
      <c r="F12" s="29" t="n">
        <f aca="false">HESAP!E7</f>
        <v>0</v>
      </c>
    </row>
    <row r="13" customFormat="false" ht="15" hidden="false" customHeight="false" outlineLevel="0" collapsed="false">
      <c r="A13" s="53" t="s">
        <v>92</v>
      </c>
      <c r="B13" s="28" t="n">
        <f aca="false">HESAP!B8</f>
        <v>1</v>
      </c>
      <c r="C13" s="29" t="n">
        <f aca="false">HESAP!C8</f>
        <v>900000</v>
      </c>
      <c r="D13" s="53" t="s">
        <v>187</v>
      </c>
      <c r="E13" s="29" t="n">
        <f aca="false">IFERROR(INDEX(tblBilanco[Öz Kaynak (₺)],AYARLAR!$B$15),0)</f>
        <v>6350000</v>
      </c>
      <c r="F13" s="29" t="n">
        <f aca="false">HESAP!E8</f>
        <v>900000</v>
      </c>
    </row>
    <row r="14" customFormat="false" ht="15" hidden="false" customHeight="false" outlineLevel="0" collapsed="false">
      <c r="A14" s="53" t="s">
        <v>84</v>
      </c>
      <c r="B14" s="28" t="n">
        <f aca="false">HESAP!B9</f>
        <v>1</v>
      </c>
      <c r="C14" s="29" t="n">
        <f aca="false">HESAP!C9</f>
        <v>2000000</v>
      </c>
      <c r="D14" s="53" t="s">
        <v>188</v>
      </c>
      <c r="E14" s="29" t="n">
        <f aca="false">IFERROR(INDEX(tblBilanco[Öz Kaynak (₺)],AYARLAR!$B$16),0)</f>
        <v>6350000</v>
      </c>
      <c r="F14" s="29" t="n">
        <f aca="false">HESAP!E9</f>
        <v>0</v>
      </c>
    </row>
    <row r="15" customFormat="false" ht="15" hidden="false" customHeight="false" outlineLevel="0" collapsed="false">
      <c r="A15" s="53" t="s">
        <v>88</v>
      </c>
      <c r="B15" s="28" t="n">
        <f aca="false">HESAP!B10</f>
        <v>1</v>
      </c>
      <c r="C15" s="29" t="n">
        <f aca="false">HESAP!C10</f>
        <v>1800000</v>
      </c>
      <c r="D15" s="53" t="s">
        <v>189</v>
      </c>
      <c r="E15" s="29" t="n">
        <f aca="false">IFERROR(INDEX(tblBilanco[Öz Kaynak (₺)],AYARLAR!$B$17),0)</f>
        <v>5020000</v>
      </c>
      <c r="F15" s="29" t="n">
        <f aca="false">HESAP!E10</f>
        <v>0</v>
      </c>
    </row>
    <row r="16" customFormat="false" ht="15" hidden="false" customHeight="false" outlineLevel="0" collapsed="false">
      <c r="A16" s="53" t="s">
        <v>105</v>
      </c>
      <c r="B16" s="28" t="n">
        <f aca="false">HESAP!B11</f>
        <v>0</v>
      </c>
      <c r="C16" s="29" t="n">
        <f aca="false">HESAP!C11</f>
        <v>0</v>
      </c>
      <c r="D16" s="53" t="s">
        <v>190</v>
      </c>
      <c r="E16" s="29" t="str">
        <f aca="false">IFERROR(INDEX(tblBilanco[Öz Kaynak (₺)],AYARLAR!$B$18),0)</f>
        <v/>
      </c>
      <c r="F16" s="29" t="n">
        <f aca="false">HESAP!E11</f>
        <v>0</v>
      </c>
    </row>
    <row r="17" customFormat="false" ht="15" hidden="false" customHeight="false" outlineLevel="0" collapsed="false">
      <c r="D17" s="53" t="s">
        <v>191</v>
      </c>
      <c r="E17" s="29" t="str">
        <f aca="false">IFERROR(INDEX(tblBilanco[Öz Kaynak (₺)],AYARLAR!$B$19),0)</f>
        <v/>
      </c>
    </row>
    <row r="18" customFormat="false" ht="15" hidden="false" customHeight="false" outlineLevel="0" collapsed="false">
      <c r="D18" s="53" t="s">
        <v>192</v>
      </c>
      <c r="E18" s="29" t="n">
        <f aca="false">IFERROR(INDEX(tblBilanco[Öz Kaynak (₺)],AYARLAR!$B$20),0)</f>
        <v>0</v>
      </c>
    </row>
    <row r="19" customFormat="false" ht="15" hidden="false" customHeight="false" outlineLevel="0" collapsed="false">
      <c r="D19" s="53" t="s">
        <v>193</v>
      </c>
      <c r="E19" s="29" t="n">
        <f aca="false">IFERROR(INDEX(tblBilanco[Öz Kaynak (₺)],AYARLAR!$B$21),0)</f>
        <v>0</v>
      </c>
    </row>
    <row r="20" customFormat="false" ht="15" hidden="false" customHeight="false" outlineLevel="0" collapsed="false">
      <c r="D20" s="53" t="s">
        <v>194</v>
      </c>
      <c r="E20" s="29" t="n">
        <f aca="false">IFERROR(INDEX(tblBilanco[Öz Kaynak (₺)],AYARLAR!$B$22),0)</f>
        <v>0</v>
      </c>
    </row>
    <row r="21" customFormat="false" ht="15" hidden="false" customHeight="false" outlineLevel="0" collapsed="false">
      <c r="D21" s="53" t="s">
        <v>195</v>
      </c>
      <c r="E21" s="29" t="str">
        <f aca="false">IFERROR(INDEX(tblBilanco[Öz Kaynak (₺)],AYARLAR!$B$23),0)</f>
        <v/>
      </c>
    </row>
    <row r="22" customFormat="false" ht="15" hidden="false" customHeight="false" outlineLevel="0" collapsed="false">
      <c r="D22" s="53" t="s">
        <v>196</v>
      </c>
      <c r="E22" s="29" t="n">
        <f aca="false">IFERROR(INDEX(tblBilanco[Öz Kaynak (₺)],AYARLAR!$B$24),0)</f>
        <v>0</v>
      </c>
    </row>
    <row r="24" customFormat="false" ht="15" hidden="false" customHeight="false" outlineLevel="0" collapsed="false">
      <c r="A24" s="31" t="s">
        <v>197</v>
      </c>
      <c r="B24" s="29" t="n">
        <f aca="false">ROUND(IFERROR(forecast.lınear(TtkPanelSatir12,tblBilanco[Öz Kaynak (₺)],ROW(tblBilanco[Öz Kaynak (₺)])-ROW(tblBilanco[[#Headers],[Öz Kaynak (₺)]])),0),0)</f>
        <v>0</v>
      </c>
    </row>
    <row r="25" customFormat="false" ht="15" hidden="false" customHeight="false" outlineLevel="0" collapsed="false">
      <c r="A25" s="41" t="s">
        <v>198</v>
      </c>
      <c r="B25" s="29" t="n">
        <f aca="false">ROUND(IFERROR(AVERAGE(tblBilanco[Öz Kaynak (₺)]),0),0)</f>
        <v>5508333</v>
      </c>
    </row>
    <row r="26" customFormat="false" ht="15" hidden="false" customHeight="false" outlineLevel="0" collapsed="false">
      <c r="A26" s="41" t="s">
        <v>199</v>
      </c>
      <c r="B26" s="29" t="n">
        <f aca="false">ROUND(IFERROR(stdev.p(INDEX(tblBilanco[Öz Kaynak (₺)],TtkPanelSatir1):INDEX(tblBilanco[Öz Kaynak (₺)],TtkPanelSatir12)),0),0)</f>
        <v>0</v>
      </c>
    </row>
    <row r="27" customFormat="false" ht="15" hidden="false" customHeight="false" outlineLevel="0" collapsed="false">
      <c r="A27" s="41" t="s">
        <v>200</v>
      </c>
      <c r="B27" s="29" t="n">
        <f aca="false">B25-B26*TtkTahminCarpan</f>
        <v>5508333</v>
      </c>
    </row>
    <row r="28" customFormat="false" ht="15" hidden="false" customHeight="false" outlineLevel="0" collapsed="false">
      <c r="A28" s="41" t="s">
        <v>201</v>
      </c>
      <c r="B28" s="29" t="n">
        <f aca="false">B25+B26*TtkTahminCarpan</f>
        <v>5508333</v>
      </c>
    </row>
    <row r="29" customFormat="false" ht="15" hidden="false" customHeight="false" outlineLevel="0" collapsed="false">
      <c r="C29" s="9" t="s">
        <v>202</v>
      </c>
    </row>
    <row r="30" customFormat="false" ht="15" hidden="false" customHeight="false" outlineLevel="0" collapsed="false">
      <c r="C30" s="30" t="n">
        <f aca="false">SENARYO_DUYARLILIK!C7</f>
        <v>0</v>
      </c>
      <c r="D30" s="53" t="s">
        <v>203</v>
      </c>
    </row>
    <row r="31" customFormat="false" ht="15" hidden="false" customHeight="false" outlineLevel="0" collapsed="false">
      <c r="C31" s="30" t="n">
        <f aca="false">SENARYO_DUYARLILIK!C8</f>
        <v>0.05</v>
      </c>
      <c r="D31" s="53" t="s">
        <v>204</v>
      </c>
    </row>
    <row r="32" customFormat="false" ht="15" hidden="false" customHeight="false" outlineLevel="0" collapsed="false">
      <c r="C32" s="30" t="n">
        <f aca="false">SENARYO_DUYARLILIK!C9</f>
        <v>0.175</v>
      </c>
      <c r="D32" s="53" t="s">
        <v>205</v>
      </c>
    </row>
    <row r="56" customFormat="false" ht="19.5" hidden="false" customHeight="true" outlineLevel="0" collapsed="false">
      <c r="A56" s="22" t="s">
        <v>206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</row>
  </sheetData>
  <sheetProtection sheet="true" password="cc3d" objects="true" scenarios="true" deleteColumns="false" deleteRows="false"/>
  <mergeCells count="2">
    <mergeCell ref="A1:AD1"/>
    <mergeCell ref="A56:AN56"/>
  </mergeCells>
  <conditionalFormatting sqref="B4">
    <cfRule type="cellIs" priority="2" operator="lessThan" aboveAverage="0" equalAverage="0" bottom="0" percent="0" rank="0" text="" dxfId="11">
      <formula>0</formula>
    </cfRule>
  </conditionalFormatting>
  <conditionalFormatting sqref="C4">
    <cfRule type="cellIs" priority="3" operator="greaterThan" aboveAverage="0" equalAverage="0" bottom="0" percent="0" rank="0" text="" dxfId="12">
      <formula>0</formula>
    </cfRule>
  </conditionalFormatting>
  <conditionalFormatting sqref="D4">
    <cfRule type="cellIs" priority="4" operator="greaterThan" aboveAverage="0" equalAverage="0" bottom="0" percent="0" rank="0" text="" dxfId="11">
      <formula>0.666667</formula>
    </cfRule>
    <cfRule type="cellIs" priority="5" operator="between" aboveAverage="0" equalAverage="0" bottom="0" percent="0" rank="0" text="" dxfId="12">
      <formula>0.333333</formula>
      <formula>0.666667</formula>
    </cfRule>
  </conditionalFormatting>
  <conditionalFormatting sqref="F4">
    <cfRule type="cellIs" priority="6" operator="equal" aboveAverage="0" equalAverage="0" bottom="0" percent="0" rank="0" text="" dxfId="14">
      <formula>"BORCA BATIK"</formula>
    </cfRule>
  </conditionalFormatting>
  <conditionalFormatting sqref="B6">
    <cfRule type="cellIs" priority="7" operator="equal" aboveAverage="0" equalAverage="0" bottom="0" percent="0" rank="0" text="" dxfId="16">
      <formula>"UYGUN"</formula>
    </cfRule>
    <cfRule type="cellIs" priority="8" operator="equal" aboveAverage="0" equalAverage="0" bottom="0" percent="0" rank="0" text="" dxfId="12">
      <formula>"İNCELE"</formula>
    </cfRule>
    <cfRule type="cellIs" priority="9" operator="equal" aboveAverage="0" equalAverage="0" bottom="0" percent="0" rank="0" text="" dxfId="14">
      <formula>"DURDUR"</formula>
    </cfRule>
  </conditionalFormatting>
  <conditionalFormatting sqref="B11:B15">
    <cfRule type="cellIs" priority="10" operator="lessThan" aboveAverage="0" equalAverage="0" bottom="0" percent="0" rank="0" text="" dxfId="11">
      <formula>0</formula>
    </cfRule>
  </conditionalFormatting>
  <conditionalFormatting sqref="E11:E22">
    <cfRule type="cellIs" priority="11" operator="lessThan" aboveAverage="0" equalAverage="0" bottom="0" percent="0" rank="0" text="" dxfId="11">
      <formula>0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&amp;LŞirket Öz Kaynağı Eridi Mi? (TTK 376 Sermaye Tamamlama Cetveli)&amp;CExcelArşiv&amp;RSayfa &amp;P /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8"/>
  </cols>
  <sheetData>
    <row r="1" customFormat="false" ht="25.5" hidden="false" customHeight="true" outlineLevel="0" collapsed="false">
      <c r="A1" s="1" t="s">
        <v>207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208</v>
      </c>
    </row>
    <row r="4" customFormat="false" ht="41.75" hidden="false" customHeight="false" outlineLevel="0" collapsed="false">
      <c r="A4" s="13" t="s">
        <v>209</v>
      </c>
    </row>
    <row r="6" customFormat="false" ht="15" hidden="false" customHeight="false" outlineLevel="0" collapsed="false">
      <c r="A6" s="54" t="s">
        <v>210</v>
      </c>
      <c r="B6" s="54" t="s">
        <v>211</v>
      </c>
      <c r="C6" s="54" t="s">
        <v>45</v>
      </c>
      <c r="D6" s="54" t="s">
        <v>169</v>
      </c>
    </row>
    <row r="7" customFormat="false" ht="15" hidden="false" customHeight="false" outlineLevel="0" collapsed="false">
      <c r="A7" s="27" t="s">
        <v>212</v>
      </c>
      <c r="B7" s="30" t="n">
        <f aca="false">IF(SUM(tblBilanco[Dönem Zararı (₺)])=0,0,TtkIyiSenaryo)</f>
        <v>0.6</v>
      </c>
      <c r="C7" s="30" t="n">
        <f aca="false">IF(HESAP!B13=0,0,MAX(0,HESAP!B13-(HESAP!B19-HESAP!B18*(TtkIyiSenaryo-1)))/HESAP!B13)</f>
        <v>0</v>
      </c>
      <c r="D7" s="29" t="n">
        <f aca="false">HESAP!B19-HESAP!B18*(TtkIyiSenaryo-1)</f>
        <v>5250000</v>
      </c>
    </row>
    <row r="8" customFormat="false" ht="15" hidden="false" customHeight="false" outlineLevel="0" collapsed="false">
      <c r="A8" s="27" t="s">
        <v>213</v>
      </c>
      <c r="B8" s="30" t="n">
        <f aca="false">IF(SUM(tblBilanco[Dönem Zararı (₺)])=0,0,TtkBazSenaryo)</f>
        <v>1</v>
      </c>
      <c r="C8" s="30" t="n">
        <f aca="false">IF(HESAP!B13=0,0,MAX(0,HESAP!B13-(HESAP!B19-HESAP!B18*(TtkBazSenaryo-1)))/HESAP!B13)</f>
        <v>0.05</v>
      </c>
      <c r="D8" s="29" t="n">
        <f aca="false">HESAP!B19-HESAP!B18*(TtkBazSenaryo-1)</f>
        <v>4750000</v>
      </c>
    </row>
    <row r="9" customFormat="false" ht="15" hidden="false" customHeight="false" outlineLevel="0" collapsed="false">
      <c r="A9" s="27" t="s">
        <v>214</v>
      </c>
      <c r="B9" s="30" t="n">
        <f aca="false">IF(SUM(tblBilanco[Dönem Zararı (₺)])=0,0,TtkKotuSenaryo)</f>
        <v>1.5</v>
      </c>
      <c r="C9" s="30" t="n">
        <f aca="false">IF(HESAP!B13=0,0,MAX(0,HESAP!B13-(HESAP!B19-HESAP!B18*(TtkKotuSenaryo-1)))/HESAP!B13)</f>
        <v>0.175</v>
      </c>
      <c r="D9" s="29" t="n">
        <f aca="false">HESAP!B19-HESAP!B18*(TtkKotuSenaryo-1)</f>
        <v>4125000</v>
      </c>
    </row>
    <row r="11" customFormat="false" ht="15" hidden="false" customHeight="false" outlineLevel="0" collapsed="false">
      <c r="A11" s="4" t="s">
        <v>215</v>
      </c>
    </row>
    <row r="12" customFormat="false" ht="15" hidden="false" customHeight="false" outlineLevel="0" collapsed="false">
      <c r="A12" s="41" t="s">
        <v>216</v>
      </c>
      <c r="B12" s="30" t="n">
        <f aca="false">IF(HESAP!B13=0,0,ABS(HESAP!B21-MAX(0,HESAP!B13*(1+TtkTornadoZarar)-HESAP!B19)/(HESAP!B13*(1+TtkTornadoZarar))))</f>
        <v>0.0094059405940594</v>
      </c>
    </row>
    <row r="13" customFormat="false" ht="15" hidden="false" customHeight="false" outlineLevel="0" collapsed="false">
      <c r="A13" s="41" t="s">
        <v>217</v>
      </c>
      <c r="B13" s="30" t="n">
        <f aca="false">IF(HESAP!B13=0,0,ABS(HESAP!B21-MAX(0,HESAP!B13-(HESAP!B19-HESAP!B18*TtkTornadoZarar))/HESAP!B13))</f>
        <v>0.0025</v>
      </c>
    </row>
    <row r="15" customFormat="false" ht="15" hidden="false" customHeight="false" outlineLevel="0" collapsed="false">
      <c r="A15" s="31" t="s">
        <v>218</v>
      </c>
      <c r="B15" s="35" t="str">
        <f aca="false">IF(B12&gt;=B13,"Ödenmiş Sermaye","Dönem Zararı")</f>
        <v>Ödenmiş Sermaye</v>
      </c>
    </row>
    <row r="17" customFormat="false" ht="19.5" hidden="false" customHeight="true" outlineLevel="0" collapsed="false">
      <c r="A17" s="22" t="s">
        <v>219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</row>
  </sheetData>
  <sheetProtection sheet="true" password="cc3d" objects="true" scenarios="true" deleteColumns="false" deleteRows="false"/>
  <mergeCells count="2">
    <mergeCell ref="A1:AD1"/>
    <mergeCell ref="A17:AN17"/>
  </mergeCells>
  <conditionalFormatting sqref="C7:C9">
    <cfRule type="cellIs" priority="2" operator="greaterThan" aboveAverage="0" equalAverage="0" bottom="0" percent="0" rank="0" text="" dxfId="11">
      <formula>0.666667</formula>
    </cfRule>
    <cfRule type="cellIs" priority="3" operator="between" aboveAverage="0" equalAverage="0" bottom="0" percent="0" rank="0" text="" dxfId="12">
      <formula>0.333333</formula>
      <formula>0.666667</formula>
    </cfRule>
    <cfRule type="cellIs" priority="4" operator="lessThan" aboveAverage="0" equalAverage="0" bottom="0" percent="0" rank="0" text="" dxfId="13">
      <formula>0.333333</formula>
    </cfRule>
  </conditionalFormatting>
  <conditionalFormatting sqref="D7:D9">
    <cfRule type="cellIs" priority="5" operator="lessThan" aboveAverage="0" equalAverage="0" bottom="0" percent="0" rank="0" text="" dxfId="11">
      <formula>0</formula>
    </cfRule>
  </conditionalFormatting>
  <conditionalFormatting sqref="B12:B13">
    <cfRule type="cellIs" priority="6" operator="greaterThan" aboveAverage="0" equalAverage="0" bottom="0" percent="0" rank="0" text="" dxfId="12">
      <formula>0.05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40"/>
  </cols>
  <sheetData>
    <row r="1" customFormat="false" ht="25.5" hidden="false" customHeight="true" outlineLevel="0" collapsed="false">
      <c r="A1" s="55" t="s">
        <v>220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</row>
    <row r="2" customFormat="false" ht="15" hidden="false" customHeight="false" outlineLevel="0" collapsed="false">
      <c r="A2" s="56" t="str">
        <f aca="false">_xlfn.CONCAT("Rapor Tarihi: ",TEXT(RaporTarihi,"dd.mm.yyyy")," | Hazırlayan: ",RaporHazirlayan," | Sürüm: ",DosyaSurumu)</f>
        <v>Rapor Tarihi: 08.08.2026 | Hazırlayan: Finans Direktörü | Sürüm: 1.0.0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4" customFormat="false" ht="17.35" hidden="false" customHeight="false" outlineLevel="0" collapsed="false">
      <c r="A4" s="4" t="s">
        <v>182</v>
      </c>
      <c r="B4" s="43" t="str">
        <f aca="false">KARAR!B11</f>
        <v>DURDUR</v>
      </c>
    </row>
    <row r="6" customFormat="false" ht="15" hidden="false" customHeight="false" outlineLevel="0" collapsed="false">
      <c r="A6" s="41" t="s">
        <v>169</v>
      </c>
      <c r="B6" s="29" t="n">
        <f aca="false">HESAP!B19</f>
        <v>4750000</v>
      </c>
    </row>
    <row r="7" customFormat="false" ht="15" hidden="false" customHeight="false" outlineLevel="0" collapsed="false">
      <c r="A7" s="41" t="s">
        <v>114</v>
      </c>
      <c r="B7" s="29" t="n">
        <f aca="false">HESAP!B20</f>
        <v>250000</v>
      </c>
    </row>
    <row r="8" customFormat="false" ht="15" hidden="false" customHeight="false" outlineLevel="0" collapsed="false">
      <c r="A8" s="41" t="s">
        <v>45</v>
      </c>
      <c r="B8" s="30" t="n">
        <f aca="false">HESAP!B21</f>
        <v>0.05</v>
      </c>
    </row>
    <row r="9" customFormat="false" ht="15" hidden="false" customHeight="false" outlineLevel="0" collapsed="false">
      <c r="A9" s="41" t="s">
        <v>221</v>
      </c>
      <c r="B9" s="29" t="n">
        <f aca="false">HESAP!B22</f>
        <v>1666665</v>
      </c>
    </row>
    <row r="10" customFormat="false" ht="15" hidden="false" customHeight="false" outlineLevel="0" collapsed="false">
      <c r="A10" s="41" t="s">
        <v>222</v>
      </c>
      <c r="B10" s="29" t="n">
        <f aca="false">HESAP!B23</f>
        <v>3333335</v>
      </c>
    </row>
    <row r="11" customFormat="false" ht="15" hidden="false" customHeight="false" outlineLevel="0" collapsed="false">
      <c r="A11" s="41" t="s">
        <v>120</v>
      </c>
      <c r="B11" s="39" t="str">
        <f aca="false">HESAP!B26</f>
        <v>BORCA BATIK</v>
      </c>
    </row>
    <row r="12" customFormat="false" ht="15" hidden="false" customHeight="false" outlineLevel="0" collapsed="false">
      <c r="A12" s="41" t="s">
        <v>183</v>
      </c>
      <c r="B12" s="29" t="n">
        <f aca="false">HESAP!B24</f>
        <v>10300000</v>
      </c>
    </row>
    <row r="13" customFormat="false" ht="15" hidden="false" customHeight="false" outlineLevel="0" collapsed="false">
      <c r="A13" s="41" t="s">
        <v>121</v>
      </c>
      <c r="B13" s="30" t="n">
        <f aca="false">HESAP!B27</f>
        <v>0.708955223880597</v>
      </c>
    </row>
    <row r="14" customFormat="false" ht="15" hidden="false" customHeight="false" outlineLevel="0" collapsed="false">
      <c r="A14" s="41" t="s">
        <v>223</v>
      </c>
      <c r="B14" s="57" t="n">
        <f aca="false">ANALITIK_MOTOR!C11</f>
        <v>0.290295429677637</v>
      </c>
    </row>
    <row r="15" customFormat="false" ht="15" hidden="false" customHeight="false" outlineLevel="0" collapsed="false">
      <c r="A15" s="41" t="s">
        <v>163</v>
      </c>
      <c r="B15" s="28" t="n">
        <f aca="false">KONTROLLER!B19</f>
        <v>89</v>
      </c>
    </row>
    <row r="17" customFormat="false" ht="15" hidden="false" customHeight="false" outlineLevel="0" collapsed="false">
      <c r="A17" s="50" t="s">
        <v>224</v>
      </c>
    </row>
    <row r="18" customFormat="false" ht="15" hidden="false" customHeight="true" outlineLevel="0" collapsed="false">
      <c r="A18" s="5" t="s">
        <v>225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customFormat="false" ht="15" hidden="false" customHeight="true" outlineLevel="0" collapsed="false">
      <c r="A19" s="5" t="s">
        <v>226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customFormat="false" ht="15" hidden="false" customHeight="true" outlineLevel="0" collapsed="false">
      <c r="A20" s="5" t="s">
        <v>227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customFormat="false" ht="15" hidden="false" customHeight="true" outlineLevel="0" collapsed="false">
      <c r="A21" s="5" t="s">
        <v>228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customFormat="false" ht="15" hidden="false" customHeight="true" outlineLevel="0" collapsed="false">
      <c r="A22" s="5" t="s">
        <v>229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4" customFormat="false" ht="15" hidden="false" customHeight="false" outlineLevel="0" collapsed="false">
      <c r="A24" s="50" t="s">
        <v>172</v>
      </c>
    </row>
    <row r="25" customFormat="false" ht="15" hidden="false" customHeight="false" outlineLevel="0" collapsed="false">
      <c r="A25" s="5" t="str">
        <f aca="false">TtkAksiyon1_ACIKLAMA</f>
        <v>1/3 eşiğine yaklaşılıyorsa ödenmiş sermayeyi koruyacak şekilde ortaklardan sermaye taahhüdü veya borç/kâr transferi planlayın.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customFormat="false" ht="15" hidden="false" customHeight="false" outlineLevel="0" collapsed="false">
      <c r="A26" s="5" t="str">
        <f aca="false">TtkAksiyon2_ACIKLAMA</f>
        <v>2/3 kayıp durumunda genel kurulu derhal toplayın; sermaye artırımı, azaltım veya infisah kararı için hukuki ve mali danışman desteği alın.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customFormat="false" ht="15" hidden="false" customHeight="false" outlineLevel="0" collapsed="false">
      <c r="A27" s="5" t="str">
        <f aca="false">TtkAksiyon3_ACIKLAMA</f>
        <v>Borca batıklıkta aktif değerlemesini yeniden yapın; bilanço güncellemesi ve mahkeme bildirimi sürecini mali müşavirle birlikte yürütün.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9" customFormat="false" ht="22.35" hidden="false" customHeight="false" outlineLevel="0" collapsed="false">
      <c r="A29" s="58" t="s">
        <v>230</v>
      </c>
    </row>
  </sheetData>
  <sheetProtection sheet="true" password="cc3d" objects="true" scenarios="true" deleteColumns="false" deleteRows="false"/>
  <mergeCells count="10">
    <mergeCell ref="A1:AN1"/>
    <mergeCell ref="A2:L2"/>
    <mergeCell ref="A18:L18"/>
    <mergeCell ref="A19:L19"/>
    <mergeCell ref="A20:L20"/>
    <mergeCell ref="A21:L21"/>
    <mergeCell ref="A22:L22"/>
    <mergeCell ref="A25:L25"/>
    <mergeCell ref="A26:L26"/>
    <mergeCell ref="A27:L27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&amp;LŞirket Öz Kaynağı Eridi Mi? (TTK 376 Sermaye Tamamlama Cetveli)&amp;CExcelArşiv&amp;RSayfa 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5" min="4" style="0" width="18"/>
    <col collapsed="false" customWidth="true" hidden="false" outlineLevel="0" max="7" min="6" style="0" width="14"/>
    <col collapsed="false" customWidth="true" hidden="false" outlineLevel="0" max="9" min="8" style="0" width="16"/>
    <col collapsed="false" customWidth="true" hidden="false" outlineLevel="0" max="14" min="14" style="0" width="16"/>
    <col collapsed="false" customWidth="true" hidden="false" outlineLevel="0" max="15" min="15" style="0" width="14"/>
    <col collapsed="false" customWidth="true" hidden="false" outlineLevel="0" max="16" min="16" style="0" width="12"/>
    <col collapsed="false" customWidth="true" hidden="false" outlineLevel="0" max="17" min="17" style="0" width="20"/>
    <col collapsed="false" customWidth="true" hidden="false" outlineLevel="0" max="18" min="18" style="0" width="24"/>
    <col collapsed="false" customWidth="true" hidden="false" outlineLevel="0" max="19" min="19" style="0" width="20"/>
    <col collapsed="false" customWidth="true" hidden="false" outlineLevel="0" max="20" min="20" style="0" width="18"/>
    <col collapsed="false" customWidth="true" hidden="false" outlineLevel="0" max="21" min="21" style="0" width="16"/>
  </cols>
  <sheetData>
    <row r="1" customFormat="false" ht="25.5" hidden="false" customHeight="true" outlineLevel="0" collapsed="false">
      <c r="A1" s="1" t="s">
        <v>231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35.8" hidden="false" customHeight="false" outlineLevel="0" collapsed="false">
      <c r="A3" s="4" t="s">
        <v>232</v>
      </c>
      <c r="N3" s="59" t="s">
        <v>233</v>
      </c>
    </row>
    <row r="4" customFormat="false" ht="149.25" hidden="false" customHeight="false" outlineLevel="0" collapsed="false">
      <c r="A4" s="13" t="s">
        <v>234</v>
      </c>
    </row>
    <row r="5" customFormat="false" ht="30" hidden="false" customHeight="true" outlineLevel="0" collapsed="false">
      <c r="A5" s="14" t="s">
        <v>34</v>
      </c>
      <c r="B5" s="14" t="s">
        <v>35</v>
      </c>
      <c r="C5" s="14" t="s">
        <v>36</v>
      </c>
      <c r="D5" s="14" t="s">
        <v>37</v>
      </c>
      <c r="E5" s="14" t="s">
        <v>38</v>
      </c>
      <c r="F5" s="14" t="s">
        <v>39</v>
      </c>
      <c r="G5" s="14" t="s">
        <v>40</v>
      </c>
      <c r="H5" s="14" t="s">
        <v>41</v>
      </c>
      <c r="I5" s="14" t="s">
        <v>42</v>
      </c>
      <c r="J5" s="14" t="s">
        <v>43</v>
      </c>
      <c r="K5" s="14" t="s">
        <v>44</v>
      </c>
      <c r="L5" s="14" t="s">
        <v>45</v>
      </c>
      <c r="M5" s="14" t="s">
        <v>46</v>
      </c>
      <c r="N5" s="14" t="s">
        <v>63</v>
      </c>
      <c r="O5" s="14" t="s">
        <v>64</v>
      </c>
      <c r="P5" s="14" t="s">
        <v>65</v>
      </c>
      <c r="Q5" s="14" t="s">
        <v>68</v>
      </c>
      <c r="R5" s="14" t="s">
        <v>69</v>
      </c>
      <c r="S5" s="14" t="s">
        <v>70</v>
      </c>
      <c r="T5" s="14" t="s">
        <v>71</v>
      </c>
      <c r="U5" s="14" t="s">
        <v>72</v>
      </c>
    </row>
    <row r="6" customFormat="false" ht="16.4" hidden="false" customHeight="false" outlineLevel="0" collapsed="false">
      <c r="A6" s="60" t="s">
        <v>47</v>
      </c>
      <c r="B6" s="61" t="n">
        <v>5000000</v>
      </c>
      <c r="C6" s="61" t="n">
        <v>800000</v>
      </c>
      <c r="D6" s="61" t="n">
        <v>200000</v>
      </c>
      <c r="E6" s="61" t="n">
        <v>0</v>
      </c>
      <c r="F6" s="61" t="n">
        <v>350000</v>
      </c>
      <c r="G6" s="61" t="n">
        <v>0</v>
      </c>
      <c r="H6" s="61" t="n">
        <v>6200000</v>
      </c>
      <c r="I6" s="61" t="n">
        <v>9800000</v>
      </c>
      <c r="J6" s="18" t="n">
        <f aca="false">IF($A6="","",$B6+$C6+$D6-$E6+$F6-$G6)</f>
        <v>6350000</v>
      </c>
      <c r="K6" s="18" t="n">
        <f aca="false">IF($A6="","",MAX(0,$B6-$J6))</f>
        <v>0</v>
      </c>
      <c r="L6" s="19" t="n">
        <f aca="false">IF($A6="","",IF($B6=0,0,$K6/$B6))</f>
        <v>0</v>
      </c>
      <c r="M6" s="20" t="str">
        <f aca="false">IF($A6="","",IF($J6&lt;0,"BORCA BATIK",IF($I6&lt;$H6,"BORCA BATIK",IF($L6&gt;=TtkUcteIkiEsik,"2/3 KAYIP (KRİTİK)",IF($L6&gt;=TtkUcteBirEsik,"1/3 KAYIP (DİKKAT)","UYGUN")))))</f>
        <v>UYGUN</v>
      </c>
      <c r="N6" s="60" t="s">
        <v>73</v>
      </c>
      <c r="O6" s="60" t="s">
        <v>74</v>
      </c>
      <c r="P6" s="60" t="s">
        <v>75</v>
      </c>
      <c r="Q6" s="61" t="n">
        <v>3500000</v>
      </c>
      <c r="R6" s="62" t="n">
        <v>0.3</v>
      </c>
      <c r="S6" s="60" t="s">
        <v>76</v>
      </c>
      <c r="T6" s="60" t="s">
        <v>77</v>
      </c>
      <c r="U6" s="18" t="n">
        <f aca="false">IF($N6="","",$Q6*$R6)</f>
        <v>1050000</v>
      </c>
    </row>
    <row r="7" customFormat="false" ht="16.4" hidden="false" customHeight="false" outlineLevel="0" collapsed="false">
      <c r="A7" s="60" t="s">
        <v>48</v>
      </c>
      <c r="B7" s="61" t="n">
        <v>5000000</v>
      </c>
      <c r="C7" s="61" t="n">
        <v>800000</v>
      </c>
      <c r="D7" s="61" t="n">
        <v>200000</v>
      </c>
      <c r="E7" s="61" t="n">
        <v>0</v>
      </c>
      <c r="F7" s="61" t="n">
        <v>180000</v>
      </c>
      <c r="G7" s="61" t="n">
        <v>0</v>
      </c>
      <c r="H7" s="61" t="n">
        <v>6500000</v>
      </c>
      <c r="I7" s="61" t="n">
        <v>9600000</v>
      </c>
      <c r="J7" s="18" t="n">
        <f aca="false">IF($A7="","",$B7+$C7+$D7-$E7+$F7-$G7)</f>
        <v>6180000</v>
      </c>
      <c r="K7" s="18" t="n">
        <f aca="false">IF($A7="","",MAX(0,$B7-$J7))</f>
        <v>0</v>
      </c>
      <c r="L7" s="19" t="n">
        <f aca="false">IF($A7="","",IF($B7=0,0,$K7/$B7))</f>
        <v>0</v>
      </c>
      <c r="M7" s="20" t="str">
        <f aca="false">IF($A7="","",IF($J7&lt;0,"BORCA BATIK",IF($I7&lt;$H7,"BORCA BATIK",IF($L7&gt;=TtkUcteIkiEsik,"2/3 KAYIP (KRİTİK)",IF($L7&gt;=TtkUcteBirEsik,"1/3 KAYIP (DİKKAT)","UYGUN")))))</f>
        <v>UYGUN</v>
      </c>
      <c r="N7" s="60" t="s">
        <v>78</v>
      </c>
      <c r="O7" s="60" t="s">
        <v>79</v>
      </c>
      <c r="P7" s="60" t="s">
        <v>80</v>
      </c>
      <c r="Q7" s="61" t="n">
        <v>1200000</v>
      </c>
      <c r="R7" s="62" t="n">
        <v>0</v>
      </c>
      <c r="S7" s="60" t="s">
        <v>81</v>
      </c>
      <c r="T7" s="60" t="s">
        <v>82</v>
      </c>
      <c r="U7" s="18" t="n">
        <f aca="false">IF($N7="","",$Q7*$R7)</f>
        <v>0</v>
      </c>
    </row>
    <row r="8" customFormat="false" ht="16.4" hidden="false" customHeight="false" outlineLevel="0" collapsed="false">
      <c r="A8" s="60" t="s">
        <v>49</v>
      </c>
      <c r="B8" s="61" t="n">
        <v>5000000</v>
      </c>
      <c r="C8" s="61" t="n">
        <v>800000</v>
      </c>
      <c r="D8" s="61" t="n">
        <v>200000</v>
      </c>
      <c r="E8" s="61" t="n">
        <v>0</v>
      </c>
      <c r="F8" s="61" t="n">
        <v>90000</v>
      </c>
      <c r="G8" s="61" t="n">
        <v>0</v>
      </c>
      <c r="H8" s="61" t="n">
        <v>6900000</v>
      </c>
      <c r="I8" s="61" t="n">
        <v>9400000</v>
      </c>
      <c r="J8" s="18" t="n">
        <f aca="false">IF($A8="","",$B8+$C8+$D8-$E8+$F8-$G8)</f>
        <v>6090000</v>
      </c>
      <c r="K8" s="18" t="n">
        <f aca="false">IF($A8="","",MAX(0,$B8-$J8))</f>
        <v>0</v>
      </c>
      <c r="L8" s="19" t="n">
        <f aca="false">IF($A8="","",IF($B8=0,0,$K8/$B8))</f>
        <v>0</v>
      </c>
      <c r="M8" s="20" t="str">
        <f aca="false">IF($A8="","",IF($J8&lt;0,"BORCA BATIK",IF($I8&lt;$H8,"BORCA BATIK",IF($L8&gt;=TtkUcteIkiEsik,"2/3 KAYIP (KRİTİK)",IF($L8&gt;=TtkUcteBirEsik,"1/3 KAYIP (DİKKAT)","UYGUN")))))</f>
        <v>UYGUN</v>
      </c>
      <c r="N8" s="60" t="s">
        <v>83</v>
      </c>
      <c r="O8" s="60" t="s">
        <v>84</v>
      </c>
      <c r="P8" s="60" t="s">
        <v>85</v>
      </c>
      <c r="Q8" s="61" t="n">
        <v>2000000</v>
      </c>
      <c r="R8" s="62" t="n">
        <v>0.28</v>
      </c>
      <c r="S8" s="60" t="s">
        <v>81</v>
      </c>
      <c r="T8" s="60" t="s">
        <v>86</v>
      </c>
      <c r="U8" s="18" t="n">
        <f aca="false">IF($N8="","",$Q8*$R8)</f>
        <v>560000</v>
      </c>
    </row>
    <row r="9" customFormat="false" ht="16.4" hidden="false" customHeight="false" outlineLevel="0" collapsed="false">
      <c r="A9" s="60" t="s">
        <v>50</v>
      </c>
      <c r="B9" s="61" t="n">
        <v>5000000</v>
      </c>
      <c r="C9" s="61" t="n">
        <v>800000</v>
      </c>
      <c r="D9" s="61" t="n">
        <v>200000</v>
      </c>
      <c r="E9" s="61" t="n">
        <v>0</v>
      </c>
      <c r="F9" s="61" t="n">
        <v>0</v>
      </c>
      <c r="G9" s="61" t="n">
        <v>150000</v>
      </c>
      <c r="H9" s="61" t="n">
        <v>7200000</v>
      </c>
      <c r="I9" s="61" t="n">
        <v>9100000</v>
      </c>
      <c r="J9" s="18" t="n">
        <f aca="false">IF($A9="","",$B9+$C9+$D9-$E9+$F9-$G9)</f>
        <v>5850000</v>
      </c>
      <c r="K9" s="18" t="n">
        <f aca="false">IF($A9="","",MAX(0,$B9-$J9))</f>
        <v>0</v>
      </c>
      <c r="L9" s="19" t="n">
        <f aca="false">IF($A9="","",IF($B9=0,0,$K9/$B9))</f>
        <v>0</v>
      </c>
      <c r="M9" s="20" t="str">
        <f aca="false">IF($A9="","",IF($J9&lt;0,"BORCA BATIK",IF($I9&lt;$H9,"BORCA BATIK",IF($L9&gt;=TtkUcteIkiEsik,"2/3 KAYIP (KRİTİK)",IF($L9&gt;=TtkUcteBirEsik,"1/3 KAYIP (DİKKAT)","UYGUN")))))</f>
        <v>UYGUN</v>
      </c>
      <c r="N9" s="60" t="s">
        <v>87</v>
      </c>
      <c r="O9" s="60" t="s">
        <v>88</v>
      </c>
      <c r="P9" s="60" t="s">
        <v>89</v>
      </c>
      <c r="Q9" s="61" t="n">
        <v>1800000</v>
      </c>
      <c r="R9" s="62" t="n">
        <v>0.2</v>
      </c>
      <c r="S9" s="60" t="s">
        <v>81</v>
      </c>
      <c r="T9" s="60" t="s">
        <v>90</v>
      </c>
      <c r="U9" s="18" t="n">
        <f aca="false">IF($N9="","",$Q9*$R9)</f>
        <v>360000</v>
      </c>
    </row>
    <row r="10" customFormat="false" ht="16.4" hidden="false" customHeight="false" outlineLevel="0" collapsed="false">
      <c r="A10" s="60" t="s">
        <v>51</v>
      </c>
      <c r="B10" s="61" t="n">
        <v>5000000</v>
      </c>
      <c r="C10" s="61" t="n">
        <v>800000</v>
      </c>
      <c r="D10" s="61" t="n">
        <v>200000</v>
      </c>
      <c r="E10" s="61" t="n">
        <v>0</v>
      </c>
      <c r="F10" s="61" t="n">
        <v>0</v>
      </c>
      <c r="G10" s="61" t="n">
        <v>320000</v>
      </c>
      <c r="H10" s="61" t="n">
        <v>7500000</v>
      </c>
      <c r="I10" s="61" t="n">
        <v>8800000</v>
      </c>
      <c r="J10" s="18" t="n">
        <f aca="false">IF($A10="","",$B10+$C10+$D10-$E10+$F10-$G10)</f>
        <v>5680000</v>
      </c>
      <c r="K10" s="18" t="n">
        <f aca="false">IF($A10="","",MAX(0,$B10-$J10))</f>
        <v>0</v>
      </c>
      <c r="L10" s="19" t="n">
        <f aca="false">IF($A10="","",IF($B10=0,0,$K10/$B10))</f>
        <v>0</v>
      </c>
      <c r="M10" s="20" t="str">
        <f aca="false">IF($A10="","",IF($J10&lt;0,"BORCA BATIK",IF($I10&lt;$H10,"BORCA BATIK",IF($L10&gt;=TtkUcteIkiEsik,"2/3 KAYIP (KRİTİK)",IF($L10&gt;=TtkUcteBirEsik,"1/3 KAYIP (DİKKAT)","UYGUN")))))</f>
        <v>UYGUN</v>
      </c>
      <c r="N10" s="60" t="s">
        <v>91</v>
      </c>
      <c r="O10" s="60" t="s">
        <v>92</v>
      </c>
      <c r="P10" s="60" t="s">
        <v>93</v>
      </c>
      <c r="Q10" s="61" t="n">
        <v>900000</v>
      </c>
      <c r="R10" s="62" t="n">
        <v>0.24</v>
      </c>
      <c r="S10" s="60" t="s">
        <v>76</v>
      </c>
      <c r="T10" s="60" t="s">
        <v>94</v>
      </c>
      <c r="U10" s="18" t="n">
        <f aca="false">IF($N10="","",$Q10*$R10)</f>
        <v>216000</v>
      </c>
    </row>
    <row r="11" customFormat="false" ht="16.4" hidden="false" customHeight="false" outlineLevel="0" collapsed="false">
      <c r="A11" s="60" t="s">
        <v>52</v>
      </c>
      <c r="B11" s="61" t="n">
        <v>5000000</v>
      </c>
      <c r="C11" s="61" t="n">
        <v>800000</v>
      </c>
      <c r="D11" s="61" t="n">
        <v>200000</v>
      </c>
      <c r="E11" s="61" t="n">
        <v>0</v>
      </c>
      <c r="F11" s="61" t="n">
        <v>0</v>
      </c>
      <c r="G11" s="61" t="n">
        <v>480000</v>
      </c>
      <c r="H11" s="61" t="n">
        <v>7900000</v>
      </c>
      <c r="I11" s="61" t="n">
        <v>8500000</v>
      </c>
      <c r="J11" s="18" t="n">
        <f aca="false">IF($A11="","",$B11+$C11+$D11-$E11+$F11-$G11)</f>
        <v>5520000</v>
      </c>
      <c r="K11" s="18" t="n">
        <f aca="false">IF($A11="","",MAX(0,$B11-$J11))</f>
        <v>0</v>
      </c>
      <c r="L11" s="19" t="n">
        <f aca="false">IF($A11="","",IF($B11=0,0,$K11/$B11))</f>
        <v>0</v>
      </c>
      <c r="M11" s="20" t="str">
        <f aca="false">IF($A11="","",IF($J11&lt;0,"BORCA BATIK",IF($I11&lt;$H11,"BORCA BATIK",IF($L11&gt;=TtkUcteIkiEsik,"2/3 KAYIP (KRİTİK)",IF($L11&gt;=TtkUcteBirEsik,"1/3 KAYIP (DİKKAT)","UYGUN")))))</f>
        <v>UYGUN</v>
      </c>
      <c r="N11" s="60" t="s">
        <v>95</v>
      </c>
      <c r="O11" s="60" t="s">
        <v>74</v>
      </c>
      <c r="P11" s="60" t="s">
        <v>96</v>
      </c>
      <c r="Q11" s="61" t="n">
        <v>1500000</v>
      </c>
      <c r="R11" s="62" t="n">
        <v>0.32</v>
      </c>
      <c r="S11" s="60" t="s">
        <v>76</v>
      </c>
      <c r="T11" s="60" t="s">
        <v>97</v>
      </c>
      <c r="U11" s="18" t="n">
        <f aca="false">IF($N11="","",$Q11*$R11)</f>
        <v>480000</v>
      </c>
    </row>
    <row r="12" customFormat="false" ht="15" hidden="false" customHeight="false" outlineLevel="0" collapsed="false">
      <c r="J12" s="20" t="str">
        <f aca="false">IF($A12="","",$B12+$C12+$D12-$E12+$F12-$G12)</f>
        <v/>
      </c>
      <c r="K12" s="20" t="str">
        <f aca="false">IF($A12="","",MAX(0,$B12-$J12))</f>
        <v/>
      </c>
      <c r="L12" s="20" t="str">
        <f aca="false">IF($A12="","",IF($B12=0,0,$K12/$B12))</f>
        <v/>
      </c>
      <c r="M12" s="20" t="str">
        <f aca="false">IF($A12="","",IF($J12&lt;0,"BORCA BATIK",IF($I12&lt;$H12,"BORCA BATIK",IF($L12&gt;=TtkUcteIkiEsik,"2/3 KAYIP (KRİTİK)",IF($L12&gt;=TtkUcteBirEsik,"1/3 KAYIP (DİKKAT)","UYGUN")))))</f>
        <v/>
      </c>
      <c r="U12" s="20" t="str">
        <f aca="false">IF($N12="","",$Q12*$R12)</f>
        <v/>
      </c>
    </row>
    <row r="13" customFormat="false" ht="15" hidden="false" customHeight="false" outlineLevel="0" collapsed="false">
      <c r="J13" s="20" t="str">
        <f aca="false">IF($A13="","",$B13+$C13+$D13-$E13+$F13-$G13)</f>
        <v/>
      </c>
      <c r="K13" s="20" t="str">
        <f aca="false">IF($A13="","",MAX(0,$B13-$J13))</f>
        <v/>
      </c>
      <c r="L13" s="20" t="str">
        <f aca="false">IF($A13="","",IF($B13=0,0,$K13/$B13))</f>
        <v/>
      </c>
      <c r="M13" s="20" t="str">
        <f aca="false">IF($A13="","",IF($J13&lt;0,"BORCA BATIK",IF($I13&lt;$H13,"BORCA BATIK",IF($L13&gt;=TtkUcteIkiEsik,"2/3 KAYIP (KRİTİK)",IF($L13&gt;=TtkUcteBirEsik,"1/3 KAYIP (DİKKAT)","UYGUN")))))</f>
        <v/>
      </c>
      <c r="U13" s="20" t="str">
        <f aca="false">IF($N13="","",$Q13*$R13)</f>
        <v/>
      </c>
    </row>
    <row r="14" customFormat="false" ht="15" hidden="false" customHeight="false" outlineLevel="0" collapsed="false">
      <c r="J14" s="20" t="str">
        <f aca="false">IF($A14="","",$B14+$C14+$D14-$E14+$F14-$G14)</f>
        <v/>
      </c>
      <c r="K14" s="20" t="str">
        <f aca="false">IF($A14="","",MAX(0,$B14-$J14))</f>
        <v/>
      </c>
      <c r="L14" s="20" t="str">
        <f aca="false">IF($A14="","",IF($B14=0,0,$K14/$B14))</f>
        <v/>
      </c>
      <c r="M14" s="20" t="str">
        <f aca="false">IF($A14="","",IF($J14&lt;0,"BORCA BATIK",IF($I14&lt;$H14,"BORCA BATIK",IF($L14&gt;=TtkUcteIkiEsik,"2/3 KAYIP (KRİTİK)",IF($L14&gt;=TtkUcteBirEsik,"1/3 KAYIP (DİKKAT)","UYGUN")))))</f>
        <v/>
      </c>
      <c r="U14" s="20" t="str">
        <f aca="false">IF($N14="","",$Q14*$R14)</f>
        <v/>
      </c>
    </row>
    <row r="15" customFormat="false" ht="15" hidden="false" customHeight="false" outlineLevel="0" collapsed="false">
      <c r="J15" s="20" t="str">
        <f aca="false">IF($A15="","",$B15+$C15+$D15-$E15+$F15-$G15)</f>
        <v/>
      </c>
      <c r="K15" s="20" t="str">
        <f aca="false">IF($A15="","",MAX(0,$B15-$J15))</f>
        <v/>
      </c>
      <c r="L15" s="20" t="str">
        <f aca="false">IF($A15="","",IF($B15=0,0,$K15/$B15))</f>
        <v/>
      </c>
      <c r="M15" s="20" t="str">
        <f aca="false">IF($A15="","",IF($J15&lt;0,"BORCA BATIK",IF($I15&lt;$H15,"BORCA BATIK",IF($L15&gt;=TtkUcteIkiEsik,"2/3 KAYIP (KRİTİK)",IF($L15&gt;=TtkUcteBirEsik,"1/3 KAYIP (DİKKAT)","UYGUN")))))</f>
        <v/>
      </c>
      <c r="U15" s="20" t="str">
        <f aca="false">IF($N15="","",$Q15*$R15)</f>
        <v/>
      </c>
    </row>
    <row r="16" customFormat="false" ht="15" hidden="false" customHeight="false" outlineLevel="0" collapsed="false">
      <c r="J16" s="20" t="str">
        <f aca="false">IF($A16="","",$B16+$C16+$D16-$E16+$F16-$G16)</f>
        <v/>
      </c>
      <c r="K16" s="20" t="str">
        <f aca="false">IF($A16="","",MAX(0,$B16-$J16))</f>
        <v/>
      </c>
      <c r="L16" s="20" t="str">
        <f aca="false">IF($A16="","",IF($B16=0,0,$K16/$B16))</f>
        <v/>
      </c>
      <c r="M16" s="20" t="str">
        <f aca="false">IF($A16="","",IF($J16&lt;0,"BORCA BATIK",IF($I16&lt;$H16,"BORCA BATIK",IF($L16&gt;=TtkUcteIkiEsik,"2/3 KAYIP (KRİTİK)",IF($L16&gt;=TtkUcteBirEsik,"1/3 KAYIP (DİKKAT)","UYGUN")))))</f>
        <v/>
      </c>
      <c r="U16" s="20" t="str">
        <f aca="false">IF($N16="","",$Q16*$R16)</f>
        <v/>
      </c>
    </row>
    <row r="17" customFormat="false" ht="15" hidden="false" customHeight="false" outlineLevel="0" collapsed="false">
      <c r="J17" s="20" t="str">
        <f aca="false">IF($A17="","",$B17+$C17+$D17-$E17+$F17-$G17)</f>
        <v/>
      </c>
      <c r="K17" s="20" t="str">
        <f aca="false">IF($A17="","",MAX(0,$B17-$J17))</f>
        <v/>
      </c>
      <c r="L17" s="20" t="str">
        <f aca="false">IF($A17="","",IF($B17=0,0,$K17/$B17))</f>
        <v/>
      </c>
      <c r="M17" s="20" t="str">
        <f aca="false">IF($A17="","",IF($J17&lt;0,"BORCA BATIK",IF($I17&lt;$H17,"BORCA BATIK",IF($L17&gt;=TtkUcteIkiEsik,"2/3 KAYIP (KRİTİK)",IF($L17&gt;=TtkUcteBirEsik,"1/3 KAYIP (DİKKAT)","UYGUN")))))</f>
        <v/>
      </c>
      <c r="U17" s="20" t="str">
        <f aca="false">IF($N17="","",$Q17*$R17)</f>
        <v/>
      </c>
    </row>
    <row r="18" customFormat="false" ht="15" hidden="false" customHeight="false" outlineLevel="0" collapsed="false">
      <c r="J18" s="20" t="str">
        <f aca="false">IF($A18="","",$B18+$C18+$D18-$E18+$F18-$G18)</f>
        <v/>
      </c>
      <c r="K18" s="20" t="str">
        <f aca="false">IF($A18="","",MAX(0,$B18-$J18))</f>
        <v/>
      </c>
      <c r="L18" s="20" t="str">
        <f aca="false">IF($A18="","",IF($B18=0,0,$K18/$B18))</f>
        <v/>
      </c>
      <c r="M18" s="20" t="str">
        <f aca="false">IF($A18="","",IF($J18&lt;0,"BORCA BATIK",IF($I18&lt;$H18,"BORCA BATIK",IF($L18&gt;=TtkUcteIkiEsik,"2/3 KAYIP (KRİTİK)",IF($L18&gt;=TtkUcteBirEsik,"1/3 KAYIP (DİKKAT)","UYGUN")))))</f>
        <v/>
      </c>
      <c r="U18" s="20" t="str">
        <f aca="false">IF($N18="","",$Q18*$R18)</f>
        <v/>
      </c>
    </row>
    <row r="19" customFormat="false" ht="15" hidden="false" customHeight="false" outlineLevel="0" collapsed="false">
      <c r="J19" s="20" t="str">
        <f aca="false">IF($A19="","",$B19+$C19+$D19-$E19+$F19-$G19)</f>
        <v/>
      </c>
      <c r="K19" s="20" t="str">
        <f aca="false">IF($A19="","",MAX(0,$B19-$J19))</f>
        <v/>
      </c>
      <c r="L19" s="20" t="str">
        <f aca="false">IF($A19="","",IF($B19=0,0,$K19/$B19))</f>
        <v/>
      </c>
      <c r="M19" s="20" t="str">
        <f aca="false">IF($A19="","",IF($J19&lt;0,"BORCA BATIK",IF($I19&lt;$H19,"BORCA BATIK",IF($L19&gt;=TtkUcteIkiEsik,"2/3 KAYIP (KRİTİK)",IF($L19&gt;=TtkUcteBirEsik,"1/3 KAYIP (DİKKAT)","UYGUN")))))</f>
        <v/>
      </c>
      <c r="U19" s="20" t="str">
        <f aca="false">IF($N19="","",$Q19*$R19)</f>
        <v/>
      </c>
    </row>
    <row r="20" customFormat="false" ht="15" hidden="false" customHeight="false" outlineLevel="0" collapsed="false">
      <c r="J20" s="20" t="str">
        <f aca="false">IF($A20="","",$B20+$C20+$D20-$E20+$F20-$G20)</f>
        <v/>
      </c>
      <c r="K20" s="20" t="str">
        <f aca="false">IF($A20="","",MAX(0,$B20-$J20))</f>
        <v/>
      </c>
      <c r="L20" s="20" t="str">
        <f aca="false">IF($A20="","",IF($B20=0,0,$K20/$B20))</f>
        <v/>
      </c>
      <c r="M20" s="20" t="str">
        <f aca="false">IF($A20="","",IF($J20&lt;0,"BORCA BATIK",IF($I20&lt;$H20,"BORCA BATIK",IF($L20&gt;=TtkUcteIkiEsik,"2/3 KAYIP (KRİTİK)",IF($L20&gt;=TtkUcteBirEsik,"1/3 KAYIP (DİKKAT)","UYGUN")))))</f>
        <v/>
      </c>
      <c r="U20" s="20" t="str">
        <f aca="false">IF($N20="","",$Q20*$R20)</f>
        <v/>
      </c>
    </row>
    <row r="21" customFormat="false" ht="15" hidden="false" customHeight="false" outlineLevel="0" collapsed="false">
      <c r="J21" s="20" t="str">
        <f aca="false">IF($A21="","",$B21+$C21+$D21-$E21+$F21-$G21)</f>
        <v/>
      </c>
      <c r="K21" s="20" t="str">
        <f aca="false">IF($A21="","",MAX(0,$B21-$J21))</f>
        <v/>
      </c>
      <c r="L21" s="20" t="str">
        <f aca="false">IF($A21="","",IF($B21=0,0,$K21/$B21))</f>
        <v/>
      </c>
      <c r="M21" s="20" t="str">
        <f aca="false">IF($A21="","",IF($J21&lt;0,"BORCA BATIK",IF($I21&lt;$H21,"BORCA BATIK",IF($L21&gt;=TtkUcteIkiEsik,"2/3 KAYIP (KRİTİK)",IF($L21&gt;=TtkUcteBirEsik,"1/3 KAYIP (DİKKAT)","UYGUN")))))</f>
        <v/>
      </c>
      <c r="U21" s="20" t="str">
        <f aca="false">IF($N21="","",$Q21*$R21)</f>
        <v/>
      </c>
    </row>
    <row r="22" customFormat="false" ht="15" hidden="false" customHeight="false" outlineLevel="0" collapsed="false">
      <c r="J22" s="20" t="str">
        <f aca="false">IF($A22="","",$B22+$C22+$D22-$E22+$F22-$G22)</f>
        <v/>
      </c>
      <c r="K22" s="20" t="str">
        <f aca="false">IF($A22="","",MAX(0,$B22-$J22))</f>
        <v/>
      </c>
      <c r="L22" s="20" t="str">
        <f aca="false">IF($A22="","",IF($B22=0,0,$K22/$B22))</f>
        <v/>
      </c>
      <c r="M22" s="20" t="str">
        <f aca="false">IF($A22="","",IF($J22&lt;0,"BORCA BATIK",IF($I22&lt;$H22,"BORCA BATIK",IF($L22&gt;=TtkUcteIkiEsik,"2/3 KAYIP (KRİTİK)",IF($L22&gt;=TtkUcteBirEsik,"1/3 KAYIP (DİKKAT)","UYGUN")))))</f>
        <v/>
      </c>
      <c r="U22" s="20" t="str">
        <f aca="false">IF($N22="","",$Q22*$R22)</f>
        <v/>
      </c>
    </row>
    <row r="23" customFormat="false" ht="15" hidden="false" customHeight="false" outlineLevel="0" collapsed="false">
      <c r="J23" s="20" t="str">
        <f aca="false">IF($A23="","",$B23+$C23+$D23-$E23+$F23-$G23)</f>
        <v/>
      </c>
      <c r="K23" s="20" t="str">
        <f aca="false">IF($A23="","",MAX(0,$B23-$J23))</f>
        <v/>
      </c>
      <c r="L23" s="20" t="str">
        <f aca="false">IF($A23="","",IF($B23=0,0,$K23/$B23))</f>
        <v/>
      </c>
      <c r="M23" s="20" t="str">
        <f aca="false">IF($A23="","",IF($J23&lt;0,"BORCA BATIK",IF($I23&lt;$H23,"BORCA BATIK",IF($L23&gt;=TtkUcteIkiEsik,"2/3 KAYIP (KRİTİK)",IF($L23&gt;=TtkUcteBirEsik,"1/3 KAYIP (DİKKAT)","UYGUN")))))</f>
        <v/>
      </c>
      <c r="U23" s="20" t="str">
        <f aca="false">IF($N23="","",$Q23*$R23)</f>
        <v/>
      </c>
    </row>
    <row r="24" customFormat="false" ht="15" hidden="false" customHeight="false" outlineLevel="0" collapsed="false">
      <c r="J24" s="20" t="str">
        <f aca="false">IF($A24="","",$B24+$C24+$D24-$E24+$F24-$G24)</f>
        <v/>
      </c>
      <c r="K24" s="20" t="str">
        <f aca="false">IF($A24="","",MAX(0,$B24-$J24))</f>
        <v/>
      </c>
      <c r="L24" s="20" t="str">
        <f aca="false">IF($A24="","",IF($B24=0,0,$K24/$B24))</f>
        <v/>
      </c>
      <c r="M24" s="20" t="str">
        <f aca="false">IF($A24="","",IF($J24&lt;0,"BORCA BATIK",IF($I24&lt;$H24,"BORCA BATIK",IF($L24&gt;=TtkUcteIkiEsik,"2/3 KAYIP (KRİTİK)",IF($L24&gt;=TtkUcteBirEsik,"1/3 KAYIP (DİKKAT)","UYGUN")))))</f>
        <v/>
      </c>
      <c r="U24" s="20" t="str">
        <f aca="false">IF($N24="","",$Q24*$R24)</f>
        <v/>
      </c>
    </row>
    <row r="25" customFormat="false" ht="15" hidden="false" customHeight="false" outlineLevel="0" collapsed="false">
      <c r="J25" s="20" t="str">
        <f aca="false">IF($A25="","",$B25+$C25+$D25-$E25+$F25-$G25)</f>
        <v/>
      </c>
      <c r="K25" s="20" t="str">
        <f aca="false">IF($A25="","",MAX(0,$B25-$J25))</f>
        <v/>
      </c>
      <c r="L25" s="20" t="str">
        <f aca="false">IF($A25="","",IF($B25=0,0,$K25/$B25))</f>
        <v/>
      </c>
      <c r="M25" s="20" t="str">
        <f aca="false">IF($A25="","",IF($J25&lt;0,"BORCA BATIK",IF($I25&lt;$H25,"BORCA BATIK",IF($L25&gt;=TtkUcteIkiEsik,"2/3 KAYIP (KRİTİK)",IF($L25&gt;=TtkUcteBirEsik,"1/3 KAYIP (DİKKAT)","UYGUN")))))</f>
        <v/>
      </c>
      <c r="U25" s="20" t="str">
        <f aca="false">IF($N25="","",$Q25*$R25)</f>
        <v/>
      </c>
    </row>
    <row r="26" customFormat="false" ht="15" hidden="false" customHeight="false" outlineLevel="0" collapsed="false">
      <c r="J26" s="20" t="str">
        <f aca="false">IF($A26="","",$B26+$C26+$D26-$E26+$F26-$G26)</f>
        <v/>
      </c>
      <c r="K26" s="20" t="str">
        <f aca="false">IF($A26="","",MAX(0,$B26-$J26))</f>
        <v/>
      </c>
      <c r="L26" s="20" t="str">
        <f aca="false">IF($A26="","",IF($B26=0,0,$K26/$B26))</f>
        <v/>
      </c>
      <c r="M26" s="20" t="str">
        <f aca="false">IF($A26="","",IF($J26&lt;0,"BORCA BATIK",IF($I26&lt;$H26,"BORCA BATIK",IF($L26&gt;=TtkUcteIkiEsik,"2/3 KAYIP (KRİTİK)",IF($L26&gt;=TtkUcteBirEsik,"1/3 KAYIP (DİKKAT)","UYGUN")))))</f>
        <v/>
      </c>
      <c r="U26" s="20" t="str">
        <f aca="false">IF($N26="","",$Q26*$R26)</f>
        <v/>
      </c>
    </row>
    <row r="27" customFormat="false" ht="15" hidden="false" customHeight="false" outlineLevel="0" collapsed="false">
      <c r="J27" s="20" t="str">
        <f aca="false">IF($A27="","",$B27+$C27+$D27-$E27+$F27-$G27)</f>
        <v/>
      </c>
      <c r="K27" s="20" t="str">
        <f aca="false">IF($A27="","",MAX(0,$B27-$J27))</f>
        <v/>
      </c>
      <c r="L27" s="20" t="str">
        <f aca="false">IF($A27="","",IF($B27=0,0,$K27/$B27))</f>
        <v/>
      </c>
      <c r="M27" s="20" t="str">
        <f aca="false">IF($A27="","",IF($J27&lt;0,"BORCA BATIK",IF($I27&lt;$H27,"BORCA BATIK",IF($L27&gt;=TtkUcteIkiEsik,"2/3 KAYIP (KRİTİK)",IF($L27&gt;=TtkUcteBirEsik,"1/3 KAYIP (DİKKAT)","UYGUN")))))</f>
        <v/>
      </c>
      <c r="U27" s="20" t="str">
        <f aca="false">IF($N27="","",$Q27*$R27)</f>
        <v/>
      </c>
    </row>
    <row r="28" customFormat="false" ht="15" hidden="false" customHeight="false" outlineLevel="0" collapsed="false">
      <c r="J28" s="20" t="str">
        <f aca="false">IF($A28="","",$B28+$C28+$D28-$E28+$F28-$G28)</f>
        <v/>
      </c>
      <c r="K28" s="20" t="str">
        <f aca="false">IF($A28="","",MAX(0,$B28-$J28))</f>
        <v/>
      </c>
      <c r="L28" s="20" t="str">
        <f aca="false">IF($A28="","",IF($B28=0,0,$K28/$B28))</f>
        <v/>
      </c>
      <c r="M28" s="20" t="str">
        <f aca="false">IF($A28="","",IF($J28&lt;0,"BORCA BATIK",IF($I28&lt;$H28,"BORCA BATIK",IF($L28&gt;=TtkUcteIkiEsik,"2/3 KAYIP (KRİTİK)",IF($L28&gt;=TtkUcteBirEsik,"1/3 KAYIP (DİKKAT)","UYGUN")))))</f>
        <v/>
      </c>
      <c r="U28" s="20" t="str">
        <f aca="false">IF($N28="","",$Q28*$R28)</f>
        <v/>
      </c>
    </row>
    <row r="29" customFormat="false" ht="15" hidden="false" customHeight="false" outlineLevel="0" collapsed="false">
      <c r="J29" s="20" t="str">
        <f aca="false">IF($A29="","",$B29+$C29+$D29-$E29+$F29-$G29)</f>
        <v/>
      </c>
      <c r="K29" s="20" t="str">
        <f aca="false">IF($A29="","",MAX(0,$B29-$J29))</f>
        <v/>
      </c>
      <c r="L29" s="20" t="str">
        <f aca="false">IF($A29="","",IF($B29=0,0,$K29/$B29))</f>
        <v/>
      </c>
      <c r="M29" s="20" t="str">
        <f aca="false">IF($A29="","",IF($J29&lt;0,"BORCA BATIK",IF($I29&lt;$H29,"BORCA BATIK",IF($L29&gt;=TtkUcteIkiEsik,"2/3 KAYIP (KRİTİK)",IF($L29&gt;=TtkUcteBirEsik,"1/3 KAYIP (DİKKAT)","UYGUN")))))</f>
        <v/>
      </c>
      <c r="U29" s="20" t="str">
        <f aca="false">IF($N29="","",$Q29*$R29)</f>
        <v/>
      </c>
    </row>
    <row r="30" customFormat="false" ht="15" hidden="false" customHeight="false" outlineLevel="0" collapsed="false">
      <c r="J30" s="20" t="str">
        <f aca="false">IF($A30="","",$B30+$C30+$D30-$E30+$F30-$G30)</f>
        <v/>
      </c>
      <c r="K30" s="20" t="str">
        <f aca="false">IF($A30="","",MAX(0,$B30-$J30))</f>
        <v/>
      </c>
      <c r="L30" s="20" t="str">
        <f aca="false">IF($A30="","",IF($B30=0,0,$K30/$B30))</f>
        <v/>
      </c>
      <c r="M30" s="20" t="str">
        <f aca="false">IF($A30="","",IF($J30&lt;0,"BORCA BATIK",IF($I30&lt;$H30,"BORCA BATIK",IF($L30&gt;=TtkUcteIkiEsik,"2/3 KAYIP (KRİTİK)",IF($L30&gt;=TtkUcteBirEsik,"1/3 KAYIP (DİKKAT)","UYGUN")))))</f>
        <v/>
      </c>
      <c r="U30" s="20" t="str">
        <f aca="false">IF($N30="","",$Q30*$R30)</f>
        <v/>
      </c>
    </row>
    <row r="31" customFormat="false" ht="15" hidden="false" customHeight="false" outlineLevel="0" collapsed="false">
      <c r="J31" s="20" t="str">
        <f aca="false">IF($A31="","",$B31+$C31+$D31-$E31+$F31-$G31)</f>
        <v/>
      </c>
      <c r="K31" s="20" t="str">
        <f aca="false">IF($A31="","",MAX(0,$B31-$J31))</f>
        <v/>
      </c>
      <c r="L31" s="20" t="str">
        <f aca="false">IF($A31="","",IF($B31=0,0,$K31/$B31))</f>
        <v/>
      </c>
      <c r="M31" s="20" t="str">
        <f aca="false">IF($A31="","",IF($J31&lt;0,"BORCA BATIK",IF($I31&lt;$H31,"BORCA BATIK",IF($L31&gt;=TtkUcteIkiEsik,"2/3 KAYIP (KRİTİK)",IF($L31&gt;=TtkUcteBirEsik,"1/3 KAYIP (DİKKAT)","UYGUN")))))</f>
        <v/>
      </c>
      <c r="U31" s="20" t="str">
        <f aca="false">IF($N31="","",$Q31*$R31)</f>
        <v/>
      </c>
    </row>
    <row r="32" customFormat="false" ht="15" hidden="false" customHeight="false" outlineLevel="0" collapsed="false">
      <c r="J32" s="20" t="str">
        <f aca="false">IF($A32="","",$B32+$C32+$D32-$E32+$F32-$G32)</f>
        <v/>
      </c>
      <c r="K32" s="20" t="str">
        <f aca="false">IF($A32="","",MAX(0,$B32-$J32))</f>
        <v/>
      </c>
      <c r="L32" s="20" t="str">
        <f aca="false">IF($A32="","",IF($B32=0,0,$K32/$B32))</f>
        <v/>
      </c>
      <c r="M32" s="20" t="str">
        <f aca="false">IF($A32="","",IF($J32&lt;0,"BORCA BATIK",IF($I32&lt;$H32,"BORCA BATIK",IF($L32&gt;=TtkUcteIkiEsik,"2/3 KAYIP (KRİTİK)",IF($L32&gt;=TtkUcteBirEsik,"1/3 KAYIP (DİKKAT)","UYGUN")))))</f>
        <v/>
      </c>
      <c r="U32" s="20" t="str">
        <f aca="false">IF($N32="","",$Q32*$R32)</f>
        <v/>
      </c>
    </row>
    <row r="33" customFormat="false" ht="15" hidden="false" customHeight="false" outlineLevel="0" collapsed="false">
      <c r="J33" s="20" t="str">
        <f aca="false">IF($A33="","",$B33+$C33+$D33-$E33+$F33-$G33)</f>
        <v/>
      </c>
      <c r="K33" s="20" t="str">
        <f aca="false">IF($A33="","",MAX(0,$B33-$J33))</f>
        <v/>
      </c>
      <c r="L33" s="20" t="str">
        <f aca="false">IF($A33="","",IF($B33=0,0,$K33/$B33))</f>
        <v/>
      </c>
      <c r="M33" s="20" t="str">
        <f aca="false">IF($A33="","",IF($J33&lt;0,"BORCA BATIK",IF($I33&lt;$H33,"BORCA BATIK",IF($L33&gt;=TtkUcteIkiEsik,"2/3 KAYIP (KRİTİK)",IF($L33&gt;=TtkUcteBirEsik,"1/3 KAYIP (DİKKAT)","UYGUN")))))</f>
        <v/>
      </c>
      <c r="U33" s="20" t="str">
        <f aca="false">IF($N33="","",$Q33*$R33)</f>
        <v/>
      </c>
    </row>
    <row r="34" customFormat="false" ht="15" hidden="false" customHeight="false" outlineLevel="0" collapsed="false">
      <c r="J34" s="20" t="str">
        <f aca="false">IF($A34="","",$B34+$C34+$D34-$E34+$F34-$G34)</f>
        <v/>
      </c>
      <c r="K34" s="20" t="str">
        <f aca="false">IF($A34="","",MAX(0,$B34-$J34))</f>
        <v/>
      </c>
      <c r="L34" s="20" t="str">
        <f aca="false">IF($A34="","",IF($B34=0,0,$K34/$B34))</f>
        <v/>
      </c>
      <c r="M34" s="20" t="str">
        <f aca="false">IF($A34="","",IF($J34&lt;0,"BORCA BATIK",IF($I34&lt;$H34,"BORCA BATIK",IF($L34&gt;=TtkUcteIkiEsik,"2/3 KAYIP (KRİTİK)",IF($L34&gt;=TtkUcteBirEsik,"1/3 KAYIP (DİKKAT)","UYGUN")))))</f>
        <v/>
      </c>
      <c r="U34" s="20" t="str">
        <f aca="false">IF($N34="","",$Q34*$R34)</f>
        <v/>
      </c>
    </row>
    <row r="35" customFormat="false" ht="15" hidden="false" customHeight="false" outlineLevel="0" collapsed="false">
      <c r="J35" s="20" t="str">
        <f aca="false">IF($A35="","",$B35+$C35+$D35-$E35+$F35-$G35)</f>
        <v/>
      </c>
      <c r="K35" s="20" t="str">
        <f aca="false">IF($A35="","",MAX(0,$B35-$J35))</f>
        <v/>
      </c>
      <c r="L35" s="20" t="str">
        <f aca="false">IF($A35="","",IF($B35=0,0,$K35/$B35))</f>
        <v/>
      </c>
      <c r="M35" s="20" t="str">
        <f aca="false">IF($A35="","",IF($J35&lt;0,"BORCA BATIK",IF($I35&lt;$H35,"BORCA BATIK",IF($L35&gt;=TtkUcteIkiEsik,"2/3 KAYIP (KRİTİK)",IF($L35&gt;=TtkUcteBirEsik,"1/3 KAYIP (DİKKAT)","UYGUN")))))</f>
        <v/>
      </c>
      <c r="U35" s="20" t="str">
        <f aca="false">IF($N35="","",$Q35*$R35)</f>
        <v/>
      </c>
    </row>
    <row r="36" customFormat="false" ht="15" hidden="false" customHeight="false" outlineLevel="0" collapsed="false">
      <c r="J36" s="20" t="str">
        <f aca="false">IF($A36="","",$B36+$C36+$D36-$E36+$F36-$G36)</f>
        <v/>
      </c>
      <c r="K36" s="20" t="str">
        <f aca="false">IF($A36="","",MAX(0,$B36-$J36))</f>
        <v/>
      </c>
      <c r="L36" s="20" t="str">
        <f aca="false">IF($A36="","",IF($B36=0,0,$K36/$B36))</f>
        <v/>
      </c>
      <c r="M36" s="20" t="str">
        <f aca="false">IF($A36="","",IF($J36&lt;0,"BORCA BATIK",IF($I36&lt;$H36,"BORCA BATIK",IF($L36&gt;=TtkUcteIkiEsik,"2/3 KAYIP (KRİTİK)",IF($L36&gt;=TtkUcteBirEsik,"1/3 KAYIP (DİKKAT)","UYGUN")))))</f>
        <v/>
      </c>
      <c r="U36" s="20" t="str">
        <f aca="false">IF($N36="","",$Q36*$R36)</f>
        <v/>
      </c>
    </row>
    <row r="37" customFormat="false" ht="15" hidden="false" customHeight="false" outlineLevel="0" collapsed="false">
      <c r="J37" s="20" t="str">
        <f aca="false">IF($A37="","",$B37+$C37+$D37-$E37+$F37-$G37)</f>
        <v/>
      </c>
      <c r="K37" s="20" t="str">
        <f aca="false">IF($A37="","",MAX(0,$B37-$J37))</f>
        <v/>
      </c>
      <c r="L37" s="20" t="str">
        <f aca="false">IF($A37="","",IF($B37=0,0,$K37/$B37))</f>
        <v/>
      </c>
      <c r="M37" s="20" t="str">
        <f aca="false">IF($A37="","",IF($J37&lt;0,"BORCA BATIK",IF($I37&lt;$H37,"BORCA BATIK",IF($L37&gt;=TtkUcteIkiEsik,"2/3 KAYIP (KRİTİK)",IF($L37&gt;=TtkUcteBirEsik,"1/3 KAYIP (DİKKAT)","UYGUN")))))</f>
        <v/>
      </c>
      <c r="U37" s="20" t="str">
        <f aca="false">IF($N37="","",$Q37*$R37)</f>
        <v/>
      </c>
    </row>
    <row r="38" customFormat="false" ht="15" hidden="false" customHeight="false" outlineLevel="0" collapsed="false">
      <c r="J38" s="20" t="str">
        <f aca="false">IF($A38="","",$B38+$C38+$D38-$E38+$F38-$G38)</f>
        <v/>
      </c>
      <c r="K38" s="20" t="str">
        <f aca="false">IF($A38="","",MAX(0,$B38-$J38))</f>
        <v/>
      </c>
      <c r="L38" s="20" t="str">
        <f aca="false">IF($A38="","",IF($B38=0,0,$K38/$B38))</f>
        <v/>
      </c>
      <c r="M38" s="20" t="str">
        <f aca="false">IF($A38="","",IF($J38&lt;0,"BORCA BATIK",IF($I38&lt;$H38,"BORCA BATIK",IF($L38&gt;=TtkUcteIkiEsik,"2/3 KAYIP (KRİTİK)",IF($L38&gt;=TtkUcteBirEsik,"1/3 KAYIP (DİKKAT)","UYGUN")))))</f>
        <v/>
      </c>
      <c r="U38" s="20" t="str">
        <f aca="false">IF($N38="","",$Q38*$R38)</f>
        <v/>
      </c>
    </row>
    <row r="39" customFormat="false" ht="15" hidden="false" customHeight="false" outlineLevel="0" collapsed="false">
      <c r="J39" s="20" t="str">
        <f aca="false">IF($A39="","",$B39+$C39+$D39-$E39+$F39-$G39)</f>
        <v/>
      </c>
      <c r="K39" s="20" t="str">
        <f aca="false">IF($A39="","",MAX(0,$B39-$J39))</f>
        <v/>
      </c>
      <c r="L39" s="20" t="str">
        <f aca="false">IF($A39="","",IF($B39=0,0,$K39/$B39))</f>
        <v/>
      </c>
      <c r="M39" s="20" t="str">
        <f aca="false">IF($A39="","",IF($J39&lt;0,"BORCA BATIK",IF($I39&lt;$H39,"BORCA BATIK",IF($L39&gt;=TtkUcteIkiEsik,"2/3 KAYIP (KRİTİK)",IF($L39&gt;=TtkUcteBirEsik,"1/3 KAYIP (DİKKAT)","UYGUN")))))</f>
        <v/>
      </c>
      <c r="U39" s="20" t="str">
        <f aca="false">IF($N39="","",$Q39*$R39)</f>
        <v/>
      </c>
    </row>
    <row r="40" customFormat="false" ht="15" hidden="false" customHeight="false" outlineLevel="0" collapsed="false">
      <c r="J40" s="20" t="str">
        <f aca="false">IF($A40="","",$B40+$C40+$D40-$E40+$F40-$G40)</f>
        <v/>
      </c>
      <c r="K40" s="20" t="str">
        <f aca="false">IF($A40="","",MAX(0,$B40-$J40))</f>
        <v/>
      </c>
      <c r="L40" s="20" t="str">
        <f aca="false">IF($A40="","",IF($B40=0,0,$K40/$B40))</f>
        <v/>
      </c>
      <c r="M40" s="20" t="str">
        <f aca="false">IF($A40="","",IF($J40&lt;0,"BORCA BATIK",IF($I40&lt;$H40,"BORCA BATIK",IF($L40&gt;=TtkUcteIkiEsik,"2/3 KAYIP (KRİTİK)",IF($L40&gt;=TtkUcteBirEsik,"1/3 KAYIP (DİKKAT)","UYGUN")))))</f>
        <v/>
      </c>
      <c r="U40" s="20" t="str">
        <f aca="false">IF($N40="","",$Q40*$R40)</f>
        <v/>
      </c>
    </row>
    <row r="41" customFormat="false" ht="15" hidden="false" customHeight="false" outlineLevel="0" collapsed="false">
      <c r="J41" s="20" t="str">
        <f aca="false">IF($A41="","",$B41+$C41+$D41-$E41+$F41-$G41)</f>
        <v/>
      </c>
      <c r="K41" s="20" t="str">
        <f aca="false">IF($A41="","",MAX(0,$B41-$J41))</f>
        <v/>
      </c>
      <c r="L41" s="20" t="str">
        <f aca="false">IF($A41="","",IF($B41=0,0,$K41/$B41))</f>
        <v/>
      </c>
      <c r="M41" s="20" t="str">
        <f aca="false">IF($A41="","",IF($J41&lt;0,"BORCA BATIK",IF($I41&lt;$H41,"BORCA BATIK",IF($L41&gt;=TtkUcteIkiEsik,"2/3 KAYIP (KRİTİK)",IF($L41&gt;=TtkUcteBirEsik,"1/3 KAYIP (DİKKAT)","UYGUN")))))</f>
        <v/>
      </c>
      <c r="U41" s="20" t="str">
        <f aca="false">IF($N41="","",$Q41*$R41)</f>
        <v/>
      </c>
    </row>
    <row r="42" customFormat="false" ht="15" hidden="false" customHeight="false" outlineLevel="0" collapsed="false">
      <c r="J42" s="20" t="str">
        <f aca="false">IF($A42="","",$B42+$C42+$D42-$E42+$F42-$G42)</f>
        <v/>
      </c>
      <c r="K42" s="20" t="str">
        <f aca="false">IF($A42="","",MAX(0,$B42-$J42))</f>
        <v/>
      </c>
      <c r="L42" s="20" t="str">
        <f aca="false">IF($A42="","",IF($B42=0,0,$K42/$B42))</f>
        <v/>
      </c>
      <c r="M42" s="20" t="str">
        <f aca="false">IF($A42="","",IF($J42&lt;0,"BORCA BATIK",IF($I42&lt;$H42,"BORCA BATIK",IF($L42&gt;=TtkUcteIkiEsik,"2/3 KAYIP (KRİTİK)",IF($L42&gt;=TtkUcteBirEsik,"1/3 KAYIP (DİKKAT)","UYGUN")))))</f>
        <v/>
      </c>
      <c r="U42" s="20" t="str">
        <f aca="false">IF($N42="","",$Q42*$R42)</f>
        <v/>
      </c>
    </row>
    <row r="43" customFormat="false" ht="15" hidden="false" customHeight="false" outlineLevel="0" collapsed="false">
      <c r="J43" s="20" t="str">
        <f aca="false">IF($A43="","",$B43+$C43+$D43-$E43+$F43-$G43)</f>
        <v/>
      </c>
      <c r="K43" s="20" t="str">
        <f aca="false">IF($A43="","",MAX(0,$B43-$J43))</f>
        <v/>
      </c>
      <c r="L43" s="20" t="str">
        <f aca="false">IF($A43="","",IF($B43=0,0,$K43/$B43))</f>
        <v/>
      </c>
      <c r="M43" s="20" t="str">
        <f aca="false">IF($A43="","",IF($J43&lt;0,"BORCA BATIK",IF($I43&lt;$H43,"BORCA BATIK",IF($L43&gt;=TtkUcteIkiEsik,"2/3 KAYIP (KRİTİK)",IF($L43&gt;=TtkUcteBirEsik,"1/3 KAYIP (DİKKAT)","UYGUN")))))</f>
        <v/>
      </c>
      <c r="U43" s="20" t="str">
        <f aca="false">IF($N43="","",$Q43*$R43)</f>
        <v/>
      </c>
    </row>
    <row r="44" customFormat="false" ht="15" hidden="false" customHeight="false" outlineLevel="0" collapsed="false">
      <c r="J44" s="20" t="str">
        <f aca="false">IF($A44="","",$B44+$C44+$D44-$E44+$F44-$G44)</f>
        <v/>
      </c>
      <c r="K44" s="20" t="str">
        <f aca="false">IF($A44="","",MAX(0,$B44-$J44))</f>
        <v/>
      </c>
      <c r="L44" s="20" t="str">
        <f aca="false">IF($A44="","",IF($B44=0,0,$K44/$B44))</f>
        <v/>
      </c>
      <c r="M44" s="20" t="str">
        <f aca="false">IF($A44="","",IF($J44&lt;0,"BORCA BATIK",IF($I44&lt;$H44,"BORCA BATIK",IF($L44&gt;=TtkUcteIkiEsik,"2/3 KAYIP (KRİTİK)",IF($L44&gt;=TtkUcteBirEsik,"1/3 KAYIP (DİKKAT)","UYGUN")))))</f>
        <v/>
      </c>
      <c r="U44" s="20" t="str">
        <f aca="false">IF($N44="","",$Q44*$R44)</f>
        <v/>
      </c>
    </row>
    <row r="45" customFormat="false" ht="15" hidden="false" customHeight="false" outlineLevel="0" collapsed="false">
      <c r="J45" s="20" t="str">
        <f aca="false">IF($A45="","",$B45+$C45+$D45-$E45+$F45-$G45)</f>
        <v/>
      </c>
      <c r="K45" s="20" t="str">
        <f aca="false">IF($A45="","",MAX(0,$B45-$J45))</f>
        <v/>
      </c>
      <c r="L45" s="20" t="str">
        <f aca="false">IF($A45="","",IF($B45=0,0,$K45/$B45))</f>
        <v/>
      </c>
      <c r="M45" s="20" t="str">
        <f aca="false">IF($A45="","",IF($J45&lt;0,"BORCA BATIK",IF($I45&lt;$H45,"BORCA BATIK",IF($L45&gt;=TtkUcteIkiEsik,"2/3 KAYIP (KRİTİK)",IF($L45&gt;=TtkUcteBirEsik,"1/3 KAYIP (DİKKAT)","UYGUN")))))</f>
        <v/>
      </c>
      <c r="U45" s="20" t="str">
        <f aca="false">IF($N45="","",$Q45*$R45)</f>
        <v/>
      </c>
    </row>
    <row r="46" customFormat="false" ht="15" hidden="false" customHeight="false" outlineLevel="0" collapsed="false">
      <c r="J46" s="20" t="str">
        <f aca="false">IF($A46="","",$B46+$C46+$D46-$E46+$F46-$G46)</f>
        <v/>
      </c>
      <c r="K46" s="20" t="str">
        <f aca="false">IF($A46="","",MAX(0,$B46-$J46))</f>
        <v/>
      </c>
      <c r="L46" s="20" t="str">
        <f aca="false">IF($A46="","",IF($B46=0,0,$K46/$B46))</f>
        <v/>
      </c>
      <c r="M46" s="20" t="str">
        <f aca="false">IF($A46="","",IF($J46&lt;0,"BORCA BATIK",IF($I46&lt;$H46,"BORCA BATIK",IF($L46&gt;=TtkUcteIkiEsik,"2/3 KAYIP (KRİTİK)",IF($L46&gt;=TtkUcteBirEsik,"1/3 KAYIP (DİKKAT)","UYGUN")))))</f>
        <v/>
      </c>
      <c r="U46" s="20" t="str">
        <f aca="false">IF($N46="","",$Q46*$R46)</f>
        <v/>
      </c>
    </row>
    <row r="47" customFormat="false" ht="15" hidden="false" customHeight="false" outlineLevel="0" collapsed="false">
      <c r="J47" s="20" t="str">
        <f aca="false">IF($A47="","",$B47+$C47+$D47-$E47+$F47-$G47)</f>
        <v/>
      </c>
      <c r="K47" s="20" t="str">
        <f aca="false">IF($A47="","",MAX(0,$B47-$J47))</f>
        <v/>
      </c>
      <c r="L47" s="20" t="str">
        <f aca="false">IF($A47="","",IF($B47=0,0,$K47/$B47))</f>
        <v/>
      </c>
      <c r="M47" s="20" t="str">
        <f aca="false">IF($A47="","",IF($J47&lt;0,"BORCA BATIK",IF($I47&lt;$H47,"BORCA BATIK",IF($L47&gt;=TtkUcteIkiEsik,"2/3 KAYIP (KRİTİK)",IF($L47&gt;=TtkUcteBirEsik,"1/3 KAYIP (DİKKAT)","UYGUN")))))</f>
        <v/>
      </c>
      <c r="U47" s="20" t="str">
        <f aca="false">IF($N47="","",$Q47*$R47)</f>
        <v/>
      </c>
    </row>
    <row r="48" customFormat="false" ht="15" hidden="false" customHeight="false" outlineLevel="0" collapsed="false">
      <c r="J48" s="20" t="str">
        <f aca="false">IF($A48="","",$B48+$C48+$D48-$E48+$F48-$G48)</f>
        <v/>
      </c>
      <c r="K48" s="20" t="str">
        <f aca="false">IF($A48="","",MAX(0,$B48-$J48))</f>
        <v/>
      </c>
      <c r="L48" s="20" t="str">
        <f aca="false">IF($A48="","",IF($B48=0,0,$K48/$B48))</f>
        <v/>
      </c>
      <c r="M48" s="20" t="str">
        <f aca="false">IF($A48="","",IF($J48&lt;0,"BORCA BATIK",IF($I48&lt;$H48,"BORCA BATIK",IF($L48&gt;=TtkUcteIkiEsik,"2/3 KAYIP (KRİTİK)",IF($L48&gt;=TtkUcteBirEsik,"1/3 KAYIP (DİKKAT)","UYGUN")))))</f>
        <v/>
      </c>
      <c r="U48" s="20" t="str">
        <f aca="false">IF($N48="","",$Q48*$R48)</f>
        <v/>
      </c>
    </row>
    <row r="49" customFormat="false" ht="15" hidden="false" customHeight="false" outlineLevel="0" collapsed="false">
      <c r="J49" s="20" t="str">
        <f aca="false">IF($A49="","",$B49+$C49+$D49-$E49+$F49-$G49)</f>
        <v/>
      </c>
      <c r="K49" s="20" t="str">
        <f aca="false">IF($A49="","",MAX(0,$B49-$J49))</f>
        <v/>
      </c>
      <c r="L49" s="20" t="str">
        <f aca="false">IF($A49="","",IF($B49=0,0,$K49/$B49))</f>
        <v/>
      </c>
      <c r="M49" s="20" t="str">
        <f aca="false">IF($A49="","",IF($J49&lt;0,"BORCA BATIK",IF($I49&lt;$H49,"BORCA BATIK",IF($L49&gt;=TtkUcteIkiEsik,"2/3 KAYIP (KRİTİK)",IF($L49&gt;=TtkUcteBirEsik,"1/3 KAYIP (DİKKAT)","UYGUN")))))</f>
        <v/>
      </c>
      <c r="U49" s="20" t="str">
        <f aca="false">IF($N49="","",$Q49*$R49)</f>
        <v/>
      </c>
    </row>
    <row r="50" customFormat="false" ht="15" hidden="false" customHeight="false" outlineLevel="0" collapsed="false">
      <c r="J50" s="20" t="str">
        <f aca="false">IF($A50="","",$B50+$C50+$D50-$E50+$F50-$G50)</f>
        <v/>
      </c>
      <c r="K50" s="20" t="str">
        <f aca="false">IF($A50="","",MAX(0,$B50-$J50))</f>
        <v/>
      </c>
      <c r="L50" s="20" t="str">
        <f aca="false">IF($A50="","",IF($B50=0,0,$K50/$B50))</f>
        <v/>
      </c>
      <c r="M50" s="20" t="str">
        <f aca="false">IF($A50="","",IF($J50&lt;0,"BORCA BATIK",IF($I50&lt;$H50,"BORCA BATIK",IF($L50&gt;=TtkUcteIkiEsik,"2/3 KAYIP (KRİTİK)",IF($L50&gt;=TtkUcteBirEsik,"1/3 KAYIP (DİKKAT)","UYGUN")))))</f>
        <v/>
      </c>
      <c r="U50" s="20" t="str">
        <f aca="false">IF($N50="","",$Q50*$R50)</f>
        <v/>
      </c>
    </row>
    <row r="51" customFormat="false" ht="15" hidden="false" customHeight="false" outlineLevel="0" collapsed="false">
      <c r="J51" s="20" t="str">
        <f aca="false">IF($A51="","",$B51+$C51+$D51-$E51+$F51-$G51)</f>
        <v/>
      </c>
      <c r="K51" s="20" t="str">
        <f aca="false">IF($A51="","",MAX(0,$B51-$J51))</f>
        <v/>
      </c>
      <c r="L51" s="20" t="str">
        <f aca="false">IF($A51="","",IF($B51=0,0,$K51/$B51))</f>
        <v/>
      </c>
      <c r="M51" s="20" t="str">
        <f aca="false">IF($A51="","",IF($J51&lt;0,"BORCA BATIK",IF($I51&lt;$H51,"BORCA BATIK",IF($L51&gt;=TtkUcteIkiEsik,"2/3 KAYIP (KRİTİK)",IF($L51&gt;=TtkUcteBirEsik,"1/3 KAYIP (DİKKAT)","UYGUN")))))</f>
        <v/>
      </c>
      <c r="U51" s="20" t="str">
        <f aca="false">IF($N51="","",$Q51*$R51)</f>
        <v/>
      </c>
    </row>
    <row r="52" customFormat="false" ht="15" hidden="false" customHeight="false" outlineLevel="0" collapsed="false">
      <c r="J52" s="20" t="str">
        <f aca="false">IF($A52="","",$B52+$C52+$D52-$E52+$F52-$G52)</f>
        <v/>
      </c>
      <c r="K52" s="20" t="str">
        <f aca="false">IF($A52="","",MAX(0,$B52-$J52))</f>
        <v/>
      </c>
      <c r="L52" s="20" t="str">
        <f aca="false">IF($A52="","",IF($B52=0,0,$K52/$B52))</f>
        <v/>
      </c>
      <c r="M52" s="20" t="str">
        <f aca="false">IF($A52="","",IF($J52&lt;0,"BORCA BATIK",IF($I52&lt;$H52,"BORCA BATIK",IF($L52&gt;=TtkUcteIkiEsik,"2/3 KAYIP (KRİTİK)",IF($L52&gt;=TtkUcteBirEsik,"1/3 KAYIP (DİKKAT)","UYGUN")))))</f>
        <v/>
      </c>
      <c r="U52" s="20" t="str">
        <f aca="false">IF($N52="","",$Q52*$R52)</f>
        <v/>
      </c>
    </row>
    <row r="53" customFormat="false" ht="15" hidden="false" customHeight="false" outlineLevel="0" collapsed="false">
      <c r="J53" s="20" t="str">
        <f aca="false">IF($A53="","",$B53+$C53+$D53-$E53+$F53-$G53)</f>
        <v/>
      </c>
      <c r="K53" s="20" t="str">
        <f aca="false">IF($A53="","",MAX(0,$B53-$J53))</f>
        <v/>
      </c>
      <c r="L53" s="20" t="str">
        <f aca="false">IF($A53="","",IF($B53=0,0,$K53/$B53))</f>
        <v/>
      </c>
      <c r="M53" s="20" t="str">
        <f aca="false">IF($A53="","",IF($J53&lt;0,"BORCA BATIK",IF($I53&lt;$H53,"BORCA BATIK",IF($L53&gt;=TtkUcteIkiEsik,"2/3 KAYIP (KRİTİK)",IF($L53&gt;=TtkUcteBirEsik,"1/3 KAYIP (DİKKAT)","UYGUN")))))</f>
        <v/>
      </c>
      <c r="U53" s="20" t="str">
        <f aca="false">IF($N53="","",$Q53*$R53)</f>
        <v/>
      </c>
    </row>
    <row r="54" customFormat="false" ht="15" hidden="false" customHeight="false" outlineLevel="0" collapsed="false">
      <c r="J54" s="20" t="str">
        <f aca="false">IF($A54="","",$B54+$C54+$D54-$E54+$F54-$G54)</f>
        <v/>
      </c>
      <c r="K54" s="20" t="str">
        <f aca="false">IF($A54="","",MAX(0,$B54-$J54))</f>
        <v/>
      </c>
      <c r="L54" s="20" t="str">
        <f aca="false">IF($A54="","",IF($B54=0,0,$K54/$B54))</f>
        <v/>
      </c>
      <c r="M54" s="20" t="str">
        <f aca="false">IF($A54="","",IF($J54&lt;0,"BORCA BATIK",IF($I54&lt;$H54,"BORCA BATIK",IF($L54&gt;=TtkUcteIkiEsik,"2/3 KAYIP (KRİTİK)",IF($L54&gt;=TtkUcteBirEsik,"1/3 KAYIP (DİKKAT)","UYGUN")))))</f>
        <v/>
      </c>
      <c r="U54" s="20" t="str">
        <f aca="false">IF($N54="","",$Q54*$R54)</f>
        <v/>
      </c>
    </row>
    <row r="55" customFormat="false" ht="15" hidden="false" customHeight="false" outlineLevel="0" collapsed="false">
      <c r="J55" s="20" t="str">
        <f aca="false">IF($A55="","",$B55+$C55+$D55-$E55+$F55-$G55)</f>
        <v/>
      </c>
      <c r="K55" s="20" t="str">
        <f aca="false">IF($A55="","",MAX(0,$B55-$J55))</f>
        <v/>
      </c>
      <c r="L55" s="20" t="str">
        <f aca="false">IF($A55="","",IF($B55=0,0,$K55/$B55))</f>
        <v/>
      </c>
      <c r="M55" s="20" t="str">
        <f aca="false">IF($A55="","",IF($J55&lt;0,"BORCA BATIK",IF($I55&lt;$H55,"BORCA BATIK",IF($L55&gt;=TtkUcteIkiEsik,"2/3 KAYIP (KRİTİK)",IF($L55&gt;=TtkUcteBirEsik,"1/3 KAYIP (DİKKAT)","UYGUN")))))</f>
        <v/>
      </c>
      <c r="U55" s="20" t="str">
        <f aca="false">IF($N55="","",$Q55*$R55)</f>
        <v/>
      </c>
    </row>
    <row r="56" customFormat="false" ht="15" hidden="false" customHeight="false" outlineLevel="0" collapsed="false">
      <c r="J56" s="20" t="str">
        <f aca="false">IF($A56="","",$B56+$C56+$D56-$E56+$F56-$G56)</f>
        <v/>
      </c>
      <c r="K56" s="20" t="str">
        <f aca="false">IF($A56="","",MAX(0,$B56-$J56))</f>
        <v/>
      </c>
      <c r="L56" s="20" t="str">
        <f aca="false">IF($A56="","",IF($B56=0,0,$K56/$B56))</f>
        <v/>
      </c>
      <c r="M56" s="20" t="str">
        <f aca="false">IF($A56="","",IF($J56&lt;0,"BORCA BATIK",IF($I56&lt;$H56,"BORCA BATIK",IF($L56&gt;=TtkUcteIkiEsik,"2/3 KAYIP (KRİTİK)",IF($L56&gt;=TtkUcteBirEsik,"1/3 KAYIP (DİKKAT)","UYGUN")))))</f>
        <v/>
      </c>
      <c r="U56" s="20" t="str">
        <f aca="false">IF($N56="","",$Q56*$R56)</f>
        <v/>
      </c>
    </row>
    <row r="57" customFormat="false" ht="15" hidden="false" customHeight="false" outlineLevel="0" collapsed="false">
      <c r="J57" s="20" t="str">
        <f aca="false">IF($A57="","",$B57+$C57+$D57-$E57+$F57-$G57)</f>
        <v/>
      </c>
      <c r="K57" s="20" t="str">
        <f aca="false">IF($A57="","",MAX(0,$B57-$J57))</f>
        <v/>
      </c>
      <c r="L57" s="20" t="str">
        <f aca="false">IF($A57="","",IF($B57=0,0,$K57/$B57))</f>
        <v/>
      </c>
      <c r="M57" s="20" t="str">
        <f aca="false">IF($A57="","",IF($J57&lt;0,"BORCA BATIK",IF($I57&lt;$H57,"BORCA BATIK",IF($L57&gt;=TtkUcteIkiEsik,"2/3 KAYIP (KRİTİK)",IF($L57&gt;=TtkUcteBirEsik,"1/3 KAYIP (DİKKAT)","UYGUN")))))</f>
        <v/>
      </c>
      <c r="U57" s="20" t="str">
        <f aca="false">IF($N57="","",$Q57*$R57)</f>
        <v/>
      </c>
    </row>
    <row r="58" customFormat="false" ht="15" hidden="false" customHeight="false" outlineLevel="0" collapsed="false">
      <c r="J58" s="20" t="str">
        <f aca="false">IF($A58="","",$B58+$C58+$D58-$E58+$F58-$G58)</f>
        <v/>
      </c>
      <c r="K58" s="20" t="str">
        <f aca="false">IF($A58="","",MAX(0,$B58-$J58))</f>
        <v/>
      </c>
      <c r="L58" s="20" t="str">
        <f aca="false">IF($A58="","",IF($B58=0,0,$K58/$B58))</f>
        <v/>
      </c>
      <c r="M58" s="20" t="str">
        <f aca="false">IF($A58="","",IF($J58&lt;0,"BORCA BATIK",IF($I58&lt;$H58,"BORCA BATIK",IF($L58&gt;=TtkUcteIkiEsik,"2/3 KAYIP (KRİTİK)",IF($L58&gt;=TtkUcteBirEsik,"1/3 KAYIP (DİKKAT)","UYGUN")))))</f>
        <v/>
      </c>
      <c r="U58" s="20" t="str">
        <f aca="false">IF($N58="","",$Q58*$R58)</f>
        <v/>
      </c>
    </row>
    <row r="59" customFormat="false" ht="15" hidden="false" customHeight="false" outlineLevel="0" collapsed="false">
      <c r="J59" s="20" t="str">
        <f aca="false">IF($A59="","",$B59+$C59+$D59-$E59+$F59-$G59)</f>
        <v/>
      </c>
      <c r="K59" s="20" t="str">
        <f aca="false">IF($A59="","",MAX(0,$B59-$J59))</f>
        <v/>
      </c>
      <c r="L59" s="20" t="str">
        <f aca="false">IF($A59="","",IF($B59=0,0,$K59/$B59))</f>
        <v/>
      </c>
      <c r="M59" s="20" t="str">
        <f aca="false">IF($A59="","",IF($J59&lt;0,"BORCA BATIK",IF($I59&lt;$H59,"BORCA BATIK",IF($L59&gt;=TtkUcteIkiEsik,"2/3 KAYIP (KRİTİK)",IF($L59&gt;=TtkUcteBirEsik,"1/3 KAYIP (DİKKAT)","UYGUN")))))</f>
        <v/>
      </c>
      <c r="U59" s="20" t="str">
        <f aca="false">IF($N59="","",$Q59*$R59)</f>
        <v/>
      </c>
    </row>
    <row r="60" customFormat="false" ht="15" hidden="false" customHeight="false" outlineLevel="0" collapsed="false">
      <c r="J60" s="20" t="str">
        <f aca="false">IF($A60="","",$B60+$C60+$D60-$E60+$F60-$G60)</f>
        <v/>
      </c>
      <c r="K60" s="20" t="str">
        <f aca="false">IF($A60="","",MAX(0,$B60-$J60))</f>
        <v/>
      </c>
      <c r="L60" s="20" t="str">
        <f aca="false">IF($A60="","",IF($B60=0,0,$K60/$B60))</f>
        <v/>
      </c>
      <c r="M60" s="20" t="str">
        <f aca="false">IF($A60="","",IF($J60&lt;0,"BORCA BATIK",IF($I60&lt;$H60,"BORCA BATIK",IF($L60&gt;=TtkUcteIkiEsik,"2/3 KAYIP (KRİTİK)",IF($L60&gt;=TtkUcteBirEsik,"1/3 KAYIP (DİKKAT)","UYGUN")))))</f>
        <v/>
      </c>
      <c r="U60" s="20" t="str">
        <f aca="false">IF($N60="","",$Q60*$R60)</f>
        <v/>
      </c>
    </row>
    <row r="61" customFormat="false" ht="15" hidden="false" customHeight="false" outlineLevel="0" collapsed="false">
      <c r="J61" s="20" t="str">
        <f aca="false">IF($A61="","",$B61+$C61+$D61-$E61+$F61-$G61)</f>
        <v/>
      </c>
      <c r="K61" s="20" t="str">
        <f aca="false">IF($A61="","",MAX(0,$B61-$J61))</f>
        <v/>
      </c>
      <c r="L61" s="20" t="str">
        <f aca="false">IF($A61="","",IF($B61=0,0,$K61/$B61))</f>
        <v/>
      </c>
      <c r="M61" s="20" t="str">
        <f aca="false">IF($A61="","",IF($J61&lt;0,"BORCA BATIK",IF($I61&lt;$H61,"BORCA BATIK",IF($L61&gt;=TtkUcteIkiEsik,"2/3 KAYIP (KRİTİK)",IF($L61&gt;=TtkUcteBirEsik,"1/3 KAYIP (DİKKAT)","UYGUN")))))</f>
        <v/>
      </c>
      <c r="U61" s="20" t="str">
        <f aca="false">IF($N61="","",$Q61*$R61)</f>
        <v/>
      </c>
    </row>
    <row r="62" customFormat="false" ht="15" hidden="false" customHeight="false" outlineLevel="0" collapsed="false">
      <c r="J62" s="20" t="str">
        <f aca="false">IF($A62="","",$B62+$C62+$D62-$E62+$F62-$G62)</f>
        <v/>
      </c>
      <c r="K62" s="20" t="str">
        <f aca="false">IF($A62="","",MAX(0,$B62-$J62))</f>
        <v/>
      </c>
      <c r="L62" s="20" t="str">
        <f aca="false">IF($A62="","",IF($B62=0,0,$K62/$B62))</f>
        <v/>
      </c>
      <c r="M62" s="20" t="str">
        <f aca="false">IF($A62="","",IF($J62&lt;0,"BORCA BATIK",IF($I62&lt;$H62,"BORCA BATIK",IF($L62&gt;=TtkUcteIkiEsik,"2/3 KAYIP (KRİTİK)",IF($L62&gt;=TtkUcteBirEsik,"1/3 KAYIP (DİKKAT)","UYGUN")))))</f>
        <v/>
      </c>
      <c r="U62" s="20" t="str">
        <f aca="false">IF($N62="","",$Q62*$R62)</f>
        <v/>
      </c>
    </row>
    <row r="63" customFormat="false" ht="15" hidden="false" customHeight="false" outlineLevel="0" collapsed="false">
      <c r="J63" s="20" t="str">
        <f aca="false">IF($A63="","",$B63+$C63+$D63-$E63+$F63-$G63)</f>
        <v/>
      </c>
      <c r="K63" s="20" t="str">
        <f aca="false">IF($A63="","",MAX(0,$B63-$J63))</f>
        <v/>
      </c>
      <c r="L63" s="20" t="str">
        <f aca="false">IF($A63="","",IF($B63=0,0,$K63/$B63))</f>
        <v/>
      </c>
      <c r="M63" s="20" t="str">
        <f aca="false">IF($A63="","",IF($J63&lt;0,"BORCA BATIK",IF($I63&lt;$H63,"BORCA BATIK",IF($L63&gt;=TtkUcteIkiEsik,"2/3 KAYIP (KRİTİK)",IF($L63&gt;=TtkUcteBirEsik,"1/3 KAYIP (DİKKAT)","UYGUN")))))</f>
        <v/>
      </c>
      <c r="U63" s="20" t="str">
        <f aca="false">IF($N63="","",$Q63*$R63)</f>
        <v/>
      </c>
    </row>
    <row r="64" customFormat="false" ht="15" hidden="false" customHeight="false" outlineLevel="0" collapsed="false">
      <c r="J64" s="20" t="str">
        <f aca="false">IF($A64="","",$B64+$C64+$D64-$E64+$F64-$G64)</f>
        <v/>
      </c>
      <c r="K64" s="20" t="str">
        <f aca="false">IF($A64="","",MAX(0,$B64-$J64))</f>
        <v/>
      </c>
      <c r="L64" s="20" t="str">
        <f aca="false">IF($A64="","",IF($B64=0,0,$K64/$B64))</f>
        <v/>
      </c>
      <c r="M64" s="20" t="str">
        <f aca="false">IF($A64="","",IF($J64&lt;0,"BORCA BATIK",IF($I64&lt;$H64,"BORCA BATIK",IF($L64&gt;=TtkUcteIkiEsik,"2/3 KAYIP (KRİTİK)",IF($L64&gt;=TtkUcteBirEsik,"1/3 KAYIP (DİKKAT)","UYGUN")))))</f>
        <v/>
      </c>
      <c r="U64" s="20" t="str">
        <f aca="false">IF($N64="","",$Q64*$R64)</f>
        <v/>
      </c>
    </row>
    <row r="65" customFormat="false" ht="15" hidden="false" customHeight="false" outlineLevel="0" collapsed="false">
      <c r="J65" s="20" t="str">
        <f aca="false">IF($A65="","",$B65+$C65+$D65-$E65+$F65-$G65)</f>
        <v/>
      </c>
      <c r="K65" s="20" t="str">
        <f aca="false">IF($A65="","",MAX(0,$B65-$J65))</f>
        <v/>
      </c>
      <c r="L65" s="20" t="str">
        <f aca="false">IF($A65="","",IF($B65=0,0,$K65/$B65))</f>
        <v/>
      </c>
      <c r="M65" s="20" t="str">
        <f aca="false">IF($A65="","",IF($J65&lt;0,"BORCA BATIK",IF($I65&lt;$H65,"BORCA BATIK",IF($L65&gt;=TtkUcteIkiEsik,"2/3 KAYIP (KRİTİK)",IF($L65&gt;=TtkUcteBirEsik,"1/3 KAYIP (DİKKAT)","UYGUN")))))</f>
        <v/>
      </c>
      <c r="U65" s="20" t="str">
        <f aca="false">IF($N65="","",$Q65*$R65)</f>
        <v/>
      </c>
    </row>
    <row r="66" customFormat="false" ht="15" hidden="false" customHeight="false" outlineLevel="0" collapsed="false">
      <c r="J66" s="20" t="str">
        <f aca="false">IF($A66="","",$B66+$C66+$D66-$E66+$F66-$G66)</f>
        <v/>
      </c>
      <c r="K66" s="20" t="str">
        <f aca="false">IF($A66="","",MAX(0,$B66-$J66))</f>
        <v/>
      </c>
      <c r="L66" s="20" t="str">
        <f aca="false">IF($A66="","",IF($B66=0,0,$K66/$B66))</f>
        <v/>
      </c>
      <c r="M66" s="20" t="str">
        <f aca="false">IF($A66="","",IF($J66&lt;0,"BORCA BATIK",IF($I66&lt;$H66,"BORCA BATIK",IF($L66&gt;=TtkUcteIkiEsik,"2/3 KAYIP (KRİTİK)",IF($L66&gt;=TtkUcteBirEsik,"1/3 KAYIP (DİKKAT)","UYGUN")))))</f>
        <v/>
      </c>
      <c r="U66" s="20" t="str">
        <f aca="false">IF($N66="","",$Q66*$R66)</f>
        <v/>
      </c>
    </row>
    <row r="67" customFormat="false" ht="15" hidden="false" customHeight="false" outlineLevel="0" collapsed="false">
      <c r="J67" s="20" t="str">
        <f aca="false">IF($A67="","",$B67+$C67+$D67-$E67+$F67-$G67)</f>
        <v/>
      </c>
      <c r="K67" s="20" t="str">
        <f aca="false">IF($A67="","",MAX(0,$B67-$J67))</f>
        <v/>
      </c>
      <c r="L67" s="20" t="str">
        <f aca="false">IF($A67="","",IF($B67=0,0,$K67/$B67))</f>
        <v/>
      </c>
      <c r="M67" s="20" t="str">
        <f aca="false">IF($A67="","",IF($J67&lt;0,"BORCA BATIK",IF($I67&lt;$H67,"BORCA BATIK",IF($L67&gt;=TtkUcteIkiEsik,"2/3 KAYIP (KRİTİK)",IF($L67&gt;=TtkUcteBirEsik,"1/3 KAYIP (DİKKAT)","UYGUN")))))</f>
        <v/>
      </c>
      <c r="U67" s="20" t="str">
        <f aca="false">IF($N67="","",$Q67*$R67)</f>
        <v/>
      </c>
    </row>
    <row r="68" customFormat="false" ht="15" hidden="false" customHeight="false" outlineLevel="0" collapsed="false">
      <c r="J68" s="20" t="str">
        <f aca="false">IF($A68="","",$B68+$C68+$D68-$E68+$F68-$G68)</f>
        <v/>
      </c>
      <c r="K68" s="20" t="str">
        <f aca="false">IF($A68="","",MAX(0,$B68-$J68))</f>
        <v/>
      </c>
      <c r="L68" s="20" t="str">
        <f aca="false">IF($A68="","",IF($B68=0,0,$K68/$B68))</f>
        <v/>
      </c>
      <c r="M68" s="20" t="str">
        <f aca="false">IF($A68="","",IF($J68&lt;0,"BORCA BATIK",IF($I68&lt;$H68,"BORCA BATIK",IF($L68&gt;=TtkUcteIkiEsik,"2/3 KAYIP (KRİTİK)",IF($L68&gt;=TtkUcteBirEsik,"1/3 KAYIP (DİKKAT)","UYGUN")))))</f>
        <v/>
      </c>
      <c r="U68" s="20" t="str">
        <f aca="false">IF($N68="","",$Q68*$R68)</f>
        <v/>
      </c>
    </row>
    <row r="69" customFormat="false" ht="15" hidden="false" customHeight="false" outlineLevel="0" collapsed="false">
      <c r="J69" s="20" t="str">
        <f aca="false">IF($A69="","",$B69+$C69+$D69-$E69+$F69-$G69)</f>
        <v/>
      </c>
      <c r="K69" s="20" t="str">
        <f aca="false">IF($A69="","",MAX(0,$B69-$J69))</f>
        <v/>
      </c>
      <c r="L69" s="20" t="str">
        <f aca="false">IF($A69="","",IF($B69=0,0,$K69/$B69))</f>
        <v/>
      </c>
      <c r="M69" s="20" t="str">
        <f aca="false">IF($A69="","",IF($J69&lt;0,"BORCA BATIK",IF($I69&lt;$H69,"BORCA BATIK",IF($L69&gt;=TtkUcteIkiEsik,"2/3 KAYIP (KRİTİK)",IF($L69&gt;=TtkUcteBirEsik,"1/3 KAYIP (DİKKAT)","UYGUN")))))</f>
        <v/>
      </c>
      <c r="U69" s="20" t="str">
        <f aca="false">IF($N69="","",$Q69*$R69)</f>
        <v/>
      </c>
    </row>
    <row r="70" customFormat="false" ht="15" hidden="false" customHeight="false" outlineLevel="0" collapsed="false">
      <c r="J70" s="20" t="str">
        <f aca="false">IF($A70="","",$B70+$C70+$D70-$E70+$F70-$G70)</f>
        <v/>
      </c>
      <c r="K70" s="20" t="str">
        <f aca="false">IF($A70="","",MAX(0,$B70-$J70))</f>
        <v/>
      </c>
      <c r="L70" s="20" t="str">
        <f aca="false">IF($A70="","",IF($B70=0,0,$K70/$B70))</f>
        <v/>
      </c>
      <c r="M70" s="20" t="str">
        <f aca="false">IF($A70="","",IF($J70&lt;0,"BORCA BATIK",IF($I70&lt;$H70,"BORCA BATIK",IF($L70&gt;=TtkUcteIkiEsik,"2/3 KAYIP (KRİTİK)",IF($L70&gt;=TtkUcteBirEsik,"1/3 KAYIP (DİKKAT)","UYGUN")))))</f>
        <v/>
      </c>
      <c r="U70" s="20" t="str">
        <f aca="false">IF($N70="","",$Q70*$R70)</f>
        <v/>
      </c>
    </row>
    <row r="71" customFormat="false" ht="15" hidden="false" customHeight="false" outlineLevel="0" collapsed="false">
      <c r="J71" s="20" t="str">
        <f aca="false">IF($A71="","",$B71+$C71+$D71-$E71+$F71-$G71)</f>
        <v/>
      </c>
      <c r="K71" s="20" t="str">
        <f aca="false">IF($A71="","",MAX(0,$B71-$J71))</f>
        <v/>
      </c>
      <c r="L71" s="20" t="str">
        <f aca="false">IF($A71="","",IF($B71=0,0,$K71/$B71))</f>
        <v/>
      </c>
      <c r="M71" s="20" t="str">
        <f aca="false">IF($A71="","",IF($J71&lt;0,"BORCA BATIK",IF($I71&lt;$H71,"BORCA BATIK",IF($L71&gt;=TtkUcteIkiEsik,"2/3 KAYIP (KRİTİK)",IF($L71&gt;=TtkUcteBirEsik,"1/3 KAYIP (DİKKAT)","UYGUN")))))</f>
        <v/>
      </c>
      <c r="U71" s="20" t="str">
        <f aca="false">IF($N71="","",$Q71*$R71)</f>
        <v/>
      </c>
    </row>
    <row r="72" customFormat="false" ht="15" hidden="false" customHeight="false" outlineLevel="0" collapsed="false">
      <c r="J72" s="20" t="str">
        <f aca="false">IF($A72="","",$B72+$C72+$D72-$E72+$F72-$G72)</f>
        <v/>
      </c>
      <c r="K72" s="20" t="str">
        <f aca="false">IF($A72="","",MAX(0,$B72-$J72))</f>
        <v/>
      </c>
      <c r="L72" s="20" t="str">
        <f aca="false">IF($A72="","",IF($B72=0,0,$K72/$B72))</f>
        <v/>
      </c>
      <c r="M72" s="20" t="str">
        <f aca="false">IF($A72="","",IF($J72&lt;0,"BORCA BATIK",IF($I72&lt;$H72,"BORCA BATIK",IF($L72&gt;=TtkUcteIkiEsik,"2/3 KAYIP (KRİTİK)",IF($L72&gt;=TtkUcteBirEsik,"1/3 KAYIP (DİKKAT)","UYGUN")))))</f>
        <v/>
      </c>
      <c r="U72" s="20" t="str">
        <f aca="false">IF($N72="","",$Q72*$R72)</f>
        <v/>
      </c>
    </row>
    <row r="73" customFormat="false" ht="15" hidden="false" customHeight="false" outlineLevel="0" collapsed="false">
      <c r="J73" s="20" t="str">
        <f aca="false">IF($A73="","",$B73+$C73+$D73-$E73+$F73-$G73)</f>
        <v/>
      </c>
      <c r="K73" s="20" t="str">
        <f aca="false">IF($A73="","",MAX(0,$B73-$J73))</f>
        <v/>
      </c>
      <c r="L73" s="20" t="str">
        <f aca="false">IF($A73="","",IF($B73=0,0,$K73/$B73))</f>
        <v/>
      </c>
      <c r="M73" s="20" t="str">
        <f aca="false">IF($A73="","",IF($J73&lt;0,"BORCA BATIK",IF($I73&lt;$H73,"BORCA BATIK",IF($L73&gt;=TtkUcteIkiEsik,"2/3 KAYIP (KRİTİK)",IF($L73&gt;=TtkUcteBirEsik,"1/3 KAYIP (DİKKAT)","UYGUN")))))</f>
        <v/>
      </c>
      <c r="U73" s="20" t="str">
        <f aca="false">IF($N73="","",$Q73*$R73)</f>
        <v/>
      </c>
    </row>
    <row r="74" customFormat="false" ht="15" hidden="false" customHeight="false" outlineLevel="0" collapsed="false">
      <c r="J74" s="20" t="str">
        <f aca="false">IF($A74="","",$B74+$C74+$D74-$E74+$F74-$G74)</f>
        <v/>
      </c>
      <c r="K74" s="20" t="str">
        <f aca="false">IF($A74="","",MAX(0,$B74-$J74))</f>
        <v/>
      </c>
      <c r="L74" s="20" t="str">
        <f aca="false">IF($A74="","",IF($B74=0,0,$K74/$B74))</f>
        <v/>
      </c>
      <c r="M74" s="20" t="str">
        <f aca="false">IF($A74="","",IF($J74&lt;0,"BORCA BATIK",IF($I74&lt;$H74,"BORCA BATIK",IF($L74&gt;=TtkUcteIkiEsik,"2/3 KAYIP (KRİTİK)",IF($L74&gt;=TtkUcteBirEsik,"1/3 KAYIP (DİKKAT)","UYGUN")))))</f>
        <v/>
      </c>
      <c r="U74" s="20" t="str">
        <f aca="false">IF($N74="","",$Q74*$R74)</f>
        <v/>
      </c>
    </row>
    <row r="75" customFormat="false" ht="15" hidden="false" customHeight="false" outlineLevel="0" collapsed="false">
      <c r="J75" s="20" t="str">
        <f aca="false">IF($A75="","",$B75+$C75+$D75-$E75+$F75-$G75)</f>
        <v/>
      </c>
      <c r="K75" s="20" t="str">
        <f aca="false">IF($A75="","",MAX(0,$B75-$J75))</f>
        <v/>
      </c>
      <c r="L75" s="20" t="str">
        <f aca="false">IF($A75="","",IF($B75=0,0,$K75/$B75))</f>
        <v/>
      </c>
      <c r="M75" s="20" t="str">
        <f aca="false">IF($A75="","",IF($J75&lt;0,"BORCA BATIK",IF($I75&lt;$H75,"BORCA BATIK",IF($L75&gt;=TtkUcteIkiEsik,"2/3 KAYIP (KRİTİK)",IF($L75&gt;=TtkUcteBirEsik,"1/3 KAYIP (DİKKAT)","UYGUN")))))</f>
        <v/>
      </c>
      <c r="U75" s="20" t="str">
        <f aca="false">IF($N75="","",$Q75*$R75)</f>
        <v/>
      </c>
    </row>
    <row r="76" customFormat="false" ht="15" hidden="false" customHeight="false" outlineLevel="0" collapsed="false">
      <c r="J76" s="20" t="str">
        <f aca="false">IF($A76="","",$B76+$C76+$D76-$E76+$F76-$G76)</f>
        <v/>
      </c>
      <c r="K76" s="20" t="str">
        <f aca="false">IF($A76="","",MAX(0,$B76-$J76))</f>
        <v/>
      </c>
      <c r="L76" s="20" t="str">
        <f aca="false">IF($A76="","",IF($B76=0,0,$K76/$B76))</f>
        <v/>
      </c>
      <c r="M76" s="20" t="str">
        <f aca="false">IF($A76="","",IF($J76&lt;0,"BORCA BATIK",IF($I76&lt;$H76,"BORCA BATIK",IF($L76&gt;=TtkUcteIkiEsik,"2/3 KAYIP (KRİTİK)",IF($L76&gt;=TtkUcteBirEsik,"1/3 KAYIP (DİKKAT)","UYGUN")))))</f>
        <v/>
      </c>
      <c r="U76" s="20" t="str">
        <f aca="false">IF($N76="","",$Q76*$R76)</f>
        <v/>
      </c>
    </row>
    <row r="77" customFormat="false" ht="15" hidden="false" customHeight="false" outlineLevel="0" collapsed="false">
      <c r="J77" s="20" t="str">
        <f aca="false">IF($A77="","",$B77+$C77+$D77-$E77+$F77-$G77)</f>
        <v/>
      </c>
      <c r="K77" s="20" t="str">
        <f aca="false">IF($A77="","",MAX(0,$B77-$J77))</f>
        <v/>
      </c>
      <c r="L77" s="20" t="str">
        <f aca="false">IF($A77="","",IF($B77=0,0,$K77/$B77))</f>
        <v/>
      </c>
      <c r="M77" s="20" t="str">
        <f aca="false">IF($A77="","",IF($J77&lt;0,"BORCA BATIK",IF($I77&lt;$H77,"BORCA BATIK",IF($L77&gt;=TtkUcteIkiEsik,"2/3 KAYIP (KRİTİK)",IF($L77&gt;=TtkUcteBirEsik,"1/3 KAYIP (DİKKAT)","UYGUN")))))</f>
        <v/>
      </c>
      <c r="U77" s="20" t="str">
        <f aca="false">IF($N77="","",$Q77*$R77)</f>
        <v/>
      </c>
    </row>
    <row r="78" customFormat="false" ht="15" hidden="false" customHeight="false" outlineLevel="0" collapsed="false">
      <c r="J78" s="20" t="str">
        <f aca="false">IF($A78="","",$B78+$C78+$D78-$E78+$F78-$G78)</f>
        <v/>
      </c>
      <c r="K78" s="20" t="str">
        <f aca="false">IF($A78="","",MAX(0,$B78-$J78))</f>
        <v/>
      </c>
      <c r="L78" s="20" t="str">
        <f aca="false">IF($A78="","",IF($B78=0,0,$K78/$B78))</f>
        <v/>
      </c>
      <c r="M78" s="20" t="str">
        <f aca="false">IF($A78="","",IF($J78&lt;0,"BORCA BATIK",IF($I78&lt;$H78,"BORCA BATIK",IF($L78&gt;=TtkUcteIkiEsik,"2/3 KAYIP (KRİTİK)",IF($L78&gt;=TtkUcteBirEsik,"1/3 KAYIP (DİKKAT)","UYGUN")))))</f>
        <v/>
      </c>
      <c r="U78" s="20" t="str">
        <f aca="false">IF($N78="","",$Q78*$R78)</f>
        <v/>
      </c>
    </row>
    <row r="79" customFormat="false" ht="15" hidden="false" customHeight="false" outlineLevel="0" collapsed="false">
      <c r="J79" s="20" t="str">
        <f aca="false">IF($A79="","",$B79+$C79+$D79-$E79+$F79-$G79)</f>
        <v/>
      </c>
      <c r="K79" s="20" t="str">
        <f aca="false">IF($A79="","",MAX(0,$B79-$J79))</f>
        <v/>
      </c>
      <c r="L79" s="20" t="str">
        <f aca="false">IF($A79="","",IF($B79=0,0,$K79/$B79))</f>
        <v/>
      </c>
      <c r="M79" s="20" t="str">
        <f aca="false">IF($A79="","",IF($J79&lt;0,"BORCA BATIK",IF($I79&lt;$H79,"BORCA BATIK",IF($L79&gt;=TtkUcteIkiEsik,"2/3 KAYIP (KRİTİK)",IF($L79&gt;=TtkUcteBirEsik,"1/3 KAYIP (DİKKAT)","UYGUN")))))</f>
        <v/>
      </c>
      <c r="U79" s="20" t="str">
        <f aca="false">IF($N79="","",$Q79*$R79)</f>
        <v/>
      </c>
    </row>
    <row r="80" customFormat="false" ht="15" hidden="false" customHeight="false" outlineLevel="0" collapsed="false">
      <c r="J80" s="20" t="str">
        <f aca="false">IF($A80="","",$B80+$C80+$D80-$E80+$F80-$G80)</f>
        <v/>
      </c>
      <c r="K80" s="20" t="str">
        <f aca="false">IF($A80="","",MAX(0,$B80-$J80))</f>
        <v/>
      </c>
      <c r="L80" s="20" t="str">
        <f aca="false">IF($A80="","",IF($B80=0,0,$K80/$B80))</f>
        <v/>
      </c>
      <c r="M80" s="20" t="str">
        <f aca="false">IF($A80="","",IF($J80&lt;0,"BORCA BATIK",IF($I80&lt;$H80,"BORCA BATIK",IF($L80&gt;=TtkUcteIkiEsik,"2/3 KAYIP (KRİTİK)",IF($L80&gt;=TtkUcteBirEsik,"1/3 KAYIP (DİKKAT)","UYGUN")))))</f>
        <v/>
      </c>
      <c r="U80" s="20" t="str">
        <f aca="false">IF($N80="","",$Q80*$R80)</f>
        <v/>
      </c>
    </row>
    <row r="81" customFormat="false" ht="15" hidden="false" customHeight="false" outlineLevel="0" collapsed="false">
      <c r="J81" s="20" t="str">
        <f aca="false">IF($A81="","",$B81+$C81+$D81-$E81+$F81-$G81)</f>
        <v/>
      </c>
      <c r="K81" s="20" t="str">
        <f aca="false">IF($A81="","",MAX(0,$B81-$J81))</f>
        <v/>
      </c>
      <c r="L81" s="20" t="str">
        <f aca="false">IF($A81="","",IF($B81=0,0,$K81/$B81))</f>
        <v/>
      </c>
      <c r="M81" s="20" t="str">
        <f aca="false">IF($A81="","",IF($J81&lt;0,"BORCA BATIK",IF($I81&lt;$H81,"BORCA BATIK",IF($L81&gt;=TtkUcteIkiEsik,"2/3 KAYIP (KRİTİK)",IF($L81&gt;=TtkUcteBirEsik,"1/3 KAYIP (DİKKAT)","UYGUN")))))</f>
        <v/>
      </c>
      <c r="U81" s="20" t="str">
        <f aca="false">IF($N81="","",$Q81*$R81)</f>
        <v/>
      </c>
    </row>
    <row r="82" customFormat="false" ht="15" hidden="false" customHeight="false" outlineLevel="0" collapsed="false">
      <c r="J82" s="20" t="str">
        <f aca="false">IF($A82="","",$B82+$C82+$D82-$E82+$F82-$G82)</f>
        <v/>
      </c>
      <c r="K82" s="20" t="str">
        <f aca="false">IF($A82="","",MAX(0,$B82-$J82))</f>
        <v/>
      </c>
      <c r="L82" s="20" t="str">
        <f aca="false">IF($A82="","",IF($B82=0,0,$K82/$B82))</f>
        <v/>
      </c>
      <c r="M82" s="20" t="str">
        <f aca="false">IF($A82="","",IF($J82&lt;0,"BORCA BATIK",IF($I82&lt;$H82,"BORCA BATIK",IF($L82&gt;=TtkUcteIkiEsik,"2/3 KAYIP (KRİTİK)",IF($L82&gt;=TtkUcteBirEsik,"1/3 KAYIP (DİKKAT)","UYGUN")))))</f>
        <v/>
      </c>
      <c r="U82" s="20" t="str">
        <f aca="false">IF($N82="","",$Q82*$R82)</f>
        <v/>
      </c>
    </row>
    <row r="83" customFormat="false" ht="15" hidden="false" customHeight="false" outlineLevel="0" collapsed="false">
      <c r="J83" s="20" t="str">
        <f aca="false">IF($A83="","",$B83+$C83+$D83-$E83+$F83-$G83)</f>
        <v/>
      </c>
      <c r="K83" s="20" t="str">
        <f aca="false">IF($A83="","",MAX(0,$B83-$J83))</f>
        <v/>
      </c>
      <c r="L83" s="20" t="str">
        <f aca="false">IF($A83="","",IF($B83=0,0,$K83/$B83))</f>
        <v/>
      </c>
      <c r="M83" s="20" t="str">
        <f aca="false">IF($A83="","",IF($J83&lt;0,"BORCA BATIK",IF($I83&lt;$H83,"BORCA BATIK",IF($L83&gt;=TtkUcteIkiEsik,"2/3 KAYIP (KRİTİK)",IF($L83&gt;=TtkUcteBirEsik,"1/3 KAYIP (DİKKAT)","UYGUN")))))</f>
        <v/>
      </c>
      <c r="U83" s="20" t="str">
        <f aca="false">IF($N83="","",$Q83*$R83)</f>
        <v/>
      </c>
    </row>
    <row r="84" customFormat="false" ht="15" hidden="false" customHeight="false" outlineLevel="0" collapsed="false">
      <c r="J84" s="20" t="str">
        <f aca="false">IF($A84="","",$B84+$C84+$D84-$E84+$F84-$G84)</f>
        <v/>
      </c>
      <c r="K84" s="20" t="str">
        <f aca="false">IF($A84="","",MAX(0,$B84-$J84))</f>
        <v/>
      </c>
      <c r="L84" s="20" t="str">
        <f aca="false">IF($A84="","",IF($B84=0,0,$K84/$B84))</f>
        <v/>
      </c>
      <c r="M84" s="20" t="str">
        <f aca="false">IF($A84="","",IF($J84&lt;0,"BORCA BATIK",IF($I84&lt;$H84,"BORCA BATIK",IF($L84&gt;=TtkUcteIkiEsik,"2/3 KAYIP (KRİTİK)",IF($L84&gt;=TtkUcteBirEsik,"1/3 KAYIP (DİKKAT)","UYGUN")))))</f>
        <v/>
      </c>
      <c r="U84" s="20" t="str">
        <f aca="false">IF($N84="","",$Q84*$R84)</f>
        <v/>
      </c>
    </row>
    <row r="85" customFormat="false" ht="15" hidden="false" customHeight="false" outlineLevel="0" collapsed="false">
      <c r="J85" s="20" t="str">
        <f aca="false">IF($A85="","",$B85+$C85+$D85-$E85+$F85-$G85)</f>
        <v/>
      </c>
      <c r="K85" s="20" t="str">
        <f aca="false">IF($A85="","",MAX(0,$B85-$J85))</f>
        <v/>
      </c>
      <c r="L85" s="20" t="str">
        <f aca="false">IF($A85="","",IF($B85=0,0,$K85/$B85))</f>
        <v/>
      </c>
      <c r="M85" s="20" t="str">
        <f aca="false">IF($A85="","",IF($J85&lt;0,"BORCA BATIK",IF($I85&lt;$H85,"BORCA BATIK",IF($L85&gt;=TtkUcteIkiEsik,"2/3 KAYIP (KRİTİK)",IF($L85&gt;=TtkUcteBirEsik,"1/3 KAYIP (DİKKAT)","UYGUN")))))</f>
        <v/>
      </c>
      <c r="U85" s="20" t="str">
        <f aca="false">IF($N85="","",$Q85*$R85)</f>
        <v/>
      </c>
    </row>
    <row r="86" customFormat="false" ht="15" hidden="false" customHeight="false" outlineLevel="0" collapsed="false">
      <c r="J86" s="20" t="str">
        <f aca="false">IF($A86="","",$B86+$C86+$D86-$E86+$F86-$G86)</f>
        <v/>
      </c>
      <c r="K86" s="20" t="str">
        <f aca="false">IF($A86="","",MAX(0,$B86-$J86))</f>
        <v/>
      </c>
      <c r="L86" s="20" t="str">
        <f aca="false">IF($A86="","",IF($B86=0,0,$K86/$B86))</f>
        <v/>
      </c>
      <c r="M86" s="20" t="str">
        <f aca="false">IF($A86="","",IF($J86&lt;0,"BORCA BATIK",IF($I86&lt;$H86,"BORCA BATIK",IF($L86&gt;=TtkUcteIkiEsik,"2/3 KAYIP (KRİTİK)",IF($L86&gt;=TtkUcteBirEsik,"1/3 KAYIP (DİKKAT)","UYGUN")))))</f>
        <v/>
      </c>
      <c r="U86" s="20" t="str">
        <f aca="false">IF($N86="","",$Q86*$R86)</f>
        <v/>
      </c>
    </row>
    <row r="87" customFormat="false" ht="15" hidden="false" customHeight="false" outlineLevel="0" collapsed="false">
      <c r="J87" s="20" t="str">
        <f aca="false">IF($A87="","",$B87+$C87+$D87-$E87+$F87-$G87)</f>
        <v/>
      </c>
      <c r="K87" s="20" t="str">
        <f aca="false">IF($A87="","",MAX(0,$B87-$J87))</f>
        <v/>
      </c>
      <c r="L87" s="20" t="str">
        <f aca="false">IF($A87="","",IF($B87=0,0,$K87/$B87))</f>
        <v/>
      </c>
      <c r="M87" s="20" t="str">
        <f aca="false">IF($A87="","",IF($J87&lt;0,"BORCA BATIK",IF($I87&lt;$H87,"BORCA BATIK",IF($L87&gt;=TtkUcteIkiEsik,"2/3 KAYIP (KRİTİK)",IF($L87&gt;=TtkUcteBirEsik,"1/3 KAYIP (DİKKAT)","UYGUN")))))</f>
        <v/>
      </c>
      <c r="U87" s="20" t="str">
        <f aca="false">IF($N87="","",$Q87*$R87)</f>
        <v/>
      </c>
    </row>
    <row r="88" customFormat="false" ht="15" hidden="false" customHeight="false" outlineLevel="0" collapsed="false">
      <c r="J88" s="20" t="str">
        <f aca="false">IF($A88="","",$B88+$C88+$D88-$E88+$F88-$G88)</f>
        <v/>
      </c>
      <c r="K88" s="20" t="str">
        <f aca="false">IF($A88="","",MAX(0,$B88-$J88))</f>
        <v/>
      </c>
      <c r="L88" s="20" t="str">
        <f aca="false">IF($A88="","",IF($B88=0,0,$K88/$B88))</f>
        <v/>
      </c>
      <c r="M88" s="20" t="str">
        <f aca="false">IF($A88="","",IF($J88&lt;0,"BORCA BATIK",IF($I88&lt;$H88,"BORCA BATIK",IF($L88&gt;=TtkUcteIkiEsik,"2/3 KAYIP (KRİTİK)",IF($L88&gt;=TtkUcteBirEsik,"1/3 KAYIP (DİKKAT)","UYGUN")))))</f>
        <v/>
      </c>
      <c r="U88" s="20" t="str">
        <f aca="false">IF($N88="","",$Q88*$R88)</f>
        <v/>
      </c>
    </row>
    <row r="89" customFormat="false" ht="15" hidden="false" customHeight="false" outlineLevel="0" collapsed="false">
      <c r="J89" s="20" t="str">
        <f aca="false">IF($A89="","",$B89+$C89+$D89-$E89+$F89-$G89)</f>
        <v/>
      </c>
      <c r="K89" s="20" t="str">
        <f aca="false">IF($A89="","",MAX(0,$B89-$J89))</f>
        <v/>
      </c>
      <c r="L89" s="20" t="str">
        <f aca="false">IF($A89="","",IF($B89=0,0,$K89/$B89))</f>
        <v/>
      </c>
      <c r="M89" s="20" t="str">
        <f aca="false">IF($A89="","",IF($J89&lt;0,"BORCA BATIK",IF($I89&lt;$H89,"BORCA BATIK",IF($L89&gt;=TtkUcteIkiEsik,"2/3 KAYIP (KRİTİK)",IF($L89&gt;=TtkUcteBirEsik,"1/3 KAYIP (DİKKAT)","UYGUN")))))</f>
        <v/>
      </c>
      <c r="U89" s="20" t="str">
        <f aca="false">IF($N89="","",$Q89*$R89)</f>
        <v/>
      </c>
    </row>
    <row r="90" customFormat="false" ht="15" hidden="false" customHeight="false" outlineLevel="0" collapsed="false">
      <c r="J90" s="20" t="str">
        <f aca="false">IF($A90="","",$B90+$C90+$D90-$E90+$F90-$G90)</f>
        <v/>
      </c>
      <c r="K90" s="20" t="str">
        <f aca="false">IF($A90="","",MAX(0,$B90-$J90))</f>
        <v/>
      </c>
      <c r="L90" s="20" t="str">
        <f aca="false">IF($A90="","",IF($B90=0,0,$K90/$B90))</f>
        <v/>
      </c>
      <c r="M90" s="20" t="str">
        <f aca="false">IF($A90="","",IF($J90&lt;0,"BORCA BATIK",IF($I90&lt;$H90,"BORCA BATIK",IF($L90&gt;=TtkUcteIkiEsik,"2/3 KAYIP (KRİTİK)",IF($L90&gt;=TtkUcteBirEsik,"1/3 KAYIP (DİKKAT)","UYGUN")))))</f>
        <v/>
      </c>
      <c r="U90" s="20" t="str">
        <f aca="false">IF($N90="","",$Q90*$R90)</f>
        <v/>
      </c>
    </row>
    <row r="91" customFormat="false" ht="15" hidden="false" customHeight="false" outlineLevel="0" collapsed="false">
      <c r="J91" s="20" t="str">
        <f aca="false">IF($A91="","",$B91+$C91+$D91-$E91+$F91-$G91)</f>
        <v/>
      </c>
      <c r="K91" s="20" t="str">
        <f aca="false">IF($A91="","",MAX(0,$B91-$J91))</f>
        <v/>
      </c>
      <c r="L91" s="20" t="str">
        <f aca="false">IF($A91="","",IF($B91=0,0,$K91/$B91))</f>
        <v/>
      </c>
      <c r="M91" s="20" t="str">
        <f aca="false">IF($A91="","",IF($J91&lt;0,"BORCA BATIK",IF($I91&lt;$H91,"BORCA BATIK",IF($L91&gt;=TtkUcteIkiEsik,"2/3 KAYIP (KRİTİK)",IF($L91&gt;=TtkUcteBirEsik,"1/3 KAYIP (DİKKAT)","UYGUN")))))</f>
        <v/>
      </c>
      <c r="U91" s="20" t="str">
        <f aca="false">IF($N91="","",$Q91*$R91)</f>
        <v/>
      </c>
    </row>
    <row r="92" customFormat="false" ht="15" hidden="false" customHeight="false" outlineLevel="0" collapsed="false">
      <c r="J92" s="20" t="str">
        <f aca="false">IF($A92="","",$B92+$C92+$D92-$E92+$F92-$G92)</f>
        <v/>
      </c>
      <c r="K92" s="20" t="str">
        <f aca="false">IF($A92="","",MAX(0,$B92-$J92))</f>
        <v/>
      </c>
      <c r="L92" s="20" t="str">
        <f aca="false">IF($A92="","",IF($B92=0,0,$K92/$B92))</f>
        <v/>
      </c>
      <c r="M92" s="20" t="str">
        <f aca="false">IF($A92="","",IF($J92&lt;0,"BORCA BATIK",IF($I92&lt;$H92,"BORCA BATIK",IF($L92&gt;=TtkUcteIkiEsik,"2/3 KAYIP (KRİTİK)",IF($L92&gt;=TtkUcteBirEsik,"1/3 KAYIP (DİKKAT)","UYGUN")))))</f>
        <v/>
      </c>
      <c r="U92" s="20" t="str">
        <f aca="false">IF($N92="","",$Q92*$R92)</f>
        <v/>
      </c>
    </row>
    <row r="93" customFormat="false" ht="15" hidden="false" customHeight="false" outlineLevel="0" collapsed="false">
      <c r="J93" s="20" t="str">
        <f aca="false">IF($A93="","",$B93+$C93+$D93-$E93+$F93-$G93)</f>
        <v/>
      </c>
      <c r="K93" s="20" t="str">
        <f aca="false">IF($A93="","",MAX(0,$B93-$J93))</f>
        <v/>
      </c>
      <c r="L93" s="20" t="str">
        <f aca="false">IF($A93="","",IF($B93=0,0,$K93/$B93))</f>
        <v/>
      </c>
      <c r="M93" s="20" t="str">
        <f aca="false">IF($A93="","",IF($J93&lt;0,"BORCA BATIK",IF($I93&lt;$H93,"BORCA BATIK",IF($L93&gt;=TtkUcteIkiEsik,"2/3 KAYIP (KRİTİK)",IF($L93&gt;=TtkUcteBirEsik,"1/3 KAYIP (DİKKAT)","UYGUN")))))</f>
        <v/>
      </c>
      <c r="U93" s="20" t="str">
        <f aca="false">IF($N93="","",$Q93*$R93)</f>
        <v/>
      </c>
    </row>
    <row r="94" customFormat="false" ht="15" hidden="false" customHeight="false" outlineLevel="0" collapsed="false">
      <c r="J94" s="20" t="str">
        <f aca="false">IF($A94="","",$B94+$C94+$D94-$E94+$F94-$G94)</f>
        <v/>
      </c>
      <c r="K94" s="20" t="str">
        <f aca="false">IF($A94="","",MAX(0,$B94-$J94))</f>
        <v/>
      </c>
      <c r="L94" s="20" t="str">
        <f aca="false">IF($A94="","",IF($B94=0,0,$K94/$B94))</f>
        <v/>
      </c>
      <c r="M94" s="20" t="str">
        <f aca="false">IF($A94="","",IF($J94&lt;0,"BORCA BATIK",IF($I94&lt;$H94,"BORCA BATIK",IF($L94&gt;=TtkUcteIkiEsik,"2/3 KAYIP (KRİTİK)",IF($L94&gt;=TtkUcteBirEsik,"1/3 KAYIP (DİKKAT)","UYGUN")))))</f>
        <v/>
      </c>
      <c r="U94" s="20" t="str">
        <f aca="false">IF($N94="","",$Q94*$R94)</f>
        <v/>
      </c>
    </row>
    <row r="95" customFormat="false" ht="15" hidden="false" customHeight="false" outlineLevel="0" collapsed="false">
      <c r="J95" s="20" t="str">
        <f aca="false">IF($A95="","",$B95+$C95+$D95-$E95+$F95-$G95)</f>
        <v/>
      </c>
      <c r="K95" s="20" t="str">
        <f aca="false">IF($A95="","",MAX(0,$B95-$J95))</f>
        <v/>
      </c>
      <c r="L95" s="20" t="str">
        <f aca="false">IF($A95="","",IF($B95=0,0,$K95/$B95))</f>
        <v/>
      </c>
      <c r="M95" s="20" t="str">
        <f aca="false">IF($A95="","",IF($J95&lt;0,"BORCA BATIK",IF($I95&lt;$H95,"BORCA BATIK",IF($L95&gt;=TtkUcteIkiEsik,"2/3 KAYIP (KRİTİK)",IF($L95&gt;=TtkUcteBirEsik,"1/3 KAYIP (DİKKAT)","UYGUN")))))</f>
        <v/>
      </c>
      <c r="U95" s="20" t="str">
        <f aca="false">IF($N95="","",$Q95*$R95)</f>
        <v/>
      </c>
    </row>
    <row r="96" customFormat="false" ht="15" hidden="false" customHeight="false" outlineLevel="0" collapsed="false">
      <c r="J96" s="20" t="str">
        <f aca="false">IF($A96="","",$B96+$C96+$D96-$E96+$F96-$G96)</f>
        <v/>
      </c>
      <c r="K96" s="20" t="str">
        <f aca="false">IF($A96="","",MAX(0,$B96-$J96))</f>
        <v/>
      </c>
      <c r="L96" s="20" t="str">
        <f aca="false">IF($A96="","",IF($B96=0,0,$K96/$B96))</f>
        <v/>
      </c>
      <c r="M96" s="20" t="str">
        <f aca="false">IF($A96="","",IF($J96&lt;0,"BORCA BATIK",IF($I96&lt;$H96,"BORCA BATIK",IF($L96&gt;=TtkUcteIkiEsik,"2/3 KAYIP (KRİTİK)",IF($L96&gt;=TtkUcteBirEsik,"1/3 KAYIP (DİKKAT)","UYGUN")))))</f>
        <v/>
      </c>
      <c r="U96" s="20" t="str">
        <f aca="false">IF($N96="","",$Q96*$R96)</f>
        <v/>
      </c>
    </row>
    <row r="97" customFormat="false" ht="15" hidden="false" customHeight="false" outlineLevel="0" collapsed="false">
      <c r="J97" s="20" t="str">
        <f aca="false">IF($A97="","",$B97+$C97+$D97-$E97+$F97-$G97)</f>
        <v/>
      </c>
      <c r="K97" s="20" t="str">
        <f aca="false">IF($A97="","",MAX(0,$B97-$J97))</f>
        <v/>
      </c>
      <c r="L97" s="20" t="str">
        <f aca="false">IF($A97="","",IF($B97=0,0,$K97/$B97))</f>
        <v/>
      </c>
      <c r="M97" s="20" t="str">
        <f aca="false">IF($A97="","",IF($J97&lt;0,"BORCA BATIK",IF($I97&lt;$H97,"BORCA BATIK",IF($L97&gt;=TtkUcteIkiEsik,"2/3 KAYIP (KRİTİK)",IF($L97&gt;=TtkUcteBirEsik,"1/3 KAYIP (DİKKAT)","UYGUN")))))</f>
        <v/>
      </c>
      <c r="U97" s="20" t="str">
        <f aca="false">IF($N97="","",$Q97*$R97)</f>
        <v/>
      </c>
    </row>
    <row r="98" customFormat="false" ht="15" hidden="false" customHeight="false" outlineLevel="0" collapsed="false">
      <c r="J98" s="20" t="str">
        <f aca="false">IF($A98="","",$B98+$C98+$D98-$E98+$F98-$G98)</f>
        <v/>
      </c>
      <c r="K98" s="20" t="str">
        <f aca="false">IF($A98="","",MAX(0,$B98-$J98))</f>
        <v/>
      </c>
      <c r="L98" s="20" t="str">
        <f aca="false">IF($A98="","",IF($B98=0,0,$K98/$B98))</f>
        <v/>
      </c>
      <c r="M98" s="20" t="str">
        <f aca="false">IF($A98="","",IF($J98&lt;0,"BORCA BATIK",IF($I98&lt;$H98,"BORCA BATIK",IF($L98&gt;=TtkUcteIkiEsik,"2/3 KAYIP (KRİTİK)",IF($L98&gt;=TtkUcteBirEsik,"1/3 KAYIP (DİKKAT)","UYGUN")))))</f>
        <v/>
      </c>
      <c r="U98" s="20" t="str">
        <f aca="false">IF($N98="","",$Q98*$R98)</f>
        <v/>
      </c>
    </row>
    <row r="99" customFormat="false" ht="15" hidden="false" customHeight="false" outlineLevel="0" collapsed="false">
      <c r="J99" s="20" t="str">
        <f aca="false">IF($A99="","",$B99+$C99+$D99-$E99+$F99-$G99)</f>
        <v/>
      </c>
      <c r="K99" s="20" t="str">
        <f aca="false">IF($A99="","",MAX(0,$B99-$J99))</f>
        <v/>
      </c>
      <c r="L99" s="20" t="str">
        <f aca="false">IF($A99="","",IF($B99=0,0,$K99/$B99))</f>
        <v/>
      </c>
      <c r="M99" s="20" t="str">
        <f aca="false">IF($A99="","",IF($J99&lt;0,"BORCA BATIK",IF($I99&lt;$H99,"BORCA BATIK",IF($L99&gt;=TtkUcteIkiEsik,"2/3 KAYIP (KRİTİK)",IF($L99&gt;=TtkUcteBirEsik,"1/3 KAYIP (DİKKAT)","UYGUN")))))</f>
        <v/>
      </c>
      <c r="U99" s="20" t="str">
        <f aca="false">IF($N99="","",$Q99*$R99)</f>
        <v/>
      </c>
    </row>
    <row r="100" customFormat="false" ht="15" hidden="false" customHeight="false" outlineLevel="0" collapsed="false">
      <c r="J100" s="20" t="str">
        <f aca="false">IF($A100="","",$B100+$C100+$D100-$E100+$F100-$G100)</f>
        <v/>
      </c>
      <c r="K100" s="20" t="str">
        <f aca="false">IF($A100="","",MAX(0,$B100-$J100))</f>
        <v/>
      </c>
      <c r="L100" s="20" t="str">
        <f aca="false">IF($A100="","",IF($B100=0,0,$K100/$B100))</f>
        <v/>
      </c>
      <c r="M100" s="20" t="str">
        <f aca="false">IF($A100="","",IF($J100&lt;0,"BORCA BATIK",IF($I100&lt;$H100,"BORCA BATIK",IF($L100&gt;=TtkUcteIkiEsik,"2/3 KAYIP (KRİTİK)",IF($L100&gt;=TtkUcteBirEsik,"1/3 KAYIP (DİKKAT)","UYGUN")))))</f>
        <v/>
      </c>
      <c r="U100" s="20" t="str">
        <f aca="false">IF($N100="","",$Q100*$R100)</f>
        <v/>
      </c>
    </row>
    <row r="101" customFormat="false" ht="15" hidden="false" customHeight="false" outlineLevel="0" collapsed="false">
      <c r="J101" s="20" t="str">
        <f aca="false">IF($A101="","",$B101+$C101+$D101-$E101+$F101-$G101)</f>
        <v/>
      </c>
      <c r="K101" s="20" t="str">
        <f aca="false">IF($A101="","",MAX(0,$B101-$J101))</f>
        <v/>
      </c>
      <c r="L101" s="20" t="str">
        <f aca="false">IF($A101="","",IF($B101=0,0,$K101/$B101))</f>
        <v/>
      </c>
      <c r="M101" s="20" t="str">
        <f aca="false">IF($A101="","",IF($J101&lt;0,"BORCA BATIK",IF($I101&lt;$H101,"BORCA BATIK",IF($L101&gt;=TtkUcteIkiEsik,"2/3 KAYIP (KRİTİK)",IF($L101&gt;=TtkUcteBirEsik,"1/3 KAYIP (DİKKAT)","UYGUN")))))</f>
        <v/>
      </c>
      <c r="U101" s="20" t="str">
        <f aca="false">IF($N101="","",$Q101*$R101)</f>
        <v/>
      </c>
    </row>
    <row r="102" customFormat="false" ht="15" hidden="false" customHeight="false" outlineLevel="0" collapsed="false">
      <c r="J102" s="20" t="str">
        <f aca="false">IF($A102="","",$B102+$C102+$D102-$E102+$F102-$G102)</f>
        <v/>
      </c>
      <c r="K102" s="20" t="str">
        <f aca="false">IF($A102="","",MAX(0,$B102-$J102))</f>
        <v/>
      </c>
      <c r="L102" s="20" t="str">
        <f aca="false">IF($A102="","",IF($B102=0,0,$K102/$B102))</f>
        <v/>
      </c>
      <c r="M102" s="20" t="str">
        <f aca="false">IF($A102="","",IF($J102&lt;0,"BORCA BATIK",IF($I102&lt;$H102,"BORCA BATIK",IF($L102&gt;=TtkUcteIkiEsik,"2/3 KAYIP (KRİTİK)",IF($L102&gt;=TtkUcteBirEsik,"1/3 KAYIP (DİKKAT)","UYGUN")))))</f>
        <v/>
      </c>
      <c r="U102" s="20" t="str">
        <f aca="false">IF($N102="","",$Q102*$R102)</f>
        <v/>
      </c>
    </row>
    <row r="103" customFormat="false" ht="15" hidden="false" customHeight="false" outlineLevel="0" collapsed="false">
      <c r="J103" s="20" t="str">
        <f aca="false">IF($A103="","",$B103+$C103+$D103-$E103+$F103-$G103)</f>
        <v/>
      </c>
      <c r="K103" s="20" t="str">
        <f aca="false">IF($A103="","",MAX(0,$B103-$J103))</f>
        <v/>
      </c>
      <c r="L103" s="20" t="str">
        <f aca="false">IF($A103="","",IF($B103=0,0,$K103/$B103))</f>
        <v/>
      </c>
      <c r="M103" s="20" t="str">
        <f aca="false">IF($A103="","",IF($J103&lt;0,"BORCA BATIK",IF($I103&lt;$H103,"BORCA BATIK",IF($L103&gt;=TtkUcteIkiEsik,"2/3 KAYIP (KRİTİK)",IF($L103&gt;=TtkUcteBirEsik,"1/3 KAYIP (DİKKAT)","UYGUN")))))</f>
        <v/>
      </c>
      <c r="U103" s="20" t="str">
        <f aca="false">IF($N103="","",$Q103*$R103)</f>
        <v/>
      </c>
    </row>
    <row r="104" customFormat="false" ht="15" hidden="false" customHeight="false" outlineLevel="0" collapsed="false">
      <c r="J104" s="20" t="str">
        <f aca="false">IF($A104="","",$B104+$C104+$D104-$E104+$F104-$G104)</f>
        <v/>
      </c>
      <c r="K104" s="20" t="str">
        <f aca="false">IF($A104="","",MAX(0,$B104-$J104))</f>
        <v/>
      </c>
      <c r="L104" s="20" t="str">
        <f aca="false">IF($A104="","",IF($B104=0,0,$K104/$B104))</f>
        <v/>
      </c>
      <c r="M104" s="20" t="str">
        <f aca="false">IF($A104="","",IF($J104&lt;0,"BORCA BATIK",IF($I104&lt;$H104,"BORCA BATIK",IF($L104&gt;=TtkUcteIkiEsik,"2/3 KAYIP (KRİTİK)",IF($L104&gt;=TtkUcteBirEsik,"1/3 KAYIP (DİKKAT)","UYGUN")))))</f>
        <v/>
      </c>
      <c r="U104" s="20" t="str">
        <f aca="false">IF($N104="","",$Q104*$R104)</f>
        <v/>
      </c>
    </row>
    <row r="105" customFormat="false" ht="15" hidden="false" customHeight="false" outlineLevel="0" collapsed="false">
      <c r="J105" s="20" t="str">
        <f aca="false">IF($A105="","",$B105+$C105+$D105-$E105+$F105-$G105)</f>
        <v/>
      </c>
      <c r="K105" s="20" t="str">
        <f aca="false">IF($A105="","",MAX(0,$B105-$J105))</f>
        <v/>
      </c>
      <c r="L105" s="20" t="str">
        <f aca="false">IF($A105="","",IF($B105=0,0,$K105/$B105))</f>
        <v/>
      </c>
      <c r="M105" s="20" t="str">
        <f aca="false">IF($A105="","",IF($J105&lt;0,"BORCA BATIK",IF($I105&lt;$H105,"BORCA BATIK",IF($L105&gt;=TtkUcteIkiEsik,"2/3 KAYIP (KRİTİK)",IF($L105&gt;=TtkUcteBirEsik,"1/3 KAYIP (DİKKAT)","UYGUN")))))</f>
        <v/>
      </c>
      <c r="U105" s="20" t="str">
        <f aca="false">IF($N105="","",$Q105*$R105)</f>
        <v/>
      </c>
    </row>
    <row r="106" customFormat="false" ht="15" hidden="false" customHeight="false" outlineLevel="0" collapsed="false">
      <c r="J106" s="20" t="str">
        <f aca="false">IF($A106="","",$B106+$C106+$D106-$E106+$F106-$G106)</f>
        <v/>
      </c>
      <c r="K106" s="20" t="str">
        <f aca="false">IF($A106="","",MAX(0,$B106-$J106))</f>
        <v/>
      </c>
      <c r="L106" s="20" t="str">
        <f aca="false">IF($A106="","",IF($B106=0,0,$K106/$B106))</f>
        <v/>
      </c>
      <c r="M106" s="20" t="str">
        <f aca="false">IF($A106="","",IF($J106&lt;0,"BORCA BATIK",IF($I106&lt;$H106,"BORCA BATIK",IF($L106&gt;=TtkUcteIkiEsik,"2/3 KAYIP (KRİTİK)",IF($L106&gt;=TtkUcteBirEsik,"1/3 KAYIP (DİKKAT)","UYGUN")))))</f>
        <v/>
      </c>
      <c r="U106" s="20" t="str">
        <f aca="false">IF($N106="","",$Q106*$R106)</f>
        <v/>
      </c>
    </row>
    <row r="107" customFormat="false" ht="15" hidden="false" customHeight="false" outlineLevel="0" collapsed="false">
      <c r="J107" s="20" t="str">
        <f aca="false">IF($A107="","",$B107+$C107+$D107-$E107+$F107-$G107)</f>
        <v/>
      </c>
      <c r="K107" s="20" t="str">
        <f aca="false">IF($A107="","",MAX(0,$B107-$J107))</f>
        <v/>
      </c>
      <c r="L107" s="20" t="str">
        <f aca="false">IF($A107="","",IF($B107=0,0,$K107/$B107))</f>
        <v/>
      </c>
      <c r="M107" s="20" t="str">
        <f aca="false">IF($A107="","",IF($J107&lt;0,"BORCA BATIK",IF($I107&lt;$H107,"BORCA BATIK",IF($L107&gt;=TtkUcteIkiEsik,"2/3 KAYIP (KRİTİK)",IF($L107&gt;=TtkUcteBirEsik,"1/3 KAYIP (DİKKAT)","UYGUN")))))</f>
        <v/>
      </c>
      <c r="U107" s="20" t="str">
        <f aca="false">IF($N107="","",$Q107*$R107)</f>
        <v/>
      </c>
    </row>
    <row r="108" customFormat="false" ht="15" hidden="false" customHeight="false" outlineLevel="0" collapsed="false">
      <c r="J108" s="20" t="str">
        <f aca="false">IF($A108="","",$B108+$C108+$D108-$E108+$F108-$G108)</f>
        <v/>
      </c>
      <c r="K108" s="20" t="str">
        <f aca="false">IF($A108="","",MAX(0,$B108-$J108))</f>
        <v/>
      </c>
      <c r="L108" s="20" t="str">
        <f aca="false">IF($A108="","",IF($B108=0,0,$K108/$B108))</f>
        <v/>
      </c>
      <c r="M108" s="20" t="str">
        <f aca="false">IF($A108="","",IF($J108&lt;0,"BORCA BATIK",IF($I108&lt;$H108,"BORCA BATIK",IF($L108&gt;=TtkUcteIkiEsik,"2/3 KAYIP (KRİTİK)",IF($L108&gt;=TtkUcteBirEsik,"1/3 KAYIP (DİKKAT)","UYGUN")))))</f>
        <v/>
      </c>
      <c r="U108" s="20" t="str">
        <f aca="false">IF($N108="","",$Q108*$R108)</f>
        <v/>
      </c>
    </row>
    <row r="109" customFormat="false" ht="15" hidden="false" customHeight="false" outlineLevel="0" collapsed="false">
      <c r="J109" s="20" t="str">
        <f aca="false">IF($A109="","",$B109+$C109+$D109-$E109+$F109-$G109)</f>
        <v/>
      </c>
      <c r="K109" s="20" t="str">
        <f aca="false">IF($A109="","",MAX(0,$B109-$J109))</f>
        <v/>
      </c>
      <c r="L109" s="20" t="str">
        <f aca="false">IF($A109="","",IF($B109=0,0,$K109/$B109))</f>
        <v/>
      </c>
      <c r="M109" s="20" t="str">
        <f aca="false">IF($A109="","",IF($J109&lt;0,"BORCA BATIK",IF($I109&lt;$H109,"BORCA BATIK",IF($L109&gt;=TtkUcteIkiEsik,"2/3 KAYIP (KRİTİK)",IF($L109&gt;=TtkUcteBirEsik,"1/3 KAYIP (DİKKAT)","UYGUN")))))</f>
        <v/>
      </c>
      <c r="U109" s="20" t="str">
        <f aca="false">IF($N109="","",$Q109*$R109)</f>
        <v/>
      </c>
    </row>
    <row r="110" customFormat="false" ht="15" hidden="false" customHeight="false" outlineLevel="0" collapsed="false">
      <c r="J110" s="20" t="str">
        <f aca="false">IF($A110="","",$B110+$C110+$D110-$E110+$F110-$G110)</f>
        <v/>
      </c>
      <c r="K110" s="20" t="str">
        <f aca="false">IF($A110="","",MAX(0,$B110-$J110))</f>
        <v/>
      </c>
      <c r="L110" s="20" t="str">
        <f aca="false">IF($A110="","",IF($B110=0,0,$K110/$B110))</f>
        <v/>
      </c>
      <c r="M110" s="20" t="str">
        <f aca="false">IF($A110="","",IF($J110&lt;0,"BORCA BATIK",IF($I110&lt;$H110,"BORCA BATIK",IF($L110&gt;=TtkUcteIkiEsik,"2/3 KAYIP (KRİTİK)",IF($L110&gt;=TtkUcteBirEsik,"1/3 KAYIP (DİKKAT)","UYGUN")))))</f>
        <v/>
      </c>
      <c r="U110" s="20" t="str">
        <f aca="false">IF($N110="","",$Q110*$R110)</f>
        <v/>
      </c>
    </row>
    <row r="111" customFormat="false" ht="15" hidden="false" customHeight="false" outlineLevel="0" collapsed="false">
      <c r="J111" s="20" t="str">
        <f aca="false">IF($A111="","",$B111+$C111+$D111-$E111+$F111-$G111)</f>
        <v/>
      </c>
      <c r="K111" s="20" t="str">
        <f aca="false">IF($A111="","",MAX(0,$B111-$J111))</f>
        <v/>
      </c>
      <c r="L111" s="20" t="str">
        <f aca="false">IF($A111="","",IF($B111=0,0,$K111/$B111))</f>
        <v/>
      </c>
      <c r="M111" s="20" t="str">
        <f aca="false">IF($A111="","",IF($J111&lt;0,"BORCA BATIK",IF($I111&lt;$H111,"BORCA BATIK",IF($L111&gt;=TtkUcteIkiEsik,"2/3 KAYIP (KRİTİK)",IF($L111&gt;=TtkUcteBirEsik,"1/3 KAYIP (DİKKAT)","UYGUN")))))</f>
        <v/>
      </c>
      <c r="U111" s="20" t="str">
        <f aca="false">IF($N111="","",$Q111*$R111)</f>
        <v/>
      </c>
    </row>
    <row r="112" customFormat="false" ht="15" hidden="false" customHeight="false" outlineLevel="0" collapsed="false">
      <c r="J112" s="20" t="str">
        <f aca="false">IF($A112="","",$B112+$C112+$D112-$E112+$F112-$G112)</f>
        <v/>
      </c>
      <c r="K112" s="20" t="str">
        <f aca="false">IF($A112="","",MAX(0,$B112-$J112))</f>
        <v/>
      </c>
      <c r="L112" s="20" t="str">
        <f aca="false">IF($A112="","",IF($B112=0,0,$K112/$B112))</f>
        <v/>
      </c>
      <c r="M112" s="20" t="str">
        <f aca="false">IF($A112="","",IF($J112&lt;0,"BORCA BATIK",IF($I112&lt;$H112,"BORCA BATIK",IF($L112&gt;=TtkUcteIkiEsik,"2/3 KAYIP (KRİTİK)",IF($L112&gt;=TtkUcteBirEsik,"1/3 KAYIP (DİKKAT)","UYGUN")))))</f>
        <v/>
      </c>
      <c r="U112" s="20" t="str">
        <f aca="false">IF($N112="","",$Q112*$R112)</f>
        <v/>
      </c>
    </row>
    <row r="113" customFormat="false" ht="15" hidden="false" customHeight="false" outlineLevel="0" collapsed="false">
      <c r="J113" s="20" t="str">
        <f aca="false">IF($A113="","",$B113+$C113+$D113-$E113+$F113-$G113)</f>
        <v/>
      </c>
      <c r="K113" s="20" t="str">
        <f aca="false">IF($A113="","",MAX(0,$B113-$J113))</f>
        <v/>
      </c>
      <c r="L113" s="20" t="str">
        <f aca="false">IF($A113="","",IF($B113=0,0,$K113/$B113))</f>
        <v/>
      </c>
      <c r="M113" s="20" t="str">
        <f aca="false">IF($A113="","",IF($J113&lt;0,"BORCA BATIK",IF($I113&lt;$H113,"BORCA BATIK",IF($L113&gt;=TtkUcteIkiEsik,"2/3 KAYIP (KRİTİK)",IF($L113&gt;=TtkUcteBirEsik,"1/3 KAYIP (DİKKAT)","UYGUN")))))</f>
        <v/>
      </c>
      <c r="U113" s="20" t="str">
        <f aca="false">IF($N113="","",$Q113*$R113)</f>
        <v/>
      </c>
    </row>
    <row r="114" customFormat="false" ht="15" hidden="false" customHeight="false" outlineLevel="0" collapsed="false">
      <c r="J114" s="20" t="str">
        <f aca="false">IF($A114="","",$B114+$C114+$D114-$E114+$F114-$G114)</f>
        <v/>
      </c>
      <c r="K114" s="20" t="str">
        <f aca="false">IF($A114="","",MAX(0,$B114-$J114))</f>
        <v/>
      </c>
      <c r="L114" s="20" t="str">
        <f aca="false">IF($A114="","",IF($B114=0,0,$K114/$B114))</f>
        <v/>
      </c>
      <c r="M114" s="20" t="str">
        <f aca="false">IF($A114="","",IF($J114&lt;0,"BORCA BATIK",IF($I114&lt;$H114,"BORCA BATIK",IF($L114&gt;=TtkUcteIkiEsik,"2/3 KAYIP (KRİTİK)",IF($L114&gt;=TtkUcteBirEsik,"1/3 KAYIP (DİKKAT)","UYGUN")))))</f>
        <v/>
      </c>
      <c r="U114" s="20" t="str">
        <f aca="false">IF($N114="","",$Q114*$R114)</f>
        <v/>
      </c>
    </row>
    <row r="115" customFormat="false" ht="15" hidden="false" customHeight="false" outlineLevel="0" collapsed="false">
      <c r="J115" s="20" t="str">
        <f aca="false">IF($A115="","",$B115+$C115+$D115-$E115+$F115-$G115)</f>
        <v/>
      </c>
      <c r="K115" s="20" t="str">
        <f aca="false">IF($A115="","",MAX(0,$B115-$J115))</f>
        <v/>
      </c>
      <c r="L115" s="20" t="str">
        <f aca="false">IF($A115="","",IF($B115=0,0,$K115/$B115))</f>
        <v/>
      </c>
      <c r="M115" s="20" t="str">
        <f aca="false">IF($A115="","",IF($J115&lt;0,"BORCA BATIK",IF($I115&lt;$H115,"BORCA BATIK",IF($L115&gt;=TtkUcteIkiEsik,"2/3 KAYIP (KRİTİK)",IF($L115&gt;=TtkUcteBirEsik,"1/3 KAYIP (DİKKAT)","UYGUN")))))</f>
        <v/>
      </c>
      <c r="U115" s="20" t="str">
        <f aca="false">IF($N115="","",$Q115*$R115)</f>
        <v/>
      </c>
    </row>
    <row r="116" customFormat="false" ht="15" hidden="false" customHeight="false" outlineLevel="0" collapsed="false">
      <c r="J116" s="20" t="str">
        <f aca="false">IF($A116="","",$B116+$C116+$D116-$E116+$F116-$G116)</f>
        <v/>
      </c>
      <c r="K116" s="20" t="str">
        <f aca="false">IF($A116="","",MAX(0,$B116-$J116))</f>
        <v/>
      </c>
      <c r="L116" s="20" t="str">
        <f aca="false">IF($A116="","",IF($B116=0,0,$K116/$B116))</f>
        <v/>
      </c>
      <c r="M116" s="20" t="str">
        <f aca="false">IF($A116="","",IF($J116&lt;0,"BORCA BATIK",IF($I116&lt;$H116,"BORCA BATIK",IF($L116&gt;=TtkUcteIkiEsik,"2/3 KAYIP (KRİTİK)",IF($L116&gt;=TtkUcteBirEsik,"1/3 KAYIP (DİKKAT)","UYGUN")))))</f>
        <v/>
      </c>
      <c r="U116" s="20" t="str">
        <f aca="false">IF($N116="","",$Q116*$R116)</f>
        <v/>
      </c>
    </row>
    <row r="117" customFormat="false" ht="15" hidden="false" customHeight="false" outlineLevel="0" collapsed="false">
      <c r="J117" s="20" t="str">
        <f aca="false">IF($A117="","",$B117+$C117+$D117-$E117+$F117-$G117)</f>
        <v/>
      </c>
      <c r="K117" s="20" t="str">
        <f aca="false">IF($A117="","",MAX(0,$B117-$J117))</f>
        <v/>
      </c>
      <c r="L117" s="20" t="str">
        <f aca="false">IF($A117="","",IF($B117=0,0,$K117/$B117))</f>
        <v/>
      </c>
      <c r="M117" s="20" t="str">
        <f aca="false">IF($A117="","",IF($J117&lt;0,"BORCA BATIK",IF($I117&lt;$H117,"BORCA BATIK",IF($L117&gt;=TtkUcteIkiEsik,"2/3 KAYIP (KRİTİK)",IF($L117&gt;=TtkUcteBirEsik,"1/3 KAYIP (DİKKAT)","UYGUN")))))</f>
        <v/>
      </c>
      <c r="U117" s="20" t="str">
        <f aca="false">IF($N117="","",$Q117*$R117)</f>
        <v/>
      </c>
    </row>
    <row r="118" customFormat="false" ht="15" hidden="false" customHeight="false" outlineLevel="0" collapsed="false">
      <c r="J118" s="20" t="str">
        <f aca="false">IF($A118="","",$B118+$C118+$D118-$E118+$F118-$G118)</f>
        <v/>
      </c>
      <c r="K118" s="20" t="str">
        <f aca="false">IF($A118="","",MAX(0,$B118-$J118))</f>
        <v/>
      </c>
      <c r="L118" s="20" t="str">
        <f aca="false">IF($A118="","",IF($B118=0,0,$K118/$B118))</f>
        <v/>
      </c>
      <c r="M118" s="20" t="str">
        <f aca="false">IF($A118="","",IF($J118&lt;0,"BORCA BATIK",IF($I118&lt;$H118,"BORCA BATIK",IF($L118&gt;=TtkUcteIkiEsik,"2/3 KAYIP (KRİTİK)",IF($L118&gt;=TtkUcteBirEsik,"1/3 KAYIP (DİKKAT)","UYGUN")))))</f>
        <v/>
      </c>
      <c r="U118" s="20" t="str">
        <f aca="false">IF($N118="","",$Q118*$R118)</f>
        <v/>
      </c>
    </row>
    <row r="119" customFormat="false" ht="15" hidden="false" customHeight="false" outlineLevel="0" collapsed="false">
      <c r="J119" s="20" t="str">
        <f aca="false">IF($A119="","",$B119+$C119+$D119-$E119+$F119-$G119)</f>
        <v/>
      </c>
      <c r="K119" s="20" t="str">
        <f aca="false">IF($A119="","",MAX(0,$B119-$J119))</f>
        <v/>
      </c>
      <c r="L119" s="20" t="str">
        <f aca="false">IF($A119="","",IF($B119=0,0,$K119/$B119))</f>
        <v/>
      </c>
      <c r="M119" s="20" t="str">
        <f aca="false">IF($A119="","",IF($J119&lt;0,"BORCA BATIK",IF($I119&lt;$H119,"BORCA BATIK",IF($L119&gt;=TtkUcteIkiEsik,"2/3 KAYIP (KRİTİK)",IF($L119&gt;=TtkUcteBirEsik,"1/3 KAYIP (DİKKAT)","UYGUN")))))</f>
        <v/>
      </c>
      <c r="U119" s="20" t="str">
        <f aca="false">IF($N119="","",$Q119*$R119)</f>
        <v/>
      </c>
    </row>
    <row r="120" customFormat="false" ht="15" hidden="false" customHeight="false" outlineLevel="0" collapsed="false">
      <c r="J120" s="20" t="str">
        <f aca="false">IF($A120="","",$B120+$C120+$D120-$E120+$F120-$G120)</f>
        <v/>
      </c>
      <c r="K120" s="20" t="str">
        <f aca="false">IF($A120="","",MAX(0,$B120-$J120))</f>
        <v/>
      </c>
      <c r="L120" s="20" t="str">
        <f aca="false">IF($A120="","",IF($B120=0,0,$K120/$B120))</f>
        <v/>
      </c>
      <c r="M120" s="20" t="str">
        <f aca="false">IF($A120="","",IF($J120&lt;0,"BORCA BATIK",IF($I120&lt;$H120,"BORCA BATIK",IF($L120&gt;=TtkUcteIkiEsik,"2/3 KAYIP (KRİTİK)",IF($L120&gt;=TtkUcteBirEsik,"1/3 KAYIP (DİKKAT)","UYGUN")))))</f>
        <v/>
      </c>
      <c r="U120" s="20" t="str">
        <f aca="false">IF($N120="","",$Q120*$R120)</f>
        <v/>
      </c>
    </row>
    <row r="121" customFormat="false" ht="15" hidden="false" customHeight="false" outlineLevel="0" collapsed="false">
      <c r="J121" s="20" t="str">
        <f aca="false">IF($A121="","",$B121+$C121+$D121-$E121+$F121-$G121)</f>
        <v/>
      </c>
      <c r="K121" s="20" t="str">
        <f aca="false">IF($A121="","",MAX(0,$B121-$J121))</f>
        <v/>
      </c>
      <c r="L121" s="20" t="str">
        <f aca="false">IF($A121="","",IF($B121=0,0,$K121/$B121))</f>
        <v/>
      </c>
      <c r="M121" s="20" t="str">
        <f aca="false">IF($A121="","",IF($J121&lt;0,"BORCA BATIK",IF($I121&lt;$H121,"BORCA BATIK",IF($L121&gt;=TtkUcteIkiEsik,"2/3 KAYIP (KRİTİK)",IF($L121&gt;=TtkUcteBirEsik,"1/3 KAYIP (DİKKAT)","UYGUN")))))</f>
        <v/>
      </c>
      <c r="U121" s="20" t="str">
        <f aca="false">IF($N121="","",$Q121*$R121)</f>
        <v/>
      </c>
    </row>
    <row r="122" customFormat="false" ht="15" hidden="false" customHeight="false" outlineLevel="0" collapsed="false">
      <c r="J122" s="20" t="str">
        <f aca="false">IF($A122="","",$B122+$C122+$D122-$E122+$F122-$G122)</f>
        <v/>
      </c>
      <c r="K122" s="20" t="str">
        <f aca="false">IF($A122="","",MAX(0,$B122-$J122))</f>
        <v/>
      </c>
      <c r="L122" s="20" t="str">
        <f aca="false">IF($A122="","",IF($B122=0,0,$K122/$B122))</f>
        <v/>
      </c>
      <c r="M122" s="20" t="str">
        <f aca="false">IF($A122="","",IF($J122&lt;0,"BORCA BATIK",IF($I122&lt;$H122,"BORCA BATIK",IF($L122&gt;=TtkUcteIkiEsik,"2/3 KAYIP (KRİTİK)",IF($L122&gt;=TtkUcteBirEsik,"1/3 KAYIP (DİKKAT)","UYGUN")))))</f>
        <v/>
      </c>
      <c r="U122" s="20" t="str">
        <f aca="false">IF($N122="","",$Q122*$R122)</f>
        <v/>
      </c>
    </row>
    <row r="123" customFormat="false" ht="15" hidden="false" customHeight="false" outlineLevel="0" collapsed="false">
      <c r="J123" s="20" t="str">
        <f aca="false">IF($A123="","",$B123+$C123+$D123-$E123+$F123-$G123)</f>
        <v/>
      </c>
      <c r="K123" s="20" t="str">
        <f aca="false">IF($A123="","",MAX(0,$B123-$J123))</f>
        <v/>
      </c>
      <c r="L123" s="20" t="str">
        <f aca="false">IF($A123="","",IF($B123=0,0,$K123/$B123))</f>
        <v/>
      </c>
      <c r="M123" s="20" t="str">
        <f aca="false">IF($A123="","",IF($J123&lt;0,"BORCA BATIK",IF($I123&lt;$H123,"BORCA BATIK",IF($L123&gt;=TtkUcteIkiEsik,"2/3 KAYIP (KRİTİK)",IF($L123&gt;=TtkUcteBirEsik,"1/3 KAYIP (DİKKAT)","UYGUN")))))</f>
        <v/>
      </c>
      <c r="U123" s="20" t="str">
        <f aca="false">IF($N123="","",$Q123*$R123)</f>
        <v/>
      </c>
    </row>
    <row r="124" customFormat="false" ht="15" hidden="false" customHeight="false" outlineLevel="0" collapsed="false">
      <c r="J124" s="20" t="str">
        <f aca="false">IF($A124="","",$B124+$C124+$D124-$E124+$F124-$G124)</f>
        <v/>
      </c>
      <c r="K124" s="20" t="str">
        <f aca="false">IF($A124="","",MAX(0,$B124-$J124))</f>
        <v/>
      </c>
      <c r="L124" s="20" t="str">
        <f aca="false">IF($A124="","",IF($B124=0,0,$K124/$B124))</f>
        <v/>
      </c>
      <c r="M124" s="20" t="str">
        <f aca="false">IF($A124="","",IF($J124&lt;0,"BORCA BATIK",IF($I124&lt;$H124,"BORCA BATIK",IF($L124&gt;=TtkUcteIkiEsik,"2/3 KAYIP (KRİTİK)",IF($L124&gt;=TtkUcteBirEsik,"1/3 KAYIP (DİKKAT)","UYGUN")))))</f>
        <v/>
      </c>
      <c r="U124" s="20" t="str">
        <f aca="false">IF($N124="","",$Q124*$R124)</f>
        <v/>
      </c>
    </row>
    <row r="125" customFormat="false" ht="15" hidden="false" customHeight="false" outlineLevel="0" collapsed="false">
      <c r="J125" s="20" t="str">
        <f aca="false">IF($A125="","",$B125+$C125+$D125-$E125+$F125-$G125)</f>
        <v/>
      </c>
      <c r="K125" s="20" t="str">
        <f aca="false">IF($A125="","",MAX(0,$B125-$J125))</f>
        <v/>
      </c>
      <c r="L125" s="20" t="str">
        <f aca="false">IF($A125="","",IF($B125=0,0,$K125/$B125))</f>
        <v/>
      </c>
      <c r="M125" s="20" t="str">
        <f aca="false">IF($A125="","",IF($J125&lt;0,"BORCA BATIK",IF($I125&lt;$H125,"BORCA BATIK",IF($L125&gt;=TtkUcteIkiEsik,"2/3 KAYIP (KRİTİK)",IF($L125&gt;=TtkUcteBirEsik,"1/3 KAYIP (DİKKAT)","UYGUN")))))</f>
        <v/>
      </c>
      <c r="U125" s="20" t="str">
        <f aca="false">IF($N125="","",$Q125*$R125)</f>
        <v/>
      </c>
    </row>
    <row r="126" customFormat="false" ht="15" hidden="false" customHeight="false" outlineLevel="0" collapsed="false">
      <c r="J126" s="20" t="str">
        <f aca="false">IF($A126="","",$B126+$C126+$D126-$E126+$F126-$G126)</f>
        <v/>
      </c>
      <c r="K126" s="20" t="str">
        <f aca="false">IF($A126="","",MAX(0,$B126-$J126))</f>
        <v/>
      </c>
      <c r="L126" s="20" t="str">
        <f aca="false">IF($A126="","",IF($B126=0,0,$K126/$B126))</f>
        <v/>
      </c>
      <c r="M126" s="20" t="str">
        <f aca="false">IF($A126="","",IF($J126&lt;0,"BORCA BATIK",IF($I126&lt;$H126,"BORCA BATIK",IF($L126&gt;=TtkUcteIkiEsik,"2/3 KAYIP (KRİTİK)",IF($L126&gt;=TtkUcteBirEsik,"1/3 KAYIP (DİKKAT)","UYGUN")))))</f>
        <v/>
      </c>
      <c r="U126" s="20" t="str">
        <f aca="false">IF($N126="","",$Q126*$R126)</f>
        <v/>
      </c>
    </row>
    <row r="127" customFormat="false" ht="15" hidden="false" customHeight="false" outlineLevel="0" collapsed="false">
      <c r="J127" s="20" t="str">
        <f aca="false">IF($A127="","",$B127+$C127+$D127-$E127+$F127-$G127)</f>
        <v/>
      </c>
      <c r="K127" s="20" t="str">
        <f aca="false">IF($A127="","",MAX(0,$B127-$J127))</f>
        <v/>
      </c>
      <c r="L127" s="20" t="str">
        <f aca="false">IF($A127="","",IF($B127=0,0,$K127/$B127))</f>
        <v/>
      </c>
      <c r="M127" s="20" t="str">
        <f aca="false">IF($A127="","",IF($J127&lt;0,"BORCA BATIK",IF($I127&lt;$H127,"BORCA BATIK",IF($L127&gt;=TtkUcteIkiEsik,"2/3 KAYIP (KRİTİK)",IF($L127&gt;=TtkUcteBirEsik,"1/3 KAYIP (DİKKAT)","UYGUN")))))</f>
        <v/>
      </c>
      <c r="U127" s="20" t="str">
        <f aca="false">IF($N127="","",$Q127*$R127)</f>
        <v/>
      </c>
    </row>
    <row r="128" customFormat="false" ht="15" hidden="false" customHeight="false" outlineLevel="0" collapsed="false">
      <c r="J128" s="20" t="str">
        <f aca="false">IF($A128="","",$B128+$C128+$D128-$E128+$F128-$G128)</f>
        <v/>
      </c>
      <c r="K128" s="20" t="str">
        <f aca="false">IF($A128="","",MAX(0,$B128-$J128))</f>
        <v/>
      </c>
      <c r="L128" s="20" t="str">
        <f aca="false">IF($A128="","",IF($B128=0,0,$K128/$B128))</f>
        <v/>
      </c>
      <c r="M128" s="20" t="str">
        <f aca="false">IF($A128="","",IF($J128&lt;0,"BORCA BATIK",IF($I128&lt;$H128,"BORCA BATIK",IF($L128&gt;=TtkUcteIkiEsik,"2/3 KAYIP (KRİTİK)",IF($L128&gt;=TtkUcteBirEsik,"1/3 KAYIP (DİKKAT)","UYGUN")))))</f>
        <v/>
      </c>
      <c r="U128" s="20" t="str">
        <f aca="false">IF($N128="","",$Q128*$R128)</f>
        <v/>
      </c>
    </row>
    <row r="129" customFormat="false" ht="15" hidden="false" customHeight="false" outlineLevel="0" collapsed="false">
      <c r="J129" s="20" t="str">
        <f aca="false">IF($A129="","",$B129+$C129+$D129-$E129+$F129-$G129)</f>
        <v/>
      </c>
      <c r="K129" s="20" t="str">
        <f aca="false">IF($A129="","",MAX(0,$B129-$J129))</f>
        <v/>
      </c>
      <c r="L129" s="20" t="str">
        <f aca="false">IF($A129="","",IF($B129=0,0,$K129/$B129))</f>
        <v/>
      </c>
      <c r="M129" s="20" t="str">
        <f aca="false">IF($A129="","",IF($J129&lt;0,"BORCA BATIK",IF($I129&lt;$H129,"BORCA BATIK",IF($L129&gt;=TtkUcteIkiEsik,"2/3 KAYIP (KRİTİK)",IF($L129&gt;=TtkUcteBirEsik,"1/3 KAYIP (DİKKAT)","UYGUN")))))</f>
        <v/>
      </c>
      <c r="U129" s="20" t="str">
        <f aca="false">IF($N129="","",$Q129*$R129)</f>
        <v/>
      </c>
    </row>
    <row r="130" customFormat="false" ht="15" hidden="false" customHeight="false" outlineLevel="0" collapsed="false">
      <c r="J130" s="20" t="str">
        <f aca="false">IF($A130="","",$B130+$C130+$D130-$E130+$F130-$G130)</f>
        <v/>
      </c>
      <c r="K130" s="20" t="str">
        <f aca="false">IF($A130="","",MAX(0,$B130-$J130))</f>
        <v/>
      </c>
      <c r="L130" s="20" t="str">
        <f aca="false">IF($A130="","",IF($B130=0,0,$K130/$B130))</f>
        <v/>
      </c>
      <c r="M130" s="20" t="str">
        <f aca="false">IF($A130="","",IF($J130&lt;0,"BORCA BATIK",IF($I130&lt;$H130,"BORCA BATIK",IF($L130&gt;=TtkUcteIkiEsik,"2/3 KAYIP (KRİTİK)",IF($L130&gt;=TtkUcteBirEsik,"1/3 KAYIP (DİKKAT)","UYGUN")))))</f>
        <v/>
      </c>
      <c r="U130" s="20" t="str">
        <f aca="false">IF($N130="","",$Q130*$R130)</f>
        <v/>
      </c>
    </row>
    <row r="131" customFormat="false" ht="15" hidden="false" customHeight="false" outlineLevel="0" collapsed="false">
      <c r="J131" s="20" t="str">
        <f aca="false">IF($A131="","",$B131+$C131+$D131-$E131+$F131-$G131)</f>
        <v/>
      </c>
      <c r="K131" s="20" t="str">
        <f aca="false">IF($A131="","",MAX(0,$B131-$J131))</f>
        <v/>
      </c>
      <c r="L131" s="20" t="str">
        <f aca="false">IF($A131="","",IF($B131=0,0,$K131/$B131))</f>
        <v/>
      </c>
      <c r="M131" s="20" t="str">
        <f aca="false">IF($A131="","",IF($J131&lt;0,"BORCA BATIK",IF($I131&lt;$H131,"BORCA BATIK",IF($L131&gt;=TtkUcteIkiEsik,"2/3 KAYIP (KRİTİK)",IF($L131&gt;=TtkUcteBirEsik,"1/3 KAYIP (DİKKAT)","UYGUN")))))</f>
        <v/>
      </c>
      <c r="U131" s="20" t="str">
        <f aca="false">IF($N131="","",$Q131*$R131)</f>
        <v/>
      </c>
    </row>
    <row r="132" customFormat="false" ht="15" hidden="false" customHeight="false" outlineLevel="0" collapsed="false">
      <c r="J132" s="20" t="str">
        <f aca="false">IF($A132="","",$B132+$C132+$D132-$E132+$F132-$G132)</f>
        <v/>
      </c>
      <c r="K132" s="20" t="str">
        <f aca="false">IF($A132="","",MAX(0,$B132-$J132))</f>
        <v/>
      </c>
      <c r="L132" s="20" t="str">
        <f aca="false">IF($A132="","",IF($B132=0,0,$K132/$B132))</f>
        <v/>
      </c>
      <c r="M132" s="20" t="str">
        <f aca="false">IF($A132="","",IF($J132&lt;0,"BORCA BATIK",IF($I132&lt;$H132,"BORCA BATIK",IF($L132&gt;=TtkUcteIkiEsik,"2/3 KAYIP (KRİTİK)",IF($L132&gt;=TtkUcteBirEsik,"1/3 KAYIP (DİKKAT)","UYGUN")))))</f>
        <v/>
      </c>
      <c r="U132" s="20" t="str">
        <f aca="false">IF($N132="","",$Q132*$R132)</f>
        <v/>
      </c>
    </row>
    <row r="133" customFormat="false" ht="15" hidden="false" customHeight="false" outlineLevel="0" collapsed="false">
      <c r="J133" s="20" t="str">
        <f aca="false">IF($A133="","",$B133+$C133+$D133-$E133+$F133-$G133)</f>
        <v/>
      </c>
      <c r="K133" s="20" t="str">
        <f aca="false">IF($A133="","",MAX(0,$B133-$J133))</f>
        <v/>
      </c>
      <c r="L133" s="20" t="str">
        <f aca="false">IF($A133="","",IF($B133=0,0,$K133/$B133))</f>
        <v/>
      </c>
      <c r="M133" s="20" t="str">
        <f aca="false">IF($A133="","",IF($J133&lt;0,"BORCA BATIK",IF($I133&lt;$H133,"BORCA BATIK",IF($L133&gt;=TtkUcteIkiEsik,"2/3 KAYIP (KRİTİK)",IF($L133&gt;=TtkUcteBirEsik,"1/3 KAYIP (DİKKAT)","UYGUN")))))</f>
        <v/>
      </c>
      <c r="U133" s="20" t="str">
        <f aca="false">IF($N133="","",$Q133*$R133)</f>
        <v/>
      </c>
    </row>
    <row r="134" customFormat="false" ht="15" hidden="false" customHeight="false" outlineLevel="0" collapsed="false">
      <c r="J134" s="20" t="str">
        <f aca="false">IF($A134="","",$B134+$C134+$D134-$E134+$F134-$G134)</f>
        <v/>
      </c>
      <c r="K134" s="20" t="str">
        <f aca="false">IF($A134="","",MAX(0,$B134-$J134))</f>
        <v/>
      </c>
      <c r="L134" s="20" t="str">
        <f aca="false">IF($A134="","",IF($B134=0,0,$K134/$B134))</f>
        <v/>
      </c>
      <c r="M134" s="20" t="str">
        <f aca="false">IF($A134="","",IF($J134&lt;0,"BORCA BATIK",IF($I134&lt;$H134,"BORCA BATIK",IF($L134&gt;=TtkUcteIkiEsik,"2/3 KAYIP (KRİTİK)",IF($L134&gt;=TtkUcteBirEsik,"1/3 KAYIP (DİKKAT)","UYGUN")))))</f>
        <v/>
      </c>
      <c r="U134" s="20" t="str">
        <f aca="false">IF($N134="","",$Q134*$R134)</f>
        <v/>
      </c>
    </row>
    <row r="135" customFormat="false" ht="15" hidden="false" customHeight="false" outlineLevel="0" collapsed="false">
      <c r="J135" s="20" t="str">
        <f aca="false">IF($A135="","",$B135+$C135+$D135-$E135+$F135-$G135)</f>
        <v/>
      </c>
      <c r="K135" s="20" t="str">
        <f aca="false">IF($A135="","",MAX(0,$B135-$J135))</f>
        <v/>
      </c>
      <c r="L135" s="20" t="str">
        <f aca="false">IF($A135="","",IF($B135=0,0,$K135/$B135))</f>
        <v/>
      </c>
      <c r="M135" s="20" t="str">
        <f aca="false">IF($A135="","",IF($J135&lt;0,"BORCA BATIK",IF($I135&lt;$H135,"BORCA BATIK",IF($L135&gt;=TtkUcteIkiEsik,"2/3 KAYIP (KRİTİK)",IF($L135&gt;=TtkUcteBirEsik,"1/3 KAYIP (DİKKAT)","UYGUN")))))</f>
        <v/>
      </c>
      <c r="U135" s="20" t="str">
        <f aca="false">IF($N135="","",$Q135*$R135)</f>
        <v/>
      </c>
    </row>
    <row r="136" customFormat="false" ht="15" hidden="false" customHeight="false" outlineLevel="0" collapsed="false">
      <c r="J136" s="20" t="str">
        <f aca="false">IF($A136="","",$B136+$C136+$D136-$E136+$F136-$G136)</f>
        <v/>
      </c>
      <c r="K136" s="20" t="str">
        <f aca="false">IF($A136="","",MAX(0,$B136-$J136))</f>
        <v/>
      </c>
      <c r="L136" s="20" t="str">
        <f aca="false">IF($A136="","",IF($B136=0,0,$K136/$B136))</f>
        <v/>
      </c>
      <c r="M136" s="20" t="str">
        <f aca="false">IF($A136="","",IF($J136&lt;0,"BORCA BATIK",IF($I136&lt;$H136,"BORCA BATIK",IF($L136&gt;=TtkUcteIkiEsik,"2/3 KAYIP (KRİTİK)",IF($L136&gt;=TtkUcteBirEsik,"1/3 KAYIP (DİKKAT)","UYGUN")))))</f>
        <v/>
      </c>
      <c r="U136" s="20" t="str">
        <f aca="false">IF($N136="","",$Q136*$R136)</f>
        <v/>
      </c>
    </row>
    <row r="137" customFormat="false" ht="15" hidden="false" customHeight="false" outlineLevel="0" collapsed="false">
      <c r="J137" s="20" t="str">
        <f aca="false">IF($A137="","",$B137+$C137+$D137-$E137+$F137-$G137)</f>
        <v/>
      </c>
      <c r="K137" s="20" t="str">
        <f aca="false">IF($A137="","",MAX(0,$B137-$J137))</f>
        <v/>
      </c>
      <c r="L137" s="20" t="str">
        <f aca="false">IF($A137="","",IF($B137=0,0,$K137/$B137))</f>
        <v/>
      </c>
      <c r="M137" s="20" t="str">
        <f aca="false">IF($A137="","",IF($J137&lt;0,"BORCA BATIK",IF($I137&lt;$H137,"BORCA BATIK",IF($L137&gt;=TtkUcteIkiEsik,"2/3 KAYIP (KRİTİK)",IF($L137&gt;=TtkUcteBirEsik,"1/3 KAYIP (DİKKAT)","UYGUN")))))</f>
        <v/>
      </c>
      <c r="U137" s="20" t="str">
        <f aca="false">IF($N137="","",$Q137*$R137)</f>
        <v/>
      </c>
    </row>
    <row r="138" customFormat="false" ht="15" hidden="false" customHeight="false" outlineLevel="0" collapsed="false">
      <c r="J138" s="20" t="str">
        <f aca="false">IF($A138="","",$B138+$C138+$D138-$E138+$F138-$G138)</f>
        <v/>
      </c>
      <c r="K138" s="20" t="str">
        <f aca="false">IF($A138="","",MAX(0,$B138-$J138))</f>
        <v/>
      </c>
      <c r="L138" s="20" t="str">
        <f aca="false">IF($A138="","",IF($B138=0,0,$K138/$B138))</f>
        <v/>
      </c>
      <c r="M138" s="20" t="str">
        <f aca="false">IF($A138="","",IF($J138&lt;0,"BORCA BATIK",IF($I138&lt;$H138,"BORCA BATIK",IF($L138&gt;=TtkUcteIkiEsik,"2/3 KAYIP (KRİTİK)",IF($L138&gt;=TtkUcteBirEsik,"1/3 KAYIP (DİKKAT)","UYGUN")))))</f>
        <v/>
      </c>
      <c r="U138" s="20" t="str">
        <f aca="false">IF($N138="","",$Q138*$R138)</f>
        <v/>
      </c>
    </row>
    <row r="139" customFormat="false" ht="15" hidden="false" customHeight="false" outlineLevel="0" collapsed="false">
      <c r="J139" s="20" t="str">
        <f aca="false">IF($A139="","",$B139+$C139+$D139-$E139+$F139-$G139)</f>
        <v/>
      </c>
      <c r="K139" s="20" t="str">
        <f aca="false">IF($A139="","",MAX(0,$B139-$J139))</f>
        <v/>
      </c>
      <c r="L139" s="20" t="str">
        <f aca="false">IF($A139="","",IF($B139=0,0,$K139/$B139))</f>
        <v/>
      </c>
      <c r="M139" s="20" t="str">
        <f aca="false">IF($A139="","",IF($J139&lt;0,"BORCA BATIK",IF($I139&lt;$H139,"BORCA BATIK",IF($L139&gt;=TtkUcteIkiEsik,"2/3 KAYIP (KRİTİK)",IF($L139&gt;=TtkUcteBirEsik,"1/3 KAYIP (DİKKAT)","UYGUN")))))</f>
        <v/>
      </c>
      <c r="U139" s="20" t="str">
        <f aca="false">IF($N139="","",$Q139*$R139)</f>
        <v/>
      </c>
    </row>
    <row r="140" customFormat="false" ht="15" hidden="false" customHeight="false" outlineLevel="0" collapsed="false">
      <c r="J140" s="20" t="str">
        <f aca="false">IF($A140="","",$B140+$C140+$D140-$E140+$F140-$G140)</f>
        <v/>
      </c>
      <c r="K140" s="20" t="str">
        <f aca="false">IF($A140="","",MAX(0,$B140-$J140))</f>
        <v/>
      </c>
      <c r="L140" s="20" t="str">
        <f aca="false">IF($A140="","",IF($B140=0,0,$K140/$B140))</f>
        <v/>
      </c>
      <c r="M140" s="20" t="str">
        <f aca="false">IF($A140="","",IF($J140&lt;0,"BORCA BATIK",IF($I140&lt;$H140,"BORCA BATIK",IF($L140&gt;=TtkUcteIkiEsik,"2/3 KAYIP (KRİTİK)",IF($L140&gt;=TtkUcteBirEsik,"1/3 KAYIP (DİKKAT)","UYGUN")))))</f>
        <v/>
      </c>
      <c r="U140" s="20" t="str">
        <f aca="false">IF($N140="","",$Q140*$R140)</f>
        <v/>
      </c>
    </row>
    <row r="141" customFormat="false" ht="15" hidden="false" customHeight="false" outlineLevel="0" collapsed="false">
      <c r="J141" s="20" t="str">
        <f aca="false">IF($A141="","",$B141+$C141+$D141-$E141+$F141-$G141)</f>
        <v/>
      </c>
      <c r="K141" s="20" t="str">
        <f aca="false">IF($A141="","",MAX(0,$B141-$J141))</f>
        <v/>
      </c>
      <c r="L141" s="20" t="str">
        <f aca="false">IF($A141="","",IF($B141=0,0,$K141/$B141))</f>
        <v/>
      </c>
      <c r="M141" s="20" t="str">
        <f aca="false">IF($A141="","",IF($J141&lt;0,"BORCA BATIK",IF($I141&lt;$H141,"BORCA BATIK",IF($L141&gt;=TtkUcteIkiEsik,"2/3 KAYIP (KRİTİK)",IF($L141&gt;=TtkUcteBirEsik,"1/3 KAYIP (DİKKAT)","UYGUN")))))</f>
        <v/>
      </c>
      <c r="U141" s="20" t="str">
        <f aca="false">IF($N141="","",$Q141*$R141)</f>
        <v/>
      </c>
    </row>
    <row r="142" customFormat="false" ht="15" hidden="false" customHeight="false" outlineLevel="0" collapsed="false">
      <c r="J142" s="20" t="str">
        <f aca="false">IF($A142="","",$B142+$C142+$D142-$E142+$F142-$G142)</f>
        <v/>
      </c>
      <c r="K142" s="20" t="str">
        <f aca="false">IF($A142="","",MAX(0,$B142-$J142))</f>
        <v/>
      </c>
      <c r="L142" s="20" t="str">
        <f aca="false">IF($A142="","",IF($B142=0,0,$K142/$B142))</f>
        <v/>
      </c>
      <c r="M142" s="20" t="str">
        <f aca="false">IF($A142="","",IF($J142&lt;0,"BORCA BATIK",IF($I142&lt;$H142,"BORCA BATIK",IF($L142&gt;=TtkUcteIkiEsik,"2/3 KAYIP (KRİTİK)",IF($L142&gt;=TtkUcteBirEsik,"1/3 KAYIP (DİKKAT)","UYGUN")))))</f>
        <v/>
      </c>
      <c r="U142" s="20" t="str">
        <f aca="false">IF($N142="","",$Q142*$R142)</f>
        <v/>
      </c>
    </row>
    <row r="143" customFormat="false" ht="15" hidden="false" customHeight="false" outlineLevel="0" collapsed="false">
      <c r="J143" s="20" t="str">
        <f aca="false">IF($A143="","",$B143+$C143+$D143-$E143+$F143-$G143)</f>
        <v/>
      </c>
      <c r="K143" s="20" t="str">
        <f aca="false">IF($A143="","",MAX(0,$B143-$J143))</f>
        <v/>
      </c>
      <c r="L143" s="20" t="str">
        <f aca="false">IF($A143="","",IF($B143=0,0,$K143/$B143))</f>
        <v/>
      </c>
      <c r="M143" s="20" t="str">
        <f aca="false">IF($A143="","",IF($J143&lt;0,"BORCA BATIK",IF($I143&lt;$H143,"BORCA BATIK",IF($L143&gt;=TtkUcteIkiEsik,"2/3 KAYIP (KRİTİK)",IF($L143&gt;=TtkUcteBirEsik,"1/3 KAYIP (DİKKAT)","UYGUN")))))</f>
        <v/>
      </c>
      <c r="U143" s="20" t="str">
        <f aca="false">IF($N143="","",$Q143*$R143)</f>
        <v/>
      </c>
    </row>
    <row r="144" customFormat="false" ht="15" hidden="false" customHeight="false" outlineLevel="0" collapsed="false">
      <c r="J144" s="20" t="str">
        <f aca="false">IF($A144="","",$B144+$C144+$D144-$E144+$F144-$G144)</f>
        <v/>
      </c>
      <c r="K144" s="20" t="str">
        <f aca="false">IF($A144="","",MAX(0,$B144-$J144))</f>
        <v/>
      </c>
      <c r="L144" s="20" t="str">
        <f aca="false">IF($A144="","",IF($B144=0,0,$K144/$B144))</f>
        <v/>
      </c>
      <c r="M144" s="20" t="str">
        <f aca="false">IF($A144="","",IF($J144&lt;0,"BORCA BATIK",IF($I144&lt;$H144,"BORCA BATIK",IF($L144&gt;=TtkUcteIkiEsik,"2/3 KAYIP (KRİTİK)",IF($L144&gt;=TtkUcteBirEsik,"1/3 KAYIP (DİKKAT)","UYGUN")))))</f>
        <v/>
      </c>
      <c r="U144" s="20" t="str">
        <f aca="false">IF($N144="","",$Q144*$R144)</f>
        <v/>
      </c>
    </row>
    <row r="145" customFormat="false" ht="15" hidden="false" customHeight="false" outlineLevel="0" collapsed="false">
      <c r="J145" s="20" t="str">
        <f aca="false">IF($A145="","",$B145+$C145+$D145-$E145+$F145-$G145)</f>
        <v/>
      </c>
      <c r="K145" s="20" t="str">
        <f aca="false">IF($A145="","",MAX(0,$B145-$J145))</f>
        <v/>
      </c>
      <c r="L145" s="20" t="str">
        <f aca="false">IF($A145="","",IF($B145=0,0,$K145/$B145))</f>
        <v/>
      </c>
      <c r="M145" s="20" t="str">
        <f aca="false">IF($A145="","",IF($J145&lt;0,"BORCA BATIK",IF($I145&lt;$H145,"BORCA BATIK",IF($L145&gt;=TtkUcteIkiEsik,"2/3 KAYIP (KRİTİK)",IF($L145&gt;=TtkUcteBirEsik,"1/3 KAYIP (DİKKAT)","UYGUN")))))</f>
        <v/>
      </c>
      <c r="U145" s="20" t="str">
        <f aca="false">IF($N145="","",$Q145*$R145)</f>
        <v/>
      </c>
    </row>
    <row r="146" customFormat="false" ht="15" hidden="false" customHeight="false" outlineLevel="0" collapsed="false">
      <c r="J146" s="20" t="str">
        <f aca="false">IF($A146="","",$B146+$C146+$D146-$E146+$F146-$G146)</f>
        <v/>
      </c>
      <c r="K146" s="20" t="str">
        <f aca="false">IF($A146="","",MAX(0,$B146-$J146))</f>
        <v/>
      </c>
      <c r="L146" s="20" t="str">
        <f aca="false">IF($A146="","",IF($B146=0,0,$K146/$B146))</f>
        <v/>
      </c>
      <c r="M146" s="20" t="str">
        <f aca="false">IF($A146="","",IF($J146&lt;0,"BORCA BATIK",IF($I146&lt;$H146,"BORCA BATIK",IF($L146&gt;=TtkUcteIkiEsik,"2/3 KAYIP (KRİTİK)",IF($L146&gt;=TtkUcteBirEsik,"1/3 KAYIP (DİKKAT)","UYGUN")))))</f>
        <v/>
      </c>
      <c r="U146" s="20" t="str">
        <f aca="false">IF($N146="","",$Q146*$R146)</f>
        <v/>
      </c>
    </row>
    <row r="147" customFormat="false" ht="15" hidden="false" customHeight="false" outlineLevel="0" collapsed="false">
      <c r="J147" s="20" t="str">
        <f aca="false">IF($A147="","",$B147+$C147+$D147-$E147+$F147-$G147)</f>
        <v/>
      </c>
      <c r="K147" s="20" t="str">
        <f aca="false">IF($A147="","",MAX(0,$B147-$J147))</f>
        <v/>
      </c>
      <c r="L147" s="20" t="str">
        <f aca="false">IF($A147="","",IF($B147=0,0,$K147/$B147))</f>
        <v/>
      </c>
      <c r="M147" s="20" t="str">
        <f aca="false">IF($A147="","",IF($J147&lt;0,"BORCA BATIK",IF($I147&lt;$H147,"BORCA BATIK",IF($L147&gt;=TtkUcteIkiEsik,"2/3 KAYIP (KRİTİK)",IF($L147&gt;=TtkUcteBirEsik,"1/3 KAYIP (DİKKAT)","UYGUN")))))</f>
        <v/>
      </c>
      <c r="U147" s="20" t="str">
        <f aca="false">IF($N147="","",$Q147*$R147)</f>
        <v/>
      </c>
    </row>
    <row r="148" customFormat="false" ht="15" hidden="false" customHeight="false" outlineLevel="0" collapsed="false">
      <c r="J148" s="20" t="str">
        <f aca="false">IF($A148="","",$B148+$C148+$D148-$E148+$F148-$G148)</f>
        <v/>
      </c>
      <c r="K148" s="20" t="str">
        <f aca="false">IF($A148="","",MAX(0,$B148-$J148))</f>
        <v/>
      </c>
      <c r="L148" s="20" t="str">
        <f aca="false">IF($A148="","",IF($B148=0,0,$K148/$B148))</f>
        <v/>
      </c>
      <c r="M148" s="20" t="str">
        <f aca="false">IF($A148="","",IF($J148&lt;0,"BORCA BATIK",IF($I148&lt;$H148,"BORCA BATIK",IF($L148&gt;=TtkUcteIkiEsik,"2/3 KAYIP (KRİTİK)",IF($L148&gt;=TtkUcteBirEsik,"1/3 KAYIP (DİKKAT)","UYGUN")))))</f>
        <v/>
      </c>
      <c r="U148" s="20" t="str">
        <f aca="false">IF($N148="","",$Q148*$R148)</f>
        <v/>
      </c>
    </row>
    <row r="149" customFormat="false" ht="15" hidden="false" customHeight="false" outlineLevel="0" collapsed="false">
      <c r="J149" s="20" t="str">
        <f aca="false">IF($A149="","",$B149+$C149+$D149-$E149+$F149-$G149)</f>
        <v/>
      </c>
      <c r="K149" s="20" t="str">
        <f aca="false">IF($A149="","",MAX(0,$B149-$J149))</f>
        <v/>
      </c>
      <c r="L149" s="20" t="str">
        <f aca="false">IF($A149="","",IF($B149=0,0,$K149/$B149))</f>
        <v/>
      </c>
      <c r="M149" s="20" t="str">
        <f aca="false">IF($A149="","",IF($J149&lt;0,"BORCA BATIK",IF($I149&lt;$H149,"BORCA BATIK",IF($L149&gt;=TtkUcteIkiEsik,"2/3 KAYIP (KRİTİK)",IF($L149&gt;=TtkUcteBirEsik,"1/3 KAYIP (DİKKAT)","UYGUN")))))</f>
        <v/>
      </c>
      <c r="U149" s="20" t="str">
        <f aca="false">IF($N149="","",$Q149*$R149)</f>
        <v/>
      </c>
    </row>
    <row r="150" customFormat="false" ht="15" hidden="false" customHeight="false" outlineLevel="0" collapsed="false">
      <c r="J150" s="20" t="str">
        <f aca="false">IF($A150="","",$B150+$C150+$D150-$E150+$F150-$G150)</f>
        <v/>
      </c>
      <c r="K150" s="20" t="str">
        <f aca="false">IF($A150="","",MAX(0,$B150-$J150))</f>
        <v/>
      </c>
      <c r="L150" s="20" t="str">
        <f aca="false">IF($A150="","",IF($B150=0,0,$K150/$B150))</f>
        <v/>
      </c>
      <c r="M150" s="20" t="str">
        <f aca="false">IF($A150="","",IF($J150&lt;0,"BORCA BATIK",IF($I150&lt;$H150,"BORCA BATIK",IF($L150&gt;=TtkUcteIkiEsik,"2/3 KAYIP (KRİTİK)",IF($L150&gt;=TtkUcteBirEsik,"1/3 KAYIP (DİKKAT)","UYGUN")))))</f>
        <v/>
      </c>
      <c r="U150" s="20" t="str">
        <f aca="false">IF($N150="","",$Q150*$R150)</f>
        <v/>
      </c>
    </row>
    <row r="151" customFormat="false" ht="15" hidden="false" customHeight="false" outlineLevel="0" collapsed="false">
      <c r="J151" s="20" t="str">
        <f aca="false">IF($A151="","",$B151+$C151+$D151-$E151+$F151-$G151)</f>
        <v/>
      </c>
      <c r="K151" s="20" t="str">
        <f aca="false">IF($A151="","",MAX(0,$B151-$J151))</f>
        <v/>
      </c>
      <c r="L151" s="20" t="str">
        <f aca="false">IF($A151="","",IF($B151=0,0,$K151/$B151))</f>
        <v/>
      </c>
      <c r="M151" s="20" t="str">
        <f aca="false">IF($A151="","",IF($J151&lt;0,"BORCA BATIK",IF($I151&lt;$H151,"BORCA BATIK",IF($L151&gt;=TtkUcteIkiEsik,"2/3 KAYIP (KRİTİK)",IF($L151&gt;=TtkUcteBirEsik,"1/3 KAYIP (DİKKAT)","UYGUN")))))</f>
        <v/>
      </c>
      <c r="U151" s="20" t="str">
        <f aca="false">IF($N151="","",$Q151*$R151)</f>
        <v/>
      </c>
    </row>
    <row r="152" customFormat="false" ht="15" hidden="false" customHeight="false" outlineLevel="0" collapsed="false">
      <c r="J152" s="20" t="str">
        <f aca="false">IF($A152="","",$B152+$C152+$D152-$E152+$F152-$G152)</f>
        <v/>
      </c>
      <c r="K152" s="20" t="str">
        <f aca="false">IF($A152="","",MAX(0,$B152-$J152))</f>
        <v/>
      </c>
      <c r="L152" s="20" t="str">
        <f aca="false">IF($A152="","",IF($B152=0,0,$K152/$B152))</f>
        <v/>
      </c>
      <c r="M152" s="20" t="str">
        <f aca="false">IF($A152="","",IF($J152&lt;0,"BORCA BATIK",IF($I152&lt;$H152,"BORCA BATIK",IF($L152&gt;=TtkUcteIkiEsik,"2/3 KAYIP (KRİTİK)",IF($L152&gt;=TtkUcteBirEsik,"1/3 KAYIP (DİKKAT)","UYGUN")))))</f>
        <v/>
      </c>
      <c r="U152" s="20" t="str">
        <f aca="false">IF($N152="","",$Q152*$R152)</f>
        <v/>
      </c>
    </row>
    <row r="153" customFormat="false" ht="15" hidden="false" customHeight="false" outlineLevel="0" collapsed="false">
      <c r="J153" s="20" t="str">
        <f aca="false">IF($A153="","",$B153+$C153+$D153-$E153+$F153-$G153)</f>
        <v/>
      </c>
      <c r="K153" s="20" t="str">
        <f aca="false">IF($A153="","",MAX(0,$B153-$J153))</f>
        <v/>
      </c>
      <c r="L153" s="20" t="str">
        <f aca="false">IF($A153="","",IF($B153=0,0,$K153/$B153))</f>
        <v/>
      </c>
      <c r="M153" s="20" t="str">
        <f aca="false">IF($A153="","",IF($J153&lt;0,"BORCA BATIK",IF($I153&lt;$H153,"BORCA BATIK",IF($L153&gt;=TtkUcteIkiEsik,"2/3 KAYIP (KRİTİK)",IF($L153&gt;=TtkUcteBirEsik,"1/3 KAYIP (DİKKAT)","UYGUN")))))</f>
        <v/>
      </c>
      <c r="U153" s="20" t="str">
        <f aca="false">IF($N153="","",$Q153*$R153)</f>
        <v/>
      </c>
    </row>
    <row r="154" customFormat="false" ht="15" hidden="false" customHeight="false" outlineLevel="0" collapsed="false">
      <c r="J154" s="20" t="str">
        <f aca="false">IF($A154="","",$B154+$C154+$D154-$E154+$F154-$G154)</f>
        <v/>
      </c>
      <c r="K154" s="20" t="str">
        <f aca="false">IF($A154="","",MAX(0,$B154-$J154))</f>
        <v/>
      </c>
      <c r="L154" s="20" t="str">
        <f aca="false">IF($A154="","",IF($B154=0,0,$K154/$B154))</f>
        <v/>
      </c>
      <c r="M154" s="20" t="str">
        <f aca="false">IF($A154="","",IF($J154&lt;0,"BORCA BATIK",IF($I154&lt;$H154,"BORCA BATIK",IF($L154&gt;=TtkUcteIkiEsik,"2/3 KAYIP (KRİTİK)",IF($L154&gt;=TtkUcteBirEsik,"1/3 KAYIP (DİKKAT)","UYGUN")))))</f>
        <v/>
      </c>
      <c r="U154" s="20" t="str">
        <f aca="false">IF($N154="","",$Q154*$R154)</f>
        <v/>
      </c>
    </row>
    <row r="155" customFormat="false" ht="15" hidden="false" customHeight="false" outlineLevel="0" collapsed="false">
      <c r="J155" s="20" t="str">
        <f aca="false">IF($A155="","",$B155+$C155+$D155-$E155+$F155-$G155)</f>
        <v/>
      </c>
      <c r="K155" s="20" t="str">
        <f aca="false">IF($A155="","",MAX(0,$B155-$J155))</f>
        <v/>
      </c>
      <c r="L155" s="20" t="str">
        <f aca="false">IF($A155="","",IF($B155=0,0,$K155/$B155))</f>
        <v/>
      </c>
      <c r="M155" s="20" t="str">
        <f aca="false">IF($A155="","",IF($J155&lt;0,"BORCA BATIK",IF($I155&lt;$H155,"BORCA BATIK",IF($L155&gt;=TtkUcteIkiEsik,"2/3 KAYIP (KRİTİK)",IF($L155&gt;=TtkUcteBirEsik,"1/3 KAYIP (DİKKAT)","UYGUN")))))</f>
        <v/>
      </c>
      <c r="U155" s="20" t="str">
        <f aca="false">IF($N155="","",$Q155*$R155)</f>
        <v/>
      </c>
    </row>
    <row r="156" customFormat="false" ht="15" hidden="false" customHeight="false" outlineLevel="0" collapsed="false">
      <c r="J156" s="20" t="str">
        <f aca="false">IF($A156="","",$B156+$C156+$D156-$E156+$F156-$G156)</f>
        <v/>
      </c>
      <c r="K156" s="20" t="str">
        <f aca="false">IF($A156="","",MAX(0,$B156-$J156))</f>
        <v/>
      </c>
      <c r="L156" s="20" t="str">
        <f aca="false">IF($A156="","",IF($B156=0,0,$K156/$B156))</f>
        <v/>
      </c>
      <c r="M156" s="20" t="str">
        <f aca="false">IF($A156="","",IF($J156&lt;0,"BORCA BATIK",IF($I156&lt;$H156,"BORCA BATIK",IF($L156&gt;=TtkUcteIkiEsik,"2/3 KAYIP (KRİTİK)",IF($L156&gt;=TtkUcteBirEsik,"1/3 KAYIP (DİKKAT)","UYGUN")))))</f>
        <v/>
      </c>
      <c r="U156" s="20" t="str">
        <f aca="false">IF($N156="","",$Q156*$R156)</f>
        <v/>
      </c>
    </row>
    <row r="157" customFormat="false" ht="15" hidden="false" customHeight="false" outlineLevel="0" collapsed="false">
      <c r="J157" s="20" t="str">
        <f aca="false">IF($A157="","",$B157+$C157+$D157-$E157+$F157-$G157)</f>
        <v/>
      </c>
      <c r="K157" s="20" t="str">
        <f aca="false">IF($A157="","",MAX(0,$B157-$J157))</f>
        <v/>
      </c>
      <c r="L157" s="20" t="str">
        <f aca="false">IF($A157="","",IF($B157=0,0,$K157/$B157))</f>
        <v/>
      </c>
      <c r="M157" s="20" t="str">
        <f aca="false">IF($A157="","",IF($J157&lt;0,"BORCA BATIK",IF($I157&lt;$H157,"BORCA BATIK",IF($L157&gt;=TtkUcteIkiEsik,"2/3 KAYIP (KRİTİK)",IF($L157&gt;=TtkUcteBirEsik,"1/3 KAYIP (DİKKAT)","UYGUN")))))</f>
        <v/>
      </c>
      <c r="U157" s="20" t="str">
        <f aca="false">IF($N157="","",$Q157*$R157)</f>
        <v/>
      </c>
    </row>
    <row r="158" customFormat="false" ht="15" hidden="false" customHeight="false" outlineLevel="0" collapsed="false">
      <c r="J158" s="20" t="str">
        <f aca="false">IF($A158="","",$B158+$C158+$D158-$E158+$F158-$G158)</f>
        <v/>
      </c>
      <c r="K158" s="20" t="str">
        <f aca="false">IF($A158="","",MAX(0,$B158-$J158))</f>
        <v/>
      </c>
      <c r="L158" s="20" t="str">
        <f aca="false">IF($A158="","",IF($B158=0,0,$K158/$B158))</f>
        <v/>
      </c>
      <c r="M158" s="20" t="str">
        <f aca="false">IF($A158="","",IF($J158&lt;0,"BORCA BATIK",IF($I158&lt;$H158,"BORCA BATIK",IF($L158&gt;=TtkUcteIkiEsik,"2/3 KAYIP (KRİTİK)",IF($L158&gt;=TtkUcteBirEsik,"1/3 KAYIP (DİKKAT)","UYGUN")))))</f>
        <v/>
      </c>
      <c r="U158" s="20" t="str">
        <f aca="false">IF($N158="","",$Q158*$R158)</f>
        <v/>
      </c>
    </row>
    <row r="159" customFormat="false" ht="15" hidden="false" customHeight="false" outlineLevel="0" collapsed="false">
      <c r="J159" s="20" t="str">
        <f aca="false">IF($A159="","",$B159+$C159+$D159-$E159+$F159-$G159)</f>
        <v/>
      </c>
      <c r="K159" s="20" t="str">
        <f aca="false">IF($A159="","",MAX(0,$B159-$J159))</f>
        <v/>
      </c>
      <c r="L159" s="20" t="str">
        <f aca="false">IF($A159="","",IF($B159=0,0,$K159/$B159))</f>
        <v/>
      </c>
      <c r="M159" s="20" t="str">
        <f aca="false">IF($A159="","",IF($J159&lt;0,"BORCA BATIK",IF($I159&lt;$H159,"BORCA BATIK",IF($L159&gt;=TtkUcteIkiEsik,"2/3 KAYIP (KRİTİK)",IF($L159&gt;=TtkUcteBirEsik,"1/3 KAYIP (DİKKAT)","UYGUN")))))</f>
        <v/>
      </c>
      <c r="U159" s="20" t="str">
        <f aca="false">IF($N159="","",$Q159*$R159)</f>
        <v/>
      </c>
    </row>
    <row r="160" customFormat="false" ht="15" hidden="false" customHeight="false" outlineLevel="0" collapsed="false">
      <c r="J160" s="20" t="str">
        <f aca="false">IF($A160="","",$B160+$C160+$D160-$E160+$F160-$G160)</f>
        <v/>
      </c>
      <c r="K160" s="20" t="str">
        <f aca="false">IF($A160="","",MAX(0,$B160-$J160))</f>
        <v/>
      </c>
      <c r="L160" s="20" t="str">
        <f aca="false">IF($A160="","",IF($B160=0,0,$K160/$B160))</f>
        <v/>
      </c>
      <c r="M160" s="20" t="str">
        <f aca="false">IF($A160="","",IF($J160&lt;0,"BORCA BATIK",IF($I160&lt;$H160,"BORCA BATIK",IF($L160&gt;=TtkUcteIkiEsik,"2/3 KAYIP (KRİTİK)",IF($L160&gt;=TtkUcteBirEsik,"1/3 KAYIP (DİKKAT)","UYGUN")))))</f>
        <v/>
      </c>
      <c r="U160" s="20" t="str">
        <f aca="false">IF($N160="","",$Q160*$R160)</f>
        <v/>
      </c>
    </row>
    <row r="161" customFormat="false" ht="15" hidden="false" customHeight="false" outlineLevel="0" collapsed="false">
      <c r="J161" s="20" t="str">
        <f aca="false">IF($A161="","",$B161+$C161+$D161-$E161+$F161-$G161)</f>
        <v/>
      </c>
      <c r="K161" s="20" t="str">
        <f aca="false">IF($A161="","",MAX(0,$B161-$J161))</f>
        <v/>
      </c>
      <c r="L161" s="20" t="str">
        <f aca="false">IF($A161="","",IF($B161=0,0,$K161/$B161))</f>
        <v/>
      </c>
      <c r="M161" s="20" t="str">
        <f aca="false">IF($A161="","",IF($J161&lt;0,"BORCA BATIK",IF($I161&lt;$H161,"BORCA BATIK",IF($L161&gt;=TtkUcteIkiEsik,"2/3 KAYIP (KRİTİK)",IF($L161&gt;=TtkUcteBirEsik,"1/3 KAYIP (DİKKAT)","UYGUN")))))</f>
        <v/>
      </c>
      <c r="U161" s="20" t="str">
        <f aca="false">IF($N161="","",$Q161*$R161)</f>
        <v/>
      </c>
    </row>
    <row r="162" customFormat="false" ht="15" hidden="false" customHeight="false" outlineLevel="0" collapsed="false">
      <c r="J162" s="20" t="str">
        <f aca="false">IF($A162="","",$B162+$C162+$D162-$E162+$F162-$G162)</f>
        <v/>
      </c>
      <c r="K162" s="20" t="str">
        <f aca="false">IF($A162="","",MAX(0,$B162-$J162))</f>
        <v/>
      </c>
      <c r="L162" s="20" t="str">
        <f aca="false">IF($A162="","",IF($B162=0,0,$K162/$B162))</f>
        <v/>
      </c>
      <c r="M162" s="20" t="str">
        <f aca="false">IF($A162="","",IF($J162&lt;0,"BORCA BATIK",IF($I162&lt;$H162,"BORCA BATIK",IF($L162&gt;=TtkUcteIkiEsik,"2/3 KAYIP (KRİTİK)",IF($L162&gt;=TtkUcteBirEsik,"1/3 KAYIP (DİKKAT)","UYGUN")))))</f>
        <v/>
      </c>
      <c r="U162" s="20" t="str">
        <f aca="false">IF($N162="","",$Q162*$R162)</f>
        <v/>
      </c>
    </row>
    <row r="163" customFormat="false" ht="15" hidden="false" customHeight="false" outlineLevel="0" collapsed="false">
      <c r="J163" s="20" t="str">
        <f aca="false">IF($A163="","",$B163+$C163+$D163-$E163+$F163-$G163)</f>
        <v/>
      </c>
      <c r="K163" s="20" t="str">
        <f aca="false">IF($A163="","",MAX(0,$B163-$J163))</f>
        <v/>
      </c>
      <c r="L163" s="20" t="str">
        <f aca="false">IF($A163="","",IF($B163=0,0,$K163/$B163))</f>
        <v/>
      </c>
      <c r="M163" s="20" t="str">
        <f aca="false">IF($A163="","",IF($J163&lt;0,"BORCA BATIK",IF($I163&lt;$H163,"BORCA BATIK",IF($L163&gt;=TtkUcteIkiEsik,"2/3 KAYIP (KRİTİK)",IF($L163&gt;=TtkUcteBirEsik,"1/3 KAYIP (DİKKAT)","UYGUN")))))</f>
        <v/>
      </c>
      <c r="U163" s="20" t="str">
        <f aca="false">IF($N163="","",$Q163*$R163)</f>
        <v/>
      </c>
    </row>
    <row r="164" customFormat="false" ht="15" hidden="false" customHeight="false" outlineLevel="0" collapsed="false">
      <c r="J164" s="20" t="str">
        <f aca="false">IF($A164="","",$B164+$C164+$D164-$E164+$F164-$G164)</f>
        <v/>
      </c>
      <c r="K164" s="20" t="str">
        <f aca="false">IF($A164="","",MAX(0,$B164-$J164))</f>
        <v/>
      </c>
      <c r="L164" s="20" t="str">
        <f aca="false">IF($A164="","",IF($B164=0,0,$K164/$B164))</f>
        <v/>
      </c>
      <c r="M164" s="20" t="str">
        <f aca="false">IF($A164="","",IF($J164&lt;0,"BORCA BATIK",IF($I164&lt;$H164,"BORCA BATIK",IF($L164&gt;=TtkUcteIkiEsik,"2/3 KAYIP (KRİTİK)",IF($L164&gt;=TtkUcteBirEsik,"1/3 KAYIP (DİKKAT)","UYGUN")))))</f>
        <v/>
      </c>
      <c r="U164" s="20" t="str">
        <f aca="false">IF($N164="","",$Q164*$R164)</f>
        <v/>
      </c>
    </row>
    <row r="165" customFormat="false" ht="15" hidden="false" customHeight="false" outlineLevel="0" collapsed="false">
      <c r="J165" s="20" t="str">
        <f aca="false">IF($A165="","",$B165+$C165+$D165-$E165+$F165-$G165)</f>
        <v/>
      </c>
      <c r="K165" s="20" t="str">
        <f aca="false">IF($A165="","",MAX(0,$B165-$J165))</f>
        <v/>
      </c>
      <c r="L165" s="20" t="str">
        <f aca="false">IF($A165="","",IF($B165=0,0,$K165/$B165))</f>
        <v/>
      </c>
      <c r="M165" s="20" t="str">
        <f aca="false">IF($A165="","",IF($J165&lt;0,"BORCA BATIK",IF($I165&lt;$H165,"BORCA BATIK",IF($L165&gt;=TtkUcteIkiEsik,"2/3 KAYIP (KRİTİK)",IF($L165&gt;=TtkUcteBirEsik,"1/3 KAYIP (DİKKAT)","UYGUN")))))</f>
        <v/>
      </c>
      <c r="U165" s="20" t="str">
        <f aca="false">IF($N165="","",$Q165*$R165)</f>
        <v/>
      </c>
    </row>
    <row r="166" customFormat="false" ht="15" hidden="false" customHeight="false" outlineLevel="0" collapsed="false">
      <c r="J166" s="20" t="str">
        <f aca="false">IF($A166="","",$B166+$C166+$D166-$E166+$F166-$G166)</f>
        <v/>
      </c>
      <c r="K166" s="20" t="str">
        <f aca="false">IF($A166="","",MAX(0,$B166-$J166))</f>
        <v/>
      </c>
      <c r="L166" s="20" t="str">
        <f aca="false">IF($A166="","",IF($B166=0,0,$K166/$B166))</f>
        <v/>
      </c>
      <c r="M166" s="20" t="str">
        <f aca="false">IF($A166="","",IF($J166&lt;0,"BORCA BATIK",IF($I166&lt;$H166,"BORCA BATIK",IF($L166&gt;=TtkUcteIkiEsik,"2/3 KAYIP (KRİTİK)",IF($L166&gt;=TtkUcteBirEsik,"1/3 KAYIP (DİKKAT)","UYGUN")))))</f>
        <v/>
      </c>
      <c r="U166" s="20" t="str">
        <f aca="false">IF($N166="","",$Q166*$R166)</f>
        <v/>
      </c>
    </row>
    <row r="167" customFormat="false" ht="15" hidden="false" customHeight="false" outlineLevel="0" collapsed="false">
      <c r="J167" s="20" t="str">
        <f aca="false">IF($A167="","",$B167+$C167+$D167-$E167+$F167-$G167)</f>
        <v/>
      </c>
      <c r="K167" s="20" t="str">
        <f aca="false">IF($A167="","",MAX(0,$B167-$J167))</f>
        <v/>
      </c>
      <c r="L167" s="20" t="str">
        <f aca="false">IF($A167="","",IF($B167=0,0,$K167/$B167))</f>
        <v/>
      </c>
      <c r="M167" s="20" t="str">
        <f aca="false">IF($A167="","",IF($J167&lt;0,"BORCA BATIK",IF($I167&lt;$H167,"BORCA BATIK",IF($L167&gt;=TtkUcteIkiEsik,"2/3 KAYIP (KRİTİK)",IF($L167&gt;=TtkUcteBirEsik,"1/3 KAYIP (DİKKAT)","UYGUN")))))</f>
        <v/>
      </c>
      <c r="U167" s="20" t="str">
        <f aca="false">IF($N167="","",$Q167*$R167)</f>
        <v/>
      </c>
    </row>
    <row r="168" customFormat="false" ht="15" hidden="false" customHeight="false" outlineLevel="0" collapsed="false">
      <c r="J168" s="20" t="str">
        <f aca="false">IF($A168="","",$B168+$C168+$D168-$E168+$F168-$G168)</f>
        <v/>
      </c>
      <c r="K168" s="20" t="str">
        <f aca="false">IF($A168="","",MAX(0,$B168-$J168))</f>
        <v/>
      </c>
      <c r="L168" s="20" t="str">
        <f aca="false">IF($A168="","",IF($B168=0,0,$K168/$B168))</f>
        <v/>
      </c>
      <c r="M168" s="20" t="str">
        <f aca="false">IF($A168="","",IF($J168&lt;0,"BORCA BATIK",IF($I168&lt;$H168,"BORCA BATIK",IF($L168&gt;=TtkUcteIkiEsik,"2/3 KAYIP (KRİTİK)",IF($L168&gt;=TtkUcteBirEsik,"1/3 KAYIP (DİKKAT)","UYGUN")))))</f>
        <v/>
      </c>
      <c r="U168" s="20" t="str">
        <f aca="false">IF($N168="","",$Q168*$R168)</f>
        <v/>
      </c>
    </row>
    <row r="169" customFormat="false" ht="15" hidden="false" customHeight="false" outlineLevel="0" collapsed="false">
      <c r="J169" s="20" t="str">
        <f aca="false">IF($A169="","",$B169+$C169+$D169-$E169+$F169-$G169)</f>
        <v/>
      </c>
      <c r="K169" s="20" t="str">
        <f aca="false">IF($A169="","",MAX(0,$B169-$J169))</f>
        <v/>
      </c>
      <c r="L169" s="20" t="str">
        <f aca="false">IF($A169="","",IF($B169=0,0,$K169/$B169))</f>
        <v/>
      </c>
      <c r="M169" s="20" t="str">
        <f aca="false">IF($A169="","",IF($J169&lt;0,"BORCA BATIK",IF($I169&lt;$H169,"BORCA BATIK",IF($L169&gt;=TtkUcteIkiEsik,"2/3 KAYIP (KRİTİK)",IF($L169&gt;=TtkUcteBirEsik,"1/3 KAYIP (DİKKAT)","UYGUN")))))</f>
        <v/>
      </c>
      <c r="U169" s="20" t="str">
        <f aca="false">IF($N169="","",$Q169*$R169)</f>
        <v/>
      </c>
    </row>
    <row r="170" customFormat="false" ht="15" hidden="false" customHeight="false" outlineLevel="0" collapsed="false">
      <c r="J170" s="20" t="str">
        <f aca="false">IF($A170="","",$B170+$C170+$D170-$E170+$F170-$G170)</f>
        <v/>
      </c>
      <c r="K170" s="20" t="str">
        <f aca="false">IF($A170="","",MAX(0,$B170-$J170))</f>
        <v/>
      </c>
      <c r="L170" s="20" t="str">
        <f aca="false">IF($A170="","",IF($B170=0,0,$K170/$B170))</f>
        <v/>
      </c>
      <c r="M170" s="20" t="str">
        <f aca="false">IF($A170="","",IF($J170&lt;0,"BORCA BATIK",IF($I170&lt;$H170,"BORCA BATIK",IF($L170&gt;=TtkUcteIkiEsik,"2/3 KAYIP (KRİTİK)",IF($L170&gt;=TtkUcteBirEsik,"1/3 KAYIP (DİKKAT)","UYGUN")))))</f>
        <v/>
      </c>
      <c r="U170" s="20" t="str">
        <f aca="false">IF($N170="","",$Q170*$R170)</f>
        <v/>
      </c>
    </row>
    <row r="171" customFormat="false" ht="15" hidden="false" customHeight="false" outlineLevel="0" collapsed="false">
      <c r="J171" s="20" t="str">
        <f aca="false">IF($A171="","",$B171+$C171+$D171-$E171+$F171-$G171)</f>
        <v/>
      </c>
      <c r="K171" s="20" t="str">
        <f aca="false">IF($A171="","",MAX(0,$B171-$J171))</f>
        <v/>
      </c>
      <c r="L171" s="20" t="str">
        <f aca="false">IF($A171="","",IF($B171=0,0,$K171/$B171))</f>
        <v/>
      </c>
      <c r="M171" s="20" t="str">
        <f aca="false">IF($A171="","",IF($J171&lt;0,"BORCA BATIK",IF($I171&lt;$H171,"BORCA BATIK",IF($L171&gt;=TtkUcteIkiEsik,"2/3 KAYIP (KRİTİK)",IF($L171&gt;=TtkUcteBirEsik,"1/3 KAYIP (DİKKAT)","UYGUN")))))</f>
        <v/>
      </c>
      <c r="U171" s="20" t="str">
        <f aca="false">IF($N171="","",$Q171*$R171)</f>
        <v/>
      </c>
    </row>
    <row r="172" customFormat="false" ht="15" hidden="false" customHeight="false" outlineLevel="0" collapsed="false">
      <c r="J172" s="20" t="str">
        <f aca="false">IF($A172="","",$B172+$C172+$D172-$E172+$F172-$G172)</f>
        <v/>
      </c>
      <c r="K172" s="20" t="str">
        <f aca="false">IF($A172="","",MAX(0,$B172-$J172))</f>
        <v/>
      </c>
      <c r="L172" s="20" t="str">
        <f aca="false">IF($A172="","",IF($B172=0,0,$K172/$B172))</f>
        <v/>
      </c>
      <c r="M172" s="20" t="str">
        <f aca="false">IF($A172="","",IF($J172&lt;0,"BORCA BATIK",IF($I172&lt;$H172,"BORCA BATIK",IF($L172&gt;=TtkUcteIkiEsik,"2/3 KAYIP (KRİTİK)",IF($L172&gt;=TtkUcteBirEsik,"1/3 KAYIP (DİKKAT)","UYGUN")))))</f>
        <v/>
      </c>
      <c r="U172" s="20" t="str">
        <f aca="false">IF($N172="","",$Q172*$R172)</f>
        <v/>
      </c>
    </row>
    <row r="173" customFormat="false" ht="15" hidden="false" customHeight="false" outlineLevel="0" collapsed="false">
      <c r="J173" s="20" t="str">
        <f aca="false">IF($A173="","",$B173+$C173+$D173-$E173+$F173-$G173)</f>
        <v/>
      </c>
      <c r="K173" s="20" t="str">
        <f aca="false">IF($A173="","",MAX(0,$B173-$J173))</f>
        <v/>
      </c>
      <c r="L173" s="20" t="str">
        <f aca="false">IF($A173="","",IF($B173=0,0,$K173/$B173))</f>
        <v/>
      </c>
      <c r="M173" s="20" t="str">
        <f aca="false">IF($A173="","",IF($J173&lt;0,"BORCA BATIK",IF($I173&lt;$H173,"BORCA BATIK",IF($L173&gt;=TtkUcteIkiEsik,"2/3 KAYIP (KRİTİK)",IF($L173&gt;=TtkUcteBirEsik,"1/3 KAYIP (DİKKAT)","UYGUN")))))</f>
        <v/>
      </c>
      <c r="U173" s="20" t="str">
        <f aca="false">IF($N173="","",$Q173*$R173)</f>
        <v/>
      </c>
    </row>
    <row r="174" customFormat="false" ht="15" hidden="false" customHeight="false" outlineLevel="0" collapsed="false">
      <c r="J174" s="20" t="str">
        <f aca="false">IF($A174="","",$B174+$C174+$D174-$E174+$F174-$G174)</f>
        <v/>
      </c>
      <c r="K174" s="20" t="str">
        <f aca="false">IF($A174="","",MAX(0,$B174-$J174))</f>
        <v/>
      </c>
      <c r="L174" s="20" t="str">
        <f aca="false">IF($A174="","",IF($B174=0,0,$K174/$B174))</f>
        <v/>
      </c>
      <c r="M174" s="20" t="str">
        <f aca="false">IF($A174="","",IF($J174&lt;0,"BORCA BATIK",IF($I174&lt;$H174,"BORCA BATIK",IF($L174&gt;=TtkUcteIkiEsik,"2/3 KAYIP (KRİTİK)",IF($L174&gt;=TtkUcteBirEsik,"1/3 KAYIP (DİKKAT)","UYGUN")))))</f>
        <v/>
      </c>
      <c r="U174" s="20" t="str">
        <f aca="false">IF($N174="","",$Q174*$R174)</f>
        <v/>
      </c>
    </row>
    <row r="175" customFormat="false" ht="15" hidden="false" customHeight="false" outlineLevel="0" collapsed="false">
      <c r="J175" s="20" t="str">
        <f aca="false">IF($A175="","",$B175+$C175+$D175-$E175+$F175-$G175)</f>
        <v/>
      </c>
      <c r="K175" s="20" t="str">
        <f aca="false">IF($A175="","",MAX(0,$B175-$J175))</f>
        <v/>
      </c>
      <c r="L175" s="20" t="str">
        <f aca="false">IF($A175="","",IF($B175=0,0,$K175/$B175))</f>
        <v/>
      </c>
      <c r="M175" s="20" t="str">
        <f aca="false">IF($A175="","",IF($J175&lt;0,"BORCA BATIK",IF($I175&lt;$H175,"BORCA BATIK",IF($L175&gt;=TtkUcteIkiEsik,"2/3 KAYIP (KRİTİK)",IF($L175&gt;=TtkUcteBirEsik,"1/3 KAYIP (DİKKAT)","UYGUN")))))</f>
        <v/>
      </c>
      <c r="U175" s="20" t="str">
        <f aca="false">IF($N175="","",$Q175*$R175)</f>
        <v/>
      </c>
    </row>
    <row r="176" customFormat="false" ht="15" hidden="false" customHeight="false" outlineLevel="0" collapsed="false">
      <c r="J176" s="20" t="str">
        <f aca="false">IF($A176="","",$B176+$C176+$D176-$E176+$F176-$G176)</f>
        <v/>
      </c>
      <c r="K176" s="20" t="str">
        <f aca="false">IF($A176="","",MAX(0,$B176-$J176))</f>
        <v/>
      </c>
      <c r="L176" s="20" t="str">
        <f aca="false">IF($A176="","",IF($B176=0,0,$K176/$B176))</f>
        <v/>
      </c>
      <c r="M176" s="20" t="str">
        <f aca="false">IF($A176="","",IF($J176&lt;0,"BORCA BATIK",IF($I176&lt;$H176,"BORCA BATIK",IF($L176&gt;=TtkUcteIkiEsik,"2/3 KAYIP (KRİTİK)",IF($L176&gt;=TtkUcteBirEsik,"1/3 KAYIP (DİKKAT)","UYGUN")))))</f>
        <v/>
      </c>
      <c r="U176" s="20" t="str">
        <f aca="false">IF($N176="","",$Q176*$R176)</f>
        <v/>
      </c>
    </row>
    <row r="177" customFormat="false" ht="15" hidden="false" customHeight="false" outlineLevel="0" collapsed="false">
      <c r="J177" s="20" t="str">
        <f aca="false">IF($A177="","",$B177+$C177+$D177-$E177+$F177-$G177)</f>
        <v/>
      </c>
      <c r="K177" s="20" t="str">
        <f aca="false">IF($A177="","",MAX(0,$B177-$J177))</f>
        <v/>
      </c>
      <c r="L177" s="20" t="str">
        <f aca="false">IF($A177="","",IF($B177=0,0,$K177/$B177))</f>
        <v/>
      </c>
      <c r="M177" s="20" t="str">
        <f aca="false">IF($A177="","",IF($J177&lt;0,"BORCA BATIK",IF($I177&lt;$H177,"BORCA BATIK",IF($L177&gt;=TtkUcteIkiEsik,"2/3 KAYIP (KRİTİK)",IF($L177&gt;=TtkUcteBirEsik,"1/3 KAYIP (DİKKAT)","UYGUN")))))</f>
        <v/>
      </c>
      <c r="U177" s="20" t="str">
        <f aca="false">IF($N177="","",$Q177*$R177)</f>
        <v/>
      </c>
    </row>
    <row r="178" customFormat="false" ht="15" hidden="false" customHeight="false" outlineLevel="0" collapsed="false">
      <c r="J178" s="20" t="str">
        <f aca="false">IF($A178="","",$B178+$C178+$D178-$E178+$F178-$G178)</f>
        <v/>
      </c>
      <c r="K178" s="20" t="str">
        <f aca="false">IF($A178="","",MAX(0,$B178-$J178))</f>
        <v/>
      </c>
      <c r="L178" s="20" t="str">
        <f aca="false">IF($A178="","",IF($B178=0,0,$K178/$B178))</f>
        <v/>
      </c>
      <c r="M178" s="20" t="str">
        <f aca="false">IF($A178="","",IF($J178&lt;0,"BORCA BATIK",IF($I178&lt;$H178,"BORCA BATIK",IF($L178&gt;=TtkUcteIkiEsik,"2/3 KAYIP (KRİTİK)",IF($L178&gt;=TtkUcteBirEsik,"1/3 KAYIP (DİKKAT)","UYGUN")))))</f>
        <v/>
      </c>
      <c r="U178" s="20" t="str">
        <f aca="false">IF($N178="","",$Q178*$R178)</f>
        <v/>
      </c>
    </row>
    <row r="179" customFormat="false" ht="15" hidden="false" customHeight="false" outlineLevel="0" collapsed="false">
      <c r="J179" s="20" t="str">
        <f aca="false">IF($A179="","",$B179+$C179+$D179-$E179+$F179-$G179)</f>
        <v/>
      </c>
      <c r="K179" s="20" t="str">
        <f aca="false">IF($A179="","",MAX(0,$B179-$J179))</f>
        <v/>
      </c>
      <c r="L179" s="20" t="str">
        <f aca="false">IF($A179="","",IF($B179=0,0,$K179/$B179))</f>
        <v/>
      </c>
      <c r="M179" s="20" t="str">
        <f aca="false">IF($A179="","",IF($J179&lt;0,"BORCA BATIK",IF($I179&lt;$H179,"BORCA BATIK",IF($L179&gt;=TtkUcteIkiEsik,"2/3 KAYIP (KRİTİK)",IF($L179&gt;=TtkUcteBirEsik,"1/3 KAYIP (DİKKAT)","UYGUN")))))</f>
        <v/>
      </c>
      <c r="U179" s="20" t="str">
        <f aca="false">IF($N179="","",$Q179*$R179)</f>
        <v/>
      </c>
    </row>
    <row r="180" customFormat="false" ht="15" hidden="false" customHeight="false" outlineLevel="0" collapsed="false">
      <c r="J180" s="20" t="str">
        <f aca="false">IF($A180="","",$B180+$C180+$D180-$E180+$F180-$G180)</f>
        <v/>
      </c>
      <c r="K180" s="20" t="str">
        <f aca="false">IF($A180="","",MAX(0,$B180-$J180))</f>
        <v/>
      </c>
      <c r="L180" s="20" t="str">
        <f aca="false">IF($A180="","",IF($B180=0,0,$K180/$B180))</f>
        <v/>
      </c>
      <c r="M180" s="20" t="str">
        <f aca="false">IF($A180="","",IF($J180&lt;0,"BORCA BATIK",IF($I180&lt;$H180,"BORCA BATIK",IF($L180&gt;=TtkUcteIkiEsik,"2/3 KAYIP (KRİTİK)",IF($L180&gt;=TtkUcteBirEsik,"1/3 KAYIP (DİKKAT)","UYGUN")))))</f>
        <v/>
      </c>
      <c r="U180" s="20" t="str">
        <f aca="false">IF($N180="","",$Q180*$R180)</f>
        <v/>
      </c>
    </row>
    <row r="181" customFormat="false" ht="15" hidden="false" customHeight="false" outlineLevel="0" collapsed="false">
      <c r="J181" s="20" t="str">
        <f aca="false">IF($A181="","",$B181+$C181+$D181-$E181+$F181-$G181)</f>
        <v/>
      </c>
      <c r="K181" s="20" t="str">
        <f aca="false">IF($A181="","",MAX(0,$B181-$J181))</f>
        <v/>
      </c>
      <c r="L181" s="20" t="str">
        <f aca="false">IF($A181="","",IF($B181=0,0,$K181/$B181))</f>
        <v/>
      </c>
      <c r="M181" s="20" t="str">
        <f aca="false">IF($A181="","",IF($J181&lt;0,"BORCA BATIK",IF($I181&lt;$H181,"BORCA BATIK",IF($L181&gt;=TtkUcteIkiEsik,"2/3 KAYIP (KRİTİK)",IF($L181&gt;=TtkUcteBirEsik,"1/3 KAYIP (DİKKAT)","UYGUN")))))</f>
        <v/>
      </c>
      <c r="U181" s="20" t="str">
        <f aca="false">IF($N181="","",$Q181*$R181)</f>
        <v/>
      </c>
    </row>
    <row r="182" customFormat="false" ht="15" hidden="false" customHeight="false" outlineLevel="0" collapsed="false">
      <c r="J182" s="20" t="str">
        <f aca="false">IF($A182="","",$B182+$C182+$D182-$E182+$F182-$G182)</f>
        <v/>
      </c>
      <c r="K182" s="20" t="str">
        <f aca="false">IF($A182="","",MAX(0,$B182-$J182))</f>
        <v/>
      </c>
      <c r="L182" s="20" t="str">
        <f aca="false">IF($A182="","",IF($B182=0,0,$K182/$B182))</f>
        <v/>
      </c>
      <c r="M182" s="20" t="str">
        <f aca="false">IF($A182="","",IF($J182&lt;0,"BORCA BATIK",IF($I182&lt;$H182,"BORCA BATIK",IF($L182&gt;=TtkUcteIkiEsik,"2/3 KAYIP (KRİTİK)",IF($L182&gt;=TtkUcteBirEsik,"1/3 KAYIP (DİKKAT)","UYGUN")))))</f>
        <v/>
      </c>
      <c r="U182" s="20" t="str">
        <f aca="false">IF($N182="","",$Q182*$R182)</f>
        <v/>
      </c>
    </row>
    <row r="183" customFormat="false" ht="15" hidden="false" customHeight="false" outlineLevel="0" collapsed="false">
      <c r="J183" s="20" t="str">
        <f aca="false">IF($A183="","",$B183+$C183+$D183-$E183+$F183-$G183)</f>
        <v/>
      </c>
      <c r="K183" s="20" t="str">
        <f aca="false">IF($A183="","",MAX(0,$B183-$J183))</f>
        <v/>
      </c>
      <c r="L183" s="20" t="str">
        <f aca="false">IF($A183="","",IF($B183=0,0,$K183/$B183))</f>
        <v/>
      </c>
      <c r="M183" s="20" t="str">
        <f aca="false">IF($A183="","",IF($J183&lt;0,"BORCA BATIK",IF($I183&lt;$H183,"BORCA BATIK",IF($L183&gt;=TtkUcteIkiEsik,"2/3 KAYIP (KRİTİK)",IF($L183&gt;=TtkUcteBirEsik,"1/3 KAYIP (DİKKAT)","UYGUN")))))</f>
        <v/>
      </c>
      <c r="U183" s="20" t="str">
        <f aca="false">IF($N183="","",$Q183*$R183)</f>
        <v/>
      </c>
    </row>
    <row r="184" customFormat="false" ht="15" hidden="false" customHeight="false" outlineLevel="0" collapsed="false">
      <c r="J184" s="20" t="str">
        <f aca="false">IF($A184="","",$B184+$C184+$D184-$E184+$F184-$G184)</f>
        <v/>
      </c>
      <c r="K184" s="20" t="str">
        <f aca="false">IF($A184="","",MAX(0,$B184-$J184))</f>
        <v/>
      </c>
      <c r="L184" s="20" t="str">
        <f aca="false">IF($A184="","",IF($B184=0,0,$K184/$B184))</f>
        <v/>
      </c>
      <c r="M184" s="20" t="str">
        <f aca="false">IF($A184="","",IF($J184&lt;0,"BORCA BATIK",IF($I184&lt;$H184,"BORCA BATIK",IF($L184&gt;=TtkUcteIkiEsik,"2/3 KAYIP (KRİTİK)",IF($L184&gt;=TtkUcteBirEsik,"1/3 KAYIP (DİKKAT)","UYGUN")))))</f>
        <v/>
      </c>
      <c r="U184" s="20" t="str">
        <f aca="false">IF($N184="","",$Q184*$R184)</f>
        <v/>
      </c>
    </row>
    <row r="185" customFormat="false" ht="15" hidden="false" customHeight="false" outlineLevel="0" collapsed="false">
      <c r="J185" s="20" t="str">
        <f aca="false">IF($A185="","",$B185+$C185+$D185-$E185+$F185-$G185)</f>
        <v/>
      </c>
      <c r="K185" s="20" t="str">
        <f aca="false">IF($A185="","",MAX(0,$B185-$J185))</f>
        <v/>
      </c>
      <c r="L185" s="20" t="str">
        <f aca="false">IF($A185="","",IF($B185=0,0,$K185/$B185))</f>
        <v/>
      </c>
      <c r="M185" s="20" t="str">
        <f aca="false">IF($A185="","",IF($J185&lt;0,"BORCA BATIK",IF($I185&lt;$H185,"BORCA BATIK",IF($L185&gt;=TtkUcteIkiEsik,"2/3 KAYIP (KRİTİK)",IF($L185&gt;=TtkUcteBirEsik,"1/3 KAYIP (DİKKAT)","UYGUN")))))</f>
        <v/>
      </c>
      <c r="U185" s="20" t="str">
        <f aca="false">IF($N185="","",$Q185*$R185)</f>
        <v/>
      </c>
    </row>
    <row r="186" customFormat="false" ht="15" hidden="false" customHeight="false" outlineLevel="0" collapsed="false">
      <c r="J186" s="20" t="str">
        <f aca="false">IF($A186="","",$B186+$C186+$D186-$E186+$F186-$G186)</f>
        <v/>
      </c>
      <c r="K186" s="20" t="str">
        <f aca="false">IF($A186="","",MAX(0,$B186-$J186))</f>
        <v/>
      </c>
      <c r="L186" s="20" t="str">
        <f aca="false">IF($A186="","",IF($B186=0,0,$K186/$B186))</f>
        <v/>
      </c>
      <c r="M186" s="20" t="str">
        <f aca="false">IF($A186="","",IF($J186&lt;0,"BORCA BATIK",IF($I186&lt;$H186,"BORCA BATIK",IF($L186&gt;=TtkUcteIkiEsik,"2/3 KAYIP (KRİTİK)",IF($L186&gt;=TtkUcteBirEsik,"1/3 KAYIP (DİKKAT)","UYGUN")))))</f>
        <v/>
      </c>
      <c r="U186" s="20" t="str">
        <f aca="false">IF($N186="","",$Q186*$R186)</f>
        <v/>
      </c>
    </row>
    <row r="187" customFormat="false" ht="15" hidden="false" customHeight="false" outlineLevel="0" collapsed="false">
      <c r="J187" s="20" t="str">
        <f aca="false">IF($A187="","",$B187+$C187+$D187-$E187+$F187-$G187)</f>
        <v/>
      </c>
      <c r="K187" s="20" t="str">
        <f aca="false">IF($A187="","",MAX(0,$B187-$J187))</f>
        <v/>
      </c>
      <c r="L187" s="20" t="str">
        <f aca="false">IF($A187="","",IF($B187=0,0,$K187/$B187))</f>
        <v/>
      </c>
      <c r="M187" s="20" t="str">
        <f aca="false">IF($A187="","",IF($J187&lt;0,"BORCA BATIK",IF($I187&lt;$H187,"BORCA BATIK",IF($L187&gt;=TtkUcteIkiEsik,"2/3 KAYIP (KRİTİK)",IF($L187&gt;=TtkUcteBirEsik,"1/3 KAYIP (DİKKAT)","UYGUN")))))</f>
        <v/>
      </c>
      <c r="U187" s="20" t="str">
        <f aca="false">IF($N187="","",$Q187*$R187)</f>
        <v/>
      </c>
    </row>
    <row r="188" customFormat="false" ht="15" hidden="false" customHeight="false" outlineLevel="0" collapsed="false">
      <c r="J188" s="20" t="str">
        <f aca="false">IF($A188="","",$B188+$C188+$D188-$E188+$F188-$G188)</f>
        <v/>
      </c>
      <c r="K188" s="20" t="str">
        <f aca="false">IF($A188="","",MAX(0,$B188-$J188))</f>
        <v/>
      </c>
      <c r="L188" s="20" t="str">
        <f aca="false">IF($A188="","",IF($B188=0,0,$K188/$B188))</f>
        <v/>
      </c>
      <c r="M188" s="20" t="str">
        <f aca="false">IF($A188="","",IF($J188&lt;0,"BORCA BATIK",IF($I188&lt;$H188,"BORCA BATIK",IF($L188&gt;=TtkUcteIkiEsik,"2/3 KAYIP (KRİTİK)",IF($L188&gt;=TtkUcteBirEsik,"1/3 KAYIP (DİKKAT)","UYGUN")))))</f>
        <v/>
      </c>
      <c r="U188" s="20" t="str">
        <f aca="false">IF($N188="","",$Q188*$R188)</f>
        <v/>
      </c>
    </row>
    <row r="189" customFormat="false" ht="15" hidden="false" customHeight="false" outlineLevel="0" collapsed="false">
      <c r="J189" s="20" t="str">
        <f aca="false">IF($A189="","",$B189+$C189+$D189-$E189+$F189-$G189)</f>
        <v/>
      </c>
      <c r="K189" s="20" t="str">
        <f aca="false">IF($A189="","",MAX(0,$B189-$J189))</f>
        <v/>
      </c>
      <c r="L189" s="20" t="str">
        <f aca="false">IF($A189="","",IF($B189=0,0,$K189/$B189))</f>
        <v/>
      </c>
      <c r="M189" s="20" t="str">
        <f aca="false">IF($A189="","",IF($J189&lt;0,"BORCA BATIK",IF($I189&lt;$H189,"BORCA BATIK",IF($L189&gt;=TtkUcteIkiEsik,"2/3 KAYIP (KRİTİK)",IF($L189&gt;=TtkUcteBirEsik,"1/3 KAYIP (DİKKAT)","UYGUN")))))</f>
        <v/>
      </c>
      <c r="U189" s="20" t="str">
        <f aca="false">IF($N189="","",$Q189*$R189)</f>
        <v/>
      </c>
    </row>
    <row r="190" customFormat="false" ht="15" hidden="false" customHeight="false" outlineLevel="0" collapsed="false">
      <c r="J190" s="20" t="str">
        <f aca="false">IF($A190="","",$B190+$C190+$D190-$E190+$F190-$G190)</f>
        <v/>
      </c>
      <c r="K190" s="20" t="str">
        <f aca="false">IF($A190="","",MAX(0,$B190-$J190))</f>
        <v/>
      </c>
      <c r="L190" s="20" t="str">
        <f aca="false">IF($A190="","",IF($B190=0,0,$K190/$B190))</f>
        <v/>
      </c>
      <c r="M190" s="20" t="str">
        <f aca="false">IF($A190="","",IF($J190&lt;0,"BORCA BATIK",IF($I190&lt;$H190,"BORCA BATIK",IF($L190&gt;=TtkUcteIkiEsik,"2/3 KAYIP (KRİTİK)",IF($L190&gt;=TtkUcteBirEsik,"1/3 KAYIP (DİKKAT)","UYGUN")))))</f>
        <v/>
      </c>
      <c r="U190" s="20" t="str">
        <f aca="false">IF($N190="","",$Q190*$R190)</f>
        <v/>
      </c>
    </row>
    <row r="191" customFormat="false" ht="15" hidden="false" customHeight="false" outlineLevel="0" collapsed="false">
      <c r="J191" s="20" t="str">
        <f aca="false">IF($A191="","",$B191+$C191+$D191-$E191+$F191-$G191)</f>
        <v/>
      </c>
      <c r="K191" s="20" t="str">
        <f aca="false">IF($A191="","",MAX(0,$B191-$J191))</f>
        <v/>
      </c>
      <c r="L191" s="20" t="str">
        <f aca="false">IF($A191="","",IF($B191=0,0,$K191/$B191))</f>
        <v/>
      </c>
      <c r="M191" s="20" t="str">
        <f aca="false">IF($A191="","",IF($J191&lt;0,"BORCA BATIK",IF($I191&lt;$H191,"BORCA BATIK",IF($L191&gt;=TtkUcteIkiEsik,"2/3 KAYIP (KRİTİK)",IF($L191&gt;=TtkUcteBirEsik,"1/3 KAYIP (DİKKAT)","UYGUN")))))</f>
        <v/>
      </c>
      <c r="U191" s="20" t="str">
        <f aca="false">IF($N191="","",$Q191*$R191)</f>
        <v/>
      </c>
    </row>
    <row r="192" customFormat="false" ht="15" hidden="false" customHeight="false" outlineLevel="0" collapsed="false">
      <c r="J192" s="20" t="str">
        <f aca="false">IF($A192="","",$B192+$C192+$D192-$E192+$F192-$G192)</f>
        <v/>
      </c>
      <c r="K192" s="20" t="str">
        <f aca="false">IF($A192="","",MAX(0,$B192-$J192))</f>
        <v/>
      </c>
      <c r="L192" s="20" t="str">
        <f aca="false">IF($A192="","",IF($B192=0,0,$K192/$B192))</f>
        <v/>
      </c>
      <c r="M192" s="20" t="str">
        <f aca="false">IF($A192="","",IF($J192&lt;0,"BORCA BATIK",IF($I192&lt;$H192,"BORCA BATIK",IF($L192&gt;=TtkUcteIkiEsik,"2/3 KAYIP (KRİTİK)",IF($L192&gt;=TtkUcteBirEsik,"1/3 KAYIP (DİKKAT)","UYGUN")))))</f>
        <v/>
      </c>
      <c r="U192" s="20" t="str">
        <f aca="false">IF($N192="","",$Q192*$R192)</f>
        <v/>
      </c>
    </row>
    <row r="193" customFormat="false" ht="15" hidden="false" customHeight="false" outlineLevel="0" collapsed="false">
      <c r="J193" s="20" t="str">
        <f aca="false">IF($A193="","",$B193+$C193+$D193-$E193+$F193-$G193)</f>
        <v/>
      </c>
      <c r="K193" s="20" t="str">
        <f aca="false">IF($A193="","",MAX(0,$B193-$J193))</f>
        <v/>
      </c>
      <c r="L193" s="20" t="str">
        <f aca="false">IF($A193="","",IF($B193=0,0,$K193/$B193))</f>
        <v/>
      </c>
      <c r="M193" s="20" t="str">
        <f aca="false">IF($A193="","",IF($J193&lt;0,"BORCA BATIK",IF($I193&lt;$H193,"BORCA BATIK",IF($L193&gt;=TtkUcteIkiEsik,"2/3 KAYIP (KRİTİK)",IF($L193&gt;=TtkUcteBirEsik,"1/3 KAYIP (DİKKAT)","UYGUN")))))</f>
        <v/>
      </c>
      <c r="U193" s="20" t="str">
        <f aca="false">IF($N193="","",$Q193*$R193)</f>
        <v/>
      </c>
    </row>
    <row r="194" customFormat="false" ht="15" hidden="false" customHeight="false" outlineLevel="0" collapsed="false">
      <c r="J194" s="20" t="str">
        <f aca="false">IF($A194="","",$B194+$C194+$D194-$E194+$F194-$G194)</f>
        <v/>
      </c>
      <c r="K194" s="20" t="str">
        <f aca="false">IF($A194="","",MAX(0,$B194-$J194))</f>
        <v/>
      </c>
      <c r="L194" s="20" t="str">
        <f aca="false">IF($A194="","",IF($B194=0,0,$K194/$B194))</f>
        <v/>
      </c>
      <c r="M194" s="20" t="str">
        <f aca="false">IF($A194="","",IF($J194&lt;0,"BORCA BATIK",IF($I194&lt;$H194,"BORCA BATIK",IF($L194&gt;=TtkUcteIkiEsik,"2/3 KAYIP (KRİTİK)",IF($L194&gt;=TtkUcteBirEsik,"1/3 KAYIP (DİKKAT)","UYGUN")))))</f>
        <v/>
      </c>
      <c r="U194" s="20" t="str">
        <f aca="false">IF($N194="","",$Q194*$R194)</f>
        <v/>
      </c>
    </row>
    <row r="195" customFormat="false" ht="15" hidden="false" customHeight="false" outlineLevel="0" collapsed="false">
      <c r="J195" s="20" t="str">
        <f aca="false">IF($A195="","",$B195+$C195+$D195-$E195+$F195-$G195)</f>
        <v/>
      </c>
      <c r="K195" s="20" t="str">
        <f aca="false">IF($A195="","",MAX(0,$B195-$J195))</f>
        <v/>
      </c>
      <c r="L195" s="20" t="str">
        <f aca="false">IF($A195="","",IF($B195=0,0,$K195/$B195))</f>
        <v/>
      </c>
      <c r="M195" s="20" t="str">
        <f aca="false">IF($A195="","",IF($J195&lt;0,"BORCA BATIK",IF($I195&lt;$H195,"BORCA BATIK",IF($L195&gt;=TtkUcteIkiEsik,"2/3 KAYIP (KRİTİK)",IF($L195&gt;=TtkUcteBirEsik,"1/3 KAYIP (DİKKAT)","UYGUN")))))</f>
        <v/>
      </c>
      <c r="U195" s="20" t="str">
        <f aca="false">IF($N195="","",$Q195*$R195)</f>
        <v/>
      </c>
    </row>
    <row r="196" customFormat="false" ht="15" hidden="false" customHeight="false" outlineLevel="0" collapsed="false">
      <c r="J196" s="20" t="str">
        <f aca="false">IF($A196="","",$B196+$C196+$D196-$E196+$F196-$G196)</f>
        <v/>
      </c>
      <c r="K196" s="20" t="str">
        <f aca="false">IF($A196="","",MAX(0,$B196-$J196))</f>
        <v/>
      </c>
      <c r="L196" s="20" t="str">
        <f aca="false">IF($A196="","",IF($B196=0,0,$K196/$B196))</f>
        <v/>
      </c>
      <c r="M196" s="20" t="str">
        <f aca="false">IF($A196="","",IF($J196&lt;0,"BORCA BATIK",IF($I196&lt;$H196,"BORCA BATIK",IF($L196&gt;=TtkUcteIkiEsik,"2/3 KAYIP (KRİTİK)",IF($L196&gt;=TtkUcteBirEsik,"1/3 KAYIP (DİKKAT)","UYGUN")))))</f>
        <v/>
      </c>
      <c r="U196" s="20" t="str">
        <f aca="false">IF($N196="","",$Q196*$R196)</f>
        <v/>
      </c>
    </row>
    <row r="197" customFormat="false" ht="15" hidden="false" customHeight="false" outlineLevel="0" collapsed="false">
      <c r="J197" s="20" t="str">
        <f aca="false">IF($A197="","",$B197+$C197+$D197-$E197+$F197-$G197)</f>
        <v/>
      </c>
      <c r="K197" s="20" t="str">
        <f aca="false">IF($A197="","",MAX(0,$B197-$J197))</f>
        <v/>
      </c>
      <c r="L197" s="20" t="str">
        <f aca="false">IF($A197="","",IF($B197=0,0,$K197/$B197))</f>
        <v/>
      </c>
      <c r="M197" s="20" t="str">
        <f aca="false">IF($A197="","",IF($J197&lt;0,"BORCA BATIK",IF($I197&lt;$H197,"BORCA BATIK",IF($L197&gt;=TtkUcteIkiEsik,"2/3 KAYIP (KRİTİK)",IF($L197&gt;=TtkUcteBirEsik,"1/3 KAYIP (DİKKAT)","UYGUN")))))</f>
        <v/>
      </c>
      <c r="U197" s="20" t="str">
        <f aca="false">IF($N197="","",$Q197*$R197)</f>
        <v/>
      </c>
    </row>
    <row r="198" customFormat="false" ht="15" hidden="false" customHeight="false" outlineLevel="0" collapsed="false">
      <c r="J198" s="20" t="str">
        <f aca="false">IF($A198="","",$B198+$C198+$D198-$E198+$F198-$G198)</f>
        <v/>
      </c>
      <c r="K198" s="20" t="str">
        <f aca="false">IF($A198="","",MAX(0,$B198-$J198))</f>
        <v/>
      </c>
      <c r="L198" s="20" t="str">
        <f aca="false">IF($A198="","",IF($B198=0,0,$K198/$B198))</f>
        <v/>
      </c>
      <c r="M198" s="20" t="str">
        <f aca="false">IF($A198="","",IF($J198&lt;0,"BORCA BATIK",IF($I198&lt;$H198,"BORCA BATIK",IF($L198&gt;=TtkUcteIkiEsik,"2/3 KAYIP (KRİTİK)",IF($L198&gt;=TtkUcteBirEsik,"1/3 KAYIP (DİKKAT)","UYGUN")))))</f>
        <v/>
      </c>
      <c r="U198" s="20" t="str">
        <f aca="false">IF($N198="","",$Q198*$R198)</f>
        <v/>
      </c>
    </row>
    <row r="199" customFormat="false" ht="15" hidden="false" customHeight="false" outlineLevel="0" collapsed="false">
      <c r="J199" s="20" t="str">
        <f aca="false">IF($A199="","",$B199+$C199+$D199-$E199+$F199-$G199)</f>
        <v/>
      </c>
      <c r="K199" s="20" t="str">
        <f aca="false">IF($A199="","",MAX(0,$B199-$J199))</f>
        <v/>
      </c>
      <c r="L199" s="20" t="str">
        <f aca="false">IF($A199="","",IF($B199=0,0,$K199/$B199))</f>
        <v/>
      </c>
      <c r="M199" s="20" t="str">
        <f aca="false">IF($A199="","",IF($J199&lt;0,"BORCA BATIK",IF($I199&lt;$H199,"BORCA BATIK",IF($L199&gt;=TtkUcteIkiEsik,"2/3 KAYIP (KRİTİK)",IF($L199&gt;=TtkUcteBirEsik,"1/3 KAYIP (DİKKAT)","UYGUN")))))</f>
        <v/>
      </c>
      <c r="U199" s="20" t="str">
        <f aca="false">IF($N199="","",$Q199*$R199)</f>
        <v/>
      </c>
    </row>
    <row r="200" customFormat="false" ht="15" hidden="false" customHeight="false" outlineLevel="0" collapsed="false">
      <c r="J200" s="20" t="str">
        <f aca="false">IF($A200="","",$B200+$C200+$D200-$E200+$F200-$G200)</f>
        <v/>
      </c>
      <c r="K200" s="20" t="str">
        <f aca="false">IF($A200="","",MAX(0,$B200-$J200))</f>
        <v/>
      </c>
      <c r="L200" s="20" t="str">
        <f aca="false">IF($A200="","",IF($B200=0,0,$K200/$B200))</f>
        <v/>
      </c>
      <c r="M200" s="20" t="str">
        <f aca="false">IF($A200="","",IF($J200&lt;0,"BORCA BATIK",IF($I200&lt;$H200,"BORCA BATIK",IF($L200&gt;=TtkUcteIkiEsik,"2/3 KAYIP (KRİTİK)",IF($L200&gt;=TtkUcteBirEsik,"1/3 KAYIP (DİKKAT)","UYGUN")))))</f>
        <v/>
      </c>
      <c r="U200" s="20" t="str">
        <f aca="false">IF($N200="","",$Q200*$R200)</f>
        <v/>
      </c>
    </row>
    <row r="201" customFormat="false" ht="15" hidden="false" customHeight="false" outlineLevel="0" collapsed="false">
      <c r="J201" s="20" t="str">
        <f aca="false">IF($A201="","",$B201+$C201+$D201-$E201+$F201-$G201)</f>
        <v/>
      </c>
      <c r="K201" s="20" t="str">
        <f aca="false">IF($A201="","",MAX(0,$B201-$J201))</f>
        <v/>
      </c>
      <c r="L201" s="20" t="str">
        <f aca="false">IF($A201="","",IF($B201=0,0,$K201/$B201))</f>
        <v/>
      </c>
      <c r="M201" s="20" t="str">
        <f aca="false">IF($A201="","",IF($J201&lt;0,"BORCA BATIK",IF($I201&lt;$H201,"BORCA BATIK",IF($L201&gt;=TtkUcteIkiEsik,"2/3 KAYIP (KRİTİK)",IF($L201&gt;=TtkUcteBirEsik,"1/3 KAYIP (DİKKAT)","UYGUN")))))</f>
        <v/>
      </c>
      <c r="U201" s="20" t="str">
        <f aca="false">IF($N201="","",$Q201*$R201)</f>
        <v/>
      </c>
    </row>
    <row r="202" customFormat="false" ht="15" hidden="false" customHeight="false" outlineLevel="0" collapsed="false">
      <c r="J202" s="20" t="str">
        <f aca="false">IF($A202="","",$B202+$C202+$D202-$E202+$F202-$G202)</f>
        <v/>
      </c>
      <c r="K202" s="20" t="str">
        <f aca="false">IF($A202="","",MAX(0,$B202-$J202))</f>
        <v/>
      </c>
      <c r="L202" s="20" t="str">
        <f aca="false">IF($A202="","",IF($B202=0,0,$K202/$B202))</f>
        <v/>
      </c>
      <c r="M202" s="20" t="str">
        <f aca="false">IF($A202="","",IF($J202&lt;0,"BORCA BATIK",IF($I202&lt;$H202,"BORCA BATIK",IF($L202&gt;=TtkUcteIkiEsik,"2/3 KAYIP (KRİTİK)",IF($L202&gt;=TtkUcteBirEsik,"1/3 KAYIP (DİKKAT)","UYGUN")))))</f>
        <v/>
      </c>
      <c r="U202" s="20" t="str">
        <f aca="false">IF($N202="","",$Q202*$R202)</f>
        <v/>
      </c>
    </row>
    <row r="203" customFormat="false" ht="15" hidden="false" customHeight="false" outlineLevel="0" collapsed="false">
      <c r="J203" s="20" t="str">
        <f aca="false">IF($A203="","",$B203+$C203+$D203-$E203+$F203-$G203)</f>
        <v/>
      </c>
      <c r="K203" s="20" t="str">
        <f aca="false">IF($A203="","",MAX(0,$B203-$J203))</f>
        <v/>
      </c>
      <c r="L203" s="20" t="str">
        <f aca="false">IF($A203="","",IF($B203=0,0,$K203/$B203))</f>
        <v/>
      </c>
      <c r="M203" s="20" t="str">
        <f aca="false">IF($A203="","",IF($J203&lt;0,"BORCA BATIK",IF($I203&lt;$H203,"BORCA BATIK",IF($L203&gt;=TtkUcteIkiEsik,"2/3 KAYIP (KRİTİK)",IF($L203&gt;=TtkUcteBirEsik,"1/3 KAYIP (DİKKAT)","UYGUN")))))</f>
        <v/>
      </c>
      <c r="U203" s="20" t="str">
        <f aca="false">IF($N203="","",$Q203*$R203)</f>
        <v/>
      </c>
    </row>
    <row r="204" customFormat="false" ht="15" hidden="false" customHeight="false" outlineLevel="0" collapsed="false">
      <c r="J204" s="20" t="str">
        <f aca="false">IF($A204="","",$B204+$C204+$D204-$E204+$F204-$G204)</f>
        <v/>
      </c>
      <c r="K204" s="20" t="str">
        <f aca="false">IF($A204="","",MAX(0,$B204-$J204))</f>
        <v/>
      </c>
      <c r="L204" s="20" t="str">
        <f aca="false">IF($A204="","",IF($B204=0,0,$K204/$B204))</f>
        <v/>
      </c>
      <c r="M204" s="20" t="str">
        <f aca="false">IF($A204="","",IF($J204&lt;0,"BORCA BATIK",IF($I204&lt;$H204,"BORCA BATIK",IF($L204&gt;=TtkUcteIkiEsik,"2/3 KAYIP (KRİTİK)",IF($L204&gt;=TtkUcteBirEsik,"1/3 KAYIP (DİKKAT)","UYGUN")))))</f>
        <v/>
      </c>
      <c r="U204" s="20" t="str">
        <f aca="false">IF($N204="","",$Q204*$R204)</f>
        <v/>
      </c>
    </row>
    <row r="205" customFormat="false" ht="15" hidden="false" customHeight="false" outlineLevel="0" collapsed="false">
      <c r="J205" s="20" t="str">
        <f aca="false">IF($A205="","",$B205+$C205+$D205-$E205+$F205-$G205)</f>
        <v/>
      </c>
      <c r="K205" s="20" t="str">
        <f aca="false">IF($A205="","",MAX(0,$B205-$J205))</f>
        <v/>
      </c>
      <c r="L205" s="20" t="str">
        <f aca="false">IF($A205="","",IF($B205=0,0,$K205/$B205))</f>
        <v/>
      </c>
      <c r="M205" s="20" t="str">
        <f aca="false">IF($A205="","",IF($J205&lt;0,"BORCA BATIK",IF($I205&lt;$H205,"BORCA BATIK",IF($L205&gt;=TtkUcteIkiEsik,"2/3 KAYIP (KRİTİK)",IF($L205&gt;=TtkUcteBirEsik,"1/3 KAYIP (DİKKAT)","UYGUN")))))</f>
        <v/>
      </c>
      <c r="U205" s="20" t="str">
        <f aca="false">IF($N205="","",$Q205*$R205)</f>
        <v/>
      </c>
    </row>
    <row r="206" customFormat="false" ht="15" hidden="false" customHeight="false" outlineLevel="0" collapsed="false">
      <c r="J206" s="20" t="str">
        <f aca="false">IF($A206="","",$B206+$C206+$D206-$E206+$F206-$G206)</f>
        <v/>
      </c>
      <c r="K206" s="20" t="str">
        <f aca="false">IF($A206="","",MAX(0,$B206-$J206))</f>
        <v/>
      </c>
      <c r="L206" s="20" t="str">
        <f aca="false">IF($A206="","",IF($B206=0,0,$K206/$B206))</f>
        <v/>
      </c>
      <c r="M206" s="20" t="str">
        <f aca="false">IF($A206="","",IF($J206&lt;0,"BORCA BATIK",IF($I206&lt;$H206,"BORCA BATIK",IF($L206&gt;=TtkUcteIkiEsik,"2/3 KAYIP (KRİTİK)",IF($L206&gt;=TtkUcteBirEsik,"1/3 KAYIP (DİKKAT)","UYGUN")))))</f>
        <v/>
      </c>
      <c r="U206" s="20" t="str">
        <f aca="false">IF($N206="","",$Q206*$R206)</f>
        <v/>
      </c>
    </row>
    <row r="207" customFormat="false" ht="15" hidden="false" customHeight="false" outlineLevel="0" collapsed="false">
      <c r="J207" s="20" t="str">
        <f aca="false">IF($A207="","",$B207+$C207+$D207-$E207+$F207-$G207)</f>
        <v/>
      </c>
      <c r="K207" s="20" t="str">
        <f aca="false">IF($A207="","",MAX(0,$B207-$J207))</f>
        <v/>
      </c>
      <c r="L207" s="20" t="str">
        <f aca="false">IF($A207="","",IF($B207=0,0,$K207/$B207))</f>
        <v/>
      </c>
      <c r="M207" s="20" t="str">
        <f aca="false">IF($A207="","",IF($J207&lt;0,"BORCA BATIK",IF($I207&lt;$H207,"BORCA BATIK",IF($L207&gt;=TtkUcteIkiEsik,"2/3 KAYIP (KRİTİK)",IF($L207&gt;=TtkUcteBirEsik,"1/3 KAYIP (DİKKAT)","UYGUN")))))</f>
        <v/>
      </c>
      <c r="U207" s="20" t="str">
        <f aca="false">IF($N207="","",$Q207*$R207)</f>
        <v/>
      </c>
    </row>
    <row r="208" customFormat="false" ht="15" hidden="false" customHeight="false" outlineLevel="0" collapsed="false">
      <c r="J208" s="20" t="str">
        <f aca="false">IF($A208="","",$B208+$C208+$D208-$E208+$F208-$G208)</f>
        <v/>
      </c>
      <c r="K208" s="20" t="str">
        <f aca="false">IF($A208="","",MAX(0,$B208-$J208))</f>
        <v/>
      </c>
      <c r="L208" s="20" t="str">
        <f aca="false">IF($A208="","",IF($B208=0,0,$K208/$B208))</f>
        <v/>
      </c>
      <c r="M208" s="20" t="str">
        <f aca="false">IF($A208="","",IF($J208&lt;0,"BORCA BATIK",IF($I208&lt;$H208,"BORCA BATIK",IF($L208&gt;=TtkUcteIkiEsik,"2/3 KAYIP (KRİTİK)",IF($L208&gt;=TtkUcteBirEsik,"1/3 KAYIP (DİKKAT)","UYGUN")))))</f>
        <v/>
      </c>
      <c r="U208" s="20" t="str">
        <f aca="false">IF($N208="","",$Q208*$R208)</f>
        <v/>
      </c>
    </row>
    <row r="209" customFormat="false" ht="15" hidden="false" customHeight="false" outlineLevel="0" collapsed="false">
      <c r="J209" s="20" t="str">
        <f aca="false">IF($A209="","",$B209+$C209+$D209-$E209+$F209-$G209)</f>
        <v/>
      </c>
      <c r="K209" s="20" t="str">
        <f aca="false">IF($A209="","",MAX(0,$B209-$J209))</f>
        <v/>
      </c>
      <c r="L209" s="20" t="str">
        <f aca="false">IF($A209="","",IF($B209=0,0,$K209/$B209))</f>
        <v/>
      </c>
      <c r="M209" s="20" t="str">
        <f aca="false">IF($A209="","",IF($J209&lt;0,"BORCA BATIK",IF($I209&lt;$H209,"BORCA BATIK",IF($L209&gt;=TtkUcteIkiEsik,"2/3 KAYIP (KRİTİK)",IF($L209&gt;=TtkUcteBirEsik,"1/3 KAYIP (DİKKAT)","UYGUN")))))</f>
        <v/>
      </c>
      <c r="U209" s="20" t="str">
        <f aca="false">IF($N209="","",$Q209*$R209)</f>
        <v/>
      </c>
    </row>
    <row r="210" customFormat="false" ht="15" hidden="false" customHeight="false" outlineLevel="0" collapsed="false">
      <c r="J210" s="20" t="str">
        <f aca="false">IF($A210="","",$B210+$C210+$D210-$E210+$F210-$G210)</f>
        <v/>
      </c>
      <c r="K210" s="20" t="str">
        <f aca="false">IF($A210="","",MAX(0,$B210-$J210))</f>
        <v/>
      </c>
      <c r="L210" s="20" t="str">
        <f aca="false">IF($A210="","",IF($B210=0,0,$K210/$B210))</f>
        <v/>
      </c>
      <c r="M210" s="20" t="str">
        <f aca="false">IF($A210="","",IF($J210&lt;0,"BORCA BATIK",IF($I210&lt;$H210,"BORCA BATIK",IF($L210&gt;=TtkUcteIkiEsik,"2/3 KAYIP (KRİTİK)",IF($L210&gt;=TtkUcteBirEsik,"1/3 KAYIP (DİKKAT)","UYGUN")))))</f>
        <v/>
      </c>
      <c r="U210" s="20" t="str">
        <f aca="false">IF($N210="","",$Q210*$R210)</f>
        <v/>
      </c>
    </row>
    <row r="211" customFormat="false" ht="15" hidden="false" customHeight="false" outlineLevel="0" collapsed="false">
      <c r="J211" s="20" t="str">
        <f aca="false">IF($A211="","",$B211+$C211+$D211-$E211+$F211-$G211)</f>
        <v/>
      </c>
      <c r="K211" s="20" t="str">
        <f aca="false">IF($A211="","",MAX(0,$B211-$J211))</f>
        <v/>
      </c>
      <c r="L211" s="20" t="str">
        <f aca="false">IF($A211="","",IF($B211=0,0,$K211/$B211))</f>
        <v/>
      </c>
      <c r="M211" s="20" t="str">
        <f aca="false">IF($A211="","",IF($J211&lt;0,"BORCA BATIK",IF($I211&lt;$H211,"BORCA BATIK",IF($L211&gt;=TtkUcteIkiEsik,"2/3 KAYIP (KRİTİK)",IF($L211&gt;=TtkUcteBirEsik,"1/3 KAYIP (DİKKAT)","UYGUN")))))</f>
        <v/>
      </c>
      <c r="U211" s="20" t="str">
        <f aca="false">IF($N211="","",$Q211*$R211)</f>
        <v/>
      </c>
    </row>
    <row r="212" customFormat="false" ht="15" hidden="false" customHeight="false" outlineLevel="0" collapsed="false">
      <c r="J212" s="20" t="str">
        <f aca="false">IF($A212="","",$B212+$C212+$D212-$E212+$F212-$G212)</f>
        <v/>
      </c>
      <c r="K212" s="20" t="str">
        <f aca="false">IF($A212="","",MAX(0,$B212-$J212))</f>
        <v/>
      </c>
      <c r="L212" s="20" t="str">
        <f aca="false">IF($A212="","",IF($B212=0,0,$K212/$B212))</f>
        <v/>
      </c>
      <c r="M212" s="20" t="str">
        <f aca="false">IF($A212="","",IF($J212&lt;0,"BORCA BATIK",IF($I212&lt;$H212,"BORCA BATIK",IF($L212&gt;=TtkUcteIkiEsik,"2/3 KAYIP (KRİTİK)",IF($L212&gt;=TtkUcteBirEsik,"1/3 KAYIP (DİKKAT)","UYGUN")))))</f>
        <v/>
      </c>
      <c r="U212" s="20" t="str">
        <f aca="false">IF($N212="","",$Q212*$R212)</f>
        <v/>
      </c>
    </row>
    <row r="213" customFormat="false" ht="15" hidden="false" customHeight="false" outlineLevel="0" collapsed="false">
      <c r="J213" s="20" t="str">
        <f aca="false">IF($A213="","",$B213+$C213+$D213-$E213+$F213-$G213)</f>
        <v/>
      </c>
      <c r="K213" s="20" t="str">
        <f aca="false">IF($A213="","",MAX(0,$B213-$J213))</f>
        <v/>
      </c>
      <c r="L213" s="20" t="str">
        <f aca="false">IF($A213="","",IF($B213=0,0,$K213/$B213))</f>
        <v/>
      </c>
      <c r="M213" s="20" t="str">
        <f aca="false">IF($A213="","",IF($J213&lt;0,"BORCA BATIK",IF($I213&lt;$H213,"BORCA BATIK",IF($L213&gt;=TtkUcteIkiEsik,"2/3 KAYIP (KRİTİK)",IF($L213&gt;=TtkUcteBirEsik,"1/3 KAYIP (DİKKAT)","UYGUN")))))</f>
        <v/>
      </c>
      <c r="U213" s="20" t="str">
        <f aca="false">IF($N213="","",$Q213*$R213)</f>
        <v/>
      </c>
    </row>
    <row r="214" customFormat="false" ht="15" hidden="false" customHeight="false" outlineLevel="0" collapsed="false">
      <c r="J214" s="20" t="str">
        <f aca="false">IF($A214="","",$B214+$C214+$D214-$E214+$F214-$G214)</f>
        <v/>
      </c>
      <c r="K214" s="20" t="str">
        <f aca="false">IF($A214="","",MAX(0,$B214-$J214))</f>
        <v/>
      </c>
      <c r="L214" s="20" t="str">
        <f aca="false">IF($A214="","",IF($B214=0,0,$K214/$B214))</f>
        <v/>
      </c>
      <c r="M214" s="20" t="str">
        <f aca="false">IF($A214="","",IF($J214&lt;0,"BORCA BATIK",IF($I214&lt;$H214,"BORCA BATIK",IF($L214&gt;=TtkUcteIkiEsik,"2/3 KAYIP (KRİTİK)",IF($L214&gt;=TtkUcteBirEsik,"1/3 KAYIP (DİKKAT)","UYGUN")))))</f>
        <v/>
      </c>
      <c r="U214" s="20" t="str">
        <f aca="false">IF($N214="","",$Q214*$R214)</f>
        <v/>
      </c>
    </row>
    <row r="215" customFormat="false" ht="15" hidden="false" customHeight="false" outlineLevel="0" collapsed="false">
      <c r="J215" s="20" t="str">
        <f aca="false">IF($A215="","",$B215+$C215+$D215-$E215+$F215-$G215)</f>
        <v/>
      </c>
      <c r="K215" s="20" t="str">
        <f aca="false">IF($A215="","",MAX(0,$B215-$J215))</f>
        <v/>
      </c>
      <c r="L215" s="20" t="str">
        <f aca="false">IF($A215="","",IF($B215=0,0,$K215/$B215))</f>
        <v/>
      </c>
      <c r="M215" s="20" t="str">
        <f aca="false">IF($A215="","",IF($J215&lt;0,"BORCA BATIK",IF($I215&lt;$H215,"BORCA BATIK",IF($L215&gt;=TtkUcteIkiEsik,"2/3 KAYIP (KRİTİK)",IF($L215&gt;=TtkUcteBirEsik,"1/3 KAYIP (DİKKAT)","UYGUN")))))</f>
        <v/>
      </c>
      <c r="U215" s="20" t="str">
        <f aca="false">IF($N215="","",$Q215*$R215)</f>
        <v/>
      </c>
    </row>
    <row r="216" customFormat="false" ht="15" hidden="false" customHeight="false" outlineLevel="0" collapsed="false">
      <c r="J216" s="20" t="str">
        <f aca="false">IF($A216="","",$B216+$C216+$D216-$E216+$F216-$G216)</f>
        <v/>
      </c>
      <c r="K216" s="20" t="str">
        <f aca="false">IF($A216="","",MAX(0,$B216-$J216))</f>
        <v/>
      </c>
      <c r="L216" s="20" t="str">
        <f aca="false">IF($A216="","",IF($B216=0,0,$K216/$B216))</f>
        <v/>
      </c>
      <c r="M216" s="20" t="str">
        <f aca="false">IF($A216="","",IF($J216&lt;0,"BORCA BATIK",IF($I216&lt;$H216,"BORCA BATIK",IF($L216&gt;=TtkUcteIkiEsik,"2/3 KAYIP (KRİTİK)",IF($L216&gt;=TtkUcteBirEsik,"1/3 KAYIP (DİKKAT)","UYGUN")))))</f>
        <v/>
      </c>
      <c r="U216" s="20" t="str">
        <f aca="false">IF($N216="","",$Q216*$R216)</f>
        <v/>
      </c>
    </row>
    <row r="217" customFormat="false" ht="15" hidden="false" customHeight="false" outlineLevel="0" collapsed="false">
      <c r="J217" s="20" t="str">
        <f aca="false">IF($A217="","",$B217+$C217+$D217-$E217+$F217-$G217)</f>
        <v/>
      </c>
      <c r="K217" s="20" t="str">
        <f aca="false">IF($A217="","",MAX(0,$B217-$J217))</f>
        <v/>
      </c>
      <c r="L217" s="20" t="str">
        <f aca="false">IF($A217="","",IF($B217=0,0,$K217/$B217))</f>
        <v/>
      </c>
      <c r="M217" s="20" t="str">
        <f aca="false">IF($A217="","",IF($J217&lt;0,"BORCA BATIK",IF($I217&lt;$H217,"BORCA BATIK",IF($L217&gt;=TtkUcteIkiEsik,"2/3 KAYIP (KRİTİK)",IF($L217&gt;=TtkUcteBirEsik,"1/3 KAYIP (DİKKAT)","UYGUN")))))</f>
        <v/>
      </c>
      <c r="U217" s="20" t="str">
        <f aca="false">IF($N217="","",$Q217*$R217)</f>
        <v/>
      </c>
    </row>
    <row r="218" customFormat="false" ht="15" hidden="false" customHeight="false" outlineLevel="0" collapsed="false">
      <c r="J218" s="20" t="str">
        <f aca="false">IF($A218="","",$B218+$C218+$D218-$E218+$F218-$G218)</f>
        <v/>
      </c>
      <c r="K218" s="20" t="str">
        <f aca="false">IF($A218="","",MAX(0,$B218-$J218))</f>
        <v/>
      </c>
      <c r="L218" s="20" t="str">
        <f aca="false">IF($A218="","",IF($B218=0,0,$K218/$B218))</f>
        <v/>
      </c>
      <c r="M218" s="20" t="str">
        <f aca="false">IF($A218="","",IF($J218&lt;0,"BORCA BATIK",IF($I218&lt;$H218,"BORCA BATIK",IF($L218&gt;=TtkUcteIkiEsik,"2/3 KAYIP (KRİTİK)",IF($L218&gt;=TtkUcteBirEsik,"1/3 KAYIP (DİKKAT)","UYGUN")))))</f>
        <v/>
      </c>
      <c r="U218" s="20" t="str">
        <f aca="false">IF($N218="","",$Q218*$R218)</f>
        <v/>
      </c>
    </row>
    <row r="219" customFormat="false" ht="15" hidden="false" customHeight="false" outlineLevel="0" collapsed="false">
      <c r="J219" s="20" t="str">
        <f aca="false">IF($A219="","",$B219+$C219+$D219-$E219+$F219-$G219)</f>
        <v/>
      </c>
      <c r="K219" s="20" t="str">
        <f aca="false">IF($A219="","",MAX(0,$B219-$J219))</f>
        <v/>
      </c>
      <c r="L219" s="20" t="str">
        <f aca="false">IF($A219="","",IF($B219=0,0,$K219/$B219))</f>
        <v/>
      </c>
      <c r="M219" s="20" t="str">
        <f aca="false">IF($A219="","",IF($J219&lt;0,"BORCA BATIK",IF($I219&lt;$H219,"BORCA BATIK",IF($L219&gt;=TtkUcteIkiEsik,"2/3 KAYIP (KRİTİK)",IF($L219&gt;=TtkUcteBirEsik,"1/3 KAYIP (DİKKAT)","UYGUN")))))</f>
        <v/>
      </c>
      <c r="U219" s="20" t="str">
        <f aca="false">IF($N219="","",$Q219*$R219)</f>
        <v/>
      </c>
    </row>
    <row r="220" customFormat="false" ht="15" hidden="false" customHeight="false" outlineLevel="0" collapsed="false">
      <c r="J220" s="20" t="str">
        <f aca="false">IF($A220="","",$B220+$C220+$D220-$E220+$F220-$G220)</f>
        <v/>
      </c>
      <c r="K220" s="20" t="str">
        <f aca="false">IF($A220="","",MAX(0,$B220-$J220))</f>
        <v/>
      </c>
      <c r="L220" s="20" t="str">
        <f aca="false">IF($A220="","",IF($B220=0,0,$K220/$B220))</f>
        <v/>
      </c>
      <c r="M220" s="20" t="str">
        <f aca="false">IF($A220="","",IF($J220&lt;0,"BORCA BATIK",IF($I220&lt;$H220,"BORCA BATIK",IF($L220&gt;=TtkUcteIkiEsik,"2/3 KAYIP (KRİTİK)",IF($L220&gt;=TtkUcteBirEsik,"1/3 KAYIP (DİKKAT)","UYGUN")))))</f>
        <v/>
      </c>
      <c r="U220" s="20" t="str">
        <f aca="false">IF($N220="","",$Q220*$R220)</f>
        <v/>
      </c>
    </row>
    <row r="221" customFormat="false" ht="15" hidden="false" customHeight="false" outlineLevel="0" collapsed="false">
      <c r="J221" s="20" t="str">
        <f aca="false">IF($A221="","",$B221+$C221+$D221-$E221+$F221-$G221)</f>
        <v/>
      </c>
      <c r="K221" s="20" t="str">
        <f aca="false">IF($A221="","",MAX(0,$B221-$J221))</f>
        <v/>
      </c>
      <c r="L221" s="20" t="str">
        <f aca="false">IF($A221="","",IF($B221=0,0,$K221/$B221))</f>
        <v/>
      </c>
      <c r="M221" s="20" t="str">
        <f aca="false">IF($A221="","",IF($J221&lt;0,"BORCA BATIK",IF($I221&lt;$H221,"BORCA BATIK",IF($L221&gt;=TtkUcteIkiEsik,"2/3 KAYIP (KRİTİK)",IF($L221&gt;=TtkUcteBirEsik,"1/3 KAYIP (DİKKAT)","UYGUN")))))</f>
        <v/>
      </c>
      <c r="U221" s="20" t="str">
        <f aca="false">IF($N221="","",$Q221*$R221)</f>
        <v/>
      </c>
    </row>
    <row r="222" customFormat="false" ht="15" hidden="false" customHeight="false" outlineLevel="0" collapsed="false">
      <c r="J222" s="20" t="str">
        <f aca="false">IF($A222="","",$B222+$C222+$D222-$E222+$F222-$G222)</f>
        <v/>
      </c>
      <c r="K222" s="20" t="str">
        <f aca="false">IF($A222="","",MAX(0,$B222-$J222))</f>
        <v/>
      </c>
      <c r="L222" s="20" t="str">
        <f aca="false">IF($A222="","",IF($B222=0,0,$K222/$B222))</f>
        <v/>
      </c>
      <c r="M222" s="20" t="str">
        <f aca="false">IF($A222="","",IF($J222&lt;0,"BORCA BATIK",IF($I222&lt;$H222,"BORCA BATIK",IF($L222&gt;=TtkUcteIkiEsik,"2/3 KAYIP (KRİTİK)",IF($L222&gt;=TtkUcteBirEsik,"1/3 KAYIP (DİKKAT)","UYGUN")))))</f>
        <v/>
      </c>
      <c r="U222" s="20" t="str">
        <f aca="false">IF($N222="","",$Q222*$R222)</f>
        <v/>
      </c>
    </row>
    <row r="223" customFormat="false" ht="15" hidden="false" customHeight="false" outlineLevel="0" collapsed="false">
      <c r="J223" s="20" t="str">
        <f aca="false">IF($A223="","",$B223+$C223+$D223-$E223+$F223-$G223)</f>
        <v/>
      </c>
      <c r="K223" s="20" t="str">
        <f aca="false">IF($A223="","",MAX(0,$B223-$J223))</f>
        <v/>
      </c>
      <c r="L223" s="20" t="str">
        <f aca="false">IF($A223="","",IF($B223=0,0,$K223/$B223))</f>
        <v/>
      </c>
      <c r="M223" s="20" t="str">
        <f aca="false">IF($A223="","",IF($J223&lt;0,"BORCA BATIK",IF($I223&lt;$H223,"BORCA BATIK",IF($L223&gt;=TtkUcteIkiEsik,"2/3 KAYIP (KRİTİK)",IF($L223&gt;=TtkUcteBirEsik,"1/3 KAYIP (DİKKAT)","UYGUN")))))</f>
        <v/>
      </c>
      <c r="U223" s="20" t="str">
        <f aca="false">IF($N223="","",$Q223*$R223)</f>
        <v/>
      </c>
    </row>
    <row r="224" customFormat="false" ht="15" hidden="false" customHeight="false" outlineLevel="0" collapsed="false">
      <c r="J224" s="20" t="str">
        <f aca="false">IF($A224="","",$B224+$C224+$D224-$E224+$F224-$G224)</f>
        <v/>
      </c>
      <c r="K224" s="20" t="str">
        <f aca="false">IF($A224="","",MAX(0,$B224-$J224))</f>
        <v/>
      </c>
      <c r="L224" s="20" t="str">
        <f aca="false">IF($A224="","",IF($B224=0,0,$K224/$B224))</f>
        <v/>
      </c>
      <c r="M224" s="20" t="str">
        <f aca="false">IF($A224="","",IF($J224&lt;0,"BORCA BATIK",IF($I224&lt;$H224,"BORCA BATIK",IF($L224&gt;=TtkUcteIkiEsik,"2/3 KAYIP (KRİTİK)",IF($L224&gt;=TtkUcteBirEsik,"1/3 KAYIP (DİKKAT)","UYGUN")))))</f>
        <v/>
      </c>
      <c r="U224" s="20" t="str">
        <f aca="false">IF($N224="","",$Q224*$R224)</f>
        <v/>
      </c>
    </row>
    <row r="225" customFormat="false" ht="15" hidden="false" customHeight="false" outlineLevel="0" collapsed="false">
      <c r="J225" s="20" t="str">
        <f aca="false">IF($A225="","",$B225+$C225+$D225-$E225+$F225-$G225)</f>
        <v/>
      </c>
      <c r="K225" s="20" t="str">
        <f aca="false">IF($A225="","",MAX(0,$B225-$J225))</f>
        <v/>
      </c>
      <c r="L225" s="20" t="str">
        <f aca="false">IF($A225="","",IF($B225=0,0,$K225/$B225))</f>
        <v/>
      </c>
      <c r="M225" s="20" t="str">
        <f aca="false">IF($A225="","",IF($J225&lt;0,"BORCA BATIK",IF($I225&lt;$H225,"BORCA BATIK",IF($L225&gt;=TtkUcteIkiEsik,"2/3 KAYIP (KRİTİK)",IF($L225&gt;=TtkUcteBirEsik,"1/3 KAYIP (DİKKAT)","UYGUN")))))</f>
        <v/>
      </c>
      <c r="U225" s="20" t="str">
        <f aca="false">IF($N225="","",$Q225*$R225)</f>
        <v/>
      </c>
    </row>
    <row r="226" customFormat="false" ht="15" hidden="false" customHeight="false" outlineLevel="0" collapsed="false">
      <c r="J226" s="20" t="str">
        <f aca="false">IF($A226="","",$B226+$C226+$D226-$E226+$F226-$G226)</f>
        <v/>
      </c>
      <c r="K226" s="20" t="str">
        <f aca="false">IF($A226="","",MAX(0,$B226-$J226))</f>
        <v/>
      </c>
      <c r="L226" s="20" t="str">
        <f aca="false">IF($A226="","",IF($B226=0,0,$K226/$B226))</f>
        <v/>
      </c>
      <c r="M226" s="20" t="str">
        <f aca="false">IF($A226="","",IF($J226&lt;0,"BORCA BATIK",IF($I226&lt;$H226,"BORCA BATIK",IF($L226&gt;=TtkUcteIkiEsik,"2/3 KAYIP (KRİTİK)",IF($L226&gt;=TtkUcteBirEsik,"1/3 KAYIP (DİKKAT)","UYGUN")))))</f>
        <v/>
      </c>
      <c r="U226" s="20" t="str">
        <f aca="false">IF($N226="","",$Q226*$R226)</f>
        <v/>
      </c>
    </row>
    <row r="227" customFormat="false" ht="15" hidden="false" customHeight="false" outlineLevel="0" collapsed="false">
      <c r="J227" s="20" t="str">
        <f aca="false">IF($A227="","",$B227+$C227+$D227-$E227+$F227-$G227)</f>
        <v/>
      </c>
      <c r="K227" s="20" t="str">
        <f aca="false">IF($A227="","",MAX(0,$B227-$J227))</f>
        <v/>
      </c>
      <c r="L227" s="20" t="str">
        <f aca="false">IF($A227="","",IF($B227=0,0,$K227/$B227))</f>
        <v/>
      </c>
      <c r="M227" s="20" t="str">
        <f aca="false">IF($A227="","",IF($J227&lt;0,"BORCA BATIK",IF($I227&lt;$H227,"BORCA BATIK",IF($L227&gt;=TtkUcteIkiEsik,"2/3 KAYIP (KRİTİK)",IF($L227&gt;=TtkUcteBirEsik,"1/3 KAYIP (DİKKAT)","UYGUN")))))</f>
        <v/>
      </c>
      <c r="U227" s="20" t="str">
        <f aca="false">IF($N227="","",$Q227*$R227)</f>
        <v/>
      </c>
    </row>
    <row r="228" customFormat="false" ht="15" hidden="false" customHeight="false" outlineLevel="0" collapsed="false">
      <c r="J228" s="20" t="str">
        <f aca="false">IF($A228="","",$B228+$C228+$D228-$E228+$F228-$G228)</f>
        <v/>
      </c>
      <c r="K228" s="20" t="str">
        <f aca="false">IF($A228="","",MAX(0,$B228-$J228))</f>
        <v/>
      </c>
      <c r="L228" s="20" t="str">
        <f aca="false">IF($A228="","",IF($B228=0,0,$K228/$B228))</f>
        <v/>
      </c>
      <c r="M228" s="20" t="str">
        <f aca="false">IF($A228="","",IF($J228&lt;0,"BORCA BATIK",IF($I228&lt;$H228,"BORCA BATIK",IF($L228&gt;=TtkUcteIkiEsik,"2/3 KAYIP (KRİTİK)",IF($L228&gt;=TtkUcteBirEsik,"1/3 KAYIP (DİKKAT)","UYGUN")))))</f>
        <v/>
      </c>
      <c r="U228" s="20" t="str">
        <f aca="false">IF($N228="","",$Q228*$R228)</f>
        <v/>
      </c>
    </row>
    <row r="229" customFormat="false" ht="15" hidden="false" customHeight="false" outlineLevel="0" collapsed="false">
      <c r="J229" s="20" t="str">
        <f aca="false">IF($A229="","",$B229+$C229+$D229-$E229+$F229-$G229)</f>
        <v/>
      </c>
      <c r="K229" s="20" t="str">
        <f aca="false">IF($A229="","",MAX(0,$B229-$J229))</f>
        <v/>
      </c>
      <c r="L229" s="20" t="str">
        <f aca="false">IF($A229="","",IF($B229=0,0,$K229/$B229))</f>
        <v/>
      </c>
      <c r="M229" s="20" t="str">
        <f aca="false">IF($A229="","",IF($J229&lt;0,"BORCA BATIK",IF($I229&lt;$H229,"BORCA BATIK",IF($L229&gt;=TtkUcteIkiEsik,"2/3 KAYIP (KRİTİK)",IF($L229&gt;=TtkUcteBirEsik,"1/3 KAYIP (DİKKAT)","UYGUN")))))</f>
        <v/>
      </c>
      <c r="U229" s="20" t="str">
        <f aca="false">IF($N229="","",$Q229*$R229)</f>
        <v/>
      </c>
    </row>
    <row r="230" customFormat="false" ht="15" hidden="false" customHeight="false" outlineLevel="0" collapsed="false">
      <c r="J230" s="20" t="str">
        <f aca="false">IF($A230="","",$B230+$C230+$D230-$E230+$F230-$G230)</f>
        <v/>
      </c>
      <c r="K230" s="20" t="str">
        <f aca="false">IF($A230="","",MAX(0,$B230-$J230))</f>
        <v/>
      </c>
      <c r="L230" s="20" t="str">
        <f aca="false">IF($A230="","",IF($B230=0,0,$K230/$B230))</f>
        <v/>
      </c>
      <c r="M230" s="20" t="str">
        <f aca="false">IF($A230="","",IF($J230&lt;0,"BORCA BATIK",IF($I230&lt;$H230,"BORCA BATIK",IF($L230&gt;=TtkUcteIkiEsik,"2/3 KAYIP (KRİTİK)",IF($L230&gt;=TtkUcteBirEsik,"1/3 KAYIP (DİKKAT)","UYGUN")))))</f>
        <v/>
      </c>
      <c r="U230" s="20" t="str">
        <f aca="false">IF($N230="","",$Q230*$R230)</f>
        <v/>
      </c>
    </row>
    <row r="231" customFormat="false" ht="15" hidden="false" customHeight="false" outlineLevel="0" collapsed="false">
      <c r="J231" s="20" t="str">
        <f aca="false">IF($A231="","",$B231+$C231+$D231-$E231+$F231-$G231)</f>
        <v/>
      </c>
      <c r="K231" s="20" t="str">
        <f aca="false">IF($A231="","",MAX(0,$B231-$J231))</f>
        <v/>
      </c>
      <c r="L231" s="20" t="str">
        <f aca="false">IF($A231="","",IF($B231=0,0,$K231/$B231))</f>
        <v/>
      </c>
      <c r="M231" s="20" t="str">
        <f aca="false">IF($A231="","",IF($J231&lt;0,"BORCA BATIK",IF($I231&lt;$H231,"BORCA BATIK",IF($L231&gt;=TtkUcteIkiEsik,"2/3 KAYIP (KRİTİK)",IF($L231&gt;=TtkUcteBirEsik,"1/3 KAYIP (DİKKAT)","UYGUN")))))</f>
        <v/>
      </c>
      <c r="U231" s="20" t="str">
        <f aca="false">IF($N231="","",$Q231*$R231)</f>
        <v/>
      </c>
    </row>
    <row r="232" customFormat="false" ht="15" hidden="false" customHeight="false" outlineLevel="0" collapsed="false">
      <c r="J232" s="20" t="str">
        <f aca="false">IF($A232="","",$B232+$C232+$D232-$E232+$F232-$G232)</f>
        <v/>
      </c>
      <c r="K232" s="20" t="str">
        <f aca="false">IF($A232="","",MAX(0,$B232-$J232))</f>
        <v/>
      </c>
      <c r="L232" s="20" t="str">
        <f aca="false">IF($A232="","",IF($B232=0,0,$K232/$B232))</f>
        <v/>
      </c>
      <c r="M232" s="20" t="str">
        <f aca="false">IF($A232="","",IF($J232&lt;0,"BORCA BATIK",IF($I232&lt;$H232,"BORCA BATIK",IF($L232&gt;=TtkUcteIkiEsik,"2/3 KAYIP (KRİTİK)",IF($L232&gt;=TtkUcteBirEsik,"1/3 KAYIP (DİKKAT)","UYGUN")))))</f>
        <v/>
      </c>
      <c r="U232" s="20" t="str">
        <f aca="false">IF($N232="","",$Q232*$R232)</f>
        <v/>
      </c>
    </row>
    <row r="233" customFormat="false" ht="15" hidden="false" customHeight="false" outlineLevel="0" collapsed="false">
      <c r="J233" s="20" t="str">
        <f aca="false">IF($A233="","",$B233+$C233+$D233-$E233+$F233-$G233)</f>
        <v/>
      </c>
      <c r="K233" s="20" t="str">
        <f aca="false">IF($A233="","",MAX(0,$B233-$J233))</f>
        <v/>
      </c>
      <c r="L233" s="20" t="str">
        <f aca="false">IF($A233="","",IF($B233=0,0,$K233/$B233))</f>
        <v/>
      </c>
      <c r="M233" s="20" t="str">
        <f aca="false">IF($A233="","",IF($J233&lt;0,"BORCA BATIK",IF($I233&lt;$H233,"BORCA BATIK",IF($L233&gt;=TtkUcteIkiEsik,"2/3 KAYIP (KRİTİK)",IF($L233&gt;=TtkUcteBirEsik,"1/3 KAYIP (DİKKAT)","UYGUN")))))</f>
        <v/>
      </c>
      <c r="U233" s="20" t="str">
        <f aca="false">IF($N233="","",$Q233*$R233)</f>
        <v/>
      </c>
    </row>
    <row r="234" customFormat="false" ht="15" hidden="false" customHeight="false" outlineLevel="0" collapsed="false">
      <c r="J234" s="20" t="str">
        <f aca="false">IF($A234="","",$B234+$C234+$D234-$E234+$F234-$G234)</f>
        <v/>
      </c>
      <c r="K234" s="20" t="str">
        <f aca="false">IF($A234="","",MAX(0,$B234-$J234))</f>
        <v/>
      </c>
      <c r="L234" s="20" t="str">
        <f aca="false">IF($A234="","",IF($B234=0,0,$K234/$B234))</f>
        <v/>
      </c>
      <c r="M234" s="20" t="str">
        <f aca="false">IF($A234="","",IF($J234&lt;0,"BORCA BATIK",IF($I234&lt;$H234,"BORCA BATIK",IF($L234&gt;=TtkUcteIkiEsik,"2/3 KAYIP (KRİTİK)",IF($L234&gt;=TtkUcteBirEsik,"1/3 KAYIP (DİKKAT)","UYGUN")))))</f>
        <v/>
      </c>
      <c r="U234" s="20" t="str">
        <f aca="false">IF($N234="","",$Q234*$R234)</f>
        <v/>
      </c>
    </row>
    <row r="235" customFormat="false" ht="15" hidden="false" customHeight="false" outlineLevel="0" collapsed="false">
      <c r="J235" s="20" t="str">
        <f aca="false">IF($A235="","",$B235+$C235+$D235-$E235+$F235-$G235)</f>
        <v/>
      </c>
      <c r="K235" s="20" t="str">
        <f aca="false">IF($A235="","",MAX(0,$B235-$J235))</f>
        <v/>
      </c>
      <c r="L235" s="20" t="str">
        <f aca="false">IF($A235="","",IF($B235=0,0,$K235/$B235))</f>
        <v/>
      </c>
      <c r="M235" s="20" t="str">
        <f aca="false">IF($A235="","",IF($J235&lt;0,"BORCA BATIK",IF($I235&lt;$H235,"BORCA BATIK",IF($L235&gt;=TtkUcteIkiEsik,"2/3 KAYIP (KRİTİK)",IF($L235&gt;=TtkUcteBirEsik,"1/3 KAYIP (DİKKAT)","UYGUN")))))</f>
        <v/>
      </c>
      <c r="U235" s="20" t="str">
        <f aca="false">IF($N235="","",$Q235*$R235)</f>
        <v/>
      </c>
    </row>
    <row r="236" customFormat="false" ht="15" hidden="false" customHeight="false" outlineLevel="0" collapsed="false">
      <c r="J236" s="20" t="str">
        <f aca="false">IF($A236="","",$B236+$C236+$D236-$E236+$F236-$G236)</f>
        <v/>
      </c>
      <c r="K236" s="20" t="str">
        <f aca="false">IF($A236="","",MAX(0,$B236-$J236))</f>
        <v/>
      </c>
      <c r="L236" s="20" t="str">
        <f aca="false">IF($A236="","",IF($B236=0,0,$K236/$B236))</f>
        <v/>
      </c>
      <c r="M236" s="20" t="str">
        <f aca="false">IF($A236="","",IF($J236&lt;0,"BORCA BATIK",IF($I236&lt;$H236,"BORCA BATIK",IF($L236&gt;=TtkUcteIkiEsik,"2/3 KAYIP (KRİTİK)",IF($L236&gt;=TtkUcteBirEsik,"1/3 KAYIP (DİKKAT)","UYGUN")))))</f>
        <v/>
      </c>
      <c r="U236" s="20" t="str">
        <f aca="false">IF($N236="","",$Q236*$R236)</f>
        <v/>
      </c>
    </row>
    <row r="237" customFormat="false" ht="15" hidden="false" customHeight="false" outlineLevel="0" collapsed="false">
      <c r="J237" s="20" t="str">
        <f aca="false">IF($A237="","",$B237+$C237+$D237-$E237+$F237-$G237)</f>
        <v/>
      </c>
      <c r="K237" s="20" t="str">
        <f aca="false">IF($A237="","",MAX(0,$B237-$J237))</f>
        <v/>
      </c>
      <c r="L237" s="20" t="str">
        <f aca="false">IF($A237="","",IF($B237=0,0,$K237/$B237))</f>
        <v/>
      </c>
      <c r="M237" s="20" t="str">
        <f aca="false">IF($A237="","",IF($J237&lt;0,"BORCA BATIK",IF($I237&lt;$H237,"BORCA BATIK",IF($L237&gt;=TtkUcteIkiEsik,"2/3 KAYIP (KRİTİK)",IF($L237&gt;=TtkUcteBirEsik,"1/3 KAYIP (DİKKAT)","UYGUN")))))</f>
        <v/>
      </c>
      <c r="U237" s="20" t="str">
        <f aca="false">IF($N237="","",$Q237*$R237)</f>
        <v/>
      </c>
    </row>
    <row r="238" customFormat="false" ht="15" hidden="false" customHeight="false" outlineLevel="0" collapsed="false">
      <c r="J238" s="20" t="str">
        <f aca="false">IF($A238="","",$B238+$C238+$D238-$E238+$F238-$G238)</f>
        <v/>
      </c>
      <c r="K238" s="20" t="str">
        <f aca="false">IF($A238="","",MAX(0,$B238-$J238))</f>
        <v/>
      </c>
      <c r="L238" s="20" t="str">
        <f aca="false">IF($A238="","",IF($B238=0,0,$K238/$B238))</f>
        <v/>
      </c>
      <c r="M238" s="20" t="str">
        <f aca="false">IF($A238="","",IF($J238&lt;0,"BORCA BATIK",IF($I238&lt;$H238,"BORCA BATIK",IF($L238&gt;=TtkUcteIkiEsik,"2/3 KAYIP (KRİTİK)",IF($L238&gt;=TtkUcteBirEsik,"1/3 KAYIP (DİKKAT)","UYGUN")))))</f>
        <v/>
      </c>
      <c r="U238" s="20" t="str">
        <f aca="false">IF($N238="","",$Q238*$R238)</f>
        <v/>
      </c>
    </row>
    <row r="239" customFormat="false" ht="15" hidden="false" customHeight="false" outlineLevel="0" collapsed="false">
      <c r="J239" s="20" t="str">
        <f aca="false">IF($A239="","",$B239+$C239+$D239-$E239+$F239-$G239)</f>
        <v/>
      </c>
      <c r="K239" s="20" t="str">
        <f aca="false">IF($A239="","",MAX(0,$B239-$J239))</f>
        <v/>
      </c>
      <c r="L239" s="20" t="str">
        <f aca="false">IF($A239="","",IF($B239=0,0,$K239/$B239))</f>
        <v/>
      </c>
      <c r="M239" s="20" t="str">
        <f aca="false">IF($A239="","",IF($J239&lt;0,"BORCA BATIK",IF($I239&lt;$H239,"BORCA BATIK",IF($L239&gt;=TtkUcteIkiEsik,"2/3 KAYIP (KRİTİK)",IF($L239&gt;=TtkUcteBirEsik,"1/3 KAYIP (DİKKAT)","UYGUN")))))</f>
        <v/>
      </c>
      <c r="U239" s="20" t="str">
        <f aca="false">IF($N239="","",$Q239*$R239)</f>
        <v/>
      </c>
    </row>
    <row r="240" customFormat="false" ht="15" hidden="false" customHeight="false" outlineLevel="0" collapsed="false">
      <c r="J240" s="20" t="str">
        <f aca="false">IF($A240="","",$B240+$C240+$D240-$E240+$F240-$G240)</f>
        <v/>
      </c>
      <c r="K240" s="20" t="str">
        <f aca="false">IF($A240="","",MAX(0,$B240-$J240))</f>
        <v/>
      </c>
      <c r="L240" s="20" t="str">
        <f aca="false">IF($A240="","",IF($B240=0,0,$K240/$B240))</f>
        <v/>
      </c>
      <c r="M240" s="20" t="str">
        <f aca="false">IF($A240="","",IF($J240&lt;0,"BORCA BATIK",IF($I240&lt;$H240,"BORCA BATIK",IF($L240&gt;=TtkUcteIkiEsik,"2/3 KAYIP (KRİTİK)",IF($L240&gt;=TtkUcteBirEsik,"1/3 KAYIP (DİKKAT)","UYGUN")))))</f>
        <v/>
      </c>
      <c r="U240" s="20" t="str">
        <f aca="false">IF($N240="","",$Q240*$R240)</f>
        <v/>
      </c>
    </row>
    <row r="241" customFormat="false" ht="15" hidden="false" customHeight="false" outlineLevel="0" collapsed="false">
      <c r="J241" s="20" t="str">
        <f aca="false">IF($A241="","",$B241+$C241+$D241-$E241+$F241-$G241)</f>
        <v/>
      </c>
      <c r="K241" s="20" t="str">
        <f aca="false">IF($A241="","",MAX(0,$B241-$J241))</f>
        <v/>
      </c>
      <c r="L241" s="20" t="str">
        <f aca="false">IF($A241="","",IF($B241=0,0,$K241/$B241))</f>
        <v/>
      </c>
      <c r="M241" s="20" t="str">
        <f aca="false">IF($A241="","",IF($J241&lt;0,"BORCA BATIK",IF($I241&lt;$H241,"BORCA BATIK",IF($L241&gt;=TtkUcteIkiEsik,"2/3 KAYIP (KRİTİK)",IF($L241&gt;=TtkUcteBirEsik,"1/3 KAYIP (DİKKAT)","UYGUN")))))</f>
        <v/>
      </c>
      <c r="U241" s="20" t="str">
        <f aca="false">IF($N241="","",$Q241*$R241)</f>
        <v/>
      </c>
    </row>
    <row r="242" customFormat="false" ht="15" hidden="false" customHeight="false" outlineLevel="0" collapsed="false">
      <c r="J242" s="20" t="str">
        <f aca="false">IF($A242="","",$B242+$C242+$D242-$E242+$F242-$G242)</f>
        <v/>
      </c>
      <c r="K242" s="20" t="str">
        <f aca="false">IF($A242="","",MAX(0,$B242-$J242))</f>
        <v/>
      </c>
      <c r="L242" s="20" t="str">
        <f aca="false">IF($A242="","",IF($B242=0,0,$K242/$B242))</f>
        <v/>
      </c>
      <c r="M242" s="20" t="str">
        <f aca="false">IF($A242="","",IF($J242&lt;0,"BORCA BATIK",IF($I242&lt;$H242,"BORCA BATIK",IF($L242&gt;=TtkUcteIkiEsik,"2/3 KAYIP (KRİTİK)",IF($L242&gt;=TtkUcteBirEsik,"1/3 KAYIP (DİKKAT)","UYGUN")))))</f>
        <v/>
      </c>
      <c r="U242" s="20" t="str">
        <f aca="false">IF($N242="","",$Q242*$R242)</f>
        <v/>
      </c>
    </row>
    <row r="243" customFormat="false" ht="15" hidden="false" customHeight="false" outlineLevel="0" collapsed="false">
      <c r="J243" s="20" t="str">
        <f aca="false">IF($A243="","",$B243+$C243+$D243-$E243+$F243-$G243)</f>
        <v/>
      </c>
      <c r="K243" s="20" t="str">
        <f aca="false">IF($A243="","",MAX(0,$B243-$J243))</f>
        <v/>
      </c>
      <c r="L243" s="20" t="str">
        <f aca="false">IF($A243="","",IF($B243=0,0,$K243/$B243))</f>
        <v/>
      </c>
      <c r="M243" s="20" t="str">
        <f aca="false">IF($A243="","",IF($J243&lt;0,"BORCA BATIK",IF($I243&lt;$H243,"BORCA BATIK",IF($L243&gt;=TtkUcteIkiEsik,"2/3 KAYIP (KRİTİK)",IF($L243&gt;=TtkUcteBirEsik,"1/3 KAYIP (DİKKAT)","UYGUN")))))</f>
        <v/>
      </c>
      <c r="U243" s="20" t="str">
        <f aca="false">IF($N243="","",$Q243*$R243)</f>
        <v/>
      </c>
    </row>
    <row r="244" customFormat="false" ht="15" hidden="false" customHeight="false" outlineLevel="0" collapsed="false">
      <c r="J244" s="20" t="str">
        <f aca="false">IF($A244="","",$B244+$C244+$D244-$E244+$F244-$G244)</f>
        <v/>
      </c>
      <c r="K244" s="20" t="str">
        <f aca="false">IF($A244="","",MAX(0,$B244-$J244))</f>
        <v/>
      </c>
      <c r="L244" s="20" t="str">
        <f aca="false">IF($A244="","",IF($B244=0,0,$K244/$B244))</f>
        <v/>
      </c>
      <c r="M244" s="20" t="str">
        <f aca="false">IF($A244="","",IF($J244&lt;0,"BORCA BATIK",IF($I244&lt;$H244,"BORCA BATIK",IF($L244&gt;=TtkUcteIkiEsik,"2/3 KAYIP (KRİTİK)",IF($L244&gt;=TtkUcteBirEsik,"1/3 KAYIP (DİKKAT)","UYGUN")))))</f>
        <v/>
      </c>
      <c r="U244" s="20" t="str">
        <f aca="false">IF($N244="","",$Q244*$R244)</f>
        <v/>
      </c>
    </row>
    <row r="245" customFormat="false" ht="15" hidden="false" customHeight="false" outlineLevel="0" collapsed="false">
      <c r="J245" s="20" t="str">
        <f aca="false">IF($A245="","",$B245+$C245+$D245-$E245+$F245-$G245)</f>
        <v/>
      </c>
      <c r="K245" s="20" t="str">
        <f aca="false">IF($A245="","",MAX(0,$B245-$J245))</f>
        <v/>
      </c>
      <c r="L245" s="20" t="str">
        <f aca="false">IF($A245="","",IF($B245=0,0,$K245/$B245))</f>
        <v/>
      </c>
      <c r="M245" s="20" t="str">
        <f aca="false">IF($A245="","",IF($J245&lt;0,"BORCA BATIK",IF($I245&lt;$H245,"BORCA BATIK",IF($L245&gt;=TtkUcteIkiEsik,"2/3 KAYIP (KRİTİK)",IF($L245&gt;=TtkUcteBirEsik,"1/3 KAYIP (DİKKAT)","UYGUN")))))</f>
        <v/>
      </c>
      <c r="U245" s="20" t="str">
        <f aca="false">IF($N245="","",$Q245*$R245)</f>
        <v/>
      </c>
    </row>
    <row r="246" customFormat="false" ht="15" hidden="false" customHeight="false" outlineLevel="0" collapsed="false">
      <c r="J246" s="20" t="str">
        <f aca="false">IF($A246="","",$B246+$C246+$D246-$E246+$F246-$G246)</f>
        <v/>
      </c>
      <c r="K246" s="20" t="str">
        <f aca="false">IF($A246="","",MAX(0,$B246-$J246))</f>
        <v/>
      </c>
      <c r="L246" s="20" t="str">
        <f aca="false">IF($A246="","",IF($B246=0,0,$K246/$B246))</f>
        <v/>
      </c>
      <c r="M246" s="20" t="str">
        <f aca="false">IF($A246="","",IF($J246&lt;0,"BORCA BATIK",IF($I246&lt;$H246,"BORCA BATIK",IF($L246&gt;=TtkUcteIkiEsik,"2/3 KAYIP (KRİTİK)",IF($L246&gt;=TtkUcteBirEsik,"1/3 KAYIP (DİKKAT)","UYGUN")))))</f>
        <v/>
      </c>
      <c r="U246" s="20" t="str">
        <f aca="false">IF($N246="","",$Q246*$R246)</f>
        <v/>
      </c>
    </row>
    <row r="247" customFormat="false" ht="15" hidden="false" customHeight="false" outlineLevel="0" collapsed="false">
      <c r="J247" s="20" t="str">
        <f aca="false">IF($A247="","",$B247+$C247+$D247-$E247+$F247-$G247)</f>
        <v/>
      </c>
      <c r="K247" s="20" t="str">
        <f aca="false">IF($A247="","",MAX(0,$B247-$J247))</f>
        <v/>
      </c>
      <c r="L247" s="20" t="str">
        <f aca="false">IF($A247="","",IF($B247=0,0,$K247/$B247))</f>
        <v/>
      </c>
      <c r="M247" s="20" t="str">
        <f aca="false">IF($A247="","",IF($J247&lt;0,"BORCA BATIK",IF($I247&lt;$H247,"BORCA BATIK",IF($L247&gt;=TtkUcteIkiEsik,"2/3 KAYIP (KRİTİK)",IF($L247&gt;=TtkUcteBirEsik,"1/3 KAYIP (DİKKAT)","UYGUN")))))</f>
        <v/>
      </c>
      <c r="U247" s="20" t="str">
        <f aca="false">IF($N247="","",$Q247*$R247)</f>
        <v/>
      </c>
    </row>
    <row r="248" customFormat="false" ht="15" hidden="false" customHeight="false" outlineLevel="0" collapsed="false">
      <c r="J248" s="20" t="str">
        <f aca="false">IF($A248="","",$B248+$C248+$D248-$E248+$F248-$G248)</f>
        <v/>
      </c>
      <c r="K248" s="20" t="str">
        <f aca="false">IF($A248="","",MAX(0,$B248-$J248))</f>
        <v/>
      </c>
      <c r="L248" s="20" t="str">
        <f aca="false">IF($A248="","",IF($B248=0,0,$K248/$B248))</f>
        <v/>
      </c>
      <c r="M248" s="20" t="str">
        <f aca="false">IF($A248="","",IF($J248&lt;0,"BORCA BATIK",IF($I248&lt;$H248,"BORCA BATIK",IF($L248&gt;=TtkUcteIkiEsik,"2/3 KAYIP (KRİTİK)",IF($L248&gt;=TtkUcteBirEsik,"1/3 KAYIP (DİKKAT)","UYGUN")))))</f>
        <v/>
      </c>
      <c r="U248" s="20" t="str">
        <f aca="false">IF($N248="","",$Q248*$R248)</f>
        <v/>
      </c>
    </row>
    <row r="249" customFormat="false" ht="15" hidden="false" customHeight="false" outlineLevel="0" collapsed="false">
      <c r="J249" s="20" t="str">
        <f aca="false">IF($A249="","",$B249+$C249+$D249-$E249+$F249-$G249)</f>
        <v/>
      </c>
      <c r="K249" s="20" t="str">
        <f aca="false">IF($A249="","",MAX(0,$B249-$J249))</f>
        <v/>
      </c>
      <c r="L249" s="20" t="str">
        <f aca="false">IF($A249="","",IF($B249=0,0,$K249/$B249))</f>
        <v/>
      </c>
      <c r="M249" s="20" t="str">
        <f aca="false">IF($A249="","",IF($J249&lt;0,"BORCA BATIK",IF($I249&lt;$H249,"BORCA BATIK",IF($L249&gt;=TtkUcteIkiEsik,"2/3 KAYIP (KRİTİK)",IF($L249&gt;=TtkUcteBirEsik,"1/3 KAYIP (DİKKAT)","UYGUN")))))</f>
        <v/>
      </c>
      <c r="U249" s="20" t="str">
        <f aca="false">IF($N249="","",$Q249*$R249)</f>
        <v/>
      </c>
    </row>
    <row r="250" customFormat="false" ht="15" hidden="false" customHeight="false" outlineLevel="0" collapsed="false">
      <c r="J250" s="20" t="str">
        <f aca="false">IF($A250="","",$B250+$C250+$D250-$E250+$F250-$G250)</f>
        <v/>
      </c>
      <c r="K250" s="20" t="str">
        <f aca="false">IF($A250="","",MAX(0,$B250-$J250))</f>
        <v/>
      </c>
      <c r="L250" s="20" t="str">
        <f aca="false">IF($A250="","",IF($B250=0,0,$K250/$B250))</f>
        <v/>
      </c>
      <c r="M250" s="20" t="str">
        <f aca="false">IF($A250="","",IF($J250&lt;0,"BORCA BATIK",IF($I250&lt;$H250,"BORCA BATIK",IF($L250&gt;=TtkUcteIkiEsik,"2/3 KAYIP (KRİTİK)",IF($L250&gt;=TtkUcteBirEsik,"1/3 KAYIP (DİKKAT)","UYGUN")))))</f>
        <v/>
      </c>
      <c r="U250" s="20" t="str">
        <f aca="false">IF($N250="","",$Q250*$R250)</f>
        <v/>
      </c>
    </row>
    <row r="251" customFormat="false" ht="15" hidden="false" customHeight="false" outlineLevel="0" collapsed="false">
      <c r="J251" s="20" t="str">
        <f aca="false">IF($A251="","",$B251+$C251+$D251-$E251+$F251-$G251)</f>
        <v/>
      </c>
      <c r="K251" s="20" t="str">
        <f aca="false">IF($A251="","",MAX(0,$B251-$J251))</f>
        <v/>
      </c>
      <c r="L251" s="20" t="str">
        <f aca="false">IF($A251="","",IF($B251=0,0,$K251/$B251))</f>
        <v/>
      </c>
      <c r="M251" s="20" t="str">
        <f aca="false">IF($A251="","",IF($J251&lt;0,"BORCA BATIK",IF($I251&lt;$H251,"BORCA BATIK",IF($L251&gt;=TtkUcteIkiEsik,"2/3 KAYIP (KRİTİK)",IF($L251&gt;=TtkUcteBirEsik,"1/3 KAYIP (DİKKAT)","UYGUN")))))</f>
        <v/>
      </c>
      <c r="U251" s="20" t="str">
        <f aca="false">IF($N251="","",$Q251*$R251)</f>
        <v/>
      </c>
    </row>
    <row r="252" customFormat="false" ht="15" hidden="false" customHeight="false" outlineLevel="0" collapsed="false">
      <c r="J252" s="20" t="str">
        <f aca="false">IF($A252="","",$B252+$C252+$D252-$E252+$F252-$G252)</f>
        <v/>
      </c>
      <c r="K252" s="20" t="str">
        <f aca="false">IF($A252="","",MAX(0,$B252-$J252))</f>
        <v/>
      </c>
      <c r="L252" s="20" t="str">
        <f aca="false">IF($A252="","",IF($B252=0,0,$K252/$B252))</f>
        <v/>
      </c>
      <c r="M252" s="20" t="str">
        <f aca="false">IF($A252="","",IF($J252&lt;0,"BORCA BATIK",IF($I252&lt;$H252,"BORCA BATIK",IF($L252&gt;=TtkUcteIkiEsik,"2/3 KAYIP (KRİTİK)",IF($L252&gt;=TtkUcteBirEsik,"1/3 KAYIP (DİKKAT)","UYGUN")))))</f>
        <v/>
      </c>
      <c r="U252" s="20" t="str">
        <f aca="false">IF($N252="","",$Q252*$R252)</f>
        <v/>
      </c>
    </row>
    <row r="253" customFormat="false" ht="15" hidden="false" customHeight="false" outlineLevel="0" collapsed="false">
      <c r="J253" s="20" t="str">
        <f aca="false">IF($A253="","",$B253+$C253+$D253-$E253+$F253-$G253)</f>
        <v/>
      </c>
      <c r="K253" s="20" t="str">
        <f aca="false">IF($A253="","",MAX(0,$B253-$J253))</f>
        <v/>
      </c>
      <c r="L253" s="20" t="str">
        <f aca="false">IF($A253="","",IF($B253=0,0,$K253/$B253))</f>
        <v/>
      </c>
      <c r="M253" s="20" t="str">
        <f aca="false">IF($A253="","",IF($J253&lt;0,"BORCA BATIK",IF($I253&lt;$H253,"BORCA BATIK",IF($L253&gt;=TtkUcteIkiEsik,"2/3 KAYIP (KRİTİK)",IF($L253&gt;=TtkUcteBirEsik,"1/3 KAYIP (DİKKAT)","UYGUN")))))</f>
        <v/>
      </c>
      <c r="U253" s="20" t="str">
        <f aca="false">IF($N253="","",$Q253*$R253)</f>
        <v/>
      </c>
    </row>
    <row r="254" customFormat="false" ht="15" hidden="false" customHeight="false" outlineLevel="0" collapsed="false">
      <c r="J254" s="20" t="str">
        <f aca="false">IF($A254="","",$B254+$C254+$D254-$E254+$F254-$G254)</f>
        <v/>
      </c>
      <c r="K254" s="20" t="str">
        <f aca="false">IF($A254="","",MAX(0,$B254-$J254))</f>
        <v/>
      </c>
      <c r="L254" s="20" t="str">
        <f aca="false">IF($A254="","",IF($B254=0,0,$K254/$B254))</f>
        <v/>
      </c>
      <c r="M254" s="20" t="str">
        <f aca="false">IF($A254="","",IF($J254&lt;0,"BORCA BATIK",IF($I254&lt;$H254,"BORCA BATIK",IF($L254&gt;=TtkUcteIkiEsik,"2/3 KAYIP (KRİTİK)",IF($L254&gt;=TtkUcteBirEsik,"1/3 KAYIP (DİKKAT)","UYGUN")))))</f>
        <v/>
      </c>
      <c r="U254" s="20" t="str">
        <f aca="false">IF($N254="","",$Q254*$R254)</f>
        <v/>
      </c>
    </row>
    <row r="255" customFormat="false" ht="15" hidden="false" customHeight="false" outlineLevel="0" collapsed="false">
      <c r="J255" s="20" t="str">
        <f aca="false">IF($A255="","",$B255+$C255+$D255-$E255+$F255-$G255)</f>
        <v/>
      </c>
      <c r="K255" s="20" t="str">
        <f aca="false">IF($A255="","",MAX(0,$B255-$J255))</f>
        <v/>
      </c>
      <c r="L255" s="20" t="str">
        <f aca="false">IF($A255="","",IF($B255=0,0,$K255/$B255))</f>
        <v/>
      </c>
      <c r="M255" s="20" t="str">
        <f aca="false">IF($A255="","",IF($J255&lt;0,"BORCA BATIK",IF($I255&lt;$H255,"BORCA BATIK",IF($L255&gt;=TtkUcteIkiEsik,"2/3 KAYIP (KRİTİK)",IF($L255&gt;=TtkUcteBirEsik,"1/3 KAYIP (DİKKAT)","UYGUN")))))</f>
        <v/>
      </c>
      <c r="U255" s="20" t="str">
        <f aca="false">IF($N255="","",$Q255*$R255)</f>
        <v/>
      </c>
    </row>
    <row r="256" customFormat="false" ht="15" hidden="false" customHeight="false" outlineLevel="0" collapsed="false">
      <c r="J256" s="20" t="str">
        <f aca="false">IF($A256="","",$B256+$C256+$D256-$E256+$F256-$G256)</f>
        <v/>
      </c>
      <c r="K256" s="20" t="str">
        <f aca="false">IF($A256="","",MAX(0,$B256-$J256))</f>
        <v/>
      </c>
      <c r="L256" s="20" t="str">
        <f aca="false">IF($A256="","",IF($B256=0,0,$K256/$B256))</f>
        <v/>
      </c>
      <c r="M256" s="20" t="str">
        <f aca="false">IF($A256="","",IF($J256&lt;0,"BORCA BATIK",IF($I256&lt;$H256,"BORCA BATIK",IF($L256&gt;=TtkUcteIkiEsik,"2/3 KAYIP (KRİTİK)",IF($L256&gt;=TtkUcteBirEsik,"1/3 KAYIP (DİKKAT)","UYGUN")))))</f>
        <v/>
      </c>
      <c r="U256" s="20" t="str">
        <f aca="false">IF($N256="","",$Q256*$R256)</f>
        <v/>
      </c>
    </row>
    <row r="257" customFormat="false" ht="15" hidden="false" customHeight="false" outlineLevel="0" collapsed="false">
      <c r="J257" s="20" t="str">
        <f aca="false">IF($A257="","",$B257+$C257+$D257-$E257+$F257-$G257)</f>
        <v/>
      </c>
      <c r="K257" s="20" t="str">
        <f aca="false">IF($A257="","",MAX(0,$B257-$J257))</f>
        <v/>
      </c>
      <c r="L257" s="20" t="str">
        <f aca="false">IF($A257="","",IF($B257=0,0,$K257/$B257))</f>
        <v/>
      </c>
      <c r="M257" s="20" t="str">
        <f aca="false">IF($A257="","",IF($J257&lt;0,"BORCA BATIK",IF($I257&lt;$H257,"BORCA BATIK",IF($L257&gt;=TtkUcteIkiEsik,"2/3 KAYIP (KRİTİK)",IF($L257&gt;=TtkUcteBirEsik,"1/3 KAYIP (DİKKAT)","UYGUN")))))</f>
        <v/>
      </c>
      <c r="U257" s="20" t="str">
        <f aca="false">IF($N257="","",$Q257*$R257)</f>
        <v/>
      </c>
    </row>
    <row r="258" customFormat="false" ht="15" hidden="false" customHeight="false" outlineLevel="0" collapsed="false">
      <c r="J258" s="20" t="str">
        <f aca="false">IF($A258="","",$B258+$C258+$D258-$E258+$F258-$G258)</f>
        <v/>
      </c>
      <c r="K258" s="20" t="str">
        <f aca="false">IF($A258="","",MAX(0,$B258-$J258))</f>
        <v/>
      </c>
      <c r="L258" s="20" t="str">
        <f aca="false">IF($A258="","",IF($B258=0,0,$K258/$B258))</f>
        <v/>
      </c>
      <c r="M258" s="20" t="str">
        <f aca="false">IF($A258="","",IF($J258&lt;0,"BORCA BATIK",IF($I258&lt;$H258,"BORCA BATIK",IF($L258&gt;=TtkUcteIkiEsik,"2/3 KAYIP (KRİTİK)",IF($L258&gt;=TtkUcteBirEsik,"1/3 KAYIP (DİKKAT)","UYGUN")))))</f>
        <v/>
      </c>
      <c r="U258" s="20" t="str">
        <f aca="false">IF($N258="","",$Q258*$R258)</f>
        <v/>
      </c>
    </row>
    <row r="259" customFormat="false" ht="15" hidden="false" customHeight="false" outlineLevel="0" collapsed="false">
      <c r="J259" s="20" t="str">
        <f aca="false">IF($A259="","",$B259+$C259+$D259-$E259+$F259-$G259)</f>
        <v/>
      </c>
      <c r="K259" s="20" t="str">
        <f aca="false">IF($A259="","",MAX(0,$B259-$J259))</f>
        <v/>
      </c>
      <c r="L259" s="20" t="str">
        <f aca="false">IF($A259="","",IF($B259=0,0,$K259/$B259))</f>
        <v/>
      </c>
      <c r="M259" s="20" t="str">
        <f aca="false">IF($A259="","",IF($J259&lt;0,"BORCA BATIK",IF($I259&lt;$H259,"BORCA BATIK",IF($L259&gt;=TtkUcteIkiEsik,"2/3 KAYIP (KRİTİK)",IF($L259&gt;=TtkUcteBirEsik,"1/3 KAYIP (DİKKAT)","UYGUN")))))</f>
        <v/>
      </c>
      <c r="U259" s="20" t="str">
        <f aca="false">IF($N259="","",$Q259*$R259)</f>
        <v/>
      </c>
    </row>
    <row r="260" customFormat="false" ht="15" hidden="false" customHeight="false" outlineLevel="0" collapsed="false">
      <c r="J260" s="20" t="str">
        <f aca="false">IF($A260="","",$B260+$C260+$D260-$E260+$F260-$G260)</f>
        <v/>
      </c>
      <c r="K260" s="20" t="str">
        <f aca="false">IF($A260="","",MAX(0,$B260-$J260))</f>
        <v/>
      </c>
      <c r="L260" s="20" t="str">
        <f aca="false">IF($A260="","",IF($B260=0,0,$K260/$B260))</f>
        <v/>
      </c>
      <c r="M260" s="20" t="str">
        <f aca="false">IF($A260="","",IF($J260&lt;0,"BORCA BATIK",IF($I260&lt;$H260,"BORCA BATIK",IF($L260&gt;=TtkUcteIkiEsik,"2/3 KAYIP (KRİTİK)",IF($L260&gt;=TtkUcteBirEsik,"1/3 KAYIP (DİKKAT)","UYGUN")))))</f>
        <v/>
      </c>
      <c r="U260" s="20" t="str">
        <f aca="false">IF($N260="","",$Q260*$R260)</f>
        <v/>
      </c>
    </row>
    <row r="261" customFormat="false" ht="15" hidden="false" customHeight="false" outlineLevel="0" collapsed="false">
      <c r="J261" s="20" t="str">
        <f aca="false">IF($A261="","",$B261+$C261+$D261-$E261+$F261-$G261)</f>
        <v/>
      </c>
      <c r="K261" s="20" t="str">
        <f aca="false">IF($A261="","",MAX(0,$B261-$J261))</f>
        <v/>
      </c>
      <c r="L261" s="20" t="str">
        <f aca="false">IF($A261="","",IF($B261=0,0,$K261/$B261))</f>
        <v/>
      </c>
      <c r="M261" s="20" t="str">
        <f aca="false">IF($A261="","",IF($J261&lt;0,"BORCA BATIK",IF($I261&lt;$H261,"BORCA BATIK",IF($L261&gt;=TtkUcteIkiEsik,"2/3 KAYIP (KRİTİK)",IF($L261&gt;=TtkUcteBirEsik,"1/3 KAYIP (DİKKAT)","UYGUN")))))</f>
        <v/>
      </c>
      <c r="U261" s="20" t="str">
        <f aca="false">IF($N261="","",$Q261*$R261)</f>
        <v/>
      </c>
    </row>
    <row r="262" customFormat="false" ht="15" hidden="false" customHeight="false" outlineLevel="0" collapsed="false">
      <c r="J262" s="20" t="str">
        <f aca="false">IF($A262="","",$B262+$C262+$D262-$E262+$F262-$G262)</f>
        <v/>
      </c>
      <c r="K262" s="20" t="str">
        <f aca="false">IF($A262="","",MAX(0,$B262-$J262))</f>
        <v/>
      </c>
      <c r="L262" s="20" t="str">
        <f aca="false">IF($A262="","",IF($B262=0,0,$K262/$B262))</f>
        <v/>
      </c>
      <c r="M262" s="20" t="str">
        <f aca="false">IF($A262="","",IF($J262&lt;0,"BORCA BATIK",IF($I262&lt;$H262,"BORCA BATIK",IF($L262&gt;=TtkUcteIkiEsik,"2/3 KAYIP (KRİTİK)",IF($L262&gt;=TtkUcteBirEsik,"1/3 KAYIP (DİKKAT)","UYGUN")))))</f>
        <v/>
      </c>
      <c r="U262" s="20" t="str">
        <f aca="false">IF($N262="","",$Q262*$R262)</f>
        <v/>
      </c>
    </row>
    <row r="263" customFormat="false" ht="15" hidden="false" customHeight="false" outlineLevel="0" collapsed="false">
      <c r="J263" s="20" t="str">
        <f aca="false">IF($A263="","",$B263+$C263+$D263-$E263+$F263-$G263)</f>
        <v/>
      </c>
      <c r="K263" s="20" t="str">
        <f aca="false">IF($A263="","",MAX(0,$B263-$J263))</f>
        <v/>
      </c>
      <c r="L263" s="20" t="str">
        <f aca="false">IF($A263="","",IF($B263=0,0,$K263/$B263))</f>
        <v/>
      </c>
      <c r="M263" s="20" t="str">
        <f aca="false">IF($A263="","",IF($J263&lt;0,"BORCA BATIK",IF($I263&lt;$H263,"BORCA BATIK",IF($L263&gt;=TtkUcteIkiEsik,"2/3 KAYIP (KRİTİK)",IF($L263&gt;=TtkUcteBirEsik,"1/3 KAYIP (DİKKAT)","UYGUN")))))</f>
        <v/>
      </c>
      <c r="U263" s="20" t="str">
        <f aca="false">IF($N263="","",$Q263*$R263)</f>
        <v/>
      </c>
    </row>
    <row r="264" customFormat="false" ht="15" hidden="false" customHeight="false" outlineLevel="0" collapsed="false">
      <c r="J264" s="20" t="str">
        <f aca="false">IF($A264="","",$B264+$C264+$D264-$E264+$F264-$G264)</f>
        <v/>
      </c>
      <c r="K264" s="20" t="str">
        <f aca="false">IF($A264="","",MAX(0,$B264-$J264))</f>
        <v/>
      </c>
      <c r="L264" s="20" t="str">
        <f aca="false">IF($A264="","",IF($B264=0,0,$K264/$B264))</f>
        <v/>
      </c>
      <c r="M264" s="20" t="str">
        <f aca="false">IF($A264="","",IF($J264&lt;0,"BORCA BATIK",IF($I264&lt;$H264,"BORCA BATIK",IF($L264&gt;=TtkUcteIkiEsik,"2/3 KAYIP (KRİTİK)",IF($L264&gt;=TtkUcteBirEsik,"1/3 KAYIP (DİKKAT)","UYGUN")))))</f>
        <v/>
      </c>
      <c r="U264" s="20" t="str">
        <f aca="false">IF($N264="","",$Q264*$R264)</f>
        <v/>
      </c>
    </row>
    <row r="265" customFormat="false" ht="15" hidden="false" customHeight="false" outlineLevel="0" collapsed="false">
      <c r="J265" s="20" t="str">
        <f aca="false">IF($A265="","",$B265+$C265+$D265-$E265+$F265-$G265)</f>
        <v/>
      </c>
      <c r="K265" s="20" t="str">
        <f aca="false">IF($A265="","",MAX(0,$B265-$J265))</f>
        <v/>
      </c>
      <c r="L265" s="20" t="str">
        <f aca="false">IF($A265="","",IF($B265=0,0,$K265/$B265))</f>
        <v/>
      </c>
      <c r="M265" s="20" t="str">
        <f aca="false">IF($A265="","",IF($J265&lt;0,"BORCA BATIK",IF($I265&lt;$H265,"BORCA BATIK",IF($L265&gt;=TtkUcteIkiEsik,"2/3 KAYIP (KRİTİK)",IF($L265&gt;=TtkUcteBirEsik,"1/3 KAYIP (DİKKAT)","UYGUN")))))</f>
        <v/>
      </c>
      <c r="U265" s="20" t="str">
        <f aca="false">IF($N265="","",$Q265*$R265)</f>
        <v/>
      </c>
    </row>
    <row r="266" customFormat="false" ht="15" hidden="false" customHeight="false" outlineLevel="0" collapsed="false">
      <c r="J266" s="20" t="str">
        <f aca="false">IF($A266="","",$B266+$C266+$D266-$E266+$F266-$G266)</f>
        <v/>
      </c>
      <c r="K266" s="20" t="str">
        <f aca="false">IF($A266="","",MAX(0,$B266-$J266))</f>
        <v/>
      </c>
      <c r="L266" s="20" t="str">
        <f aca="false">IF($A266="","",IF($B266=0,0,$K266/$B266))</f>
        <v/>
      </c>
      <c r="M266" s="20" t="str">
        <f aca="false">IF($A266="","",IF($J266&lt;0,"BORCA BATIK",IF($I266&lt;$H266,"BORCA BATIK",IF($L266&gt;=TtkUcteIkiEsik,"2/3 KAYIP (KRİTİK)",IF($L266&gt;=TtkUcteBirEsik,"1/3 KAYIP (DİKKAT)","UYGUN")))))</f>
        <v/>
      </c>
      <c r="U266" s="20" t="str">
        <f aca="false">IF($N266="","",$Q266*$R266)</f>
        <v/>
      </c>
    </row>
    <row r="267" customFormat="false" ht="15" hidden="false" customHeight="false" outlineLevel="0" collapsed="false">
      <c r="J267" s="20" t="str">
        <f aca="false">IF($A267="","",$B267+$C267+$D267-$E267+$F267-$G267)</f>
        <v/>
      </c>
      <c r="K267" s="20" t="str">
        <f aca="false">IF($A267="","",MAX(0,$B267-$J267))</f>
        <v/>
      </c>
      <c r="L267" s="20" t="str">
        <f aca="false">IF($A267="","",IF($B267=0,0,$K267/$B267))</f>
        <v/>
      </c>
      <c r="M267" s="20" t="str">
        <f aca="false">IF($A267="","",IF($J267&lt;0,"BORCA BATIK",IF($I267&lt;$H267,"BORCA BATIK",IF($L267&gt;=TtkUcteIkiEsik,"2/3 KAYIP (KRİTİK)",IF($L267&gt;=TtkUcteBirEsik,"1/3 KAYIP (DİKKAT)","UYGUN")))))</f>
        <v/>
      </c>
      <c r="U267" s="20" t="str">
        <f aca="false">IF($N267="","",$Q267*$R267)</f>
        <v/>
      </c>
    </row>
    <row r="268" customFormat="false" ht="15" hidden="false" customHeight="false" outlineLevel="0" collapsed="false">
      <c r="J268" s="20" t="str">
        <f aca="false">IF($A268="","",$B268+$C268+$D268-$E268+$F268-$G268)</f>
        <v/>
      </c>
      <c r="K268" s="20" t="str">
        <f aca="false">IF($A268="","",MAX(0,$B268-$J268))</f>
        <v/>
      </c>
      <c r="L268" s="20" t="str">
        <f aca="false">IF($A268="","",IF($B268=0,0,$K268/$B268))</f>
        <v/>
      </c>
      <c r="M268" s="20" t="str">
        <f aca="false">IF($A268="","",IF($J268&lt;0,"BORCA BATIK",IF($I268&lt;$H268,"BORCA BATIK",IF($L268&gt;=TtkUcteIkiEsik,"2/3 KAYIP (KRİTİK)",IF($L268&gt;=TtkUcteBirEsik,"1/3 KAYIP (DİKKAT)","UYGUN")))))</f>
        <v/>
      </c>
      <c r="U268" s="20" t="str">
        <f aca="false">IF($N268="","",$Q268*$R268)</f>
        <v/>
      </c>
    </row>
    <row r="269" customFormat="false" ht="15" hidden="false" customHeight="false" outlineLevel="0" collapsed="false">
      <c r="J269" s="20" t="str">
        <f aca="false">IF($A269="","",$B269+$C269+$D269-$E269+$F269-$G269)</f>
        <v/>
      </c>
      <c r="K269" s="20" t="str">
        <f aca="false">IF($A269="","",MAX(0,$B269-$J269))</f>
        <v/>
      </c>
      <c r="L269" s="20" t="str">
        <f aca="false">IF($A269="","",IF($B269=0,0,$K269/$B269))</f>
        <v/>
      </c>
      <c r="M269" s="20" t="str">
        <f aca="false">IF($A269="","",IF($J269&lt;0,"BORCA BATIK",IF($I269&lt;$H269,"BORCA BATIK",IF($L269&gt;=TtkUcteIkiEsik,"2/3 KAYIP (KRİTİK)",IF($L269&gt;=TtkUcteBirEsik,"1/3 KAYIP (DİKKAT)","UYGUN")))))</f>
        <v/>
      </c>
      <c r="U269" s="20" t="str">
        <f aca="false">IF($N269="","",$Q269*$R269)</f>
        <v/>
      </c>
    </row>
    <row r="270" customFormat="false" ht="15" hidden="false" customHeight="false" outlineLevel="0" collapsed="false">
      <c r="J270" s="20" t="str">
        <f aca="false">IF($A270="","",$B270+$C270+$D270-$E270+$F270-$G270)</f>
        <v/>
      </c>
      <c r="K270" s="20" t="str">
        <f aca="false">IF($A270="","",MAX(0,$B270-$J270))</f>
        <v/>
      </c>
      <c r="L270" s="20" t="str">
        <f aca="false">IF($A270="","",IF($B270=0,0,$K270/$B270))</f>
        <v/>
      </c>
      <c r="M270" s="20" t="str">
        <f aca="false">IF($A270="","",IF($J270&lt;0,"BORCA BATIK",IF($I270&lt;$H270,"BORCA BATIK",IF($L270&gt;=TtkUcteIkiEsik,"2/3 KAYIP (KRİTİK)",IF($L270&gt;=TtkUcteBirEsik,"1/3 KAYIP (DİKKAT)","UYGUN")))))</f>
        <v/>
      </c>
      <c r="U270" s="20" t="str">
        <f aca="false">IF($N270="","",$Q270*$R270)</f>
        <v/>
      </c>
    </row>
    <row r="271" customFormat="false" ht="15" hidden="false" customHeight="false" outlineLevel="0" collapsed="false">
      <c r="J271" s="20" t="str">
        <f aca="false">IF($A271="","",$B271+$C271+$D271-$E271+$F271-$G271)</f>
        <v/>
      </c>
      <c r="K271" s="20" t="str">
        <f aca="false">IF($A271="","",MAX(0,$B271-$J271))</f>
        <v/>
      </c>
      <c r="L271" s="20" t="str">
        <f aca="false">IF($A271="","",IF($B271=0,0,$K271/$B271))</f>
        <v/>
      </c>
      <c r="M271" s="20" t="str">
        <f aca="false">IF($A271="","",IF($J271&lt;0,"BORCA BATIK",IF($I271&lt;$H271,"BORCA BATIK",IF($L271&gt;=TtkUcteIkiEsik,"2/3 KAYIP (KRİTİK)",IF($L271&gt;=TtkUcteBirEsik,"1/3 KAYIP (DİKKAT)","UYGUN")))))</f>
        <v/>
      </c>
      <c r="U271" s="20" t="str">
        <f aca="false">IF($N271="","",$Q271*$R271)</f>
        <v/>
      </c>
    </row>
    <row r="272" customFormat="false" ht="15" hidden="false" customHeight="false" outlineLevel="0" collapsed="false">
      <c r="J272" s="20" t="str">
        <f aca="false">IF($A272="","",$B272+$C272+$D272-$E272+$F272-$G272)</f>
        <v/>
      </c>
      <c r="K272" s="20" t="str">
        <f aca="false">IF($A272="","",MAX(0,$B272-$J272))</f>
        <v/>
      </c>
      <c r="L272" s="20" t="str">
        <f aca="false">IF($A272="","",IF($B272=0,0,$K272/$B272))</f>
        <v/>
      </c>
      <c r="M272" s="20" t="str">
        <f aca="false">IF($A272="","",IF($J272&lt;0,"BORCA BATIK",IF($I272&lt;$H272,"BORCA BATIK",IF($L272&gt;=TtkUcteIkiEsik,"2/3 KAYIP (KRİTİK)",IF($L272&gt;=TtkUcteBirEsik,"1/3 KAYIP (DİKKAT)","UYGUN")))))</f>
        <v/>
      </c>
      <c r="U272" s="20" t="str">
        <f aca="false">IF($N272="","",$Q272*$R272)</f>
        <v/>
      </c>
    </row>
    <row r="273" customFormat="false" ht="15" hidden="false" customHeight="false" outlineLevel="0" collapsed="false">
      <c r="J273" s="20" t="str">
        <f aca="false">IF($A273="","",$B273+$C273+$D273-$E273+$F273-$G273)</f>
        <v/>
      </c>
      <c r="K273" s="20" t="str">
        <f aca="false">IF($A273="","",MAX(0,$B273-$J273))</f>
        <v/>
      </c>
      <c r="L273" s="20" t="str">
        <f aca="false">IF($A273="","",IF($B273=0,0,$K273/$B273))</f>
        <v/>
      </c>
      <c r="M273" s="20" t="str">
        <f aca="false">IF($A273="","",IF($J273&lt;0,"BORCA BATIK",IF($I273&lt;$H273,"BORCA BATIK",IF($L273&gt;=TtkUcteIkiEsik,"2/3 KAYIP (KRİTİK)",IF($L273&gt;=TtkUcteBirEsik,"1/3 KAYIP (DİKKAT)","UYGUN")))))</f>
        <v/>
      </c>
      <c r="U273" s="20" t="str">
        <f aca="false">IF($N273="","",$Q273*$R273)</f>
        <v/>
      </c>
    </row>
    <row r="274" customFormat="false" ht="15" hidden="false" customHeight="false" outlineLevel="0" collapsed="false">
      <c r="J274" s="20" t="str">
        <f aca="false">IF($A274="","",$B274+$C274+$D274-$E274+$F274-$G274)</f>
        <v/>
      </c>
      <c r="K274" s="20" t="str">
        <f aca="false">IF($A274="","",MAX(0,$B274-$J274))</f>
        <v/>
      </c>
      <c r="L274" s="20" t="str">
        <f aca="false">IF($A274="","",IF($B274=0,0,$K274/$B274))</f>
        <v/>
      </c>
      <c r="M274" s="20" t="str">
        <f aca="false">IF($A274="","",IF($J274&lt;0,"BORCA BATIK",IF($I274&lt;$H274,"BORCA BATIK",IF($L274&gt;=TtkUcteIkiEsik,"2/3 KAYIP (KRİTİK)",IF($L274&gt;=TtkUcteBirEsik,"1/3 KAYIP (DİKKAT)","UYGUN")))))</f>
        <v/>
      </c>
      <c r="U274" s="20" t="str">
        <f aca="false">IF($N274="","",$Q274*$R274)</f>
        <v/>
      </c>
    </row>
    <row r="275" customFormat="false" ht="15" hidden="false" customHeight="false" outlineLevel="0" collapsed="false">
      <c r="J275" s="20" t="str">
        <f aca="false">IF($A275="","",$B275+$C275+$D275-$E275+$F275-$G275)</f>
        <v/>
      </c>
      <c r="K275" s="20" t="str">
        <f aca="false">IF($A275="","",MAX(0,$B275-$J275))</f>
        <v/>
      </c>
      <c r="L275" s="20" t="str">
        <f aca="false">IF($A275="","",IF($B275=0,0,$K275/$B275))</f>
        <v/>
      </c>
      <c r="M275" s="20" t="str">
        <f aca="false">IF($A275="","",IF($J275&lt;0,"BORCA BATIK",IF($I275&lt;$H275,"BORCA BATIK",IF($L275&gt;=TtkUcteIkiEsik,"2/3 KAYIP (KRİTİK)",IF($L275&gt;=TtkUcteBirEsik,"1/3 KAYIP (DİKKAT)","UYGUN")))))</f>
        <v/>
      </c>
      <c r="U275" s="20" t="str">
        <f aca="false">IF($N275="","",$Q275*$R275)</f>
        <v/>
      </c>
    </row>
    <row r="276" customFormat="false" ht="15" hidden="false" customHeight="false" outlineLevel="0" collapsed="false">
      <c r="J276" s="20" t="str">
        <f aca="false">IF($A276="","",$B276+$C276+$D276-$E276+$F276-$G276)</f>
        <v/>
      </c>
      <c r="K276" s="20" t="str">
        <f aca="false">IF($A276="","",MAX(0,$B276-$J276))</f>
        <v/>
      </c>
      <c r="L276" s="20" t="str">
        <f aca="false">IF($A276="","",IF($B276=0,0,$K276/$B276))</f>
        <v/>
      </c>
      <c r="M276" s="20" t="str">
        <f aca="false">IF($A276="","",IF($J276&lt;0,"BORCA BATIK",IF($I276&lt;$H276,"BORCA BATIK",IF($L276&gt;=TtkUcteIkiEsik,"2/3 KAYIP (KRİTİK)",IF($L276&gt;=TtkUcteBirEsik,"1/3 KAYIP (DİKKAT)","UYGUN")))))</f>
        <v/>
      </c>
      <c r="U276" s="20" t="str">
        <f aca="false">IF($N276="","",$Q276*$R276)</f>
        <v/>
      </c>
    </row>
    <row r="277" customFormat="false" ht="15" hidden="false" customHeight="false" outlineLevel="0" collapsed="false">
      <c r="J277" s="20" t="str">
        <f aca="false">IF($A277="","",$B277+$C277+$D277-$E277+$F277-$G277)</f>
        <v/>
      </c>
      <c r="K277" s="20" t="str">
        <f aca="false">IF($A277="","",MAX(0,$B277-$J277))</f>
        <v/>
      </c>
      <c r="L277" s="20" t="str">
        <f aca="false">IF($A277="","",IF($B277=0,0,$K277/$B277))</f>
        <v/>
      </c>
      <c r="M277" s="20" t="str">
        <f aca="false">IF($A277="","",IF($J277&lt;0,"BORCA BATIK",IF($I277&lt;$H277,"BORCA BATIK",IF($L277&gt;=TtkUcteIkiEsik,"2/3 KAYIP (KRİTİK)",IF($L277&gt;=TtkUcteBirEsik,"1/3 KAYIP (DİKKAT)","UYGUN")))))</f>
        <v/>
      </c>
      <c r="U277" s="20" t="str">
        <f aca="false">IF($N277="","",$Q277*$R277)</f>
        <v/>
      </c>
    </row>
    <row r="278" customFormat="false" ht="15" hidden="false" customHeight="false" outlineLevel="0" collapsed="false">
      <c r="J278" s="20" t="str">
        <f aca="false">IF($A278="","",$B278+$C278+$D278-$E278+$F278-$G278)</f>
        <v/>
      </c>
      <c r="K278" s="20" t="str">
        <f aca="false">IF($A278="","",MAX(0,$B278-$J278))</f>
        <v/>
      </c>
      <c r="L278" s="20" t="str">
        <f aca="false">IF($A278="","",IF($B278=0,0,$K278/$B278))</f>
        <v/>
      </c>
      <c r="M278" s="20" t="str">
        <f aca="false">IF($A278="","",IF($J278&lt;0,"BORCA BATIK",IF($I278&lt;$H278,"BORCA BATIK",IF($L278&gt;=TtkUcteIkiEsik,"2/3 KAYIP (KRİTİK)",IF($L278&gt;=TtkUcteBirEsik,"1/3 KAYIP (DİKKAT)","UYGUN")))))</f>
        <v/>
      </c>
      <c r="U278" s="20" t="str">
        <f aca="false">IF($N278="","",$Q278*$R278)</f>
        <v/>
      </c>
    </row>
    <row r="279" customFormat="false" ht="15" hidden="false" customHeight="false" outlineLevel="0" collapsed="false">
      <c r="J279" s="20" t="str">
        <f aca="false">IF($A279="","",$B279+$C279+$D279-$E279+$F279-$G279)</f>
        <v/>
      </c>
      <c r="K279" s="20" t="str">
        <f aca="false">IF($A279="","",MAX(0,$B279-$J279))</f>
        <v/>
      </c>
      <c r="L279" s="20" t="str">
        <f aca="false">IF($A279="","",IF($B279=0,0,$K279/$B279))</f>
        <v/>
      </c>
      <c r="M279" s="20" t="str">
        <f aca="false">IF($A279="","",IF($J279&lt;0,"BORCA BATIK",IF($I279&lt;$H279,"BORCA BATIK",IF($L279&gt;=TtkUcteIkiEsik,"2/3 KAYIP (KRİTİK)",IF($L279&gt;=TtkUcteBirEsik,"1/3 KAYIP (DİKKAT)","UYGUN")))))</f>
        <v/>
      </c>
      <c r="U279" s="20" t="str">
        <f aca="false">IF($N279="","",$Q279*$R279)</f>
        <v/>
      </c>
    </row>
    <row r="280" customFormat="false" ht="15" hidden="false" customHeight="false" outlineLevel="0" collapsed="false">
      <c r="J280" s="20" t="str">
        <f aca="false">IF($A280="","",$B280+$C280+$D280-$E280+$F280-$G280)</f>
        <v/>
      </c>
      <c r="K280" s="20" t="str">
        <f aca="false">IF($A280="","",MAX(0,$B280-$J280))</f>
        <v/>
      </c>
      <c r="L280" s="20" t="str">
        <f aca="false">IF($A280="","",IF($B280=0,0,$K280/$B280))</f>
        <v/>
      </c>
      <c r="M280" s="20" t="str">
        <f aca="false">IF($A280="","",IF($J280&lt;0,"BORCA BATIK",IF($I280&lt;$H280,"BORCA BATIK",IF($L280&gt;=TtkUcteIkiEsik,"2/3 KAYIP (KRİTİK)",IF($L280&gt;=TtkUcteBirEsik,"1/3 KAYIP (DİKKAT)","UYGUN")))))</f>
        <v/>
      </c>
      <c r="U280" s="20" t="str">
        <f aca="false">IF($N280="","",$Q280*$R280)</f>
        <v/>
      </c>
    </row>
    <row r="281" customFormat="false" ht="15" hidden="false" customHeight="false" outlineLevel="0" collapsed="false">
      <c r="J281" s="20" t="str">
        <f aca="false">IF($A281="","",$B281+$C281+$D281-$E281+$F281-$G281)</f>
        <v/>
      </c>
      <c r="K281" s="20" t="str">
        <f aca="false">IF($A281="","",MAX(0,$B281-$J281))</f>
        <v/>
      </c>
      <c r="L281" s="20" t="str">
        <f aca="false">IF($A281="","",IF($B281=0,0,$K281/$B281))</f>
        <v/>
      </c>
      <c r="M281" s="20" t="str">
        <f aca="false">IF($A281="","",IF($J281&lt;0,"BORCA BATIK",IF($I281&lt;$H281,"BORCA BATIK",IF($L281&gt;=TtkUcteIkiEsik,"2/3 KAYIP (KRİTİK)",IF($L281&gt;=TtkUcteBirEsik,"1/3 KAYIP (DİKKAT)","UYGUN")))))</f>
        <v/>
      </c>
      <c r="U281" s="20" t="str">
        <f aca="false">IF($N281="","",$Q281*$R281)</f>
        <v/>
      </c>
    </row>
    <row r="282" customFormat="false" ht="15" hidden="false" customHeight="false" outlineLevel="0" collapsed="false">
      <c r="J282" s="20" t="str">
        <f aca="false">IF($A282="","",$B282+$C282+$D282-$E282+$F282-$G282)</f>
        <v/>
      </c>
      <c r="K282" s="20" t="str">
        <f aca="false">IF($A282="","",MAX(0,$B282-$J282))</f>
        <v/>
      </c>
      <c r="L282" s="20" t="str">
        <f aca="false">IF($A282="","",IF($B282=0,0,$K282/$B282))</f>
        <v/>
      </c>
      <c r="M282" s="20" t="str">
        <f aca="false">IF($A282="","",IF($J282&lt;0,"BORCA BATIK",IF($I282&lt;$H282,"BORCA BATIK",IF($L282&gt;=TtkUcteIkiEsik,"2/3 KAYIP (KRİTİK)",IF($L282&gt;=TtkUcteBirEsik,"1/3 KAYIP (DİKKAT)","UYGUN")))))</f>
        <v/>
      </c>
      <c r="U282" s="20" t="str">
        <f aca="false">IF($N282="","",$Q282*$R282)</f>
        <v/>
      </c>
    </row>
    <row r="283" customFormat="false" ht="15" hidden="false" customHeight="false" outlineLevel="0" collapsed="false">
      <c r="J283" s="20" t="str">
        <f aca="false">IF($A283="","",$B283+$C283+$D283-$E283+$F283-$G283)</f>
        <v/>
      </c>
      <c r="K283" s="20" t="str">
        <f aca="false">IF($A283="","",MAX(0,$B283-$J283))</f>
        <v/>
      </c>
      <c r="L283" s="20" t="str">
        <f aca="false">IF($A283="","",IF($B283=0,0,$K283/$B283))</f>
        <v/>
      </c>
      <c r="M283" s="20" t="str">
        <f aca="false">IF($A283="","",IF($J283&lt;0,"BORCA BATIK",IF($I283&lt;$H283,"BORCA BATIK",IF($L283&gt;=TtkUcteIkiEsik,"2/3 KAYIP (KRİTİK)",IF($L283&gt;=TtkUcteBirEsik,"1/3 KAYIP (DİKKAT)","UYGUN")))))</f>
        <v/>
      </c>
      <c r="U283" s="20" t="str">
        <f aca="false">IF($N283="","",$Q283*$R283)</f>
        <v/>
      </c>
    </row>
    <row r="284" customFormat="false" ht="15" hidden="false" customHeight="false" outlineLevel="0" collapsed="false">
      <c r="J284" s="20" t="str">
        <f aca="false">IF($A284="","",$B284+$C284+$D284-$E284+$F284-$G284)</f>
        <v/>
      </c>
      <c r="K284" s="20" t="str">
        <f aca="false">IF($A284="","",MAX(0,$B284-$J284))</f>
        <v/>
      </c>
      <c r="L284" s="20" t="str">
        <f aca="false">IF($A284="","",IF($B284=0,0,$K284/$B284))</f>
        <v/>
      </c>
      <c r="M284" s="20" t="str">
        <f aca="false">IF($A284="","",IF($J284&lt;0,"BORCA BATIK",IF($I284&lt;$H284,"BORCA BATIK",IF($L284&gt;=TtkUcteIkiEsik,"2/3 KAYIP (KRİTİK)",IF($L284&gt;=TtkUcteBirEsik,"1/3 KAYIP (DİKKAT)","UYGUN")))))</f>
        <v/>
      </c>
      <c r="U284" s="20" t="str">
        <f aca="false">IF($N284="","",$Q284*$R284)</f>
        <v/>
      </c>
    </row>
    <row r="285" customFormat="false" ht="15" hidden="false" customHeight="false" outlineLevel="0" collapsed="false">
      <c r="J285" s="20" t="str">
        <f aca="false">IF($A285="","",$B285+$C285+$D285-$E285+$F285-$G285)</f>
        <v/>
      </c>
      <c r="K285" s="20" t="str">
        <f aca="false">IF($A285="","",MAX(0,$B285-$J285))</f>
        <v/>
      </c>
      <c r="L285" s="20" t="str">
        <f aca="false">IF($A285="","",IF($B285=0,0,$K285/$B285))</f>
        <v/>
      </c>
      <c r="M285" s="20" t="str">
        <f aca="false">IF($A285="","",IF($J285&lt;0,"BORCA BATIK",IF($I285&lt;$H285,"BORCA BATIK",IF($L285&gt;=TtkUcteIkiEsik,"2/3 KAYIP (KRİTİK)",IF($L285&gt;=TtkUcteBirEsik,"1/3 KAYIP (DİKKAT)","UYGUN")))))</f>
        <v/>
      </c>
      <c r="U285" s="20" t="str">
        <f aca="false">IF($N285="","",$Q285*$R285)</f>
        <v/>
      </c>
    </row>
    <row r="286" customFormat="false" ht="15" hidden="false" customHeight="false" outlineLevel="0" collapsed="false">
      <c r="J286" s="20" t="str">
        <f aca="false">IF($A286="","",$B286+$C286+$D286-$E286+$F286-$G286)</f>
        <v/>
      </c>
      <c r="K286" s="20" t="str">
        <f aca="false">IF($A286="","",MAX(0,$B286-$J286))</f>
        <v/>
      </c>
      <c r="L286" s="20" t="str">
        <f aca="false">IF($A286="","",IF($B286=0,0,$K286/$B286))</f>
        <v/>
      </c>
      <c r="M286" s="20" t="str">
        <f aca="false">IF($A286="","",IF($J286&lt;0,"BORCA BATIK",IF($I286&lt;$H286,"BORCA BATIK",IF($L286&gt;=TtkUcteIkiEsik,"2/3 KAYIP (KRİTİK)",IF($L286&gt;=TtkUcteBirEsik,"1/3 KAYIP (DİKKAT)","UYGUN")))))</f>
        <v/>
      </c>
      <c r="U286" s="20" t="str">
        <f aca="false">IF($N286="","",$Q286*$R286)</f>
        <v/>
      </c>
    </row>
    <row r="287" customFormat="false" ht="15" hidden="false" customHeight="false" outlineLevel="0" collapsed="false">
      <c r="J287" s="20" t="str">
        <f aca="false">IF($A287="","",$B287+$C287+$D287-$E287+$F287-$G287)</f>
        <v/>
      </c>
      <c r="K287" s="20" t="str">
        <f aca="false">IF($A287="","",MAX(0,$B287-$J287))</f>
        <v/>
      </c>
      <c r="L287" s="20" t="str">
        <f aca="false">IF($A287="","",IF($B287=0,0,$K287/$B287))</f>
        <v/>
      </c>
      <c r="M287" s="20" t="str">
        <f aca="false">IF($A287="","",IF($J287&lt;0,"BORCA BATIK",IF($I287&lt;$H287,"BORCA BATIK",IF($L287&gt;=TtkUcteIkiEsik,"2/3 KAYIP (KRİTİK)",IF($L287&gt;=TtkUcteBirEsik,"1/3 KAYIP (DİKKAT)","UYGUN")))))</f>
        <v/>
      </c>
      <c r="U287" s="20" t="str">
        <f aca="false">IF($N287="","",$Q287*$R287)</f>
        <v/>
      </c>
    </row>
    <row r="288" customFormat="false" ht="15" hidden="false" customHeight="false" outlineLevel="0" collapsed="false">
      <c r="J288" s="20" t="str">
        <f aca="false">IF($A288="","",$B288+$C288+$D288-$E288+$F288-$G288)</f>
        <v/>
      </c>
      <c r="K288" s="20" t="str">
        <f aca="false">IF($A288="","",MAX(0,$B288-$J288))</f>
        <v/>
      </c>
      <c r="L288" s="20" t="str">
        <f aca="false">IF($A288="","",IF($B288=0,0,$K288/$B288))</f>
        <v/>
      </c>
      <c r="M288" s="20" t="str">
        <f aca="false">IF($A288="","",IF($J288&lt;0,"BORCA BATIK",IF($I288&lt;$H288,"BORCA BATIK",IF($L288&gt;=TtkUcteIkiEsik,"2/3 KAYIP (KRİTİK)",IF($L288&gt;=TtkUcteBirEsik,"1/3 KAYIP (DİKKAT)","UYGUN")))))</f>
        <v/>
      </c>
      <c r="U288" s="20" t="str">
        <f aca="false">IF($N288="","",$Q288*$R288)</f>
        <v/>
      </c>
    </row>
    <row r="289" customFormat="false" ht="15" hidden="false" customHeight="false" outlineLevel="0" collapsed="false">
      <c r="J289" s="20" t="str">
        <f aca="false">IF($A289="","",$B289+$C289+$D289-$E289+$F289-$G289)</f>
        <v/>
      </c>
      <c r="K289" s="20" t="str">
        <f aca="false">IF($A289="","",MAX(0,$B289-$J289))</f>
        <v/>
      </c>
      <c r="L289" s="20" t="str">
        <f aca="false">IF($A289="","",IF($B289=0,0,$K289/$B289))</f>
        <v/>
      </c>
      <c r="M289" s="20" t="str">
        <f aca="false">IF($A289="","",IF($J289&lt;0,"BORCA BATIK",IF($I289&lt;$H289,"BORCA BATIK",IF($L289&gt;=TtkUcteIkiEsik,"2/3 KAYIP (KRİTİK)",IF($L289&gt;=TtkUcteBirEsik,"1/3 KAYIP (DİKKAT)","UYGUN")))))</f>
        <v/>
      </c>
      <c r="U289" s="20" t="str">
        <f aca="false">IF($N289="","",$Q289*$R289)</f>
        <v/>
      </c>
    </row>
    <row r="290" customFormat="false" ht="15" hidden="false" customHeight="false" outlineLevel="0" collapsed="false">
      <c r="J290" s="20" t="str">
        <f aca="false">IF($A290="","",$B290+$C290+$D290-$E290+$F290-$G290)</f>
        <v/>
      </c>
      <c r="K290" s="20" t="str">
        <f aca="false">IF($A290="","",MAX(0,$B290-$J290))</f>
        <v/>
      </c>
      <c r="L290" s="20" t="str">
        <f aca="false">IF($A290="","",IF($B290=0,0,$K290/$B290))</f>
        <v/>
      </c>
      <c r="M290" s="20" t="str">
        <f aca="false">IF($A290="","",IF($J290&lt;0,"BORCA BATIK",IF($I290&lt;$H290,"BORCA BATIK",IF($L290&gt;=TtkUcteIkiEsik,"2/3 KAYIP (KRİTİK)",IF($L290&gt;=TtkUcteBirEsik,"1/3 KAYIP (DİKKAT)","UYGUN")))))</f>
        <v/>
      </c>
      <c r="U290" s="20" t="str">
        <f aca="false">IF($N290="","",$Q290*$R290)</f>
        <v/>
      </c>
    </row>
    <row r="291" customFormat="false" ht="15" hidden="false" customHeight="false" outlineLevel="0" collapsed="false">
      <c r="J291" s="20" t="str">
        <f aca="false">IF($A291="","",$B291+$C291+$D291-$E291+$F291-$G291)</f>
        <v/>
      </c>
      <c r="K291" s="20" t="str">
        <f aca="false">IF($A291="","",MAX(0,$B291-$J291))</f>
        <v/>
      </c>
      <c r="L291" s="20" t="str">
        <f aca="false">IF($A291="","",IF($B291=0,0,$K291/$B291))</f>
        <v/>
      </c>
      <c r="M291" s="20" t="str">
        <f aca="false">IF($A291="","",IF($J291&lt;0,"BORCA BATIK",IF($I291&lt;$H291,"BORCA BATIK",IF($L291&gt;=TtkUcteIkiEsik,"2/3 KAYIP (KRİTİK)",IF($L291&gt;=TtkUcteBirEsik,"1/3 KAYIP (DİKKAT)","UYGUN")))))</f>
        <v/>
      </c>
      <c r="U291" s="20" t="str">
        <f aca="false">IF($N291="","",$Q291*$R291)</f>
        <v/>
      </c>
    </row>
    <row r="292" customFormat="false" ht="15" hidden="false" customHeight="false" outlineLevel="0" collapsed="false">
      <c r="J292" s="20" t="str">
        <f aca="false">IF($A292="","",$B292+$C292+$D292-$E292+$F292-$G292)</f>
        <v/>
      </c>
      <c r="K292" s="20" t="str">
        <f aca="false">IF($A292="","",MAX(0,$B292-$J292))</f>
        <v/>
      </c>
      <c r="L292" s="20" t="str">
        <f aca="false">IF($A292="","",IF($B292=0,0,$K292/$B292))</f>
        <v/>
      </c>
      <c r="M292" s="20" t="str">
        <f aca="false">IF($A292="","",IF($J292&lt;0,"BORCA BATIK",IF($I292&lt;$H292,"BORCA BATIK",IF($L292&gt;=TtkUcteIkiEsik,"2/3 KAYIP (KRİTİK)",IF($L292&gt;=TtkUcteBirEsik,"1/3 KAYIP (DİKKAT)","UYGUN")))))</f>
        <v/>
      </c>
      <c r="U292" s="20" t="str">
        <f aca="false">IF($N292="","",$Q292*$R292)</f>
        <v/>
      </c>
    </row>
    <row r="293" customFormat="false" ht="15" hidden="false" customHeight="false" outlineLevel="0" collapsed="false">
      <c r="J293" s="20" t="str">
        <f aca="false">IF($A293="","",$B293+$C293+$D293-$E293+$F293-$G293)</f>
        <v/>
      </c>
      <c r="K293" s="20" t="str">
        <f aca="false">IF($A293="","",MAX(0,$B293-$J293))</f>
        <v/>
      </c>
      <c r="L293" s="20" t="str">
        <f aca="false">IF($A293="","",IF($B293=0,0,$K293/$B293))</f>
        <v/>
      </c>
      <c r="M293" s="20" t="str">
        <f aca="false">IF($A293="","",IF($J293&lt;0,"BORCA BATIK",IF($I293&lt;$H293,"BORCA BATIK",IF($L293&gt;=TtkUcteIkiEsik,"2/3 KAYIP (KRİTİK)",IF($L293&gt;=TtkUcteBirEsik,"1/3 KAYIP (DİKKAT)","UYGUN")))))</f>
        <v/>
      </c>
      <c r="U293" s="20" t="str">
        <f aca="false">IF($N293="","",$Q293*$R293)</f>
        <v/>
      </c>
    </row>
    <row r="294" customFormat="false" ht="15" hidden="false" customHeight="false" outlineLevel="0" collapsed="false">
      <c r="J294" s="20" t="str">
        <f aca="false">IF($A294="","",$B294+$C294+$D294-$E294+$F294-$G294)</f>
        <v/>
      </c>
      <c r="K294" s="20" t="str">
        <f aca="false">IF($A294="","",MAX(0,$B294-$J294))</f>
        <v/>
      </c>
      <c r="L294" s="20" t="str">
        <f aca="false">IF($A294="","",IF($B294=0,0,$K294/$B294))</f>
        <v/>
      </c>
      <c r="M294" s="20" t="str">
        <f aca="false">IF($A294="","",IF($J294&lt;0,"BORCA BATIK",IF($I294&lt;$H294,"BORCA BATIK",IF($L294&gt;=TtkUcteIkiEsik,"2/3 KAYIP (KRİTİK)",IF($L294&gt;=TtkUcteBirEsik,"1/3 KAYIP (DİKKAT)","UYGUN")))))</f>
        <v/>
      </c>
      <c r="U294" s="20" t="str">
        <f aca="false">IF($N294="","",$Q294*$R294)</f>
        <v/>
      </c>
    </row>
    <row r="295" customFormat="false" ht="15" hidden="false" customHeight="false" outlineLevel="0" collapsed="false">
      <c r="J295" s="20" t="str">
        <f aca="false">IF($A295="","",$B295+$C295+$D295-$E295+$F295-$G295)</f>
        <v/>
      </c>
      <c r="K295" s="20" t="str">
        <f aca="false">IF($A295="","",MAX(0,$B295-$J295))</f>
        <v/>
      </c>
      <c r="L295" s="20" t="str">
        <f aca="false">IF($A295="","",IF($B295=0,0,$K295/$B295))</f>
        <v/>
      </c>
      <c r="M295" s="20" t="str">
        <f aca="false">IF($A295="","",IF($J295&lt;0,"BORCA BATIK",IF($I295&lt;$H295,"BORCA BATIK",IF($L295&gt;=TtkUcteIkiEsik,"2/3 KAYIP (KRİTİK)",IF($L295&gt;=TtkUcteBirEsik,"1/3 KAYIP (DİKKAT)","UYGUN")))))</f>
        <v/>
      </c>
      <c r="U295" s="20" t="str">
        <f aca="false">IF($N295="","",$Q295*$R295)</f>
        <v/>
      </c>
    </row>
    <row r="296" customFormat="false" ht="15" hidden="false" customHeight="false" outlineLevel="0" collapsed="false">
      <c r="J296" s="20" t="str">
        <f aca="false">IF($A296="","",$B296+$C296+$D296-$E296+$F296-$G296)</f>
        <v/>
      </c>
      <c r="K296" s="20" t="str">
        <f aca="false">IF($A296="","",MAX(0,$B296-$J296))</f>
        <v/>
      </c>
      <c r="L296" s="20" t="str">
        <f aca="false">IF($A296="","",IF($B296=0,0,$K296/$B296))</f>
        <v/>
      </c>
      <c r="M296" s="20" t="str">
        <f aca="false">IF($A296="","",IF($J296&lt;0,"BORCA BATIK",IF($I296&lt;$H296,"BORCA BATIK",IF($L296&gt;=TtkUcteIkiEsik,"2/3 KAYIP (KRİTİK)",IF($L296&gt;=TtkUcteBirEsik,"1/3 KAYIP (DİKKAT)","UYGUN")))))</f>
        <v/>
      </c>
      <c r="U296" s="20" t="str">
        <f aca="false">IF($N296="","",$Q296*$R296)</f>
        <v/>
      </c>
    </row>
    <row r="297" customFormat="false" ht="15" hidden="false" customHeight="false" outlineLevel="0" collapsed="false">
      <c r="J297" s="20" t="str">
        <f aca="false">IF($A297="","",$B297+$C297+$D297-$E297+$F297-$G297)</f>
        <v/>
      </c>
      <c r="K297" s="20" t="str">
        <f aca="false">IF($A297="","",MAX(0,$B297-$J297))</f>
        <v/>
      </c>
      <c r="L297" s="20" t="str">
        <f aca="false">IF($A297="","",IF($B297=0,0,$K297/$B297))</f>
        <v/>
      </c>
      <c r="M297" s="20" t="str">
        <f aca="false">IF($A297="","",IF($J297&lt;0,"BORCA BATIK",IF($I297&lt;$H297,"BORCA BATIK",IF($L297&gt;=TtkUcteIkiEsik,"2/3 KAYIP (KRİTİK)",IF($L297&gt;=TtkUcteBirEsik,"1/3 KAYIP (DİKKAT)","UYGUN")))))</f>
        <v/>
      </c>
      <c r="U297" s="20" t="str">
        <f aca="false">IF($N297="","",$Q297*$R297)</f>
        <v/>
      </c>
    </row>
    <row r="298" customFormat="false" ht="15" hidden="false" customHeight="false" outlineLevel="0" collapsed="false">
      <c r="J298" s="20" t="str">
        <f aca="false">IF($A298="","",$B298+$C298+$D298-$E298+$F298-$G298)</f>
        <v/>
      </c>
      <c r="K298" s="20" t="str">
        <f aca="false">IF($A298="","",MAX(0,$B298-$J298))</f>
        <v/>
      </c>
      <c r="L298" s="20" t="str">
        <f aca="false">IF($A298="","",IF($B298=0,0,$K298/$B298))</f>
        <v/>
      </c>
      <c r="M298" s="20" t="str">
        <f aca="false">IF($A298="","",IF($J298&lt;0,"BORCA BATIK",IF($I298&lt;$H298,"BORCA BATIK",IF($L298&gt;=TtkUcteIkiEsik,"2/3 KAYIP (KRİTİK)",IF($L298&gt;=TtkUcteBirEsik,"1/3 KAYIP (DİKKAT)","UYGUN")))))</f>
        <v/>
      </c>
      <c r="U298" s="20" t="str">
        <f aca="false">IF($N298="","",$Q298*$R298)</f>
        <v/>
      </c>
    </row>
    <row r="299" customFormat="false" ht="15" hidden="false" customHeight="false" outlineLevel="0" collapsed="false">
      <c r="J299" s="20" t="str">
        <f aca="false">IF($A299="","",$B299+$C299+$D299-$E299+$F299-$G299)</f>
        <v/>
      </c>
      <c r="K299" s="20" t="str">
        <f aca="false">IF($A299="","",MAX(0,$B299-$J299))</f>
        <v/>
      </c>
      <c r="L299" s="20" t="str">
        <f aca="false">IF($A299="","",IF($B299=0,0,$K299/$B299))</f>
        <v/>
      </c>
      <c r="M299" s="20" t="str">
        <f aca="false">IF($A299="","",IF($J299&lt;0,"BORCA BATIK",IF($I299&lt;$H299,"BORCA BATIK",IF($L299&gt;=TtkUcteIkiEsik,"2/3 KAYIP (KRİTİK)",IF($L299&gt;=TtkUcteBirEsik,"1/3 KAYIP (DİKKAT)","UYGUN")))))</f>
        <v/>
      </c>
      <c r="U299" s="20" t="str">
        <f aca="false">IF($N299="","",$Q299*$R299)</f>
        <v/>
      </c>
    </row>
    <row r="300" customFormat="false" ht="15" hidden="false" customHeight="false" outlineLevel="0" collapsed="false">
      <c r="J300" s="20" t="str">
        <f aca="false">IF($A300="","",$B300+$C300+$D300-$E300+$F300-$G300)</f>
        <v/>
      </c>
      <c r="K300" s="20" t="str">
        <f aca="false">IF($A300="","",MAX(0,$B300-$J300))</f>
        <v/>
      </c>
      <c r="L300" s="20" t="str">
        <f aca="false">IF($A300="","",IF($B300=0,0,$K300/$B300))</f>
        <v/>
      </c>
      <c r="M300" s="20" t="str">
        <f aca="false">IF($A300="","",IF($J300&lt;0,"BORCA BATIK",IF($I300&lt;$H300,"BORCA BATIK",IF($L300&gt;=TtkUcteIkiEsik,"2/3 KAYIP (KRİTİK)",IF($L300&gt;=TtkUcteBirEsik,"1/3 KAYIP (DİKKAT)","UYGUN")))))</f>
        <v/>
      </c>
      <c r="U300" s="20" t="str">
        <f aca="false">IF($N300="","",$Q300*$R300)</f>
        <v/>
      </c>
    </row>
    <row r="301" customFormat="false" ht="15" hidden="false" customHeight="false" outlineLevel="0" collapsed="false">
      <c r="J301" s="20" t="str">
        <f aca="false">IF($A301="","",$B301+$C301+$D301-$E301+$F301-$G301)</f>
        <v/>
      </c>
      <c r="K301" s="20" t="str">
        <f aca="false">IF($A301="","",MAX(0,$B301-$J301))</f>
        <v/>
      </c>
      <c r="L301" s="20" t="str">
        <f aca="false">IF($A301="","",IF($B301=0,0,$K301/$B301))</f>
        <v/>
      </c>
      <c r="M301" s="20" t="str">
        <f aca="false">IF($A301="","",IF($J301&lt;0,"BORCA BATIK",IF($I301&lt;$H301,"BORCA BATIK",IF($L301&gt;=TtkUcteIkiEsik,"2/3 KAYIP (KRİTİK)",IF($L301&gt;=TtkUcteBirEsik,"1/3 KAYIP (DİKKAT)","UYGUN")))))</f>
        <v/>
      </c>
      <c r="U301" s="20" t="str">
        <f aca="false">IF($N301="","",$Q301*$R301)</f>
        <v/>
      </c>
    </row>
    <row r="302" customFormat="false" ht="15" hidden="false" customHeight="false" outlineLevel="0" collapsed="false">
      <c r="J302" s="20" t="str">
        <f aca="false">IF($A302="","",$B302+$C302+$D302-$E302+$F302-$G302)</f>
        <v/>
      </c>
      <c r="K302" s="20" t="str">
        <f aca="false">IF($A302="","",MAX(0,$B302-$J302))</f>
        <v/>
      </c>
      <c r="L302" s="20" t="str">
        <f aca="false">IF($A302="","",IF($B302=0,0,$K302/$B302))</f>
        <v/>
      </c>
      <c r="M302" s="20" t="str">
        <f aca="false">IF($A302="","",IF($J302&lt;0,"BORCA BATIK",IF($I302&lt;$H302,"BORCA BATIK",IF($L302&gt;=TtkUcteIkiEsik,"2/3 KAYIP (KRİTİK)",IF($L302&gt;=TtkUcteBirEsik,"1/3 KAYIP (DİKKAT)","UYGUN")))))</f>
        <v/>
      </c>
      <c r="U302" s="20" t="str">
        <f aca="false">IF($N302="","",$Q302*$R302)</f>
        <v/>
      </c>
    </row>
    <row r="303" customFormat="false" ht="15" hidden="false" customHeight="false" outlineLevel="0" collapsed="false">
      <c r="J303" s="20" t="str">
        <f aca="false">IF($A303="","",$B303+$C303+$D303-$E303+$F303-$G303)</f>
        <v/>
      </c>
      <c r="K303" s="20" t="str">
        <f aca="false">IF($A303="","",MAX(0,$B303-$J303))</f>
        <v/>
      </c>
      <c r="L303" s="20" t="str">
        <f aca="false">IF($A303="","",IF($B303=0,0,$K303/$B303))</f>
        <v/>
      </c>
      <c r="M303" s="20" t="str">
        <f aca="false">IF($A303="","",IF($J303&lt;0,"BORCA BATIK",IF($I303&lt;$H303,"BORCA BATIK",IF($L303&gt;=TtkUcteIkiEsik,"2/3 KAYIP (KRİTİK)",IF($L303&gt;=TtkUcteBirEsik,"1/3 KAYIP (DİKKAT)","UYGUN")))))</f>
        <v/>
      </c>
      <c r="U303" s="20" t="str">
        <f aca="false">IF($N303="","",$Q303*$R303)</f>
        <v/>
      </c>
    </row>
    <row r="304" customFormat="false" ht="15" hidden="false" customHeight="false" outlineLevel="0" collapsed="false">
      <c r="J304" s="20" t="str">
        <f aca="false">IF($A304="","",$B304+$C304+$D304-$E304+$F304-$G304)</f>
        <v/>
      </c>
      <c r="K304" s="20" t="str">
        <f aca="false">IF($A304="","",MAX(0,$B304-$J304))</f>
        <v/>
      </c>
      <c r="L304" s="20" t="str">
        <f aca="false">IF($A304="","",IF($B304=0,0,$K304/$B304))</f>
        <v/>
      </c>
      <c r="M304" s="20" t="str">
        <f aca="false">IF($A304="","",IF($J304&lt;0,"BORCA BATIK",IF($I304&lt;$H304,"BORCA BATIK",IF($L304&gt;=TtkUcteIkiEsik,"2/3 KAYIP (KRİTİK)",IF($L304&gt;=TtkUcteBirEsik,"1/3 KAYIP (DİKKAT)","UYGUN")))))</f>
        <v/>
      </c>
      <c r="U304" s="20" t="str">
        <f aca="false">IF($N304="","",$Q304*$R304)</f>
        <v/>
      </c>
    </row>
    <row r="305" customFormat="false" ht="15" hidden="false" customHeight="false" outlineLevel="0" collapsed="false">
      <c r="J305" s="20" t="str">
        <f aca="false">IF($A305="","",$B305+$C305+$D305-$E305+$F305-$G305)</f>
        <v/>
      </c>
      <c r="K305" s="20" t="str">
        <f aca="false">IF($A305="","",MAX(0,$B305-$J305))</f>
        <v/>
      </c>
      <c r="L305" s="20" t="str">
        <f aca="false">IF($A305="","",IF($B305=0,0,$K305/$B305))</f>
        <v/>
      </c>
      <c r="M305" s="20" t="str">
        <f aca="false">IF($A305="","",IF($J305&lt;0,"BORCA BATIK",IF($I305&lt;$H305,"BORCA BATIK",IF($L305&gt;=TtkUcteIkiEsik,"2/3 KAYIP (KRİTİK)",IF($L305&gt;=TtkUcteBirEsik,"1/3 KAYIP (DİKKAT)","UYGUN")))))</f>
        <v/>
      </c>
      <c r="U305" s="20" t="str">
        <f aca="false">IF($N305="","",$Q305*$R305)</f>
        <v/>
      </c>
    </row>
    <row r="306" customFormat="false" ht="15" hidden="false" customHeight="false" outlineLevel="0" collapsed="false">
      <c r="J306" s="20" t="str">
        <f aca="false">IF($A306="","",$B306+$C306+$D306-$E306+$F306-$G306)</f>
        <v/>
      </c>
      <c r="K306" s="20" t="str">
        <f aca="false">IF($A306="","",MAX(0,$B306-$J306))</f>
        <v/>
      </c>
      <c r="L306" s="20" t="str">
        <f aca="false">IF($A306="","",IF($B306=0,0,$K306/$B306))</f>
        <v/>
      </c>
      <c r="M306" s="20" t="str">
        <f aca="false">IF($A306="","",IF($J306&lt;0,"BORCA BATIK",IF($I306&lt;$H306,"BORCA BATIK",IF($L306&gt;=TtkUcteIkiEsik,"2/3 KAYIP (KRİTİK)",IF($L306&gt;=TtkUcteBirEsik,"1/3 KAYIP (DİKKAT)","UYGUN")))))</f>
        <v/>
      </c>
      <c r="U306" s="20" t="str">
        <f aca="false">IF($N306="","",$Q306*$R306)</f>
        <v/>
      </c>
    </row>
    <row r="307" customFormat="false" ht="15" hidden="false" customHeight="false" outlineLevel="0" collapsed="false">
      <c r="J307" s="20" t="str">
        <f aca="false">IF($A307="","",$B307+$C307+$D307-$E307+$F307-$G307)</f>
        <v/>
      </c>
      <c r="K307" s="20" t="str">
        <f aca="false">IF($A307="","",MAX(0,$B307-$J307))</f>
        <v/>
      </c>
      <c r="L307" s="20" t="str">
        <f aca="false">IF($A307="","",IF($B307=0,0,$K307/$B307))</f>
        <v/>
      </c>
      <c r="M307" s="20" t="str">
        <f aca="false">IF($A307="","",IF($J307&lt;0,"BORCA BATIK",IF($I307&lt;$H307,"BORCA BATIK",IF($L307&gt;=TtkUcteIkiEsik,"2/3 KAYIP (KRİTİK)",IF($L307&gt;=TtkUcteBirEsik,"1/3 KAYIP (DİKKAT)","UYGUN")))))</f>
        <v/>
      </c>
      <c r="U307" s="20" t="str">
        <f aca="false">IF($N307="","",$Q307*$R307)</f>
        <v/>
      </c>
    </row>
    <row r="308" customFormat="false" ht="15" hidden="false" customHeight="false" outlineLevel="0" collapsed="false">
      <c r="J308" s="20" t="str">
        <f aca="false">IF($A308="","",$B308+$C308+$D308-$E308+$F308-$G308)</f>
        <v/>
      </c>
      <c r="K308" s="20" t="str">
        <f aca="false">IF($A308="","",MAX(0,$B308-$J308))</f>
        <v/>
      </c>
      <c r="L308" s="20" t="str">
        <f aca="false">IF($A308="","",IF($B308=0,0,$K308/$B308))</f>
        <v/>
      </c>
      <c r="M308" s="20" t="str">
        <f aca="false">IF($A308="","",IF($J308&lt;0,"BORCA BATIK",IF($I308&lt;$H308,"BORCA BATIK",IF($L308&gt;=TtkUcteIkiEsik,"2/3 KAYIP (KRİTİK)",IF($L308&gt;=TtkUcteBirEsik,"1/3 KAYIP (DİKKAT)","UYGUN")))))</f>
        <v/>
      </c>
      <c r="U308" s="20" t="str">
        <f aca="false">IF($N308="","",$Q308*$R308)</f>
        <v/>
      </c>
    </row>
    <row r="309" customFormat="false" ht="15" hidden="false" customHeight="false" outlineLevel="0" collapsed="false">
      <c r="J309" s="20" t="str">
        <f aca="false">IF($A309="","",$B309+$C309+$D309-$E309+$F309-$G309)</f>
        <v/>
      </c>
      <c r="K309" s="20" t="str">
        <f aca="false">IF($A309="","",MAX(0,$B309-$J309))</f>
        <v/>
      </c>
      <c r="L309" s="20" t="str">
        <f aca="false">IF($A309="","",IF($B309=0,0,$K309/$B309))</f>
        <v/>
      </c>
      <c r="M309" s="20" t="str">
        <f aca="false">IF($A309="","",IF($J309&lt;0,"BORCA BATIK",IF($I309&lt;$H309,"BORCA BATIK",IF($L309&gt;=TtkUcteIkiEsik,"2/3 KAYIP (KRİTİK)",IF($L309&gt;=TtkUcteBirEsik,"1/3 KAYIP (DİKKAT)","UYGUN")))))</f>
        <v/>
      </c>
      <c r="U309" s="20" t="str">
        <f aca="false">IF($N309="","",$Q309*$R309)</f>
        <v/>
      </c>
    </row>
    <row r="310" customFormat="false" ht="15" hidden="false" customHeight="false" outlineLevel="0" collapsed="false">
      <c r="J310" s="20" t="str">
        <f aca="false">IF($A310="","",$B310+$C310+$D310-$E310+$F310-$G310)</f>
        <v/>
      </c>
      <c r="K310" s="20" t="str">
        <f aca="false">IF($A310="","",MAX(0,$B310-$J310))</f>
        <v/>
      </c>
      <c r="L310" s="20" t="str">
        <f aca="false">IF($A310="","",IF($B310=0,0,$K310/$B310))</f>
        <v/>
      </c>
      <c r="M310" s="20" t="str">
        <f aca="false">IF($A310="","",IF($J310&lt;0,"BORCA BATIK",IF($I310&lt;$H310,"BORCA BATIK",IF($L310&gt;=TtkUcteIkiEsik,"2/3 KAYIP (KRİTİK)",IF($L310&gt;=TtkUcteBirEsik,"1/3 KAYIP (DİKKAT)","UYGUN")))))</f>
        <v/>
      </c>
      <c r="U310" s="20" t="str">
        <f aca="false">IF($N310="","",$Q310*$R310)</f>
        <v/>
      </c>
    </row>
    <row r="311" customFormat="false" ht="15" hidden="false" customHeight="false" outlineLevel="0" collapsed="false">
      <c r="J311" s="20" t="str">
        <f aca="false">IF($A311="","",$B311+$C311+$D311-$E311+$F311-$G311)</f>
        <v/>
      </c>
      <c r="K311" s="20" t="str">
        <f aca="false">IF($A311="","",MAX(0,$B311-$J311))</f>
        <v/>
      </c>
      <c r="L311" s="20" t="str">
        <f aca="false">IF($A311="","",IF($B311=0,0,$K311/$B311))</f>
        <v/>
      </c>
      <c r="M311" s="20" t="str">
        <f aca="false">IF($A311="","",IF($J311&lt;0,"BORCA BATIK",IF($I311&lt;$H311,"BORCA BATIK",IF($L311&gt;=TtkUcteIkiEsik,"2/3 KAYIP (KRİTİK)",IF($L311&gt;=TtkUcteBirEsik,"1/3 KAYIP (DİKKAT)","UYGUN")))))</f>
        <v/>
      </c>
      <c r="U311" s="20" t="str">
        <f aca="false">IF($N311="","",$Q311*$R311)</f>
        <v/>
      </c>
    </row>
    <row r="312" customFormat="false" ht="15" hidden="false" customHeight="false" outlineLevel="0" collapsed="false">
      <c r="J312" s="20" t="str">
        <f aca="false">IF($A312="","",$B312+$C312+$D312-$E312+$F312-$G312)</f>
        <v/>
      </c>
      <c r="K312" s="20" t="str">
        <f aca="false">IF($A312="","",MAX(0,$B312-$J312))</f>
        <v/>
      </c>
      <c r="L312" s="20" t="str">
        <f aca="false">IF($A312="","",IF($B312=0,0,$K312/$B312))</f>
        <v/>
      </c>
      <c r="M312" s="20" t="str">
        <f aca="false">IF($A312="","",IF($J312&lt;0,"BORCA BATIK",IF($I312&lt;$H312,"BORCA BATIK",IF($L312&gt;=TtkUcteIkiEsik,"2/3 KAYIP (KRİTİK)",IF($L312&gt;=TtkUcteBirEsik,"1/3 KAYIP (DİKKAT)","UYGUN")))))</f>
        <v/>
      </c>
      <c r="U312" s="20" t="str">
        <f aca="false">IF($N312="","",$Q312*$R312)</f>
        <v/>
      </c>
    </row>
    <row r="313" customFormat="false" ht="15" hidden="false" customHeight="false" outlineLevel="0" collapsed="false">
      <c r="J313" s="20" t="str">
        <f aca="false">IF($A313="","",$B313+$C313+$D313-$E313+$F313-$G313)</f>
        <v/>
      </c>
      <c r="K313" s="20" t="str">
        <f aca="false">IF($A313="","",MAX(0,$B313-$J313))</f>
        <v/>
      </c>
      <c r="L313" s="20" t="str">
        <f aca="false">IF($A313="","",IF($B313=0,0,$K313/$B313))</f>
        <v/>
      </c>
      <c r="M313" s="20" t="str">
        <f aca="false">IF($A313="","",IF($J313&lt;0,"BORCA BATIK",IF($I313&lt;$H313,"BORCA BATIK",IF($L313&gt;=TtkUcteIkiEsik,"2/3 KAYIP (KRİTİK)",IF($L313&gt;=TtkUcteBirEsik,"1/3 KAYIP (DİKKAT)","UYGUN")))))</f>
        <v/>
      </c>
      <c r="U313" s="20" t="str">
        <f aca="false">IF($N313="","",$Q313*$R313)</f>
        <v/>
      </c>
    </row>
    <row r="314" customFormat="false" ht="15" hidden="false" customHeight="false" outlineLevel="0" collapsed="false">
      <c r="J314" s="20" t="str">
        <f aca="false">IF($A314="","",$B314+$C314+$D314-$E314+$F314-$G314)</f>
        <v/>
      </c>
      <c r="K314" s="20" t="str">
        <f aca="false">IF($A314="","",MAX(0,$B314-$J314))</f>
        <v/>
      </c>
      <c r="L314" s="20" t="str">
        <f aca="false">IF($A314="","",IF($B314=0,0,$K314/$B314))</f>
        <v/>
      </c>
      <c r="M314" s="20" t="str">
        <f aca="false">IF($A314="","",IF($J314&lt;0,"BORCA BATIK",IF($I314&lt;$H314,"BORCA BATIK",IF($L314&gt;=TtkUcteIkiEsik,"2/3 KAYIP (KRİTİK)",IF($L314&gt;=TtkUcteBirEsik,"1/3 KAYIP (DİKKAT)","UYGUN")))))</f>
        <v/>
      </c>
      <c r="U314" s="20" t="str">
        <f aca="false">IF($N314="","",$Q314*$R314)</f>
        <v/>
      </c>
    </row>
    <row r="315" customFormat="false" ht="15" hidden="false" customHeight="false" outlineLevel="0" collapsed="false">
      <c r="J315" s="20" t="str">
        <f aca="false">IF($A315="","",$B315+$C315+$D315-$E315+$F315-$G315)</f>
        <v/>
      </c>
      <c r="K315" s="20" t="str">
        <f aca="false">IF($A315="","",MAX(0,$B315-$J315))</f>
        <v/>
      </c>
      <c r="L315" s="20" t="str">
        <f aca="false">IF($A315="","",IF($B315=0,0,$K315/$B315))</f>
        <v/>
      </c>
      <c r="M315" s="20" t="str">
        <f aca="false">IF($A315="","",IF($J315&lt;0,"BORCA BATIK",IF($I315&lt;$H315,"BORCA BATIK",IF($L315&gt;=TtkUcteIkiEsik,"2/3 KAYIP (KRİTİK)",IF($L315&gt;=TtkUcteBirEsik,"1/3 KAYIP (DİKKAT)","UYGUN")))))</f>
        <v/>
      </c>
      <c r="U315" s="20" t="str">
        <f aca="false">IF($N315="","",$Q315*$R315)</f>
        <v/>
      </c>
    </row>
    <row r="316" customFormat="false" ht="15" hidden="false" customHeight="false" outlineLevel="0" collapsed="false">
      <c r="J316" s="20" t="str">
        <f aca="false">IF($A316="","",$B316+$C316+$D316-$E316+$F316-$G316)</f>
        <v/>
      </c>
      <c r="K316" s="20" t="str">
        <f aca="false">IF($A316="","",MAX(0,$B316-$J316))</f>
        <v/>
      </c>
      <c r="L316" s="20" t="str">
        <f aca="false">IF($A316="","",IF($B316=0,0,$K316/$B316))</f>
        <v/>
      </c>
      <c r="M316" s="20" t="str">
        <f aca="false">IF($A316="","",IF($J316&lt;0,"BORCA BATIK",IF($I316&lt;$H316,"BORCA BATIK",IF($L316&gt;=TtkUcteIkiEsik,"2/3 KAYIP (KRİTİK)",IF($L316&gt;=TtkUcteBirEsik,"1/3 KAYIP (DİKKAT)","UYGUN")))))</f>
        <v/>
      </c>
      <c r="U316" s="20" t="str">
        <f aca="false">IF($N316="","",$Q316*$R316)</f>
        <v/>
      </c>
    </row>
    <row r="317" customFormat="false" ht="15" hidden="false" customHeight="false" outlineLevel="0" collapsed="false">
      <c r="J317" s="20" t="str">
        <f aca="false">IF($A317="","",$B317+$C317+$D317-$E317+$F317-$G317)</f>
        <v/>
      </c>
      <c r="K317" s="20" t="str">
        <f aca="false">IF($A317="","",MAX(0,$B317-$J317))</f>
        <v/>
      </c>
      <c r="L317" s="20" t="str">
        <f aca="false">IF($A317="","",IF($B317=0,0,$K317/$B317))</f>
        <v/>
      </c>
      <c r="M317" s="20" t="str">
        <f aca="false">IF($A317="","",IF($J317&lt;0,"BORCA BATIK",IF($I317&lt;$H317,"BORCA BATIK",IF($L317&gt;=TtkUcteIkiEsik,"2/3 KAYIP (KRİTİK)",IF($L317&gt;=TtkUcteBirEsik,"1/3 KAYIP (DİKKAT)","UYGUN")))))</f>
        <v/>
      </c>
      <c r="U317" s="20" t="str">
        <f aca="false">IF($N317="","",$Q317*$R317)</f>
        <v/>
      </c>
    </row>
    <row r="318" customFormat="false" ht="15" hidden="false" customHeight="false" outlineLevel="0" collapsed="false">
      <c r="J318" s="20" t="str">
        <f aca="false">IF($A318="","",$B318+$C318+$D318-$E318+$F318-$G318)</f>
        <v/>
      </c>
      <c r="K318" s="20" t="str">
        <f aca="false">IF($A318="","",MAX(0,$B318-$J318))</f>
        <v/>
      </c>
      <c r="L318" s="20" t="str">
        <f aca="false">IF($A318="","",IF($B318=0,0,$K318/$B318))</f>
        <v/>
      </c>
      <c r="M318" s="20" t="str">
        <f aca="false">IF($A318="","",IF($J318&lt;0,"BORCA BATIK",IF($I318&lt;$H318,"BORCA BATIK",IF($L318&gt;=TtkUcteIkiEsik,"2/3 KAYIP (KRİTİK)",IF($L318&gt;=TtkUcteBirEsik,"1/3 KAYIP (DİKKAT)","UYGUN")))))</f>
        <v/>
      </c>
      <c r="U318" s="20" t="str">
        <f aca="false">IF($N318="","",$Q318*$R318)</f>
        <v/>
      </c>
    </row>
    <row r="319" customFormat="false" ht="15" hidden="false" customHeight="false" outlineLevel="0" collapsed="false">
      <c r="J319" s="20" t="str">
        <f aca="false">IF($A319="","",$B319+$C319+$D319-$E319+$F319-$G319)</f>
        <v/>
      </c>
      <c r="K319" s="20" t="str">
        <f aca="false">IF($A319="","",MAX(0,$B319-$J319))</f>
        <v/>
      </c>
      <c r="L319" s="20" t="str">
        <f aca="false">IF($A319="","",IF($B319=0,0,$K319/$B319))</f>
        <v/>
      </c>
      <c r="M319" s="20" t="str">
        <f aca="false">IF($A319="","",IF($J319&lt;0,"BORCA BATIK",IF($I319&lt;$H319,"BORCA BATIK",IF($L319&gt;=TtkUcteIkiEsik,"2/3 KAYIP (KRİTİK)",IF($L319&gt;=TtkUcteBirEsik,"1/3 KAYIP (DİKKAT)","UYGUN")))))</f>
        <v/>
      </c>
      <c r="U319" s="20" t="str">
        <f aca="false">IF($N319="","",$Q319*$R319)</f>
        <v/>
      </c>
    </row>
    <row r="320" customFormat="false" ht="15" hidden="false" customHeight="false" outlineLevel="0" collapsed="false">
      <c r="J320" s="20" t="str">
        <f aca="false">IF($A320="","",$B320+$C320+$D320-$E320+$F320-$G320)</f>
        <v/>
      </c>
      <c r="K320" s="20" t="str">
        <f aca="false">IF($A320="","",MAX(0,$B320-$J320))</f>
        <v/>
      </c>
      <c r="L320" s="20" t="str">
        <f aca="false">IF($A320="","",IF($B320=0,0,$K320/$B320))</f>
        <v/>
      </c>
      <c r="M320" s="20" t="str">
        <f aca="false">IF($A320="","",IF($J320&lt;0,"BORCA BATIK",IF($I320&lt;$H320,"BORCA BATIK",IF($L320&gt;=TtkUcteIkiEsik,"2/3 KAYIP (KRİTİK)",IF($L320&gt;=TtkUcteBirEsik,"1/3 KAYIP (DİKKAT)","UYGUN")))))</f>
        <v/>
      </c>
      <c r="U320" s="20" t="str">
        <f aca="false">IF($N320="","",$Q320*$R320)</f>
        <v/>
      </c>
    </row>
    <row r="321" customFormat="false" ht="15" hidden="false" customHeight="false" outlineLevel="0" collapsed="false">
      <c r="J321" s="20" t="str">
        <f aca="false">IF($A321="","",$B321+$C321+$D321-$E321+$F321-$G321)</f>
        <v/>
      </c>
      <c r="K321" s="20" t="str">
        <f aca="false">IF($A321="","",MAX(0,$B321-$J321))</f>
        <v/>
      </c>
      <c r="L321" s="20" t="str">
        <f aca="false">IF($A321="","",IF($B321=0,0,$K321/$B321))</f>
        <v/>
      </c>
      <c r="M321" s="20" t="str">
        <f aca="false">IF($A321="","",IF($J321&lt;0,"BORCA BATIK",IF($I321&lt;$H321,"BORCA BATIK",IF($L321&gt;=TtkUcteIkiEsik,"2/3 KAYIP (KRİTİK)",IF($L321&gt;=TtkUcteBirEsik,"1/3 KAYIP (DİKKAT)","UYGUN")))))</f>
        <v/>
      </c>
      <c r="U321" s="20" t="str">
        <f aca="false">IF($N321="","",$Q321*$R321)</f>
        <v/>
      </c>
    </row>
    <row r="322" customFormat="false" ht="15" hidden="false" customHeight="false" outlineLevel="0" collapsed="false">
      <c r="J322" s="20" t="str">
        <f aca="false">IF($A322="","",$B322+$C322+$D322-$E322+$F322-$G322)</f>
        <v/>
      </c>
      <c r="K322" s="20" t="str">
        <f aca="false">IF($A322="","",MAX(0,$B322-$J322))</f>
        <v/>
      </c>
      <c r="L322" s="20" t="str">
        <f aca="false">IF($A322="","",IF($B322=0,0,$K322/$B322))</f>
        <v/>
      </c>
      <c r="M322" s="20" t="str">
        <f aca="false">IF($A322="","",IF($J322&lt;0,"BORCA BATIK",IF($I322&lt;$H322,"BORCA BATIK",IF($L322&gt;=TtkUcteIkiEsik,"2/3 KAYIP (KRİTİK)",IF($L322&gt;=TtkUcteBirEsik,"1/3 KAYIP (DİKKAT)","UYGUN")))))</f>
        <v/>
      </c>
      <c r="U322" s="20" t="str">
        <f aca="false">IF($N322="","",$Q322*$R322)</f>
        <v/>
      </c>
    </row>
    <row r="323" customFormat="false" ht="15" hidden="false" customHeight="false" outlineLevel="0" collapsed="false">
      <c r="J323" s="20" t="str">
        <f aca="false">IF($A323="","",$B323+$C323+$D323-$E323+$F323-$G323)</f>
        <v/>
      </c>
      <c r="K323" s="20" t="str">
        <f aca="false">IF($A323="","",MAX(0,$B323-$J323))</f>
        <v/>
      </c>
      <c r="L323" s="20" t="str">
        <f aca="false">IF($A323="","",IF($B323=0,0,$K323/$B323))</f>
        <v/>
      </c>
      <c r="M323" s="20" t="str">
        <f aca="false">IF($A323="","",IF($J323&lt;0,"BORCA BATIK",IF($I323&lt;$H323,"BORCA BATIK",IF($L323&gt;=TtkUcteIkiEsik,"2/3 KAYIP (KRİTİK)",IF($L323&gt;=TtkUcteBirEsik,"1/3 KAYIP (DİKKAT)","UYGUN")))))</f>
        <v/>
      </c>
      <c r="U323" s="20" t="str">
        <f aca="false">IF($N323="","",$Q323*$R323)</f>
        <v/>
      </c>
    </row>
    <row r="324" customFormat="false" ht="15" hidden="false" customHeight="false" outlineLevel="0" collapsed="false">
      <c r="J324" s="20" t="str">
        <f aca="false">IF($A324="","",$B324+$C324+$D324-$E324+$F324-$G324)</f>
        <v/>
      </c>
      <c r="K324" s="20" t="str">
        <f aca="false">IF($A324="","",MAX(0,$B324-$J324))</f>
        <v/>
      </c>
      <c r="L324" s="20" t="str">
        <f aca="false">IF($A324="","",IF($B324=0,0,$K324/$B324))</f>
        <v/>
      </c>
      <c r="M324" s="20" t="str">
        <f aca="false">IF($A324="","",IF($J324&lt;0,"BORCA BATIK",IF($I324&lt;$H324,"BORCA BATIK",IF($L324&gt;=TtkUcteIkiEsik,"2/3 KAYIP (KRİTİK)",IF($L324&gt;=TtkUcteBirEsik,"1/3 KAYIP (DİKKAT)","UYGUN")))))</f>
        <v/>
      </c>
      <c r="U324" s="20" t="str">
        <f aca="false">IF($N324="","",$Q324*$R324)</f>
        <v/>
      </c>
    </row>
    <row r="325" customFormat="false" ht="15" hidden="false" customHeight="false" outlineLevel="0" collapsed="false">
      <c r="J325" s="20" t="str">
        <f aca="false">IF($A325="","",$B325+$C325+$D325-$E325+$F325-$G325)</f>
        <v/>
      </c>
      <c r="K325" s="20" t="str">
        <f aca="false">IF($A325="","",MAX(0,$B325-$J325))</f>
        <v/>
      </c>
      <c r="L325" s="20" t="str">
        <f aca="false">IF($A325="","",IF($B325=0,0,$K325/$B325))</f>
        <v/>
      </c>
      <c r="M325" s="20" t="str">
        <f aca="false">IF($A325="","",IF($J325&lt;0,"BORCA BATIK",IF($I325&lt;$H325,"BORCA BATIK",IF($L325&gt;=TtkUcteIkiEsik,"2/3 KAYIP (KRİTİK)",IF($L325&gt;=TtkUcteBirEsik,"1/3 KAYIP (DİKKAT)","UYGUN")))))</f>
        <v/>
      </c>
      <c r="U325" s="20" t="str">
        <f aca="false">IF($N325="","",$Q325*$R325)</f>
        <v/>
      </c>
    </row>
    <row r="326" customFormat="false" ht="15" hidden="false" customHeight="false" outlineLevel="0" collapsed="false">
      <c r="J326" s="20" t="str">
        <f aca="false">IF($A326="","",$B326+$C326+$D326-$E326+$F326-$G326)</f>
        <v/>
      </c>
      <c r="K326" s="20" t="str">
        <f aca="false">IF($A326="","",MAX(0,$B326-$J326))</f>
        <v/>
      </c>
      <c r="L326" s="20" t="str">
        <f aca="false">IF($A326="","",IF($B326=0,0,$K326/$B326))</f>
        <v/>
      </c>
      <c r="M326" s="20" t="str">
        <f aca="false">IF($A326="","",IF($J326&lt;0,"BORCA BATIK",IF($I326&lt;$H326,"BORCA BATIK",IF($L326&gt;=TtkUcteIkiEsik,"2/3 KAYIP (KRİTİK)",IF($L326&gt;=TtkUcteBirEsik,"1/3 KAYIP (DİKKAT)","UYGUN")))))</f>
        <v/>
      </c>
      <c r="U326" s="20" t="str">
        <f aca="false">IF($N326="","",$Q326*$R326)</f>
        <v/>
      </c>
    </row>
    <row r="327" customFormat="false" ht="15" hidden="false" customHeight="false" outlineLevel="0" collapsed="false">
      <c r="J327" s="20" t="str">
        <f aca="false">IF($A327="","",$B327+$C327+$D327-$E327+$F327-$G327)</f>
        <v/>
      </c>
      <c r="K327" s="20" t="str">
        <f aca="false">IF($A327="","",MAX(0,$B327-$J327))</f>
        <v/>
      </c>
      <c r="L327" s="20" t="str">
        <f aca="false">IF($A327="","",IF($B327=0,0,$K327/$B327))</f>
        <v/>
      </c>
      <c r="M327" s="20" t="str">
        <f aca="false">IF($A327="","",IF($J327&lt;0,"BORCA BATIK",IF($I327&lt;$H327,"BORCA BATIK",IF($L327&gt;=TtkUcteIkiEsik,"2/3 KAYIP (KRİTİK)",IF($L327&gt;=TtkUcteBirEsik,"1/3 KAYIP (DİKKAT)","UYGUN")))))</f>
        <v/>
      </c>
      <c r="U327" s="20" t="str">
        <f aca="false">IF($N327="","",$Q327*$R327)</f>
        <v/>
      </c>
    </row>
    <row r="328" customFormat="false" ht="15" hidden="false" customHeight="false" outlineLevel="0" collapsed="false">
      <c r="J328" s="20" t="str">
        <f aca="false">IF($A328="","",$B328+$C328+$D328-$E328+$F328-$G328)</f>
        <v/>
      </c>
      <c r="K328" s="20" t="str">
        <f aca="false">IF($A328="","",MAX(0,$B328-$J328))</f>
        <v/>
      </c>
      <c r="L328" s="20" t="str">
        <f aca="false">IF($A328="","",IF($B328=0,0,$K328/$B328))</f>
        <v/>
      </c>
      <c r="M328" s="20" t="str">
        <f aca="false">IF($A328="","",IF($J328&lt;0,"BORCA BATIK",IF($I328&lt;$H328,"BORCA BATIK",IF($L328&gt;=TtkUcteIkiEsik,"2/3 KAYIP (KRİTİK)",IF($L328&gt;=TtkUcteBirEsik,"1/3 KAYIP (DİKKAT)","UYGUN")))))</f>
        <v/>
      </c>
      <c r="U328" s="20" t="str">
        <f aca="false">IF($N328="","",$Q328*$R328)</f>
        <v/>
      </c>
    </row>
    <row r="329" customFormat="false" ht="15" hidden="false" customHeight="false" outlineLevel="0" collapsed="false">
      <c r="J329" s="20" t="str">
        <f aca="false">IF($A329="","",$B329+$C329+$D329-$E329+$F329-$G329)</f>
        <v/>
      </c>
      <c r="K329" s="20" t="str">
        <f aca="false">IF($A329="","",MAX(0,$B329-$J329))</f>
        <v/>
      </c>
      <c r="L329" s="20" t="str">
        <f aca="false">IF($A329="","",IF($B329=0,0,$K329/$B329))</f>
        <v/>
      </c>
      <c r="M329" s="20" t="str">
        <f aca="false">IF($A329="","",IF($J329&lt;0,"BORCA BATIK",IF($I329&lt;$H329,"BORCA BATIK",IF($L329&gt;=TtkUcteIkiEsik,"2/3 KAYIP (KRİTİK)",IF($L329&gt;=TtkUcteBirEsik,"1/3 KAYIP (DİKKAT)","UYGUN")))))</f>
        <v/>
      </c>
      <c r="U329" s="20" t="str">
        <f aca="false">IF($N329="","",$Q329*$R329)</f>
        <v/>
      </c>
    </row>
    <row r="330" customFormat="false" ht="15" hidden="false" customHeight="false" outlineLevel="0" collapsed="false">
      <c r="J330" s="20" t="str">
        <f aca="false">IF($A330="","",$B330+$C330+$D330-$E330+$F330-$G330)</f>
        <v/>
      </c>
      <c r="K330" s="20" t="str">
        <f aca="false">IF($A330="","",MAX(0,$B330-$J330))</f>
        <v/>
      </c>
      <c r="L330" s="20" t="str">
        <f aca="false">IF($A330="","",IF($B330=0,0,$K330/$B330))</f>
        <v/>
      </c>
      <c r="M330" s="20" t="str">
        <f aca="false">IF($A330="","",IF($J330&lt;0,"BORCA BATIK",IF($I330&lt;$H330,"BORCA BATIK",IF($L330&gt;=TtkUcteIkiEsik,"2/3 KAYIP (KRİTİK)",IF($L330&gt;=TtkUcteBirEsik,"1/3 KAYIP (DİKKAT)","UYGUN")))))</f>
        <v/>
      </c>
      <c r="U330" s="20" t="str">
        <f aca="false">IF($N330="","",$Q330*$R330)</f>
        <v/>
      </c>
    </row>
    <row r="331" customFormat="false" ht="15" hidden="false" customHeight="false" outlineLevel="0" collapsed="false">
      <c r="J331" s="20" t="str">
        <f aca="false">IF($A331="","",$B331+$C331+$D331-$E331+$F331-$G331)</f>
        <v/>
      </c>
      <c r="K331" s="20" t="str">
        <f aca="false">IF($A331="","",MAX(0,$B331-$J331))</f>
        <v/>
      </c>
      <c r="L331" s="20" t="str">
        <f aca="false">IF($A331="","",IF($B331=0,0,$K331/$B331))</f>
        <v/>
      </c>
      <c r="M331" s="20" t="str">
        <f aca="false">IF($A331="","",IF($J331&lt;0,"BORCA BATIK",IF($I331&lt;$H331,"BORCA BATIK",IF($L331&gt;=TtkUcteIkiEsik,"2/3 KAYIP (KRİTİK)",IF($L331&gt;=TtkUcteBirEsik,"1/3 KAYIP (DİKKAT)","UYGUN")))))</f>
        <v/>
      </c>
      <c r="U331" s="20" t="str">
        <f aca="false">IF($N331="","",$Q331*$R331)</f>
        <v/>
      </c>
    </row>
    <row r="332" customFormat="false" ht="15" hidden="false" customHeight="false" outlineLevel="0" collapsed="false">
      <c r="J332" s="20" t="str">
        <f aca="false">IF($A332="","",$B332+$C332+$D332-$E332+$F332-$G332)</f>
        <v/>
      </c>
      <c r="K332" s="20" t="str">
        <f aca="false">IF($A332="","",MAX(0,$B332-$J332))</f>
        <v/>
      </c>
      <c r="L332" s="20" t="str">
        <f aca="false">IF($A332="","",IF($B332=0,0,$K332/$B332))</f>
        <v/>
      </c>
      <c r="M332" s="20" t="str">
        <f aca="false">IF($A332="","",IF($J332&lt;0,"BORCA BATIK",IF($I332&lt;$H332,"BORCA BATIK",IF($L332&gt;=TtkUcteIkiEsik,"2/3 KAYIP (KRİTİK)",IF($L332&gt;=TtkUcteBirEsik,"1/3 KAYIP (DİKKAT)","UYGUN")))))</f>
        <v/>
      </c>
      <c r="U332" s="20" t="str">
        <f aca="false">IF($N332="","",$Q332*$R332)</f>
        <v/>
      </c>
    </row>
    <row r="333" customFormat="false" ht="15" hidden="false" customHeight="false" outlineLevel="0" collapsed="false">
      <c r="J333" s="20" t="str">
        <f aca="false">IF($A333="","",$B333+$C333+$D333-$E333+$F333-$G333)</f>
        <v/>
      </c>
      <c r="K333" s="20" t="str">
        <f aca="false">IF($A333="","",MAX(0,$B333-$J333))</f>
        <v/>
      </c>
      <c r="L333" s="20" t="str">
        <f aca="false">IF($A333="","",IF($B333=0,0,$K333/$B333))</f>
        <v/>
      </c>
      <c r="M333" s="20" t="str">
        <f aca="false">IF($A333="","",IF($J333&lt;0,"BORCA BATIK",IF($I333&lt;$H333,"BORCA BATIK",IF($L333&gt;=TtkUcteIkiEsik,"2/3 KAYIP (KRİTİK)",IF($L333&gt;=TtkUcteBirEsik,"1/3 KAYIP (DİKKAT)","UYGUN")))))</f>
        <v/>
      </c>
      <c r="U333" s="20" t="str">
        <f aca="false">IF($N333="","",$Q333*$R333)</f>
        <v/>
      </c>
    </row>
    <row r="334" customFormat="false" ht="15" hidden="false" customHeight="false" outlineLevel="0" collapsed="false">
      <c r="J334" s="20" t="str">
        <f aca="false">IF($A334="","",$B334+$C334+$D334-$E334+$F334-$G334)</f>
        <v/>
      </c>
      <c r="K334" s="20" t="str">
        <f aca="false">IF($A334="","",MAX(0,$B334-$J334))</f>
        <v/>
      </c>
      <c r="L334" s="20" t="str">
        <f aca="false">IF($A334="","",IF($B334=0,0,$K334/$B334))</f>
        <v/>
      </c>
      <c r="M334" s="20" t="str">
        <f aca="false">IF($A334="","",IF($J334&lt;0,"BORCA BATIK",IF($I334&lt;$H334,"BORCA BATIK",IF($L334&gt;=TtkUcteIkiEsik,"2/3 KAYIP (KRİTİK)",IF($L334&gt;=TtkUcteBirEsik,"1/3 KAYIP (DİKKAT)","UYGUN")))))</f>
        <v/>
      </c>
      <c r="U334" s="20" t="str">
        <f aca="false">IF($N334="","",$Q334*$R334)</f>
        <v/>
      </c>
    </row>
    <row r="335" customFormat="false" ht="15" hidden="false" customHeight="false" outlineLevel="0" collapsed="false">
      <c r="J335" s="20" t="str">
        <f aca="false">IF($A335="","",$B335+$C335+$D335-$E335+$F335-$G335)</f>
        <v/>
      </c>
      <c r="K335" s="20" t="str">
        <f aca="false">IF($A335="","",MAX(0,$B335-$J335))</f>
        <v/>
      </c>
      <c r="L335" s="20" t="str">
        <f aca="false">IF($A335="","",IF($B335=0,0,$K335/$B335))</f>
        <v/>
      </c>
      <c r="M335" s="20" t="str">
        <f aca="false">IF($A335="","",IF($J335&lt;0,"BORCA BATIK",IF($I335&lt;$H335,"BORCA BATIK",IF($L335&gt;=TtkUcteIkiEsik,"2/3 KAYIP (KRİTİK)",IF($L335&gt;=TtkUcteBirEsik,"1/3 KAYIP (DİKKAT)","UYGUN")))))</f>
        <v/>
      </c>
      <c r="U335" s="20" t="str">
        <f aca="false">IF($N335="","",$Q335*$R335)</f>
        <v/>
      </c>
    </row>
    <row r="336" customFormat="false" ht="15" hidden="false" customHeight="false" outlineLevel="0" collapsed="false">
      <c r="J336" s="20" t="str">
        <f aca="false">IF($A336="","",$B336+$C336+$D336-$E336+$F336-$G336)</f>
        <v/>
      </c>
      <c r="K336" s="20" t="str">
        <f aca="false">IF($A336="","",MAX(0,$B336-$J336))</f>
        <v/>
      </c>
      <c r="L336" s="20" t="str">
        <f aca="false">IF($A336="","",IF($B336=0,0,$K336/$B336))</f>
        <v/>
      </c>
      <c r="M336" s="20" t="str">
        <f aca="false">IF($A336="","",IF($J336&lt;0,"BORCA BATIK",IF($I336&lt;$H336,"BORCA BATIK",IF($L336&gt;=TtkUcteIkiEsik,"2/3 KAYIP (KRİTİK)",IF($L336&gt;=TtkUcteBirEsik,"1/3 KAYIP (DİKKAT)","UYGUN")))))</f>
        <v/>
      </c>
      <c r="U336" s="20" t="str">
        <f aca="false">IF($N336="","",$Q336*$R336)</f>
        <v/>
      </c>
    </row>
    <row r="337" customFormat="false" ht="15" hidden="false" customHeight="false" outlineLevel="0" collapsed="false">
      <c r="J337" s="20" t="str">
        <f aca="false">IF($A337="","",$B337+$C337+$D337-$E337+$F337-$G337)</f>
        <v/>
      </c>
      <c r="K337" s="20" t="str">
        <f aca="false">IF($A337="","",MAX(0,$B337-$J337))</f>
        <v/>
      </c>
      <c r="L337" s="20" t="str">
        <f aca="false">IF($A337="","",IF($B337=0,0,$K337/$B337))</f>
        <v/>
      </c>
      <c r="M337" s="20" t="str">
        <f aca="false">IF($A337="","",IF($J337&lt;0,"BORCA BATIK",IF($I337&lt;$H337,"BORCA BATIK",IF($L337&gt;=TtkUcteIkiEsik,"2/3 KAYIP (KRİTİK)",IF($L337&gt;=TtkUcteBirEsik,"1/3 KAYIP (DİKKAT)","UYGUN")))))</f>
        <v/>
      </c>
      <c r="U337" s="20" t="str">
        <f aca="false">IF($N337="","",$Q337*$R337)</f>
        <v/>
      </c>
    </row>
    <row r="338" customFormat="false" ht="15" hidden="false" customHeight="false" outlineLevel="0" collapsed="false">
      <c r="J338" s="20" t="str">
        <f aca="false">IF($A338="","",$B338+$C338+$D338-$E338+$F338-$G338)</f>
        <v/>
      </c>
      <c r="K338" s="20" t="str">
        <f aca="false">IF($A338="","",MAX(0,$B338-$J338))</f>
        <v/>
      </c>
      <c r="L338" s="20" t="str">
        <f aca="false">IF($A338="","",IF($B338=0,0,$K338/$B338))</f>
        <v/>
      </c>
      <c r="M338" s="20" t="str">
        <f aca="false">IF($A338="","",IF($J338&lt;0,"BORCA BATIK",IF($I338&lt;$H338,"BORCA BATIK",IF($L338&gt;=TtkUcteIkiEsik,"2/3 KAYIP (KRİTİK)",IF($L338&gt;=TtkUcteBirEsik,"1/3 KAYIP (DİKKAT)","UYGUN")))))</f>
        <v/>
      </c>
      <c r="U338" s="20" t="str">
        <f aca="false">IF($N338="","",$Q338*$R338)</f>
        <v/>
      </c>
    </row>
    <row r="339" customFormat="false" ht="15" hidden="false" customHeight="false" outlineLevel="0" collapsed="false">
      <c r="J339" s="20" t="str">
        <f aca="false">IF($A339="","",$B339+$C339+$D339-$E339+$F339-$G339)</f>
        <v/>
      </c>
      <c r="K339" s="20" t="str">
        <f aca="false">IF($A339="","",MAX(0,$B339-$J339))</f>
        <v/>
      </c>
      <c r="L339" s="20" t="str">
        <f aca="false">IF($A339="","",IF($B339=0,0,$K339/$B339))</f>
        <v/>
      </c>
      <c r="M339" s="20" t="str">
        <f aca="false">IF($A339="","",IF($J339&lt;0,"BORCA BATIK",IF($I339&lt;$H339,"BORCA BATIK",IF($L339&gt;=TtkUcteIkiEsik,"2/3 KAYIP (KRİTİK)",IF($L339&gt;=TtkUcteBirEsik,"1/3 KAYIP (DİKKAT)","UYGUN")))))</f>
        <v/>
      </c>
      <c r="U339" s="20" t="str">
        <f aca="false">IF($N339="","",$Q339*$R339)</f>
        <v/>
      </c>
    </row>
    <row r="340" customFormat="false" ht="15" hidden="false" customHeight="false" outlineLevel="0" collapsed="false">
      <c r="J340" s="20" t="str">
        <f aca="false">IF($A340="","",$B340+$C340+$D340-$E340+$F340-$G340)</f>
        <v/>
      </c>
      <c r="K340" s="20" t="str">
        <f aca="false">IF($A340="","",MAX(0,$B340-$J340))</f>
        <v/>
      </c>
      <c r="L340" s="20" t="str">
        <f aca="false">IF($A340="","",IF($B340=0,0,$K340/$B340))</f>
        <v/>
      </c>
      <c r="M340" s="20" t="str">
        <f aca="false">IF($A340="","",IF($J340&lt;0,"BORCA BATIK",IF($I340&lt;$H340,"BORCA BATIK",IF($L340&gt;=TtkUcteIkiEsik,"2/3 KAYIP (KRİTİK)",IF($L340&gt;=TtkUcteBirEsik,"1/3 KAYIP (DİKKAT)","UYGUN")))))</f>
        <v/>
      </c>
      <c r="U340" s="20" t="str">
        <f aca="false">IF($N340="","",$Q340*$R340)</f>
        <v/>
      </c>
    </row>
    <row r="341" customFormat="false" ht="15" hidden="false" customHeight="false" outlineLevel="0" collapsed="false">
      <c r="J341" s="20" t="str">
        <f aca="false">IF($A341="","",$B341+$C341+$D341-$E341+$F341-$G341)</f>
        <v/>
      </c>
      <c r="K341" s="20" t="str">
        <f aca="false">IF($A341="","",MAX(0,$B341-$J341))</f>
        <v/>
      </c>
      <c r="L341" s="20" t="str">
        <f aca="false">IF($A341="","",IF($B341=0,0,$K341/$B341))</f>
        <v/>
      </c>
      <c r="M341" s="20" t="str">
        <f aca="false">IF($A341="","",IF($J341&lt;0,"BORCA BATIK",IF($I341&lt;$H341,"BORCA BATIK",IF($L341&gt;=TtkUcteIkiEsik,"2/3 KAYIP (KRİTİK)",IF($L341&gt;=TtkUcteBirEsik,"1/3 KAYIP (DİKKAT)","UYGUN")))))</f>
        <v/>
      </c>
      <c r="U341" s="20" t="str">
        <f aca="false">IF($N341="","",$Q341*$R341)</f>
        <v/>
      </c>
    </row>
    <row r="342" customFormat="false" ht="15" hidden="false" customHeight="false" outlineLevel="0" collapsed="false">
      <c r="J342" s="20" t="str">
        <f aca="false">IF($A342="","",$B342+$C342+$D342-$E342+$F342-$G342)</f>
        <v/>
      </c>
      <c r="K342" s="20" t="str">
        <f aca="false">IF($A342="","",MAX(0,$B342-$J342))</f>
        <v/>
      </c>
      <c r="L342" s="20" t="str">
        <f aca="false">IF($A342="","",IF($B342=0,0,$K342/$B342))</f>
        <v/>
      </c>
      <c r="M342" s="20" t="str">
        <f aca="false">IF($A342="","",IF($J342&lt;0,"BORCA BATIK",IF($I342&lt;$H342,"BORCA BATIK",IF($L342&gt;=TtkUcteIkiEsik,"2/3 KAYIP (KRİTİK)",IF($L342&gt;=TtkUcteBirEsik,"1/3 KAYIP (DİKKAT)","UYGUN")))))</f>
        <v/>
      </c>
      <c r="U342" s="20" t="str">
        <f aca="false">IF($N342="","",$Q342*$R342)</f>
        <v/>
      </c>
    </row>
    <row r="343" customFormat="false" ht="15" hidden="false" customHeight="false" outlineLevel="0" collapsed="false">
      <c r="J343" s="20" t="str">
        <f aca="false">IF($A343="","",$B343+$C343+$D343-$E343+$F343-$G343)</f>
        <v/>
      </c>
      <c r="K343" s="20" t="str">
        <f aca="false">IF($A343="","",MAX(0,$B343-$J343))</f>
        <v/>
      </c>
      <c r="L343" s="20" t="str">
        <f aca="false">IF($A343="","",IF($B343=0,0,$K343/$B343))</f>
        <v/>
      </c>
      <c r="M343" s="20" t="str">
        <f aca="false">IF($A343="","",IF($J343&lt;0,"BORCA BATIK",IF($I343&lt;$H343,"BORCA BATIK",IF($L343&gt;=TtkUcteIkiEsik,"2/3 KAYIP (KRİTİK)",IF($L343&gt;=TtkUcteBirEsik,"1/3 KAYIP (DİKKAT)","UYGUN")))))</f>
        <v/>
      </c>
      <c r="U343" s="20" t="str">
        <f aca="false">IF($N343="","",$Q343*$R343)</f>
        <v/>
      </c>
    </row>
    <row r="344" customFormat="false" ht="15" hidden="false" customHeight="false" outlineLevel="0" collapsed="false">
      <c r="J344" s="20" t="str">
        <f aca="false">IF($A344="","",$B344+$C344+$D344-$E344+$F344-$G344)</f>
        <v/>
      </c>
      <c r="K344" s="20" t="str">
        <f aca="false">IF($A344="","",MAX(0,$B344-$J344))</f>
        <v/>
      </c>
      <c r="L344" s="20" t="str">
        <f aca="false">IF($A344="","",IF($B344=0,0,$K344/$B344))</f>
        <v/>
      </c>
      <c r="M344" s="20" t="str">
        <f aca="false">IF($A344="","",IF($J344&lt;0,"BORCA BATIK",IF($I344&lt;$H344,"BORCA BATIK",IF($L344&gt;=TtkUcteIkiEsik,"2/3 KAYIP (KRİTİK)",IF($L344&gt;=TtkUcteBirEsik,"1/3 KAYIP (DİKKAT)","UYGUN")))))</f>
        <v/>
      </c>
      <c r="U344" s="20" t="str">
        <f aca="false">IF($N344="","",$Q344*$R344)</f>
        <v/>
      </c>
    </row>
    <row r="345" customFormat="false" ht="15" hidden="false" customHeight="false" outlineLevel="0" collapsed="false">
      <c r="J345" s="20" t="str">
        <f aca="false">IF($A345="","",$B345+$C345+$D345-$E345+$F345-$G345)</f>
        <v/>
      </c>
      <c r="K345" s="20" t="str">
        <f aca="false">IF($A345="","",MAX(0,$B345-$J345))</f>
        <v/>
      </c>
      <c r="L345" s="20" t="str">
        <f aca="false">IF($A345="","",IF($B345=0,0,$K345/$B345))</f>
        <v/>
      </c>
      <c r="M345" s="20" t="str">
        <f aca="false">IF($A345="","",IF($J345&lt;0,"BORCA BATIK",IF($I345&lt;$H345,"BORCA BATIK",IF($L345&gt;=TtkUcteIkiEsik,"2/3 KAYIP (KRİTİK)",IF($L345&gt;=TtkUcteBirEsik,"1/3 KAYIP (DİKKAT)","UYGUN")))))</f>
        <v/>
      </c>
      <c r="U345" s="20" t="str">
        <f aca="false">IF($N345="","",$Q345*$R345)</f>
        <v/>
      </c>
    </row>
    <row r="346" customFormat="false" ht="15" hidden="false" customHeight="false" outlineLevel="0" collapsed="false">
      <c r="J346" s="20" t="str">
        <f aca="false">IF($A346="","",$B346+$C346+$D346-$E346+$F346-$G346)</f>
        <v/>
      </c>
      <c r="K346" s="20" t="str">
        <f aca="false">IF($A346="","",MAX(0,$B346-$J346))</f>
        <v/>
      </c>
      <c r="L346" s="20" t="str">
        <f aca="false">IF($A346="","",IF($B346=0,0,$K346/$B346))</f>
        <v/>
      </c>
      <c r="M346" s="20" t="str">
        <f aca="false">IF($A346="","",IF($J346&lt;0,"BORCA BATIK",IF($I346&lt;$H346,"BORCA BATIK",IF($L346&gt;=TtkUcteIkiEsik,"2/3 KAYIP (KRİTİK)",IF($L346&gt;=TtkUcteBirEsik,"1/3 KAYIP (DİKKAT)","UYGUN")))))</f>
        <v/>
      </c>
      <c r="U346" s="20" t="str">
        <f aca="false">IF($N346="","",$Q346*$R346)</f>
        <v/>
      </c>
    </row>
    <row r="347" customFormat="false" ht="15" hidden="false" customHeight="false" outlineLevel="0" collapsed="false">
      <c r="J347" s="20" t="str">
        <f aca="false">IF($A347="","",$B347+$C347+$D347-$E347+$F347-$G347)</f>
        <v/>
      </c>
      <c r="K347" s="20" t="str">
        <f aca="false">IF($A347="","",MAX(0,$B347-$J347))</f>
        <v/>
      </c>
      <c r="L347" s="20" t="str">
        <f aca="false">IF($A347="","",IF($B347=0,0,$K347/$B347))</f>
        <v/>
      </c>
      <c r="M347" s="20" t="str">
        <f aca="false">IF($A347="","",IF($J347&lt;0,"BORCA BATIK",IF($I347&lt;$H347,"BORCA BATIK",IF($L347&gt;=TtkUcteIkiEsik,"2/3 KAYIP (KRİTİK)",IF($L347&gt;=TtkUcteBirEsik,"1/3 KAYIP (DİKKAT)","UYGUN")))))</f>
        <v/>
      </c>
      <c r="U347" s="20" t="str">
        <f aca="false">IF($N347="","",$Q347*$R347)</f>
        <v/>
      </c>
    </row>
    <row r="348" customFormat="false" ht="15" hidden="false" customHeight="false" outlineLevel="0" collapsed="false">
      <c r="J348" s="20" t="str">
        <f aca="false">IF($A348="","",$B348+$C348+$D348-$E348+$F348-$G348)</f>
        <v/>
      </c>
      <c r="K348" s="20" t="str">
        <f aca="false">IF($A348="","",MAX(0,$B348-$J348))</f>
        <v/>
      </c>
      <c r="L348" s="20" t="str">
        <f aca="false">IF($A348="","",IF($B348=0,0,$K348/$B348))</f>
        <v/>
      </c>
      <c r="M348" s="20" t="str">
        <f aca="false">IF($A348="","",IF($J348&lt;0,"BORCA BATIK",IF($I348&lt;$H348,"BORCA BATIK",IF($L348&gt;=TtkUcteIkiEsik,"2/3 KAYIP (KRİTİK)",IF($L348&gt;=TtkUcteBirEsik,"1/3 KAYIP (DİKKAT)","UYGUN")))))</f>
        <v/>
      </c>
      <c r="U348" s="20" t="str">
        <f aca="false">IF($N348="","",$Q348*$R348)</f>
        <v/>
      </c>
    </row>
    <row r="349" customFormat="false" ht="15" hidden="false" customHeight="false" outlineLevel="0" collapsed="false">
      <c r="J349" s="20" t="str">
        <f aca="false">IF($A349="","",$B349+$C349+$D349-$E349+$F349-$G349)</f>
        <v/>
      </c>
      <c r="K349" s="20" t="str">
        <f aca="false">IF($A349="","",MAX(0,$B349-$J349))</f>
        <v/>
      </c>
      <c r="L349" s="20" t="str">
        <f aca="false">IF($A349="","",IF($B349=0,0,$K349/$B349))</f>
        <v/>
      </c>
      <c r="M349" s="20" t="str">
        <f aca="false">IF($A349="","",IF($J349&lt;0,"BORCA BATIK",IF($I349&lt;$H349,"BORCA BATIK",IF($L349&gt;=TtkUcteIkiEsik,"2/3 KAYIP (KRİTİK)",IF($L349&gt;=TtkUcteBirEsik,"1/3 KAYIP (DİKKAT)","UYGUN")))))</f>
        <v/>
      </c>
      <c r="U349" s="20" t="str">
        <f aca="false">IF($N349="","",$Q349*$R349)</f>
        <v/>
      </c>
    </row>
    <row r="350" customFormat="false" ht="15" hidden="false" customHeight="false" outlineLevel="0" collapsed="false">
      <c r="J350" s="20" t="str">
        <f aca="false">IF($A350="","",$B350+$C350+$D350-$E350+$F350-$G350)</f>
        <v/>
      </c>
      <c r="K350" s="20" t="str">
        <f aca="false">IF($A350="","",MAX(0,$B350-$J350))</f>
        <v/>
      </c>
      <c r="L350" s="20" t="str">
        <f aca="false">IF($A350="","",IF($B350=0,0,$K350/$B350))</f>
        <v/>
      </c>
      <c r="M350" s="20" t="str">
        <f aca="false">IF($A350="","",IF($J350&lt;0,"BORCA BATIK",IF($I350&lt;$H350,"BORCA BATIK",IF($L350&gt;=TtkUcteIkiEsik,"2/3 KAYIP (KRİTİK)",IF($L350&gt;=TtkUcteBirEsik,"1/3 KAYIP (DİKKAT)","UYGUN")))))</f>
        <v/>
      </c>
      <c r="U350" s="20" t="str">
        <f aca="false">IF($N350="","",$Q350*$R350)</f>
        <v/>
      </c>
    </row>
    <row r="351" customFormat="false" ht="15" hidden="false" customHeight="false" outlineLevel="0" collapsed="false">
      <c r="J351" s="20" t="str">
        <f aca="false">IF($A351="","",$B351+$C351+$D351-$E351+$F351-$G351)</f>
        <v/>
      </c>
      <c r="K351" s="20" t="str">
        <f aca="false">IF($A351="","",MAX(0,$B351-$J351))</f>
        <v/>
      </c>
      <c r="L351" s="20" t="str">
        <f aca="false">IF($A351="","",IF($B351=0,0,$K351/$B351))</f>
        <v/>
      </c>
      <c r="M351" s="20" t="str">
        <f aca="false">IF($A351="","",IF($J351&lt;0,"BORCA BATIK",IF($I351&lt;$H351,"BORCA BATIK",IF($L351&gt;=TtkUcteIkiEsik,"2/3 KAYIP (KRİTİK)",IF($L351&gt;=TtkUcteBirEsik,"1/3 KAYIP (DİKKAT)","UYGUN")))))</f>
        <v/>
      </c>
      <c r="U351" s="20" t="str">
        <f aca="false">IF($N351="","",$Q351*$R351)</f>
        <v/>
      </c>
    </row>
    <row r="352" customFormat="false" ht="15" hidden="false" customHeight="false" outlineLevel="0" collapsed="false">
      <c r="J352" s="20" t="str">
        <f aca="false">IF($A352="","",$B352+$C352+$D352-$E352+$F352-$G352)</f>
        <v/>
      </c>
      <c r="K352" s="20" t="str">
        <f aca="false">IF($A352="","",MAX(0,$B352-$J352))</f>
        <v/>
      </c>
      <c r="L352" s="20" t="str">
        <f aca="false">IF($A352="","",IF($B352=0,0,$K352/$B352))</f>
        <v/>
      </c>
      <c r="M352" s="20" t="str">
        <f aca="false">IF($A352="","",IF($J352&lt;0,"BORCA BATIK",IF($I352&lt;$H352,"BORCA BATIK",IF($L352&gt;=TtkUcteIkiEsik,"2/3 KAYIP (KRİTİK)",IF($L352&gt;=TtkUcteBirEsik,"1/3 KAYIP (DİKKAT)","UYGUN")))))</f>
        <v/>
      </c>
      <c r="U352" s="20" t="str">
        <f aca="false">IF($N352="","",$Q352*$R352)</f>
        <v/>
      </c>
    </row>
    <row r="353" customFormat="false" ht="15" hidden="false" customHeight="false" outlineLevel="0" collapsed="false">
      <c r="J353" s="20" t="str">
        <f aca="false">IF($A353="","",$B353+$C353+$D353-$E353+$F353-$G353)</f>
        <v/>
      </c>
      <c r="K353" s="20" t="str">
        <f aca="false">IF($A353="","",MAX(0,$B353-$J353))</f>
        <v/>
      </c>
      <c r="L353" s="20" t="str">
        <f aca="false">IF($A353="","",IF($B353=0,0,$K353/$B353))</f>
        <v/>
      </c>
      <c r="M353" s="20" t="str">
        <f aca="false">IF($A353="","",IF($J353&lt;0,"BORCA BATIK",IF($I353&lt;$H353,"BORCA BATIK",IF($L353&gt;=TtkUcteIkiEsik,"2/3 KAYIP (KRİTİK)",IF($L353&gt;=TtkUcteBirEsik,"1/3 KAYIP (DİKKAT)","UYGUN")))))</f>
        <v/>
      </c>
      <c r="U353" s="20" t="str">
        <f aca="false">IF($N353="","",$Q353*$R353)</f>
        <v/>
      </c>
    </row>
    <row r="354" customFormat="false" ht="15" hidden="false" customHeight="false" outlineLevel="0" collapsed="false">
      <c r="J354" s="20" t="str">
        <f aca="false">IF($A354="","",$B354+$C354+$D354-$E354+$F354-$G354)</f>
        <v/>
      </c>
      <c r="K354" s="20" t="str">
        <f aca="false">IF($A354="","",MAX(0,$B354-$J354))</f>
        <v/>
      </c>
      <c r="L354" s="20" t="str">
        <f aca="false">IF($A354="","",IF($B354=0,0,$K354/$B354))</f>
        <v/>
      </c>
      <c r="M354" s="20" t="str">
        <f aca="false">IF($A354="","",IF($J354&lt;0,"BORCA BATIK",IF($I354&lt;$H354,"BORCA BATIK",IF($L354&gt;=TtkUcteIkiEsik,"2/3 KAYIP (KRİTİK)",IF($L354&gt;=TtkUcteBirEsik,"1/3 KAYIP (DİKKAT)","UYGUN")))))</f>
        <v/>
      </c>
      <c r="U354" s="20" t="str">
        <f aca="false">IF($N354="","",$Q354*$R354)</f>
        <v/>
      </c>
    </row>
    <row r="355" customFormat="false" ht="15" hidden="false" customHeight="false" outlineLevel="0" collapsed="false">
      <c r="J355" s="20" t="str">
        <f aca="false">IF($A355="","",$B355+$C355+$D355-$E355+$F355-$G355)</f>
        <v/>
      </c>
      <c r="K355" s="20" t="str">
        <f aca="false">IF($A355="","",MAX(0,$B355-$J355))</f>
        <v/>
      </c>
      <c r="L355" s="20" t="str">
        <f aca="false">IF($A355="","",IF($B355=0,0,$K355/$B355))</f>
        <v/>
      </c>
      <c r="M355" s="20" t="str">
        <f aca="false">IF($A355="","",IF($J355&lt;0,"BORCA BATIK",IF($I355&lt;$H355,"BORCA BATIK",IF($L355&gt;=TtkUcteIkiEsik,"2/3 KAYIP (KRİTİK)",IF($L355&gt;=TtkUcteBirEsik,"1/3 KAYIP (DİKKAT)","UYGUN")))))</f>
        <v/>
      </c>
      <c r="U355" s="20" t="str">
        <f aca="false">IF($N355="","",$Q355*$R355)</f>
        <v/>
      </c>
    </row>
    <row r="356" customFormat="false" ht="15" hidden="false" customHeight="false" outlineLevel="0" collapsed="false">
      <c r="J356" s="20" t="str">
        <f aca="false">IF($A356="","",$B356+$C356+$D356-$E356+$F356-$G356)</f>
        <v/>
      </c>
      <c r="K356" s="20" t="str">
        <f aca="false">IF($A356="","",MAX(0,$B356-$J356))</f>
        <v/>
      </c>
      <c r="L356" s="20" t="str">
        <f aca="false">IF($A356="","",IF($B356=0,0,$K356/$B356))</f>
        <v/>
      </c>
      <c r="M356" s="20" t="str">
        <f aca="false">IF($A356="","",IF($J356&lt;0,"BORCA BATIK",IF($I356&lt;$H356,"BORCA BATIK",IF($L356&gt;=TtkUcteIkiEsik,"2/3 KAYIP (KRİTİK)",IF($L356&gt;=TtkUcteBirEsik,"1/3 KAYIP (DİKKAT)","UYGUN")))))</f>
        <v/>
      </c>
      <c r="U356" s="20" t="str">
        <f aca="false">IF($N356="","",$Q356*$R356)</f>
        <v/>
      </c>
    </row>
    <row r="357" customFormat="false" ht="15" hidden="false" customHeight="false" outlineLevel="0" collapsed="false">
      <c r="J357" s="20" t="str">
        <f aca="false">IF($A357="","",$B357+$C357+$D357-$E357+$F357-$G357)</f>
        <v/>
      </c>
      <c r="K357" s="20" t="str">
        <f aca="false">IF($A357="","",MAX(0,$B357-$J357))</f>
        <v/>
      </c>
      <c r="L357" s="20" t="str">
        <f aca="false">IF($A357="","",IF($B357=0,0,$K357/$B357))</f>
        <v/>
      </c>
      <c r="M357" s="20" t="str">
        <f aca="false">IF($A357="","",IF($J357&lt;0,"BORCA BATIK",IF($I357&lt;$H357,"BORCA BATIK",IF($L357&gt;=TtkUcteIkiEsik,"2/3 KAYIP (KRİTİK)",IF($L357&gt;=TtkUcteBirEsik,"1/3 KAYIP (DİKKAT)","UYGUN")))))</f>
        <v/>
      </c>
      <c r="U357" s="20" t="str">
        <f aca="false">IF($N357="","",$Q357*$R357)</f>
        <v/>
      </c>
    </row>
    <row r="358" customFormat="false" ht="15" hidden="false" customHeight="false" outlineLevel="0" collapsed="false">
      <c r="J358" s="20" t="str">
        <f aca="false">IF($A358="","",$B358+$C358+$D358-$E358+$F358-$G358)</f>
        <v/>
      </c>
      <c r="K358" s="20" t="str">
        <f aca="false">IF($A358="","",MAX(0,$B358-$J358))</f>
        <v/>
      </c>
      <c r="L358" s="20" t="str">
        <f aca="false">IF($A358="","",IF($B358=0,0,$K358/$B358))</f>
        <v/>
      </c>
      <c r="M358" s="20" t="str">
        <f aca="false">IF($A358="","",IF($J358&lt;0,"BORCA BATIK",IF($I358&lt;$H358,"BORCA BATIK",IF($L358&gt;=TtkUcteIkiEsik,"2/3 KAYIP (KRİTİK)",IF($L358&gt;=TtkUcteBirEsik,"1/3 KAYIP (DİKKAT)","UYGUN")))))</f>
        <v/>
      </c>
      <c r="U358" s="20" t="str">
        <f aca="false">IF($N358="","",$Q358*$R358)</f>
        <v/>
      </c>
    </row>
    <row r="359" customFormat="false" ht="15" hidden="false" customHeight="false" outlineLevel="0" collapsed="false">
      <c r="J359" s="20" t="str">
        <f aca="false">IF($A359="","",$B359+$C359+$D359-$E359+$F359-$G359)</f>
        <v/>
      </c>
      <c r="K359" s="20" t="str">
        <f aca="false">IF($A359="","",MAX(0,$B359-$J359))</f>
        <v/>
      </c>
      <c r="L359" s="20" t="str">
        <f aca="false">IF($A359="","",IF($B359=0,0,$K359/$B359))</f>
        <v/>
      </c>
      <c r="M359" s="20" t="str">
        <f aca="false">IF($A359="","",IF($J359&lt;0,"BORCA BATIK",IF($I359&lt;$H359,"BORCA BATIK",IF($L359&gt;=TtkUcteIkiEsik,"2/3 KAYIP (KRİTİK)",IF($L359&gt;=TtkUcteBirEsik,"1/3 KAYIP (DİKKAT)","UYGUN")))))</f>
        <v/>
      </c>
      <c r="U359" s="20" t="str">
        <f aca="false">IF($N359="","",$Q359*$R359)</f>
        <v/>
      </c>
    </row>
    <row r="360" customFormat="false" ht="15" hidden="false" customHeight="false" outlineLevel="0" collapsed="false">
      <c r="J360" s="20" t="str">
        <f aca="false">IF($A360="","",$B360+$C360+$D360-$E360+$F360-$G360)</f>
        <v/>
      </c>
      <c r="K360" s="20" t="str">
        <f aca="false">IF($A360="","",MAX(0,$B360-$J360))</f>
        <v/>
      </c>
      <c r="L360" s="20" t="str">
        <f aca="false">IF($A360="","",IF($B360=0,0,$K360/$B360))</f>
        <v/>
      </c>
      <c r="M360" s="20" t="str">
        <f aca="false">IF($A360="","",IF($J360&lt;0,"BORCA BATIK",IF($I360&lt;$H360,"BORCA BATIK",IF($L360&gt;=TtkUcteIkiEsik,"2/3 KAYIP (KRİTİK)",IF($L360&gt;=TtkUcteBirEsik,"1/3 KAYIP (DİKKAT)","UYGUN")))))</f>
        <v/>
      </c>
      <c r="U360" s="20" t="str">
        <f aca="false">IF($N360="","",$Q360*$R360)</f>
        <v/>
      </c>
    </row>
    <row r="361" customFormat="false" ht="15" hidden="false" customHeight="false" outlineLevel="0" collapsed="false">
      <c r="J361" s="20" t="str">
        <f aca="false">IF($A361="","",$B361+$C361+$D361-$E361+$F361-$G361)</f>
        <v/>
      </c>
      <c r="K361" s="20" t="str">
        <f aca="false">IF($A361="","",MAX(0,$B361-$J361))</f>
        <v/>
      </c>
      <c r="L361" s="20" t="str">
        <f aca="false">IF($A361="","",IF($B361=0,0,$K361/$B361))</f>
        <v/>
      </c>
      <c r="M361" s="20" t="str">
        <f aca="false">IF($A361="","",IF($J361&lt;0,"BORCA BATIK",IF($I361&lt;$H361,"BORCA BATIK",IF($L361&gt;=TtkUcteIkiEsik,"2/3 KAYIP (KRİTİK)",IF($L361&gt;=TtkUcteBirEsik,"1/3 KAYIP (DİKKAT)","UYGUN")))))</f>
        <v/>
      </c>
      <c r="U361" s="20" t="str">
        <f aca="false">IF($N361="","",$Q361*$R361)</f>
        <v/>
      </c>
    </row>
    <row r="362" customFormat="false" ht="15" hidden="false" customHeight="false" outlineLevel="0" collapsed="false">
      <c r="J362" s="20" t="str">
        <f aca="false">IF($A362="","",$B362+$C362+$D362-$E362+$F362-$G362)</f>
        <v/>
      </c>
      <c r="K362" s="20" t="str">
        <f aca="false">IF($A362="","",MAX(0,$B362-$J362))</f>
        <v/>
      </c>
      <c r="L362" s="20" t="str">
        <f aca="false">IF($A362="","",IF($B362=0,0,$K362/$B362))</f>
        <v/>
      </c>
      <c r="M362" s="20" t="str">
        <f aca="false">IF($A362="","",IF($J362&lt;0,"BORCA BATIK",IF($I362&lt;$H362,"BORCA BATIK",IF($L362&gt;=TtkUcteIkiEsik,"2/3 KAYIP (KRİTİK)",IF($L362&gt;=TtkUcteBirEsik,"1/3 KAYIP (DİKKAT)","UYGUN")))))</f>
        <v/>
      </c>
      <c r="U362" s="20" t="str">
        <f aca="false">IF($N362="","",$Q362*$R362)</f>
        <v/>
      </c>
    </row>
    <row r="363" customFormat="false" ht="15" hidden="false" customHeight="false" outlineLevel="0" collapsed="false">
      <c r="J363" s="20" t="str">
        <f aca="false">IF($A363="","",$B363+$C363+$D363-$E363+$F363-$G363)</f>
        <v/>
      </c>
      <c r="K363" s="20" t="str">
        <f aca="false">IF($A363="","",MAX(0,$B363-$J363))</f>
        <v/>
      </c>
      <c r="L363" s="20" t="str">
        <f aca="false">IF($A363="","",IF($B363=0,0,$K363/$B363))</f>
        <v/>
      </c>
      <c r="M363" s="20" t="str">
        <f aca="false">IF($A363="","",IF($J363&lt;0,"BORCA BATIK",IF($I363&lt;$H363,"BORCA BATIK",IF($L363&gt;=TtkUcteIkiEsik,"2/3 KAYIP (KRİTİK)",IF($L363&gt;=TtkUcteBirEsik,"1/3 KAYIP (DİKKAT)","UYGUN")))))</f>
        <v/>
      </c>
      <c r="U363" s="20" t="str">
        <f aca="false">IF($N363="","",$Q363*$R363)</f>
        <v/>
      </c>
    </row>
    <row r="364" customFormat="false" ht="15" hidden="false" customHeight="false" outlineLevel="0" collapsed="false">
      <c r="J364" s="20" t="str">
        <f aca="false">IF($A364="","",$B364+$C364+$D364-$E364+$F364-$G364)</f>
        <v/>
      </c>
      <c r="K364" s="20" t="str">
        <f aca="false">IF($A364="","",MAX(0,$B364-$J364))</f>
        <v/>
      </c>
      <c r="L364" s="20" t="str">
        <f aca="false">IF($A364="","",IF($B364=0,0,$K364/$B364))</f>
        <v/>
      </c>
      <c r="M364" s="20" t="str">
        <f aca="false">IF($A364="","",IF($J364&lt;0,"BORCA BATIK",IF($I364&lt;$H364,"BORCA BATIK",IF($L364&gt;=TtkUcteIkiEsik,"2/3 KAYIP (KRİTİK)",IF($L364&gt;=TtkUcteBirEsik,"1/3 KAYIP (DİKKAT)","UYGUN")))))</f>
        <v/>
      </c>
      <c r="U364" s="20" t="str">
        <f aca="false">IF($N364="","",$Q364*$R364)</f>
        <v/>
      </c>
    </row>
    <row r="365" customFormat="false" ht="15" hidden="false" customHeight="false" outlineLevel="0" collapsed="false">
      <c r="J365" s="20" t="str">
        <f aca="false">IF($A365="","",$B365+$C365+$D365-$E365+$F365-$G365)</f>
        <v/>
      </c>
      <c r="K365" s="20" t="str">
        <f aca="false">IF($A365="","",MAX(0,$B365-$J365))</f>
        <v/>
      </c>
      <c r="L365" s="20" t="str">
        <f aca="false">IF($A365="","",IF($B365=0,0,$K365/$B365))</f>
        <v/>
      </c>
      <c r="M365" s="20" t="str">
        <f aca="false">IF($A365="","",IF($J365&lt;0,"BORCA BATIK",IF($I365&lt;$H365,"BORCA BATIK",IF($L365&gt;=TtkUcteIkiEsik,"2/3 KAYIP (KRİTİK)",IF($L365&gt;=TtkUcteBirEsik,"1/3 KAYIP (DİKKAT)","UYGUN")))))</f>
        <v/>
      </c>
      <c r="U365" s="20" t="str">
        <f aca="false">IF($N365="","",$Q365*$R365)</f>
        <v/>
      </c>
    </row>
    <row r="366" customFormat="false" ht="15" hidden="false" customHeight="false" outlineLevel="0" collapsed="false">
      <c r="J366" s="20" t="str">
        <f aca="false">IF($A366="","",$B366+$C366+$D366-$E366+$F366-$G366)</f>
        <v/>
      </c>
      <c r="K366" s="20" t="str">
        <f aca="false">IF($A366="","",MAX(0,$B366-$J366))</f>
        <v/>
      </c>
      <c r="L366" s="20" t="str">
        <f aca="false">IF($A366="","",IF($B366=0,0,$K366/$B366))</f>
        <v/>
      </c>
      <c r="M366" s="20" t="str">
        <f aca="false">IF($A366="","",IF($J366&lt;0,"BORCA BATIK",IF($I366&lt;$H366,"BORCA BATIK",IF($L366&gt;=TtkUcteIkiEsik,"2/3 KAYIP (KRİTİK)",IF($L366&gt;=TtkUcteBirEsik,"1/3 KAYIP (DİKKAT)","UYGUN")))))</f>
        <v/>
      </c>
      <c r="U366" s="20" t="str">
        <f aca="false">IF($N366="","",$Q366*$R366)</f>
        <v/>
      </c>
    </row>
    <row r="367" customFormat="false" ht="15" hidden="false" customHeight="false" outlineLevel="0" collapsed="false">
      <c r="J367" s="20" t="str">
        <f aca="false">IF($A367="","",$B367+$C367+$D367-$E367+$F367-$G367)</f>
        <v/>
      </c>
      <c r="K367" s="20" t="str">
        <f aca="false">IF($A367="","",MAX(0,$B367-$J367))</f>
        <v/>
      </c>
      <c r="L367" s="20" t="str">
        <f aca="false">IF($A367="","",IF($B367=0,0,$K367/$B367))</f>
        <v/>
      </c>
      <c r="M367" s="20" t="str">
        <f aca="false">IF($A367="","",IF($J367&lt;0,"BORCA BATIK",IF($I367&lt;$H367,"BORCA BATIK",IF($L367&gt;=TtkUcteIkiEsik,"2/3 KAYIP (KRİTİK)",IF($L367&gt;=TtkUcteBirEsik,"1/3 KAYIP (DİKKAT)","UYGUN")))))</f>
        <v/>
      </c>
      <c r="U367" s="20" t="str">
        <f aca="false">IF($N367="","",$Q367*$R367)</f>
        <v/>
      </c>
    </row>
    <row r="368" customFormat="false" ht="15" hidden="false" customHeight="false" outlineLevel="0" collapsed="false">
      <c r="J368" s="20" t="str">
        <f aca="false">IF($A368="","",$B368+$C368+$D368-$E368+$F368-$G368)</f>
        <v/>
      </c>
      <c r="K368" s="20" t="str">
        <f aca="false">IF($A368="","",MAX(0,$B368-$J368))</f>
        <v/>
      </c>
      <c r="L368" s="20" t="str">
        <f aca="false">IF($A368="","",IF($B368=0,0,$K368/$B368))</f>
        <v/>
      </c>
      <c r="M368" s="20" t="str">
        <f aca="false">IF($A368="","",IF($J368&lt;0,"BORCA BATIK",IF($I368&lt;$H368,"BORCA BATIK",IF($L368&gt;=TtkUcteIkiEsik,"2/3 KAYIP (KRİTİK)",IF($L368&gt;=TtkUcteBirEsik,"1/3 KAYIP (DİKKAT)","UYGUN")))))</f>
        <v/>
      </c>
      <c r="U368" s="20" t="str">
        <f aca="false">IF($N368="","",$Q368*$R368)</f>
        <v/>
      </c>
    </row>
    <row r="369" customFormat="false" ht="15" hidden="false" customHeight="false" outlineLevel="0" collapsed="false">
      <c r="J369" s="20" t="str">
        <f aca="false">IF($A369="","",$B369+$C369+$D369-$E369+$F369-$G369)</f>
        <v/>
      </c>
      <c r="K369" s="20" t="str">
        <f aca="false">IF($A369="","",MAX(0,$B369-$J369))</f>
        <v/>
      </c>
      <c r="L369" s="20" t="str">
        <f aca="false">IF($A369="","",IF($B369=0,0,$K369/$B369))</f>
        <v/>
      </c>
      <c r="M369" s="20" t="str">
        <f aca="false">IF($A369="","",IF($J369&lt;0,"BORCA BATIK",IF($I369&lt;$H369,"BORCA BATIK",IF($L369&gt;=TtkUcteIkiEsik,"2/3 KAYIP (KRİTİK)",IF($L369&gt;=TtkUcteBirEsik,"1/3 KAYIP (DİKKAT)","UYGUN")))))</f>
        <v/>
      </c>
      <c r="U369" s="20" t="str">
        <f aca="false">IF($N369="","",$Q369*$R369)</f>
        <v/>
      </c>
    </row>
    <row r="370" customFormat="false" ht="15" hidden="false" customHeight="false" outlineLevel="0" collapsed="false">
      <c r="J370" s="20" t="str">
        <f aca="false">IF($A370="","",$B370+$C370+$D370-$E370+$F370-$G370)</f>
        <v/>
      </c>
      <c r="K370" s="20" t="str">
        <f aca="false">IF($A370="","",MAX(0,$B370-$J370))</f>
        <v/>
      </c>
      <c r="L370" s="20" t="str">
        <f aca="false">IF($A370="","",IF($B370=0,0,$K370/$B370))</f>
        <v/>
      </c>
      <c r="M370" s="20" t="str">
        <f aca="false">IF($A370="","",IF($J370&lt;0,"BORCA BATIK",IF($I370&lt;$H370,"BORCA BATIK",IF($L370&gt;=TtkUcteIkiEsik,"2/3 KAYIP (KRİTİK)",IF($L370&gt;=TtkUcteBirEsik,"1/3 KAYIP (DİKKAT)","UYGUN")))))</f>
        <v/>
      </c>
      <c r="U370" s="20" t="str">
        <f aca="false">IF($N370="","",$Q370*$R370)</f>
        <v/>
      </c>
    </row>
    <row r="371" customFormat="false" ht="15" hidden="false" customHeight="false" outlineLevel="0" collapsed="false">
      <c r="J371" s="20" t="str">
        <f aca="false">IF($A371="","",$B371+$C371+$D371-$E371+$F371-$G371)</f>
        <v/>
      </c>
      <c r="K371" s="20" t="str">
        <f aca="false">IF($A371="","",MAX(0,$B371-$J371))</f>
        <v/>
      </c>
      <c r="L371" s="20" t="str">
        <f aca="false">IF($A371="","",IF($B371=0,0,$K371/$B371))</f>
        <v/>
      </c>
      <c r="M371" s="20" t="str">
        <f aca="false">IF($A371="","",IF($J371&lt;0,"BORCA BATIK",IF($I371&lt;$H371,"BORCA BATIK",IF($L371&gt;=TtkUcteIkiEsik,"2/3 KAYIP (KRİTİK)",IF($L371&gt;=TtkUcteBirEsik,"1/3 KAYIP (DİKKAT)","UYGUN")))))</f>
        <v/>
      </c>
      <c r="U371" s="20" t="str">
        <f aca="false">IF($N371="","",$Q371*$R371)</f>
        <v/>
      </c>
    </row>
    <row r="372" customFormat="false" ht="15" hidden="false" customHeight="false" outlineLevel="0" collapsed="false">
      <c r="J372" s="20" t="str">
        <f aca="false">IF($A372="","",$B372+$C372+$D372-$E372+$F372-$G372)</f>
        <v/>
      </c>
      <c r="K372" s="20" t="str">
        <f aca="false">IF($A372="","",MAX(0,$B372-$J372))</f>
        <v/>
      </c>
      <c r="L372" s="20" t="str">
        <f aca="false">IF($A372="","",IF($B372=0,0,$K372/$B372))</f>
        <v/>
      </c>
      <c r="M372" s="20" t="str">
        <f aca="false">IF($A372="","",IF($J372&lt;0,"BORCA BATIK",IF($I372&lt;$H372,"BORCA BATIK",IF($L372&gt;=TtkUcteIkiEsik,"2/3 KAYIP (KRİTİK)",IF($L372&gt;=TtkUcteBirEsik,"1/3 KAYIP (DİKKAT)","UYGUN")))))</f>
        <v/>
      </c>
      <c r="U372" s="20" t="str">
        <f aca="false">IF($N372="","",$Q372*$R372)</f>
        <v/>
      </c>
    </row>
    <row r="373" customFormat="false" ht="15" hidden="false" customHeight="false" outlineLevel="0" collapsed="false">
      <c r="J373" s="20" t="str">
        <f aca="false">IF($A373="","",$B373+$C373+$D373-$E373+$F373-$G373)</f>
        <v/>
      </c>
      <c r="K373" s="20" t="str">
        <f aca="false">IF($A373="","",MAX(0,$B373-$J373))</f>
        <v/>
      </c>
      <c r="L373" s="20" t="str">
        <f aca="false">IF($A373="","",IF($B373=0,0,$K373/$B373))</f>
        <v/>
      </c>
      <c r="M373" s="20" t="str">
        <f aca="false">IF($A373="","",IF($J373&lt;0,"BORCA BATIK",IF($I373&lt;$H373,"BORCA BATIK",IF($L373&gt;=TtkUcteIkiEsik,"2/3 KAYIP (KRİTİK)",IF($L373&gt;=TtkUcteBirEsik,"1/3 KAYIP (DİKKAT)","UYGUN")))))</f>
        <v/>
      </c>
      <c r="U373" s="20" t="str">
        <f aca="false">IF($N373="","",$Q373*$R373)</f>
        <v/>
      </c>
    </row>
    <row r="374" customFormat="false" ht="15" hidden="false" customHeight="false" outlineLevel="0" collapsed="false">
      <c r="J374" s="20" t="str">
        <f aca="false">IF($A374="","",$B374+$C374+$D374-$E374+$F374-$G374)</f>
        <v/>
      </c>
      <c r="K374" s="20" t="str">
        <f aca="false">IF($A374="","",MAX(0,$B374-$J374))</f>
        <v/>
      </c>
      <c r="L374" s="20" t="str">
        <f aca="false">IF($A374="","",IF($B374=0,0,$K374/$B374))</f>
        <v/>
      </c>
      <c r="M374" s="20" t="str">
        <f aca="false">IF($A374="","",IF($J374&lt;0,"BORCA BATIK",IF($I374&lt;$H374,"BORCA BATIK",IF($L374&gt;=TtkUcteIkiEsik,"2/3 KAYIP (KRİTİK)",IF($L374&gt;=TtkUcteBirEsik,"1/3 KAYIP (DİKKAT)","UYGUN")))))</f>
        <v/>
      </c>
      <c r="U374" s="20" t="str">
        <f aca="false">IF($N374="","",$Q374*$R374)</f>
        <v/>
      </c>
    </row>
    <row r="375" customFormat="false" ht="15" hidden="false" customHeight="false" outlineLevel="0" collapsed="false">
      <c r="J375" s="20" t="str">
        <f aca="false">IF($A375="","",$B375+$C375+$D375-$E375+$F375-$G375)</f>
        <v/>
      </c>
      <c r="K375" s="20" t="str">
        <f aca="false">IF($A375="","",MAX(0,$B375-$J375))</f>
        <v/>
      </c>
      <c r="L375" s="20" t="str">
        <f aca="false">IF($A375="","",IF($B375=0,0,$K375/$B375))</f>
        <v/>
      </c>
      <c r="M375" s="20" t="str">
        <f aca="false">IF($A375="","",IF($J375&lt;0,"BORCA BATIK",IF($I375&lt;$H375,"BORCA BATIK",IF($L375&gt;=TtkUcteIkiEsik,"2/3 KAYIP (KRİTİK)",IF($L375&gt;=TtkUcteBirEsik,"1/3 KAYIP (DİKKAT)","UYGUN")))))</f>
        <v/>
      </c>
      <c r="U375" s="20" t="str">
        <f aca="false">IF($N375="","",$Q375*$R375)</f>
        <v/>
      </c>
    </row>
    <row r="376" customFormat="false" ht="15" hidden="false" customHeight="false" outlineLevel="0" collapsed="false">
      <c r="J376" s="20" t="str">
        <f aca="false">IF($A376="","",$B376+$C376+$D376-$E376+$F376-$G376)</f>
        <v/>
      </c>
      <c r="K376" s="20" t="str">
        <f aca="false">IF($A376="","",MAX(0,$B376-$J376))</f>
        <v/>
      </c>
      <c r="L376" s="20" t="str">
        <f aca="false">IF($A376="","",IF($B376=0,0,$K376/$B376))</f>
        <v/>
      </c>
      <c r="M376" s="20" t="str">
        <f aca="false">IF($A376="","",IF($J376&lt;0,"BORCA BATIK",IF($I376&lt;$H376,"BORCA BATIK",IF($L376&gt;=TtkUcteIkiEsik,"2/3 KAYIP (KRİTİK)",IF($L376&gt;=TtkUcteBirEsik,"1/3 KAYIP (DİKKAT)","UYGUN")))))</f>
        <v/>
      </c>
      <c r="U376" s="20" t="str">
        <f aca="false">IF($N376="","",$Q376*$R376)</f>
        <v/>
      </c>
    </row>
    <row r="377" customFormat="false" ht="15" hidden="false" customHeight="false" outlineLevel="0" collapsed="false">
      <c r="J377" s="20" t="str">
        <f aca="false">IF($A377="","",$B377+$C377+$D377-$E377+$F377-$G377)</f>
        <v/>
      </c>
      <c r="K377" s="20" t="str">
        <f aca="false">IF($A377="","",MAX(0,$B377-$J377))</f>
        <v/>
      </c>
      <c r="L377" s="20" t="str">
        <f aca="false">IF($A377="","",IF($B377=0,0,$K377/$B377))</f>
        <v/>
      </c>
      <c r="M377" s="20" t="str">
        <f aca="false">IF($A377="","",IF($J377&lt;0,"BORCA BATIK",IF($I377&lt;$H377,"BORCA BATIK",IF($L377&gt;=TtkUcteIkiEsik,"2/3 KAYIP (KRİTİK)",IF($L377&gt;=TtkUcteBirEsik,"1/3 KAYIP (DİKKAT)","UYGUN")))))</f>
        <v/>
      </c>
      <c r="U377" s="20" t="str">
        <f aca="false">IF($N377="","",$Q377*$R377)</f>
        <v/>
      </c>
    </row>
    <row r="378" customFormat="false" ht="15" hidden="false" customHeight="false" outlineLevel="0" collapsed="false">
      <c r="J378" s="20" t="str">
        <f aca="false">IF($A378="","",$B378+$C378+$D378-$E378+$F378-$G378)</f>
        <v/>
      </c>
      <c r="K378" s="20" t="str">
        <f aca="false">IF($A378="","",MAX(0,$B378-$J378))</f>
        <v/>
      </c>
      <c r="L378" s="20" t="str">
        <f aca="false">IF($A378="","",IF($B378=0,0,$K378/$B378))</f>
        <v/>
      </c>
      <c r="M378" s="20" t="str">
        <f aca="false">IF($A378="","",IF($J378&lt;0,"BORCA BATIK",IF($I378&lt;$H378,"BORCA BATIK",IF($L378&gt;=TtkUcteIkiEsik,"2/3 KAYIP (KRİTİK)",IF($L378&gt;=TtkUcteBirEsik,"1/3 KAYIP (DİKKAT)","UYGUN")))))</f>
        <v/>
      </c>
      <c r="U378" s="20" t="str">
        <f aca="false">IF($N378="","",$Q378*$R378)</f>
        <v/>
      </c>
    </row>
    <row r="379" customFormat="false" ht="15" hidden="false" customHeight="false" outlineLevel="0" collapsed="false">
      <c r="J379" s="20" t="str">
        <f aca="false">IF($A379="","",$B379+$C379+$D379-$E379+$F379-$G379)</f>
        <v/>
      </c>
      <c r="K379" s="20" t="str">
        <f aca="false">IF($A379="","",MAX(0,$B379-$J379))</f>
        <v/>
      </c>
      <c r="L379" s="20" t="str">
        <f aca="false">IF($A379="","",IF($B379=0,0,$K379/$B379))</f>
        <v/>
      </c>
      <c r="M379" s="20" t="str">
        <f aca="false">IF($A379="","",IF($J379&lt;0,"BORCA BATIK",IF($I379&lt;$H379,"BORCA BATIK",IF($L379&gt;=TtkUcteIkiEsik,"2/3 KAYIP (KRİTİK)",IF($L379&gt;=TtkUcteBirEsik,"1/3 KAYIP (DİKKAT)","UYGUN")))))</f>
        <v/>
      </c>
      <c r="U379" s="20" t="str">
        <f aca="false">IF($N379="","",$Q379*$R379)</f>
        <v/>
      </c>
    </row>
    <row r="380" customFormat="false" ht="15" hidden="false" customHeight="false" outlineLevel="0" collapsed="false">
      <c r="J380" s="20" t="str">
        <f aca="false">IF($A380="","",$B380+$C380+$D380-$E380+$F380-$G380)</f>
        <v/>
      </c>
      <c r="K380" s="20" t="str">
        <f aca="false">IF($A380="","",MAX(0,$B380-$J380))</f>
        <v/>
      </c>
      <c r="L380" s="20" t="str">
        <f aca="false">IF($A380="","",IF($B380=0,0,$K380/$B380))</f>
        <v/>
      </c>
      <c r="M380" s="20" t="str">
        <f aca="false">IF($A380="","",IF($J380&lt;0,"BORCA BATIK",IF($I380&lt;$H380,"BORCA BATIK",IF($L380&gt;=TtkUcteIkiEsik,"2/3 KAYIP (KRİTİK)",IF($L380&gt;=TtkUcteBirEsik,"1/3 KAYIP (DİKKAT)","UYGUN")))))</f>
        <v/>
      </c>
      <c r="U380" s="20" t="str">
        <f aca="false">IF($N380="","",$Q380*$R380)</f>
        <v/>
      </c>
    </row>
    <row r="381" customFormat="false" ht="15" hidden="false" customHeight="false" outlineLevel="0" collapsed="false">
      <c r="J381" s="20" t="str">
        <f aca="false">IF($A381="","",$B381+$C381+$D381-$E381+$F381-$G381)</f>
        <v/>
      </c>
      <c r="K381" s="20" t="str">
        <f aca="false">IF($A381="","",MAX(0,$B381-$J381))</f>
        <v/>
      </c>
      <c r="L381" s="20" t="str">
        <f aca="false">IF($A381="","",IF($B381=0,0,$K381/$B381))</f>
        <v/>
      </c>
      <c r="M381" s="20" t="str">
        <f aca="false">IF($A381="","",IF($J381&lt;0,"BORCA BATIK",IF($I381&lt;$H381,"BORCA BATIK",IF($L381&gt;=TtkUcteIkiEsik,"2/3 KAYIP (KRİTİK)",IF($L381&gt;=TtkUcteBirEsik,"1/3 KAYIP (DİKKAT)","UYGUN")))))</f>
        <v/>
      </c>
      <c r="U381" s="20" t="str">
        <f aca="false">IF($N381="","",$Q381*$R381)</f>
        <v/>
      </c>
    </row>
    <row r="382" customFormat="false" ht="15" hidden="false" customHeight="false" outlineLevel="0" collapsed="false">
      <c r="J382" s="20" t="str">
        <f aca="false">IF($A382="","",$B382+$C382+$D382-$E382+$F382-$G382)</f>
        <v/>
      </c>
      <c r="K382" s="20" t="str">
        <f aca="false">IF($A382="","",MAX(0,$B382-$J382))</f>
        <v/>
      </c>
      <c r="L382" s="20" t="str">
        <f aca="false">IF($A382="","",IF($B382=0,0,$K382/$B382))</f>
        <v/>
      </c>
      <c r="M382" s="20" t="str">
        <f aca="false">IF($A382="","",IF($J382&lt;0,"BORCA BATIK",IF($I382&lt;$H382,"BORCA BATIK",IF($L382&gt;=TtkUcteIkiEsik,"2/3 KAYIP (KRİTİK)",IF($L382&gt;=TtkUcteBirEsik,"1/3 KAYIP (DİKKAT)","UYGUN")))))</f>
        <v/>
      </c>
      <c r="U382" s="20" t="str">
        <f aca="false">IF($N382="","",$Q382*$R382)</f>
        <v/>
      </c>
    </row>
    <row r="383" customFormat="false" ht="15" hidden="false" customHeight="false" outlineLevel="0" collapsed="false">
      <c r="J383" s="20" t="str">
        <f aca="false">IF($A383="","",$B383+$C383+$D383-$E383+$F383-$G383)</f>
        <v/>
      </c>
      <c r="K383" s="20" t="str">
        <f aca="false">IF($A383="","",MAX(0,$B383-$J383))</f>
        <v/>
      </c>
      <c r="L383" s="20" t="str">
        <f aca="false">IF($A383="","",IF($B383=0,0,$K383/$B383))</f>
        <v/>
      </c>
      <c r="M383" s="20" t="str">
        <f aca="false">IF($A383="","",IF($J383&lt;0,"BORCA BATIK",IF($I383&lt;$H383,"BORCA BATIK",IF($L383&gt;=TtkUcteIkiEsik,"2/3 KAYIP (KRİTİK)",IF($L383&gt;=TtkUcteBirEsik,"1/3 KAYIP (DİKKAT)","UYGUN")))))</f>
        <v/>
      </c>
      <c r="U383" s="20" t="str">
        <f aca="false">IF($N383="","",$Q383*$R383)</f>
        <v/>
      </c>
    </row>
    <row r="384" customFormat="false" ht="15" hidden="false" customHeight="false" outlineLevel="0" collapsed="false">
      <c r="J384" s="20" t="str">
        <f aca="false">IF($A384="","",$B384+$C384+$D384-$E384+$F384-$G384)</f>
        <v/>
      </c>
      <c r="K384" s="20" t="str">
        <f aca="false">IF($A384="","",MAX(0,$B384-$J384))</f>
        <v/>
      </c>
      <c r="L384" s="20" t="str">
        <f aca="false">IF($A384="","",IF($B384=0,0,$K384/$B384))</f>
        <v/>
      </c>
      <c r="M384" s="20" t="str">
        <f aca="false">IF($A384="","",IF($J384&lt;0,"BORCA BATIK",IF($I384&lt;$H384,"BORCA BATIK",IF($L384&gt;=TtkUcteIkiEsik,"2/3 KAYIP (KRİTİK)",IF($L384&gt;=TtkUcteBirEsik,"1/3 KAYIP (DİKKAT)","UYGUN")))))</f>
        <v/>
      </c>
      <c r="U384" s="20" t="str">
        <f aca="false">IF($N384="","",$Q384*$R384)</f>
        <v/>
      </c>
    </row>
    <row r="385" customFormat="false" ht="15" hidden="false" customHeight="false" outlineLevel="0" collapsed="false">
      <c r="J385" s="20" t="str">
        <f aca="false">IF($A385="","",$B385+$C385+$D385-$E385+$F385-$G385)</f>
        <v/>
      </c>
      <c r="K385" s="20" t="str">
        <f aca="false">IF($A385="","",MAX(0,$B385-$J385))</f>
        <v/>
      </c>
      <c r="L385" s="20" t="str">
        <f aca="false">IF($A385="","",IF($B385=0,0,$K385/$B385))</f>
        <v/>
      </c>
      <c r="M385" s="20" t="str">
        <f aca="false">IF($A385="","",IF($J385&lt;0,"BORCA BATIK",IF($I385&lt;$H385,"BORCA BATIK",IF($L385&gt;=TtkUcteIkiEsik,"2/3 KAYIP (KRİTİK)",IF($L385&gt;=TtkUcteBirEsik,"1/3 KAYIP (DİKKAT)","UYGUN")))))</f>
        <v/>
      </c>
      <c r="U385" s="20" t="str">
        <f aca="false">IF($N385="","",$Q385*$R385)</f>
        <v/>
      </c>
    </row>
    <row r="386" customFormat="false" ht="15" hidden="false" customHeight="false" outlineLevel="0" collapsed="false">
      <c r="J386" s="20" t="str">
        <f aca="false">IF($A386="","",$B386+$C386+$D386-$E386+$F386-$G386)</f>
        <v/>
      </c>
      <c r="K386" s="20" t="str">
        <f aca="false">IF($A386="","",MAX(0,$B386-$J386))</f>
        <v/>
      </c>
      <c r="L386" s="20" t="str">
        <f aca="false">IF($A386="","",IF($B386=0,0,$K386/$B386))</f>
        <v/>
      </c>
      <c r="M386" s="20" t="str">
        <f aca="false">IF($A386="","",IF($J386&lt;0,"BORCA BATIK",IF($I386&lt;$H386,"BORCA BATIK",IF($L386&gt;=TtkUcteIkiEsik,"2/3 KAYIP (KRİTİK)",IF($L386&gt;=TtkUcteBirEsik,"1/3 KAYIP (DİKKAT)","UYGUN")))))</f>
        <v/>
      </c>
      <c r="U386" s="20" t="str">
        <f aca="false">IF($N386="","",$Q386*$R386)</f>
        <v/>
      </c>
    </row>
    <row r="387" customFormat="false" ht="15" hidden="false" customHeight="false" outlineLevel="0" collapsed="false">
      <c r="J387" s="20" t="str">
        <f aca="false">IF($A387="","",$B387+$C387+$D387-$E387+$F387-$G387)</f>
        <v/>
      </c>
      <c r="K387" s="20" t="str">
        <f aca="false">IF($A387="","",MAX(0,$B387-$J387))</f>
        <v/>
      </c>
      <c r="L387" s="20" t="str">
        <f aca="false">IF($A387="","",IF($B387=0,0,$K387/$B387))</f>
        <v/>
      </c>
      <c r="M387" s="20" t="str">
        <f aca="false">IF($A387="","",IF($J387&lt;0,"BORCA BATIK",IF($I387&lt;$H387,"BORCA BATIK",IF($L387&gt;=TtkUcteIkiEsik,"2/3 KAYIP (KRİTİK)",IF($L387&gt;=TtkUcteBirEsik,"1/3 KAYIP (DİKKAT)","UYGUN")))))</f>
        <v/>
      </c>
      <c r="U387" s="20" t="str">
        <f aca="false">IF($N387="","",$Q387*$R387)</f>
        <v/>
      </c>
    </row>
    <row r="388" customFormat="false" ht="15" hidden="false" customHeight="false" outlineLevel="0" collapsed="false">
      <c r="J388" s="20" t="str">
        <f aca="false">IF($A388="","",$B388+$C388+$D388-$E388+$F388-$G388)</f>
        <v/>
      </c>
      <c r="K388" s="20" t="str">
        <f aca="false">IF($A388="","",MAX(0,$B388-$J388))</f>
        <v/>
      </c>
      <c r="L388" s="20" t="str">
        <f aca="false">IF($A388="","",IF($B388=0,0,$K388/$B388))</f>
        <v/>
      </c>
      <c r="M388" s="20" t="str">
        <f aca="false">IF($A388="","",IF($J388&lt;0,"BORCA BATIK",IF($I388&lt;$H388,"BORCA BATIK",IF($L388&gt;=TtkUcteIkiEsik,"2/3 KAYIP (KRİTİK)",IF($L388&gt;=TtkUcteBirEsik,"1/3 KAYIP (DİKKAT)","UYGUN")))))</f>
        <v/>
      </c>
      <c r="U388" s="20" t="str">
        <f aca="false">IF($N388="","",$Q388*$R388)</f>
        <v/>
      </c>
    </row>
    <row r="389" customFormat="false" ht="15" hidden="false" customHeight="false" outlineLevel="0" collapsed="false">
      <c r="J389" s="20" t="str">
        <f aca="false">IF($A389="","",$B389+$C389+$D389-$E389+$F389-$G389)</f>
        <v/>
      </c>
      <c r="K389" s="20" t="str">
        <f aca="false">IF($A389="","",MAX(0,$B389-$J389))</f>
        <v/>
      </c>
      <c r="L389" s="20" t="str">
        <f aca="false">IF($A389="","",IF($B389=0,0,$K389/$B389))</f>
        <v/>
      </c>
      <c r="M389" s="20" t="str">
        <f aca="false">IF($A389="","",IF($J389&lt;0,"BORCA BATIK",IF($I389&lt;$H389,"BORCA BATIK",IF($L389&gt;=TtkUcteIkiEsik,"2/3 KAYIP (KRİTİK)",IF($L389&gt;=TtkUcteBirEsik,"1/3 KAYIP (DİKKAT)","UYGUN")))))</f>
        <v/>
      </c>
      <c r="U389" s="20" t="str">
        <f aca="false">IF($N389="","",$Q389*$R389)</f>
        <v/>
      </c>
    </row>
    <row r="390" customFormat="false" ht="15" hidden="false" customHeight="false" outlineLevel="0" collapsed="false">
      <c r="J390" s="20" t="str">
        <f aca="false">IF($A390="","",$B390+$C390+$D390-$E390+$F390-$G390)</f>
        <v/>
      </c>
      <c r="K390" s="20" t="str">
        <f aca="false">IF($A390="","",MAX(0,$B390-$J390))</f>
        <v/>
      </c>
      <c r="L390" s="20" t="str">
        <f aca="false">IF($A390="","",IF($B390=0,0,$K390/$B390))</f>
        <v/>
      </c>
      <c r="M390" s="20" t="str">
        <f aca="false">IF($A390="","",IF($J390&lt;0,"BORCA BATIK",IF($I390&lt;$H390,"BORCA BATIK",IF($L390&gt;=TtkUcteIkiEsik,"2/3 KAYIP (KRİTİK)",IF($L390&gt;=TtkUcteBirEsik,"1/3 KAYIP (DİKKAT)","UYGUN")))))</f>
        <v/>
      </c>
      <c r="U390" s="20" t="str">
        <f aca="false">IF($N390="","",$Q390*$R390)</f>
        <v/>
      </c>
    </row>
    <row r="391" customFormat="false" ht="15" hidden="false" customHeight="false" outlineLevel="0" collapsed="false">
      <c r="J391" s="20" t="str">
        <f aca="false">IF($A391="","",$B391+$C391+$D391-$E391+$F391-$G391)</f>
        <v/>
      </c>
      <c r="K391" s="20" t="str">
        <f aca="false">IF($A391="","",MAX(0,$B391-$J391))</f>
        <v/>
      </c>
      <c r="L391" s="20" t="str">
        <f aca="false">IF($A391="","",IF($B391=0,0,$K391/$B391))</f>
        <v/>
      </c>
      <c r="M391" s="20" t="str">
        <f aca="false">IF($A391="","",IF($J391&lt;0,"BORCA BATIK",IF($I391&lt;$H391,"BORCA BATIK",IF($L391&gt;=TtkUcteIkiEsik,"2/3 KAYIP (KRİTİK)",IF($L391&gt;=TtkUcteBirEsik,"1/3 KAYIP (DİKKAT)","UYGUN")))))</f>
        <v/>
      </c>
      <c r="U391" s="20" t="str">
        <f aca="false">IF($N391="","",$Q391*$R391)</f>
        <v/>
      </c>
    </row>
    <row r="392" customFormat="false" ht="15" hidden="false" customHeight="false" outlineLevel="0" collapsed="false">
      <c r="J392" s="20" t="str">
        <f aca="false">IF($A392="","",$B392+$C392+$D392-$E392+$F392-$G392)</f>
        <v/>
      </c>
      <c r="K392" s="20" t="str">
        <f aca="false">IF($A392="","",MAX(0,$B392-$J392))</f>
        <v/>
      </c>
      <c r="L392" s="20" t="str">
        <f aca="false">IF($A392="","",IF($B392=0,0,$K392/$B392))</f>
        <v/>
      </c>
      <c r="M392" s="20" t="str">
        <f aca="false">IF($A392="","",IF($J392&lt;0,"BORCA BATIK",IF($I392&lt;$H392,"BORCA BATIK",IF($L392&gt;=TtkUcteIkiEsik,"2/3 KAYIP (KRİTİK)",IF($L392&gt;=TtkUcteBirEsik,"1/3 KAYIP (DİKKAT)","UYGUN")))))</f>
        <v/>
      </c>
      <c r="U392" s="20" t="str">
        <f aca="false">IF($N392="","",$Q392*$R392)</f>
        <v/>
      </c>
    </row>
    <row r="393" customFormat="false" ht="15" hidden="false" customHeight="false" outlineLevel="0" collapsed="false">
      <c r="J393" s="20" t="str">
        <f aca="false">IF($A393="","",$B393+$C393+$D393-$E393+$F393-$G393)</f>
        <v/>
      </c>
      <c r="K393" s="20" t="str">
        <f aca="false">IF($A393="","",MAX(0,$B393-$J393))</f>
        <v/>
      </c>
      <c r="L393" s="20" t="str">
        <f aca="false">IF($A393="","",IF($B393=0,0,$K393/$B393))</f>
        <v/>
      </c>
      <c r="M393" s="20" t="str">
        <f aca="false">IF($A393="","",IF($J393&lt;0,"BORCA BATIK",IF($I393&lt;$H393,"BORCA BATIK",IF($L393&gt;=TtkUcteIkiEsik,"2/3 KAYIP (KRİTİK)",IF($L393&gt;=TtkUcteBirEsik,"1/3 KAYIP (DİKKAT)","UYGUN")))))</f>
        <v/>
      </c>
      <c r="U393" s="20" t="str">
        <f aca="false">IF($N393="","",$Q393*$R393)</f>
        <v/>
      </c>
    </row>
    <row r="394" customFormat="false" ht="15" hidden="false" customHeight="false" outlineLevel="0" collapsed="false">
      <c r="J394" s="20" t="str">
        <f aca="false">IF($A394="","",$B394+$C394+$D394-$E394+$F394-$G394)</f>
        <v/>
      </c>
      <c r="K394" s="20" t="str">
        <f aca="false">IF($A394="","",MAX(0,$B394-$J394))</f>
        <v/>
      </c>
      <c r="L394" s="20" t="str">
        <f aca="false">IF($A394="","",IF($B394=0,0,$K394/$B394))</f>
        <v/>
      </c>
      <c r="M394" s="20" t="str">
        <f aca="false">IF($A394="","",IF($J394&lt;0,"BORCA BATIK",IF($I394&lt;$H394,"BORCA BATIK",IF($L394&gt;=TtkUcteIkiEsik,"2/3 KAYIP (KRİTİK)",IF($L394&gt;=TtkUcteBirEsik,"1/3 KAYIP (DİKKAT)","UYGUN")))))</f>
        <v/>
      </c>
      <c r="U394" s="20" t="str">
        <f aca="false">IF($N394="","",$Q394*$R394)</f>
        <v/>
      </c>
    </row>
    <row r="395" customFormat="false" ht="15" hidden="false" customHeight="false" outlineLevel="0" collapsed="false">
      <c r="J395" s="20" t="str">
        <f aca="false">IF($A395="","",$B395+$C395+$D395-$E395+$F395-$G395)</f>
        <v/>
      </c>
      <c r="K395" s="20" t="str">
        <f aca="false">IF($A395="","",MAX(0,$B395-$J395))</f>
        <v/>
      </c>
      <c r="L395" s="20" t="str">
        <f aca="false">IF($A395="","",IF($B395=0,0,$K395/$B395))</f>
        <v/>
      </c>
      <c r="M395" s="20" t="str">
        <f aca="false">IF($A395="","",IF($J395&lt;0,"BORCA BATIK",IF($I395&lt;$H395,"BORCA BATIK",IF($L395&gt;=TtkUcteIkiEsik,"2/3 KAYIP (KRİTİK)",IF($L395&gt;=TtkUcteBirEsik,"1/3 KAYIP (DİKKAT)","UYGUN")))))</f>
        <v/>
      </c>
      <c r="U395" s="20" t="str">
        <f aca="false">IF($N395="","",$Q395*$R395)</f>
        <v/>
      </c>
    </row>
    <row r="396" customFormat="false" ht="15" hidden="false" customHeight="false" outlineLevel="0" collapsed="false">
      <c r="J396" s="20" t="str">
        <f aca="false">IF($A396="","",$B396+$C396+$D396-$E396+$F396-$G396)</f>
        <v/>
      </c>
      <c r="K396" s="20" t="str">
        <f aca="false">IF($A396="","",MAX(0,$B396-$J396))</f>
        <v/>
      </c>
      <c r="L396" s="20" t="str">
        <f aca="false">IF($A396="","",IF($B396=0,0,$K396/$B396))</f>
        <v/>
      </c>
      <c r="M396" s="20" t="str">
        <f aca="false">IF($A396="","",IF($J396&lt;0,"BORCA BATIK",IF($I396&lt;$H396,"BORCA BATIK",IF($L396&gt;=TtkUcteIkiEsik,"2/3 KAYIP (KRİTİK)",IF($L396&gt;=TtkUcteBirEsik,"1/3 KAYIP (DİKKAT)","UYGUN")))))</f>
        <v/>
      </c>
      <c r="U396" s="20" t="str">
        <f aca="false">IF($N396="","",$Q396*$R396)</f>
        <v/>
      </c>
    </row>
    <row r="397" customFormat="false" ht="15" hidden="false" customHeight="false" outlineLevel="0" collapsed="false">
      <c r="J397" s="20" t="str">
        <f aca="false">IF($A397="","",$B397+$C397+$D397-$E397+$F397-$G397)</f>
        <v/>
      </c>
      <c r="K397" s="20" t="str">
        <f aca="false">IF($A397="","",MAX(0,$B397-$J397))</f>
        <v/>
      </c>
      <c r="L397" s="20" t="str">
        <f aca="false">IF($A397="","",IF($B397=0,0,$K397/$B397))</f>
        <v/>
      </c>
      <c r="M397" s="20" t="str">
        <f aca="false">IF($A397="","",IF($J397&lt;0,"BORCA BATIK",IF($I397&lt;$H397,"BORCA BATIK",IF($L397&gt;=TtkUcteIkiEsik,"2/3 KAYIP (KRİTİK)",IF($L397&gt;=TtkUcteBirEsik,"1/3 KAYIP (DİKKAT)","UYGUN")))))</f>
        <v/>
      </c>
      <c r="U397" s="20" t="str">
        <f aca="false">IF($N397="","",$Q397*$R397)</f>
        <v/>
      </c>
    </row>
    <row r="398" customFormat="false" ht="15" hidden="false" customHeight="false" outlineLevel="0" collapsed="false">
      <c r="J398" s="20" t="str">
        <f aca="false">IF($A398="","",$B398+$C398+$D398-$E398+$F398-$G398)</f>
        <v/>
      </c>
      <c r="K398" s="20" t="str">
        <f aca="false">IF($A398="","",MAX(0,$B398-$J398))</f>
        <v/>
      </c>
      <c r="L398" s="20" t="str">
        <f aca="false">IF($A398="","",IF($B398=0,0,$K398/$B398))</f>
        <v/>
      </c>
      <c r="M398" s="20" t="str">
        <f aca="false">IF($A398="","",IF($J398&lt;0,"BORCA BATIK",IF($I398&lt;$H398,"BORCA BATIK",IF($L398&gt;=TtkUcteIkiEsik,"2/3 KAYIP (KRİTİK)",IF($L398&gt;=TtkUcteBirEsik,"1/3 KAYIP (DİKKAT)","UYGUN")))))</f>
        <v/>
      </c>
      <c r="U398" s="20" t="str">
        <f aca="false">IF($N398="","",$Q398*$R398)</f>
        <v/>
      </c>
    </row>
    <row r="399" customFormat="false" ht="15" hidden="false" customHeight="false" outlineLevel="0" collapsed="false">
      <c r="J399" s="20" t="str">
        <f aca="false">IF($A399="","",$B399+$C399+$D399-$E399+$F399-$G399)</f>
        <v/>
      </c>
      <c r="K399" s="20" t="str">
        <f aca="false">IF($A399="","",MAX(0,$B399-$J399))</f>
        <v/>
      </c>
      <c r="L399" s="20" t="str">
        <f aca="false">IF($A399="","",IF($B399=0,0,$K399/$B399))</f>
        <v/>
      </c>
      <c r="M399" s="20" t="str">
        <f aca="false">IF($A399="","",IF($J399&lt;0,"BORCA BATIK",IF($I399&lt;$H399,"BORCA BATIK",IF($L399&gt;=TtkUcteIkiEsik,"2/3 KAYIP (KRİTİK)",IF($L399&gt;=TtkUcteBirEsik,"1/3 KAYIP (DİKKAT)","UYGUN")))))</f>
        <v/>
      </c>
      <c r="U399" s="20" t="str">
        <f aca="false">IF($N399="","",$Q399*$R399)</f>
        <v/>
      </c>
    </row>
    <row r="400" customFormat="false" ht="15" hidden="false" customHeight="false" outlineLevel="0" collapsed="false">
      <c r="J400" s="20" t="str">
        <f aca="false">IF($A400="","",$B400+$C400+$D400-$E400+$F400-$G400)</f>
        <v/>
      </c>
      <c r="K400" s="20" t="str">
        <f aca="false">IF($A400="","",MAX(0,$B400-$J400))</f>
        <v/>
      </c>
      <c r="L400" s="20" t="str">
        <f aca="false">IF($A400="","",IF($B400=0,0,$K400/$B400))</f>
        <v/>
      </c>
      <c r="M400" s="20" t="str">
        <f aca="false">IF($A400="","",IF($J400&lt;0,"BORCA BATIK",IF($I400&lt;$H400,"BORCA BATIK",IF($L400&gt;=TtkUcteIkiEsik,"2/3 KAYIP (KRİTİK)",IF($L400&gt;=TtkUcteBirEsik,"1/3 KAYIP (DİKKAT)","UYGUN")))))</f>
        <v/>
      </c>
      <c r="U400" s="20" t="str">
        <f aca="false">IF($N400="","",$Q400*$R400)</f>
        <v/>
      </c>
    </row>
    <row r="401" customFormat="false" ht="15" hidden="false" customHeight="false" outlineLevel="0" collapsed="false">
      <c r="J401" s="20" t="str">
        <f aca="false">IF($A401="","",$B401+$C401+$D401-$E401+$F401-$G401)</f>
        <v/>
      </c>
      <c r="K401" s="20" t="str">
        <f aca="false">IF($A401="","",MAX(0,$B401-$J401))</f>
        <v/>
      </c>
      <c r="L401" s="20" t="str">
        <f aca="false">IF($A401="","",IF($B401=0,0,$K401/$B401))</f>
        <v/>
      </c>
      <c r="M401" s="20" t="str">
        <f aca="false">IF($A401="","",IF($J401&lt;0,"BORCA BATIK",IF($I401&lt;$H401,"BORCA BATIK",IF($L401&gt;=TtkUcteIkiEsik,"2/3 KAYIP (KRİTİK)",IF($L401&gt;=TtkUcteBirEsik,"1/3 KAYIP (DİKKAT)","UYGUN")))))</f>
        <v/>
      </c>
      <c r="U401" s="20" t="str">
        <f aca="false">IF($N401="","",$Q401*$R401)</f>
        <v/>
      </c>
    </row>
    <row r="402" customFormat="false" ht="15" hidden="false" customHeight="false" outlineLevel="0" collapsed="false">
      <c r="J402" s="20" t="str">
        <f aca="false">IF($A402="","",$B402+$C402+$D402-$E402+$F402-$G402)</f>
        <v/>
      </c>
      <c r="K402" s="20" t="str">
        <f aca="false">IF($A402="","",MAX(0,$B402-$J402))</f>
        <v/>
      </c>
      <c r="L402" s="20" t="str">
        <f aca="false">IF($A402="","",IF($B402=0,0,$K402/$B402))</f>
        <v/>
      </c>
      <c r="M402" s="20" t="str">
        <f aca="false">IF($A402="","",IF($J402&lt;0,"BORCA BATIK",IF($I402&lt;$H402,"BORCA BATIK",IF($L402&gt;=TtkUcteIkiEsik,"2/3 KAYIP (KRİTİK)",IF($L402&gt;=TtkUcteBirEsik,"1/3 KAYIP (DİKKAT)","UYGUN")))))</f>
        <v/>
      </c>
      <c r="U402" s="20" t="str">
        <f aca="false">IF($N402="","",$Q402*$R402)</f>
        <v/>
      </c>
    </row>
    <row r="403" customFormat="false" ht="15" hidden="false" customHeight="false" outlineLevel="0" collapsed="false">
      <c r="J403" s="20" t="str">
        <f aca="false">IF($A403="","",$B403+$C403+$D403-$E403+$F403-$G403)</f>
        <v/>
      </c>
      <c r="K403" s="20" t="str">
        <f aca="false">IF($A403="","",MAX(0,$B403-$J403))</f>
        <v/>
      </c>
      <c r="L403" s="20" t="str">
        <f aca="false">IF($A403="","",IF($B403=0,0,$K403/$B403))</f>
        <v/>
      </c>
      <c r="M403" s="20" t="str">
        <f aca="false">IF($A403="","",IF($J403&lt;0,"BORCA BATIK",IF($I403&lt;$H403,"BORCA BATIK",IF($L403&gt;=TtkUcteIkiEsik,"2/3 KAYIP (KRİTİK)",IF($L403&gt;=TtkUcteBirEsik,"1/3 KAYIP (DİKKAT)","UYGUN")))))</f>
        <v/>
      </c>
      <c r="U403" s="20" t="str">
        <f aca="false">IF($N403="","",$Q403*$R403)</f>
        <v/>
      </c>
    </row>
    <row r="404" customFormat="false" ht="15" hidden="false" customHeight="false" outlineLevel="0" collapsed="false">
      <c r="J404" s="20" t="str">
        <f aca="false">IF($A404="","",$B404+$C404+$D404-$E404+$F404-$G404)</f>
        <v/>
      </c>
      <c r="K404" s="20" t="str">
        <f aca="false">IF($A404="","",MAX(0,$B404-$J404))</f>
        <v/>
      </c>
      <c r="L404" s="20" t="str">
        <f aca="false">IF($A404="","",IF($B404=0,0,$K404/$B404))</f>
        <v/>
      </c>
      <c r="M404" s="20" t="str">
        <f aca="false">IF($A404="","",IF($J404&lt;0,"BORCA BATIK",IF($I404&lt;$H404,"BORCA BATIK",IF($L404&gt;=TtkUcteIkiEsik,"2/3 KAYIP (KRİTİK)",IF($L404&gt;=TtkUcteBirEsik,"1/3 KAYIP (DİKKAT)","UYGUN")))))</f>
        <v/>
      </c>
      <c r="U404" s="20" t="str">
        <f aca="false">IF($N404="","",$Q404*$R404)</f>
        <v/>
      </c>
    </row>
    <row r="405" customFormat="false" ht="15" hidden="false" customHeight="false" outlineLevel="0" collapsed="false">
      <c r="J405" s="20" t="str">
        <f aca="false">IF($A405="","",$B405+$C405+$D405-$E405+$F405-$G405)</f>
        <v/>
      </c>
      <c r="K405" s="20" t="str">
        <f aca="false">IF($A405="","",MAX(0,$B405-$J405))</f>
        <v/>
      </c>
      <c r="L405" s="20" t="str">
        <f aca="false">IF($A405="","",IF($B405=0,0,$K405/$B405))</f>
        <v/>
      </c>
      <c r="M405" s="20" t="str">
        <f aca="false">IF($A405="","",IF($J405&lt;0,"BORCA BATIK",IF($I405&lt;$H405,"BORCA BATIK",IF($L405&gt;=TtkUcteIkiEsik,"2/3 KAYIP (KRİTİK)",IF($L405&gt;=TtkUcteBirEsik,"1/3 KAYIP (DİKKAT)","UYGUN")))))</f>
        <v/>
      </c>
      <c r="U405" s="20" t="str">
        <f aca="false">IF($N405="","",$Q405*$R405)</f>
        <v/>
      </c>
    </row>
    <row r="406" customFormat="false" ht="15" hidden="false" customHeight="false" outlineLevel="0" collapsed="false">
      <c r="J406" s="20" t="str">
        <f aca="false">IF($A406="","",$B406+$C406+$D406-$E406+$F406-$G406)</f>
        <v/>
      </c>
      <c r="K406" s="20" t="str">
        <f aca="false">IF($A406="","",MAX(0,$B406-$J406))</f>
        <v/>
      </c>
      <c r="L406" s="20" t="str">
        <f aca="false">IF($A406="","",IF($B406=0,0,$K406/$B406))</f>
        <v/>
      </c>
      <c r="M406" s="20" t="str">
        <f aca="false">IF($A406="","",IF($J406&lt;0,"BORCA BATIK",IF($I406&lt;$H406,"BORCA BATIK",IF($L406&gt;=TtkUcteIkiEsik,"2/3 KAYIP (KRİTİK)",IF($L406&gt;=TtkUcteBirEsik,"1/3 KAYIP (DİKKAT)","UYGUN")))))</f>
        <v/>
      </c>
      <c r="U406" s="20" t="str">
        <f aca="false">IF($N406="","",$Q406*$R406)</f>
        <v/>
      </c>
    </row>
    <row r="407" customFormat="false" ht="15" hidden="false" customHeight="false" outlineLevel="0" collapsed="false">
      <c r="J407" s="20" t="str">
        <f aca="false">IF($A407="","",$B407+$C407+$D407-$E407+$F407-$G407)</f>
        <v/>
      </c>
      <c r="K407" s="20" t="str">
        <f aca="false">IF($A407="","",MAX(0,$B407-$J407))</f>
        <v/>
      </c>
      <c r="L407" s="20" t="str">
        <f aca="false">IF($A407="","",IF($B407=0,0,$K407/$B407))</f>
        <v/>
      </c>
      <c r="M407" s="20" t="str">
        <f aca="false">IF($A407="","",IF($J407&lt;0,"BORCA BATIK",IF($I407&lt;$H407,"BORCA BATIK",IF($L407&gt;=TtkUcteIkiEsik,"2/3 KAYIP (KRİTİK)",IF($L407&gt;=TtkUcteBirEsik,"1/3 KAYIP (DİKKAT)","UYGUN")))))</f>
        <v/>
      </c>
      <c r="U407" s="20" t="str">
        <f aca="false">IF($N407="","",$Q407*$R407)</f>
        <v/>
      </c>
    </row>
    <row r="408" customFormat="false" ht="15" hidden="false" customHeight="false" outlineLevel="0" collapsed="false">
      <c r="J408" s="20" t="str">
        <f aca="false">IF($A408="","",$B408+$C408+$D408-$E408+$F408-$G408)</f>
        <v/>
      </c>
      <c r="K408" s="20" t="str">
        <f aca="false">IF($A408="","",MAX(0,$B408-$J408))</f>
        <v/>
      </c>
      <c r="L408" s="20" t="str">
        <f aca="false">IF($A408="","",IF($B408=0,0,$K408/$B408))</f>
        <v/>
      </c>
      <c r="M408" s="20" t="str">
        <f aca="false">IF($A408="","",IF($J408&lt;0,"BORCA BATIK",IF($I408&lt;$H408,"BORCA BATIK",IF($L408&gt;=TtkUcteIkiEsik,"2/3 KAYIP (KRİTİK)",IF($L408&gt;=TtkUcteBirEsik,"1/3 KAYIP (DİKKAT)","UYGUN")))))</f>
        <v/>
      </c>
      <c r="U408" s="20" t="str">
        <f aca="false">IF($N408="","",$Q408*$R408)</f>
        <v/>
      </c>
    </row>
    <row r="409" customFormat="false" ht="15" hidden="false" customHeight="false" outlineLevel="0" collapsed="false">
      <c r="J409" s="20" t="str">
        <f aca="false">IF($A409="","",$B409+$C409+$D409-$E409+$F409-$G409)</f>
        <v/>
      </c>
      <c r="K409" s="20" t="str">
        <f aca="false">IF($A409="","",MAX(0,$B409-$J409))</f>
        <v/>
      </c>
      <c r="L409" s="20" t="str">
        <f aca="false">IF($A409="","",IF($B409=0,0,$K409/$B409))</f>
        <v/>
      </c>
      <c r="M409" s="20" t="str">
        <f aca="false">IF($A409="","",IF($J409&lt;0,"BORCA BATIK",IF($I409&lt;$H409,"BORCA BATIK",IF($L409&gt;=TtkUcteIkiEsik,"2/3 KAYIP (KRİTİK)",IF($L409&gt;=TtkUcteBirEsik,"1/3 KAYIP (DİKKAT)","UYGUN")))))</f>
        <v/>
      </c>
      <c r="U409" s="20" t="str">
        <f aca="false">IF($N409="","",$Q409*$R409)</f>
        <v/>
      </c>
    </row>
    <row r="410" customFormat="false" ht="15" hidden="false" customHeight="false" outlineLevel="0" collapsed="false">
      <c r="J410" s="20" t="str">
        <f aca="false">IF($A410="","",$B410+$C410+$D410-$E410+$F410-$G410)</f>
        <v/>
      </c>
      <c r="K410" s="20" t="str">
        <f aca="false">IF($A410="","",MAX(0,$B410-$J410))</f>
        <v/>
      </c>
      <c r="L410" s="20" t="str">
        <f aca="false">IF($A410="","",IF($B410=0,0,$K410/$B410))</f>
        <v/>
      </c>
      <c r="M410" s="20" t="str">
        <f aca="false">IF($A410="","",IF($J410&lt;0,"BORCA BATIK",IF($I410&lt;$H410,"BORCA BATIK",IF($L410&gt;=TtkUcteIkiEsik,"2/3 KAYIP (KRİTİK)",IF($L410&gt;=TtkUcteBirEsik,"1/3 KAYIP (DİKKAT)","UYGUN")))))</f>
        <v/>
      </c>
      <c r="U410" s="20" t="str">
        <f aca="false">IF($N410="","",$Q410*$R410)</f>
        <v/>
      </c>
    </row>
    <row r="411" customFormat="false" ht="15" hidden="false" customHeight="false" outlineLevel="0" collapsed="false">
      <c r="J411" s="20" t="str">
        <f aca="false">IF($A411="","",$B411+$C411+$D411-$E411+$F411-$G411)</f>
        <v/>
      </c>
      <c r="K411" s="20" t="str">
        <f aca="false">IF($A411="","",MAX(0,$B411-$J411))</f>
        <v/>
      </c>
      <c r="L411" s="20" t="str">
        <f aca="false">IF($A411="","",IF($B411=0,0,$K411/$B411))</f>
        <v/>
      </c>
      <c r="M411" s="20" t="str">
        <f aca="false">IF($A411="","",IF($J411&lt;0,"BORCA BATIK",IF($I411&lt;$H411,"BORCA BATIK",IF($L411&gt;=TtkUcteIkiEsik,"2/3 KAYIP (KRİTİK)",IF($L411&gt;=TtkUcteBirEsik,"1/3 KAYIP (DİKKAT)","UYGUN")))))</f>
        <v/>
      </c>
      <c r="U411" s="20" t="str">
        <f aca="false">IF($N411="","",$Q411*$R411)</f>
        <v/>
      </c>
    </row>
    <row r="412" customFormat="false" ht="15" hidden="false" customHeight="false" outlineLevel="0" collapsed="false">
      <c r="J412" s="20" t="str">
        <f aca="false">IF($A412="","",$B412+$C412+$D412-$E412+$F412-$G412)</f>
        <v/>
      </c>
      <c r="K412" s="20" t="str">
        <f aca="false">IF($A412="","",MAX(0,$B412-$J412))</f>
        <v/>
      </c>
      <c r="L412" s="20" t="str">
        <f aca="false">IF($A412="","",IF($B412=0,0,$K412/$B412))</f>
        <v/>
      </c>
      <c r="M412" s="20" t="str">
        <f aca="false">IF($A412="","",IF($J412&lt;0,"BORCA BATIK",IF($I412&lt;$H412,"BORCA BATIK",IF($L412&gt;=TtkUcteIkiEsik,"2/3 KAYIP (KRİTİK)",IF($L412&gt;=TtkUcteBirEsik,"1/3 KAYIP (DİKKAT)","UYGUN")))))</f>
        <v/>
      </c>
      <c r="U412" s="20" t="str">
        <f aca="false">IF($N412="","",$Q412*$R412)</f>
        <v/>
      </c>
    </row>
    <row r="413" customFormat="false" ht="15" hidden="false" customHeight="false" outlineLevel="0" collapsed="false">
      <c r="J413" s="20" t="str">
        <f aca="false">IF($A413="","",$B413+$C413+$D413-$E413+$F413-$G413)</f>
        <v/>
      </c>
      <c r="K413" s="20" t="str">
        <f aca="false">IF($A413="","",MAX(0,$B413-$J413))</f>
        <v/>
      </c>
      <c r="L413" s="20" t="str">
        <f aca="false">IF($A413="","",IF($B413=0,0,$K413/$B413))</f>
        <v/>
      </c>
      <c r="M413" s="20" t="str">
        <f aca="false">IF($A413="","",IF($J413&lt;0,"BORCA BATIK",IF($I413&lt;$H413,"BORCA BATIK",IF($L413&gt;=TtkUcteIkiEsik,"2/3 KAYIP (KRİTİK)",IF($L413&gt;=TtkUcteBirEsik,"1/3 KAYIP (DİKKAT)","UYGUN")))))</f>
        <v/>
      </c>
      <c r="U413" s="20" t="str">
        <f aca="false">IF($N413="","",$Q413*$R413)</f>
        <v/>
      </c>
    </row>
    <row r="414" customFormat="false" ht="15" hidden="false" customHeight="false" outlineLevel="0" collapsed="false">
      <c r="J414" s="20" t="str">
        <f aca="false">IF($A414="","",$B414+$C414+$D414-$E414+$F414-$G414)</f>
        <v/>
      </c>
      <c r="K414" s="20" t="str">
        <f aca="false">IF($A414="","",MAX(0,$B414-$J414))</f>
        <v/>
      </c>
      <c r="L414" s="20" t="str">
        <f aca="false">IF($A414="","",IF($B414=0,0,$K414/$B414))</f>
        <v/>
      </c>
      <c r="M414" s="20" t="str">
        <f aca="false">IF($A414="","",IF($J414&lt;0,"BORCA BATIK",IF($I414&lt;$H414,"BORCA BATIK",IF($L414&gt;=TtkUcteIkiEsik,"2/3 KAYIP (KRİTİK)",IF($L414&gt;=TtkUcteBirEsik,"1/3 KAYIP (DİKKAT)","UYGUN")))))</f>
        <v/>
      </c>
      <c r="U414" s="20" t="str">
        <f aca="false">IF($N414="","",$Q414*$R414)</f>
        <v/>
      </c>
    </row>
    <row r="415" customFormat="false" ht="15" hidden="false" customHeight="false" outlineLevel="0" collapsed="false">
      <c r="J415" s="20" t="str">
        <f aca="false">IF($A415="","",$B415+$C415+$D415-$E415+$F415-$G415)</f>
        <v/>
      </c>
      <c r="K415" s="20" t="str">
        <f aca="false">IF($A415="","",MAX(0,$B415-$J415))</f>
        <v/>
      </c>
      <c r="L415" s="20" t="str">
        <f aca="false">IF($A415="","",IF($B415=0,0,$K415/$B415))</f>
        <v/>
      </c>
      <c r="M415" s="20" t="str">
        <f aca="false">IF($A415="","",IF($J415&lt;0,"BORCA BATIK",IF($I415&lt;$H415,"BORCA BATIK",IF($L415&gt;=TtkUcteIkiEsik,"2/3 KAYIP (KRİTİK)",IF($L415&gt;=TtkUcteBirEsik,"1/3 KAYIP (DİKKAT)","UYGUN")))))</f>
        <v/>
      </c>
      <c r="U415" s="20" t="str">
        <f aca="false">IF($N415="","",$Q415*$R415)</f>
        <v/>
      </c>
    </row>
    <row r="416" customFormat="false" ht="15" hidden="false" customHeight="false" outlineLevel="0" collapsed="false">
      <c r="J416" s="20" t="str">
        <f aca="false">IF($A416="","",$B416+$C416+$D416-$E416+$F416-$G416)</f>
        <v/>
      </c>
      <c r="K416" s="20" t="str">
        <f aca="false">IF($A416="","",MAX(0,$B416-$J416))</f>
        <v/>
      </c>
      <c r="L416" s="20" t="str">
        <f aca="false">IF($A416="","",IF($B416=0,0,$K416/$B416))</f>
        <v/>
      </c>
      <c r="M416" s="20" t="str">
        <f aca="false">IF($A416="","",IF($J416&lt;0,"BORCA BATIK",IF($I416&lt;$H416,"BORCA BATIK",IF($L416&gt;=TtkUcteIkiEsik,"2/3 KAYIP (KRİTİK)",IF($L416&gt;=TtkUcteBirEsik,"1/3 KAYIP (DİKKAT)","UYGUN")))))</f>
        <v/>
      </c>
      <c r="U416" s="20" t="str">
        <f aca="false">IF($N416="","",$Q416*$R416)</f>
        <v/>
      </c>
    </row>
    <row r="417" customFormat="false" ht="15" hidden="false" customHeight="false" outlineLevel="0" collapsed="false">
      <c r="J417" s="20" t="str">
        <f aca="false">IF($A417="","",$B417+$C417+$D417-$E417+$F417-$G417)</f>
        <v/>
      </c>
      <c r="K417" s="20" t="str">
        <f aca="false">IF($A417="","",MAX(0,$B417-$J417))</f>
        <v/>
      </c>
      <c r="L417" s="20" t="str">
        <f aca="false">IF($A417="","",IF($B417=0,0,$K417/$B417))</f>
        <v/>
      </c>
      <c r="M417" s="20" t="str">
        <f aca="false">IF($A417="","",IF($J417&lt;0,"BORCA BATIK",IF($I417&lt;$H417,"BORCA BATIK",IF($L417&gt;=TtkUcteIkiEsik,"2/3 KAYIP (KRİTİK)",IF($L417&gt;=TtkUcteBirEsik,"1/3 KAYIP (DİKKAT)","UYGUN")))))</f>
        <v/>
      </c>
      <c r="U417" s="20" t="str">
        <f aca="false">IF($N417="","",$Q417*$R417)</f>
        <v/>
      </c>
    </row>
    <row r="418" customFormat="false" ht="15" hidden="false" customHeight="false" outlineLevel="0" collapsed="false">
      <c r="J418" s="20" t="str">
        <f aca="false">IF($A418="","",$B418+$C418+$D418-$E418+$F418-$G418)</f>
        <v/>
      </c>
      <c r="K418" s="20" t="str">
        <f aca="false">IF($A418="","",MAX(0,$B418-$J418))</f>
        <v/>
      </c>
      <c r="L418" s="20" t="str">
        <f aca="false">IF($A418="","",IF($B418=0,0,$K418/$B418))</f>
        <v/>
      </c>
      <c r="M418" s="20" t="str">
        <f aca="false">IF($A418="","",IF($J418&lt;0,"BORCA BATIK",IF($I418&lt;$H418,"BORCA BATIK",IF($L418&gt;=TtkUcteIkiEsik,"2/3 KAYIP (KRİTİK)",IF($L418&gt;=TtkUcteBirEsik,"1/3 KAYIP (DİKKAT)","UYGUN")))))</f>
        <v/>
      </c>
      <c r="U418" s="20" t="str">
        <f aca="false">IF($N418="","",$Q418*$R418)</f>
        <v/>
      </c>
    </row>
    <row r="419" customFormat="false" ht="15" hidden="false" customHeight="false" outlineLevel="0" collapsed="false">
      <c r="J419" s="20" t="str">
        <f aca="false">IF($A419="","",$B419+$C419+$D419-$E419+$F419-$G419)</f>
        <v/>
      </c>
      <c r="K419" s="20" t="str">
        <f aca="false">IF($A419="","",MAX(0,$B419-$J419))</f>
        <v/>
      </c>
      <c r="L419" s="20" t="str">
        <f aca="false">IF($A419="","",IF($B419=0,0,$K419/$B419))</f>
        <v/>
      </c>
      <c r="M419" s="20" t="str">
        <f aca="false">IF($A419="","",IF($J419&lt;0,"BORCA BATIK",IF($I419&lt;$H419,"BORCA BATIK",IF($L419&gt;=TtkUcteIkiEsik,"2/3 KAYIP (KRİTİK)",IF($L419&gt;=TtkUcteBirEsik,"1/3 KAYIP (DİKKAT)","UYGUN")))))</f>
        <v/>
      </c>
      <c r="U419" s="20" t="str">
        <f aca="false">IF($N419="","",$Q419*$R419)</f>
        <v/>
      </c>
    </row>
    <row r="420" customFormat="false" ht="15" hidden="false" customHeight="false" outlineLevel="0" collapsed="false">
      <c r="J420" s="20" t="str">
        <f aca="false">IF($A420="","",$B420+$C420+$D420-$E420+$F420-$G420)</f>
        <v/>
      </c>
      <c r="K420" s="20" t="str">
        <f aca="false">IF($A420="","",MAX(0,$B420-$J420))</f>
        <v/>
      </c>
      <c r="L420" s="20" t="str">
        <f aca="false">IF($A420="","",IF($B420=0,0,$K420/$B420))</f>
        <v/>
      </c>
      <c r="M420" s="20" t="str">
        <f aca="false">IF($A420="","",IF($J420&lt;0,"BORCA BATIK",IF($I420&lt;$H420,"BORCA BATIK",IF($L420&gt;=TtkUcteIkiEsik,"2/3 KAYIP (KRİTİK)",IF($L420&gt;=TtkUcteBirEsik,"1/3 KAYIP (DİKKAT)","UYGUN")))))</f>
        <v/>
      </c>
      <c r="U420" s="20" t="str">
        <f aca="false">IF($N420="","",$Q420*$R420)</f>
        <v/>
      </c>
    </row>
    <row r="421" customFormat="false" ht="15" hidden="false" customHeight="false" outlineLevel="0" collapsed="false">
      <c r="J421" s="20" t="str">
        <f aca="false">IF($A421="","",$B421+$C421+$D421-$E421+$F421-$G421)</f>
        <v/>
      </c>
      <c r="K421" s="20" t="str">
        <f aca="false">IF($A421="","",MAX(0,$B421-$J421))</f>
        <v/>
      </c>
      <c r="L421" s="20" t="str">
        <f aca="false">IF($A421="","",IF($B421=0,0,$K421/$B421))</f>
        <v/>
      </c>
      <c r="M421" s="20" t="str">
        <f aca="false">IF($A421="","",IF($J421&lt;0,"BORCA BATIK",IF($I421&lt;$H421,"BORCA BATIK",IF($L421&gt;=TtkUcteIkiEsik,"2/3 KAYIP (KRİTİK)",IF($L421&gt;=TtkUcteBirEsik,"1/3 KAYIP (DİKKAT)","UYGUN")))))</f>
        <v/>
      </c>
      <c r="U421" s="20" t="str">
        <f aca="false">IF($N421="","",$Q421*$R421)</f>
        <v/>
      </c>
    </row>
    <row r="422" customFormat="false" ht="15" hidden="false" customHeight="false" outlineLevel="0" collapsed="false">
      <c r="J422" s="20" t="str">
        <f aca="false">IF($A422="","",$B422+$C422+$D422-$E422+$F422-$G422)</f>
        <v/>
      </c>
      <c r="K422" s="20" t="str">
        <f aca="false">IF($A422="","",MAX(0,$B422-$J422))</f>
        <v/>
      </c>
      <c r="L422" s="20" t="str">
        <f aca="false">IF($A422="","",IF($B422=0,0,$K422/$B422))</f>
        <v/>
      </c>
      <c r="M422" s="20" t="str">
        <f aca="false">IF($A422="","",IF($J422&lt;0,"BORCA BATIK",IF($I422&lt;$H422,"BORCA BATIK",IF($L422&gt;=TtkUcteIkiEsik,"2/3 KAYIP (KRİTİK)",IF($L422&gt;=TtkUcteBirEsik,"1/3 KAYIP (DİKKAT)","UYGUN")))))</f>
        <v/>
      </c>
      <c r="U422" s="20" t="str">
        <f aca="false">IF($N422="","",$Q422*$R422)</f>
        <v/>
      </c>
    </row>
    <row r="423" customFormat="false" ht="15" hidden="false" customHeight="false" outlineLevel="0" collapsed="false">
      <c r="J423" s="20" t="str">
        <f aca="false">IF($A423="","",$B423+$C423+$D423-$E423+$F423-$G423)</f>
        <v/>
      </c>
      <c r="K423" s="20" t="str">
        <f aca="false">IF($A423="","",MAX(0,$B423-$J423))</f>
        <v/>
      </c>
      <c r="L423" s="20" t="str">
        <f aca="false">IF($A423="","",IF($B423=0,0,$K423/$B423))</f>
        <v/>
      </c>
      <c r="M423" s="20" t="str">
        <f aca="false">IF($A423="","",IF($J423&lt;0,"BORCA BATIK",IF($I423&lt;$H423,"BORCA BATIK",IF($L423&gt;=TtkUcteIkiEsik,"2/3 KAYIP (KRİTİK)",IF($L423&gt;=TtkUcteBirEsik,"1/3 KAYIP (DİKKAT)","UYGUN")))))</f>
        <v/>
      </c>
      <c r="U423" s="20" t="str">
        <f aca="false">IF($N423="","",$Q423*$R423)</f>
        <v/>
      </c>
    </row>
    <row r="424" customFormat="false" ht="15" hidden="false" customHeight="false" outlineLevel="0" collapsed="false">
      <c r="J424" s="20" t="str">
        <f aca="false">IF($A424="","",$B424+$C424+$D424-$E424+$F424-$G424)</f>
        <v/>
      </c>
      <c r="K424" s="20" t="str">
        <f aca="false">IF($A424="","",MAX(0,$B424-$J424))</f>
        <v/>
      </c>
      <c r="L424" s="20" t="str">
        <f aca="false">IF($A424="","",IF($B424=0,0,$K424/$B424))</f>
        <v/>
      </c>
      <c r="M424" s="20" t="str">
        <f aca="false">IF($A424="","",IF($J424&lt;0,"BORCA BATIK",IF($I424&lt;$H424,"BORCA BATIK",IF($L424&gt;=TtkUcteIkiEsik,"2/3 KAYIP (KRİTİK)",IF($L424&gt;=TtkUcteBirEsik,"1/3 KAYIP (DİKKAT)","UYGUN")))))</f>
        <v/>
      </c>
      <c r="U424" s="20" t="str">
        <f aca="false">IF($N424="","",$Q424*$R424)</f>
        <v/>
      </c>
    </row>
    <row r="425" customFormat="false" ht="15" hidden="false" customHeight="false" outlineLevel="0" collapsed="false">
      <c r="J425" s="20" t="str">
        <f aca="false">IF($A425="","",$B425+$C425+$D425-$E425+$F425-$G425)</f>
        <v/>
      </c>
      <c r="K425" s="20" t="str">
        <f aca="false">IF($A425="","",MAX(0,$B425-$J425))</f>
        <v/>
      </c>
      <c r="L425" s="20" t="str">
        <f aca="false">IF($A425="","",IF($B425=0,0,$K425/$B425))</f>
        <v/>
      </c>
      <c r="M425" s="20" t="str">
        <f aca="false">IF($A425="","",IF($J425&lt;0,"BORCA BATIK",IF($I425&lt;$H425,"BORCA BATIK",IF($L425&gt;=TtkUcteIkiEsik,"2/3 KAYIP (KRİTİK)",IF($L425&gt;=TtkUcteBirEsik,"1/3 KAYIP (DİKKAT)","UYGUN")))))</f>
        <v/>
      </c>
      <c r="U425" s="20" t="str">
        <f aca="false">IF($N425="","",$Q425*$R425)</f>
        <v/>
      </c>
    </row>
    <row r="426" customFormat="false" ht="15" hidden="false" customHeight="false" outlineLevel="0" collapsed="false">
      <c r="J426" s="20" t="str">
        <f aca="false">IF($A426="","",$B426+$C426+$D426-$E426+$F426-$G426)</f>
        <v/>
      </c>
      <c r="K426" s="20" t="str">
        <f aca="false">IF($A426="","",MAX(0,$B426-$J426))</f>
        <v/>
      </c>
      <c r="L426" s="20" t="str">
        <f aca="false">IF($A426="","",IF($B426=0,0,$K426/$B426))</f>
        <v/>
      </c>
      <c r="M426" s="20" t="str">
        <f aca="false">IF($A426="","",IF($J426&lt;0,"BORCA BATIK",IF($I426&lt;$H426,"BORCA BATIK",IF($L426&gt;=TtkUcteIkiEsik,"2/3 KAYIP (KRİTİK)",IF($L426&gt;=TtkUcteBirEsik,"1/3 KAYIP (DİKKAT)","UYGUN")))))</f>
        <v/>
      </c>
      <c r="U426" s="20" t="str">
        <f aca="false">IF($N426="","",$Q426*$R426)</f>
        <v/>
      </c>
    </row>
    <row r="427" customFormat="false" ht="15" hidden="false" customHeight="false" outlineLevel="0" collapsed="false">
      <c r="J427" s="20" t="str">
        <f aca="false">IF($A427="","",$B427+$C427+$D427-$E427+$F427-$G427)</f>
        <v/>
      </c>
      <c r="K427" s="20" t="str">
        <f aca="false">IF($A427="","",MAX(0,$B427-$J427))</f>
        <v/>
      </c>
      <c r="L427" s="20" t="str">
        <f aca="false">IF($A427="","",IF($B427=0,0,$K427/$B427))</f>
        <v/>
      </c>
      <c r="M427" s="20" t="str">
        <f aca="false">IF($A427="","",IF($J427&lt;0,"BORCA BATIK",IF($I427&lt;$H427,"BORCA BATIK",IF($L427&gt;=TtkUcteIkiEsik,"2/3 KAYIP (KRİTİK)",IF($L427&gt;=TtkUcteBirEsik,"1/3 KAYIP (DİKKAT)","UYGUN")))))</f>
        <v/>
      </c>
      <c r="U427" s="20" t="str">
        <f aca="false">IF($N427="","",$Q427*$R427)</f>
        <v/>
      </c>
    </row>
    <row r="428" customFormat="false" ht="15" hidden="false" customHeight="false" outlineLevel="0" collapsed="false">
      <c r="J428" s="20" t="str">
        <f aca="false">IF($A428="","",$B428+$C428+$D428-$E428+$F428-$G428)</f>
        <v/>
      </c>
      <c r="K428" s="20" t="str">
        <f aca="false">IF($A428="","",MAX(0,$B428-$J428))</f>
        <v/>
      </c>
      <c r="L428" s="20" t="str">
        <f aca="false">IF($A428="","",IF($B428=0,0,$K428/$B428))</f>
        <v/>
      </c>
      <c r="M428" s="20" t="str">
        <f aca="false">IF($A428="","",IF($J428&lt;0,"BORCA BATIK",IF($I428&lt;$H428,"BORCA BATIK",IF($L428&gt;=TtkUcteIkiEsik,"2/3 KAYIP (KRİTİK)",IF($L428&gt;=TtkUcteBirEsik,"1/3 KAYIP (DİKKAT)","UYGUN")))))</f>
        <v/>
      </c>
      <c r="U428" s="20" t="str">
        <f aca="false">IF($N428="","",$Q428*$R428)</f>
        <v/>
      </c>
    </row>
    <row r="429" customFormat="false" ht="15" hidden="false" customHeight="false" outlineLevel="0" collapsed="false">
      <c r="J429" s="20" t="str">
        <f aca="false">IF($A429="","",$B429+$C429+$D429-$E429+$F429-$G429)</f>
        <v/>
      </c>
      <c r="K429" s="20" t="str">
        <f aca="false">IF($A429="","",MAX(0,$B429-$J429))</f>
        <v/>
      </c>
      <c r="L429" s="20" t="str">
        <f aca="false">IF($A429="","",IF($B429=0,0,$K429/$B429))</f>
        <v/>
      </c>
      <c r="M429" s="20" t="str">
        <f aca="false">IF($A429="","",IF($J429&lt;0,"BORCA BATIK",IF($I429&lt;$H429,"BORCA BATIK",IF($L429&gt;=TtkUcteIkiEsik,"2/3 KAYIP (KRİTİK)",IF($L429&gt;=TtkUcteBirEsik,"1/3 KAYIP (DİKKAT)","UYGUN")))))</f>
        <v/>
      </c>
      <c r="U429" s="20" t="str">
        <f aca="false">IF($N429="","",$Q429*$R429)</f>
        <v/>
      </c>
    </row>
    <row r="430" customFormat="false" ht="15" hidden="false" customHeight="false" outlineLevel="0" collapsed="false">
      <c r="J430" s="20" t="str">
        <f aca="false">IF($A430="","",$B430+$C430+$D430-$E430+$F430-$G430)</f>
        <v/>
      </c>
      <c r="K430" s="20" t="str">
        <f aca="false">IF($A430="","",MAX(0,$B430-$J430))</f>
        <v/>
      </c>
      <c r="L430" s="20" t="str">
        <f aca="false">IF($A430="","",IF($B430=0,0,$K430/$B430))</f>
        <v/>
      </c>
      <c r="M430" s="20" t="str">
        <f aca="false">IF($A430="","",IF($J430&lt;0,"BORCA BATIK",IF($I430&lt;$H430,"BORCA BATIK",IF($L430&gt;=TtkUcteIkiEsik,"2/3 KAYIP (KRİTİK)",IF($L430&gt;=TtkUcteBirEsik,"1/3 KAYIP (DİKKAT)","UYGUN")))))</f>
        <v/>
      </c>
      <c r="U430" s="20" t="str">
        <f aca="false">IF($N430="","",$Q430*$R430)</f>
        <v/>
      </c>
    </row>
    <row r="431" customFormat="false" ht="15" hidden="false" customHeight="false" outlineLevel="0" collapsed="false">
      <c r="J431" s="20" t="str">
        <f aca="false">IF($A431="","",$B431+$C431+$D431-$E431+$F431-$G431)</f>
        <v/>
      </c>
      <c r="K431" s="20" t="str">
        <f aca="false">IF($A431="","",MAX(0,$B431-$J431))</f>
        <v/>
      </c>
      <c r="L431" s="20" t="str">
        <f aca="false">IF($A431="","",IF($B431=0,0,$K431/$B431))</f>
        <v/>
      </c>
      <c r="M431" s="20" t="str">
        <f aca="false">IF($A431="","",IF($J431&lt;0,"BORCA BATIK",IF($I431&lt;$H431,"BORCA BATIK",IF($L431&gt;=TtkUcteIkiEsik,"2/3 KAYIP (KRİTİK)",IF($L431&gt;=TtkUcteBirEsik,"1/3 KAYIP (DİKKAT)","UYGUN")))))</f>
        <v/>
      </c>
      <c r="U431" s="20" t="str">
        <f aca="false">IF($N431="","",$Q431*$R431)</f>
        <v/>
      </c>
    </row>
    <row r="432" customFormat="false" ht="15" hidden="false" customHeight="false" outlineLevel="0" collapsed="false">
      <c r="J432" s="20" t="str">
        <f aca="false">IF($A432="","",$B432+$C432+$D432-$E432+$F432-$G432)</f>
        <v/>
      </c>
      <c r="K432" s="20" t="str">
        <f aca="false">IF($A432="","",MAX(0,$B432-$J432))</f>
        <v/>
      </c>
      <c r="L432" s="20" t="str">
        <f aca="false">IF($A432="","",IF($B432=0,0,$K432/$B432))</f>
        <v/>
      </c>
      <c r="M432" s="20" t="str">
        <f aca="false">IF($A432="","",IF($J432&lt;0,"BORCA BATIK",IF($I432&lt;$H432,"BORCA BATIK",IF($L432&gt;=TtkUcteIkiEsik,"2/3 KAYIP (KRİTİK)",IF($L432&gt;=TtkUcteBirEsik,"1/3 KAYIP (DİKKAT)","UYGUN")))))</f>
        <v/>
      </c>
      <c r="U432" s="20" t="str">
        <f aca="false">IF($N432="","",$Q432*$R432)</f>
        <v/>
      </c>
    </row>
    <row r="433" customFormat="false" ht="15" hidden="false" customHeight="false" outlineLevel="0" collapsed="false">
      <c r="J433" s="20" t="str">
        <f aca="false">IF($A433="","",$B433+$C433+$D433-$E433+$F433-$G433)</f>
        <v/>
      </c>
      <c r="K433" s="20" t="str">
        <f aca="false">IF($A433="","",MAX(0,$B433-$J433))</f>
        <v/>
      </c>
      <c r="L433" s="20" t="str">
        <f aca="false">IF($A433="","",IF($B433=0,0,$K433/$B433))</f>
        <v/>
      </c>
      <c r="M433" s="20" t="str">
        <f aca="false">IF($A433="","",IF($J433&lt;0,"BORCA BATIK",IF($I433&lt;$H433,"BORCA BATIK",IF($L433&gt;=TtkUcteIkiEsik,"2/3 KAYIP (KRİTİK)",IF($L433&gt;=TtkUcteBirEsik,"1/3 KAYIP (DİKKAT)","UYGUN")))))</f>
        <v/>
      </c>
      <c r="U433" s="20" t="str">
        <f aca="false">IF($N433="","",$Q433*$R433)</f>
        <v/>
      </c>
    </row>
    <row r="434" customFormat="false" ht="15" hidden="false" customHeight="false" outlineLevel="0" collapsed="false">
      <c r="J434" s="20" t="str">
        <f aca="false">IF($A434="","",$B434+$C434+$D434-$E434+$F434-$G434)</f>
        <v/>
      </c>
      <c r="K434" s="20" t="str">
        <f aca="false">IF($A434="","",MAX(0,$B434-$J434))</f>
        <v/>
      </c>
      <c r="L434" s="20" t="str">
        <f aca="false">IF($A434="","",IF($B434=0,0,$K434/$B434))</f>
        <v/>
      </c>
      <c r="M434" s="20" t="str">
        <f aca="false">IF($A434="","",IF($J434&lt;0,"BORCA BATIK",IF($I434&lt;$H434,"BORCA BATIK",IF($L434&gt;=TtkUcteIkiEsik,"2/3 KAYIP (KRİTİK)",IF($L434&gt;=TtkUcteBirEsik,"1/3 KAYIP (DİKKAT)","UYGUN")))))</f>
        <v/>
      </c>
      <c r="U434" s="20" t="str">
        <f aca="false">IF($N434="","",$Q434*$R434)</f>
        <v/>
      </c>
    </row>
    <row r="435" customFormat="false" ht="15" hidden="false" customHeight="false" outlineLevel="0" collapsed="false">
      <c r="J435" s="20" t="str">
        <f aca="false">IF($A435="","",$B435+$C435+$D435-$E435+$F435-$G435)</f>
        <v/>
      </c>
      <c r="K435" s="20" t="str">
        <f aca="false">IF($A435="","",MAX(0,$B435-$J435))</f>
        <v/>
      </c>
      <c r="L435" s="20" t="str">
        <f aca="false">IF($A435="","",IF($B435=0,0,$K435/$B435))</f>
        <v/>
      </c>
      <c r="M435" s="20" t="str">
        <f aca="false">IF($A435="","",IF($J435&lt;0,"BORCA BATIK",IF($I435&lt;$H435,"BORCA BATIK",IF($L435&gt;=TtkUcteIkiEsik,"2/3 KAYIP (KRİTİK)",IF($L435&gt;=TtkUcteBirEsik,"1/3 KAYIP (DİKKAT)","UYGUN")))))</f>
        <v/>
      </c>
      <c r="U435" s="20" t="str">
        <f aca="false">IF($N435="","",$Q435*$R435)</f>
        <v/>
      </c>
    </row>
    <row r="436" customFormat="false" ht="15" hidden="false" customHeight="false" outlineLevel="0" collapsed="false">
      <c r="J436" s="20" t="str">
        <f aca="false">IF($A436="","",$B436+$C436+$D436-$E436+$F436-$G436)</f>
        <v/>
      </c>
      <c r="K436" s="20" t="str">
        <f aca="false">IF($A436="","",MAX(0,$B436-$J436))</f>
        <v/>
      </c>
      <c r="L436" s="20" t="str">
        <f aca="false">IF($A436="","",IF($B436=0,0,$K436/$B436))</f>
        <v/>
      </c>
      <c r="M436" s="20" t="str">
        <f aca="false">IF($A436="","",IF($J436&lt;0,"BORCA BATIK",IF($I436&lt;$H436,"BORCA BATIK",IF($L436&gt;=TtkUcteIkiEsik,"2/3 KAYIP (KRİTİK)",IF($L436&gt;=TtkUcteBirEsik,"1/3 KAYIP (DİKKAT)","UYGUN")))))</f>
        <v/>
      </c>
      <c r="U436" s="20" t="str">
        <f aca="false">IF($N436="","",$Q436*$R436)</f>
        <v/>
      </c>
    </row>
    <row r="437" customFormat="false" ht="15" hidden="false" customHeight="false" outlineLevel="0" collapsed="false">
      <c r="J437" s="20" t="str">
        <f aca="false">IF($A437="","",$B437+$C437+$D437-$E437+$F437-$G437)</f>
        <v/>
      </c>
      <c r="K437" s="20" t="str">
        <f aca="false">IF($A437="","",MAX(0,$B437-$J437))</f>
        <v/>
      </c>
      <c r="L437" s="20" t="str">
        <f aca="false">IF($A437="","",IF($B437=0,0,$K437/$B437))</f>
        <v/>
      </c>
      <c r="M437" s="20" t="str">
        <f aca="false">IF($A437="","",IF($J437&lt;0,"BORCA BATIK",IF($I437&lt;$H437,"BORCA BATIK",IF($L437&gt;=TtkUcteIkiEsik,"2/3 KAYIP (KRİTİK)",IF($L437&gt;=TtkUcteBirEsik,"1/3 KAYIP (DİKKAT)","UYGUN")))))</f>
        <v/>
      </c>
      <c r="U437" s="20" t="str">
        <f aca="false">IF($N437="","",$Q437*$R437)</f>
        <v/>
      </c>
    </row>
    <row r="438" customFormat="false" ht="15" hidden="false" customHeight="false" outlineLevel="0" collapsed="false">
      <c r="J438" s="20" t="str">
        <f aca="false">IF($A438="","",$B438+$C438+$D438-$E438+$F438-$G438)</f>
        <v/>
      </c>
      <c r="K438" s="20" t="str">
        <f aca="false">IF($A438="","",MAX(0,$B438-$J438))</f>
        <v/>
      </c>
      <c r="L438" s="20" t="str">
        <f aca="false">IF($A438="","",IF($B438=0,0,$K438/$B438))</f>
        <v/>
      </c>
      <c r="M438" s="20" t="str">
        <f aca="false">IF($A438="","",IF($J438&lt;0,"BORCA BATIK",IF($I438&lt;$H438,"BORCA BATIK",IF($L438&gt;=TtkUcteIkiEsik,"2/3 KAYIP (KRİTİK)",IF($L438&gt;=TtkUcteBirEsik,"1/3 KAYIP (DİKKAT)","UYGUN")))))</f>
        <v/>
      </c>
      <c r="U438" s="20" t="str">
        <f aca="false">IF($N438="","",$Q438*$R438)</f>
        <v/>
      </c>
    </row>
    <row r="439" customFormat="false" ht="15" hidden="false" customHeight="false" outlineLevel="0" collapsed="false">
      <c r="J439" s="20" t="str">
        <f aca="false">IF($A439="","",$B439+$C439+$D439-$E439+$F439-$G439)</f>
        <v/>
      </c>
      <c r="K439" s="20" t="str">
        <f aca="false">IF($A439="","",MAX(0,$B439-$J439))</f>
        <v/>
      </c>
      <c r="L439" s="20" t="str">
        <f aca="false">IF($A439="","",IF($B439=0,0,$K439/$B439))</f>
        <v/>
      </c>
      <c r="M439" s="20" t="str">
        <f aca="false">IF($A439="","",IF($J439&lt;0,"BORCA BATIK",IF($I439&lt;$H439,"BORCA BATIK",IF($L439&gt;=TtkUcteIkiEsik,"2/3 KAYIP (KRİTİK)",IF($L439&gt;=TtkUcteBirEsik,"1/3 KAYIP (DİKKAT)","UYGUN")))))</f>
        <v/>
      </c>
      <c r="U439" s="20" t="str">
        <f aca="false">IF($N439="","",$Q439*$R439)</f>
        <v/>
      </c>
    </row>
    <row r="440" customFormat="false" ht="15" hidden="false" customHeight="false" outlineLevel="0" collapsed="false">
      <c r="J440" s="20" t="str">
        <f aca="false">IF($A440="","",$B440+$C440+$D440-$E440+$F440-$G440)</f>
        <v/>
      </c>
      <c r="K440" s="20" t="str">
        <f aca="false">IF($A440="","",MAX(0,$B440-$J440))</f>
        <v/>
      </c>
      <c r="L440" s="20" t="str">
        <f aca="false">IF($A440="","",IF($B440=0,0,$K440/$B440))</f>
        <v/>
      </c>
      <c r="M440" s="20" t="str">
        <f aca="false">IF($A440="","",IF($J440&lt;0,"BORCA BATIK",IF($I440&lt;$H440,"BORCA BATIK",IF($L440&gt;=TtkUcteIkiEsik,"2/3 KAYIP (KRİTİK)",IF($L440&gt;=TtkUcteBirEsik,"1/3 KAYIP (DİKKAT)","UYGUN")))))</f>
        <v/>
      </c>
      <c r="U440" s="20" t="str">
        <f aca="false">IF($N440="","",$Q440*$R440)</f>
        <v/>
      </c>
    </row>
    <row r="441" customFormat="false" ht="15" hidden="false" customHeight="false" outlineLevel="0" collapsed="false">
      <c r="J441" s="20" t="str">
        <f aca="false">IF($A441="","",$B441+$C441+$D441-$E441+$F441-$G441)</f>
        <v/>
      </c>
      <c r="K441" s="20" t="str">
        <f aca="false">IF($A441="","",MAX(0,$B441-$J441))</f>
        <v/>
      </c>
      <c r="L441" s="20" t="str">
        <f aca="false">IF($A441="","",IF($B441=0,0,$K441/$B441))</f>
        <v/>
      </c>
      <c r="M441" s="20" t="str">
        <f aca="false">IF($A441="","",IF($J441&lt;0,"BORCA BATIK",IF($I441&lt;$H441,"BORCA BATIK",IF($L441&gt;=TtkUcteIkiEsik,"2/3 KAYIP (KRİTİK)",IF($L441&gt;=TtkUcteBirEsik,"1/3 KAYIP (DİKKAT)","UYGUN")))))</f>
        <v/>
      </c>
      <c r="U441" s="20" t="str">
        <f aca="false">IF($N441="","",$Q441*$R441)</f>
        <v/>
      </c>
    </row>
    <row r="442" customFormat="false" ht="15" hidden="false" customHeight="false" outlineLevel="0" collapsed="false">
      <c r="J442" s="20" t="str">
        <f aca="false">IF($A442="","",$B442+$C442+$D442-$E442+$F442-$G442)</f>
        <v/>
      </c>
      <c r="K442" s="20" t="str">
        <f aca="false">IF($A442="","",MAX(0,$B442-$J442))</f>
        <v/>
      </c>
      <c r="L442" s="20" t="str">
        <f aca="false">IF($A442="","",IF($B442=0,0,$K442/$B442))</f>
        <v/>
      </c>
      <c r="M442" s="20" t="str">
        <f aca="false">IF($A442="","",IF($J442&lt;0,"BORCA BATIK",IF($I442&lt;$H442,"BORCA BATIK",IF($L442&gt;=TtkUcteIkiEsik,"2/3 KAYIP (KRİTİK)",IF($L442&gt;=TtkUcteBirEsik,"1/3 KAYIP (DİKKAT)","UYGUN")))))</f>
        <v/>
      </c>
      <c r="U442" s="20" t="str">
        <f aca="false">IF($N442="","",$Q442*$R442)</f>
        <v/>
      </c>
    </row>
    <row r="443" customFormat="false" ht="15" hidden="false" customHeight="false" outlineLevel="0" collapsed="false">
      <c r="J443" s="20" t="str">
        <f aca="false">IF($A443="","",$B443+$C443+$D443-$E443+$F443-$G443)</f>
        <v/>
      </c>
      <c r="K443" s="20" t="str">
        <f aca="false">IF($A443="","",MAX(0,$B443-$J443))</f>
        <v/>
      </c>
      <c r="L443" s="20" t="str">
        <f aca="false">IF($A443="","",IF($B443=0,0,$K443/$B443))</f>
        <v/>
      </c>
      <c r="M443" s="20" t="str">
        <f aca="false">IF($A443="","",IF($J443&lt;0,"BORCA BATIK",IF($I443&lt;$H443,"BORCA BATIK",IF($L443&gt;=TtkUcteIkiEsik,"2/3 KAYIP (KRİTİK)",IF($L443&gt;=TtkUcteBirEsik,"1/3 KAYIP (DİKKAT)","UYGUN")))))</f>
        <v/>
      </c>
      <c r="U443" s="20" t="str">
        <f aca="false">IF($N443="","",$Q443*$R443)</f>
        <v/>
      </c>
    </row>
    <row r="444" customFormat="false" ht="15" hidden="false" customHeight="false" outlineLevel="0" collapsed="false">
      <c r="J444" s="20" t="str">
        <f aca="false">IF($A444="","",$B444+$C444+$D444-$E444+$F444-$G444)</f>
        <v/>
      </c>
      <c r="K444" s="20" t="str">
        <f aca="false">IF($A444="","",MAX(0,$B444-$J444))</f>
        <v/>
      </c>
      <c r="L444" s="20" t="str">
        <f aca="false">IF($A444="","",IF($B444=0,0,$K444/$B444))</f>
        <v/>
      </c>
      <c r="M444" s="20" t="str">
        <f aca="false">IF($A444="","",IF($J444&lt;0,"BORCA BATIK",IF($I444&lt;$H444,"BORCA BATIK",IF($L444&gt;=TtkUcteIkiEsik,"2/3 KAYIP (KRİTİK)",IF($L444&gt;=TtkUcteBirEsik,"1/3 KAYIP (DİKKAT)","UYGUN")))))</f>
        <v/>
      </c>
      <c r="U444" s="20" t="str">
        <f aca="false">IF($N444="","",$Q444*$R444)</f>
        <v/>
      </c>
    </row>
    <row r="445" customFormat="false" ht="15" hidden="false" customHeight="false" outlineLevel="0" collapsed="false">
      <c r="J445" s="20" t="str">
        <f aca="false">IF($A445="","",$B445+$C445+$D445-$E445+$F445-$G445)</f>
        <v/>
      </c>
      <c r="K445" s="20" t="str">
        <f aca="false">IF($A445="","",MAX(0,$B445-$J445))</f>
        <v/>
      </c>
      <c r="L445" s="20" t="str">
        <f aca="false">IF($A445="","",IF($B445=0,0,$K445/$B445))</f>
        <v/>
      </c>
      <c r="M445" s="20" t="str">
        <f aca="false">IF($A445="","",IF($J445&lt;0,"BORCA BATIK",IF($I445&lt;$H445,"BORCA BATIK",IF($L445&gt;=TtkUcteIkiEsik,"2/3 KAYIP (KRİTİK)",IF($L445&gt;=TtkUcteBirEsik,"1/3 KAYIP (DİKKAT)","UYGUN")))))</f>
        <v/>
      </c>
      <c r="U445" s="20" t="str">
        <f aca="false">IF($N445="","",$Q445*$R445)</f>
        <v/>
      </c>
    </row>
    <row r="446" customFormat="false" ht="15" hidden="false" customHeight="false" outlineLevel="0" collapsed="false">
      <c r="J446" s="20" t="str">
        <f aca="false">IF($A446="","",$B446+$C446+$D446-$E446+$F446-$G446)</f>
        <v/>
      </c>
      <c r="K446" s="20" t="str">
        <f aca="false">IF($A446="","",MAX(0,$B446-$J446))</f>
        <v/>
      </c>
      <c r="L446" s="20" t="str">
        <f aca="false">IF($A446="","",IF($B446=0,0,$K446/$B446))</f>
        <v/>
      </c>
      <c r="M446" s="20" t="str">
        <f aca="false">IF($A446="","",IF($J446&lt;0,"BORCA BATIK",IF($I446&lt;$H446,"BORCA BATIK",IF($L446&gt;=TtkUcteIkiEsik,"2/3 KAYIP (KRİTİK)",IF($L446&gt;=TtkUcteBirEsik,"1/3 KAYIP (DİKKAT)","UYGUN")))))</f>
        <v/>
      </c>
      <c r="U446" s="20" t="str">
        <f aca="false">IF($N446="","",$Q446*$R446)</f>
        <v/>
      </c>
    </row>
    <row r="447" customFormat="false" ht="15" hidden="false" customHeight="false" outlineLevel="0" collapsed="false">
      <c r="J447" s="20" t="str">
        <f aca="false">IF($A447="","",$B447+$C447+$D447-$E447+$F447-$G447)</f>
        <v/>
      </c>
      <c r="K447" s="20" t="str">
        <f aca="false">IF($A447="","",MAX(0,$B447-$J447))</f>
        <v/>
      </c>
      <c r="L447" s="20" t="str">
        <f aca="false">IF($A447="","",IF($B447=0,0,$K447/$B447))</f>
        <v/>
      </c>
      <c r="M447" s="20" t="str">
        <f aca="false">IF($A447="","",IF($J447&lt;0,"BORCA BATIK",IF($I447&lt;$H447,"BORCA BATIK",IF($L447&gt;=TtkUcteIkiEsik,"2/3 KAYIP (KRİTİK)",IF($L447&gt;=TtkUcteBirEsik,"1/3 KAYIP (DİKKAT)","UYGUN")))))</f>
        <v/>
      </c>
      <c r="U447" s="20" t="str">
        <f aca="false">IF($N447="","",$Q447*$R447)</f>
        <v/>
      </c>
    </row>
    <row r="448" customFormat="false" ht="15" hidden="false" customHeight="false" outlineLevel="0" collapsed="false">
      <c r="J448" s="20" t="str">
        <f aca="false">IF($A448="","",$B448+$C448+$D448-$E448+$F448-$G448)</f>
        <v/>
      </c>
      <c r="K448" s="20" t="str">
        <f aca="false">IF($A448="","",MAX(0,$B448-$J448))</f>
        <v/>
      </c>
      <c r="L448" s="20" t="str">
        <f aca="false">IF($A448="","",IF($B448=0,0,$K448/$B448))</f>
        <v/>
      </c>
      <c r="M448" s="20" t="str">
        <f aca="false">IF($A448="","",IF($J448&lt;0,"BORCA BATIK",IF($I448&lt;$H448,"BORCA BATIK",IF($L448&gt;=TtkUcteIkiEsik,"2/3 KAYIP (KRİTİK)",IF($L448&gt;=TtkUcteBirEsik,"1/3 KAYIP (DİKKAT)","UYGUN")))))</f>
        <v/>
      </c>
      <c r="U448" s="20" t="str">
        <f aca="false">IF($N448="","",$Q448*$R448)</f>
        <v/>
      </c>
    </row>
    <row r="449" customFormat="false" ht="15" hidden="false" customHeight="false" outlineLevel="0" collapsed="false">
      <c r="J449" s="20" t="str">
        <f aca="false">IF($A449="","",$B449+$C449+$D449-$E449+$F449-$G449)</f>
        <v/>
      </c>
      <c r="K449" s="20" t="str">
        <f aca="false">IF($A449="","",MAX(0,$B449-$J449))</f>
        <v/>
      </c>
      <c r="L449" s="20" t="str">
        <f aca="false">IF($A449="","",IF($B449=0,0,$K449/$B449))</f>
        <v/>
      </c>
      <c r="M449" s="20" t="str">
        <f aca="false">IF($A449="","",IF($J449&lt;0,"BORCA BATIK",IF($I449&lt;$H449,"BORCA BATIK",IF($L449&gt;=TtkUcteIkiEsik,"2/3 KAYIP (KRİTİK)",IF($L449&gt;=TtkUcteBirEsik,"1/3 KAYIP (DİKKAT)","UYGUN")))))</f>
        <v/>
      </c>
      <c r="U449" s="20" t="str">
        <f aca="false">IF($N449="","",$Q449*$R449)</f>
        <v/>
      </c>
    </row>
    <row r="450" customFormat="false" ht="15" hidden="false" customHeight="false" outlineLevel="0" collapsed="false">
      <c r="J450" s="20" t="str">
        <f aca="false">IF($A450="","",$B450+$C450+$D450-$E450+$F450-$G450)</f>
        <v/>
      </c>
      <c r="K450" s="20" t="str">
        <f aca="false">IF($A450="","",MAX(0,$B450-$J450))</f>
        <v/>
      </c>
      <c r="L450" s="20" t="str">
        <f aca="false">IF($A450="","",IF($B450=0,0,$K450/$B450))</f>
        <v/>
      </c>
      <c r="M450" s="20" t="str">
        <f aca="false">IF($A450="","",IF($J450&lt;0,"BORCA BATIK",IF($I450&lt;$H450,"BORCA BATIK",IF($L450&gt;=TtkUcteIkiEsik,"2/3 KAYIP (KRİTİK)",IF($L450&gt;=TtkUcteBirEsik,"1/3 KAYIP (DİKKAT)","UYGUN")))))</f>
        <v/>
      </c>
      <c r="U450" s="20" t="str">
        <f aca="false">IF($N450="","",$Q450*$R450)</f>
        <v/>
      </c>
    </row>
    <row r="451" customFormat="false" ht="15" hidden="false" customHeight="false" outlineLevel="0" collapsed="false">
      <c r="J451" s="20" t="str">
        <f aca="false">IF($A451="","",$B451+$C451+$D451-$E451+$F451-$G451)</f>
        <v/>
      </c>
      <c r="K451" s="20" t="str">
        <f aca="false">IF($A451="","",MAX(0,$B451-$J451))</f>
        <v/>
      </c>
      <c r="L451" s="20" t="str">
        <f aca="false">IF($A451="","",IF($B451=0,0,$K451/$B451))</f>
        <v/>
      </c>
      <c r="M451" s="20" t="str">
        <f aca="false">IF($A451="","",IF($J451&lt;0,"BORCA BATIK",IF($I451&lt;$H451,"BORCA BATIK",IF($L451&gt;=TtkUcteIkiEsik,"2/3 KAYIP (KRİTİK)",IF($L451&gt;=TtkUcteBirEsik,"1/3 KAYIP (DİKKAT)","UYGUN")))))</f>
        <v/>
      </c>
      <c r="U451" s="20" t="str">
        <f aca="false">IF($N451="","",$Q451*$R451)</f>
        <v/>
      </c>
    </row>
    <row r="452" customFormat="false" ht="15" hidden="false" customHeight="false" outlineLevel="0" collapsed="false">
      <c r="J452" s="20" t="str">
        <f aca="false">IF($A452="","",$B452+$C452+$D452-$E452+$F452-$G452)</f>
        <v/>
      </c>
      <c r="K452" s="20" t="str">
        <f aca="false">IF($A452="","",MAX(0,$B452-$J452))</f>
        <v/>
      </c>
      <c r="L452" s="20" t="str">
        <f aca="false">IF($A452="","",IF($B452=0,0,$K452/$B452))</f>
        <v/>
      </c>
      <c r="M452" s="20" t="str">
        <f aca="false">IF($A452="","",IF($J452&lt;0,"BORCA BATIK",IF($I452&lt;$H452,"BORCA BATIK",IF($L452&gt;=TtkUcteIkiEsik,"2/3 KAYIP (KRİTİK)",IF($L452&gt;=TtkUcteBirEsik,"1/3 KAYIP (DİKKAT)","UYGUN")))))</f>
        <v/>
      </c>
      <c r="U452" s="20" t="str">
        <f aca="false">IF($N452="","",$Q452*$R452)</f>
        <v/>
      </c>
    </row>
    <row r="453" customFormat="false" ht="15" hidden="false" customHeight="false" outlineLevel="0" collapsed="false">
      <c r="J453" s="20" t="str">
        <f aca="false">IF($A453="","",$B453+$C453+$D453-$E453+$F453-$G453)</f>
        <v/>
      </c>
      <c r="K453" s="20" t="str">
        <f aca="false">IF($A453="","",MAX(0,$B453-$J453))</f>
        <v/>
      </c>
      <c r="L453" s="20" t="str">
        <f aca="false">IF($A453="","",IF($B453=0,0,$K453/$B453))</f>
        <v/>
      </c>
      <c r="M453" s="20" t="str">
        <f aca="false">IF($A453="","",IF($J453&lt;0,"BORCA BATIK",IF($I453&lt;$H453,"BORCA BATIK",IF($L453&gt;=TtkUcteIkiEsik,"2/3 KAYIP (KRİTİK)",IF($L453&gt;=TtkUcteBirEsik,"1/3 KAYIP (DİKKAT)","UYGUN")))))</f>
        <v/>
      </c>
      <c r="U453" s="20" t="str">
        <f aca="false">IF($N453="","",$Q453*$R453)</f>
        <v/>
      </c>
    </row>
    <row r="454" customFormat="false" ht="15" hidden="false" customHeight="false" outlineLevel="0" collapsed="false">
      <c r="J454" s="20" t="str">
        <f aca="false">IF($A454="","",$B454+$C454+$D454-$E454+$F454-$G454)</f>
        <v/>
      </c>
      <c r="K454" s="20" t="str">
        <f aca="false">IF($A454="","",MAX(0,$B454-$J454))</f>
        <v/>
      </c>
      <c r="L454" s="20" t="str">
        <f aca="false">IF($A454="","",IF($B454=0,0,$K454/$B454))</f>
        <v/>
      </c>
      <c r="M454" s="20" t="str">
        <f aca="false">IF($A454="","",IF($J454&lt;0,"BORCA BATIK",IF($I454&lt;$H454,"BORCA BATIK",IF($L454&gt;=TtkUcteIkiEsik,"2/3 KAYIP (KRİTİK)",IF($L454&gt;=TtkUcteBirEsik,"1/3 KAYIP (DİKKAT)","UYGUN")))))</f>
        <v/>
      </c>
      <c r="U454" s="20" t="str">
        <f aca="false">IF($N454="","",$Q454*$R454)</f>
        <v/>
      </c>
    </row>
    <row r="455" customFormat="false" ht="15" hidden="false" customHeight="false" outlineLevel="0" collapsed="false">
      <c r="J455" s="20" t="str">
        <f aca="false">IF($A455="","",$B455+$C455+$D455-$E455+$F455-$G455)</f>
        <v/>
      </c>
      <c r="K455" s="20" t="str">
        <f aca="false">IF($A455="","",MAX(0,$B455-$J455))</f>
        <v/>
      </c>
      <c r="L455" s="20" t="str">
        <f aca="false">IF($A455="","",IF($B455=0,0,$K455/$B455))</f>
        <v/>
      </c>
      <c r="M455" s="20" t="str">
        <f aca="false">IF($A455="","",IF($J455&lt;0,"BORCA BATIK",IF($I455&lt;$H455,"BORCA BATIK",IF($L455&gt;=TtkUcteIkiEsik,"2/3 KAYIP (KRİTİK)",IF($L455&gt;=TtkUcteBirEsik,"1/3 KAYIP (DİKKAT)","UYGUN")))))</f>
        <v/>
      </c>
      <c r="U455" s="20" t="str">
        <f aca="false">IF($N455="","",$Q455*$R455)</f>
        <v/>
      </c>
    </row>
    <row r="456" customFormat="false" ht="15" hidden="false" customHeight="false" outlineLevel="0" collapsed="false">
      <c r="J456" s="20" t="str">
        <f aca="false">IF($A456="","",$B456+$C456+$D456-$E456+$F456-$G456)</f>
        <v/>
      </c>
      <c r="K456" s="20" t="str">
        <f aca="false">IF($A456="","",MAX(0,$B456-$J456))</f>
        <v/>
      </c>
      <c r="L456" s="20" t="str">
        <f aca="false">IF($A456="","",IF($B456=0,0,$K456/$B456))</f>
        <v/>
      </c>
      <c r="M456" s="20" t="str">
        <f aca="false">IF($A456="","",IF($J456&lt;0,"BORCA BATIK",IF($I456&lt;$H456,"BORCA BATIK",IF($L456&gt;=TtkUcteIkiEsik,"2/3 KAYIP (KRİTİK)",IF($L456&gt;=TtkUcteBirEsik,"1/3 KAYIP (DİKKAT)","UYGUN")))))</f>
        <v/>
      </c>
      <c r="U456" s="20" t="str">
        <f aca="false">IF($N456="","",$Q456*$R456)</f>
        <v/>
      </c>
    </row>
    <row r="457" customFormat="false" ht="15" hidden="false" customHeight="false" outlineLevel="0" collapsed="false">
      <c r="J457" s="20" t="str">
        <f aca="false">IF($A457="","",$B457+$C457+$D457-$E457+$F457-$G457)</f>
        <v/>
      </c>
      <c r="K457" s="20" t="str">
        <f aca="false">IF($A457="","",MAX(0,$B457-$J457))</f>
        <v/>
      </c>
      <c r="L457" s="20" t="str">
        <f aca="false">IF($A457="","",IF($B457=0,0,$K457/$B457))</f>
        <v/>
      </c>
      <c r="M457" s="20" t="str">
        <f aca="false">IF($A457="","",IF($J457&lt;0,"BORCA BATIK",IF($I457&lt;$H457,"BORCA BATIK",IF($L457&gt;=TtkUcteIkiEsik,"2/3 KAYIP (KRİTİK)",IF($L457&gt;=TtkUcteBirEsik,"1/3 KAYIP (DİKKAT)","UYGUN")))))</f>
        <v/>
      </c>
      <c r="U457" s="20" t="str">
        <f aca="false">IF($N457="","",$Q457*$R457)</f>
        <v/>
      </c>
    </row>
    <row r="458" customFormat="false" ht="15" hidden="false" customHeight="false" outlineLevel="0" collapsed="false">
      <c r="J458" s="20" t="str">
        <f aca="false">IF($A458="","",$B458+$C458+$D458-$E458+$F458-$G458)</f>
        <v/>
      </c>
      <c r="K458" s="20" t="str">
        <f aca="false">IF($A458="","",MAX(0,$B458-$J458))</f>
        <v/>
      </c>
      <c r="L458" s="20" t="str">
        <f aca="false">IF($A458="","",IF($B458=0,0,$K458/$B458))</f>
        <v/>
      </c>
      <c r="M458" s="20" t="str">
        <f aca="false">IF($A458="","",IF($J458&lt;0,"BORCA BATIK",IF($I458&lt;$H458,"BORCA BATIK",IF($L458&gt;=TtkUcteIkiEsik,"2/3 KAYIP (KRİTİK)",IF($L458&gt;=TtkUcteBirEsik,"1/3 KAYIP (DİKKAT)","UYGUN")))))</f>
        <v/>
      </c>
      <c r="U458" s="20" t="str">
        <f aca="false">IF($N458="","",$Q458*$R458)</f>
        <v/>
      </c>
    </row>
    <row r="459" customFormat="false" ht="15" hidden="false" customHeight="false" outlineLevel="0" collapsed="false">
      <c r="J459" s="20" t="str">
        <f aca="false">IF($A459="","",$B459+$C459+$D459-$E459+$F459-$G459)</f>
        <v/>
      </c>
      <c r="K459" s="20" t="str">
        <f aca="false">IF($A459="","",MAX(0,$B459-$J459))</f>
        <v/>
      </c>
      <c r="L459" s="20" t="str">
        <f aca="false">IF($A459="","",IF($B459=0,0,$K459/$B459))</f>
        <v/>
      </c>
      <c r="M459" s="20" t="str">
        <f aca="false">IF($A459="","",IF($J459&lt;0,"BORCA BATIK",IF($I459&lt;$H459,"BORCA BATIK",IF($L459&gt;=TtkUcteIkiEsik,"2/3 KAYIP (KRİTİK)",IF($L459&gt;=TtkUcteBirEsik,"1/3 KAYIP (DİKKAT)","UYGUN")))))</f>
        <v/>
      </c>
      <c r="U459" s="20" t="str">
        <f aca="false">IF($N459="","",$Q459*$R459)</f>
        <v/>
      </c>
    </row>
    <row r="460" customFormat="false" ht="15" hidden="false" customHeight="false" outlineLevel="0" collapsed="false">
      <c r="J460" s="20" t="str">
        <f aca="false">IF($A460="","",$B460+$C460+$D460-$E460+$F460-$G460)</f>
        <v/>
      </c>
      <c r="K460" s="20" t="str">
        <f aca="false">IF($A460="","",MAX(0,$B460-$J460))</f>
        <v/>
      </c>
      <c r="L460" s="20" t="str">
        <f aca="false">IF($A460="","",IF($B460=0,0,$K460/$B460))</f>
        <v/>
      </c>
      <c r="M460" s="20" t="str">
        <f aca="false">IF($A460="","",IF($J460&lt;0,"BORCA BATIK",IF($I460&lt;$H460,"BORCA BATIK",IF($L460&gt;=TtkUcteIkiEsik,"2/3 KAYIP (KRİTİK)",IF($L460&gt;=TtkUcteBirEsik,"1/3 KAYIP (DİKKAT)","UYGUN")))))</f>
        <v/>
      </c>
      <c r="U460" s="20" t="str">
        <f aca="false">IF($N460="","",$Q460*$R460)</f>
        <v/>
      </c>
    </row>
    <row r="461" customFormat="false" ht="15" hidden="false" customHeight="false" outlineLevel="0" collapsed="false">
      <c r="J461" s="20" t="str">
        <f aca="false">IF($A461="","",$B461+$C461+$D461-$E461+$F461-$G461)</f>
        <v/>
      </c>
      <c r="K461" s="20" t="str">
        <f aca="false">IF($A461="","",MAX(0,$B461-$J461))</f>
        <v/>
      </c>
      <c r="L461" s="20" t="str">
        <f aca="false">IF($A461="","",IF($B461=0,0,$K461/$B461))</f>
        <v/>
      </c>
      <c r="M461" s="20" t="str">
        <f aca="false">IF($A461="","",IF($J461&lt;0,"BORCA BATIK",IF($I461&lt;$H461,"BORCA BATIK",IF($L461&gt;=TtkUcteIkiEsik,"2/3 KAYIP (KRİTİK)",IF($L461&gt;=TtkUcteBirEsik,"1/3 KAYIP (DİKKAT)","UYGUN")))))</f>
        <v/>
      </c>
      <c r="U461" s="20" t="str">
        <f aca="false">IF($N461="","",$Q461*$R461)</f>
        <v/>
      </c>
    </row>
    <row r="462" customFormat="false" ht="15" hidden="false" customHeight="false" outlineLevel="0" collapsed="false">
      <c r="J462" s="20" t="str">
        <f aca="false">IF($A462="","",$B462+$C462+$D462-$E462+$F462-$G462)</f>
        <v/>
      </c>
      <c r="K462" s="20" t="str">
        <f aca="false">IF($A462="","",MAX(0,$B462-$J462))</f>
        <v/>
      </c>
      <c r="L462" s="20" t="str">
        <f aca="false">IF($A462="","",IF($B462=0,0,$K462/$B462))</f>
        <v/>
      </c>
      <c r="M462" s="20" t="str">
        <f aca="false">IF($A462="","",IF($J462&lt;0,"BORCA BATIK",IF($I462&lt;$H462,"BORCA BATIK",IF($L462&gt;=TtkUcteIkiEsik,"2/3 KAYIP (KRİTİK)",IF($L462&gt;=TtkUcteBirEsik,"1/3 KAYIP (DİKKAT)","UYGUN")))))</f>
        <v/>
      </c>
      <c r="U462" s="20" t="str">
        <f aca="false">IF($N462="","",$Q462*$R462)</f>
        <v/>
      </c>
    </row>
    <row r="463" customFormat="false" ht="15" hidden="false" customHeight="false" outlineLevel="0" collapsed="false">
      <c r="J463" s="20" t="str">
        <f aca="false">IF($A463="","",$B463+$C463+$D463-$E463+$F463-$G463)</f>
        <v/>
      </c>
      <c r="K463" s="20" t="str">
        <f aca="false">IF($A463="","",MAX(0,$B463-$J463))</f>
        <v/>
      </c>
      <c r="L463" s="20" t="str">
        <f aca="false">IF($A463="","",IF($B463=0,0,$K463/$B463))</f>
        <v/>
      </c>
      <c r="M463" s="20" t="str">
        <f aca="false">IF($A463="","",IF($J463&lt;0,"BORCA BATIK",IF($I463&lt;$H463,"BORCA BATIK",IF($L463&gt;=TtkUcteIkiEsik,"2/3 KAYIP (KRİTİK)",IF($L463&gt;=TtkUcteBirEsik,"1/3 KAYIP (DİKKAT)","UYGUN")))))</f>
        <v/>
      </c>
      <c r="U463" s="20" t="str">
        <f aca="false">IF($N463="","",$Q463*$R463)</f>
        <v/>
      </c>
    </row>
    <row r="464" customFormat="false" ht="15" hidden="false" customHeight="false" outlineLevel="0" collapsed="false">
      <c r="J464" s="20" t="str">
        <f aca="false">IF($A464="","",$B464+$C464+$D464-$E464+$F464-$G464)</f>
        <v/>
      </c>
      <c r="K464" s="20" t="str">
        <f aca="false">IF($A464="","",MAX(0,$B464-$J464))</f>
        <v/>
      </c>
      <c r="L464" s="20" t="str">
        <f aca="false">IF($A464="","",IF($B464=0,0,$K464/$B464))</f>
        <v/>
      </c>
      <c r="M464" s="20" t="str">
        <f aca="false">IF($A464="","",IF($J464&lt;0,"BORCA BATIK",IF($I464&lt;$H464,"BORCA BATIK",IF($L464&gt;=TtkUcteIkiEsik,"2/3 KAYIP (KRİTİK)",IF($L464&gt;=TtkUcteBirEsik,"1/3 KAYIP (DİKKAT)","UYGUN")))))</f>
        <v/>
      </c>
      <c r="U464" s="20" t="str">
        <f aca="false">IF($N464="","",$Q464*$R464)</f>
        <v/>
      </c>
    </row>
    <row r="465" customFormat="false" ht="15" hidden="false" customHeight="false" outlineLevel="0" collapsed="false">
      <c r="J465" s="20" t="str">
        <f aca="false">IF($A465="","",$B465+$C465+$D465-$E465+$F465-$G465)</f>
        <v/>
      </c>
      <c r="K465" s="20" t="str">
        <f aca="false">IF($A465="","",MAX(0,$B465-$J465))</f>
        <v/>
      </c>
      <c r="L465" s="20" t="str">
        <f aca="false">IF($A465="","",IF($B465=0,0,$K465/$B465))</f>
        <v/>
      </c>
      <c r="M465" s="20" t="str">
        <f aca="false">IF($A465="","",IF($J465&lt;0,"BORCA BATIK",IF($I465&lt;$H465,"BORCA BATIK",IF($L465&gt;=TtkUcteIkiEsik,"2/3 KAYIP (KRİTİK)",IF($L465&gt;=TtkUcteBirEsik,"1/3 KAYIP (DİKKAT)","UYGUN")))))</f>
        <v/>
      </c>
      <c r="U465" s="20" t="str">
        <f aca="false">IF($N465="","",$Q465*$R465)</f>
        <v/>
      </c>
    </row>
    <row r="466" customFormat="false" ht="15" hidden="false" customHeight="false" outlineLevel="0" collapsed="false">
      <c r="J466" s="20" t="str">
        <f aca="false">IF($A466="","",$B466+$C466+$D466-$E466+$F466-$G466)</f>
        <v/>
      </c>
      <c r="K466" s="20" t="str">
        <f aca="false">IF($A466="","",MAX(0,$B466-$J466))</f>
        <v/>
      </c>
      <c r="L466" s="20" t="str">
        <f aca="false">IF($A466="","",IF($B466=0,0,$K466/$B466))</f>
        <v/>
      </c>
      <c r="M466" s="20" t="str">
        <f aca="false">IF($A466="","",IF($J466&lt;0,"BORCA BATIK",IF($I466&lt;$H466,"BORCA BATIK",IF($L466&gt;=TtkUcteIkiEsik,"2/3 KAYIP (KRİTİK)",IF($L466&gt;=TtkUcteBirEsik,"1/3 KAYIP (DİKKAT)","UYGUN")))))</f>
        <v/>
      </c>
      <c r="U466" s="20" t="str">
        <f aca="false">IF($N466="","",$Q466*$R466)</f>
        <v/>
      </c>
    </row>
    <row r="467" customFormat="false" ht="15" hidden="false" customHeight="false" outlineLevel="0" collapsed="false">
      <c r="J467" s="20" t="str">
        <f aca="false">IF($A467="","",$B467+$C467+$D467-$E467+$F467-$G467)</f>
        <v/>
      </c>
      <c r="K467" s="20" t="str">
        <f aca="false">IF($A467="","",MAX(0,$B467-$J467))</f>
        <v/>
      </c>
      <c r="L467" s="20" t="str">
        <f aca="false">IF($A467="","",IF($B467=0,0,$K467/$B467))</f>
        <v/>
      </c>
      <c r="M467" s="20" t="str">
        <f aca="false">IF($A467="","",IF($J467&lt;0,"BORCA BATIK",IF($I467&lt;$H467,"BORCA BATIK",IF($L467&gt;=TtkUcteIkiEsik,"2/3 KAYIP (KRİTİK)",IF($L467&gt;=TtkUcteBirEsik,"1/3 KAYIP (DİKKAT)","UYGUN")))))</f>
        <v/>
      </c>
      <c r="U467" s="20" t="str">
        <f aca="false">IF($N467="","",$Q467*$R467)</f>
        <v/>
      </c>
    </row>
    <row r="468" customFormat="false" ht="15" hidden="false" customHeight="false" outlineLevel="0" collapsed="false">
      <c r="J468" s="20" t="str">
        <f aca="false">IF($A468="","",$B468+$C468+$D468-$E468+$F468-$G468)</f>
        <v/>
      </c>
      <c r="K468" s="20" t="str">
        <f aca="false">IF($A468="","",MAX(0,$B468-$J468))</f>
        <v/>
      </c>
      <c r="L468" s="20" t="str">
        <f aca="false">IF($A468="","",IF($B468=0,0,$K468/$B468))</f>
        <v/>
      </c>
      <c r="M468" s="20" t="str">
        <f aca="false">IF($A468="","",IF($J468&lt;0,"BORCA BATIK",IF($I468&lt;$H468,"BORCA BATIK",IF($L468&gt;=TtkUcteIkiEsik,"2/3 KAYIP (KRİTİK)",IF($L468&gt;=TtkUcteBirEsik,"1/3 KAYIP (DİKKAT)","UYGUN")))))</f>
        <v/>
      </c>
      <c r="U468" s="20" t="str">
        <f aca="false">IF($N468="","",$Q468*$R468)</f>
        <v/>
      </c>
    </row>
    <row r="469" customFormat="false" ht="15" hidden="false" customHeight="false" outlineLevel="0" collapsed="false">
      <c r="J469" s="20" t="str">
        <f aca="false">IF($A469="","",$B469+$C469+$D469-$E469+$F469-$G469)</f>
        <v/>
      </c>
      <c r="K469" s="20" t="str">
        <f aca="false">IF($A469="","",MAX(0,$B469-$J469))</f>
        <v/>
      </c>
      <c r="L469" s="20" t="str">
        <f aca="false">IF($A469="","",IF($B469=0,0,$K469/$B469))</f>
        <v/>
      </c>
      <c r="M469" s="20" t="str">
        <f aca="false">IF($A469="","",IF($J469&lt;0,"BORCA BATIK",IF($I469&lt;$H469,"BORCA BATIK",IF($L469&gt;=TtkUcteIkiEsik,"2/3 KAYIP (KRİTİK)",IF($L469&gt;=TtkUcteBirEsik,"1/3 KAYIP (DİKKAT)","UYGUN")))))</f>
        <v/>
      </c>
      <c r="U469" s="20" t="str">
        <f aca="false">IF($N469="","",$Q469*$R469)</f>
        <v/>
      </c>
    </row>
    <row r="470" customFormat="false" ht="15" hidden="false" customHeight="false" outlineLevel="0" collapsed="false">
      <c r="J470" s="20" t="str">
        <f aca="false">IF($A470="","",$B470+$C470+$D470-$E470+$F470-$G470)</f>
        <v/>
      </c>
      <c r="K470" s="20" t="str">
        <f aca="false">IF($A470="","",MAX(0,$B470-$J470))</f>
        <v/>
      </c>
      <c r="L470" s="20" t="str">
        <f aca="false">IF($A470="","",IF($B470=0,0,$K470/$B470))</f>
        <v/>
      </c>
      <c r="M470" s="20" t="str">
        <f aca="false">IF($A470="","",IF($J470&lt;0,"BORCA BATIK",IF($I470&lt;$H470,"BORCA BATIK",IF($L470&gt;=TtkUcteIkiEsik,"2/3 KAYIP (KRİTİK)",IF($L470&gt;=TtkUcteBirEsik,"1/3 KAYIP (DİKKAT)","UYGUN")))))</f>
        <v/>
      </c>
      <c r="U470" s="20" t="str">
        <f aca="false">IF($N470="","",$Q470*$R470)</f>
        <v/>
      </c>
    </row>
    <row r="471" customFormat="false" ht="15" hidden="false" customHeight="false" outlineLevel="0" collapsed="false">
      <c r="J471" s="20" t="str">
        <f aca="false">IF($A471="","",$B471+$C471+$D471-$E471+$F471-$G471)</f>
        <v/>
      </c>
      <c r="K471" s="20" t="str">
        <f aca="false">IF($A471="","",MAX(0,$B471-$J471))</f>
        <v/>
      </c>
      <c r="L471" s="20" t="str">
        <f aca="false">IF($A471="","",IF($B471=0,0,$K471/$B471))</f>
        <v/>
      </c>
      <c r="M471" s="20" t="str">
        <f aca="false">IF($A471="","",IF($J471&lt;0,"BORCA BATIK",IF($I471&lt;$H471,"BORCA BATIK",IF($L471&gt;=TtkUcteIkiEsik,"2/3 KAYIP (KRİTİK)",IF($L471&gt;=TtkUcteBirEsik,"1/3 KAYIP (DİKKAT)","UYGUN")))))</f>
        <v/>
      </c>
      <c r="U471" s="20" t="str">
        <f aca="false">IF($N471="","",$Q471*$R471)</f>
        <v/>
      </c>
    </row>
    <row r="472" customFormat="false" ht="15" hidden="false" customHeight="false" outlineLevel="0" collapsed="false">
      <c r="J472" s="20" t="str">
        <f aca="false">IF($A472="","",$B472+$C472+$D472-$E472+$F472-$G472)</f>
        <v/>
      </c>
      <c r="K472" s="20" t="str">
        <f aca="false">IF($A472="","",MAX(0,$B472-$J472))</f>
        <v/>
      </c>
      <c r="L472" s="20" t="str">
        <f aca="false">IF($A472="","",IF($B472=0,0,$K472/$B472))</f>
        <v/>
      </c>
      <c r="M472" s="20" t="str">
        <f aca="false">IF($A472="","",IF($J472&lt;0,"BORCA BATIK",IF($I472&lt;$H472,"BORCA BATIK",IF($L472&gt;=TtkUcteIkiEsik,"2/3 KAYIP (KRİTİK)",IF($L472&gt;=TtkUcteBirEsik,"1/3 KAYIP (DİKKAT)","UYGUN")))))</f>
        <v/>
      </c>
      <c r="U472" s="20" t="str">
        <f aca="false">IF($N472="","",$Q472*$R472)</f>
        <v/>
      </c>
    </row>
    <row r="473" customFormat="false" ht="15" hidden="false" customHeight="false" outlineLevel="0" collapsed="false">
      <c r="J473" s="20" t="str">
        <f aca="false">IF($A473="","",$B473+$C473+$D473-$E473+$F473-$G473)</f>
        <v/>
      </c>
      <c r="K473" s="20" t="str">
        <f aca="false">IF($A473="","",MAX(0,$B473-$J473))</f>
        <v/>
      </c>
      <c r="L473" s="20" t="str">
        <f aca="false">IF($A473="","",IF($B473=0,0,$K473/$B473))</f>
        <v/>
      </c>
      <c r="M473" s="20" t="str">
        <f aca="false">IF($A473="","",IF($J473&lt;0,"BORCA BATIK",IF($I473&lt;$H473,"BORCA BATIK",IF($L473&gt;=TtkUcteIkiEsik,"2/3 KAYIP (KRİTİK)",IF($L473&gt;=TtkUcteBirEsik,"1/3 KAYIP (DİKKAT)","UYGUN")))))</f>
        <v/>
      </c>
      <c r="U473" s="20" t="str">
        <f aca="false">IF($N473="","",$Q473*$R473)</f>
        <v/>
      </c>
    </row>
    <row r="474" customFormat="false" ht="15" hidden="false" customHeight="false" outlineLevel="0" collapsed="false">
      <c r="J474" s="20" t="str">
        <f aca="false">IF($A474="","",$B474+$C474+$D474-$E474+$F474-$G474)</f>
        <v/>
      </c>
      <c r="K474" s="20" t="str">
        <f aca="false">IF($A474="","",MAX(0,$B474-$J474))</f>
        <v/>
      </c>
      <c r="L474" s="20" t="str">
        <f aca="false">IF($A474="","",IF($B474=0,0,$K474/$B474))</f>
        <v/>
      </c>
      <c r="M474" s="20" t="str">
        <f aca="false">IF($A474="","",IF($J474&lt;0,"BORCA BATIK",IF($I474&lt;$H474,"BORCA BATIK",IF($L474&gt;=TtkUcteIkiEsik,"2/3 KAYIP (KRİTİK)",IF($L474&gt;=TtkUcteBirEsik,"1/3 KAYIP (DİKKAT)","UYGUN")))))</f>
        <v/>
      </c>
      <c r="U474" s="20" t="str">
        <f aca="false">IF($N474="","",$Q474*$R474)</f>
        <v/>
      </c>
    </row>
    <row r="475" customFormat="false" ht="15" hidden="false" customHeight="false" outlineLevel="0" collapsed="false">
      <c r="J475" s="20" t="str">
        <f aca="false">IF($A475="","",$B475+$C475+$D475-$E475+$F475-$G475)</f>
        <v/>
      </c>
      <c r="K475" s="20" t="str">
        <f aca="false">IF($A475="","",MAX(0,$B475-$J475))</f>
        <v/>
      </c>
      <c r="L475" s="20" t="str">
        <f aca="false">IF($A475="","",IF($B475=0,0,$K475/$B475))</f>
        <v/>
      </c>
      <c r="M475" s="20" t="str">
        <f aca="false">IF($A475="","",IF($J475&lt;0,"BORCA BATIK",IF($I475&lt;$H475,"BORCA BATIK",IF($L475&gt;=TtkUcteIkiEsik,"2/3 KAYIP (KRİTİK)",IF($L475&gt;=TtkUcteBirEsik,"1/3 KAYIP (DİKKAT)","UYGUN")))))</f>
        <v/>
      </c>
      <c r="U475" s="20" t="str">
        <f aca="false">IF($N475="","",$Q475*$R475)</f>
        <v/>
      </c>
    </row>
    <row r="476" customFormat="false" ht="15" hidden="false" customHeight="false" outlineLevel="0" collapsed="false">
      <c r="J476" s="20" t="str">
        <f aca="false">IF($A476="","",$B476+$C476+$D476-$E476+$F476-$G476)</f>
        <v/>
      </c>
      <c r="K476" s="20" t="str">
        <f aca="false">IF($A476="","",MAX(0,$B476-$J476))</f>
        <v/>
      </c>
      <c r="L476" s="20" t="str">
        <f aca="false">IF($A476="","",IF($B476=0,0,$K476/$B476))</f>
        <v/>
      </c>
      <c r="M476" s="20" t="str">
        <f aca="false">IF($A476="","",IF($J476&lt;0,"BORCA BATIK",IF($I476&lt;$H476,"BORCA BATIK",IF($L476&gt;=TtkUcteIkiEsik,"2/3 KAYIP (KRİTİK)",IF($L476&gt;=TtkUcteBirEsik,"1/3 KAYIP (DİKKAT)","UYGUN")))))</f>
        <v/>
      </c>
      <c r="U476" s="20" t="str">
        <f aca="false">IF($N476="","",$Q476*$R476)</f>
        <v/>
      </c>
    </row>
    <row r="477" customFormat="false" ht="15" hidden="false" customHeight="false" outlineLevel="0" collapsed="false">
      <c r="J477" s="20" t="str">
        <f aca="false">IF($A477="","",$B477+$C477+$D477-$E477+$F477-$G477)</f>
        <v/>
      </c>
      <c r="K477" s="20" t="str">
        <f aca="false">IF($A477="","",MAX(0,$B477-$J477))</f>
        <v/>
      </c>
      <c r="L477" s="20" t="str">
        <f aca="false">IF($A477="","",IF($B477=0,0,$K477/$B477))</f>
        <v/>
      </c>
      <c r="M477" s="20" t="str">
        <f aca="false">IF($A477="","",IF($J477&lt;0,"BORCA BATIK",IF($I477&lt;$H477,"BORCA BATIK",IF($L477&gt;=TtkUcteIkiEsik,"2/3 KAYIP (KRİTİK)",IF($L477&gt;=TtkUcteBirEsik,"1/3 KAYIP (DİKKAT)","UYGUN")))))</f>
        <v/>
      </c>
      <c r="U477" s="20" t="str">
        <f aca="false">IF($N477="","",$Q477*$R477)</f>
        <v/>
      </c>
    </row>
    <row r="478" customFormat="false" ht="15" hidden="false" customHeight="false" outlineLevel="0" collapsed="false">
      <c r="J478" s="20" t="str">
        <f aca="false">IF($A478="","",$B478+$C478+$D478-$E478+$F478-$G478)</f>
        <v/>
      </c>
      <c r="K478" s="20" t="str">
        <f aca="false">IF($A478="","",MAX(0,$B478-$J478))</f>
        <v/>
      </c>
      <c r="L478" s="20" t="str">
        <f aca="false">IF($A478="","",IF($B478=0,0,$K478/$B478))</f>
        <v/>
      </c>
      <c r="M478" s="20" t="str">
        <f aca="false">IF($A478="","",IF($J478&lt;0,"BORCA BATIK",IF($I478&lt;$H478,"BORCA BATIK",IF($L478&gt;=TtkUcteIkiEsik,"2/3 KAYIP (KRİTİK)",IF($L478&gt;=TtkUcteBirEsik,"1/3 KAYIP (DİKKAT)","UYGUN")))))</f>
        <v/>
      </c>
      <c r="U478" s="20" t="str">
        <f aca="false">IF($N478="","",$Q478*$R478)</f>
        <v/>
      </c>
    </row>
    <row r="479" customFormat="false" ht="15" hidden="false" customHeight="false" outlineLevel="0" collapsed="false">
      <c r="J479" s="20" t="str">
        <f aca="false">IF($A479="","",$B479+$C479+$D479-$E479+$F479-$G479)</f>
        <v/>
      </c>
      <c r="K479" s="20" t="str">
        <f aca="false">IF($A479="","",MAX(0,$B479-$J479))</f>
        <v/>
      </c>
      <c r="L479" s="20" t="str">
        <f aca="false">IF($A479="","",IF($B479=0,0,$K479/$B479))</f>
        <v/>
      </c>
      <c r="M479" s="20" t="str">
        <f aca="false">IF($A479="","",IF($J479&lt;0,"BORCA BATIK",IF($I479&lt;$H479,"BORCA BATIK",IF($L479&gt;=TtkUcteIkiEsik,"2/3 KAYIP (KRİTİK)",IF($L479&gt;=TtkUcteBirEsik,"1/3 KAYIP (DİKKAT)","UYGUN")))))</f>
        <v/>
      </c>
      <c r="U479" s="20" t="str">
        <f aca="false">IF($N479="","",$Q479*$R479)</f>
        <v/>
      </c>
    </row>
    <row r="480" customFormat="false" ht="15" hidden="false" customHeight="false" outlineLevel="0" collapsed="false">
      <c r="J480" s="20" t="str">
        <f aca="false">IF($A480="","",$B480+$C480+$D480-$E480+$F480-$G480)</f>
        <v/>
      </c>
      <c r="K480" s="20" t="str">
        <f aca="false">IF($A480="","",MAX(0,$B480-$J480))</f>
        <v/>
      </c>
      <c r="L480" s="20" t="str">
        <f aca="false">IF($A480="","",IF($B480=0,0,$K480/$B480))</f>
        <v/>
      </c>
      <c r="M480" s="20" t="str">
        <f aca="false">IF($A480="","",IF($J480&lt;0,"BORCA BATIK",IF($I480&lt;$H480,"BORCA BATIK",IF($L480&gt;=TtkUcteIkiEsik,"2/3 KAYIP (KRİTİK)",IF($L480&gt;=TtkUcteBirEsik,"1/3 KAYIP (DİKKAT)","UYGUN")))))</f>
        <v/>
      </c>
      <c r="U480" s="20" t="str">
        <f aca="false">IF($N480="","",$Q480*$R480)</f>
        <v/>
      </c>
    </row>
    <row r="481" customFormat="false" ht="15" hidden="false" customHeight="false" outlineLevel="0" collapsed="false">
      <c r="J481" s="20" t="str">
        <f aca="false">IF($A481="","",$B481+$C481+$D481-$E481+$F481-$G481)</f>
        <v/>
      </c>
      <c r="K481" s="20" t="str">
        <f aca="false">IF($A481="","",MAX(0,$B481-$J481))</f>
        <v/>
      </c>
      <c r="L481" s="20" t="str">
        <f aca="false">IF($A481="","",IF($B481=0,0,$K481/$B481))</f>
        <v/>
      </c>
      <c r="M481" s="20" t="str">
        <f aca="false">IF($A481="","",IF($J481&lt;0,"BORCA BATIK",IF($I481&lt;$H481,"BORCA BATIK",IF($L481&gt;=TtkUcteIkiEsik,"2/3 KAYIP (KRİTİK)",IF($L481&gt;=TtkUcteBirEsik,"1/3 KAYIP (DİKKAT)","UYGUN")))))</f>
        <v/>
      </c>
      <c r="U481" s="20" t="str">
        <f aca="false">IF($N481="","",$Q481*$R481)</f>
        <v/>
      </c>
    </row>
    <row r="482" customFormat="false" ht="15" hidden="false" customHeight="false" outlineLevel="0" collapsed="false">
      <c r="J482" s="20" t="str">
        <f aca="false">IF($A482="","",$B482+$C482+$D482-$E482+$F482-$G482)</f>
        <v/>
      </c>
      <c r="K482" s="20" t="str">
        <f aca="false">IF($A482="","",MAX(0,$B482-$J482))</f>
        <v/>
      </c>
      <c r="L482" s="20" t="str">
        <f aca="false">IF($A482="","",IF($B482=0,0,$K482/$B482))</f>
        <v/>
      </c>
      <c r="M482" s="20" t="str">
        <f aca="false">IF($A482="","",IF($J482&lt;0,"BORCA BATIK",IF($I482&lt;$H482,"BORCA BATIK",IF($L482&gt;=TtkUcteIkiEsik,"2/3 KAYIP (KRİTİK)",IF($L482&gt;=TtkUcteBirEsik,"1/3 KAYIP (DİKKAT)","UYGUN")))))</f>
        <v/>
      </c>
      <c r="U482" s="20" t="str">
        <f aca="false">IF($N482="","",$Q482*$R482)</f>
        <v/>
      </c>
    </row>
    <row r="483" customFormat="false" ht="15" hidden="false" customHeight="false" outlineLevel="0" collapsed="false">
      <c r="J483" s="20" t="str">
        <f aca="false">IF($A483="","",$B483+$C483+$D483-$E483+$F483-$G483)</f>
        <v/>
      </c>
      <c r="K483" s="20" t="str">
        <f aca="false">IF($A483="","",MAX(0,$B483-$J483))</f>
        <v/>
      </c>
      <c r="L483" s="20" t="str">
        <f aca="false">IF($A483="","",IF($B483=0,0,$K483/$B483))</f>
        <v/>
      </c>
      <c r="M483" s="20" t="str">
        <f aca="false">IF($A483="","",IF($J483&lt;0,"BORCA BATIK",IF($I483&lt;$H483,"BORCA BATIK",IF($L483&gt;=TtkUcteIkiEsik,"2/3 KAYIP (KRİTİK)",IF($L483&gt;=TtkUcteBirEsik,"1/3 KAYIP (DİKKAT)","UYGUN")))))</f>
        <v/>
      </c>
      <c r="U483" s="20" t="str">
        <f aca="false">IF($N483="","",$Q483*$R483)</f>
        <v/>
      </c>
    </row>
    <row r="484" customFormat="false" ht="15" hidden="false" customHeight="false" outlineLevel="0" collapsed="false">
      <c r="J484" s="20" t="str">
        <f aca="false">IF($A484="","",$B484+$C484+$D484-$E484+$F484-$G484)</f>
        <v/>
      </c>
      <c r="K484" s="20" t="str">
        <f aca="false">IF($A484="","",MAX(0,$B484-$J484))</f>
        <v/>
      </c>
      <c r="L484" s="20" t="str">
        <f aca="false">IF($A484="","",IF($B484=0,0,$K484/$B484))</f>
        <v/>
      </c>
      <c r="M484" s="20" t="str">
        <f aca="false">IF($A484="","",IF($J484&lt;0,"BORCA BATIK",IF($I484&lt;$H484,"BORCA BATIK",IF($L484&gt;=TtkUcteIkiEsik,"2/3 KAYIP (KRİTİK)",IF($L484&gt;=TtkUcteBirEsik,"1/3 KAYIP (DİKKAT)","UYGUN")))))</f>
        <v/>
      </c>
      <c r="U484" s="20" t="str">
        <f aca="false">IF($N484="","",$Q484*$R484)</f>
        <v/>
      </c>
    </row>
    <row r="485" customFormat="false" ht="15" hidden="false" customHeight="false" outlineLevel="0" collapsed="false">
      <c r="J485" s="20" t="str">
        <f aca="false">IF($A485="","",$B485+$C485+$D485-$E485+$F485-$G485)</f>
        <v/>
      </c>
      <c r="K485" s="20" t="str">
        <f aca="false">IF($A485="","",MAX(0,$B485-$J485))</f>
        <v/>
      </c>
      <c r="L485" s="20" t="str">
        <f aca="false">IF($A485="","",IF($B485=0,0,$K485/$B485))</f>
        <v/>
      </c>
      <c r="M485" s="20" t="str">
        <f aca="false">IF($A485="","",IF($J485&lt;0,"BORCA BATIK",IF($I485&lt;$H485,"BORCA BATIK",IF($L485&gt;=TtkUcteIkiEsik,"2/3 KAYIP (KRİTİK)",IF($L485&gt;=TtkUcteBirEsik,"1/3 KAYIP (DİKKAT)","UYGUN")))))</f>
        <v/>
      </c>
      <c r="U485" s="20" t="str">
        <f aca="false">IF($N485="","",$Q485*$R485)</f>
        <v/>
      </c>
    </row>
    <row r="486" customFormat="false" ht="15" hidden="false" customHeight="false" outlineLevel="0" collapsed="false">
      <c r="J486" s="20" t="str">
        <f aca="false">IF($A486="","",$B486+$C486+$D486-$E486+$F486-$G486)</f>
        <v/>
      </c>
      <c r="K486" s="20" t="str">
        <f aca="false">IF($A486="","",MAX(0,$B486-$J486))</f>
        <v/>
      </c>
      <c r="L486" s="20" t="str">
        <f aca="false">IF($A486="","",IF($B486=0,0,$K486/$B486))</f>
        <v/>
      </c>
      <c r="M486" s="20" t="str">
        <f aca="false">IF($A486="","",IF($J486&lt;0,"BORCA BATIK",IF($I486&lt;$H486,"BORCA BATIK",IF($L486&gt;=TtkUcteIkiEsik,"2/3 KAYIP (KRİTİK)",IF($L486&gt;=TtkUcteBirEsik,"1/3 KAYIP (DİKKAT)","UYGUN")))))</f>
        <v/>
      </c>
      <c r="U486" s="20" t="str">
        <f aca="false">IF($N486="","",$Q486*$R486)</f>
        <v/>
      </c>
    </row>
    <row r="487" customFormat="false" ht="15" hidden="false" customHeight="false" outlineLevel="0" collapsed="false">
      <c r="J487" s="20" t="str">
        <f aca="false">IF($A487="","",$B487+$C487+$D487-$E487+$F487-$G487)</f>
        <v/>
      </c>
      <c r="K487" s="20" t="str">
        <f aca="false">IF($A487="","",MAX(0,$B487-$J487))</f>
        <v/>
      </c>
      <c r="L487" s="20" t="str">
        <f aca="false">IF($A487="","",IF($B487=0,0,$K487/$B487))</f>
        <v/>
      </c>
      <c r="M487" s="20" t="str">
        <f aca="false">IF($A487="","",IF($J487&lt;0,"BORCA BATIK",IF($I487&lt;$H487,"BORCA BATIK",IF($L487&gt;=TtkUcteIkiEsik,"2/3 KAYIP (KRİTİK)",IF($L487&gt;=TtkUcteBirEsik,"1/3 KAYIP (DİKKAT)","UYGUN")))))</f>
        <v/>
      </c>
      <c r="U487" s="20" t="str">
        <f aca="false">IF($N487="","",$Q487*$R487)</f>
        <v/>
      </c>
    </row>
    <row r="488" customFormat="false" ht="15" hidden="false" customHeight="false" outlineLevel="0" collapsed="false">
      <c r="J488" s="20" t="str">
        <f aca="false">IF($A488="","",$B488+$C488+$D488-$E488+$F488-$G488)</f>
        <v/>
      </c>
      <c r="K488" s="20" t="str">
        <f aca="false">IF($A488="","",MAX(0,$B488-$J488))</f>
        <v/>
      </c>
      <c r="L488" s="20" t="str">
        <f aca="false">IF($A488="","",IF($B488=0,0,$K488/$B488))</f>
        <v/>
      </c>
      <c r="M488" s="20" t="str">
        <f aca="false">IF($A488="","",IF($J488&lt;0,"BORCA BATIK",IF($I488&lt;$H488,"BORCA BATIK",IF($L488&gt;=TtkUcteIkiEsik,"2/3 KAYIP (KRİTİK)",IF($L488&gt;=TtkUcteBirEsik,"1/3 KAYIP (DİKKAT)","UYGUN")))))</f>
        <v/>
      </c>
      <c r="U488" s="20" t="str">
        <f aca="false">IF($N488="","",$Q488*$R488)</f>
        <v/>
      </c>
    </row>
    <row r="489" customFormat="false" ht="15" hidden="false" customHeight="false" outlineLevel="0" collapsed="false">
      <c r="J489" s="20" t="str">
        <f aca="false">IF($A489="","",$B489+$C489+$D489-$E489+$F489-$G489)</f>
        <v/>
      </c>
      <c r="K489" s="20" t="str">
        <f aca="false">IF($A489="","",MAX(0,$B489-$J489))</f>
        <v/>
      </c>
      <c r="L489" s="20" t="str">
        <f aca="false">IF($A489="","",IF($B489=0,0,$K489/$B489))</f>
        <v/>
      </c>
      <c r="M489" s="20" t="str">
        <f aca="false">IF($A489="","",IF($J489&lt;0,"BORCA BATIK",IF($I489&lt;$H489,"BORCA BATIK",IF($L489&gt;=TtkUcteIkiEsik,"2/3 KAYIP (KRİTİK)",IF($L489&gt;=TtkUcteBirEsik,"1/3 KAYIP (DİKKAT)","UYGUN")))))</f>
        <v/>
      </c>
      <c r="U489" s="20" t="str">
        <f aca="false">IF($N489="","",$Q489*$R489)</f>
        <v/>
      </c>
    </row>
    <row r="490" customFormat="false" ht="15" hidden="false" customHeight="false" outlineLevel="0" collapsed="false">
      <c r="J490" s="20" t="str">
        <f aca="false">IF($A490="","",$B490+$C490+$D490-$E490+$F490-$G490)</f>
        <v/>
      </c>
      <c r="K490" s="20" t="str">
        <f aca="false">IF($A490="","",MAX(0,$B490-$J490))</f>
        <v/>
      </c>
      <c r="L490" s="20" t="str">
        <f aca="false">IF($A490="","",IF($B490=0,0,$K490/$B490))</f>
        <v/>
      </c>
      <c r="M490" s="20" t="str">
        <f aca="false">IF($A490="","",IF($J490&lt;0,"BORCA BATIK",IF($I490&lt;$H490,"BORCA BATIK",IF($L490&gt;=TtkUcteIkiEsik,"2/3 KAYIP (KRİTİK)",IF($L490&gt;=TtkUcteBirEsik,"1/3 KAYIP (DİKKAT)","UYGUN")))))</f>
        <v/>
      </c>
      <c r="U490" s="20" t="str">
        <f aca="false">IF($N490="","",$Q490*$R490)</f>
        <v/>
      </c>
    </row>
    <row r="491" customFormat="false" ht="15" hidden="false" customHeight="false" outlineLevel="0" collapsed="false">
      <c r="J491" s="20" t="str">
        <f aca="false">IF($A491="","",$B491+$C491+$D491-$E491+$F491-$G491)</f>
        <v/>
      </c>
      <c r="K491" s="20" t="str">
        <f aca="false">IF($A491="","",MAX(0,$B491-$J491))</f>
        <v/>
      </c>
      <c r="L491" s="20" t="str">
        <f aca="false">IF($A491="","",IF($B491=0,0,$K491/$B491))</f>
        <v/>
      </c>
      <c r="M491" s="20" t="str">
        <f aca="false">IF($A491="","",IF($J491&lt;0,"BORCA BATIK",IF($I491&lt;$H491,"BORCA BATIK",IF($L491&gt;=TtkUcteIkiEsik,"2/3 KAYIP (KRİTİK)",IF($L491&gt;=TtkUcteBirEsik,"1/3 KAYIP (DİKKAT)","UYGUN")))))</f>
        <v/>
      </c>
      <c r="U491" s="20" t="str">
        <f aca="false">IF($N491="","",$Q491*$R491)</f>
        <v/>
      </c>
    </row>
    <row r="492" customFormat="false" ht="15" hidden="false" customHeight="false" outlineLevel="0" collapsed="false">
      <c r="J492" s="20" t="str">
        <f aca="false">IF($A492="","",$B492+$C492+$D492-$E492+$F492-$G492)</f>
        <v/>
      </c>
      <c r="K492" s="20" t="str">
        <f aca="false">IF($A492="","",MAX(0,$B492-$J492))</f>
        <v/>
      </c>
      <c r="L492" s="20" t="str">
        <f aca="false">IF($A492="","",IF($B492=0,0,$K492/$B492))</f>
        <v/>
      </c>
      <c r="M492" s="20" t="str">
        <f aca="false">IF($A492="","",IF($J492&lt;0,"BORCA BATIK",IF($I492&lt;$H492,"BORCA BATIK",IF($L492&gt;=TtkUcteIkiEsik,"2/3 KAYIP (KRİTİK)",IF($L492&gt;=TtkUcteBirEsik,"1/3 KAYIP (DİKKAT)","UYGUN")))))</f>
        <v/>
      </c>
      <c r="U492" s="20" t="str">
        <f aca="false">IF($N492="","",$Q492*$R492)</f>
        <v/>
      </c>
    </row>
    <row r="493" customFormat="false" ht="15" hidden="false" customHeight="false" outlineLevel="0" collapsed="false">
      <c r="J493" s="20" t="str">
        <f aca="false">IF($A493="","",$B493+$C493+$D493-$E493+$F493-$G493)</f>
        <v/>
      </c>
      <c r="K493" s="20" t="str">
        <f aca="false">IF($A493="","",MAX(0,$B493-$J493))</f>
        <v/>
      </c>
      <c r="L493" s="20" t="str">
        <f aca="false">IF($A493="","",IF($B493=0,0,$K493/$B493))</f>
        <v/>
      </c>
      <c r="M493" s="20" t="str">
        <f aca="false">IF($A493="","",IF($J493&lt;0,"BORCA BATIK",IF($I493&lt;$H493,"BORCA BATIK",IF($L493&gt;=TtkUcteIkiEsik,"2/3 KAYIP (KRİTİK)",IF($L493&gt;=TtkUcteBirEsik,"1/3 KAYIP (DİKKAT)","UYGUN")))))</f>
        <v/>
      </c>
      <c r="U493" s="20" t="str">
        <f aca="false">IF($N493="","",$Q493*$R493)</f>
        <v/>
      </c>
    </row>
    <row r="494" customFormat="false" ht="15" hidden="false" customHeight="false" outlineLevel="0" collapsed="false">
      <c r="J494" s="20" t="str">
        <f aca="false">IF($A494="","",$B494+$C494+$D494-$E494+$F494-$G494)</f>
        <v/>
      </c>
      <c r="K494" s="20" t="str">
        <f aca="false">IF($A494="","",MAX(0,$B494-$J494))</f>
        <v/>
      </c>
      <c r="L494" s="20" t="str">
        <f aca="false">IF($A494="","",IF($B494=0,0,$K494/$B494))</f>
        <v/>
      </c>
      <c r="M494" s="20" t="str">
        <f aca="false">IF($A494="","",IF($J494&lt;0,"BORCA BATIK",IF($I494&lt;$H494,"BORCA BATIK",IF($L494&gt;=TtkUcteIkiEsik,"2/3 KAYIP (KRİTİK)",IF($L494&gt;=TtkUcteBirEsik,"1/3 KAYIP (DİKKAT)","UYGUN")))))</f>
        <v/>
      </c>
      <c r="U494" s="20" t="str">
        <f aca="false">IF($N494="","",$Q494*$R494)</f>
        <v/>
      </c>
    </row>
    <row r="495" customFormat="false" ht="15" hidden="false" customHeight="false" outlineLevel="0" collapsed="false">
      <c r="J495" s="20" t="str">
        <f aca="false">IF($A495="","",$B495+$C495+$D495-$E495+$F495-$G495)</f>
        <v/>
      </c>
      <c r="K495" s="20" t="str">
        <f aca="false">IF($A495="","",MAX(0,$B495-$J495))</f>
        <v/>
      </c>
      <c r="L495" s="20" t="str">
        <f aca="false">IF($A495="","",IF($B495=0,0,$K495/$B495))</f>
        <v/>
      </c>
      <c r="M495" s="20" t="str">
        <f aca="false">IF($A495="","",IF($J495&lt;0,"BORCA BATIK",IF($I495&lt;$H495,"BORCA BATIK",IF($L495&gt;=TtkUcteIkiEsik,"2/3 KAYIP (KRİTİK)",IF($L495&gt;=TtkUcteBirEsik,"1/3 KAYIP (DİKKAT)","UYGUN")))))</f>
        <v/>
      </c>
      <c r="U495" s="20" t="str">
        <f aca="false">IF($N495="","",$Q495*$R495)</f>
        <v/>
      </c>
    </row>
    <row r="496" customFormat="false" ht="15" hidden="false" customHeight="false" outlineLevel="0" collapsed="false">
      <c r="J496" s="20" t="str">
        <f aca="false">IF($A496="","",$B496+$C496+$D496-$E496+$F496-$G496)</f>
        <v/>
      </c>
      <c r="K496" s="20" t="str">
        <f aca="false">IF($A496="","",MAX(0,$B496-$J496))</f>
        <v/>
      </c>
      <c r="L496" s="20" t="str">
        <f aca="false">IF($A496="","",IF($B496=0,0,$K496/$B496))</f>
        <v/>
      </c>
      <c r="M496" s="20" t="str">
        <f aca="false">IF($A496="","",IF($J496&lt;0,"BORCA BATIK",IF($I496&lt;$H496,"BORCA BATIK",IF($L496&gt;=TtkUcteIkiEsik,"2/3 KAYIP (KRİTİK)",IF($L496&gt;=TtkUcteBirEsik,"1/3 KAYIP (DİKKAT)","UYGUN")))))</f>
        <v/>
      </c>
      <c r="U496" s="20" t="str">
        <f aca="false">IF($N496="","",$Q496*$R496)</f>
        <v/>
      </c>
    </row>
    <row r="497" customFormat="false" ht="15" hidden="false" customHeight="false" outlineLevel="0" collapsed="false">
      <c r="J497" s="20" t="str">
        <f aca="false">IF($A497="","",$B497+$C497+$D497-$E497+$F497-$G497)</f>
        <v/>
      </c>
      <c r="K497" s="20" t="str">
        <f aca="false">IF($A497="","",MAX(0,$B497-$J497))</f>
        <v/>
      </c>
      <c r="L497" s="20" t="str">
        <f aca="false">IF($A497="","",IF($B497=0,0,$K497/$B497))</f>
        <v/>
      </c>
      <c r="M497" s="20" t="str">
        <f aca="false">IF($A497="","",IF($J497&lt;0,"BORCA BATIK",IF($I497&lt;$H497,"BORCA BATIK",IF($L497&gt;=TtkUcteIkiEsik,"2/3 KAYIP (KRİTİK)",IF($L497&gt;=TtkUcteBirEsik,"1/3 KAYIP (DİKKAT)","UYGUN")))))</f>
        <v/>
      </c>
      <c r="U497" s="20" t="str">
        <f aca="false">IF($N497="","",$Q497*$R497)</f>
        <v/>
      </c>
    </row>
    <row r="498" customFormat="false" ht="15" hidden="false" customHeight="false" outlineLevel="0" collapsed="false">
      <c r="J498" s="20" t="str">
        <f aca="false">IF($A498="","",$B498+$C498+$D498-$E498+$F498-$G498)</f>
        <v/>
      </c>
      <c r="K498" s="20" t="str">
        <f aca="false">IF($A498="","",MAX(0,$B498-$J498))</f>
        <v/>
      </c>
      <c r="L498" s="20" t="str">
        <f aca="false">IF($A498="","",IF($B498=0,0,$K498/$B498))</f>
        <v/>
      </c>
      <c r="M498" s="20" t="str">
        <f aca="false">IF($A498="","",IF($J498&lt;0,"BORCA BATIK",IF($I498&lt;$H498,"BORCA BATIK",IF($L498&gt;=TtkUcteIkiEsik,"2/3 KAYIP (KRİTİK)",IF($L498&gt;=TtkUcteBirEsik,"1/3 KAYIP (DİKKAT)","UYGUN")))))</f>
        <v/>
      </c>
      <c r="U498" s="20" t="str">
        <f aca="false">IF($N498="","",$Q498*$R498)</f>
        <v/>
      </c>
    </row>
    <row r="499" customFormat="false" ht="15" hidden="false" customHeight="false" outlineLevel="0" collapsed="false">
      <c r="J499" s="20" t="str">
        <f aca="false">IF($A499="","",$B499+$C499+$D499-$E499+$F499-$G499)</f>
        <v/>
      </c>
      <c r="K499" s="20" t="str">
        <f aca="false">IF($A499="","",MAX(0,$B499-$J499))</f>
        <v/>
      </c>
      <c r="L499" s="20" t="str">
        <f aca="false">IF($A499="","",IF($B499=0,0,$K499/$B499))</f>
        <v/>
      </c>
      <c r="M499" s="20" t="str">
        <f aca="false">IF($A499="","",IF($J499&lt;0,"BORCA BATIK",IF($I499&lt;$H499,"BORCA BATIK",IF($L499&gt;=TtkUcteIkiEsik,"2/3 KAYIP (KRİTİK)",IF($L499&gt;=TtkUcteBirEsik,"1/3 KAYIP (DİKKAT)","UYGUN")))))</f>
        <v/>
      </c>
      <c r="U499" s="20" t="str">
        <f aca="false">IF($N499="","",$Q499*$R499)</f>
        <v/>
      </c>
    </row>
    <row r="500" customFormat="false" ht="15" hidden="false" customHeight="false" outlineLevel="0" collapsed="false">
      <c r="J500" s="20" t="str">
        <f aca="false">IF($A500="","",$B500+$C500+$D500-$E500+$F500-$G500)</f>
        <v/>
      </c>
      <c r="K500" s="20" t="str">
        <f aca="false">IF($A500="","",MAX(0,$B500-$J500))</f>
        <v/>
      </c>
      <c r="L500" s="20" t="str">
        <f aca="false">IF($A500="","",IF($B500=0,0,$K500/$B500))</f>
        <v/>
      </c>
      <c r="M500" s="20" t="str">
        <f aca="false">IF($A500="","",IF($J500&lt;0,"BORCA BATIK",IF($I500&lt;$H500,"BORCA BATIK",IF($L500&gt;=TtkUcteIkiEsik,"2/3 KAYIP (KRİTİK)",IF($L500&gt;=TtkUcteBirEsik,"1/3 KAYIP (DİKKAT)","UYGUN")))))</f>
        <v/>
      </c>
      <c r="U500" s="20" t="str">
        <f aca="false">IF($N500="","",$Q500*$R500)</f>
        <v/>
      </c>
    </row>
    <row r="501" customFormat="false" ht="15" hidden="false" customHeight="false" outlineLevel="0" collapsed="false">
      <c r="J501" s="20" t="str">
        <f aca="false">IF($A501="","",$B501+$C501+$D501-$E501+$F501-$G501)</f>
        <v/>
      </c>
      <c r="K501" s="20" t="str">
        <f aca="false">IF($A501="","",MAX(0,$B501-$J501))</f>
        <v/>
      </c>
      <c r="L501" s="20" t="str">
        <f aca="false">IF($A501="","",IF($B501=0,0,$K501/$B501))</f>
        <v/>
      </c>
      <c r="M501" s="20" t="str">
        <f aca="false">IF($A501="","",IF($J501&lt;0,"BORCA BATIK",IF($I501&lt;$H501,"BORCA BATIK",IF($L501&gt;=TtkUcteIkiEsik,"2/3 KAYIP (KRİTİK)",IF($L501&gt;=TtkUcteBirEsik,"1/3 KAYIP (DİKKAT)","UYGUN")))))</f>
        <v/>
      </c>
      <c r="U501" s="20" t="str">
        <f aca="false">IF($N501="","",$Q501*$R501)</f>
        <v/>
      </c>
    </row>
    <row r="502" customFormat="false" ht="15" hidden="false" customHeight="false" outlineLevel="0" collapsed="false">
      <c r="J502" s="20" t="str">
        <f aca="false">IF($A502="","",$B502+$C502+$D502-$E502+$F502-$G502)</f>
        <v/>
      </c>
      <c r="K502" s="20" t="str">
        <f aca="false">IF($A502="","",MAX(0,$B502-$J502))</f>
        <v/>
      </c>
      <c r="L502" s="20" t="str">
        <f aca="false">IF($A502="","",IF($B502=0,0,$K502/$B502))</f>
        <v/>
      </c>
      <c r="M502" s="20" t="str">
        <f aca="false">IF($A502="","",IF($J502&lt;0,"BORCA BATIK",IF($I502&lt;$H502,"BORCA BATIK",IF($L502&gt;=TtkUcteIkiEsik,"2/3 KAYIP (KRİTİK)",IF($L502&gt;=TtkUcteBirEsik,"1/3 KAYIP (DİKKAT)","UYGUN")))))</f>
        <v/>
      </c>
      <c r="U502" s="20" t="str">
        <f aca="false">IF($N502="","",$Q502*$R502)</f>
        <v/>
      </c>
    </row>
    <row r="503" customFormat="false" ht="15" hidden="false" customHeight="false" outlineLevel="0" collapsed="false">
      <c r="J503" s="20" t="str">
        <f aca="false">IF($A503="","",$B503+$C503+$D503-$E503+$F503-$G503)</f>
        <v/>
      </c>
      <c r="K503" s="20" t="str">
        <f aca="false">IF($A503="","",MAX(0,$B503-$J503))</f>
        <v/>
      </c>
      <c r="L503" s="20" t="str">
        <f aca="false">IF($A503="","",IF($B503=0,0,$K503/$B503))</f>
        <v/>
      </c>
      <c r="M503" s="20" t="str">
        <f aca="false">IF($A503="","",IF($J503&lt;0,"BORCA BATIK",IF($I503&lt;$H503,"BORCA BATIK",IF($L503&gt;=TtkUcteIkiEsik,"2/3 KAYIP (KRİTİK)",IF($L503&gt;=TtkUcteBirEsik,"1/3 KAYIP (DİKKAT)","UYGUN")))))</f>
        <v/>
      </c>
      <c r="U503" s="20" t="str">
        <f aca="false">IF($N503="","",$Q503*$R503)</f>
        <v/>
      </c>
    </row>
    <row r="504" customFormat="false" ht="15" hidden="false" customHeight="false" outlineLevel="0" collapsed="false">
      <c r="J504" s="20" t="str">
        <f aca="false">IF($A504="","",$B504+$C504+$D504-$E504+$F504-$G504)</f>
        <v/>
      </c>
      <c r="K504" s="20" t="str">
        <f aca="false">IF($A504="","",MAX(0,$B504-$J504))</f>
        <v/>
      </c>
      <c r="L504" s="20" t="str">
        <f aca="false">IF($A504="","",IF($B504=0,0,$K504/$B504))</f>
        <v/>
      </c>
      <c r="M504" s="20" t="str">
        <f aca="false">IF($A504="","",IF($J504&lt;0,"BORCA BATIK",IF($I504&lt;$H504,"BORCA BATIK",IF($L504&gt;=TtkUcteIkiEsik,"2/3 KAYIP (KRİTİK)",IF($L504&gt;=TtkUcteBirEsik,"1/3 KAYIP (DİKKAT)","UYGUN")))))</f>
        <v/>
      </c>
      <c r="U504" s="20" t="str">
        <f aca="false">IF($N504="","",$Q504*$R504)</f>
        <v/>
      </c>
    </row>
    <row r="505" customFormat="false" ht="15" hidden="false" customHeight="false" outlineLevel="0" collapsed="false">
      <c r="J505" s="20" t="str">
        <f aca="false">IF($A505="","",$B505+$C505+$D505-$E505+$F505-$G505)</f>
        <v/>
      </c>
      <c r="K505" s="20" t="str">
        <f aca="false">IF($A505="","",MAX(0,$B505-$J505))</f>
        <v/>
      </c>
      <c r="L505" s="20" t="str">
        <f aca="false">IF($A505="","",IF($B505=0,0,$K505/$B505))</f>
        <v/>
      </c>
      <c r="M505" s="20" t="str">
        <f aca="false">IF($A505="","",IF($J505&lt;0,"BORCA BATIK",IF($I505&lt;$H505,"BORCA BATIK",IF($L505&gt;=TtkUcteIkiEsik,"2/3 KAYIP (KRİTİK)",IF($L505&gt;=TtkUcteBirEsik,"1/3 KAYIP (DİKKAT)","UYGUN")))))</f>
        <v/>
      </c>
      <c r="U505" s="20" t="str">
        <f aca="false">IF($N505="","",$Q505*$R505)</f>
        <v/>
      </c>
    </row>
    <row r="506" customFormat="false" ht="15" hidden="false" customHeight="false" outlineLevel="0" collapsed="false">
      <c r="J506" s="20" t="str">
        <f aca="false">IF($A506="","",$B506+$C506+$D506-$E506+$F506-$G506)</f>
        <v/>
      </c>
      <c r="K506" s="20" t="str">
        <f aca="false">IF($A506="","",MAX(0,$B506-$J506))</f>
        <v/>
      </c>
      <c r="L506" s="20" t="str">
        <f aca="false">IF($A506="","",IF($B506=0,0,$K506/$B506))</f>
        <v/>
      </c>
      <c r="M506" s="20" t="str">
        <f aca="false">IF($A506="","",IF($J506&lt;0,"BORCA BATIK",IF($I506&lt;$H506,"BORCA BATIK",IF($L506&gt;=TtkUcteIkiEsik,"2/3 KAYIP (KRİTİK)",IF($L506&gt;=TtkUcteBirEsik,"1/3 KAYIP (DİKKAT)","UYGUN")))))</f>
        <v/>
      </c>
      <c r="U506" s="20" t="str">
        <f aca="false">IF($N506="","",$Q506*$R506)</f>
        <v/>
      </c>
    </row>
    <row r="507" customFormat="false" ht="15" hidden="false" customHeight="false" outlineLevel="0" collapsed="false">
      <c r="J507" s="20" t="str">
        <f aca="false">IF($A507="","",$B507+$C507+$D507-$E507+$F507-$G507)</f>
        <v/>
      </c>
      <c r="K507" s="20" t="str">
        <f aca="false">IF($A507="","",MAX(0,$B507-$J507))</f>
        <v/>
      </c>
      <c r="L507" s="20" t="str">
        <f aca="false">IF($A507="","",IF($B507=0,0,$K507/$B507))</f>
        <v/>
      </c>
      <c r="M507" s="20" t="str">
        <f aca="false">IF($A507="","",IF($J507&lt;0,"BORCA BATIK",IF($I507&lt;$H507,"BORCA BATIK",IF($L507&gt;=TtkUcteIkiEsik,"2/3 KAYIP (KRİTİK)",IF($L507&gt;=TtkUcteBirEsik,"1/3 KAYIP (DİKKAT)","UYGUN")))))</f>
        <v/>
      </c>
      <c r="U507" s="20" t="str">
        <f aca="false">IF($N507="","",$Q507*$R507)</f>
        <v/>
      </c>
    </row>
    <row r="508" customFormat="false" ht="15" hidden="false" customHeight="false" outlineLevel="0" collapsed="false">
      <c r="J508" s="20" t="str">
        <f aca="false">IF($A508="","",$B508+$C508+$D508-$E508+$F508-$G508)</f>
        <v/>
      </c>
      <c r="K508" s="20" t="str">
        <f aca="false">IF($A508="","",MAX(0,$B508-$J508))</f>
        <v/>
      </c>
      <c r="L508" s="20" t="str">
        <f aca="false">IF($A508="","",IF($B508=0,0,$K508/$B508))</f>
        <v/>
      </c>
      <c r="M508" s="20" t="str">
        <f aca="false">IF($A508="","",IF($J508&lt;0,"BORCA BATIK",IF($I508&lt;$H508,"BORCA BATIK",IF($L508&gt;=TtkUcteIkiEsik,"2/3 KAYIP (KRİTİK)",IF($L508&gt;=TtkUcteBirEsik,"1/3 KAYIP (DİKKAT)","UYGUN")))))</f>
        <v/>
      </c>
      <c r="U508" s="20" t="str">
        <f aca="false">IF($N508="","",$Q508*$R508)</f>
        <v/>
      </c>
    </row>
    <row r="509" customFormat="false" ht="15" hidden="false" customHeight="false" outlineLevel="0" collapsed="false">
      <c r="J509" s="20" t="str">
        <f aca="false">IF($A509="","",$B509+$C509+$D509-$E509+$F509-$G509)</f>
        <v/>
      </c>
      <c r="K509" s="20" t="str">
        <f aca="false">IF($A509="","",MAX(0,$B509-$J509))</f>
        <v/>
      </c>
      <c r="L509" s="20" t="str">
        <f aca="false">IF($A509="","",IF($B509=0,0,$K509/$B509))</f>
        <v/>
      </c>
      <c r="M509" s="20" t="str">
        <f aca="false">IF($A509="","",IF($J509&lt;0,"BORCA BATIK",IF($I509&lt;$H509,"BORCA BATIK",IF($L509&gt;=TtkUcteIkiEsik,"2/3 KAYIP (KRİTİK)",IF($L509&gt;=TtkUcteBirEsik,"1/3 KAYIP (DİKKAT)","UYGUN")))))</f>
        <v/>
      </c>
      <c r="U509" s="20" t="str">
        <f aca="false">IF($N509="","",$Q509*$R509)</f>
        <v/>
      </c>
    </row>
    <row r="510" customFormat="false" ht="15" hidden="false" customHeight="false" outlineLevel="0" collapsed="false">
      <c r="J510" s="20" t="str">
        <f aca="false">IF($A510="","",$B510+$C510+$D510-$E510+$F510-$G510)</f>
        <v/>
      </c>
      <c r="K510" s="20" t="str">
        <f aca="false">IF($A510="","",MAX(0,$B510-$J510))</f>
        <v/>
      </c>
      <c r="L510" s="20" t="str">
        <f aca="false">IF($A510="","",IF($B510=0,0,$K510/$B510))</f>
        <v/>
      </c>
      <c r="M510" s="20" t="str">
        <f aca="false">IF($A510="","",IF($J510&lt;0,"BORCA BATIK",IF($I510&lt;$H510,"BORCA BATIK",IF($L510&gt;=TtkUcteIkiEsik,"2/3 KAYIP (KRİTİK)",IF($L510&gt;=TtkUcteBirEsik,"1/3 KAYIP (DİKKAT)","UYGUN")))))</f>
        <v/>
      </c>
      <c r="U510" s="20" t="str">
        <f aca="false">IF($N510="","",$Q510*$R510)</f>
        <v/>
      </c>
    </row>
    <row r="511" customFormat="false" ht="15" hidden="false" customHeight="false" outlineLevel="0" collapsed="false">
      <c r="J511" s="20" t="str">
        <f aca="false">IF($A511="","",$B511+$C511+$D511-$E511+$F511-$G511)</f>
        <v/>
      </c>
      <c r="K511" s="20" t="str">
        <f aca="false">IF($A511="","",MAX(0,$B511-$J511))</f>
        <v/>
      </c>
      <c r="L511" s="20" t="str">
        <f aca="false">IF($A511="","",IF($B511=0,0,$K511/$B511))</f>
        <v/>
      </c>
      <c r="M511" s="20" t="str">
        <f aca="false">IF($A511="","",IF($J511&lt;0,"BORCA BATIK",IF($I511&lt;$H511,"BORCA BATIK",IF($L511&gt;=TtkUcteIkiEsik,"2/3 KAYIP (KRİTİK)",IF($L511&gt;=TtkUcteBirEsik,"1/3 KAYIP (DİKKAT)","UYGUN")))))</f>
        <v/>
      </c>
      <c r="U511" s="20" t="str">
        <f aca="false">IF($N511="","",$Q511*$R511)</f>
        <v/>
      </c>
    </row>
    <row r="512" customFormat="false" ht="15" hidden="false" customHeight="false" outlineLevel="0" collapsed="false">
      <c r="J512" s="20" t="str">
        <f aca="false">IF($A512="","",$B512+$C512+$D512-$E512+$F512-$G512)</f>
        <v/>
      </c>
      <c r="K512" s="20" t="str">
        <f aca="false">IF($A512="","",MAX(0,$B512-$J512))</f>
        <v/>
      </c>
      <c r="L512" s="20" t="str">
        <f aca="false">IF($A512="","",IF($B512=0,0,$K512/$B512))</f>
        <v/>
      </c>
      <c r="M512" s="20" t="str">
        <f aca="false">IF($A512="","",IF($J512&lt;0,"BORCA BATIK",IF($I512&lt;$H512,"BORCA BATIK",IF($L512&gt;=TtkUcteIkiEsik,"2/3 KAYIP (KRİTİK)",IF($L512&gt;=TtkUcteBirEsik,"1/3 KAYIP (DİKKAT)","UYGUN")))))</f>
        <v/>
      </c>
      <c r="U512" s="20" t="str">
        <f aca="false">IF($N512="","",$Q512*$R512)</f>
        <v/>
      </c>
    </row>
    <row r="513" customFormat="false" ht="15" hidden="false" customHeight="false" outlineLevel="0" collapsed="false">
      <c r="J513" s="20" t="str">
        <f aca="false">IF($A513="","",$B513+$C513+$D513-$E513+$F513-$G513)</f>
        <v/>
      </c>
      <c r="K513" s="20" t="str">
        <f aca="false">IF($A513="","",MAX(0,$B513-$J513))</f>
        <v/>
      </c>
      <c r="L513" s="20" t="str">
        <f aca="false">IF($A513="","",IF($B513=0,0,$K513/$B513))</f>
        <v/>
      </c>
      <c r="M513" s="20" t="str">
        <f aca="false">IF($A513="","",IF($J513&lt;0,"BORCA BATIK",IF($I513&lt;$H513,"BORCA BATIK",IF($L513&gt;=TtkUcteIkiEsik,"2/3 KAYIP (KRİTİK)",IF($L513&gt;=TtkUcteBirEsik,"1/3 KAYIP (DİKKAT)","UYGUN")))))</f>
        <v/>
      </c>
      <c r="U513" s="20" t="str">
        <f aca="false">IF($N513="","",$Q513*$R513)</f>
        <v/>
      </c>
    </row>
    <row r="514" customFormat="false" ht="15" hidden="false" customHeight="false" outlineLevel="0" collapsed="false">
      <c r="J514" s="20" t="str">
        <f aca="false">IF($A514="","",$B514+$C514+$D514-$E514+$F514-$G514)</f>
        <v/>
      </c>
      <c r="K514" s="20" t="str">
        <f aca="false">IF($A514="","",MAX(0,$B514-$J514))</f>
        <v/>
      </c>
      <c r="L514" s="20" t="str">
        <f aca="false">IF($A514="","",IF($B514=0,0,$K514/$B514))</f>
        <v/>
      </c>
      <c r="M514" s="20" t="str">
        <f aca="false">IF($A514="","",IF($J514&lt;0,"BORCA BATIK",IF($I514&lt;$H514,"BORCA BATIK",IF($L514&gt;=TtkUcteIkiEsik,"2/3 KAYIP (KRİTİK)",IF($L514&gt;=TtkUcteBirEsik,"1/3 KAYIP (DİKKAT)","UYGUN")))))</f>
        <v/>
      </c>
      <c r="U514" s="20" t="str">
        <f aca="false">IF($N514="","",$Q514*$R514)</f>
        <v/>
      </c>
    </row>
    <row r="515" customFormat="false" ht="15" hidden="false" customHeight="false" outlineLevel="0" collapsed="false">
      <c r="J515" s="20" t="str">
        <f aca="false">IF($A515="","",$B515+$C515+$D515-$E515+$F515-$G515)</f>
        <v/>
      </c>
      <c r="K515" s="20" t="str">
        <f aca="false">IF($A515="","",MAX(0,$B515-$J515))</f>
        <v/>
      </c>
      <c r="L515" s="20" t="str">
        <f aca="false">IF($A515="","",IF($B515=0,0,$K515/$B515))</f>
        <v/>
      </c>
      <c r="M515" s="20" t="str">
        <f aca="false">IF($A515="","",IF($J515&lt;0,"BORCA BATIK",IF($I515&lt;$H515,"BORCA BATIK",IF($L515&gt;=TtkUcteIkiEsik,"2/3 KAYIP (KRİTİK)",IF($L515&gt;=TtkUcteBirEsik,"1/3 KAYIP (DİKKAT)","UYGUN")))))</f>
        <v/>
      </c>
      <c r="U515" s="20" t="str">
        <f aca="false">IF($N515="","",$Q515*$R515)</f>
        <v/>
      </c>
    </row>
    <row r="516" customFormat="false" ht="15" hidden="false" customHeight="false" outlineLevel="0" collapsed="false">
      <c r="J516" s="20" t="str">
        <f aca="false">IF($A516="","",$B516+$C516+$D516-$E516+$F516-$G516)</f>
        <v/>
      </c>
      <c r="K516" s="20" t="str">
        <f aca="false">IF($A516="","",MAX(0,$B516-$J516))</f>
        <v/>
      </c>
      <c r="L516" s="20" t="str">
        <f aca="false">IF($A516="","",IF($B516=0,0,$K516/$B516))</f>
        <v/>
      </c>
      <c r="M516" s="20" t="str">
        <f aca="false">IF($A516="","",IF($J516&lt;0,"BORCA BATIK",IF($I516&lt;$H516,"BORCA BATIK",IF($L516&gt;=TtkUcteIkiEsik,"2/3 KAYIP (KRİTİK)",IF($L516&gt;=TtkUcteBirEsik,"1/3 KAYIP (DİKKAT)","UYGUN")))))</f>
        <v/>
      </c>
      <c r="U516" s="20" t="str">
        <f aca="false">IF($N516="","",$Q516*$R516)</f>
        <v/>
      </c>
    </row>
    <row r="517" customFormat="false" ht="15" hidden="false" customHeight="false" outlineLevel="0" collapsed="false">
      <c r="J517" s="20" t="str">
        <f aca="false">IF($A517="","",$B517+$C517+$D517-$E517+$F517-$G517)</f>
        <v/>
      </c>
      <c r="K517" s="20" t="str">
        <f aca="false">IF($A517="","",MAX(0,$B517-$J517))</f>
        <v/>
      </c>
      <c r="L517" s="20" t="str">
        <f aca="false">IF($A517="","",IF($B517=0,0,$K517/$B517))</f>
        <v/>
      </c>
      <c r="M517" s="20" t="str">
        <f aca="false">IF($A517="","",IF($J517&lt;0,"BORCA BATIK",IF($I517&lt;$H517,"BORCA BATIK",IF($L517&gt;=TtkUcteIkiEsik,"2/3 KAYIP (KRİTİK)",IF($L517&gt;=TtkUcteBirEsik,"1/3 KAYIP (DİKKAT)","UYGUN")))))</f>
        <v/>
      </c>
      <c r="U517" s="20" t="str">
        <f aca="false">IF($N517="","",$Q517*$R517)</f>
        <v/>
      </c>
    </row>
    <row r="518" customFormat="false" ht="15" hidden="false" customHeight="false" outlineLevel="0" collapsed="false">
      <c r="J518" s="20" t="str">
        <f aca="false">IF($A518="","",$B518+$C518+$D518-$E518+$F518-$G518)</f>
        <v/>
      </c>
      <c r="K518" s="20" t="str">
        <f aca="false">IF($A518="","",MAX(0,$B518-$J518))</f>
        <v/>
      </c>
      <c r="L518" s="20" t="str">
        <f aca="false">IF($A518="","",IF($B518=0,0,$K518/$B518))</f>
        <v/>
      </c>
      <c r="M518" s="20" t="str">
        <f aca="false">IF($A518="","",IF($J518&lt;0,"BORCA BATIK",IF($I518&lt;$H518,"BORCA BATIK",IF($L518&gt;=TtkUcteIkiEsik,"2/3 KAYIP (KRİTİK)",IF($L518&gt;=TtkUcteBirEsik,"1/3 KAYIP (DİKKAT)","UYGUN")))))</f>
        <v/>
      </c>
      <c r="U518" s="20" t="str">
        <f aca="false">IF($N518="","",$Q518*$R518)</f>
        <v/>
      </c>
    </row>
    <row r="519" customFormat="false" ht="15" hidden="false" customHeight="false" outlineLevel="0" collapsed="false">
      <c r="J519" s="20" t="str">
        <f aca="false">IF($A519="","",$B519+$C519+$D519-$E519+$F519-$G519)</f>
        <v/>
      </c>
      <c r="K519" s="20" t="str">
        <f aca="false">IF($A519="","",MAX(0,$B519-$J519))</f>
        <v/>
      </c>
      <c r="L519" s="20" t="str">
        <f aca="false">IF($A519="","",IF($B519=0,0,$K519/$B519))</f>
        <v/>
      </c>
      <c r="M519" s="20" t="str">
        <f aca="false">IF($A519="","",IF($J519&lt;0,"BORCA BATIK",IF($I519&lt;$H519,"BORCA BATIK",IF($L519&gt;=TtkUcteIkiEsik,"2/3 KAYIP (KRİTİK)",IF($L519&gt;=TtkUcteBirEsik,"1/3 KAYIP (DİKKAT)","UYGUN")))))</f>
        <v/>
      </c>
      <c r="U519" s="20" t="str">
        <f aca="false">IF($N519="","",$Q519*$R519)</f>
        <v/>
      </c>
    </row>
    <row r="520" customFormat="false" ht="15" hidden="false" customHeight="false" outlineLevel="0" collapsed="false">
      <c r="J520" s="20" t="str">
        <f aca="false">IF($A520="","",$B520+$C520+$D520-$E520+$F520-$G520)</f>
        <v/>
      </c>
      <c r="K520" s="20" t="str">
        <f aca="false">IF($A520="","",MAX(0,$B520-$J520))</f>
        <v/>
      </c>
      <c r="L520" s="20" t="str">
        <f aca="false">IF($A520="","",IF($B520=0,0,$K520/$B520))</f>
        <v/>
      </c>
      <c r="M520" s="20" t="str">
        <f aca="false">IF($A520="","",IF($J520&lt;0,"BORCA BATIK",IF($I520&lt;$H520,"BORCA BATIK",IF($L520&gt;=TtkUcteIkiEsik,"2/3 KAYIP (KRİTİK)",IF($L520&gt;=TtkUcteBirEsik,"1/3 KAYIP (DİKKAT)","UYGUN")))))</f>
        <v/>
      </c>
      <c r="U520" s="20" t="str">
        <f aca="false">IF($N520="","",$Q520*$R520)</f>
        <v/>
      </c>
    </row>
    <row r="521" customFormat="false" ht="15" hidden="false" customHeight="false" outlineLevel="0" collapsed="false">
      <c r="J521" s="20" t="str">
        <f aca="false">IF($A521="","",$B521+$C521+$D521-$E521+$F521-$G521)</f>
        <v/>
      </c>
      <c r="K521" s="20" t="str">
        <f aca="false">IF($A521="","",MAX(0,$B521-$J521))</f>
        <v/>
      </c>
      <c r="L521" s="20" t="str">
        <f aca="false">IF($A521="","",IF($B521=0,0,$K521/$B521))</f>
        <v/>
      </c>
      <c r="M521" s="20" t="str">
        <f aca="false">IF($A521="","",IF($J521&lt;0,"BORCA BATIK",IF($I521&lt;$H521,"BORCA BATIK",IF($L521&gt;=TtkUcteIkiEsik,"2/3 KAYIP (KRİTİK)",IF($L521&gt;=TtkUcteBirEsik,"1/3 KAYIP (DİKKAT)","UYGUN")))))</f>
        <v/>
      </c>
      <c r="U521" s="20" t="str">
        <f aca="false">IF($N521="","",$Q521*$R521)</f>
        <v/>
      </c>
    </row>
    <row r="522" customFormat="false" ht="15" hidden="false" customHeight="false" outlineLevel="0" collapsed="false">
      <c r="J522" s="20" t="str">
        <f aca="false">IF($A522="","",$B522+$C522+$D522-$E522+$F522-$G522)</f>
        <v/>
      </c>
      <c r="K522" s="20" t="str">
        <f aca="false">IF($A522="","",MAX(0,$B522-$J522))</f>
        <v/>
      </c>
      <c r="L522" s="20" t="str">
        <f aca="false">IF($A522="","",IF($B522=0,0,$K522/$B522))</f>
        <v/>
      </c>
      <c r="M522" s="20" t="str">
        <f aca="false">IF($A522="","",IF($J522&lt;0,"BORCA BATIK",IF($I522&lt;$H522,"BORCA BATIK",IF($L522&gt;=TtkUcteIkiEsik,"2/3 KAYIP (KRİTİK)",IF($L522&gt;=TtkUcteBirEsik,"1/3 KAYIP (DİKKAT)","UYGUN")))))</f>
        <v/>
      </c>
      <c r="U522" s="20" t="str">
        <f aca="false">IF($N522="","",$Q522*$R522)</f>
        <v/>
      </c>
    </row>
    <row r="523" customFormat="false" ht="15" hidden="false" customHeight="false" outlineLevel="0" collapsed="false">
      <c r="J523" s="20" t="str">
        <f aca="false">IF($A523="","",$B523+$C523+$D523-$E523+$F523-$G523)</f>
        <v/>
      </c>
      <c r="K523" s="20" t="str">
        <f aca="false">IF($A523="","",MAX(0,$B523-$J523))</f>
        <v/>
      </c>
      <c r="L523" s="20" t="str">
        <f aca="false">IF($A523="","",IF($B523=0,0,$K523/$B523))</f>
        <v/>
      </c>
      <c r="M523" s="20" t="str">
        <f aca="false">IF($A523="","",IF($J523&lt;0,"BORCA BATIK",IF($I523&lt;$H523,"BORCA BATIK",IF($L523&gt;=TtkUcteIkiEsik,"2/3 KAYIP (KRİTİK)",IF($L523&gt;=TtkUcteBirEsik,"1/3 KAYIP (DİKKAT)","UYGUN")))))</f>
        <v/>
      </c>
      <c r="U523" s="20" t="str">
        <f aca="false">IF($N523="","",$Q523*$R523)</f>
        <v/>
      </c>
    </row>
    <row r="524" customFormat="false" ht="15" hidden="false" customHeight="false" outlineLevel="0" collapsed="false">
      <c r="J524" s="20" t="str">
        <f aca="false">IF($A524="","",$B524+$C524+$D524-$E524+$F524-$G524)</f>
        <v/>
      </c>
      <c r="K524" s="20" t="str">
        <f aca="false">IF($A524="","",MAX(0,$B524-$J524))</f>
        <v/>
      </c>
      <c r="L524" s="20" t="str">
        <f aca="false">IF($A524="","",IF($B524=0,0,$K524/$B524))</f>
        <v/>
      </c>
      <c r="M524" s="20" t="str">
        <f aca="false">IF($A524="","",IF($J524&lt;0,"BORCA BATIK",IF($I524&lt;$H524,"BORCA BATIK",IF($L524&gt;=TtkUcteIkiEsik,"2/3 KAYIP (KRİTİK)",IF($L524&gt;=TtkUcteBirEsik,"1/3 KAYIP (DİKKAT)","UYGUN")))))</f>
        <v/>
      </c>
      <c r="U524" s="20" t="str">
        <f aca="false">IF($N524="","",$Q524*$R524)</f>
        <v/>
      </c>
    </row>
    <row r="525" customFormat="false" ht="15" hidden="false" customHeight="false" outlineLevel="0" collapsed="false">
      <c r="J525" s="20" t="str">
        <f aca="false">IF($A525="","",$B525+$C525+$D525-$E525+$F525-$G525)</f>
        <v/>
      </c>
      <c r="K525" s="20" t="str">
        <f aca="false">IF($A525="","",MAX(0,$B525-$J525))</f>
        <v/>
      </c>
      <c r="L525" s="20" t="str">
        <f aca="false">IF($A525="","",IF($B525=0,0,$K525/$B525))</f>
        <v/>
      </c>
      <c r="M525" s="20" t="str">
        <f aca="false">IF($A525="","",IF($J525&lt;0,"BORCA BATIK",IF($I525&lt;$H525,"BORCA BATIK",IF($L525&gt;=TtkUcteIkiEsik,"2/3 KAYIP (KRİTİK)",IF($L525&gt;=TtkUcteBirEsik,"1/3 KAYIP (DİKKAT)","UYGUN")))))</f>
        <v/>
      </c>
      <c r="U525" s="20" t="str">
        <f aca="false">IF($N525="","",$Q525*$R525)</f>
        <v/>
      </c>
    </row>
    <row r="526" customFormat="false" ht="15" hidden="false" customHeight="false" outlineLevel="0" collapsed="false">
      <c r="J526" s="20" t="str">
        <f aca="false">IF($A526="","",$B526+$C526+$D526-$E526+$F526-$G526)</f>
        <v/>
      </c>
      <c r="K526" s="20" t="str">
        <f aca="false">IF($A526="","",MAX(0,$B526-$J526))</f>
        <v/>
      </c>
      <c r="L526" s="20" t="str">
        <f aca="false">IF($A526="","",IF($B526=0,0,$K526/$B526))</f>
        <v/>
      </c>
      <c r="M526" s="20" t="str">
        <f aca="false">IF($A526="","",IF($J526&lt;0,"BORCA BATIK",IF($I526&lt;$H526,"BORCA BATIK",IF($L526&gt;=TtkUcteIkiEsik,"2/3 KAYIP (KRİTİK)",IF($L526&gt;=TtkUcteBirEsik,"1/3 KAYIP (DİKKAT)","UYGUN")))))</f>
        <v/>
      </c>
      <c r="U526" s="20" t="str">
        <f aca="false">IF($N526="","",$Q526*$R526)</f>
        <v/>
      </c>
    </row>
    <row r="527" customFormat="false" ht="15" hidden="false" customHeight="false" outlineLevel="0" collapsed="false">
      <c r="J527" s="20" t="str">
        <f aca="false">IF($A527="","",$B527+$C527+$D527-$E527+$F527-$G527)</f>
        <v/>
      </c>
      <c r="K527" s="20" t="str">
        <f aca="false">IF($A527="","",MAX(0,$B527-$J527))</f>
        <v/>
      </c>
      <c r="L527" s="20" t="str">
        <f aca="false">IF($A527="","",IF($B527=0,0,$K527/$B527))</f>
        <v/>
      </c>
      <c r="M527" s="20" t="str">
        <f aca="false">IF($A527="","",IF($J527&lt;0,"BORCA BATIK",IF($I527&lt;$H527,"BORCA BATIK",IF($L527&gt;=TtkUcteIkiEsik,"2/3 KAYIP (KRİTİK)",IF($L527&gt;=TtkUcteBirEsik,"1/3 KAYIP (DİKKAT)","UYGUN")))))</f>
        <v/>
      </c>
      <c r="U527" s="20" t="str">
        <f aca="false">IF($N527="","",$Q527*$R527)</f>
        <v/>
      </c>
    </row>
    <row r="528" customFormat="false" ht="15" hidden="false" customHeight="false" outlineLevel="0" collapsed="false">
      <c r="J528" s="20" t="str">
        <f aca="false">IF($A528="","",$B528+$C528+$D528-$E528+$F528-$G528)</f>
        <v/>
      </c>
      <c r="K528" s="20" t="str">
        <f aca="false">IF($A528="","",MAX(0,$B528-$J528))</f>
        <v/>
      </c>
      <c r="L528" s="20" t="str">
        <f aca="false">IF($A528="","",IF($B528=0,0,$K528/$B528))</f>
        <v/>
      </c>
      <c r="M528" s="20" t="str">
        <f aca="false">IF($A528="","",IF($J528&lt;0,"BORCA BATIK",IF($I528&lt;$H528,"BORCA BATIK",IF($L528&gt;=TtkUcteIkiEsik,"2/3 KAYIP (KRİTİK)",IF($L528&gt;=TtkUcteBirEsik,"1/3 KAYIP (DİKKAT)","UYGUN")))))</f>
        <v/>
      </c>
      <c r="U528" s="20" t="str">
        <f aca="false">IF($N528="","",$Q528*$R528)</f>
        <v/>
      </c>
    </row>
    <row r="529" customFormat="false" ht="15" hidden="false" customHeight="false" outlineLevel="0" collapsed="false">
      <c r="J529" s="20" t="str">
        <f aca="false">IF($A529="","",$B529+$C529+$D529-$E529+$F529-$G529)</f>
        <v/>
      </c>
      <c r="K529" s="20" t="str">
        <f aca="false">IF($A529="","",MAX(0,$B529-$J529))</f>
        <v/>
      </c>
      <c r="L529" s="20" t="str">
        <f aca="false">IF($A529="","",IF($B529=0,0,$K529/$B529))</f>
        <v/>
      </c>
      <c r="M529" s="20" t="str">
        <f aca="false">IF($A529="","",IF($J529&lt;0,"BORCA BATIK",IF($I529&lt;$H529,"BORCA BATIK",IF($L529&gt;=TtkUcteIkiEsik,"2/3 KAYIP (KRİTİK)",IF($L529&gt;=TtkUcteBirEsik,"1/3 KAYIP (DİKKAT)","UYGUN")))))</f>
        <v/>
      </c>
      <c r="U529" s="20" t="str">
        <f aca="false">IF($N529="","",$Q529*$R529)</f>
        <v/>
      </c>
    </row>
    <row r="530" customFormat="false" ht="15" hidden="false" customHeight="false" outlineLevel="0" collapsed="false">
      <c r="J530" s="20" t="str">
        <f aca="false">IF($A530="","",$B530+$C530+$D530-$E530+$F530-$G530)</f>
        <v/>
      </c>
      <c r="K530" s="20" t="str">
        <f aca="false">IF($A530="","",MAX(0,$B530-$J530))</f>
        <v/>
      </c>
      <c r="L530" s="20" t="str">
        <f aca="false">IF($A530="","",IF($B530=0,0,$K530/$B530))</f>
        <v/>
      </c>
      <c r="M530" s="20" t="str">
        <f aca="false">IF($A530="","",IF($J530&lt;0,"BORCA BATIK",IF($I530&lt;$H530,"BORCA BATIK",IF($L530&gt;=TtkUcteIkiEsik,"2/3 KAYIP (KRİTİK)",IF($L530&gt;=TtkUcteBirEsik,"1/3 KAYIP (DİKKAT)","UYGUN")))))</f>
        <v/>
      </c>
      <c r="U530" s="20" t="str">
        <f aca="false">IF($N530="","",$Q530*$R530)</f>
        <v/>
      </c>
    </row>
    <row r="531" customFormat="false" ht="15" hidden="false" customHeight="false" outlineLevel="0" collapsed="false">
      <c r="J531" s="20" t="str">
        <f aca="false">IF($A531="","",$B531+$C531+$D531-$E531+$F531-$G531)</f>
        <v/>
      </c>
      <c r="K531" s="20" t="str">
        <f aca="false">IF($A531="","",MAX(0,$B531-$J531))</f>
        <v/>
      </c>
      <c r="L531" s="20" t="str">
        <f aca="false">IF($A531="","",IF($B531=0,0,$K531/$B531))</f>
        <v/>
      </c>
      <c r="M531" s="20" t="str">
        <f aca="false">IF($A531="","",IF($J531&lt;0,"BORCA BATIK",IF($I531&lt;$H531,"BORCA BATIK",IF($L531&gt;=TtkUcteIkiEsik,"2/3 KAYIP (KRİTİK)",IF($L531&gt;=TtkUcteBirEsik,"1/3 KAYIP (DİKKAT)","UYGUN")))))</f>
        <v/>
      </c>
      <c r="U531" s="20" t="str">
        <f aca="false">IF($N531="","",$Q531*$R531)</f>
        <v/>
      </c>
    </row>
    <row r="532" customFormat="false" ht="15" hidden="false" customHeight="false" outlineLevel="0" collapsed="false">
      <c r="J532" s="20" t="str">
        <f aca="false">IF($A532="","",$B532+$C532+$D532-$E532+$F532-$G532)</f>
        <v/>
      </c>
      <c r="K532" s="20" t="str">
        <f aca="false">IF($A532="","",MAX(0,$B532-$J532))</f>
        <v/>
      </c>
      <c r="L532" s="20" t="str">
        <f aca="false">IF($A532="","",IF($B532=0,0,$K532/$B532))</f>
        <v/>
      </c>
      <c r="M532" s="20" t="str">
        <f aca="false">IF($A532="","",IF($J532&lt;0,"BORCA BATIK",IF($I532&lt;$H532,"BORCA BATIK",IF($L532&gt;=TtkUcteIkiEsik,"2/3 KAYIP (KRİTİK)",IF($L532&gt;=TtkUcteBirEsik,"1/3 KAYIP (DİKKAT)","UYGUN")))))</f>
        <v/>
      </c>
      <c r="U532" s="20" t="str">
        <f aca="false">IF($N532="","",$Q532*$R532)</f>
        <v/>
      </c>
    </row>
    <row r="533" customFormat="false" ht="15" hidden="false" customHeight="false" outlineLevel="0" collapsed="false">
      <c r="J533" s="20" t="str">
        <f aca="false">IF($A533="","",$B533+$C533+$D533-$E533+$F533-$G533)</f>
        <v/>
      </c>
      <c r="K533" s="20" t="str">
        <f aca="false">IF($A533="","",MAX(0,$B533-$J533))</f>
        <v/>
      </c>
      <c r="L533" s="20" t="str">
        <f aca="false">IF($A533="","",IF($B533=0,0,$K533/$B533))</f>
        <v/>
      </c>
      <c r="M533" s="20" t="str">
        <f aca="false">IF($A533="","",IF($J533&lt;0,"BORCA BATIK",IF($I533&lt;$H533,"BORCA BATIK",IF($L533&gt;=TtkUcteIkiEsik,"2/3 KAYIP (KRİTİK)",IF($L533&gt;=TtkUcteBirEsik,"1/3 KAYIP (DİKKAT)","UYGUN")))))</f>
        <v/>
      </c>
      <c r="U533" s="20" t="str">
        <f aca="false">IF($N533="","",$Q533*$R533)</f>
        <v/>
      </c>
    </row>
    <row r="534" customFormat="false" ht="15" hidden="false" customHeight="false" outlineLevel="0" collapsed="false">
      <c r="J534" s="20" t="str">
        <f aca="false">IF($A534="","",$B534+$C534+$D534-$E534+$F534-$G534)</f>
        <v/>
      </c>
      <c r="K534" s="20" t="str">
        <f aca="false">IF($A534="","",MAX(0,$B534-$J534))</f>
        <v/>
      </c>
      <c r="L534" s="20" t="str">
        <f aca="false">IF($A534="","",IF($B534=0,0,$K534/$B534))</f>
        <v/>
      </c>
      <c r="M534" s="20" t="str">
        <f aca="false">IF($A534="","",IF($J534&lt;0,"BORCA BATIK",IF($I534&lt;$H534,"BORCA BATIK",IF($L534&gt;=TtkUcteIkiEsik,"2/3 KAYIP (KRİTİK)",IF($L534&gt;=TtkUcteBirEsik,"1/3 KAYIP (DİKKAT)","UYGUN")))))</f>
        <v/>
      </c>
      <c r="U534" s="20" t="str">
        <f aca="false">IF($N534="","",$Q534*$R534)</f>
        <v/>
      </c>
    </row>
    <row r="535" customFormat="false" ht="15" hidden="false" customHeight="false" outlineLevel="0" collapsed="false">
      <c r="J535" s="20" t="str">
        <f aca="false">IF($A535="","",$B535+$C535+$D535-$E535+$F535-$G535)</f>
        <v/>
      </c>
      <c r="K535" s="20" t="str">
        <f aca="false">IF($A535="","",MAX(0,$B535-$J535))</f>
        <v/>
      </c>
      <c r="L535" s="20" t="str">
        <f aca="false">IF($A535="","",IF($B535=0,0,$K535/$B535))</f>
        <v/>
      </c>
      <c r="M535" s="20" t="str">
        <f aca="false">IF($A535="","",IF($J535&lt;0,"BORCA BATIK",IF($I535&lt;$H535,"BORCA BATIK",IF($L535&gt;=TtkUcteIkiEsik,"2/3 KAYIP (KRİTİK)",IF($L535&gt;=TtkUcteBirEsik,"1/3 KAYIP (DİKKAT)","UYGUN")))))</f>
        <v/>
      </c>
      <c r="U535" s="20" t="str">
        <f aca="false">IF($N535="","",$Q535*$R535)</f>
        <v/>
      </c>
    </row>
    <row r="536" customFormat="false" ht="15" hidden="false" customHeight="false" outlineLevel="0" collapsed="false">
      <c r="J536" s="20" t="str">
        <f aca="false">IF($A536="","",$B536+$C536+$D536-$E536+$F536-$G536)</f>
        <v/>
      </c>
      <c r="K536" s="20" t="str">
        <f aca="false">IF($A536="","",MAX(0,$B536-$J536))</f>
        <v/>
      </c>
      <c r="L536" s="20" t="str">
        <f aca="false">IF($A536="","",IF($B536=0,0,$K536/$B536))</f>
        <v/>
      </c>
      <c r="M536" s="20" t="str">
        <f aca="false">IF($A536="","",IF($J536&lt;0,"BORCA BATIK",IF($I536&lt;$H536,"BORCA BATIK",IF($L536&gt;=TtkUcteIkiEsik,"2/3 KAYIP (KRİTİK)",IF($L536&gt;=TtkUcteBirEsik,"1/3 KAYIP (DİKKAT)","UYGUN")))))</f>
        <v/>
      </c>
      <c r="U536" s="20" t="str">
        <f aca="false">IF($N536="","",$Q536*$R536)</f>
        <v/>
      </c>
    </row>
    <row r="537" customFormat="false" ht="15" hidden="false" customHeight="false" outlineLevel="0" collapsed="false">
      <c r="J537" s="20" t="str">
        <f aca="false">IF($A537="","",$B537+$C537+$D537-$E537+$F537-$G537)</f>
        <v/>
      </c>
      <c r="K537" s="20" t="str">
        <f aca="false">IF($A537="","",MAX(0,$B537-$J537))</f>
        <v/>
      </c>
      <c r="L537" s="20" t="str">
        <f aca="false">IF($A537="","",IF($B537=0,0,$K537/$B537))</f>
        <v/>
      </c>
      <c r="M537" s="20" t="str">
        <f aca="false">IF($A537="","",IF($J537&lt;0,"BORCA BATIK",IF($I537&lt;$H537,"BORCA BATIK",IF($L537&gt;=TtkUcteIkiEsik,"2/3 KAYIP (KRİTİK)",IF($L537&gt;=TtkUcteBirEsik,"1/3 KAYIP (DİKKAT)","UYGUN")))))</f>
        <v/>
      </c>
      <c r="U537" s="20" t="str">
        <f aca="false">IF($N537="","",$Q537*$R537)</f>
        <v/>
      </c>
    </row>
    <row r="538" customFormat="false" ht="15" hidden="false" customHeight="false" outlineLevel="0" collapsed="false">
      <c r="J538" s="20" t="str">
        <f aca="false">IF($A538="","",$B538+$C538+$D538-$E538+$F538-$G538)</f>
        <v/>
      </c>
      <c r="K538" s="20" t="str">
        <f aca="false">IF($A538="","",MAX(0,$B538-$J538))</f>
        <v/>
      </c>
      <c r="L538" s="20" t="str">
        <f aca="false">IF($A538="","",IF($B538=0,0,$K538/$B538))</f>
        <v/>
      </c>
      <c r="M538" s="20" t="str">
        <f aca="false">IF($A538="","",IF($J538&lt;0,"BORCA BATIK",IF($I538&lt;$H538,"BORCA BATIK",IF($L538&gt;=TtkUcteIkiEsik,"2/3 KAYIP (KRİTİK)",IF($L538&gt;=TtkUcteBirEsik,"1/3 KAYIP (DİKKAT)","UYGUN")))))</f>
        <v/>
      </c>
      <c r="U538" s="20" t="str">
        <f aca="false">IF($N538="","",$Q538*$R538)</f>
        <v/>
      </c>
    </row>
    <row r="539" customFormat="false" ht="15" hidden="false" customHeight="false" outlineLevel="0" collapsed="false">
      <c r="J539" s="20" t="str">
        <f aca="false">IF($A539="","",$B539+$C539+$D539-$E539+$F539-$G539)</f>
        <v/>
      </c>
      <c r="K539" s="20" t="str">
        <f aca="false">IF($A539="","",MAX(0,$B539-$J539))</f>
        <v/>
      </c>
      <c r="L539" s="20" t="str">
        <f aca="false">IF($A539="","",IF($B539=0,0,$K539/$B539))</f>
        <v/>
      </c>
      <c r="M539" s="20" t="str">
        <f aca="false">IF($A539="","",IF($J539&lt;0,"BORCA BATIK",IF($I539&lt;$H539,"BORCA BATIK",IF($L539&gt;=TtkUcteIkiEsik,"2/3 KAYIP (KRİTİK)",IF($L539&gt;=TtkUcteBirEsik,"1/3 KAYIP (DİKKAT)","UYGUN")))))</f>
        <v/>
      </c>
      <c r="U539" s="20" t="str">
        <f aca="false">IF($N539="","",$Q539*$R539)</f>
        <v/>
      </c>
    </row>
    <row r="540" customFormat="false" ht="15" hidden="false" customHeight="false" outlineLevel="0" collapsed="false">
      <c r="J540" s="20" t="str">
        <f aca="false">IF($A540="","",$B540+$C540+$D540-$E540+$F540-$G540)</f>
        <v/>
      </c>
      <c r="K540" s="20" t="str">
        <f aca="false">IF($A540="","",MAX(0,$B540-$J540))</f>
        <v/>
      </c>
      <c r="L540" s="20" t="str">
        <f aca="false">IF($A540="","",IF($B540=0,0,$K540/$B540))</f>
        <v/>
      </c>
      <c r="M540" s="20" t="str">
        <f aca="false">IF($A540="","",IF($J540&lt;0,"BORCA BATIK",IF($I540&lt;$H540,"BORCA BATIK",IF($L540&gt;=TtkUcteIkiEsik,"2/3 KAYIP (KRİTİK)",IF($L540&gt;=TtkUcteBirEsik,"1/3 KAYIP (DİKKAT)","UYGUN")))))</f>
        <v/>
      </c>
      <c r="U540" s="20" t="str">
        <f aca="false">IF($N540="","",$Q540*$R540)</f>
        <v/>
      </c>
    </row>
    <row r="541" customFormat="false" ht="15" hidden="false" customHeight="false" outlineLevel="0" collapsed="false">
      <c r="J541" s="20" t="str">
        <f aca="false">IF($A541="","",$B541+$C541+$D541-$E541+$F541-$G541)</f>
        <v/>
      </c>
      <c r="K541" s="20" t="str">
        <f aca="false">IF($A541="","",MAX(0,$B541-$J541))</f>
        <v/>
      </c>
      <c r="L541" s="20" t="str">
        <f aca="false">IF($A541="","",IF($B541=0,0,$K541/$B541))</f>
        <v/>
      </c>
      <c r="M541" s="20" t="str">
        <f aca="false">IF($A541="","",IF($J541&lt;0,"BORCA BATIK",IF($I541&lt;$H541,"BORCA BATIK",IF($L541&gt;=TtkUcteIkiEsik,"2/3 KAYIP (KRİTİK)",IF($L541&gt;=TtkUcteBirEsik,"1/3 KAYIP (DİKKAT)","UYGUN")))))</f>
        <v/>
      </c>
      <c r="U541" s="20" t="str">
        <f aca="false">IF($N541="","",$Q541*$R541)</f>
        <v/>
      </c>
    </row>
    <row r="542" customFormat="false" ht="15" hidden="false" customHeight="false" outlineLevel="0" collapsed="false">
      <c r="J542" s="20" t="str">
        <f aca="false">IF($A542="","",$B542+$C542+$D542-$E542+$F542-$G542)</f>
        <v/>
      </c>
      <c r="K542" s="20" t="str">
        <f aca="false">IF($A542="","",MAX(0,$B542-$J542))</f>
        <v/>
      </c>
      <c r="L542" s="20" t="str">
        <f aca="false">IF($A542="","",IF($B542=0,0,$K542/$B542))</f>
        <v/>
      </c>
      <c r="M542" s="20" t="str">
        <f aca="false">IF($A542="","",IF($J542&lt;0,"BORCA BATIK",IF($I542&lt;$H542,"BORCA BATIK",IF($L542&gt;=TtkUcteIkiEsik,"2/3 KAYIP (KRİTİK)",IF($L542&gt;=TtkUcteBirEsik,"1/3 KAYIP (DİKKAT)","UYGUN")))))</f>
        <v/>
      </c>
      <c r="U542" s="20" t="str">
        <f aca="false">IF($N542="","",$Q542*$R542)</f>
        <v/>
      </c>
    </row>
    <row r="543" customFormat="false" ht="15" hidden="false" customHeight="false" outlineLevel="0" collapsed="false">
      <c r="J543" s="20" t="str">
        <f aca="false">IF($A543="","",$B543+$C543+$D543-$E543+$F543-$G543)</f>
        <v/>
      </c>
      <c r="K543" s="20" t="str">
        <f aca="false">IF($A543="","",MAX(0,$B543-$J543))</f>
        <v/>
      </c>
      <c r="L543" s="20" t="str">
        <f aca="false">IF($A543="","",IF($B543=0,0,$K543/$B543))</f>
        <v/>
      </c>
      <c r="M543" s="20" t="str">
        <f aca="false">IF($A543="","",IF($J543&lt;0,"BORCA BATIK",IF($I543&lt;$H543,"BORCA BATIK",IF($L543&gt;=TtkUcteIkiEsik,"2/3 KAYIP (KRİTİK)",IF($L543&gt;=TtkUcteBirEsik,"1/3 KAYIP (DİKKAT)","UYGUN")))))</f>
        <v/>
      </c>
      <c r="U543" s="20" t="str">
        <f aca="false">IF($N543="","",$Q543*$R543)</f>
        <v/>
      </c>
    </row>
    <row r="544" customFormat="false" ht="15" hidden="false" customHeight="false" outlineLevel="0" collapsed="false">
      <c r="J544" s="20" t="str">
        <f aca="false">IF($A544="","",$B544+$C544+$D544-$E544+$F544-$G544)</f>
        <v/>
      </c>
      <c r="K544" s="20" t="str">
        <f aca="false">IF($A544="","",MAX(0,$B544-$J544))</f>
        <v/>
      </c>
      <c r="L544" s="20" t="str">
        <f aca="false">IF($A544="","",IF($B544=0,0,$K544/$B544))</f>
        <v/>
      </c>
      <c r="M544" s="20" t="str">
        <f aca="false">IF($A544="","",IF($J544&lt;0,"BORCA BATIK",IF($I544&lt;$H544,"BORCA BATIK",IF($L544&gt;=TtkUcteIkiEsik,"2/3 KAYIP (KRİTİK)",IF($L544&gt;=TtkUcteBirEsik,"1/3 KAYIP (DİKKAT)","UYGUN")))))</f>
        <v/>
      </c>
      <c r="U544" s="20" t="str">
        <f aca="false">IF($N544="","",$Q544*$R544)</f>
        <v/>
      </c>
    </row>
    <row r="545" customFormat="false" ht="15" hidden="false" customHeight="false" outlineLevel="0" collapsed="false">
      <c r="J545" s="20" t="str">
        <f aca="false">IF($A545="","",$B545+$C545+$D545-$E545+$F545-$G545)</f>
        <v/>
      </c>
      <c r="K545" s="20" t="str">
        <f aca="false">IF($A545="","",MAX(0,$B545-$J545))</f>
        <v/>
      </c>
      <c r="L545" s="20" t="str">
        <f aca="false">IF($A545="","",IF($B545=0,0,$K545/$B545))</f>
        <v/>
      </c>
      <c r="M545" s="20" t="str">
        <f aca="false">IF($A545="","",IF($J545&lt;0,"BORCA BATIK",IF($I545&lt;$H545,"BORCA BATIK",IF($L545&gt;=TtkUcteIkiEsik,"2/3 KAYIP (KRİTİK)",IF($L545&gt;=TtkUcteBirEsik,"1/3 KAYIP (DİKKAT)","UYGUN")))))</f>
        <v/>
      </c>
      <c r="U545" s="20" t="str">
        <f aca="false">IF($N545="","",$Q545*$R545)</f>
        <v/>
      </c>
    </row>
    <row r="546" customFormat="false" ht="15" hidden="false" customHeight="false" outlineLevel="0" collapsed="false">
      <c r="J546" s="20" t="str">
        <f aca="false">IF($A546="","",$B546+$C546+$D546-$E546+$F546-$G546)</f>
        <v/>
      </c>
      <c r="K546" s="20" t="str">
        <f aca="false">IF($A546="","",MAX(0,$B546-$J546))</f>
        <v/>
      </c>
      <c r="L546" s="20" t="str">
        <f aca="false">IF($A546="","",IF($B546=0,0,$K546/$B546))</f>
        <v/>
      </c>
      <c r="M546" s="20" t="str">
        <f aca="false">IF($A546="","",IF($J546&lt;0,"BORCA BATIK",IF($I546&lt;$H546,"BORCA BATIK",IF($L546&gt;=TtkUcteIkiEsik,"2/3 KAYIP (KRİTİK)",IF($L546&gt;=TtkUcteBirEsik,"1/3 KAYIP (DİKKAT)","UYGUN")))))</f>
        <v/>
      </c>
      <c r="U546" s="20" t="str">
        <f aca="false">IF($N546="","",$Q546*$R546)</f>
        <v/>
      </c>
    </row>
    <row r="547" customFormat="false" ht="15" hidden="false" customHeight="false" outlineLevel="0" collapsed="false">
      <c r="J547" s="20" t="str">
        <f aca="false">IF($A547="","",$B547+$C547+$D547-$E547+$F547-$G547)</f>
        <v/>
      </c>
      <c r="K547" s="20" t="str">
        <f aca="false">IF($A547="","",MAX(0,$B547-$J547))</f>
        <v/>
      </c>
      <c r="L547" s="20" t="str">
        <f aca="false">IF($A547="","",IF($B547=0,0,$K547/$B547))</f>
        <v/>
      </c>
      <c r="M547" s="20" t="str">
        <f aca="false">IF($A547="","",IF($J547&lt;0,"BORCA BATIK",IF($I547&lt;$H547,"BORCA BATIK",IF($L547&gt;=TtkUcteIkiEsik,"2/3 KAYIP (KRİTİK)",IF($L547&gt;=TtkUcteBirEsik,"1/3 KAYIP (DİKKAT)","UYGUN")))))</f>
        <v/>
      </c>
      <c r="U547" s="20" t="str">
        <f aca="false">IF($N547="","",$Q547*$R547)</f>
        <v/>
      </c>
    </row>
    <row r="548" customFormat="false" ht="15" hidden="false" customHeight="false" outlineLevel="0" collapsed="false">
      <c r="J548" s="20" t="str">
        <f aca="false">IF($A548="","",$B548+$C548+$D548-$E548+$F548-$G548)</f>
        <v/>
      </c>
      <c r="K548" s="20" t="str">
        <f aca="false">IF($A548="","",MAX(0,$B548-$J548))</f>
        <v/>
      </c>
      <c r="L548" s="20" t="str">
        <f aca="false">IF($A548="","",IF($B548=0,0,$K548/$B548))</f>
        <v/>
      </c>
      <c r="M548" s="20" t="str">
        <f aca="false">IF($A548="","",IF($J548&lt;0,"BORCA BATIK",IF($I548&lt;$H548,"BORCA BATIK",IF($L548&gt;=TtkUcteIkiEsik,"2/3 KAYIP (KRİTİK)",IF($L548&gt;=TtkUcteBirEsik,"1/3 KAYIP (DİKKAT)","UYGUN")))))</f>
        <v/>
      </c>
      <c r="U548" s="20" t="str">
        <f aca="false">IF($N548="","",$Q548*$R548)</f>
        <v/>
      </c>
    </row>
    <row r="549" customFormat="false" ht="15" hidden="false" customHeight="false" outlineLevel="0" collapsed="false">
      <c r="J549" s="20" t="str">
        <f aca="false">IF($A549="","",$B549+$C549+$D549-$E549+$F549-$G549)</f>
        <v/>
      </c>
      <c r="K549" s="20" t="str">
        <f aca="false">IF($A549="","",MAX(0,$B549-$J549))</f>
        <v/>
      </c>
      <c r="L549" s="20" t="str">
        <f aca="false">IF($A549="","",IF($B549=0,0,$K549/$B549))</f>
        <v/>
      </c>
      <c r="M549" s="20" t="str">
        <f aca="false">IF($A549="","",IF($J549&lt;0,"BORCA BATIK",IF($I549&lt;$H549,"BORCA BATIK",IF($L549&gt;=TtkUcteIkiEsik,"2/3 KAYIP (KRİTİK)",IF($L549&gt;=TtkUcteBirEsik,"1/3 KAYIP (DİKKAT)","UYGUN")))))</f>
        <v/>
      </c>
      <c r="U549" s="20" t="str">
        <f aca="false">IF($N549="","",$Q549*$R549)</f>
        <v/>
      </c>
    </row>
    <row r="550" customFormat="false" ht="15" hidden="false" customHeight="false" outlineLevel="0" collapsed="false">
      <c r="J550" s="20" t="str">
        <f aca="false">IF($A550="","",$B550+$C550+$D550-$E550+$F550-$G550)</f>
        <v/>
      </c>
      <c r="K550" s="20" t="str">
        <f aca="false">IF($A550="","",MAX(0,$B550-$J550))</f>
        <v/>
      </c>
      <c r="L550" s="20" t="str">
        <f aca="false">IF($A550="","",IF($B550=0,0,$K550/$B550))</f>
        <v/>
      </c>
      <c r="M550" s="20" t="str">
        <f aca="false">IF($A550="","",IF($J550&lt;0,"BORCA BATIK",IF($I550&lt;$H550,"BORCA BATIK",IF($L550&gt;=TtkUcteIkiEsik,"2/3 KAYIP (KRİTİK)",IF($L550&gt;=TtkUcteBirEsik,"1/3 KAYIP (DİKKAT)","UYGUN")))))</f>
        <v/>
      </c>
      <c r="U550" s="20" t="str">
        <f aca="false">IF($N550="","",$Q550*$R550)</f>
        <v/>
      </c>
    </row>
    <row r="551" customFormat="false" ht="15" hidden="false" customHeight="false" outlineLevel="0" collapsed="false">
      <c r="J551" s="20" t="str">
        <f aca="false">IF($A551="","",$B551+$C551+$D551-$E551+$F551-$G551)</f>
        <v/>
      </c>
      <c r="K551" s="20" t="str">
        <f aca="false">IF($A551="","",MAX(0,$B551-$J551))</f>
        <v/>
      </c>
      <c r="L551" s="20" t="str">
        <f aca="false">IF($A551="","",IF($B551=0,0,$K551/$B551))</f>
        <v/>
      </c>
      <c r="M551" s="20" t="str">
        <f aca="false">IF($A551="","",IF($J551&lt;0,"BORCA BATIK",IF($I551&lt;$H551,"BORCA BATIK",IF($L551&gt;=TtkUcteIkiEsik,"2/3 KAYIP (KRİTİK)",IF($L551&gt;=TtkUcteBirEsik,"1/3 KAYIP (DİKKAT)","UYGUN")))))</f>
        <v/>
      </c>
      <c r="U551" s="20" t="str">
        <f aca="false">IF($N551="","",$Q551*$R551)</f>
        <v/>
      </c>
    </row>
    <row r="552" customFormat="false" ht="15" hidden="false" customHeight="false" outlineLevel="0" collapsed="false">
      <c r="J552" s="20" t="str">
        <f aca="false">IF($A552="","",$B552+$C552+$D552-$E552+$F552-$G552)</f>
        <v/>
      </c>
      <c r="K552" s="20" t="str">
        <f aca="false">IF($A552="","",MAX(0,$B552-$J552))</f>
        <v/>
      </c>
      <c r="L552" s="20" t="str">
        <f aca="false">IF($A552="","",IF($B552=0,0,$K552/$B552))</f>
        <v/>
      </c>
      <c r="M552" s="20" t="str">
        <f aca="false">IF($A552="","",IF($J552&lt;0,"BORCA BATIK",IF($I552&lt;$H552,"BORCA BATIK",IF($L552&gt;=TtkUcteIkiEsik,"2/3 KAYIP (KRİTİK)",IF($L552&gt;=TtkUcteBirEsik,"1/3 KAYIP (DİKKAT)","UYGUN")))))</f>
        <v/>
      </c>
      <c r="U552" s="20" t="str">
        <f aca="false">IF($N552="","",$Q552*$R552)</f>
        <v/>
      </c>
    </row>
    <row r="553" customFormat="false" ht="15" hidden="false" customHeight="false" outlineLevel="0" collapsed="false">
      <c r="J553" s="20" t="str">
        <f aca="false">IF($A553="","",$B553+$C553+$D553-$E553+$F553-$G553)</f>
        <v/>
      </c>
      <c r="K553" s="20" t="str">
        <f aca="false">IF($A553="","",MAX(0,$B553-$J553))</f>
        <v/>
      </c>
      <c r="L553" s="20" t="str">
        <f aca="false">IF($A553="","",IF($B553=0,0,$K553/$B553))</f>
        <v/>
      </c>
      <c r="M553" s="20" t="str">
        <f aca="false">IF($A553="","",IF($J553&lt;0,"BORCA BATIK",IF($I553&lt;$H553,"BORCA BATIK",IF($L553&gt;=TtkUcteIkiEsik,"2/3 KAYIP (KRİTİK)",IF($L553&gt;=TtkUcteBirEsik,"1/3 KAYIP (DİKKAT)","UYGUN")))))</f>
        <v/>
      </c>
      <c r="U553" s="20" t="str">
        <f aca="false">IF($N553="","",$Q553*$R553)</f>
        <v/>
      </c>
    </row>
    <row r="554" customFormat="false" ht="15" hidden="false" customHeight="false" outlineLevel="0" collapsed="false">
      <c r="J554" s="20" t="str">
        <f aca="false">IF($A554="","",$B554+$C554+$D554-$E554+$F554-$G554)</f>
        <v/>
      </c>
      <c r="K554" s="20" t="str">
        <f aca="false">IF($A554="","",MAX(0,$B554-$J554))</f>
        <v/>
      </c>
      <c r="L554" s="20" t="str">
        <f aca="false">IF($A554="","",IF($B554=0,0,$K554/$B554))</f>
        <v/>
      </c>
      <c r="M554" s="20" t="str">
        <f aca="false">IF($A554="","",IF($J554&lt;0,"BORCA BATIK",IF($I554&lt;$H554,"BORCA BATIK",IF($L554&gt;=TtkUcteIkiEsik,"2/3 KAYIP (KRİTİK)",IF($L554&gt;=TtkUcteBirEsik,"1/3 KAYIP (DİKKAT)","UYGUN")))))</f>
        <v/>
      </c>
      <c r="U554" s="20" t="str">
        <f aca="false">IF($N554="","",$Q554*$R554)</f>
        <v/>
      </c>
    </row>
    <row r="555" customFormat="false" ht="15" hidden="false" customHeight="false" outlineLevel="0" collapsed="false">
      <c r="J555" s="20" t="str">
        <f aca="false">IF($A555="","",$B555+$C555+$D555-$E555+$F555-$G555)</f>
        <v/>
      </c>
      <c r="K555" s="20" t="str">
        <f aca="false">IF($A555="","",MAX(0,$B555-$J555))</f>
        <v/>
      </c>
      <c r="L555" s="20" t="str">
        <f aca="false">IF($A555="","",IF($B555=0,0,$K555/$B555))</f>
        <v/>
      </c>
      <c r="M555" s="20" t="str">
        <f aca="false">IF($A555="","",IF($J555&lt;0,"BORCA BATIK",IF($I555&lt;$H555,"BORCA BATIK",IF($L555&gt;=TtkUcteIkiEsik,"2/3 KAYIP (KRİTİK)",IF($L555&gt;=TtkUcteBirEsik,"1/3 KAYIP (DİKKAT)","UYGUN")))))</f>
        <v/>
      </c>
      <c r="U555" s="20" t="str">
        <f aca="false">IF($N555="","",$Q555*$R555)</f>
        <v/>
      </c>
    </row>
    <row r="556" customFormat="false" ht="15" hidden="false" customHeight="false" outlineLevel="0" collapsed="false">
      <c r="J556" s="20" t="str">
        <f aca="false">IF($A556="","",$B556+$C556+$D556-$E556+$F556-$G556)</f>
        <v/>
      </c>
      <c r="K556" s="20" t="str">
        <f aca="false">IF($A556="","",MAX(0,$B556-$J556))</f>
        <v/>
      </c>
      <c r="L556" s="20" t="str">
        <f aca="false">IF($A556="","",IF($B556=0,0,$K556/$B556))</f>
        <v/>
      </c>
      <c r="M556" s="20" t="str">
        <f aca="false">IF($A556="","",IF($J556&lt;0,"BORCA BATIK",IF($I556&lt;$H556,"BORCA BATIK",IF($L556&gt;=TtkUcteIkiEsik,"2/3 KAYIP (KRİTİK)",IF($L556&gt;=TtkUcteBirEsik,"1/3 KAYIP (DİKKAT)","UYGUN")))))</f>
        <v/>
      </c>
      <c r="U556" s="20" t="str">
        <f aca="false">IF($N556="","",$Q556*$R556)</f>
        <v/>
      </c>
    </row>
    <row r="557" customFormat="false" ht="15" hidden="false" customHeight="false" outlineLevel="0" collapsed="false">
      <c r="J557" s="20" t="str">
        <f aca="false">IF($A557="","",$B557+$C557+$D557-$E557+$F557-$G557)</f>
        <v/>
      </c>
      <c r="K557" s="20" t="str">
        <f aca="false">IF($A557="","",MAX(0,$B557-$J557))</f>
        <v/>
      </c>
      <c r="L557" s="20" t="str">
        <f aca="false">IF($A557="","",IF($B557=0,0,$K557/$B557))</f>
        <v/>
      </c>
      <c r="M557" s="20" t="str">
        <f aca="false">IF($A557="","",IF($J557&lt;0,"BORCA BATIK",IF($I557&lt;$H557,"BORCA BATIK",IF($L557&gt;=TtkUcteIkiEsik,"2/3 KAYIP (KRİTİK)",IF($L557&gt;=TtkUcteBirEsik,"1/3 KAYIP (DİKKAT)","UYGUN")))))</f>
        <v/>
      </c>
      <c r="U557" s="20" t="str">
        <f aca="false">IF($N557="","",$Q557*$R557)</f>
        <v/>
      </c>
    </row>
    <row r="558" customFormat="false" ht="15" hidden="false" customHeight="false" outlineLevel="0" collapsed="false">
      <c r="J558" s="20" t="str">
        <f aca="false">IF($A558="","",$B558+$C558+$D558-$E558+$F558-$G558)</f>
        <v/>
      </c>
      <c r="K558" s="20" t="str">
        <f aca="false">IF($A558="","",MAX(0,$B558-$J558))</f>
        <v/>
      </c>
      <c r="L558" s="20" t="str">
        <f aca="false">IF($A558="","",IF($B558=0,0,$K558/$B558))</f>
        <v/>
      </c>
      <c r="M558" s="20" t="str">
        <f aca="false">IF($A558="","",IF($J558&lt;0,"BORCA BATIK",IF($I558&lt;$H558,"BORCA BATIK",IF($L558&gt;=TtkUcteIkiEsik,"2/3 KAYIP (KRİTİK)",IF($L558&gt;=TtkUcteBirEsik,"1/3 KAYIP (DİKKAT)","UYGUN")))))</f>
        <v/>
      </c>
      <c r="U558" s="20" t="str">
        <f aca="false">IF($N558="","",$Q558*$R558)</f>
        <v/>
      </c>
    </row>
    <row r="559" customFormat="false" ht="15" hidden="false" customHeight="false" outlineLevel="0" collapsed="false">
      <c r="J559" s="20" t="str">
        <f aca="false">IF($A559="","",$B559+$C559+$D559-$E559+$F559-$G559)</f>
        <v/>
      </c>
      <c r="K559" s="20" t="str">
        <f aca="false">IF($A559="","",MAX(0,$B559-$J559))</f>
        <v/>
      </c>
      <c r="L559" s="20" t="str">
        <f aca="false">IF($A559="","",IF($B559=0,0,$K559/$B559))</f>
        <v/>
      </c>
      <c r="M559" s="20" t="str">
        <f aca="false">IF($A559="","",IF($J559&lt;0,"BORCA BATIK",IF($I559&lt;$H559,"BORCA BATIK",IF($L559&gt;=TtkUcteIkiEsik,"2/3 KAYIP (KRİTİK)",IF($L559&gt;=TtkUcteBirEsik,"1/3 KAYIP (DİKKAT)","UYGUN")))))</f>
        <v/>
      </c>
      <c r="U559" s="20" t="str">
        <f aca="false">IF($N559="","",$Q559*$R559)</f>
        <v/>
      </c>
    </row>
    <row r="560" customFormat="false" ht="15" hidden="false" customHeight="false" outlineLevel="0" collapsed="false">
      <c r="J560" s="20" t="str">
        <f aca="false">IF($A560="","",$B560+$C560+$D560-$E560+$F560-$G560)</f>
        <v/>
      </c>
      <c r="K560" s="20" t="str">
        <f aca="false">IF($A560="","",MAX(0,$B560-$J560))</f>
        <v/>
      </c>
      <c r="L560" s="20" t="str">
        <f aca="false">IF($A560="","",IF($B560=0,0,$K560/$B560))</f>
        <v/>
      </c>
      <c r="M560" s="20" t="str">
        <f aca="false">IF($A560="","",IF($J560&lt;0,"BORCA BATIK",IF($I560&lt;$H560,"BORCA BATIK",IF($L560&gt;=TtkUcteIkiEsik,"2/3 KAYIP (KRİTİK)",IF($L560&gt;=TtkUcteBirEsik,"1/3 KAYIP (DİKKAT)","UYGUN")))))</f>
        <v/>
      </c>
      <c r="U560" s="20" t="str">
        <f aca="false">IF($N560="","",$Q560*$R560)</f>
        <v/>
      </c>
    </row>
    <row r="561" customFormat="false" ht="15" hidden="false" customHeight="false" outlineLevel="0" collapsed="false">
      <c r="J561" s="20" t="str">
        <f aca="false">IF($A561="","",$B561+$C561+$D561-$E561+$F561-$G561)</f>
        <v/>
      </c>
      <c r="K561" s="20" t="str">
        <f aca="false">IF($A561="","",MAX(0,$B561-$J561))</f>
        <v/>
      </c>
      <c r="L561" s="20" t="str">
        <f aca="false">IF($A561="","",IF($B561=0,0,$K561/$B561))</f>
        <v/>
      </c>
      <c r="M561" s="20" t="str">
        <f aca="false">IF($A561="","",IF($J561&lt;0,"BORCA BATIK",IF($I561&lt;$H561,"BORCA BATIK",IF($L561&gt;=TtkUcteIkiEsik,"2/3 KAYIP (KRİTİK)",IF($L561&gt;=TtkUcteBirEsik,"1/3 KAYIP (DİKKAT)","UYGUN")))))</f>
        <v/>
      </c>
      <c r="U561" s="20" t="str">
        <f aca="false">IF($N561="","",$Q561*$R561)</f>
        <v/>
      </c>
    </row>
    <row r="562" customFormat="false" ht="15" hidden="false" customHeight="false" outlineLevel="0" collapsed="false">
      <c r="J562" s="20" t="str">
        <f aca="false">IF($A562="","",$B562+$C562+$D562-$E562+$F562-$G562)</f>
        <v/>
      </c>
      <c r="K562" s="20" t="str">
        <f aca="false">IF($A562="","",MAX(0,$B562-$J562))</f>
        <v/>
      </c>
      <c r="L562" s="20" t="str">
        <f aca="false">IF($A562="","",IF($B562=0,0,$K562/$B562))</f>
        <v/>
      </c>
      <c r="M562" s="20" t="str">
        <f aca="false">IF($A562="","",IF($J562&lt;0,"BORCA BATIK",IF($I562&lt;$H562,"BORCA BATIK",IF($L562&gt;=TtkUcteIkiEsik,"2/3 KAYIP (KRİTİK)",IF($L562&gt;=TtkUcteBirEsik,"1/3 KAYIP (DİKKAT)","UYGUN")))))</f>
        <v/>
      </c>
      <c r="U562" s="20" t="str">
        <f aca="false">IF($N562="","",$Q562*$R562)</f>
        <v/>
      </c>
    </row>
    <row r="563" customFormat="false" ht="15" hidden="false" customHeight="false" outlineLevel="0" collapsed="false">
      <c r="J563" s="20" t="str">
        <f aca="false">IF($A563="","",$B563+$C563+$D563-$E563+$F563-$G563)</f>
        <v/>
      </c>
      <c r="K563" s="20" t="str">
        <f aca="false">IF($A563="","",MAX(0,$B563-$J563))</f>
        <v/>
      </c>
      <c r="L563" s="20" t="str">
        <f aca="false">IF($A563="","",IF($B563=0,0,$K563/$B563))</f>
        <v/>
      </c>
      <c r="M563" s="20" t="str">
        <f aca="false">IF($A563="","",IF($J563&lt;0,"BORCA BATIK",IF($I563&lt;$H563,"BORCA BATIK",IF($L563&gt;=TtkUcteIkiEsik,"2/3 KAYIP (KRİTİK)",IF($L563&gt;=TtkUcteBirEsik,"1/3 KAYIP (DİKKAT)","UYGUN")))))</f>
        <v/>
      </c>
      <c r="U563" s="20" t="str">
        <f aca="false">IF($N563="","",$Q563*$R563)</f>
        <v/>
      </c>
    </row>
    <row r="564" customFormat="false" ht="15" hidden="false" customHeight="false" outlineLevel="0" collapsed="false">
      <c r="J564" s="20" t="str">
        <f aca="false">IF($A564="","",$B564+$C564+$D564-$E564+$F564-$G564)</f>
        <v/>
      </c>
      <c r="K564" s="20" t="str">
        <f aca="false">IF($A564="","",MAX(0,$B564-$J564))</f>
        <v/>
      </c>
      <c r="L564" s="20" t="str">
        <f aca="false">IF($A564="","",IF($B564=0,0,$K564/$B564))</f>
        <v/>
      </c>
      <c r="M564" s="20" t="str">
        <f aca="false">IF($A564="","",IF($J564&lt;0,"BORCA BATIK",IF($I564&lt;$H564,"BORCA BATIK",IF($L564&gt;=TtkUcteIkiEsik,"2/3 KAYIP (KRİTİK)",IF($L564&gt;=TtkUcteBirEsik,"1/3 KAYIP (DİKKAT)","UYGUN")))))</f>
        <v/>
      </c>
      <c r="U564" s="20" t="str">
        <f aca="false">IF($N564="","",$Q564*$R564)</f>
        <v/>
      </c>
    </row>
    <row r="565" customFormat="false" ht="15" hidden="false" customHeight="false" outlineLevel="0" collapsed="false">
      <c r="J565" s="20" t="str">
        <f aca="false">IF($A565="","",$B565+$C565+$D565-$E565+$F565-$G565)</f>
        <v/>
      </c>
      <c r="K565" s="20" t="str">
        <f aca="false">IF($A565="","",MAX(0,$B565-$J565))</f>
        <v/>
      </c>
      <c r="L565" s="20" t="str">
        <f aca="false">IF($A565="","",IF($B565=0,0,$K565/$B565))</f>
        <v/>
      </c>
      <c r="M565" s="20" t="str">
        <f aca="false">IF($A565="","",IF($J565&lt;0,"BORCA BATIK",IF($I565&lt;$H565,"BORCA BATIK",IF($L565&gt;=TtkUcteIkiEsik,"2/3 KAYIP (KRİTİK)",IF($L565&gt;=TtkUcteBirEsik,"1/3 KAYIP (DİKKAT)","UYGUN")))))</f>
        <v/>
      </c>
      <c r="U565" s="20" t="str">
        <f aca="false">IF($N565="","",$Q565*$R565)</f>
        <v/>
      </c>
    </row>
    <row r="566" customFormat="false" ht="15" hidden="false" customHeight="false" outlineLevel="0" collapsed="false">
      <c r="J566" s="20" t="str">
        <f aca="false">IF($A566="","",$B566+$C566+$D566-$E566+$F566-$G566)</f>
        <v/>
      </c>
      <c r="K566" s="20" t="str">
        <f aca="false">IF($A566="","",MAX(0,$B566-$J566))</f>
        <v/>
      </c>
      <c r="L566" s="20" t="str">
        <f aca="false">IF($A566="","",IF($B566=0,0,$K566/$B566))</f>
        <v/>
      </c>
      <c r="M566" s="20" t="str">
        <f aca="false">IF($A566="","",IF($J566&lt;0,"BORCA BATIK",IF($I566&lt;$H566,"BORCA BATIK",IF($L566&gt;=TtkUcteIkiEsik,"2/3 KAYIP (KRİTİK)",IF($L566&gt;=TtkUcteBirEsik,"1/3 KAYIP (DİKKAT)","UYGUN")))))</f>
        <v/>
      </c>
      <c r="U566" s="20" t="str">
        <f aca="false">IF($N566="","",$Q566*$R566)</f>
        <v/>
      </c>
    </row>
    <row r="567" customFormat="false" ht="15" hidden="false" customHeight="false" outlineLevel="0" collapsed="false">
      <c r="J567" s="20" t="str">
        <f aca="false">IF($A567="","",$B567+$C567+$D567-$E567+$F567-$G567)</f>
        <v/>
      </c>
      <c r="K567" s="20" t="str">
        <f aca="false">IF($A567="","",MAX(0,$B567-$J567))</f>
        <v/>
      </c>
      <c r="L567" s="20" t="str">
        <f aca="false">IF($A567="","",IF($B567=0,0,$K567/$B567))</f>
        <v/>
      </c>
      <c r="M567" s="20" t="str">
        <f aca="false">IF($A567="","",IF($J567&lt;0,"BORCA BATIK",IF($I567&lt;$H567,"BORCA BATIK",IF($L567&gt;=TtkUcteIkiEsik,"2/3 KAYIP (KRİTİK)",IF($L567&gt;=TtkUcteBirEsik,"1/3 KAYIP (DİKKAT)","UYGUN")))))</f>
        <v/>
      </c>
      <c r="U567" s="20" t="str">
        <f aca="false">IF($N567="","",$Q567*$R567)</f>
        <v/>
      </c>
    </row>
    <row r="568" customFormat="false" ht="15" hidden="false" customHeight="false" outlineLevel="0" collapsed="false">
      <c r="J568" s="20" t="str">
        <f aca="false">IF($A568="","",$B568+$C568+$D568-$E568+$F568-$G568)</f>
        <v/>
      </c>
      <c r="K568" s="20" t="str">
        <f aca="false">IF($A568="","",MAX(0,$B568-$J568))</f>
        <v/>
      </c>
      <c r="L568" s="20" t="str">
        <f aca="false">IF($A568="","",IF($B568=0,0,$K568/$B568))</f>
        <v/>
      </c>
      <c r="M568" s="20" t="str">
        <f aca="false">IF($A568="","",IF($J568&lt;0,"BORCA BATIK",IF($I568&lt;$H568,"BORCA BATIK",IF($L568&gt;=TtkUcteIkiEsik,"2/3 KAYIP (KRİTİK)",IF($L568&gt;=TtkUcteBirEsik,"1/3 KAYIP (DİKKAT)","UYGUN")))))</f>
        <v/>
      </c>
      <c r="U568" s="20" t="str">
        <f aca="false">IF($N568="","",$Q568*$R568)</f>
        <v/>
      </c>
    </row>
    <row r="569" customFormat="false" ht="15" hidden="false" customHeight="false" outlineLevel="0" collapsed="false">
      <c r="J569" s="20" t="str">
        <f aca="false">IF($A569="","",$B569+$C569+$D569-$E569+$F569-$G569)</f>
        <v/>
      </c>
      <c r="K569" s="20" t="str">
        <f aca="false">IF($A569="","",MAX(0,$B569-$J569))</f>
        <v/>
      </c>
      <c r="L569" s="20" t="str">
        <f aca="false">IF($A569="","",IF($B569=0,0,$K569/$B569))</f>
        <v/>
      </c>
      <c r="M569" s="20" t="str">
        <f aca="false">IF($A569="","",IF($J569&lt;0,"BORCA BATIK",IF($I569&lt;$H569,"BORCA BATIK",IF($L569&gt;=TtkUcteIkiEsik,"2/3 KAYIP (KRİTİK)",IF($L569&gt;=TtkUcteBirEsik,"1/3 KAYIP (DİKKAT)","UYGUN")))))</f>
        <v/>
      </c>
      <c r="U569" s="20" t="str">
        <f aca="false">IF($N569="","",$Q569*$R569)</f>
        <v/>
      </c>
    </row>
    <row r="570" customFormat="false" ht="15" hidden="false" customHeight="false" outlineLevel="0" collapsed="false">
      <c r="J570" s="20" t="str">
        <f aca="false">IF($A570="","",$B570+$C570+$D570-$E570+$F570-$G570)</f>
        <v/>
      </c>
      <c r="K570" s="20" t="str">
        <f aca="false">IF($A570="","",MAX(0,$B570-$J570))</f>
        <v/>
      </c>
      <c r="L570" s="20" t="str">
        <f aca="false">IF($A570="","",IF($B570=0,0,$K570/$B570))</f>
        <v/>
      </c>
      <c r="M570" s="20" t="str">
        <f aca="false">IF($A570="","",IF($J570&lt;0,"BORCA BATIK",IF($I570&lt;$H570,"BORCA BATIK",IF($L570&gt;=TtkUcteIkiEsik,"2/3 KAYIP (KRİTİK)",IF($L570&gt;=TtkUcteBirEsik,"1/3 KAYIP (DİKKAT)","UYGUN")))))</f>
        <v/>
      </c>
      <c r="U570" s="20" t="str">
        <f aca="false">IF($N570="","",$Q570*$R570)</f>
        <v/>
      </c>
    </row>
    <row r="571" customFormat="false" ht="15" hidden="false" customHeight="false" outlineLevel="0" collapsed="false">
      <c r="J571" s="20" t="str">
        <f aca="false">IF($A571="","",$B571+$C571+$D571-$E571+$F571-$G571)</f>
        <v/>
      </c>
      <c r="K571" s="20" t="str">
        <f aca="false">IF($A571="","",MAX(0,$B571-$J571))</f>
        <v/>
      </c>
      <c r="L571" s="20" t="str">
        <f aca="false">IF($A571="","",IF($B571=0,0,$K571/$B571))</f>
        <v/>
      </c>
      <c r="M571" s="20" t="str">
        <f aca="false">IF($A571="","",IF($J571&lt;0,"BORCA BATIK",IF($I571&lt;$H571,"BORCA BATIK",IF($L571&gt;=TtkUcteIkiEsik,"2/3 KAYIP (KRİTİK)",IF($L571&gt;=TtkUcteBirEsik,"1/3 KAYIP (DİKKAT)","UYGUN")))))</f>
        <v/>
      </c>
      <c r="U571" s="20" t="str">
        <f aca="false">IF($N571="","",$Q571*$R571)</f>
        <v/>
      </c>
    </row>
    <row r="572" customFormat="false" ht="15" hidden="false" customHeight="false" outlineLevel="0" collapsed="false">
      <c r="J572" s="20" t="str">
        <f aca="false">IF($A572="","",$B572+$C572+$D572-$E572+$F572-$G572)</f>
        <v/>
      </c>
      <c r="K572" s="20" t="str">
        <f aca="false">IF($A572="","",MAX(0,$B572-$J572))</f>
        <v/>
      </c>
      <c r="L572" s="20" t="str">
        <f aca="false">IF($A572="","",IF($B572=0,0,$K572/$B572))</f>
        <v/>
      </c>
      <c r="M572" s="20" t="str">
        <f aca="false">IF($A572="","",IF($J572&lt;0,"BORCA BATIK",IF($I572&lt;$H572,"BORCA BATIK",IF($L572&gt;=TtkUcteIkiEsik,"2/3 KAYIP (KRİTİK)",IF($L572&gt;=TtkUcteBirEsik,"1/3 KAYIP (DİKKAT)","UYGUN")))))</f>
        <v/>
      </c>
      <c r="U572" s="20" t="str">
        <f aca="false">IF($N572="","",$Q572*$R572)</f>
        <v/>
      </c>
    </row>
    <row r="573" customFormat="false" ht="15" hidden="false" customHeight="false" outlineLevel="0" collapsed="false">
      <c r="J573" s="20" t="str">
        <f aca="false">IF($A573="","",$B573+$C573+$D573-$E573+$F573-$G573)</f>
        <v/>
      </c>
      <c r="K573" s="20" t="str">
        <f aca="false">IF($A573="","",MAX(0,$B573-$J573))</f>
        <v/>
      </c>
      <c r="L573" s="20" t="str">
        <f aca="false">IF($A573="","",IF($B573=0,0,$K573/$B573))</f>
        <v/>
      </c>
      <c r="M573" s="20" t="str">
        <f aca="false">IF($A573="","",IF($J573&lt;0,"BORCA BATIK",IF($I573&lt;$H573,"BORCA BATIK",IF($L573&gt;=TtkUcteIkiEsik,"2/3 KAYIP (KRİTİK)",IF($L573&gt;=TtkUcteBirEsik,"1/3 KAYIP (DİKKAT)","UYGUN")))))</f>
        <v/>
      </c>
      <c r="U573" s="20" t="str">
        <f aca="false">IF($N573="","",$Q573*$R573)</f>
        <v/>
      </c>
    </row>
    <row r="574" customFormat="false" ht="15" hidden="false" customHeight="false" outlineLevel="0" collapsed="false">
      <c r="J574" s="20" t="str">
        <f aca="false">IF($A574="","",$B574+$C574+$D574-$E574+$F574-$G574)</f>
        <v/>
      </c>
      <c r="K574" s="20" t="str">
        <f aca="false">IF($A574="","",MAX(0,$B574-$J574))</f>
        <v/>
      </c>
      <c r="L574" s="20" t="str">
        <f aca="false">IF($A574="","",IF($B574=0,0,$K574/$B574))</f>
        <v/>
      </c>
      <c r="M574" s="20" t="str">
        <f aca="false">IF($A574="","",IF($J574&lt;0,"BORCA BATIK",IF($I574&lt;$H574,"BORCA BATIK",IF($L574&gt;=TtkUcteIkiEsik,"2/3 KAYIP (KRİTİK)",IF($L574&gt;=TtkUcteBirEsik,"1/3 KAYIP (DİKKAT)","UYGUN")))))</f>
        <v/>
      </c>
      <c r="U574" s="20" t="str">
        <f aca="false">IF($N574="","",$Q574*$R574)</f>
        <v/>
      </c>
    </row>
    <row r="575" customFormat="false" ht="15" hidden="false" customHeight="false" outlineLevel="0" collapsed="false">
      <c r="J575" s="20" t="str">
        <f aca="false">IF($A575="","",$B575+$C575+$D575-$E575+$F575-$G575)</f>
        <v/>
      </c>
      <c r="K575" s="20" t="str">
        <f aca="false">IF($A575="","",MAX(0,$B575-$J575))</f>
        <v/>
      </c>
      <c r="L575" s="20" t="str">
        <f aca="false">IF($A575="","",IF($B575=0,0,$K575/$B575))</f>
        <v/>
      </c>
      <c r="M575" s="20" t="str">
        <f aca="false">IF($A575="","",IF($J575&lt;0,"BORCA BATIK",IF($I575&lt;$H575,"BORCA BATIK",IF($L575&gt;=TtkUcteIkiEsik,"2/3 KAYIP (KRİTİK)",IF($L575&gt;=TtkUcteBirEsik,"1/3 KAYIP (DİKKAT)","UYGUN")))))</f>
        <v/>
      </c>
      <c r="U575" s="20" t="str">
        <f aca="false">IF($N575="","",$Q575*$R575)</f>
        <v/>
      </c>
    </row>
    <row r="576" customFormat="false" ht="15" hidden="false" customHeight="false" outlineLevel="0" collapsed="false">
      <c r="J576" s="20" t="str">
        <f aca="false">IF($A576="","",$B576+$C576+$D576-$E576+$F576-$G576)</f>
        <v/>
      </c>
      <c r="K576" s="20" t="str">
        <f aca="false">IF($A576="","",MAX(0,$B576-$J576))</f>
        <v/>
      </c>
      <c r="L576" s="20" t="str">
        <f aca="false">IF($A576="","",IF($B576=0,0,$K576/$B576))</f>
        <v/>
      </c>
      <c r="M576" s="20" t="str">
        <f aca="false">IF($A576="","",IF($J576&lt;0,"BORCA BATIK",IF($I576&lt;$H576,"BORCA BATIK",IF($L576&gt;=TtkUcteIkiEsik,"2/3 KAYIP (KRİTİK)",IF($L576&gt;=TtkUcteBirEsik,"1/3 KAYIP (DİKKAT)","UYGUN")))))</f>
        <v/>
      </c>
      <c r="U576" s="20" t="str">
        <f aca="false">IF($N576="","",$Q576*$R576)</f>
        <v/>
      </c>
    </row>
    <row r="577" customFormat="false" ht="15" hidden="false" customHeight="false" outlineLevel="0" collapsed="false">
      <c r="J577" s="20" t="str">
        <f aca="false">IF($A577="","",$B577+$C577+$D577-$E577+$F577-$G577)</f>
        <v/>
      </c>
      <c r="K577" s="20" t="str">
        <f aca="false">IF($A577="","",MAX(0,$B577-$J577))</f>
        <v/>
      </c>
      <c r="L577" s="20" t="str">
        <f aca="false">IF($A577="","",IF($B577=0,0,$K577/$B577))</f>
        <v/>
      </c>
      <c r="M577" s="20" t="str">
        <f aca="false">IF($A577="","",IF($J577&lt;0,"BORCA BATIK",IF($I577&lt;$H577,"BORCA BATIK",IF($L577&gt;=TtkUcteIkiEsik,"2/3 KAYIP (KRİTİK)",IF($L577&gt;=TtkUcteBirEsik,"1/3 KAYIP (DİKKAT)","UYGUN")))))</f>
        <v/>
      </c>
      <c r="U577" s="20" t="str">
        <f aca="false">IF($N577="","",$Q577*$R577)</f>
        <v/>
      </c>
    </row>
    <row r="578" customFormat="false" ht="15" hidden="false" customHeight="false" outlineLevel="0" collapsed="false">
      <c r="J578" s="20" t="str">
        <f aca="false">IF($A578="","",$B578+$C578+$D578-$E578+$F578-$G578)</f>
        <v/>
      </c>
      <c r="K578" s="20" t="str">
        <f aca="false">IF($A578="","",MAX(0,$B578-$J578))</f>
        <v/>
      </c>
      <c r="L578" s="20" t="str">
        <f aca="false">IF($A578="","",IF($B578=0,0,$K578/$B578))</f>
        <v/>
      </c>
      <c r="M578" s="20" t="str">
        <f aca="false">IF($A578="","",IF($J578&lt;0,"BORCA BATIK",IF($I578&lt;$H578,"BORCA BATIK",IF($L578&gt;=TtkUcteIkiEsik,"2/3 KAYIP (KRİTİK)",IF($L578&gt;=TtkUcteBirEsik,"1/3 KAYIP (DİKKAT)","UYGUN")))))</f>
        <v/>
      </c>
      <c r="U578" s="20" t="str">
        <f aca="false">IF($N578="","",$Q578*$R578)</f>
        <v/>
      </c>
    </row>
    <row r="579" customFormat="false" ht="15" hidden="false" customHeight="false" outlineLevel="0" collapsed="false">
      <c r="J579" s="20" t="str">
        <f aca="false">IF($A579="","",$B579+$C579+$D579-$E579+$F579-$G579)</f>
        <v/>
      </c>
      <c r="K579" s="20" t="str">
        <f aca="false">IF($A579="","",MAX(0,$B579-$J579))</f>
        <v/>
      </c>
      <c r="L579" s="20" t="str">
        <f aca="false">IF($A579="","",IF($B579=0,0,$K579/$B579))</f>
        <v/>
      </c>
      <c r="M579" s="20" t="str">
        <f aca="false">IF($A579="","",IF($J579&lt;0,"BORCA BATIK",IF($I579&lt;$H579,"BORCA BATIK",IF($L579&gt;=TtkUcteIkiEsik,"2/3 KAYIP (KRİTİK)",IF($L579&gt;=TtkUcteBirEsik,"1/3 KAYIP (DİKKAT)","UYGUN")))))</f>
        <v/>
      </c>
      <c r="U579" s="20" t="str">
        <f aca="false">IF($N579="","",$Q579*$R579)</f>
        <v/>
      </c>
    </row>
    <row r="580" customFormat="false" ht="15" hidden="false" customHeight="false" outlineLevel="0" collapsed="false">
      <c r="J580" s="20" t="str">
        <f aca="false">IF($A580="","",$B580+$C580+$D580-$E580+$F580-$G580)</f>
        <v/>
      </c>
      <c r="K580" s="20" t="str">
        <f aca="false">IF($A580="","",MAX(0,$B580-$J580))</f>
        <v/>
      </c>
      <c r="L580" s="20" t="str">
        <f aca="false">IF($A580="","",IF($B580=0,0,$K580/$B580))</f>
        <v/>
      </c>
      <c r="M580" s="20" t="str">
        <f aca="false">IF($A580="","",IF($J580&lt;0,"BORCA BATIK",IF($I580&lt;$H580,"BORCA BATIK",IF($L580&gt;=TtkUcteIkiEsik,"2/3 KAYIP (KRİTİK)",IF($L580&gt;=TtkUcteBirEsik,"1/3 KAYIP (DİKKAT)","UYGUN")))))</f>
        <v/>
      </c>
      <c r="U580" s="20" t="str">
        <f aca="false">IF($N580="","",$Q580*$R580)</f>
        <v/>
      </c>
    </row>
    <row r="581" customFormat="false" ht="15" hidden="false" customHeight="false" outlineLevel="0" collapsed="false">
      <c r="J581" s="20" t="str">
        <f aca="false">IF($A581="","",$B581+$C581+$D581-$E581+$F581-$G581)</f>
        <v/>
      </c>
      <c r="K581" s="20" t="str">
        <f aca="false">IF($A581="","",MAX(0,$B581-$J581))</f>
        <v/>
      </c>
      <c r="L581" s="20" t="str">
        <f aca="false">IF($A581="","",IF($B581=0,0,$K581/$B581))</f>
        <v/>
      </c>
      <c r="M581" s="20" t="str">
        <f aca="false">IF($A581="","",IF($J581&lt;0,"BORCA BATIK",IF($I581&lt;$H581,"BORCA BATIK",IF($L581&gt;=TtkUcteIkiEsik,"2/3 KAYIP (KRİTİK)",IF($L581&gt;=TtkUcteBirEsik,"1/3 KAYIP (DİKKAT)","UYGUN")))))</f>
        <v/>
      </c>
      <c r="U581" s="20" t="str">
        <f aca="false">IF($N581="","",$Q581*$R581)</f>
        <v/>
      </c>
    </row>
    <row r="582" customFormat="false" ht="15" hidden="false" customHeight="false" outlineLevel="0" collapsed="false">
      <c r="J582" s="20" t="str">
        <f aca="false">IF($A582="","",$B582+$C582+$D582-$E582+$F582-$G582)</f>
        <v/>
      </c>
      <c r="K582" s="20" t="str">
        <f aca="false">IF($A582="","",MAX(0,$B582-$J582))</f>
        <v/>
      </c>
      <c r="L582" s="20" t="str">
        <f aca="false">IF($A582="","",IF($B582=0,0,$K582/$B582))</f>
        <v/>
      </c>
      <c r="M582" s="20" t="str">
        <f aca="false">IF($A582="","",IF($J582&lt;0,"BORCA BATIK",IF($I582&lt;$H582,"BORCA BATIK",IF($L582&gt;=TtkUcteIkiEsik,"2/3 KAYIP (KRİTİK)",IF($L582&gt;=TtkUcteBirEsik,"1/3 KAYIP (DİKKAT)","UYGUN")))))</f>
        <v/>
      </c>
      <c r="U582" s="20" t="str">
        <f aca="false">IF($N582="","",$Q582*$R582)</f>
        <v/>
      </c>
    </row>
    <row r="583" customFormat="false" ht="15" hidden="false" customHeight="false" outlineLevel="0" collapsed="false">
      <c r="J583" s="20" t="str">
        <f aca="false">IF($A583="","",$B583+$C583+$D583-$E583+$F583-$G583)</f>
        <v/>
      </c>
      <c r="K583" s="20" t="str">
        <f aca="false">IF($A583="","",MAX(0,$B583-$J583))</f>
        <v/>
      </c>
      <c r="L583" s="20" t="str">
        <f aca="false">IF($A583="","",IF($B583=0,0,$K583/$B583))</f>
        <v/>
      </c>
      <c r="M583" s="20" t="str">
        <f aca="false">IF($A583="","",IF($J583&lt;0,"BORCA BATIK",IF($I583&lt;$H583,"BORCA BATIK",IF($L583&gt;=TtkUcteIkiEsik,"2/3 KAYIP (KRİTİK)",IF($L583&gt;=TtkUcteBirEsik,"1/3 KAYIP (DİKKAT)","UYGUN")))))</f>
        <v/>
      </c>
      <c r="U583" s="20" t="str">
        <f aca="false">IF($N583="","",$Q583*$R583)</f>
        <v/>
      </c>
    </row>
    <row r="584" customFormat="false" ht="15" hidden="false" customHeight="false" outlineLevel="0" collapsed="false">
      <c r="J584" s="20" t="str">
        <f aca="false">IF($A584="","",$B584+$C584+$D584-$E584+$F584-$G584)</f>
        <v/>
      </c>
      <c r="K584" s="20" t="str">
        <f aca="false">IF($A584="","",MAX(0,$B584-$J584))</f>
        <v/>
      </c>
      <c r="L584" s="20" t="str">
        <f aca="false">IF($A584="","",IF($B584=0,0,$K584/$B584))</f>
        <v/>
      </c>
      <c r="M584" s="20" t="str">
        <f aca="false">IF($A584="","",IF($J584&lt;0,"BORCA BATIK",IF($I584&lt;$H584,"BORCA BATIK",IF($L584&gt;=TtkUcteIkiEsik,"2/3 KAYIP (KRİTİK)",IF($L584&gt;=TtkUcteBirEsik,"1/3 KAYIP (DİKKAT)","UYGUN")))))</f>
        <v/>
      </c>
      <c r="U584" s="20" t="str">
        <f aca="false">IF($N584="","",$Q584*$R584)</f>
        <v/>
      </c>
    </row>
    <row r="585" customFormat="false" ht="15" hidden="false" customHeight="false" outlineLevel="0" collapsed="false">
      <c r="J585" s="20" t="str">
        <f aca="false">IF($A585="","",$B585+$C585+$D585-$E585+$F585-$G585)</f>
        <v/>
      </c>
      <c r="K585" s="20" t="str">
        <f aca="false">IF($A585="","",MAX(0,$B585-$J585))</f>
        <v/>
      </c>
      <c r="L585" s="20" t="str">
        <f aca="false">IF($A585="","",IF($B585=0,0,$K585/$B585))</f>
        <v/>
      </c>
      <c r="M585" s="20" t="str">
        <f aca="false">IF($A585="","",IF($J585&lt;0,"BORCA BATIK",IF($I585&lt;$H585,"BORCA BATIK",IF($L585&gt;=TtkUcteIkiEsik,"2/3 KAYIP (KRİTİK)",IF($L585&gt;=TtkUcteBirEsik,"1/3 KAYIP (DİKKAT)","UYGUN")))))</f>
        <v/>
      </c>
      <c r="U585" s="20" t="str">
        <f aca="false">IF($N585="","",$Q585*$R585)</f>
        <v/>
      </c>
    </row>
    <row r="586" customFormat="false" ht="15" hidden="false" customHeight="false" outlineLevel="0" collapsed="false">
      <c r="J586" s="20" t="str">
        <f aca="false">IF($A586="","",$B586+$C586+$D586-$E586+$F586-$G586)</f>
        <v/>
      </c>
      <c r="K586" s="20" t="str">
        <f aca="false">IF($A586="","",MAX(0,$B586-$J586))</f>
        <v/>
      </c>
      <c r="L586" s="20" t="str">
        <f aca="false">IF($A586="","",IF($B586=0,0,$K586/$B586))</f>
        <v/>
      </c>
      <c r="M586" s="20" t="str">
        <f aca="false">IF($A586="","",IF($J586&lt;0,"BORCA BATIK",IF($I586&lt;$H586,"BORCA BATIK",IF($L586&gt;=TtkUcteIkiEsik,"2/3 KAYIP (KRİTİK)",IF($L586&gt;=TtkUcteBirEsik,"1/3 KAYIP (DİKKAT)","UYGUN")))))</f>
        <v/>
      </c>
      <c r="U586" s="20" t="str">
        <f aca="false">IF($N586="","",$Q586*$R586)</f>
        <v/>
      </c>
    </row>
    <row r="587" customFormat="false" ht="15" hidden="false" customHeight="false" outlineLevel="0" collapsed="false">
      <c r="J587" s="20" t="str">
        <f aca="false">IF($A587="","",$B587+$C587+$D587-$E587+$F587-$G587)</f>
        <v/>
      </c>
      <c r="K587" s="20" t="str">
        <f aca="false">IF($A587="","",MAX(0,$B587-$J587))</f>
        <v/>
      </c>
      <c r="L587" s="20" t="str">
        <f aca="false">IF($A587="","",IF($B587=0,0,$K587/$B587))</f>
        <v/>
      </c>
      <c r="M587" s="20" t="str">
        <f aca="false">IF($A587="","",IF($J587&lt;0,"BORCA BATIK",IF($I587&lt;$H587,"BORCA BATIK",IF($L587&gt;=TtkUcteIkiEsik,"2/3 KAYIP (KRİTİK)",IF($L587&gt;=TtkUcteBirEsik,"1/3 KAYIP (DİKKAT)","UYGUN")))))</f>
        <v/>
      </c>
      <c r="U587" s="20" t="str">
        <f aca="false">IF($N587="","",$Q587*$R587)</f>
        <v/>
      </c>
    </row>
    <row r="588" customFormat="false" ht="15" hidden="false" customHeight="false" outlineLevel="0" collapsed="false">
      <c r="J588" s="20" t="str">
        <f aca="false">IF($A588="","",$B588+$C588+$D588-$E588+$F588-$G588)</f>
        <v/>
      </c>
      <c r="K588" s="20" t="str">
        <f aca="false">IF($A588="","",MAX(0,$B588-$J588))</f>
        <v/>
      </c>
      <c r="L588" s="20" t="str">
        <f aca="false">IF($A588="","",IF($B588=0,0,$K588/$B588))</f>
        <v/>
      </c>
      <c r="M588" s="20" t="str">
        <f aca="false">IF($A588="","",IF($J588&lt;0,"BORCA BATIK",IF($I588&lt;$H588,"BORCA BATIK",IF($L588&gt;=TtkUcteIkiEsik,"2/3 KAYIP (KRİTİK)",IF($L588&gt;=TtkUcteBirEsik,"1/3 KAYIP (DİKKAT)","UYGUN")))))</f>
        <v/>
      </c>
      <c r="U588" s="20" t="str">
        <f aca="false">IF($N588="","",$Q588*$R588)</f>
        <v/>
      </c>
    </row>
    <row r="589" customFormat="false" ht="15" hidden="false" customHeight="false" outlineLevel="0" collapsed="false">
      <c r="J589" s="20" t="str">
        <f aca="false">IF($A589="","",$B589+$C589+$D589-$E589+$F589-$G589)</f>
        <v/>
      </c>
      <c r="K589" s="20" t="str">
        <f aca="false">IF($A589="","",MAX(0,$B589-$J589))</f>
        <v/>
      </c>
      <c r="L589" s="20" t="str">
        <f aca="false">IF($A589="","",IF($B589=0,0,$K589/$B589))</f>
        <v/>
      </c>
      <c r="M589" s="20" t="str">
        <f aca="false">IF($A589="","",IF($J589&lt;0,"BORCA BATIK",IF($I589&lt;$H589,"BORCA BATIK",IF($L589&gt;=TtkUcteIkiEsik,"2/3 KAYIP (KRİTİK)",IF($L589&gt;=TtkUcteBirEsik,"1/3 KAYIP (DİKKAT)","UYGUN")))))</f>
        <v/>
      </c>
      <c r="U589" s="20" t="str">
        <f aca="false">IF($N589="","",$Q589*$R589)</f>
        <v/>
      </c>
    </row>
    <row r="590" customFormat="false" ht="15" hidden="false" customHeight="false" outlineLevel="0" collapsed="false">
      <c r="J590" s="20" t="str">
        <f aca="false">IF($A590="","",$B590+$C590+$D590-$E590+$F590-$G590)</f>
        <v/>
      </c>
      <c r="K590" s="20" t="str">
        <f aca="false">IF($A590="","",MAX(0,$B590-$J590))</f>
        <v/>
      </c>
      <c r="L590" s="20" t="str">
        <f aca="false">IF($A590="","",IF($B590=0,0,$K590/$B590))</f>
        <v/>
      </c>
      <c r="M590" s="20" t="str">
        <f aca="false">IF($A590="","",IF($J590&lt;0,"BORCA BATIK",IF($I590&lt;$H590,"BORCA BATIK",IF($L590&gt;=TtkUcteIkiEsik,"2/3 KAYIP (KRİTİK)",IF($L590&gt;=TtkUcteBirEsik,"1/3 KAYIP (DİKKAT)","UYGUN")))))</f>
        <v/>
      </c>
      <c r="U590" s="20" t="str">
        <f aca="false">IF($N590="","",$Q590*$R590)</f>
        <v/>
      </c>
    </row>
    <row r="591" customFormat="false" ht="15" hidden="false" customHeight="false" outlineLevel="0" collapsed="false">
      <c r="J591" s="20" t="str">
        <f aca="false">IF($A591="","",$B591+$C591+$D591-$E591+$F591-$G591)</f>
        <v/>
      </c>
      <c r="K591" s="20" t="str">
        <f aca="false">IF($A591="","",MAX(0,$B591-$J591))</f>
        <v/>
      </c>
      <c r="L591" s="20" t="str">
        <f aca="false">IF($A591="","",IF($B591=0,0,$K591/$B591))</f>
        <v/>
      </c>
      <c r="M591" s="20" t="str">
        <f aca="false">IF($A591="","",IF($J591&lt;0,"BORCA BATIK",IF($I591&lt;$H591,"BORCA BATIK",IF($L591&gt;=TtkUcteIkiEsik,"2/3 KAYIP (KRİTİK)",IF($L591&gt;=TtkUcteBirEsik,"1/3 KAYIP (DİKKAT)","UYGUN")))))</f>
        <v/>
      </c>
      <c r="U591" s="20" t="str">
        <f aca="false">IF($N591="","",$Q591*$R591)</f>
        <v/>
      </c>
    </row>
    <row r="592" customFormat="false" ht="15" hidden="false" customHeight="false" outlineLevel="0" collapsed="false">
      <c r="J592" s="20" t="str">
        <f aca="false">IF($A592="","",$B592+$C592+$D592-$E592+$F592-$G592)</f>
        <v/>
      </c>
      <c r="K592" s="20" t="str">
        <f aca="false">IF($A592="","",MAX(0,$B592-$J592))</f>
        <v/>
      </c>
      <c r="L592" s="20" t="str">
        <f aca="false">IF($A592="","",IF($B592=0,0,$K592/$B592))</f>
        <v/>
      </c>
      <c r="M592" s="20" t="str">
        <f aca="false">IF($A592="","",IF($J592&lt;0,"BORCA BATIK",IF($I592&lt;$H592,"BORCA BATIK",IF($L592&gt;=TtkUcteIkiEsik,"2/3 KAYIP (KRİTİK)",IF($L592&gt;=TtkUcteBirEsik,"1/3 KAYIP (DİKKAT)","UYGUN")))))</f>
        <v/>
      </c>
      <c r="U592" s="20" t="str">
        <f aca="false">IF($N592="","",$Q592*$R592)</f>
        <v/>
      </c>
    </row>
    <row r="593" customFormat="false" ht="15" hidden="false" customHeight="false" outlineLevel="0" collapsed="false">
      <c r="J593" s="20" t="str">
        <f aca="false">IF($A593="","",$B593+$C593+$D593-$E593+$F593-$G593)</f>
        <v/>
      </c>
      <c r="K593" s="20" t="str">
        <f aca="false">IF($A593="","",MAX(0,$B593-$J593))</f>
        <v/>
      </c>
      <c r="L593" s="20" t="str">
        <f aca="false">IF($A593="","",IF($B593=0,0,$K593/$B593))</f>
        <v/>
      </c>
      <c r="M593" s="20" t="str">
        <f aca="false">IF($A593="","",IF($J593&lt;0,"BORCA BATIK",IF($I593&lt;$H593,"BORCA BATIK",IF($L593&gt;=TtkUcteIkiEsik,"2/3 KAYIP (KRİTİK)",IF($L593&gt;=TtkUcteBirEsik,"1/3 KAYIP (DİKKAT)","UYGUN")))))</f>
        <v/>
      </c>
      <c r="U593" s="20" t="str">
        <f aca="false">IF($N593="","",$Q593*$R593)</f>
        <v/>
      </c>
    </row>
    <row r="594" customFormat="false" ht="15" hidden="false" customHeight="false" outlineLevel="0" collapsed="false">
      <c r="J594" s="20" t="str">
        <f aca="false">IF($A594="","",$B594+$C594+$D594-$E594+$F594-$G594)</f>
        <v/>
      </c>
      <c r="K594" s="20" t="str">
        <f aca="false">IF($A594="","",MAX(0,$B594-$J594))</f>
        <v/>
      </c>
      <c r="L594" s="20" t="str">
        <f aca="false">IF($A594="","",IF($B594=0,0,$K594/$B594))</f>
        <v/>
      </c>
      <c r="M594" s="20" t="str">
        <f aca="false">IF($A594="","",IF($J594&lt;0,"BORCA BATIK",IF($I594&lt;$H594,"BORCA BATIK",IF($L594&gt;=TtkUcteIkiEsik,"2/3 KAYIP (KRİTİK)",IF($L594&gt;=TtkUcteBirEsik,"1/3 KAYIP (DİKKAT)","UYGUN")))))</f>
        <v/>
      </c>
      <c r="U594" s="20" t="str">
        <f aca="false">IF($N594="","",$Q594*$R594)</f>
        <v/>
      </c>
    </row>
    <row r="595" customFormat="false" ht="15" hidden="false" customHeight="false" outlineLevel="0" collapsed="false">
      <c r="J595" s="20" t="str">
        <f aca="false">IF($A595="","",$B595+$C595+$D595-$E595+$F595-$G595)</f>
        <v/>
      </c>
      <c r="K595" s="20" t="str">
        <f aca="false">IF($A595="","",MAX(0,$B595-$J595))</f>
        <v/>
      </c>
      <c r="L595" s="20" t="str">
        <f aca="false">IF($A595="","",IF($B595=0,0,$K595/$B595))</f>
        <v/>
      </c>
      <c r="M595" s="20" t="str">
        <f aca="false">IF($A595="","",IF($J595&lt;0,"BORCA BATIK",IF($I595&lt;$H595,"BORCA BATIK",IF($L595&gt;=TtkUcteIkiEsik,"2/3 KAYIP (KRİTİK)",IF($L595&gt;=TtkUcteBirEsik,"1/3 KAYIP (DİKKAT)","UYGUN")))))</f>
        <v/>
      </c>
      <c r="U595" s="20" t="str">
        <f aca="false">IF($N595="","",$Q595*$R595)</f>
        <v/>
      </c>
    </row>
    <row r="596" customFormat="false" ht="15" hidden="false" customHeight="false" outlineLevel="0" collapsed="false">
      <c r="J596" s="20" t="str">
        <f aca="false">IF($A596="","",$B596+$C596+$D596-$E596+$F596-$G596)</f>
        <v/>
      </c>
      <c r="K596" s="20" t="str">
        <f aca="false">IF($A596="","",MAX(0,$B596-$J596))</f>
        <v/>
      </c>
      <c r="L596" s="20" t="str">
        <f aca="false">IF($A596="","",IF($B596=0,0,$K596/$B596))</f>
        <v/>
      </c>
      <c r="M596" s="20" t="str">
        <f aca="false">IF($A596="","",IF($J596&lt;0,"BORCA BATIK",IF($I596&lt;$H596,"BORCA BATIK",IF($L596&gt;=TtkUcteIkiEsik,"2/3 KAYIP (KRİTİK)",IF($L596&gt;=TtkUcteBirEsik,"1/3 KAYIP (DİKKAT)","UYGUN")))))</f>
        <v/>
      </c>
      <c r="U596" s="20" t="str">
        <f aca="false">IF($N596="","",$Q596*$R596)</f>
        <v/>
      </c>
    </row>
    <row r="597" customFormat="false" ht="15" hidden="false" customHeight="false" outlineLevel="0" collapsed="false">
      <c r="J597" s="20" t="str">
        <f aca="false">IF($A597="","",$B597+$C597+$D597-$E597+$F597-$G597)</f>
        <v/>
      </c>
      <c r="K597" s="20" t="str">
        <f aca="false">IF($A597="","",MAX(0,$B597-$J597))</f>
        <v/>
      </c>
      <c r="L597" s="20" t="str">
        <f aca="false">IF($A597="","",IF($B597=0,0,$K597/$B597))</f>
        <v/>
      </c>
      <c r="M597" s="20" t="str">
        <f aca="false">IF($A597="","",IF($J597&lt;0,"BORCA BATIK",IF($I597&lt;$H597,"BORCA BATIK",IF($L597&gt;=TtkUcteIkiEsik,"2/3 KAYIP (KRİTİK)",IF($L597&gt;=TtkUcteBirEsik,"1/3 KAYIP (DİKKAT)","UYGUN")))))</f>
        <v/>
      </c>
      <c r="U597" s="20" t="str">
        <f aca="false">IF($N597="","",$Q597*$R597)</f>
        <v/>
      </c>
    </row>
    <row r="598" customFormat="false" ht="15" hidden="false" customHeight="false" outlineLevel="0" collapsed="false">
      <c r="J598" s="20" t="str">
        <f aca="false">IF($A598="","",$B598+$C598+$D598-$E598+$F598-$G598)</f>
        <v/>
      </c>
      <c r="K598" s="20" t="str">
        <f aca="false">IF($A598="","",MAX(0,$B598-$J598))</f>
        <v/>
      </c>
      <c r="L598" s="20" t="str">
        <f aca="false">IF($A598="","",IF($B598=0,0,$K598/$B598))</f>
        <v/>
      </c>
      <c r="M598" s="20" t="str">
        <f aca="false">IF($A598="","",IF($J598&lt;0,"BORCA BATIK",IF($I598&lt;$H598,"BORCA BATIK",IF($L598&gt;=TtkUcteIkiEsik,"2/3 KAYIP (KRİTİK)",IF($L598&gt;=TtkUcteBirEsik,"1/3 KAYIP (DİKKAT)","UYGUN")))))</f>
        <v/>
      </c>
      <c r="U598" s="20" t="str">
        <f aca="false">IF($N598="","",$Q598*$R598)</f>
        <v/>
      </c>
    </row>
    <row r="599" customFormat="false" ht="15" hidden="false" customHeight="false" outlineLevel="0" collapsed="false">
      <c r="J599" s="20" t="str">
        <f aca="false">IF($A599="","",$B599+$C599+$D599-$E599+$F599-$G599)</f>
        <v/>
      </c>
      <c r="K599" s="20" t="str">
        <f aca="false">IF($A599="","",MAX(0,$B599-$J599))</f>
        <v/>
      </c>
      <c r="L599" s="20" t="str">
        <f aca="false">IF($A599="","",IF($B599=0,0,$K599/$B599))</f>
        <v/>
      </c>
      <c r="M599" s="20" t="str">
        <f aca="false">IF($A599="","",IF($J599&lt;0,"BORCA BATIK",IF($I599&lt;$H599,"BORCA BATIK",IF($L599&gt;=TtkUcteIkiEsik,"2/3 KAYIP (KRİTİK)",IF($L599&gt;=TtkUcteBirEsik,"1/3 KAYIP (DİKKAT)","UYGUN")))))</f>
        <v/>
      </c>
      <c r="U599" s="20" t="str">
        <f aca="false">IF($N599="","",$Q599*$R599)</f>
        <v/>
      </c>
    </row>
    <row r="600" customFormat="false" ht="15" hidden="false" customHeight="false" outlineLevel="0" collapsed="false">
      <c r="J600" s="20" t="str">
        <f aca="false">IF($A600="","",$B600+$C600+$D600-$E600+$F600-$G600)</f>
        <v/>
      </c>
      <c r="K600" s="20" t="str">
        <f aca="false">IF($A600="","",MAX(0,$B600-$J600))</f>
        <v/>
      </c>
      <c r="L600" s="20" t="str">
        <f aca="false">IF($A600="","",IF($B600=0,0,$K600/$B600))</f>
        <v/>
      </c>
      <c r="M600" s="20" t="str">
        <f aca="false">IF($A600="","",IF($J600&lt;0,"BORCA BATIK",IF($I600&lt;$H600,"BORCA BATIK",IF($L600&gt;=TtkUcteIkiEsik,"2/3 KAYIP (KRİTİK)",IF($L600&gt;=TtkUcteBirEsik,"1/3 KAYIP (DİKKAT)","UYGUN")))))</f>
        <v/>
      </c>
      <c r="U600" s="20" t="str">
        <f aca="false">IF($N600="","",$Q600*$R600)</f>
        <v/>
      </c>
    </row>
    <row r="601" customFormat="false" ht="15" hidden="false" customHeight="false" outlineLevel="0" collapsed="false">
      <c r="J601" s="20" t="str">
        <f aca="false">IF($A601="","",$B601+$C601+$D601-$E601+$F601-$G601)</f>
        <v/>
      </c>
      <c r="K601" s="20" t="str">
        <f aca="false">IF($A601="","",MAX(0,$B601-$J601))</f>
        <v/>
      </c>
      <c r="L601" s="20" t="str">
        <f aca="false">IF($A601="","",IF($B601=0,0,$K601/$B601))</f>
        <v/>
      </c>
      <c r="M601" s="20" t="str">
        <f aca="false">IF($A601="","",IF($J601&lt;0,"BORCA BATIK",IF($I601&lt;$H601,"BORCA BATIK",IF($L601&gt;=TtkUcteIkiEsik,"2/3 KAYIP (KRİTİK)",IF($L601&gt;=TtkUcteBirEsik,"1/3 KAYIP (DİKKAT)","UYGUN")))))</f>
        <v/>
      </c>
      <c r="U601" s="20" t="str">
        <f aca="false">IF($N601="","",$Q601*$R601)</f>
        <v/>
      </c>
    </row>
    <row r="602" customFormat="false" ht="15" hidden="false" customHeight="false" outlineLevel="0" collapsed="false">
      <c r="J602" s="20" t="str">
        <f aca="false">IF($A602="","",$B602+$C602+$D602-$E602+$F602-$G602)</f>
        <v/>
      </c>
      <c r="K602" s="20" t="str">
        <f aca="false">IF($A602="","",MAX(0,$B602-$J602))</f>
        <v/>
      </c>
      <c r="L602" s="20" t="str">
        <f aca="false">IF($A602="","",IF($B602=0,0,$K602/$B602))</f>
        <v/>
      </c>
      <c r="M602" s="20" t="str">
        <f aca="false">IF($A602="","",IF($J602&lt;0,"BORCA BATIK",IF($I602&lt;$H602,"BORCA BATIK",IF($L602&gt;=TtkUcteIkiEsik,"2/3 KAYIP (KRİTİK)",IF($L602&gt;=TtkUcteBirEsik,"1/3 KAYIP (DİKKAT)","UYGUN")))))</f>
        <v/>
      </c>
      <c r="U602" s="20" t="str">
        <f aca="false">IF($N602="","",$Q602*$R602)</f>
        <v/>
      </c>
    </row>
    <row r="603" customFormat="false" ht="15" hidden="false" customHeight="false" outlineLevel="0" collapsed="false">
      <c r="J603" s="20" t="str">
        <f aca="false">IF($A603="","",$B603+$C603+$D603-$E603+$F603-$G603)</f>
        <v/>
      </c>
      <c r="K603" s="20" t="str">
        <f aca="false">IF($A603="","",MAX(0,$B603-$J603))</f>
        <v/>
      </c>
      <c r="L603" s="20" t="str">
        <f aca="false">IF($A603="","",IF($B603=0,0,$K603/$B603))</f>
        <v/>
      </c>
      <c r="M603" s="20" t="str">
        <f aca="false">IF($A603="","",IF($J603&lt;0,"BORCA BATIK",IF($I603&lt;$H603,"BORCA BATIK",IF($L603&gt;=TtkUcteIkiEsik,"2/3 KAYIP (KRİTİK)",IF($L603&gt;=TtkUcteBirEsik,"1/3 KAYIP (DİKKAT)","UYGUN")))))</f>
        <v/>
      </c>
      <c r="U603" s="20" t="str">
        <f aca="false">IF($N603="","",$Q603*$R603)</f>
        <v/>
      </c>
    </row>
    <row r="604" customFormat="false" ht="15" hidden="false" customHeight="false" outlineLevel="0" collapsed="false">
      <c r="J604" s="20" t="str">
        <f aca="false">IF($A604="","",$B604+$C604+$D604-$E604+$F604-$G604)</f>
        <v/>
      </c>
      <c r="K604" s="20" t="str">
        <f aca="false">IF($A604="","",MAX(0,$B604-$J604))</f>
        <v/>
      </c>
      <c r="L604" s="20" t="str">
        <f aca="false">IF($A604="","",IF($B604=0,0,$K604/$B604))</f>
        <v/>
      </c>
      <c r="M604" s="20" t="str">
        <f aca="false">IF($A604="","",IF($J604&lt;0,"BORCA BATIK",IF($I604&lt;$H604,"BORCA BATIK",IF($L604&gt;=TtkUcteIkiEsik,"2/3 KAYIP (KRİTİK)",IF($L604&gt;=TtkUcteBirEsik,"1/3 KAYIP (DİKKAT)","UYGUN")))))</f>
        <v/>
      </c>
      <c r="U604" s="20" t="str">
        <f aca="false">IF($N604="","",$Q604*$R604)</f>
        <v/>
      </c>
    </row>
    <row r="605" customFormat="false" ht="15" hidden="false" customHeight="false" outlineLevel="0" collapsed="false">
      <c r="J605" s="20" t="str">
        <f aca="false">IF($A605="","",$B605+$C605+$D605-$E605+$F605-$G605)</f>
        <v/>
      </c>
      <c r="K605" s="20" t="str">
        <f aca="false">IF($A605="","",MAX(0,$B605-$J605))</f>
        <v/>
      </c>
      <c r="L605" s="20" t="str">
        <f aca="false">IF($A605="","",IF($B605=0,0,$K605/$B605))</f>
        <v/>
      </c>
      <c r="M605" s="20" t="str">
        <f aca="false">IF($A605="","",IF($J605&lt;0,"BORCA BATIK",IF($I605&lt;$H605,"BORCA BATIK",IF($L605&gt;=TtkUcteIkiEsik,"2/3 KAYIP (KRİTİK)",IF($L605&gt;=TtkUcteBirEsik,"1/3 KAYIP (DİKKAT)","UYGUN")))))</f>
        <v/>
      </c>
      <c r="U605" s="20" t="str">
        <f aca="false">IF($N605="","",$Q605*$R605)</f>
        <v/>
      </c>
    </row>
    <row r="606" customFormat="false" ht="15" hidden="false" customHeight="false" outlineLevel="0" collapsed="false">
      <c r="J606" s="20" t="str">
        <f aca="false">IF($A606="","",$B606+$C606+$D606-$E606+$F606-$G606)</f>
        <v/>
      </c>
      <c r="K606" s="20" t="str">
        <f aca="false">IF($A606="","",MAX(0,$B606-$J606))</f>
        <v/>
      </c>
      <c r="L606" s="20" t="str">
        <f aca="false">IF($A606="","",IF($B606=0,0,$K606/$B606))</f>
        <v/>
      </c>
      <c r="M606" s="20" t="str">
        <f aca="false">IF($A606="","",IF($J606&lt;0,"BORCA BATIK",IF($I606&lt;$H606,"BORCA BATIK",IF($L606&gt;=TtkUcteIkiEsik,"2/3 KAYIP (KRİTİK)",IF($L606&gt;=TtkUcteBirEsik,"1/3 KAYIP (DİKKAT)","UYGUN")))))</f>
        <v/>
      </c>
      <c r="U606" s="20" t="str">
        <f aca="false">IF($N606="","",$Q606*$R606)</f>
        <v/>
      </c>
    </row>
    <row r="607" customFormat="false" ht="15" hidden="false" customHeight="false" outlineLevel="0" collapsed="false">
      <c r="J607" s="20" t="str">
        <f aca="false">IF($A607="","",$B607+$C607+$D607-$E607+$F607-$G607)</f>
        <v/>
      </c>
      <c r="K607" s="20" t="str">
        <f aca="false">IF($A607="","",MAX(0,$B607-$J607))</f>
        <v/>
      </c>
      <c r="L607" s="20" t="str">
        <f aca="false">IF($A607="","",IF($B607=0,0,$K607/$B607))</f>
        <v/>
      </c>
      <c r="M607" s="20" t="str">
        <f aca="false">IF($A607="","",IF($J607&lt;0,"BORCA BATIK",IF($I607&lt;$H607,"BORCA BATIK",IF($L607&gt;=TtkUcteIkiEsik,"2/3 KAYIP (KRİTİK)",IF($L607&gt;=TtkUcteBirEsik,"1/3 KAYIP (DİKKAT)","UYGUN")))))</f>
        <v/>
      </c>
      <c r="U607" s="20" t="str">
        <f aca="false">IF($N607="","",$Q607*$R607)</f>
        <v/>
      </c>
    </row>
    <row r="608" customFormat="false" ht="15" hidden="false" customHeight="false" outlineLevel="0" collapsed="false">
      <c r="J608" s="20" t="str">
        <f aca="false">IF($A608="","",$B608+$C608+$D608-$E608+$F608-$G608)</f>
        <v/>
      </c>
      <c r="K608" s="20" t="str">
        <f aca="false">IF($A608="","",MAX(0,$B608-$J608))</f>
        <v/>
      </c>
      <c r="L608" s="20" t="str">
        <f aca="false">IF($A608="","",IF($B608=0,0,$K608/$B608))</f>
        <v/>
      </c>
      <c r="M608" s="20" t="str">
        <f aca="false">IF($A608="","",IF($J608&lt;0,"BORCA BATIK",IF($I608&lt;$H608,"BORCA BATIK",IF($L608&gt;=TtkUcteIkiEsik,"2/3 KAYIP (KRİTİK)",IF($L608&gt;=TtkUcteBirEsik,"1/3 KAYIP (DİKKAT)","UYGUN")))))</f>
        <v/>
      </c>
      <c r="U608" s="20" t="str">
        <f aca="false">IF($N608="","",$Q608*$R608)</f>
        <v/>
      </c>
    </row>
    <row r="609" customFormat="false" ht="15" hidden="false" customHeight="false" outlineLevel="0" collapsed="false">
      <c r="J609" s="20" t="str">
        <f aca="false">IF($A609="","",$B609+$C609+$D609-$E609+$F609-$G609)</f>
        <v/>
      </c>
      <c r="K609" s="20" t="str">
        <f aca="false">IF($A609="","",MAX(0,$B609-$J609))</f>
        <v/>
      </c>
      <c r="L609" s="20" t="str">
        <f aca="false">IF($A609="","",IF($B609=0,0,$K609/$B609))</f>
        <v/>
      </c>
      <c r="M609" s="20" t="str">
        <f aca="false">IF($A609="","",IF($J609&lt;0,"BORCA BATIK",IF($I609&lt;$H609,"BORCA BATIK",IF($L609&gt;=TtkUcteIkiEsik,"2/3 KAYIP (KRİTİK)",IF($L609&gt;=TtkUcteBirEsik,"1/3 KAYIP (DİKKAT)","UYGUN")))))</f>
        <v/>
      </c>
      <c r="U609" s="20" t="str">
        <f aca="false">IF($N609="","",$Q609*$R609)</f>
        <v/>
      </c>
    </row>
    <row r="610" customFormat="false" ht="15" hidden="false" customHeight="false" outlineLevel="0" collapsed="false">
      <c r="J610" s="20" t="str">
        <f aca="false">IF($A610="","",$B610+$C610+$D610-$E610+$F610-$G610)</f>
        <v/>
      </c>
      <c r="K610" s="20" t="str">
        <f aca="false">IF($A610="","",MAX(0,$B610-$J610))</f>
        <v/>
      </c>
      <c r="L610" s="20" t="str">
        <f aca="false">IF($A610="","",IF($B610=0,0,$K610/$B610))</f>
        <v/>
      </c>
      <c r="M610" s="20" t="str">
        <f aca="false">IF($A610="","",IF($J610&lt;0,"BORCA BATIK",IF($I610&lt;$H610,"BORCA BATIK",IF($L610&gt;=TtkUcteIkiEsik,"2/3 KAYIP (KRİTİK)",IF($L610&gt;=TtkUcteBirEsik,"1/3 KAYIP (DİKKAT)","UYGUN")))))</f>
        <v/>
      </c>
      <c r="U610" s="20" t="str">
        <f aca="false">IF($N610="","",$Q610*$R610)</f>
        <v/>
      </c>
    </row>
    <row r="611" customFormat="false" ht="15" hidden="false" customHeight="false" outlineLevel="0" collapsed="false">
      <c r="J611" s="20" t="str">
        <f aca="false">IF($A611="","",$B611+$C611+$D611-$E611+$F611-$G611)</f>
        <v/>
      </c>
      <c r="K611" s="20" t="str">
        <f aca="false">IF($A611="","",MAX(0,$B611-$J611))</f>
        <v/>
      </c>
      <c r="L611" s="20" t="str">
        <f aca="false">IF($A611="","",IF($B611=0,0,$K611/$B611))</f>
        <v/>
      </c>
      <c r="M611" s="20" t="str">
        <f aca="false">IF($A611="","",IF($J611&lt;0,"BORCA BATIK",IF($I611&lt;$H611,"BORCA BATIK",IF($L611&gt;=TtkUcteIkiEsik,"2/3 KAYIP (KRİTİK)",IF($L611&gt;=TtkUcteBirEsik,"1/3 KAYIP (DİKKAT)","UYGUN")))))</f>
        <v/>
      </c>
      <c r="U611" s="20" t="str">
        <f aca="false">IF($N611="","",$Q611*$R611)</f>
        <v/>
      </c>
    </row>
    <row r="612" customFormat="false" ht="15" hidden="false" customHeight="false" outlineLevel="0" collapsed="false">
      <c r="J612" s="20" t="str">
        <f aca="false">IF($A612="","",$B612+$C612+$D612-$E612+$F612-$G612)</f>
        <v/>
      </c>
      <c r="K612" s="20" t="str">
        <f aca="false">IF($A612="","",MAX(0,$B612-$J612))</f>
        <v/>
      </c>
      <c r="L612" s="20" t="str">
        <f aca="false">IF($A612="","",IF($B612=0,0,$K612/$B612))</f>
        <v/>
      </c>
      <c r="M612" s="20" t="str">
        <f aca="false">IF($A612="","",IF($J612&lt;0,"BORCA BATIK",IF($I612&lt;$H612,"BORCA BATIK",IF($L612&gt;=TtkUcteIkiEsik,"2/3 KAYIP (KRİTİK)",IF($L612&gt;=TtkUcteBirEsik,"1/3 KAYIP (DİKKAT)","UYGUN")))))</f>
        <v/>
      </c>
      <c r="U612" s="20" t="str">
        <f aca="false">IF($N612="","",$Q612*$R612)</f>
        <v/>
      </c>
    </row>
    <row r="613" customFormat="false" ht="15" hidden="false" customHeight="false" outlineLevel="0" collapsed="false">
      <c r="J613" s="20" t="str">
        <f aca="false">IF($A613="","",$B613+$C613+$D613-$E613+$F613-$G613)</f>
        <v/>
      </c>
      <c r="K613" s="20" t="str">
        <f aca="false">IF($A613="","",MAX(0,$B613-$J613))</f>
        <v/>
      </c>
      <c r="L613" s="20" t="str">
        <f aca="false">IF($A613="","",IF($B613=0,0,$K613/$B613))</f>
        <v/>
      </c>
      <c r="M613" s="20" t="str">
        <f aca="false">IF($A613="","",IF($J613&lt;0,"BORCA BATIK",IF($I613&lt;$H613,"BORCA BATIK",IF($L613&gt;=TtkUcteIkiEsik,"2/3 KAYIP (KRİTİK)",IF($L613&gt;=TtkUcteBirEsik,"1/3 KAYIP (DİKKAT)","UYGUN")))))</f>
        <v/>
      </c>
      <c r="U613" s="20" t="str">
        <f aca="false">IF($N613="","",$Q613*$R613)</f>
        <v/>
      </c>
    </row>
    <row r="614" customFormat="false" ht="15" hidden="false" customHeight="false" outlineLevel="0" collapsed="false">
      <c r="J614" s="20" t="str">
        <f aca="false">IF($A614="","",$B614+$C614+$D614-$E614+$F614-$G614)</f>
        <v/>
      </c>
      <c r="K614" s="20" t="str">
        <f aca="false">IF($A614="","",MAX(0,$B614-$J614))</f>
        <v/>
      </c>
      <c r="L614" s="20" t="str">
        <f aca="false">IF($A614="","",IF($B614=0,0,$K614/$B614))</f>
        <v/>
      </c>
      <c r="M614" s="20" t="str">
        <f aca="false">IF($A614="","",IF($J614&lt;0,"BORCA BATIK",IF($I614&lt;$H614,"BORCA BATIK",IF($L614&gt;=TtkUcteIkiEsik,"2/3 KAYIP (KRİTİK)",IF($L614&gt;=TtkUcteBirEsik,"1/3 KAYIP (DİKKAT)","UYGUN")))))</f>
        <v/>
      </c>
      <c r="U614" s="20" t="str">
        <f aca="false">IF($N614="","",$Q614*$R614)</f>
        <v/>
      </c>
    </row>
    <row r="615" customFormat="false" ht="15" hidden="false" customHeight="false" outlineLevel="0" collapsed="false">
      <c r="J615" s="20" t="str">
        <f aca="false">IF($A615="","",$B615+$C615+$D615-$E615+$F615-$G615)</f>
        <v/>
      </c>
      <c r="K615" s="20" t="str">
        <f aca="false">IF($A615="","",MAX(0,$B615-$J615))</f>
        <v/>
      </c>
      <c r="L615" s="20" t="str">
        <f aca="false">IF($A615="","",IF($B615=0,0,$K615/$B615))</f>
        <v/>
      </c>
      <c r="M615" s="20" t="str">
        <f aca="false">IF($A615="","",IF($J615&lt;0,"BORCA BATIK",IF($I615&lt;$H615,"BORCA BATIK",IF($L615&gt;=TtkUcteIkiEsik,"2/3 KAYIP (KRİTİK)",IF($L615&gt;=TtkUcteBirEsik,"1/3 KAYIP (DİKKAT)","UYGUN")))))</f>
        <v/>
      </c>
      <c r="U615" s="20" t="str">
        <f aca="false">IF($N615="","",$Q615*$R615)</f>
        <v/>
      </c>
    </row>
    <row r="616" customFormat="false" ht="15" hidden="false" customHeight="false" outlineLevel="0" collapsed="false">
      <c r="J616" s="20" t="str">
        <f aca="false">IF($A616="","",$B616+$C616+$D616-$E616+$F616-$G616)</f>
        <v/>
      </c>
      <c r="K616" s="20" t="str">
        <f aca="false">IF($A616="","",MAX(0,$B616-$J616))</f>
        <v/>
      </c>
      <c r="L616" s="20" t="str">
        <f aca="false">IF($A616="","",IF($B616=0,0,$K616/$B616))</f>
        <v/>
      </c>
      <c r="M616" s="20" t="str">
        <f aca="false">IF($A616="","",IF($J616&lt;0,"BORCA BATIK",IF($I616&lt;$H616,"BORCA BATIK",IF($L616&gt;=TtkUcteIkiEsik,"2/3 KAYIP (KRİTİK)",IF($L616&gt;=TtkUcteBirEsik,"1/3 KAYIP (DİKKAT)","UYGUN")))))</f>
        <v/>
      </c>
      <c r="U616" s="20" t="str">
        <f aca="false">IF($N616="","",$Q616*$R616)</f>
        <v/>
      </c>
    </row>
    <row r="617" customFormat="false" ht="15" hidden="false" customHeight="false" outlineLevel="0" collapsed="false">
      <c r="J617" s="20" t="str">
        <f aca="false">IF($A617="","",$B617+$C617+$D617-$E617+$F617-$G617)</f>
        <v/>
      </c>
      <c r="K617" s="20" t="str">
        <f aca="false">IF($A617="","",MAX(0,$B617-$J617))</f>
        <v/>
      </c>
      <c r="L617" s="20" t="str">
        <f aca="false">IF($A617="","",IF($B617=0,0,$K617/$B617))</f>
        <v/>
      </c>
      <c r="M617" s="20" t="str">
        <f aca="false">IF($A617="","",IF($J617&lt;0,"BORCA BATIK",IF($I617&lt;$H617,"BORCA BATIK",IF($L617&gt;=TtkUcteIkiEsik,"2/3 KAYIP (KRİTİK)",IF($L617&gt;=TtkUcteBirEsik,"1/3 KAYIP (DİKKAT)","UYGUN")))))</f>
        <v/>
      </c>
      <c r="U617" s="20" t="str">
        <f aca="false">IF($N617="","",$Q617*$R617)</f>
        <v/>
      </c>
    </row>
    <row r="618" customFormat="false" ht="15" hidden="false" customHeight="false" outlineLevel="0" collapsed="false">
      <c r="J618" s="20" t="str">
        <f aca="false">IF($A618="","",$B618+$C618+$D618-$E618+$F618-$G618)</f>
        <v/>
      </c>
      <c r="K618" s="20" t="str">
        <f aca="false">IF($A618="","",MAX(0,$B618-$J618))</f>
        <v/>
      </c>
      <c r="L618" s="20" t="str">
        <f aca="false">IF($A618="","",IF($B618=0,0,$K618/$B618))</f>
        <v/>
      </c>
      <c r="M618" s="20" t="str">
        <f aca="false">IF($A618="","",IF($J618&lt;0,"BORCA BATIK",IF($I618&lt;$H618,"BORCA BATIK",IF($L618&gt;=TtkUcteIkiEsik,"2/3 KAYIP (KRİTİK)",IF($L618&gt;=TtkUcteBirEsik,"1/3 KAYIP (DİKKAT)","UYGUN")))))</f>
        <v/>
      </c>
      <c r="U618" s="20" t="str">
        <f aca="false">IF($N618="","",$Q618*$R618)</f>
        <v/>
      </c>
    </row>
    <row r="619" customFormat="false" ht="15" hidden="false" customHeight="false" outlineLevel="0" collapsed="false">
      <c r="J619" s="20" t="str">
        <f aca="false">IF($A619="","",$B619+$C619+$D619-$E619+$F619-$G619)</f>
        <v/>
      </c>
      <c r="K619" s="20" t="str">
        <f aca="false">IF($A619="","",MAX(0,$B619-$J619))</f>
        <v/>
      </c>
      <c r="L619" s="20" t="str">
        <f aca="false">IF($A619="","",IF($B619=0,0,$K619/$B619))</f>
        <v/>
      </c>
      <c r="M619" s="20" t="str">
        <f aca="false">IF($A619="","",IF($J619&lt;0,"BORCA BATIK",IF($I619&lt;$H619,"BORCA BATIK",IF($L619&gt;=TtkUcteIkiEsik,"2/3 KAYIP (KRİTİK)",IF($L619&gt;=TtkUcteBirEsik,"1/3 KAYIP (DİKKAT)","UYGUN")))))</f>
        <v/>
      </c>
      <c r="U619" s="20" t="str">
        <f aca="false">IF($N619="","",$Q619*$R619)</f>
        <v/>
      </c>
    </row>
    <row r="620" customFormat="false" ht="15" hidden="false" customHeight="false" outlineLevel="0" collapsed="false">
      <c r="J620" s="20" t="str">
        <f aca="false">IF($A620="","",$B620+$C620+$D620-$E620+$F620-$G620)</f>
        <v/>
      </c>
      <c r="K620" s="20" t="str">
        <f aca="false">IF($A620="","",MAX(0,$B620-$J620))</f>
        <v/>
      </c>
      <c r="L620" s="20" t="str">
        <f aca="false">IF($A620="","",IF($B620=0,0,$K620/$B620))</f>
        <v/>
      </c>
      <c r="M620" s="20" t="str">
        <f aca="false">IF($A620="","",IF($J620&lt;0,"BORCA BATIK",IF($I620&lt;$H620,"BORCA BATIK",IF($L620&gt;=TtkUcteIkiEsik,"2/3 KAYIP (KRİTİK)",IF($L620&gt;=TtkUcteBirEsik,"1/3 KAYIP (DİKKAT)","UYGUN")))))</f>
        <v/>
      </c>
      <c r="U620" s="20" t="str">
        <f aca="false">IF($N620="","",$Q620*$R620)</f>
        <v/>
      </c>
    </row>
    <row r="621" customFormat="false" ht="15" hidden="false" customHeight="false" outlineLevel="0" collapsed="false">
      <c r="J621" s="20" t="str">
        <f aca="false">IF($A621="","",$B621+$C621+$D621-$E621+$F621-$G621)</f>
        <v/>
      </c>
      <c r="K621" s="20" t="str">
        <f aca="false">IF($A621="","",MAX(0,$B621-$J621))</f>
        <v/>
      </c>
      <c r="L621" s="20" t="str">
        <f aca="false">IF($A621="","",IF($B621=0,0,$K621/$B621))</f>
        <v/>
      </c>
      <c r="M621" s="20" t="str">
        <f aca="false">IF($A621="","",IF($J621&lt;0,"BORCA BATIK",IF($I621&lt;$H621,"BORCA BATIK",IF($L621&gt;=TtkUcteIkiEsik,"2/3 KAYIP (KRİTİK)",IF($L621&gt;=TtkUcteBirEsik,"1/3 KAYIP (DİKKAT)","UYGUN")))))</f>
        <v/>
      </c>
      <c r="U621" s="20" t="str">
        <f aca="false">IF($N621="","",$Q621*$R621)</f>
        <v/>
      </c>
    </row>
    <row r="622" customFormat="false" ht="15" hidden="false" customHeight="false" outlineLevel="0" collapsed="false">
      <c r="J622" s="20" t="str">
        <f aca="false">IF($A622="","",$B622+$C622+$D622-$E622+$F622-$G622)</f>
        <v/>
      </c>
      <c r="K622" s="20" t="str">
        <f aca="false">IF($A622="","",MAX(0,$B622-$J622))</f>
        <v/>
      </c>
      <c r="L622" s="20" t="str">
        <f aca="false">IF($A622="","",IF($B622=0,0,$K622/$B622))</f>
        <v/>
      </c>
      <c r="M622" s="20" t="str">
        <f aca="false">IF($A622="","",IF($J622&lt;0,"BORCA BATIK",IF($I622&lt;$H622,"BORCA BATIK",IF($L622&gt;=TtkUcteIkiEsik,"2/3 KAYIP (KRİTİK)",IF($L622&gt;=TtkUcteBirEsik,"1/3 KAYIP (DİKKAT)","UYGUN")))))</f>
        <v/>
      </c>
      <c r="U622" s="20" t="str">
        <f aca="false">IF($N622="","",$Q622*$R622)</f>
        <v/>
      </c>
    </row>
    <row r="623" customFormat="false" ht="15" hidden="false" customHeight="false" outlineLevel="0" collapsed="false">
      <c r="J623" s="20" t="str">
        <f aca="false">IF($A623="","",$B623+$C623+$D623-$E623+$F623-$G623)</f>
        <v/>
      </c>
      <c r="K623" s="20" t="str">
        <f aca="false">IF($A623="","",MAX(0,$B623-$J623))</f>
        <v/>
      </c>
      <c r="L623" s="20" t="str">
        <f aca="false">IF($A623="","",IF($B623=0,0,$K623/$B623))</f>
        <v/>
      </c>
      <c r="M623" s="20" t="str">
        <f aca="false">IF($A623="","",IF($J623&lt;0,"BORCA BATIK",IF($I623&lt;$H623,"BORCA BATIK",IF($L623&gt;=TtkUcteIkiEsik,"2/3 KAYIP (KRİTİK)",IF($L623&gt;=TtkUcteBirEsik,"1/3 KAYIP (DİKKAT)","UYGUN")))))</f>
        <v/>
      </c>
      <c r="U623" s="20" t="str">
        <f aca="false">IF($N623="","",$Q623*$R623)</f>
        <v/>
      </c>
    </row>
    <row r="624" customFormat="false" ht="15" hidden="false" customHeight="false" outlineLevel="0" collapsed="false">
      <c r="J624" s="20" t="str">
        <f aca="false">IF($A624="","",$B624+$C624+$D624-$E624+$F624-$G624)</f>
        <v/>
      </c>
      <c r="K624" s="20" t="str">
        <f aca="false">IF($A624="","",MAX(0,$B624-$J624))</f>
        <v/>
      </c>
      <c r="L624" s="20" t="str">
        <f aca="false">IF($A624="","",IF($B624=0,0,$K624/$B624))</f>
        <v/>
      </c>
      <c r="M624" s="20" t="str">
        <f aca="false">IF($A624="","",IF($J624&lt;0,"BORCA BATIK",IF($I624&lt;$H624,"BORCA BATIK",IF($L624&gt;=TtkUcteIkiEsik,"2/3 KAYIP (KRİTİK)",IF($L624&gt;=TtkUcteBirEsik,"1/3 KAYIP (DİKKAT)","UYGUN")))))</f>
        <v/>
      </c>
      <c r="U624" s="20" t="str">
        <f aca="false">IF($N624="","",$Q624*$R624)</f>
        <v/>
      </c>
    </row>
    <row r="625" customFormat="false" ht="15" hidden="false" customHeight="false" outlineLevel="0" collapsed="false">
      <c r="J625" s="20" t="str">
        <f aca="false">IF($A625="","",$B625+$C625+$D625-$E625+$F625-$G625)</f>
        <v/>
      </c>
      <c r="K625" s="20" t="str">
        <f aca="false">IF($A625="","",MAX(0,$B625-$J625))</f>
        <v/>
      </c>
      <c r="L625" s="20" t="str">
        <f aca="false">IF($A625="","",IF($B625=0,0,$K625/$B625))</f>
        <v/>
      </c>
      <c r="M625" s="20" t="str">
        <f aca="false">IF($A625="","",IF($J625&lt;0,"BORCA BATIK",IF($I625&lt;$H625,"BORCA BATIK",IF($L625&gt;=TtkUcteIkiEsik,"2/3 KAYIP (KRİTİK)",IF($L625&gt;=TtkUcteBirEsik,"1/3 KAYIP (DİKKAT)","UYGUN")))))</f>
        <v/>
      </c>
      <c r="U625" s="20" t="str">
        <f aca="false">IF($N625="","",$Q625*$R625)</f>
        <v/>
      </c>
    </row>
    <row r="626" customFormat="false" ht="15" hidden="false" customHeight="false" outlineLevel="0" collapsed="false">
      <c r="J626" s="20" t="str">
        <f aca="false">IF($A626="","",$B626+$C626+$D626-$E626+$F626-$G626)</f>
        <v/>
      </c>
      <c r="K626" s="20" t="str">
        <f aca="false">IF($A626="","",MAX(0,$B626-$J626))</f>
        <v/>
      </c>
      <c r="L626" s="20" t="str">
        <f aca="false">IF($A626="","",IF($B626=0,0,$K626/$B626))</f>
        <v/>
      </c>
      <c r="M626" s="20" t="str">
        <f aca="false">IF($A626="","",IF($J626&lt;0,"BORCA BATIK",IF($I626&lt;$H626,"BORCA BATIK",IF($L626&gt;=TtkUcteIkiEsik,"2/3 KAYIP (KRİTİK)",IF($L626&gt;=TtkUcteBirEsik,"1/3 KAYIP (DİKKAT)","UYGUN")))))</f>
        <v/>
      </c>
      <c r="U626" s="20" t="str">
        <f aca="false">IF($N626="","",$Q626*$R626)</f>
        <v/>
      </c>
    </row>
    <row r="627" customFormat="false" ht="15" hidden="false" customHeight="false" outlineLevel="0" collapsed="false">
      <c r="J627" s="20" t="str">
        <f aca="false">IF($A627="","",$B627+$C627+$D627-$E627+$F627-$G627)</f>
        <v/>
      </c>
      <c r="K627" s="20" t="str">
        <f aca="false">IF($A627="","",MAX(0,$B627-$J627))</f>
        <v/>
      </c>
      <c r="L627" s="20" t="str">
        <f aca="false">IF($A627="","",IF($B627=0,0,$K627/$B627))</f>
        <v/>
      </c>
      <c r="M627" s="20" t="str">
        <f aca="false">IF($A627="","",IF($J627&lt;0,"BORCA BATIK",IF($I627&lt;$H627,"BORCA BATIK",IF($L627&gt;=TtkUcteIkiEsik,"2/3 KAYIP (KRİTİK)",IF($L627&gt;=TtkUcteBirEsik,"1/3 KAYIP (DİKKAT)","UYGUN")))))</f>
        <v/>
      </c>
      <c r="U627" s="20" t="str">
        <f aca="false">IF($N627="","",$Q627*$R627)</f>
        <v/>
      </c>
    </row>
    <row r="628" customFormat="false" ht="15" hidden="false" customHeight="false" outlineLevel="0" collapsed="false">
      <c r="J628" s="20" t="str">
        <f aca="false">IF($A628="","",$B628+$C628+$D628-$E628+$F628-$G628)</f>
        <v/>
      </c>
      <c r="K628" s="20" t="str">
        <f aca="false">IF($A628="","",MAX(0,$B628-$J628))</f>
        <v/>
      </c>
      <c r="L628" s="20" t="str">
        <f aca="false">IF($A628="","",IF($B628=0,0,$K628/$B628))</f>
        <v/>
      </c>
      <c r="M628" s="20" t="str">
        <f aca="false">IF($A628="","",IF($J628&lt;0,"BORCA BATIK",IF($I628&lt;$H628,"BORCA BATIK",IF($L628&gt;=TtkUcteIkiEsik,"2/3 KAYIP (KRİTİK)",IF($L628&gt;=TtkUcteBirEsik,"1/3 KAYIP (DİKKAT)","UYGUN")))))</f>
        <v/>
      </c>
      <c r="U628" s="20" t="str">
        <f aca="false">IF($N628="","",$Q628*$R628)</f>
        <v/>
      </c>
    </row>
    <row r="629" customFormat="false" ht="15" hidden="false" customHeight="false" outlineLevel="0" collapsed="false">
      <c r="J629" s="20" t="str">
        <f aca="false">IF($A629="","",$B629+$C629+$D629-$E629+$F629-$G629)</f>
        <v/>
      </c>
      <c r="K629" s="20" t="str">
        <f aca="false">IF($A629="","",MAX(0,$B629-$J629))</f>
        <v/>
      </c>
      <c r="L629" s="20" t="str">
        <f aca="false">IF($A629="","",IF($B629=0,0,$K629/$B629))</f>
        <v/>
      </c>
      <c r="M629" s="20" t="str">
        <f aca="false">IF($A629="","",IF($J629&lt;0,"BORCA BATIK",IF($I629&lt;$H629,"BORCA BATIK",IF($L629&gt;=TtkUcteIkiEsik,"2/3 KAYIP (KRİTİK)",IF($L629&gt;=TtkUcteBirEsik,"1/3 KAYIP (DİKKAT)","UYGUN")))))</f>
        <v/>
      </c>
      <c r="U629" s="20" t="str">
        <f aca="false">IF($N629="","",$Q629*$R629)</f>
        <v/>
      </c>
    </row>
    <row r="630" customFormat="false" ht="15" hidden="false" customHeight="false" outlineLevel="0" collapsed="false">
      <c r="J630" s="20" t="str">
        <f aca="false">IF($A630="","",$B630+$C630+$D630-$E630+$F630-$G630)</f>
        <v/>
      </c>
      <c r="K630" s="20" t="str">
        <f aca="false">IF($A630="","",MAX(0,$B630-$J630))</f>
        <v/>
      </c>
      <c r="L630" s="20" t="str">
        <f aca="false">IF($A630="","",IF($B630=0,0,$K630/$B630))</f>
        <v/>
      </c>
      <c r="M630" s="20" t="str">
        <f aca="false">IF($A630="","",IF($J630&lt;0,"BORCA BATIK",IF($I630&lt;$H630,"BORCA BATIK",IF($L630&gt;=TtkUcteIkiEsik,"2/3 KAYIP (KRİTİK)",IF($L630&gt;=TtkUcteBirEsik,"1/3 KAYIP (DİKKAT)","UYGUN")))))</f>
        <v/>
      </c>
      <c r="U630" s="20" t="str">
        <f aca="false">IF($N630="","",$Q630*$R630)</f>
        <v/>
      </c>
    </row>
    <row r="631" customFormat="false" ht="15" hidden="false" customHeight="false" outlineLevel="0" collapsed="false">
      <c r="J631" s="20" t="str">
        <f aca="false">IF($A631="","",$B631+$C631+$D631-$E631+$F631-$G631)</f>
        <v/>
      </c>
      <c r="K631" s="20" t="str">
        <f aca="false">IF($A631="","",MAX(0,$B631-$J631))</f>
        <v/>
      </c>
      <c r="L631" s="20" t="str">
        <f aca="false">IF($A631="","",IF($B631=0,0,$K631/$B631))</f>
        <v/>
      </c>
      <c r="M631" s="20" t="str">
        <f aca="false">IF($A631="","",IF($J631&lt;0,"BORCA BATIK",IF($I631&lt;$H631,"BORCA BATIK",IF($L631&gt;=TtkUcteIkiEsik,"2/3 KAYIP (KRİTİK)",IF($L631&gt;=TtkUcteBirEsik,"1/3 KAYIP (DİKKAT)","UYGUN")))))</f>
        <v/>
      </c>
      <c r="U631" s="20" t="str">
        <f aca="false">IF($N631="","",$Q631*$R631)</f>
        <v/>
      </c>
    </row>
    <row r="632" customFormat="false" ht="15" hidden="false" customHeight="false" outlineLevel="0" collapsed="false">
      <c r="J632" s="20" t="str">
        <f aca="false">IF($A632="","",$B632+$C632+$D632-$E632+$F632-$G632)</f>
        <v/>
      </c>
      <c r="K632" s="20" t="str">
        <f aca="false">IF($A632="","",MAX(0,$B632-$J632))</f>
        <v/>
      </c>
      <c r="L632" s="20" t="str">
        <f aca="false">IF($A632="","",IF($B632=0,0,$K632/$B632))</f>
        <v/>
      </c>
      <c r="M632" s="20" t="str">
        <f aca="false">IF($A632="","",IF($J632&lt;0,"BORCA BATIK",IF($I632&lt;$H632,"BORCA BATIK",IF($L632&gt;=TtkUcteIkiEsik,"2/3 KAYIP (KRİTİK)",IF($L632&gt;=TtkUcteBirEsik,"1/3 KAYIP (DİKKAT)","UYGUN")))))</f>
        <v/>
      </c>
      <c r="U632" s="20" t="str">
        <f aca="false">IF($N632="","",$Q632*$R632)</f>
        <v/>
      </c>
    </row>
    <row r="633" customFormat="false" ht="15" hidden="false" customHeight="false" outlineLevel="0" collapsed="false">
      <c r="J633" s="20" t="str">
        <f aca="false">IF($A633="","",$B633+$C633+$D633-$E633+$F633-$G633)</f>
        <v/>
      </c>
      <c r="K633" s="20" t="str">
        <f aca="false">IF($A633="","",MAX(0,$B633-$J633))</f>
        <v/>
      </c>
      <c r="L633" s="20" t="str">
        <f aca="false">IF($A633="","",IF($B633=0,0,$K633/$B633))</f>
        <v/>
      </c>
      <c r="M633" s="20" t="str">
        <f aca="false">IF($A633="","",IF($J633&lt;0,"BORCA BATIK",IF($I633&lt;$H633,"BORCA BATIK",IF($L633&gt;=TtkUcteIkiEsik,"2/3 KAYIP (KRİTİK)",IF($L633&gt;=TtkUcteBirEsik,"1/3 KAYIP (DİKKAT)","UYGUN")))))</f>
        <v/>
      </c>
      <c r="U633" s="20" t="str">
        <f aca="false">IF($N633="","",$Q633*$R633)</f>
        <v/>
      </c>
    </row>
    <row r="634" customFormat="false" ht="15" hidden="false" customHeight="false" outlineLevel="0" collapsed="false">
      <c r="J634" s="20" t="str">
        <f aca="false">IF($A634="","",$B634+$C634+$D634-$E634+$F634-$G634)</f>
        <v/>
      </c>
      <c r="K634" s="20" t="str">
        <f aca="false">IF($A634="","",MAX(0,$B634-$J634))</f>
        <v/>
      </c>
      <c r="L634" s="20" t="str">
        <f aca="false">IF($A634="","",IF($B634=0,0,$K634/$B634))</f>
        <v/>
      </c>
      <c r="M634" s="20" t="str">
        <f aca="false">IF($A634="","",IF($J634&lt;0,"BORCA BATIK",IF($I634&lt;$H634,"BORCA BATIK",IF($L634&gt;=TtkUcteIkiEsik,"2/3 KAYIP (KRİTİK)",IF($L634&gt;=TtkUcteBirEsik,"1/3 KAYIP (DİKKAT)","UYGUN")))))</f>
        <v/>
      </c>
      <c r="U634" s="20" t="str">
        <f aca="false">IF($N634="","",$Q634*$R634)</f>
        <v/>
      </c>
    </row>
    <row r="635" customFormat="false" ht="15" hidden="false" customHeight="false" outlineLevel="0" collapsed="false">
      <c r="J635" s="20" t="str">
        <f aca="false">IF($A635="","",$B635+$C635+$D635-$E635+$F635-$G635)</f>
        <v/>
      </c>
      <c r="K635" s="20" t="str">
        <f aca="false">IF($A635="","",MAX(0,$B635-$J635))</f>
        <v/>
      </c>
      <c r="L635" s="20" t="str">
        <f aca="false">IF($A635="","",IF($B635=0,0,$K635/$B635))</f>
        <v/>
      </c>
      <c r="M635" s="20" t="str">
        <f aca="false">IF($A635="","",IF($J635&lt;0,"BORCA BATIK",IF($I635&lt;$H635,"BORCA BATIK",IF($L635&gt;=TtkUcteIkiEsik,"2/3 KAYIP (KRİTİK)",IF($L635&gt;=TtkUcteBirEsik,"1/3 KAYIP (DİKKAT)","UYGUN")))))</f>
        <v/>
      </c>
      <c r="U635" s="20" t="str">
        <f aca="false">IF($N635="","",$Q635*$R635)</f>
        <v/>
      </c>
    </row>
    <row r="636" customFormat="false" ht="15" hidden="false" customHeight="false" outlineLevel="0" collapsed="false">
      <c r="J636" s="20" t="str">
        <f aca="false">IF($A636="","",$B636+$C636+$D636-$E636+$F636-$G636)</f>
        <v/>
      </c>
      <c r="K636" s="20" t="str">
        <f aca="false">IF($A636="","",MAX(0,$B636-$J636))</f>
        <v/>
      </c>
      <c r="L636" s="20" t="str">
        <f aca="false">IF($A636="","",IF($B636=0,0,$K636/$B636))</f>
        <v/>
      </c>
      <c r="M636" s="20" t="str">
        <f aca="false">IF($A636="","",IF($J636&lt;0,"BORCA BATIK",IF($I636&lt;$H636,"BORCA BATIK",IF($L636&gt;=TtkUcteIkiEsik,"2/3 KAYIP (KRİTİK)",IF($L636&gt;=TtkUcteBirEsik,"1/3 KAYIP (DİKKAT)","UYGUN")))))</f>
        <v/>
      </c>
      <c r="U636" s="20" t="str">
        <f aca="false">IF($N636="","",$Q636*$R636)</f>
        <v/>
      </c>
    </row>
    <row r="637" customFormat="false" ht="15" hidden="false" customHeight="false" outlineLevel="0" collapsed="false">
      <c r="J637" s="20" t="str">
        <f aca="false">IF($A637="","",$B637+$C637+$D637-$E637+$F637-$G637)</f>
        <v/>
      </c>
      <c r="K637" s="20" t="str">
        <f aca="false">IF($A637="","",MAX(0,$B637-$J637))</f>
        <v/>
      </c>
      <c r="L637" s="20" t="str">
        <f aca="false">IF($A637="","",IF($B637=0,0,$K637/$B637))</f>
        <v/>
      </c>
      <c r="M637" s="20" t="str">
        <f aca="false">IF($A637="","",IF($J637&lt;0,"BORCA BATIK",IF($I637&lt;$H637,"BORCA BATIK",IF($L637&gt;=TtkUcteIkiEsik,"2/3 KAYIP (KRİTİK)",IF($L637&gt;=TtkUcteBirEsik,"1/3 KAYIP (DİKKAT)","UYGUN")))))</f>
        <v/>
      </c>
      <c r="U637" s="20" t="str">
        <f aca="false">IF($N637="","",$Q637*$R637)</f>
        <v/>
      </c>
    </row>
    <row r="638" customFormat="false" ht="15" hidden="false" customHeight="false" outlineLevel="0" collapsed="false">
      <c r="J638" s="20" t="str">
        <f aca="false">IF($A638="","",$B638+$C638+$D638-$E638+$F638-$G638)</f>
        <v/>
      </c>
      <c r="K638" s="20" t="str">
        <f aca="false">IF($A638="","",MAX(0,$B638-$J638))</f>
        <v/>
      </c>
      <c r="L638" s="20" t="str">
        <f aca="false">IF($A638="","",IF($B638=0,0,$K638/$B638))</f>
        <v/>
      </c>
      <c r="M638" s="20" t="str">
        <f aca="false">IF($A638="","",IF($J638&lt;0,"BORCA BATIK",IF($I638&lt;$H638,"BORCA BATIK",IF($L638&gt;=TtkUcteIkiEsik,"2/3 KAYIP (KRİTİK)",IF($L638&gt;=TtkUcteBirEsik,"1/3 KAYIP (DİKKAT)","UYGUN")))))</f>
        <v/>
      </c>
      <c r="U638" s="20" t="str">
        <f aca="false">IF($N638="","",$Q638*$R638)</f>
        <v/>
      </c>
    </row>
    <row r="639" customFormat="false" ht="15" hidden="false" customHeight="false" outlineLevel="0" collapsed="false">
      <c r="J639" s="20" t="str">
        <f aca="false">IF($A639="","",$B639+$C639+$D639-$E639+$F639-$G639)</f>
        <v/>
      </c>
      <c r="K639" s="20" t="str">
        <f aca="false">IF($A639="","",MAX(0,$B639-$J639))</f>
        <v/>
      </c>
      <c r="L639" s="20" t="str">
        <f aca="false">IF($A639="","",IF($B639=0,0,$K639/$B639))</f>
        <v/>
      </c>
      <c r="M639" s="20" t="str">
        <f aca="false">IF($A639="","",IF($J639&lt;0,"BORCA BATIK",IF($I639&lt;$H639,"BORCA BATIK",IF($L639&gt;=TtkUcteIkiEsik,"2/3 KAYIP (KRİTİK)",IF($L639&gt;=TtkUcteBirEsik,"1/3 KAYIP (DİKKAT)","UYGUN")))))</f>
        <v/>
      </c>
      <c r="U639" s="20" t="str">
        <f aca="false">IF($N639="","",$Q639*$R639)</f>
        <v/>
      </c>
    </row>
    <row r="640" customFormat="false" ht="15" hidden="false" customHeight="false" outlineLevel="0" collapsed="false">
      <c r="J640" s="20" t="str">
        <f aca="false">IF($A640="","",$B640+$C640+$D640-$E640+$F640-$G640)</f>
        <v/>
      </c>
      <c r="K640" s="20" t="str">
        <f aca="false">IF($A640="","",MAX(0,$B640-$J640))</f>
        <v/>
      </c>
      <c r="L640" s="20" t="str">
        <f aca="false">IF($A640="","",IF($B640=0,0,$K640/$B640))</f>
        <v/>
      </c>
      <c r="M640" s="20" t="str">
        <f aca="false">IF($A640="","",IF($J640&lt;0,"BORCA BATIK",IF($I640&lt;$H640,"BORCA BATIK",IF($L640&gt;=TtkUcteIkiEsik,"2/3 KAYIP (KRİTİK)",IF($L640&gt;=TtkUcteBirEsik,"1/3 KAYIP (DİKKAT)","UYGUN")))))</f>
        <v/>
      </c>
      <c r="U640" s="20" t="str">
        <f aca="false">IF($N640="","",$Q640*$R640)</f>
        <v/>
      </c>
    </row>
    <row r="641" customFormat="false" ht="15" hidden="false" customHeight="false" outlineLevel="0" collapsed="false">
      <c r="J641" s="20" t="str">
        <f aca="false">IF($A641="","",$B641+$C641+$D641-$E641+$F641-$G641)</f>
        <v/>
      </c>
      <c r="K641" s="20" t="str">
        <f aca="false">IF($A641="","",MAX(0,$B641-$J641))</f>
        <v/>
      </c>
      <c r="L641" s="20" t="str">
        <f aca="false">IF($A641="","",IF($B641=0,0,$K641/$B641))</f>
        <v/>
      </c>
      <c r="M641" s="20" t="str">
        <f aca="false">IF($A641="","",IF($J641&lt;0,"BORCA BATIK",IF($I641&lt;$H641,"BORCA BATIK",IF($L641&gt;=TtkUcteIkiEsik,"2/3 KAYIP (KRİTİK)",IF($L641&gt;=TtkUcteBirEsik,"1/3 KAYIP (DİKKAT)","UYGUN")))))</f>
        <v/>
      </c>
      <c r="U641" s="20" t="str">
        <f aca="false">IF($N641="","",$Q641*$R641)</f>
        <v/>
      </c>
    </row>
    <row r="642" customFormat="false" ht="15" hidden="false" customHeight="false" outlineLevel="0" collapsed="false">
      <c r="J642" s="20" t="str">
        <f aca="false">IF($A642="","",$B642+$C642+$D642-$E642+$F642-$G642)</f>
        <v/>
      </c>
      <c r="K642" s="20" t="str">
        <f aca="false">IF($A642="","",MAX(0,$B642-$J642))</f>
        <v/>
      </c>
      <c r="L642" s="20" t="str">
        <f aca="false">IF($A642="","",IF($B642=0,0,$K642/$B642))</f>
        <v/>
      </c>
      <c r="M642" s="20" t="str">
        <f aca="false">IF($A642="","",IF($J642&lt;0,"BORCA BATIK",IF($I642&lt;$H642,"BORCA BATIK",IF($L642&gt;=TtkUcteIkiEsik,"2/3 KAYIP (KRİTİK)",IF($L642&gt;=TtkUcteBirEsik,"1/3 KAYIP (DİKKAT)","UYGUN")))))</f>
        <v/>
      </c>
      <c r="U642" s="20" t="str">
        <f aca="false">IF($N642="","",$Q642*$R642)</f>
        <v/>
      </c>
    </row>
    <row r="643" customFormat="false" ht="15" hidden="false" customHeight="false" outlineLevel="0" collapsed="false">
      <c r="J643" s="20" t="str">
        <f aca="false">IF($A643="","",$B643+$C643+$D643-$E643+$F643-$G643)</f>
        <v/>
      </c>
      <c r="K643" s="20" t="str">
        <f aca="false">IF($A643="","",MAX(0,$B643-$J643))</f>
        <v/>
      </c>
      <c r="L643" s="20" t="str">
        <f aca="false">IF($A643="","",IF($B643=0,0,$K643/$B643))</f>
        <v/>
      </c>
      <c r="M643" s="20" t="str">
        <f aca="false">IF($A643="","",IF($J643&lt;0,"BORCA BATIK",IF($I643&lt;$H643,"BORCA BATIK",IF($L643&gt;=TtkUcteIkiEsik,"2/3 KAYIP (KRİTİK)",IF($L643&gt;=TtkUcteBirEsik,"1/3 KAYIP (DİKKAT)","UYGUN")))))</f>
        <v/>
      </c>
      <c r="U643" s="20" t="str">
        <f aca="false">IF($N643="","",$Q643*$R643)</f>
        <v/>
      </c>
    </row>
    <row r="644" customFormat="false" ht="15" hidden="false" customHeight="false" outlineLevel="0" collapsed="false">
      <c r="J644" s="20" t="str">
        <f aca="false">IF($A644="","",$B644+$C644+$D644-$E644+$F644-$G644)</f>
        <v/>
      </c>
      <c r="K644" s="20" t="str">
        <f aca="false">IF($A644="","",MAX(0,$B644-$J644))</f>
        <v/>
      </c>
      <c r="L644" s="20" t="str">
        <f aca="false">IF($A644="","",IF($B644=0,0,$K644/$B644))</f>
        <v/>
      </c>
      <c r="M644" s="20" t="str">
        <f aca="false">IF($A644="","",IF($J644&lt;0,"BORCA BATIK",IF($I644&lt;$H644,"BORCA BATIK",IF($L644&gt;=TtkUcteIkiEsik,"2/3 KAYIP (KRİTİK)",IF($L644&gt;=TtkUcteBirEsik,"1/3 KAYIP (DİKKAT)","UYGUN")))))</f>
        <v/>
      </c>
      <c r="U644" s="20" t="str">
        <f aca="false">IF($N644="","",$Q644*$R644)</f>
        <v/>
      </c>
    </row>
    <row r="645" customFormat="false" ht="15" hidden="false" customHeight="false" outlineLevel="0" collapsed="false">
      <c r="J645" s="20" t="str">
        <f aca="false">IF($A645="","",$B645+$C645+$D645-$E645+$F645-$G645)</f>
        <v/>
      </c>
      <c r="K645" s="20" t="str">
        <f aca="false">IF($A645="","",MAX(0,$B645-$J645))</f>
        <v/>
      </c>
      <c r="L645" s="20" t="str">
        <f aca="false">IF($A645="","",IF($B645=0,0,$K645/$B645))</f>
        <v/>
      </c>
      <c r="M645" s="20" t="str">
        <f aca="false">IF($A645="","",IF($J645&lt;0,"BORCA BATIK",IF($I645&lt;$H645,"BORCA BATIK",IF($L645&gt;=TtkUcteIkiEsik,"2/3 KAYIP (KRİTİK)",IF($L645&gt;=TtkUcteBirEsik,"1/3 KAYIP (DİKKAT)","UYGUN")))))</f>
        <v/>
      </c>
      <c r="U645" s="20" t="str">
        <f aca="false">IF($N645="","",$Q645*$R645)</f>
        <v/>
      </c>
    </row>
    <row r="646" customFormat="false" ht="15" hidden="false" customHeight="false" outlineLevel="0" collapsed="false">
      <c r="J646" s="20" t="str">
        <f aca="false">IF($A646="","",$B646+$C646+$D646-$E646+$F646-$G646)</f>
        <v/>
      </c>
      <c r="K646" s="20" t="str">
        <f aca="false">IF($A646="","",MAX(0,$B646-$J646))</f>
        <v/>
      </c>
      <c r="L646" s="20" t="str">
        <f aca="false">IF($A646="","",IF($B646=0,0,$K646/$B646))</f>
        <v/>
      </c>
      <c r="M646" s="20" t="str">
        <f aca="false">IF($A646="","",IF($J646&lt;0,"BORCA BATIK",IF($I646&lt;$H646,"BORCA BATIK",IF($L646&gt;=TtkUcteIkiEsik,"2/3 KAYIP (KRİTİK)",IF($L646&gt;=TtkUcteBirEsik,"1/3 KAYIP (DİKKAT)","UYGUN")))))</f>
        <v/>
      </c>
      <c r="U646" s="20" t="str">
        <f aca="false">IF($N646="","",$Q646*$R646)</f>
        <v/>
      </c>
    </row>
    <row r="647" customFormat="false" ht="15" hidden="false" customHeight="false" outlineLevel="0" collapsed="false">
      <c r="J647" s="20" t="str">
        <f aca="false">IF($A647="","",$B647+$C647+$D647-$E647+$F647-$G647)</f>
        <v/>
      </c>
      <c r="K647" s="20" t="str">
        <f aca="false">IF($A647="","",MAX(0,$B647-$J647))</f>
        <v/>
      </c>
      <c r="L647" s="20" t="str">
        <f aca="false">IF($A647="","",IF($B647=0,0,$K647/$B647))</f>
        <v/>
      </c>
      <c r="M647" s="20" t="str">
        <f aca="false">IF($A647="","",IF($J647&lt;0,"BORCA BATIK",IF($I647&lt;$H647,"BORCA BATIK",IF($L647&gt;=TtkUcteIkiEsik,"2/3 KAYIP (KRİTİK)",IF($L647&gt;=TtkUcteBirEsik,"1/3 KAYIP (DİKKAT)","UYGUN")))))</f>
        <v/>
      </c>
      <c r="U647" s="20" t="str">
        <f aca="false">IF($N647="","",$Q647*$R647)</f>
        <v/>
      </c>
    </row>
    <row r="648" customFormat="false" ht="15" hidden="false" customHeight="false" outlineLevel="0" collapsed="false">
      <c r="J648" s="20" t="str">
        <f aca="false">IF($A648="","",$B648+$C648+$D648-$E648+$F648-$G648)</f>
        <v/>
      </c>
      <c r="K648" s="20" t="str">
        <f aca="false">IF($A648="","",MAX(0,$B648-$J648))</f>
        <v/>
      </c>
      <c r="L648" s="20" t="str">
        <f aca="false">IF($A648="","",IF($B648=0,0,$K648/$B648))</f>
        <v/>
      </c>
      <c r="M648" s="20" t="str">
        <f aca="false">IF($A648="","",IF($J648&lt;0,"BORCA BATIK",IF($I648&lt;$H648,"BORCA BATIK",IF($L648&gt;=TtkUcteIkiEsik,"2/3 KAYIP (KRİTİK)",IF($L648&gt;=TtkUcteBirEsik,"1/3 KAYIP (DİKKAT)","UYGUN")))))</f>
        <v/>
      </c>
      <c r="U648" s="20" t="str">
        <f aca="false">IF($N648="","",$Q648*$R648)</f>
        <v/>
      </c>
    </row>
    <row r="649" customFormat="false" ht="15" hidden="false" customHeight="false" outlineLevel="0" collapsed="false">
      <c r="J649" s="20" t="str">
        <f aca="false">IF($A649="","",$B649+$C649+$D649-$E649+$F649-$G649)</f>
        <v/>
      </c>
      <c r="K649" s="20" t="str">
        <f aca="false">IF($A649="","",MAX(0,$B649-$J649))</f>
        <v/>
      </c>
      <c r="L649" s="20" t="str">
        <f aca="false">IF($A649="","",IF($B649=0,0,$K649/$B649))</f>
        <v/>
      </c>
      <c r="M649" s="20" t="str">
        <f aca="false">IF($A649="","",IF($J649&lt;0,"BORCA BATIK",IF($I649&lt;$H649,"BORCA BATIK",IF($L649&gt;=TtkUcteIkiEsik,"2/3 KAYIP (KRİTİK)",IF($L649&gt;=TtkUcteBirEsik,"1/3 KAYIP (DİKKAT)","UYGUN")))))</f>
        <v/>
      </c>
      <c r="U649" s="20" t="str">
        <f aca="false">IF($N649="","",$Q649*$R649)</f>
        <v/>
      </c>
    </row>
    <row r="650" customFormat="false" ht="15" hidden="false" customHeight="false" outlineLevel="0" collapsed="false">
      <c r="J650" s="20" t="str">
        <f aca="false">IF($A650="","",$B650+$C650+$D650-$E650+$F650-$G650)</f>
        <v/>
      </c>
      <c r="K650" s="20" t="str">
        <f aca="false">IF($A650="","",MAX(0,$B650-$J650))</f>
        <v/>
      </c>
      <c r="L650" s="20" t="str">
        <f aca="false">IF($A650="","",IF($B650=0,0,$K650/$B650))</f>
        <v/>
      </c>
      <c r="M650" s="20" t="str">
        <f aca="false">IF($A650="","",IF($J650&lt;0,"BORCA BATIK",IF($I650&lt;$H650,"BORCA BATIK",IF($L650&gt;=TtkUcteIkiEsik,"2/3 KAYIP (KRİTİK)",IF($L650&gt;=TtkUcteBirEsik,"1/3 KAYIP (DİKKAT)","UYGUN")))))</f>
        <v/>
      </c>
      <c r="U650" s="20" t="str">
        <f aca="false">IF($N650="","",$Q650*$R650)</f>
        <v/>
      </c>
    </row>
    <row r="651" customFormat="false" ht="15" hidden="false" customHeight="false" outlineLevel="0" collapsed="false">
      <c r="J651" s="20" t="str">
        <f aca="false">IF($A651="","",$B651+$C651+$D651-$E651+$F651-$G651)</f>
        <v/>
      </c>
      <c r="K651" s="20" t="str">
        <f aca="false">IF($A651="","",MAX(0,$B651-$J651))</f>
        <v/>
      </c>
      <c r="L651" s="20" t="str">
        <f aca="false">IF($A651="","",IF($B651=0,0,$K651/$B651))</f>
        <v/>
      </c>
      <c r="M651" s="20" t="str">
        <f aca="false">IF($A651="","",IF($J651&lt;0,"BORCA BATIK",IF($I651&lt;$H651,"BORCA BATIK",IF($L651&gt;=TtkUcteIkiEsik,"2/3 KAYIP (KRİTİK)",IF($L651&gt;=TtkUcteBirEsik,"1/3 KAYIP (DİKKAT)","UYGUN")))))</f>
        <v/>
      </c>
      <c r="U651" s="20" t="str">
        <f aca="false">IF($N651="","",$Q651*$R651)</f>
        <v/>
      </c>
    </row>
    <row r="652" customFormat="false" ht="15" hidden="false" customHeight="false" outlineLevel="0" collapsed="false">
      <c r="J652" s="20" t="str">
        <f aca="false">IF($A652="","",$B652+$C652+$D652-$E652+$F652-$G652)</f>
        <v/>
      </c>
      <c r="K652" s="20" t="str">
        <f aca="false">IF($A652="","",MAX(0,$B652-$J652))</f>
        <v/>
      </c>
      <c r="L652" s="20" t="str">
        <f aca="false">IF($A652="","",IF($B652=0,0,$K652/$B652))</f>
        <v/>
      </c>
      <c r="M652" s="20" t="str">
        <f aca="false">IF($A652="","",IF($J652&lt;0,"BORCA BATIK",IF($I652&lt;$H652,"BORCA BATIK",IF($L652&gt;=TtkUcteIkiEsik,"2/3 KAYIP (KRİTİK)",IF($L652&gt;=TtkUcteBirEsik,"1/3 KAYIP (DİKKAT)","UYGUN")))))</f>
        <v/>
      </c>
      <c r="U652" s="20" t="str">
        <f aca="false">IF($N652="","",$Q652*$R652)</f>
        <v/>
      </c>
    </row>
    <row r="653" customFormat="false" ht="15" hidden="false" customHeight="false" outlineLevel="0" collapsed="false">
      <c r="J653" s="20" t="str">
        <f aca="false">IF($A653="","",$B653+$C653+$D653-$E653+$F653-$G653)</f>
        <v/>
      </c>
      <c r="K653" s="20" t="str">
        <f aca="false">IF($A653="","",MAX(0,$B653-$J653))</f>
        <v/>
      </c>
      <c r="L653" s="20" t="str">
        <f aca="false">IF($A653="","",IF($B653=0,0,$K653/$B653))</f>
        <v/>
      </c>
      <c r="M653" s="20" t="str">
        <f aca="false">IF($A653="","",IF($J653&lt;0,"BORCA BATIK",IF($I653&lt;$H653,"BORCA BATIK",IF($L653&gt;=TtkUcteIkiEsik,"2/3 KAYIP (KRİTİK)",IF($L653&gt;=TtkUcteBirEsik,"1/3 KAYIP (DİKKAT)","UYGUN")))))</f>
        <v/>
      </c>
      <c r="U653" s="20" t="str">
        <f aca="false">IF($N653="","",$Q653*$R653)</f>
        <v/>
      </c>
    </row>
    <row r="654" customFormat="false" ht="15" hidden="false" customHeight="false" outlineLevel="0" collapsed="false">
      <c r="J654" s="20" t="str">
        <f aca="false">IF($A654="","",$B654+$C654+$D654-$E654+$F654-$G654)</f>
        <v/>
      </c>
      <c r="K654" s="20" t="str">
        <f aca="false">IF($A654="","",MAX(0,$B654-$J654))</f>
        <v/>
      </c>
      <c r="L654" s="20" t="str">
        <f aca="false">IF($A654="","",IF($B654=0,0,$K654/$B654))</f>
        <v/>
      </c>
      <c r="M654" s="20" t="str">
        <f aca="false">IF($A654="","",IF($J654&lt;0,"BORCA BATIK",IF($I654&lt;$H654,"BORCA BATIK",IF($L654&gt;=TtkUcteIkiEsik,"2/3 KAYIP (KRİTİK)",IF($L654&gt;=TtkUcteBirEsik,"1/3 KAYIP (DİKKAT)","UYGUN")))))</f>
        <v/>
      </c>
      <c r="U654" s="20" t="str">
        <f aca="false">IF($N654="","",$Q654*$R654)</f>
        <v/>
      </c>
    </row>
    <row r="655" customFormat="false" ht="15" hidden="false" customHeight="false" outlineLevel="0" collapsed="false">
      <c r="J655" s="20" t="str">
        <f aca="false">IF($A655="","",$B655+$C655+$D655-$E655+$F655-$G655)</f>
        <v/>
      </c>
      <c r="K655" s="20" t="str">
        <f aca="false">IF($A655="","",MAX(0,$B655-$J655))</f>
        <v/>
      </c>
      <c r="L655" s="20" t="str">
        <f aca="false">IF($A655="","",IF($B655=0,0,$K655/$B655))</f>
        <v/>
      </c>
      <c r="M655" s="20" t="str">
        <f aca="false">IF($A655="","",IF($J655&lt;0,"BORCA BATIK",IF($I655&lt;$H655,"BORCA BATIK",IF($L655&gt;=TtkUcteIkiEsik,"2/3 KAYIP (KRİTİK)",IF($L655&gt;=TtkUcteBirEsik,"1/3 KAYIP (DİKKAT)","UYGUN")))))</f>
        <v/>
      </c>
      <c r="U655" s="20" t="str">
        <f aca="false">IF($N655="","",$Q655*$R655)</f>
        <v/>
      </c>
    </row>
    <row r="656" customFormat="false" ht="15" hidden="false" customHeight="false" outlineLevel="0" collapsed="false">
      <c r="J656" s="20" t="str">
        <f aca="false">IF($A656="","",$B656+$C656+$D656-$E656+$F656-$G656)</f>
        <v/>
      </c>
      <c r="K656" s="20" t="str">
        <f aca="false">IF($A656="","",MAX(0,$B656-$J656))</f>
        <v/>
      </c>
      <c r="L656" s="20" t="str">
        <f aca="false">IF($A656="","",IF($B656=0,0,$K656/$B656))</f>
        <v/>
      </c>
      <c r="M656" s="20" t="str">
        <f aca="false">IF($A656="","",IF($J656&lt;0,"BORCA BATIK",IF($I656&lt;$H656,"BORCA BATIK",IF($L656&gt;=TtkUcteIkiEsik,"2/3 KAYIP (KRİTİK)",IF($L656&gt;=TtkUcteBirEsik,"1/3 KAYIP (DİKKAT)","UYGUN")))))</f>
        <v/>
      </c>
      <c r="U656" s="20" t="str">
        <f aca="false">IF($N656="","",$Q656*$R656)</f>
        <v/>
      </c>
    </row>
    <row r="657" customFormat="false" ht="15" hidden="false" customHeight="false" outlineLevel="0" collapsed="false">
      <c r="J657" s="20" t="str">
        <f aca="false">IF($A657="","",$B657+$C657+$D657-$E657+$F657-$G657)</f>
        <v/>
      </c>
      <c r="K657" s="20" t="str">
        <f aca="false">IF($A657="","",MAX(0,$B657-$J657))</f>
        <v/>
      </c>
      <c r="L657" s="20" t="str">
        <f aca="false">IF($A657="","",IF($B657=0,0,$K657/$B657))</f>
        <v/>
      </c>
      <c r="M657" s="20" t="str">
        <f aca="false">IF($A657="","",IF($J657&lt;0,"BORCA BATIK",IF($I657&lt;$H657,"BORCA BATIK",IF($L657&gt;=TtkUcteIkiEsik,"2/3 KAYIP (KRİTİK)",IF($L657&gt;=TtkUcteBirEsik,"1/3 KAYIP (DİKKAT)","UYGUN")))))</f>
        <v/>
      </c>
      <c r="U657" s="20" t="str">
        <f aca="false">IF($N657="","",$Q657*$R657)</f>
        <v/>
      </c>
    </row>
    <row r="658" customFormat="false" ht="15" hidden="false" customHeight="false" outlineLevel="0" collapsed="false">
      <c r="J658" s="20" t="str">
        <f aca="false">IF($A658="","",$B658+$C658+$D658-$E658+$F658-$G658)</f>
        <v/>
      </c>
      <c r="K658" s="20" t="str">
        <f aca="false">IF($A658="","",MAX(0,$B658-$J658))</f>
        <v/>
      </c>
      <c r="L658" s="20" t="str">
        <f aca="false">IF($A658="","",IF($B658=0,0,$K658/$B658))</f>
        <v/>
      </c>
      <c r="M658" s="20" t="str">
        <f aca="false">IF($A658="","",IF($J658&lt;0,"BORCA BATIK",IF($I658&lt;$H658,"BORCA BATIK",IF($L658&gt;=TtkUcteIkiEsik,"2/3 KAYIP (KRİTİK)",IF($L658&gt;=TtkUcteBirEsik,"1/3 KAYIP (DİKKAT)","UYGUN")))))</f>
        <v/>
      </c>
      <c r="U658" s="20" t="str">
        <f aca="false">IF($N658="","",$Q658*$R658)</f>
        <v/>
      </c>
    </row>
    <row r="659" customFormat="false" ht="15" hidden="false" customHeight="false" outlineLevel="0" collapsed="false">
      <c r="J659" s="20" t="str">
        <f aca="false">IF($A659="","",$B659+$C659+$D659-$E659+$F659-$G659)</f>
        <v/>
      </c>
      <c r="K659" s="20" t="str">
        <f aca="false">IF($A659="","",MAX(0,$B659-$J659))</f>
        <v/>
      </c>
      <c r="L659" s="20" t="str">
        <f aca="false">IF($A659="","",IF($B659=0,0,$K659/$B659))</f>
        <v/>
      </c>
      <c r="M659" s="20" t="str">
        <f aca="false">IF($A659="","",IF($J659&lt;0,"BORCA BATIK",IF($I659&lt;$H659,"BORCA BATIK",IF($L659&gt;=TtkUcteIkiEsik,"2/3 KAYIP (KRİTİK)",IF($L659&gt;=TtkUcteBirEsik,"1/3 KAYIP (DİKKAT)","UYGUN")))))</f>
        <v/>
      </c>
      <c r="U659" s="20" t="str">
        <f aca="false">IF($N659="","",$Q659*$R659)</f>
        <v/>
      </c>
    </row>
    <row r="660" customFormat="false" ht="15" hidden="false" customHeight="false" outlineLevel="0" collapsed="false">
      <c r="J660" s="20" t="str">
        <f aca="false">IF($A660="","",$B660+$C660+$D660-$E660+$F660-$G660)</f>
        <v/>
      </c>
      <c r="K660" s="20" t="str">
        <f aca="false">IF($A660="","",MAX(0,$B660-$J660))</f>
        <v/>
      </c>
      <c r="L660" s="20" t="str">
        <f aca="false">IF($A660="","",IF($B660=0,0,$K660/$B660))</f>
        <v/>
      </c>
      <c r="M660" s="20" t="str">
        <f aca="false">IF($A660="","",IF($J660&lt;0,"BORCA BATIK",IF($I660&lt;$H660,"BORCA BATIK",IF($L660&gt;=TtkUcteIkiEsik,"2/3 KAYIP (KRİTİK)",IF($L660&gt;=TtkUcteBirEsik,"1/3 KAYIP (DİKKAT)","UYGUN")))))</f>
        <v/>
      </c>
      <c r="U660" s="20" t="str">
        <f aca="false">IF($N660="","",$Q660*$R660)</f>
        <v/>
      </c>
    </row>
    <row r="661" customFormat="false" ht="15" hidden="false" customHeight="false" outlineLevel="0" collapsed="false">
      <c r="J661" s="20" t="str">
        <f aca="false">IF($A661="","",$B661+$C661+$D661-$E661+$F661-$G661)</f>
        <v/>
      </c>
      <c r="K661" s="20" t="str">
        <f aca="false">IF($A661="","",MAX(0,$B661-$J661))</f>
        <v/>
      </c>
      <c r="L661" s="20" t="str">
        <f aca="false">IF($A661="","",IF($B661=0,0,$K661/$B661))</f>
        <v/>
      </c>
      <c r="M661" s="20" t="str">
        <f aca="false">IF($A661="","",IF($J661&lt;0,"BORCA BATIK",IF($I661&lt;$H661,"BORCA BATIK",IF($L661&gt;=TtkUcteIkiEsik,"2/3 KAYIP (KRİTİK)",IF($L661&gt;=TtkUcteBirEsik,"1/3 KAYIP (DİKKAT)","UYGUN")))))</f>
        <v/>
      </c>
      <c r="U661" s="20" t="str">
        <f aca="false">IF($N661="","",$Q661*$R661)</f>
        <v/>
      </c>
    </row>
    <row r="662" customFormat="false" ht="15" hidden="false" customHeight="false" outlineLevel="0" collapsed="false">
      <c r="J662" s="20" t="str">
        <f aca="false">IF($A662="","",$B662+$C662+$D662-$E662+$F662-$G662)</f>
        <v/>
      </c>
      <c r="K662" s="20" t="str">
        <f aca="false">IF($A662="","",MAX(0,$B662-$J662))</f>
        <v/>
      </c>
      <c r="L662" s="20" t="str">
        <f aca="false">IF($A662="","",IF($B662=0,0,$K662/$B662))</f>
        <v/>
      </c>
      <c r="M662" s="20" t="str">
        <f aca="false">IF($A662="","",IF($J662&lt;0,"BORCA BATIK",IF($I662&lt;$H662,"BORCA BATIK",IF($L662&gt;=TtkUcteIkiEsik,"2/3 KAYIP (KRİTİK)",IF($L662&gt;=TtkUcteBirEsik,"1/3 KAYIP (DİKKAT)","UYGUN")))))</f>
        <v/>
      </c>
      <c r="U662" s="20" t="str">
        <f aca="false">IF($N662="","",$Q662*$R662)</f>
        <v/>
      </c>
    </row>
    <row r="663" customFormat="false" ht="15" hidden="false" customHeight="false" outlineLevel="0" collapsed="false">
      <c r="J663" s="20" t="str">
        <f aca="false">IF($A663="","",$B663+$C663+$D663-$E663+$F663-$G663)</f>
        <v/>
      </c>
      <c r="K663" s="20" t="str">
        <f aca="false">IF($A663="","",MAX(0,$B663-$J663))</f>
        <v/>
      </c>
      <c r="L663" s="20" t="str">
        <f aca="false">IF($A663="","",IF($B663=0,0,$K663/$B663))</f>
        <v/>
      </c>
      <c r="M663" s="20" t="str">
        <f aca="false">IF($A663="","",IF($J663&lt;0,"BORCA BATIK",IF($I663&lt;$H663,"BORCA BATIK",IF($L663&gt;=TtkUcteIkiEsik,"2/3 KAYIP (KRİTİK)",IF($L663&gt;=TtkUcteBirEsik,"1/3 KAYIP (DİKKAT)","UYGUN")))))</f>
        <v/>
      </c>
      <c r="U663" s="20" t="str">
        <f aca="false">IF($N663="","",$Q663*$R663)</f>
        <v/>
      </c>
    </row>
    <row r="664" customFormat="false" ht="15" hidden="false" customHeight="false" outlineLevel="0" collapsed="false">
      <c r="J664" s="20" t="str">
        <f aca="false">IF($A664="","",$B664+$C664+$D664-$E664+$F664-$G664)</f>
        <v/>
      </c>
      <c r="K664" s="20" t="str">
        <f aca="false">IF($A664="","",MAX(0,$B664-$J664))</f>
        <v/>
      </c>
      <c r="L664" s="20" t="str">
        <f aca="false">IF($A664="","",IF($B664=0,0,$K664/$B664))</f>
        <v/>
      </c>
      <c r="M664" s="20" t="str">
        <f aca="false">IF($A664="","",IF($J664&lt;0,"BORCA BATIK",IF($I664&lt;$H664,"BORCA BATIK",IF($L664&gt;=TtkUcteIkiEsik,"2/3 KAYIP (KRİTİK)",IF($L664&gt;=TtkUcteBirEsik,"1/3 KAYIP (DİKKAT)","UYGUN")))))</f>
        <v/>
      </c>
      <c r="U664" s="20" t="str">
        <f aca="false">IF($N664="","",$Q664*$R664)</f>
        <v/>
      </c>
    </row>
    <row r="665" customFormat="false" ht="15" hidden="false" customHeight="false" outlineLevel="0" collapsed="false">
      <c r="J665" s="20" t="str">
        <f aca="false">IF($A665="","",$B665+$C665+$D665-$E665+$F665-$G665)</f>
        <v/>
      </c>
      <c r="K665" s="20" t="str">
        <f aca="false">IF($A665="","",MAX(0,$B665-$J665))</f>
        <v/>
      </c>
      <c r="L665" s="20" t="str">
        <f aca="false">IF($A665="","",IF($B665=0,0,$K665/$B665))</f>
        <v/>
      </c>
      <c r="M665" s="20" t="str">
        <f aca="false">IF($A665="","",IF($J665&lt;0,"BORCA BATIK",IF($I665&lt;$H665,"BORCA BATIK",IF($L665&gt;=TtkUcteIkiEsik,"2/3 KAYIP (KRİTİK)",IF($L665&gt;=TtkUcteBirEsik,"1/3 KAYIP (DİKKAT)","UYGUN")))))</f>
        <v/>
      </c>
      <c r="U665" s="20" t="str">
        <f aca="false">IF($N665="","",$Q665*$R665)</f>
        <v/>
      </c>
    </row>
    <row r="666" customFormat="false" ht="15" hidden="false" customHeight="false" outlineLevel="0" collapsed="false">
      <c r="J666" s="20" t="str">
        <f aca="false">IF($A666="","",$B666+$C666+$D666-$E666+$F666-$G666)</f>
        <v/>
      </c>
      <c r="K666" s="20" t="str">
        <f aca="false">IF($A666="","",MAX(0,$B666-$J666))</f>
        <v/>
      </c>
      <c r="L666" s="20" t="str">
        <f aca="false">IF($A666="","",IF($B666=0,0,$K666/$B666))</f>
        <v/>
      </c>
      <c r="M666" s="20" t="str">
        <f aca="false">IF($A666="","",IF($J666&lt;0,"BORCA BATIK",IF($I666&lt;$H666,"BORCA BATIK",IF($L666&gt;=TtkUcteIkiEsik,"2/3 KAYIP (KRİTİK)",IF($L666&gt;=TtkUcteBirEsik,"1/3 KAYIP (DİKKAT)","UYGUN")))))</f>
        <v/>
      </c>
      <c r="U666" s="20" t="str">
        <f aca="false">IF($N666="","",$Q666*$R666)</f>
        <v/>
      </c>
    </row>
    <row r="667" customFormat="false" ht="15" hidden="false" customHeight="false" outlineLevel="0" collapsed="false">
      <c r="J667" s="20" t="str">
        <f aca="false">IF($A667="","",$B667+$C667+$D667-$E667+$F667-$G667)</f>
        <v/>
      </c>
      <c r="K667" s="20" t="str">
        <f aca="false">IF($A667="","",MAX(0,$B667-$J667))</f>
        <v/>
      </c>
      <c r="L667" s="20" t="str">
        <f aca="false">IF($A667="","",IF($B667=0,0,$K667/$B667))</f>
        <v/>
      </c>
      <c r="M667" s="20" t="str">
        <f aca="false">IF($A667="","",IF($J667&lt;0,"BORCA BATIK",IF($I667&lt;$H667,"BORCA BATIK",IF($L667&gt;=TtkUcteIkiEsik,"2/3 KAYIP (KRİTİK)",IF($L667&gt;=TtkUcteBirEsik,"1/3 KAYIP (DİKKAT)","UYGUN")))))</f>
        <v/>
      </c>
      <c r="U667" s="20" t="str">
        <f aca="false">IF($N667="","",$Q667*$R667)</f>
        <v/>
      </c>
    </row>
    <row r="668" customFormat="false" ht="15" hidden="false" customHeight="false" outlineLevel="0" collapsed="false">
      <c r="J668" s="20" t="str">
        <f aca="false">IF($A668="","",$B668+$C668+$D668-$E668+$F668-$G668)</f>
        <v/>
      </c>
      <c r="K668" s="20" t="str">
        <f aca="false">IF($A668="","",MAX(0,$B668-$J668))</f>
        <v/>
      </c>
      <c r="L668" s="20" t="str">
        <f aca="false">IF($A668="","",IF($B668=0,0,$K668/$B668))</f>
        <v/>
      </c>
      <c r="M668" s="20" t="str">
        <f aca="false">IF($A668="","",IF($J668&lt;0,"BORCA BATIK",IF($I668&lt;$H668,"BORCA BATIK",IF($L668&gt;=TtkUcteIkiEsik,"2/3 KAYIP (KRİTİK)",IF($L668&gt;=TtkUcteBirEsik,"1/3 KAYIP (DİKKAT)","UYGUN")))))</f>
        <v/>
      </c>
      <c r="U668" s="20" t="str">
        <f aca="false">IF($N668="","",$Q668*$R668)</f>
        <v/>
      </c>
    </row>
    <row r="669" customFormat="false" ht="15" hidden="false" customHeight="false" outlineLevel="0" collapsed="false">
      <c r="J669" s="20" t="str">
        <f aca="false">IF($A669="","",$B669+$C669+$D669-$E669+$F669-$G669)</f>
        <v/>
      </c>
      <c r="K669" s="20" t="str">
        <f aca="false">IF($A669="","",MAX(0,$B669-$J669))</f>
        <v/>
      </c>
      <c r="L669" s="20" t="str">
        <f aca="false">IF($A669="","",IF($B669=0,0,$K669/$B669))</f>
        <v/>
      </c>
      <c r="M669" s="20" t="str">
        <f aca="false">IF($A669="","",IF($J669&lt;0,"BORCA BATIK",IF($I669&lt;$H669,"BORCA BATIK",IF($L669&gt;=TtkUcteIkiEsik,"2/3 KAYIP (KRİTİK)",IF($L669&gt;=TtkUcteBirEsik,"1/3 KAYIP (DİKKAT)","UYGUN")))))</f>
        <v/>
      </c>
      <c r="U669" s="20" t="str">
        <f aca="false">IF($N669="","",$Q669*$R669)</f>
        <v/>
      </c>
    </row>
    <row r="670" customFormat="false" ht="15" hidden="false" customHeight="false" outlineLevel="0" collapsed="false">
      <c r="J670" s="20" t="str">
        <f aca="false">IF($A670="","",$B670+$C670+$D670-$E670+$F670-$G670)</f>
        <v/>
      </c>
      <c r="K670" s="20" t="str">
        <f aca="false">IF($A670="","",MAX(0,$B670-$J670))</f>
        <v/>
      </c>
      <c r="L670" s="20" t="str">
        <f aca="false">IF($A670="","",IF($B670=0,0,$K670/$B670))</f>
        <v/>
      </c>
      <c r="M670" s="20" t="str">
        <f aca="false">IF($A670="","",IF($J670&lt;0,"BORCA BATIK",IF($I670&lt;$H670,"BORCA BATIK",IF($L670&gt;=TtkUcteIkiEsik,"2/3 KAYIP (KRİTİK)",IF($L670&gt;=TtkUcteBirEsik,"1/3 KAYIP (DİKKAT)","UYGUN")))))</f>
        <v/>
      </c>
      <c r="U670" s="20" t="str">
        <f aca="false">IF($N670="","",$Q670*$R670)</f>
        <v/>
      </c>
    </row>
    <row r="671" customFormat="false" ht="15" hidden="false" customHeight="false" outlineLevel="0" collapsed="false">
      <c r="J671" s="20" t="str">
        <f aca="false">IF($A671="","",$B671+$C671+$D671-$E671+$F671-$G671)</f>
        <v/>
      </c>
      <c r="K671" s="20" t="str">
        <f aca="false">IF($A671="","",MAX(0,$B671-$J671))</f>
        <v/>
      </c>
      <c r="L671" s="20" t="str">
        <f aca="false">IF($A671="","",IF($B671=0,0,$K671/$B671))</f>
        <v/>
      </c>
      <c r="M671" s="20" t="str">
        <f aca="false">IF($A671="","",IF($J671&lt;0,"BORCA BATIK",IF($I671&lt;$H671,"BORCA BATIK",IF($L671&gt;=TtkUcteIkiEsik,"2/3 KAYIP (KRİTİK)",IF($L671&gt;=TtkUcteBirEsik,"1/3 KAYIP (DİKKAT)","UYGUN")))))</f>
        <v/>
      </c>
      <c r="U671" s="20" t="str">
        <f aca="false">IF($N671="","",$Q671*$R671)</f>
        <v/>
      </c>
    </row>
    <row r="672" customFormat="false" ht="15" hidden="false" customHeight="false" outlineLevel="0" collapsed="false">
      <c r="J672" s="20" t="str">
        <f aca="false">IF($A672="","",$B672+$C672+$D672-$E672+$F672-$G672)</f>
        <v/>
      </c>
      <c r="K672" s="20" t="str">
        <f aca="false">IF($A672="","",MAX(0,$B672-$J672))</f>
        <v/>
      </c>
      <c r="L672" s="20" t="str">
        <f aca="false">IF($A672="","",IF($B672=0,0,$K672/$B672))</f>
        <v/>
      </c>
      <c r="M672" s="20" t="str">
        <f aca="false">IF($A672="","",IF($J672&lt;0,"BORCA BATIK",IF($I672&lt;$H672,"BORCA BATIK",IF($L672&gt;=TtkUcteIkiEsik,"2/3 KAYIP (KRİTİK)",IF($L672&gt;=TtkUcteBirEsik,"1/3 KAYIP (DİKKAT)","UYGUN")))))</f>
        <v/>
      </c>
      <c r="U672" s="20" t="str">
        <f aca="false">IF($N672="","",$Q672*$R672)</f>
        <v/>
      </c>
    </row>
    <row r="673" customFormat="false" ht="15" hidden="false" customHeight="false" outlineLevel="0" collapsed="false">
      <c r="J673" s="20" t="str">
        <f aca="false">IF($A673="","",$B673+$C673+$D673-$E673+$F673-$G673)</f>
        <v/>
      </c>
      <c r="K673" s="20" t="str">
        <f aca="false">IF($A673="","",MAX(0,$B673-$J673))</f>
        <v/>
      </c>
      <c r="L673" s="20" t="str">
        <f aca="false">IF($A673="","",IF($B673=0,0,$K673/$B673))</f>
        <v/>
      </c>
      <c r="M673" s="20" t="str">
        <f aca="false">IF($A673="","",IF($J673&lt;0,"BORCA BATIK",IF($I673&lt;$H673,"BORCA BATIK",IF($L673&gt;=TtkUcteIkiEsik,"2/3 KAYIP (KRİTİK)",IF($L673&gt;=TtkUcteBirEsik,"1/3 KAYIP (DİKKAT)","UYGUN")))))</f>
        <v/>
      </c>
      <c r="U673" s="20" t="str">
        <f aca="false">IF($N673="","",$Q673*$R673)</f>
        <v/>
      </c>
    </row>
    <row r="674" customFormat="false" ht="15" hidden="false" customHeight="false" outlineLevel="0" collapsed="false">
      <c r="J674" s="20" t="str">
        <f aca="false">IF($A674="","",$B674+$C674+$D674-$E674+$F674-$G674)</f>
        <v/>
      </c>
      <c r="K674" s="20" t="str">
        <f aca="false">IF($A674="","",MAX(0,$B674-$J674))</f>
        <v/>
      </c>
      <c r="L674" s="20" t="str">
        <f aca="false">IF($A674="","",IF($B674=0,0,$K674/$B674))</f>
        <v/>
      </c>
      <c r="M674" s="20" t="str">
        <f aca="false">IF($A674="","",IF($J674&lt;0,"BORCA BATIK",IF($I674&lt;$H674,"BORCA BATIK",IF($L674&gt;=TtkUcteIkiEsik,"2/3 KAYIP (KRİTİK)",IF($L674&gt;=TtkUcteBirEsik,"1/3 KAYIP (DİKKAT)","UYGUN")))))</f>
        <v/>
      </c>
      <c r="U674" s="20" t="str">
        <f aca="false">IF($N674="","",$Q674*$R674)</f>
        <v/>
      </c>
    </row>
    <row r="675" customFormat="false" ht="15" hidden="false" customHeight="false" outlineLevel="0" collapsed="false">
      <c r="J675" s="20" t="str">
        <f aca="false">IF($A675="","",$B675+$C675+$D675-$E675+$F675-$G675)</f>
        <v/>
      </c>
      <c r="K675" s="20" t="str">
        <f aca="false">IF($A675="","",MAX(0,$B675-$J675))</f>
        <v/>
      </c>
      <c r="L675" s="20" t="str">
        <f aca="false">IF($A675="","",IF($B675=0,0,$K675/$B675))</f>
        <v/>
      </c>
      <c r="M675" s="20" t="str">
        <f aca="false">IF($A675="","",IF($J675&lt;0,"BORCA BATIK",IF($I675&lt;$H675,"BORCA BATIK",IF($L675&gt;=TtkUcteIkiEsik,"2/3 KAYIP (KRİTİK)",IF($L675&gt;=TtkUcteBirEsik,"1/3 KAYIP (DİKKAT)","UYGUN")))))</f>
        <v/>
      </c>
      <c r="U675" s="20" t="str">
        <f aca="false">IF($N675="","",$Q675*$R675)</f>
        <v/>
      </c>
    </row>
    <row r="676" customFormat="false" ht="15" hidden="false" customHeight="false" outlineLevel="0" collapsed="false">
      <c r="J676" s="20" t="str">
        <f aca="false">IF($A676="","",$B676+$C676+$D676-$E676+$F676-$G676)</f>
        <v/>
      </c>
      <c r="K676" s="20" t="str">
        <f aca="false">IF($A676="","",MAX(0,$B676-$J676))</f>
        <v/>
      </c>
      <c r="L676" s="20" t="str">
        <f aca="false">IF($A676="","",IF($B676=0,0,$K676/$B676))</f>
        <v/>
      </c>
      <c r="M676" s="20" t="str">
        <f aca="false">IF($A676="","",IF($J676&lt;0,"BORCA BATIK",IF($I676&lt;$H676,"BORCA BATIK",IF($L676&gt;=TtkUcteIkiEsik,"2/3 KAYIP (KRİTİK)",IF($L676&gt;=TtkUcteBirEsik,"1/3 KAYIP (DİKKAT)","UYGUN")))))</f>
        <v/>
      </c>
      <c r="U676" s="20" t="str">
        <f aca="false">IF($N676="","",$Q676*$R676)</f>
        <v/>
      </c>
    </row>
    <row r="677" customFormat="false" ht="15" hidden="false" customHeight="false" outlineLevel="0" collapsed="false">
      <c r="J677" s="20" t="str">
        <f aca="false">IF($A677="","",$B677+$C677+$D677-$E677+$F677-$G677)</f>
        <v/>
      </c>
      <c r="K677" s="20" t="str">
        <f aca="false">IF($A677="","",MAX(0,$B677-$J677))</f>
        <v/>
      </c>
      <c r="L677" s="20" t="str">
        <f aca="false">IF($A677="","",IF($B677=0,0,$K677/$B677))</f>
        <v/>
      </c>
      <c r="M677" s="20" t="str">
        <f aca="false">IF($A677="","",IF($J677&lt;0,"BORCA BATIK",IF($I677&lt;$H677,"BORCA BATIK",IF($L677&gt;=TtkUcteIkiEsik,"2/3 KAYIP (KRİTİK)",IF($L677&gt;=TtkUcteBirEsik,"1/3 KAYIP (DİKKAT)","UYGUN")))))</f>
        <v/>
      </c>
      <c r="U677" s="20" t="str">
        <f aca="false">IF($N677="","",$Q677*$R677)</f>
        <v/>
      </c>
    </row>
    <row r="678" customFormat="false" ht="15" hidden="false" customHeight="false" outlineLevel="0" collapsed="false">
      <c r="J678" s="20" t="str">
        <f aca="false">IF($A678="","",$B678+$C678+$D678-$E678+$F678-$G678)</f>
        <v/>
      </c>
      <c r="K678" s="20" t="str">
        <f aca="false">IF($A678="","",MAX(0,$B678-$J678))</f>
        <v/>
      </c>
      <c r="L678" s="20" t="str">
        <f aca="false">IF($A678="","",IF($B678=0,0,$K678/$B678))</f>
        <v/>
      </c>
      <c r="M678" s="20" t="str">
        <f aca="false">IF($A678="","",IF($J678&lt;0,"BORCA BATIK",IF($I678&lt;$H678,"BORCA BATIK",IF($L678&gt;=TtkUcteIkiEsik,"2/3 KAYIP (KRİTİK)",IF($L678&gt;=TtkUcteBirEsik,"1/3 KAYIP (DİKKAT)","UYGUN")))))</f>
        <v/>
      </c>
      <c r="U678" s="20" t="str">
        <f aca="false">IF($N678="","",$Q678*$R678)</f>
        <v/>
      </c>
    </row>
    <row r="679" customFormat="false" ht="15" hidden="false" customHeight="false" outlineLevel="0" collapsed="false">
      <c r="J679" s="20" t="str">
        <f aca="false">IF($A679="","",$B679+$C679+$D679-$E679+$F679-$G679)</f>
        <v/>
      </c>
      <c r="K679" s="20" t="str">
        <f aca="false">IF($A679="","",MAX(0,$B679-$J679))</f>
        <v/>
      </c>
      <c r="L679" s="20" t="str">
        <f aca="false">IF($A679="","",IF($B679=0,0,$K679/$B679))</f>
        <v/>
      </c>
      <c r="M679" s="20" t="str">
        <f aca="false">IF($A679="","",IF($J679&lt;0,"BORCA BATIK",IF($I679&lt;$H679,"BORCA BATIK",IF($L679&gt;=TtkUcteIkiEsik,"2/3 KAYIP (KRİTİK)",IF($L679&gt;=TtkUcteBirEsik,"1/3 KAYIP (DİKKAT)","UYGUN")))))</f>
        <v/>
      </c>
      <c r="U679" s="20" t="str">
        <f aca="false">IF($N679="","",$Q679*$R679)</f>
        <v/>
      </c>
    </row>
    <row r="680" customFormat="false" ht="15" hidden="false" customHeight="false" outlineLevel="0" collapsed="false">
      <c r="J680" s="20" t="str">
        <f aca="false">IF($A680="","",$B680+$C680+$D680-$E680+$F680-$G680)</f>
        <v/>
      </c>
      <c r="K680" s="20" t="str">
        <f aca="false">IF($A680="","",MAX(0,$B680-$J680))</f>
        <v/>
      </c>
      <c r="L680" s="20" t="str">
        <f aca="false">IF($A680="","",IF($B680=0,0,$K680/$B680))</f>
        <v/>
      </c>
      <c r="M680" s="20" t="str">
        <f aca="false">IF($A680="","",IF($J680&lt;0,"BORCA BATIK",IF($I680&lt;$H680,"BORCA BATIK",IF($L680&gt;=TtkUcteIkiEsik,"2/3 KAYIP (KRİTİK)",IF($L680&gt;=TtkUcteBirEsik,"1/3 KAYIP (DİKKAT)","UYGUN")))))</f>
        <v/>
      </c>
      <c r="U680" s="20" t="str">
        <f aca="false">IF($N680="","",$Q680*$R680)</f>
        <v/>
      </c>
    </row>
    <row r="681" customFormat="false" ht="15" hidden="false" customHeight="false" outlineLevel="0" collapsed="false">
      <c r="J681" s="20" t="str">
        <f aca="false">IF($A681="","",$B681+$C681+$D681-$E681+$F681-$G681)</f>
        <v/>
      </c>
      <c r="K681" s="20" t="str">
        <f aca="false">IF($A681="","",MAX(0,$B681-$J681))</f>
        <v/>
      </c>
      <c r="L681" s="20" t="str">
        <f aca="false">IF($A681="","",IF($B681=0,0,$K681/$B681))</f>
        <v/>
      </c>
      <c r="M681" s="20" t="str">
        <f aca="false">IF($A681="","",IF($J681&lt;0,"BORCA BATIK",IF($I681&lt;$H681,"BORCA BATIK",IF($L681&gt;=TtkUcteIkiEsik,"2/3 KAYIP (KRİTİK)",IF($L681&gt;=TtkUcteBirEsik,"1/3 KAYIP (DİKKAT)","UYGUN")))))</f>
        <v/>
      </c>
      <c r="U681" s="20" t="str">
        <f aca="false">IF($N681="","",$Q681*$R681)</f>
        <v/>
      </c>
    </row>
    <row r="682" customFormat="false" ht="15" hidden="false" customHeight="false" outlineLevel="0" collapsed="false">
      <c r="J682" s="20" t="str">
        <f aca="false">IF($A682="","",$B682+$C682+$D682-$E682+$F682-$G682)</f>
        <v/>
      </c>
      <c r="K682" s="20" t="str">
        <f aca="false">IF($A682="","",MAX(0,$B682-$J682))</f>
        <v/>
      </c>
      <c r="L682" s="20" t="str">
        <f aca="false">IF($A682="","",IF($B682=0,0,$K682/$B682))</f>
        <v/>
      </c>
      <c r="M682" s="20" t="str">
        <f aca="false">IF($A682="","",IF($J682&lt;0,"BORCA BATIK",IF($I682&lt;$H682,"BORCA BATIK",IF($L682&gt;=TtkUcteIkiEsik,"2/3 KAYIP (KRİTİK)",IF($L682&gt;=TtkUcteBirEsik,"1/3 KAYIP (DİKKAT)","UYGUN")))))</f>
        <v/>
      </c>
      <c r="U682" s="20" t="str">
        <f aca="false">IF($N682="","",$Q682*$R682)</f>
        <v/>
      </c>
    </row>
    <row r="683" customFormat="false" ht="15" hidden="false" customHeight="false" outlineLevel="0" collapsed="false">
      <c r="J683" s="20" t="str">
        <f aca="false">IF($A683="","",$B683+$C683+$D683-$E683+$F683-$G683)</f>
        <v/>
      </c>
      <c r="K683" s="20" t="str">
        <f aca="false">IF($A683="","",MAX(0,$B683-$J683))</f>
        <v/>
      </c>
      <c r="L683" s="20" t="str">
        <f aca="false">IF($A683="","",IF($B683=0,0,$K683/$B683))</f>
        <v/>
      </c>
      <c r="M683" s="20" t="str">
        <f aca="false">IF($A683="","",IF($J683&lt;0,"BORCA BATIK",IF($I683&lt;$H683,"BORCA BATIK",IF($L683&gt;=TtkUcteIkiEsik,"2/3 KAYIP (KRİTİK)",IF($L683&gt;=TtkUcteBirEsik,"1/3 KAYIP (DİKKAT)","UYGUN")))))</f>
        <v/>
      </c>
      <c r="U683" s="20" t="str">
        <f aca="false">IF($N683="","",$Q683*$R683)</f>
        <v/>
      </c>
    </row>
    <row r="684" customFormat="false" ht="15" hidden="false" customHeight="false" outlineLevel="0" collapsed="false">
      <c r="J684" s="20" t="str">
        <f aca="false">IF($A684="","",$B684+$C684+$D684-$E684+$F684-$G684)</f>
        <v/>
      </c>
      <c r="K684" s="20" t="str">
        <f aca="false">IF($A684="","",MAX(0,$B684-$J684))</f>
        <v/>
      </c>
      <c r="L684" s="20" t="str">
        <f aca="false">IF($A684="","",IF($B684=0,0,$K684/$B684))</f>
        <v/>
      </c>
      <c r="M684" s="20" t="str">
        <f aca="false">IF($A684="","",IF($J684&lt;0,"BORCA BATIK",IF($I684&lt;$H684,"BORCA BATIK",IF($L684&gt;=TtkUcteIkiEsik,"2/3 KAYIP (KRİTİK)",IF($L684&gt;=TtkUcteBirEsik,"1/3 KAYIP (DİKKAT)","UYGUN")))))</f>
        <v/>
      </c>
      <c r="U684" s="20" t="str">
        <f aca="false">IF($N684="","",$Q684*$R684)</f>
        <v/>
      </c>
    </row>
    <row r="685" customFormat="false" ht="15" hidden="false" customHeight="false" outlineLevel="0" collapsed="false">
      <c r="J685" s="20" t="str">
        <f aca="false">IF($A685="","",$B685+$C685+$D685-$E685+$F685-$G685)</f>
        <v/>
      </c>
      <c r="K685" s="20" t="str">
        <f aca="false">IF($A685="","",MAX(0,$B685-$J685))</f>
        <v/>
      </c>
      <c r="L685" s="20" t="str">
        <f aca="false">IF($A685="","",IF($B685=0,0,$K685/$B685))</f>
        <v/>
      </c>
      <c r="M685" s="20" t="str">
        <f aca="false">IF($A685="","",IF($J685&lt;0,"BORCA BATIK",IF($I685&lt;$H685,"BORCA BATIK",IF($L685&gt;=TtkUcteIkiEsik,"2/3 KAYIP (KRİTİK)",IF($L685&gt;=TtkUcteBirEsik,"1/3 KAYIP (DİKKAT)","UYGUN")))))</f>
        <v/>
      </c>
      <c r="U685" s="20" t="str">
        <f aca="false">IF($N685="","",$Q685*$R685)</f>
        <v/>
      </c>
    </row>
    <row r="686" customFormat="false" ht="15" hidden="false" customHeight="false" outlineLevel="0" collapsed="false">
      <c r="J686" s="20" t="str">
        <f aca="false">IF($A686="","",$B686+$C686+$D686-$E686+$F686-$G686)</f>
        <v/>
      </c>
      <c r="K686" s="20" t="str">
        <f aca="false">IF($A686="","",MAX(0,$B686-$J686))</f>
        <v/>
      </c>
      <c r="L686" s="20" t="str">
        <f aca="false">IF($A686="","",IF($B686=0,0,$K686/$B686))</f>
        <v/>
      </c>
      <c r="M686" s="20" t="str">
        <f aca="false">IF($A686="","",IF($J686&lt;0,"BORCA BATIK",IF($I686&lt;$H686,"BORCA BATIK",IF($L686&gt;=TtkUcteIkiEsik,"2/3 KAYIP (KRİTİK)",IF($L686&gt;=TtkUcteBirEsik,"1/3 KAYIP (DİKKAT)","UYGUN")))))</f>
        <v/>
      </c>
      <c r="U686" s="20" t="str">
        <f aca="false">IF($N686="","",$Q686*$R686)</f>
        <v/>
      </c>
    </row>
    <row r="687" customFormat="false" ht="15" hidden="false" customHeight="false" outlineLevel="0" collapsed="false">
      <c r="J687" s="20" t="str">
        <f aca="false">IF($A687="","",$B687+$C687+$D687-$E687+$F687-$G687)</f>
        <v/>
      </c>
      <c r="K687" s="20" t="str">
        <f aca="false">IF($A687="","",MAX(0,$B687-$J687))</f>
        <v/>
      </c>
      <c r="L687" s="20" t="str">
        <f aca="false">IF($A687="","",IF($B687=0,0,$K687/$B687))</f>
        <v/>
      </c>
      <c r="M687" s="20" t="str">
        <f aca="false">IF($A687="","",IF($J687&lt;0,"BORCA BATIK",IF($I687&lt;$H687,"BORCA BATIK",IF($L687&gt;=TtkUcteIkiEsik,"2/3 KAYIP (KRİTİK)",IF($L687&gt;=TtkUcteBirEsik,"1/3 KAYIP (DİKKAT)","UYGUN")))))</f>
        <v/>
      </c>
      <c r="U687" s="20" t="str">
        <f aca="false">IF($N687="","",$Q687*$R687)</f>
        <v/>
      </c>
    </row>
    <row r="688" customFormat="false" ht="15" hidden="false" customHeight="false" outlineLevel="0" collapsed="false">
      <c r="J688" s="20" t="str">
        <f aca="false">IF($A688="","",$B688+$C688+$D688-$E688+$F688-$G688)</f>
        <v/>
      </c>
      <c r="K688" s="20" t="str">
        <f aca="false">IF($A688="","",MAX(0,$B688-$J688))</f>
        <v/>
      </c>
      <c r="L688" s="20" t="str">
        <f aca="false">IF($A688="","",IF($B688=0,0,$K688/$B688))</f>
        <v/>
      </c>
      <c r="M688" s="20" t="str">
        <f aca="false">IF($A688="","",IF($J688&lt;0,"BORCA BATIK",IF($I688&lt;$H688,"BORCA BATIK",IF($L688&gt;=TtkUcteIkiEsik,"2/3 KAYIP (KRİTİK)",IF($L688&gt;=TtkUcteBirEsik,"1/3 KAYIP (DİKKAT)","UYGUN")))))</f>
        <v/>
      </c>
      <c r="U688" s="20" t="str">
        <f aca="false">IF($N688="","",$Q688*$R688)</f>
        <v/>
      </c>
    </row>
    <row r="689" customFormat="false" ht="15" hidden="false" customHeight="false" outlineLevel="0" collapsed="false">
      <c r="J689" s="20" t="str">
        <f aca="false">IF($A689="","",$B689+$C689+$D689-$E689+$F689-$G689)</f>
        <v/>
      </c>
      <c r="K689" s="20" t="str">
        <f aca="false">IF($A689="","",MAX(0,$B689-$J689))</f>
        <v/>
      </c>
      <c r="L689" s="20" t="str">
        <f aca="false">IF($A689="","",IF($B689=0,0,$K689/$B689))</f>
        <v/>
      </c>
      <c r="M689" s="20" t="str">
        <f aca="false">IF($A689="","",IF($J689&lt;0,"BORCA BATIK",IF($I689&lt;$H689,"BORCA BATIK",IF($L689&gt;=TtkUcteIkiEsik,"2/3 KAYIP (KRİTİK)",IF($L689&gt;=TtkUcteBirEsik,"1/3 KAYIP (DİKKAT)","UYGUN")))))</f>
        <v/>
      </c>
      <c r="U689" s="20" t="str">
        <f aca="false">IF($N689="","",$Q689*$R689)</f>
        <v/>
      </c>
    </row>
    <row r="690" customFormat="false" ht="15" hidden="false" customHeight="false" outlineLevel="0" collapsed="false">
      <c r="J690" s="20" t="str">
        <f aca="false">IF($A690="","",$B690+$C690+$D690-$E690+$F690-$G690)</f>
        <v/>
      </c>
      <c r="K690" s="20" t="str">
        <f aca="false">IF($A690="","",MAX(0,$B690-$J690))</f>
        <v/>
      </c>
      <c r="L690" s="20" t="str">
        <f aca="false">IF($A690="","",IF($B690=0,0,$K690/$B690))</f>
        <v/>
      </c>
      <c r="M690" s="20" t="str">
        <f aca="false">IF($A690="","",IF($J690&lt;0,"BORCA BATIK",IF($I690&lt;$H690,"BORCA BATIK",IF($L690&gt;=TtkUcteIkiEsik,"2/3 KAYIP (KRİTİK)",IF($L690&gt;=TtkUcteBirEsik,"1/3 KAYIP (DİKKAT)","UYGUN")))))</f>
        <v/>
      </c>
      <c r="U690" s="20" t="str">
        <f aca="false">IF($N690="","",$Q690*$R690)</f>
        <v/>
      </c>
    </row>
    <row r="691" customFormat="false" ht="15" hidden="false" customHeight="false" outlineLevel="0" collapsed="false">
      <c r="J691" s="20" t="str">
        <f aca="false">IF($A691="","",$B691+$C691+$D691-$E691+$F691-$G691)</f>
        <v/>
      </c>
      <c r="K691" s="20" t="str">
        <f aca="false">IF($A691="","",MAX(0,$B691-$J691))</f>
        <v/>
      </c>
      <c r="L691" s="20" t="str">
        <f aca="false">IF($A691="","",IF($B691=0,0,$K691/$B691))</f>
        <v/>
      </c>
      <c r="M691" s="20" t="str">
        <f aca="false">IF($A691="","",IF($J691&lt;0,"BORCA BATIK",IF($I691&lt;$H691,"BORCA BATIK",IF($L691&gt;=TtkUcteIkiEsik,"2/3 KAYIP (KRİTİK)",IF($L691&gt;=TtkUcteBirEsik,"1/3 KAYIP (DİKKAT)","UYGUN")))))</f>
        <v/>
      </c>
      <c r="U691" s="20" t="str">
        <f aca="false">IF($N691="","",$Q691*$R691)</f>
        <v/>
      </c>
    </row>
    <row r="692" customFormat="false" ht="15" hidden="false" customHeight="false" outlineLevel="0" collapsed="false">
      <c r="J692" s="20" t="str">
        <f aca="false">IF($A692="","",$B692+$C692+$D692-$E692+$F692-$G692)</f>
        <v/>
      </c>
      <c r="K692" s="20" t="str">
        <f aca="false">IF($A692="","",MAX(0,$B692-$J692))</f>
        <v/>
      </c>
      <c r="L692" s="20" t="str">
        <f aca="false">IF($A692="","",IF($B692=0,0,$K692/$B692))</f>
        <v/>
      </c>
      <c r="M692" s="20" t="str">
        <f aca="false">IF($A692="","",IF($J692&lt;0,"BORCA BATIK",IF($I692&lt;$H692,"BORCA BATIK",IF($L692&gt;=TtkUcteIkiEsik,"2/3 KAYIP (KRİTİK)",IF($L692&gt;=TtkUcteBirEsik,"1/3 KAYIP (DİKKAT)","UYGUN")))))</f>
        <v/>
      </c>
      <c r="U692" s="20" t="str">
        <f aca="false">IF($N692="","",$Q692*$R692)</f>
        <v/>
      </c>
    </row>
    <row r="693" customFormat="false" ht="15" hidden="false" customHeight="false" outlineLevel="0" collapsed="false">
      <c r="J693" s="20" t="str">
        <f aca="false">IF($A693="","",$B693+$C693+$D693-$E693+$F693-$G693)</f>
        <v/>
      </c>
      <c r="K693" s="20" t="str">
        <f aca="false">IF($A693="","",MAX(0,$B693-$J693))</f>
        <v/>
      </c>
      <c r="L693" s="20" t="str">
        <f aca="false">IF($A693="","",IF($B693=0,0,$K693/$B693))</f>
        <v/>
      </c>
      <c r="M693" s="20" t="str">
        <f aca="false">IF($A693="","",IF($J693&lt;0,"BORCA BATIK",IF($I693&lt;$H693,"BORCA BATIK",IF($L693&gt;=TtkUcteIkiEsik,"2/3 KAYIP (KRİTİK)",IF($L693&gt;=TtkUcteBirEsik,"1/3 KAYIP (DİKKAT)","UYGUN")))))</f>
        <v/>
      </c>
      <c r="U693" s="20" t="str">
        <f aca="false">IF($N693="","",$Q693*$R693)</f>
        <v/>
      </c>
    </row>
    <row r="694" customFormat="false" ht="15" hidden="false" customHeight="false" outlineLevel="0" collapsed="false">
      <c r="J694" s="20" t="str">
        <f aca="false">IF($A694="","",$B694+$C694+$D694-$E694+$F694-$G694)</f>
        <v/>
      </c>
      <c r="K694" s="20" t="str">
        <f aca="false">IF($A694="","",MAX(0,$B694-$J694))</f>
        <v/>
      </c>
      <c r="L694" s="20" t="str">
        <f aca="false">IF($A694="","",IF($B694=0,0,$K694/$B694))</f>
        <v/>
      </c>
      <c r="M694" s="20" t="str">
        <f aca="false">IF($A694="","",IF($J694&lt;0,"BORCA BATIK",IF($I694&lt;$H694,"BORCA BATIK",IF($L694&gt;=TtkUcteIkiEsik,"2/3 KAYIP (KRİTİK)",IF($L694&gt;=TtkUcteBirEsik,"1/3 KAYIP (DİKKAT)","UYGUN")))))</f>
        <v/>
      </c>
      <c r="U694" s="20" t="str">
        <f aca="false">IF($N694="","",$Q694*$R694)</f>
        <v/>
      </c>
    </row>
    <row r="695" customFormat="false" ht="15" hidden="false" customHeight="false" outlineLevel="0" collapsed="false">
      <c r="J695" s="20" t="str">
        <f aca="false">IF($A695="","",$B695+$C695+$D695-$E695+$F695-$G695)</f>
        <v/>
      </c>
      <c r="K695" s="20" t="str">
        <f aca="false">IF($A695="","",MAX(0,$B695-$J695))</f>
        <v/>
      </c>
      <c r="L695" s="20" t="str">
        <f aca="false">IF($A695="","",IF($B695=0,0,$K695/$B695))</f>
        <v/>
      </c>
      <c r="M695" s="20" t="str">
        <f aca="false">IF($A695="","",IF($J695&lt;0,"BORCA BATIK",IF($I695&lt;$H695,"BORCA BATIK",IF($L695&gt;=TtkUcteIkiEsik,"2/3 KAYIP (KRİTİK)",IF($L695&gt;=TtkUcteBirEsik,"1/3 KAYIP (DİKKAT)","UYGUN")))))</f>
        <v/>
      </c>
      <c r="U695" s="20" t="str">
        <f aca="false">IF($N695="","",$Q695*$R695)</f>
        <v/>
      </c>
    </row>
    <row r="696" customFormat="false" ht="15" hidden="false" customHeight="false" outlineLevel="0" collapsed="false">
      <c r="J696" s="20" t="str">
        <f aca="false">IF($A696="","",$B696+$C696+$D696-$E696+$F696-$G696)</f>
        <v/>
      </c>
      <c r="K696" s="20" t="str">
        <f aca="false">IF($A696="","",MAX(0,$B696-$J696))</f>
        <v/>
      </c>
      <c r="L696" s="20" t="str">
        <f aca="false">IF($A696="","",IF($B696=0,0,$K696/$B696))</f>
        <v/>
      </c>
      <c r="M696" s="20" t="str">
        <f aca="false">IF($A696="","",IF($J696&lt;0,"BORCA BATIK",IF($I696&lt;$H696,"BORCA BATIK",IF($L696&gt;=TtkUcteIkiEsik,"2/3 KAYIP (KRİTİK)",IF($L696&gt;=TtkUcteBirEsik,"1/3 KAYIP (DİKKAT)","UYGUN")))))</f>
        <v/>
      </c>
      <c r="U696" s="20" t="str">
        <f aca="false">IF($N696="","",$Q696*$R696)</f>
        <v/>
      </c>
    </row>
    <row r="697" customFormat="false" ht="15" hidden="false" customHeight="false" outlineLevel="0" collapsed="false">
      <c r="J697" s="20" t="str">
        <f aca="false">IF($A697="","",$B697+$C697+$D697-$E697+$F697-$G697)</f>
        <v/>
      </c>
      <c r="K697" s="20" t="str">
        <f aca="false">IF($A697="","",MAX(0,$B697-$J697))</f>
        <v/>
      </c>
      <c r="L697" s="20" t="str">
        <f aca="false">IF($A697="","",IF($B697=0,0,$K697/$B697))</f>
        <v/>
      </c>
      <c r="M697" s="20" t="str">
        <f aca="false">IF($A697="","",IF($J697&lt;0,"BORCA BATIK",IF($I697&lt;$H697,"BORCA BATIK",IF($L697&gt;=TtkUcteIkiEsik,"2/3 KAYIP (KRİTİK)",IF($L697&gt;=TtkUcteBirEsik,"1/3 KAYIP (DİKKAT)","UYGUN")))))</f>
        <v/>
      </c>
      <c r="U697" s="20" t="str">
        <f aca="false">IF($N697="","",$Q697*$R697)</f>
        <v/>
      </c>
    </row>
    <row r="698" customFormat="false" ht="15" hidden="false" customHeight="false" outlineLevel="0" collapsed="false">
      <c r="J698" s="20" t="str">
        <f aca="false">IF($A698="","",$B698+$C698+$D698-$E698+$F698-$G698)</f>
        <v/>
      </c>
      <c r="K698" s="20" t="str">
        <f aca="false">IF($A698="","",MAX(0,$B698-$J698))</f>
        <v/>
      </c>
      <c r="L698" s="20" t="str">
        <f aca="false">IF($A698="","",IF($B698=0,0,$K698/$B698))</f>
        <v/>
      </c>
      <c r="M698" s="20" t="str">
        <f aca="false">IF($A698="","",IF($J698&lt;0,"BORCA BATIK",IF($I698&lt;$H698,"BORCA BATIK",IF($L698&gt;=TtkUcteIkiEsik,"2/3 KAYIP (KRİTİK)",IF($L698&gt;=TtkUcteBirEsik,"1/3 KAYIP (DİKKAT)","UYGUN")))))</f>
        <v/>
      </c>
      <c r="U698" s="20" t="str">
        <f aca="false">IF($N698="","",$Q698*$R698)</f>
        <v/>
      </c>
    </row>
    <row r="699" customFormat="false" ht="15" hidden="false" customHeight="false" outlineLevel="0" collapsed="false">
      <c r="J699" s="20" t="str">
        <f aca="false">IF($A699="","",$B699+$C699+$D699-$E699+$F699-$G699)</f>
        <v/>
      </c>
      <c r="K699" s="20" t="str">
        <f aca="false">IF($A699="","",MAX(0,$B699-$J699))</f>
        <v/>
      </c>
      <c r="L699" s="20" t="str">
        <f aca="false">IF($A699="","",IF($B699=0,0,$K699/$B699))</f>
        <v/>
      </c>
      <c r="M699" s="20" t="str">
        <f aca="false">IF($A699="","",IF($J699&lt;0,"BORCA BATIK",IF($I699&lt;$H699,"BORCA BATIK",IF($L699&gt;=TtkUcteIkiEsik,"2/3 KAYIP (KRİTİK)",IF($L699&gt;=TtkUcteBirEsik,"1/3 KAYIP (DİKKAT)","UYGUN")))))</f>
        <v/>
      </c>
      <c r="U699" s="20" t="str">
        <f aca="false">IF($N699="","",$Q699*$R699)</f>
        <v/>
      </c>
    </row>
    <row r="700" customFormat="false" ht="15" hidden="false" customHeight="false" outlineLevel="0" collapsed="false">
      <c r="J700" s="20" t="str">
        <f aca="false">IF($A700="","",$B700+$C700+$D700-$E700+$F700-$G700)</f>
        <v/>
      </c>
      <c r="K700" s="20" t="str">
        <f aca="false">IF($A700="","",MAX(0,$B700-$J700))</f>
        <v/>
      </c>
      <c r="L700" s="20" t="str">
        <f aca="false">IF($A700="","",IF($B700=0,0,$K700/$B700))</f>
        <v/>
      </c>
      <c r="M700" s="20" t="str">
        <f aca="false">IF($A700="","",IF($J700&lt;0,"BORCA BATIK",IF($I700&lt;$H700,"BORCA BATIK",IF($L700&gt;=TtkUcteIkiEsik,"2/3 KAYIP (KRİTİK)",IF($L700&gt;=TtkUcteBirEsik,"1/3 KAYIP (DİKKAT)","UYGUN")))))</f>
        <v/>
      </c>
      <c r="U700" s="20" t="str">
        <f aca="false">IF($N700="","",$Q700*$R700)</f>
        <v/>
      </c>
    </row>
    <row r="701" customFormat="false" ht="15" hidden="false" customHeight="false" outlineLevel="0" collapsed="false">
      <c r="J701" s="20" t="str">
        <f aca="false">IF($A701="","",$B701+$C701+$D701-$E701+$F701-$G701)</f>
        <v/>
      </c>
      <c r="K701" s="20" t="str">
        <f aca="false">IF($A701="","",MAX(0,$B701-$J701))</f>
        <v/>
      </c>
      <c r="L701" s="20" t="str">
        <f aca="false">IF($A701="","",IF($B701=0,0,$K701/$B701))</f>
        <v/>
      </c>
      <c r="M701" s="20" t="str">
        <f aca="false">IF($A701="","",IF($J701&lt;0,"BORCA BATIK",IF($I701&lt;$H701,"BORCA BATIK",IF($L701&gt;=TtkUcteIkiEsik,"2/3 KAYIP (KRİTİK)",IF($L701&gt;=TtkUcteBirEsik,"1/3 KAYIP (DİKKAT)","UYGUN")))))</f>
        <v/>
      </c>
      <c r="U701" s="20" t="str">
        <f aca="false">IF($N701="","",$Q701*$R701)</f>
        <v/>
      </c>
    </row>
    <row r="702" customFormat="false" ht="15" hidden="false" customHeight="false" outlineLevel="0" collapsed="false">
      <c r="J702" s="20" t="str">
        <f aca="false">IF($A702="","",$B702+$C702+$D702-$E702+$F702-$G702)</f>
        <v/>
      </c>
      <c r="K702" s="20" t="str">
        <f aca="false">IF($A702="","",MAX(0,$B702-$J702))</f>
        <v/>
      </c>
      <c r="L702" s="20" t="str">
        <f aca="false">IF($A702="","",IF($B702=0,0,$K702/$B702))</f>
        <v/>
      </c>
      <c r="M702" s="20" t="str">
        <f aca="false">IF($A702="","",IF($J702&lt;0,"BORCA BATIK",IF($I702&lt;$H702,"BORCA BATIK",IF($L702&gt;=TtkUcteIkiEsik,"2/3 KAYIP (KRİTİK)",IF($L702&gt;=TtkUcteBirEsik,"1/3 KAYIP (DİKKAT)","UYGUN")))))</f>
        <v/>
      </c>
      <c r="U702" s="20" t="str">
        <f aca="false">IF($N702="","",$Q702*$R702)</f>
        <v/>
      </c>
    </row>
    <row r="703" customFormat="false" ht="15" hidden="false" customHeight="false" outlineLevel="0" collapsed="false">
      <c r="J703" s="20" t="str">
        <f aca="false">IF($A703="","",$B703+$C703+$D703-$E703+$F703-$G703)</f>
        <v/>
      </c>
      <c r="K703" s="20" t="str">
        <f aca="false">IF($A703="","",MAX(0,$B703-$J703))</f>
        <v/>
      </c>
      <c r="L703" s="20" t="str">
        <f aca="false">IF($A703="","",IF($B703=0,0,$K703/$B703))</f>
        <v/>
      </c>
      <c r="M703" s="20" t="str">
        <f aca="false">IF($A703="","",IF($J703&lt;0,"BORCA BATIK",IF($I703&lt;$H703,"BORCA BATIK",IF($L703&gt;=TtkUcteIkiEsik,"2/3 KAYIP (KRİTİK)",IF($L703&gt;=TtkUcteBirEsik,"1/3 KAYIP (DİKKAT)","UYGUN")))))</f>
        <v/>
      </c>
      <c r="U703" s="20" t="str">
        <f aca="false">IF($N703="","",$Q703*$R703)</f>
        <v/>
      </c>
    </row>
    <row r="704" customFormat="false" ht="15" hidden="false" customHeight="false" outlineLevel="0" collapsed="false">
      <c r="J704" s="20" t="str">
        <f aca="false">IF($A704="","",$B704+$C704+$D704-$E704+$F704-$G704)</f>
        <v/>
      </c>
      <c r="K704" s="20" t="str">
        <f aca="false">IF($A704="","",MAX(0,$B704-$J704))</f>
        <v/>
      </c>
      <c r="L704" s="20" t="str">
        <f aca="false">IF($A704="","",IF($B704=0,0,$K704/$B704))</f>
        <v/>
      </c>
      <c r="M704" s="20" t="str">
        <f aca="false">IF($A704="","",IF($J704&lt;0,"BORCA BATIK",IF($I704&lt;$H704,"BORCA BATIK",IF($L704&gt;=TtkUcteIkiEsik,"2/3 KAYIP (KRİTİK)",IF($L704&gt;=TtkUcteBirEsik,"1/3 KAYIP (DİKKAT)","UYGUN")))))</f>
        <v/>
      </c>
      <c r="U704" s="20" t="str">
        <f aca="false">IF($N704="","",$Q704*$R704)</f>
        <v/>
      </c>
    </row>
    <row r="705" customFormat="false" ht="15" hidden="false" customHeight="false" outlineLevel="0" collapsed="false">
      <c r="J705" s="20" t="str">
        <f aca="false">IF($A705="","",$B705+$C705+$D705-$E705+$F705-$G705)</f>
        <v/>
      </c>
      <c r="K705" s="20" t="str">
        <f aca="false">IF($A705="","",MAX(0,$B705-$J705))</f>
        <v/>
      </c>
      <c r="L705" s="20" t="str">
        <f aca="false">IF($A705="","",IF($B705=0,0,$K705/$B705))</f>
        <v/>
      </c>
      <c r="M705" s="20" t="str">
        <f aca="false">IF($A705="","",IF($J705&lt;0,"BORCA BATIK",IF($I705&lt;$H705,"BORCA BATIK",IF($L705&gt;=TtkUcteIkiEsik,"2/3 KAYIP (KRİTİK)",IF($L705&gt;=TtkUcteBirEsik,"1/3 KAYIP (DİKKAT)","UYGUN")))))</f>
        <v/>
      </c>
      <c r="U705" s="20" t="str">
        <f aca="false">IF($N705="","",$Q705*$R705)</f>
        <v/>
      </c>
    </row>
    <row r="706" customFormat="false" ht="15" hidden="false" customHeight="false" outlineLevel="0" collapsed="false">
      <c r="J706" s="20" t="str">
        <f aca="false">IF($A706="","",$B706+$C706+$D706-$E706+$F706-$G706)</f>
        <v/>
      </c>
      <c r="K706" s="20" t="str">
        <f aca="false">IF($A706="","",MAX(0,$B706-$J706))</f>
        <v/>
      </c>
      <c r="L706" s="20" t="str">
        <f aca="false">IF($A706="","",IF($B706=0,0,$K706/$B706))</f>
        <v/>
      </c>
      <c r="M706" s="20" t="str">
        <f aca="false">IF($A706="","",IF($J706&lt;0,"BORCA BATIK",IF($I706&lt;$H706,"BORCA BATIK",IF($L706&gt;=TtkUcteIkiEsik,"2/3 KAYIP (KRİTİK)",IF($L706&gt;=TtkUcteBirEsik,"1/3 KAYIP (DİKKAT)","UYGUN")))))</f>
        <v/>
      </c>
      <c r="U706" s="20" t="str">
        <f aca="false">IF($N706="","",$Q706*$R706)</f>
        <v/>
      </c>
    </row>
    <row r="707" customFormat="false" ht="15" hidden="false" customHeight="false" outlineLevel="0" collapsed="false">
      <c r="J707" s="20" t="str">
        <f aca="false">IF($A707="","",$B707+$C707+$D707-$E707+$F707-$G707)</f>
        <v/>
      </c>
      <c r="K707" s="20" t="str">
        <f aca="false">IF($A707="","",MAX(0,$B707-$J707))</f>
        <v/>
      </c>
      <c r="L707" s="20" t="str">
        <f aca="false">IF($A707="","",IF($B707=0,0,$K707/$B707))</f>
        <v/>
      </c>
      <c r="M707" s="20" t="str">
        <f aca="false">IF($A707="","",IF($J707&lt;0,"BORCA BATIK",IF($I707&lt;$H707,"BORCA BATIK",IF($L707&gt;=TtkUcteIkiEsik,"2/3 KAYIP (KRİTİK)",IF($L707&gt;=TtkUcteBirEsik,"1/3 KAYIP (DİKKAT)","UYGUN")))))</f>
        <v/>
      </c>
      <c r="U707" s="20" t="str">
        <f aca="false">IF($N707="","",$Q707*$R707)</f>
        <v/>
      </c>
    </row>
    <row r="708" customFormat="false" ht="15" hidden="false" customHeight="false" outlineLevel="0" collapsed="false">
      <c r="J708" s="20" t="str">
        <f aca="false">IF($A708="","",$B708+$C708+$D708-$E708+$F708-$G708)</f>
        <v/>
      </c>
      <c r="K708" s="20" t="str">
        <f aca="false">IF($A708="","",MAX(0,$B708-$J708))</f>
        <v/>
      </c>
      <c r="L708" s="20" t="str">
        <f aca="false">IF($A708="","",IF($B708=0,0,$K708/$B708))</f>
        <v/>
      </c>
      <c r="M708" s="20" t="str">
        <f aca="false">IF($A708="","",IF($J708&lt;0,"BORCA BATIK",IF($I708&lt;$H708,"BORCA BATIK",IF($L708&gt;=TtkUcteIkiEsik,"2/3 KAYIP (KRİTİK)",IF($L708&gt;=TtkUcteBirEsik,"1/3 KAYIP (DİKKAT)","UYGUN")))))</f>
        <v/>
      </c>
      <c r="U708" s="20" t="str">
        <f aca="false">IF($N708="","",$Q708*$R708)</f>
        <v/>
      </c>
    </row>
    <row r="709" customFormat="false" ht="15" hidden="false" customHeight="false" outlineLevel="0" collapsed="false">
      <c r="J709" s="20" t="str">
        <f aca="false">IF($A709="","",$B709+$C709+$D709-$E709+$F709-$G709)</f>
        <v/>
      </c>
      <c r="K709" s="20" t="str">
        <f aca="false">IF($A709="","",MAX(0,$B709-$J709))</f>
        <v/>
      </c>
      <c r="L709" s="20" t="str">
        <f aca="false">IF($A709="","",IF($B709=0,0,$K709/$B709))</f>
        <v/>
      </c>
      <c r="M709" s="20" t="str">
        <f aca="false">IF($A709="","",IF($J709&lt;0,"BORCA BATIK",IF($I709&lt;$H709,"BORCA BATIK",IF($L709&gt;=TtkUcteIkiEsik,"2/3 KAYIP (KRİTİK)",IF($L709&gt;=TtkUcteBirEsik,"1/3 KAYIP (DİKKAT)","UYGUN")))))</f>
        <v/>
      </c>
      <c r="U709" s="20" t="str">
        <f aca="false">IF($N709="","",$Q709*$R709)</f>
        <v/>
      </c>
    </row>
    <row r="710" customFormat="false" ht="15" hidden="false" customHeight="false" outlineLevel="0" collapsed="false">
      <c r="J710" s="20" t="str">
        <f aca="false">IF($A710="","",$B710+$C710+$D710-$E710+$F710-$G710)</f>
        <v/>
      </c>
      <c r="K710" s="20" t="str">
        <f aca="false">IF($A710="","",MAX(0,$B710-$J710))</f>
        <v/>
      </c>
      <c r="L710" s="20" t="str">
        <f aca="false">IF($A710="","",IF($B710=0,0,$K710/$B710))</f>
        <v/>
      </c>
      <c r="M710" s="20" t="str">
        <f aca="false">IF($A710="","",IF($J710&lt;0,"BORCA BATIK",IF($I710&lt;$H710,"BORCA BATIK",IF($L710&gt;=TtkUcteIkiEsik,"2/3 KAYIP (KRİTİK)",IF($L710&gt;=TtkUcteBirEsik,"1/3 KAYIP (DİKKAT)","UYGUN")))))</f>
        <v/>
      </c>
      <c r="U710" s="20" t="str">
        <f aca="false">IF($N710="","",$Q710*$R710)</f>
        <v/>
      </c>
    </row>
    <row r="711" customFormat="false" ht="15" hidden="false" customHeight="false" outlineLevel="0" collapsed="false">
      <c r="J711" s="20" t="str">
        <f aca="false">IF($A711="","",$B711+$C711+$D711-$E711+$F711-$G711)</f>
        <v/>
      </c>
      <c r="K711" s="20" t="str">
        <f aca="false">IF($A711="","",MAX(0,$B711-$J711))</f>
        <v/>
      </c>
      <c r="L711" s="20" t="str">
        <f aca="false">IF($A711="","",IF($B711=0,0,$K711/$B711))</f>
        <v/>
      </c>
      <c r="M711" s="20" t="str">
        <f aca="false">IF($A711="","",IF($J711&lt;0,"BORCA BATIK",IF($I711&lt;$H711,"BORCA BATIK",IF($L711&gt;=TtkUcteIkiEsik,"2/3 KAYIP (KRİTİK)",IF($L711&gt;=TtkUcteBirEsik,"1/3 KAYIP (DİKKAT)","UYGUN")))))</f>
        <v/>
      </c>
      <c r="U711" s="20" t="str">
        <f aca="false">IF($N711="","",$Q711*$R711)</f>
        <v/>
      </c>
    </row>
    <row r="712" customFormat="false" ht="15" hidden="false" customHeight="false" outlineLevel="0" collapsed="false">
      <c r="J712" s="20" t="str">
        <f aca="false">IF($A712="","",$B712+$C712+$D712-$E712+$F712-$G712)</f>
        <v/>
      </c>
      <c r="K712" s="20" t="str">
        <f aca="false">IF($A712="","",MAX(0,$B712-$J712))</f>
        <v/>
      </c>
      <c r="L712" s="20" t="str">
        <f aca="false">IF($A712="","",IF($B712=0,0,$K712/$B712))</f>
        <v/>
      </c>
      <c r="M712" s="20" t="str">
        <f aca="false">IF($A712="","",IF($J712&lt;0,"BORCA BATIK",IF($I712&lt;$H712,"BORCA BATIK",IF($L712&gt;=TtkUcteIkiEsik,"2/3 KAYIP (KRİTİK)",IF($L712&gt;=TtkUcteBirEsik,"1/3 KAYIP (DİKKAT)","UYGUN")))))</f>
        <v/>
      </c>
      <c r="U712" s="20" t="str">
        <f aca="false">IF($N712="","",$Q712*$R712)</f>
        <v/>
      </c>
    </row>
    <row r="713" customFormat="false" ht="15" hidden="false" customHeight="false" outlineLevel="0" collapsed="false">
      <c r="J713" s="20" t="str">
        <f aca="false">IF($A713="","",$B713+$C713+$D713-$E713+$F713-$G713)</f>
        <v/>
      </c>
      <c r="K713" s="20" t="str">
        <f aca="false">IF($A713="","",MAX(0,$B713-$J713))</f>
        <v/>
      </c>
      <c r="L713" s="20" t="str">
        <f aca="false">IF($A713="","",IF($B713=0,0,$K713/$B713))</f>
        <v/>
      </c>
      <c r="M713" s="20" t="str">
        <f aca="false">IF($A713="","",IF($J713&lt;0,"BORCA BATIK",IF($I713&lt;$H713,"BORCA BATIK",IF($L713&gt;=TtkUcteIkiEsik,"2/3 KAYIP (KRİTİK)",IF($L713&gt;=TtkUcteBirEsik,"1/3 KAYIP (DİKKAT)","UYGUN")))))</f>
        <v/>
      </c>
      <c r="U713" s="20" t="str">
        <f aca="false">IF($N713="","",$Q713*$R713)</f>
        <v/>
      </c>
    </row>
    <row r="714" customFormat="false" ht="15" hidden="false" customHeight="false" outlineLevel="0" collapsed="false">
      <c r="J714" s="20" t="str">
        <f aca="false">IF($A714="","",$B714+$C714+$D714-$E714+$F714-$G714)</f>
        <v/>
      </c>
      <c r="K714" s="20" t="str">
        <f aca="false">IF($A714="","",MAX(0,$B714-$J714))</f>
        <v/>
      </c>
      <c r="L714" s="20" t="str">
        <f aca="false">IF($A714="","",IF($B714=0,0,$K714/$B714))</f>
        <v/>
      </c>
      <c r="M714" s="20" t="str">
        <f aca="false">IF($A714="","",IF($J714&lt;0,"BORCA BATIK",IF($I714&lt;$H714,"BORCA BATIK",IF($L714&gt;=TtkUcteIkiEsik,"2/3 KAYIP (KRİTİK)",IF($L714&gt;=TtkUcteBirEsik,"1/3 KAYIP (DİKKAT)","UYGUN")))))</f>
        <v/>
      </c>
      <c r="U714" s="20" t="str">
        <f aca="false">IF($N714="","",$Q714*$R714)</f>
        <v/>
      </c>
    </row>
    <row r="715" customFormat="false" ht="15" hidden="false" customHeight="false" outlineLevel="0" collapsed="false">
      <c r="J715" s="20" t="str">
        <f aca="false">IF($A715="","",$B715+$C715+$D715-$E715+$F715-$G715)</f>
        <v/>
      </c>
      <c r="K715" s="20" t="str">
        <f aca="false">IF($A715="","",MAX(0,$B715-$J715))</f>
        <v/>
      </c>
      <c r="L715" s="20" t="str">
        <f aca="false">IF($A715="","",IF($B715=0,0,$K715/$B715))</f>
        <v/>
      </c>
      <c r="M715" s="20" t="str">
        <f aca="false">IF($A715="","",IF($J715&lt;0,"BORCA BATIK",IF($I715&lt;$H715,"BORCA BATIK",IF($L715&gt;=TtkUcteIkiEsik,"2/3 KAYIP (KRİTİK)",IF($L715&gt;=TtkUcteBirEsik,"1/3 KAYIP (DİKKAT)","UYGUN")))))</f>
        <v/>
      </c>
      <c r="U715" s="20" t="str">
        <f aca="false">IF($N715="","",$Q715*$R715)</f>
        <v/>
      </c>
    </row>
    <row r="716" customFormat="false" ht="15" hidden="false" customHeight="false" outlineLevel="0" collapsed="false">
      <c r="J716" s="20" t="str">
        <f aca="false">IF($A716="","",$B716+$C716+$D716-$E716+$F716-$G716)</f>
        <v/>
      </c>
      <c r="K716" s="20" t="str">
        <f aca="false">IF($A716="","",MAX(0,$B716-$J716))</f>
        <v/>
      </c>
      <c r="L716" s="20" t="str">
        <f aca="false">IF($A716="","",IF($B716=0,0,$K716/$B716))</f>
        <v/>
      </c>
      <c r="M716" s="20" t="str">
        <f aca="false">IF($A716="","",IF($J716&lt;0,"BORCA BATIK",IF($I716&lt;$H716,"BORCA BATIK",IF($L716&gt;=TtkUcteIkiEsik,"2/3 KAYIP (KRİTİK)",IF($L716&gt;=TtkUcteBirEsik,"1/3 KAYIP (DİKKAT)","UYGUN")))))</f>
        <v/>
      </c>
      <c r="U716" s="20" t="str">
        <f aca="false">IF($N716="","",$Q716*$R716)</f>
        <v/>
      </c>
    </row>
    <row r="717" customFormat="false" ht="15" hidden="false" customHeight="false" outlineLevel="0" collapsed="false">
      <c r="J717" s="20" t="str">
        <f aca="false">IF($A717="","",$B717+$C717+$D717-$E717+$F717-$G717)</f>
        <v/>
      </c>
      <c r="K717" s="20" t="str">
        <f aca="false">IF($A717="","",MAX(0,$B717-$J717))</f>
        <v/>
      </c>
      <c r="L717" s="20" t="str">
        <f aca="false">IF($A717="","",IF($B717=0,0,$K717/$B717))</f>
        <v/>
      </c>
      <c r="M717" s="20" t="str">
        <f aca="false">IF($A717="","",IF($J717&lt;0,"BORCA BATIK",IF($I717&lt;$H717,"BORCA BATIK",IF($L717&gt;=TtkUcteIkiEsik,"2/3 KAYIP (KRİTİK)",IF($L717&gt;=TtkUcteBirEsik,"1/3 KAYIP (DİKKAT)","UYGUN")))))</f>
        <v/>
      </c>
      <c r="U717" s="20" t="str">
        <f aca="false">IF($N717="","",$Q717*$R717)</f>
        <v/>
      </c>
    </row>
    <row r="718" customFormat="false" ht="15" hidden="false" customHeight="false" outlineLevel="0" collapsed="false">
      <c r="J718" s="20" t="str">
        <f aca="false">IF($A718="","",$B718+$C718+$D718-$E718+$F718-$G718)</f>
        <v/>
      </c>
      <c r="K718" s="20" t="str">
        <f aca="false">IF($A718="","",MAX(0,$B718-$J718))</f>
        <v/>
      </c>
      <c r="L718" s="20" t="str">
        <f aca="false">IF($A718="","",IF($B718=0,0,$K718/$B718))</f>
        <v/>
      </c>
      <c r="M718" s="20" t="str">
        <f aca="false">IF($A718="","",IF($J718&lt;0,"BORCA BATIK",IF($I718&lt;$H718,"BORCA BATIK",IF($L718&gt;=TtkUcteIkiEsik,"2/3 KAYIP (KRİTİK)",IF($L718&gt;=TtkUcteBirEsik,"1/3 KAYIP (DİKKAT)","UYGUN")))))</f>
        <v/>
      </c>
      <c r="U718" s="20" t="str">
        <f aca="false">IF($N718="","",$Q718*$R718)</f>
        <v/>
      </c>
    </row>
    <row r="719" customFormat="false" ht="15" hidden="false" customHeight="false" outlineLevel="0" collapsed="false">
      <c r="J719" s="20" t="str">
        <f aca="false">IF($A719="","",$B719+$C719+$D719-$E719+$F719-$G719)</f>
        <v/>
      </c>
      <c r="K719" s="20" t="str">
        <f aca="false">IF($A719="","",MAX(0,$B719-$J719))</f>
        <v/>
      </c>
      <c r="L719" s="20" t="str">
        <f aca="false">IF($A719="","",IF($B719=0,0,$K719/$B719))</f>
        <v/>
      </c>
      <c r="M719" s="20" t="str">
        <f aca="false">IF($A719="","",IF($J719&lt;0,"BORCA BATIK",IF($I719&lt;$H719,"BORCA BATIK",IF($L719&gt;=TtkUcteIkiEsik,"2/3 KAYIP (KRİTİK)",IF($L719&gt;=TtkUcteBirEsik,"1/3 KAYIP (DİKKAT)","UYGUN")))))</f>
        <v/>
      </c>
      <c r="U719" s="20" t="str">
        <f aca="false">IF($N719="","",$Q719*$R719)</f>
        <v/>
      </c>
    </row>
    <row r="720" customFormat="false" ht="15" hidden="false" customHeight="false" outlineLevel="0" collapsed="false">
      <c r="J720" s="20" t="str">
        <f aca="false">IF($A720="","",$B720+$C720+$D720-$E720+$F720-$G720)</f>
        <v/>
      </c>
      <c r="K720" s="20" t="str">
        <f aca="false">IF($A720="","",MAX(0,$B720-$J720))</f>
        <v/>
      </c>
      <c r="L720" s="20" t="str">
        <f aca="false">IF($A720="","",IF($B720=0,0,$K720/$B720))</f>
        <v/>
      </c>
      <c r="M720" s="20" t="str">
        <f aca="false">IF($A720="","",IF($J720&lt;0,"BORCA BATIK",IF($I720&lt;$H720,"BORCA BATIK",IF($L720&gt;=TtkUcteIkiEsik,"2/3 KAYIP (KRİTİK)",IF($L720&gt;=TtkUcteBirEsik,"1/3 KAYIP (DİKKAT)","UYGUN")))))</f>
        <v/>
      </c>
      <c r="U720" s="20" t="str">
        <f aca="false">IF($N720="","",$Q720*$R720)</f>
        <v/>
      </c>
    </row>
    <row r="721" customFormat="false" ht="15" hidden="false" customHeight="false" outlineLevel="0" collapsed="false">
      <c r="J721" s="20" t="str">
        <f aca="false">IF($A721="","",$B721+$C721+$D721-$E721+$F721-$G721)</f>
        <v/>
      </c>
      <c r="K721" s="20" t="str">
        <f aca="false">IF($A721="","",MAX(0,$B721-$J721))</f>
        <v/>
      </c>
      <c r="L721" s="20" t="str">
        <f aca="false">IF($A721="","",IF($B721=0,0,$K721/$B721))</f>
        <v/>
      </c>
      <c r="M721" s="20" t="str">
        <f aca="false">IF($A721="","",IF($J721&lt;0,"BORCA BATIK",IF($I721&lt;$H721,"BORCA BATIK",IF($L721&gt;=TtkUcteIkiEsik,"2/3 KAYIP (KRİTİK)",IF($L721&gt;=TtkUcteBirEsik,"1/3 KAYIP (DİKKAT)","UYGUN")))))</f>
        <v/>
      </c>
      <c r="U721" s="20" t="str">
        <f aca="false">IF($N721="","",$Q721*$R721)</f>
        <v/>
      </c>
    </row>
    <row r="722" customFormat="false" ht="15" hidden="false" customHeight="false" outlineLevel="0" collapsed="false">
      <c r="J722" s="20" t="str">
        <f aca="false">IF($A722="","",$B722+$C722+$D722-$E722+$F722-$G722)</f>
        <v/>
      </c>
      <c r="K722" s="20" t="str">
        <f aca="false">IF($A722="","",MAX(0,$B722-$J722))</f>
        <v/>
      </c>
      <c r="L722" s="20" t="str">
        <f aca="false">IF($A722="","",IF($B722=0,0,$K722/$B722))</f>
        <v/>
      </c>
      <c r="M722" s="20" t="str">
        <f aca="false">IF($A722="","",IF($J722&lt;0,"BORCA BATIK",IF($I722&lt;$H722,"BORCA BATIK",IF($L722&gt;=TtkUcteIkiEsik,"2/3 KAYIP (KRİTİK)",IF($L722&gt;=TtkUcteBirEsik,"1/3 KAYIP (DİKKAT)","UYGUN")))))</f>
        <v/>
      </c>
      <c r="U722" s="20" t="str">
        <f aca="false">IF($N722="","",$Q722*$R722)</f>
        <v/>
      </c>
    </row>
    <row r="723" customFormat="false" ht="15" hidden="false" customHeight="false" outlineLevel="0" collapsed="false">
      <c r="J723" s="20" t="str">
        <f aca="false">IF($A723="","",$B723+$C723+$D723-$E723+$F723-$G723)</f>
        <v/>
      </c>
      <c r="K723" s="20" t="str">
        <f aca="false">IF($A723="","",MAX(0,$B723-$J723))</f>
        <v/>
      </c>
      <c r="L723" s="20" t="str">
        <f aca="false">IF($A723="","",IF($B723=0,0,$K723/$B723))</f>
        <v/>
      </c>
      <c r="M723" s="20" t="str">
        <f aca="false">IF($A723="","",IF($J723&lt;0,"BORCA BATIK",IF($I723&lt;$H723,"BORCA BATIK",IF($L723&gt;=TtkUcteIkiEsik,"2/3 KAYIP (KRİTİK)",IF($L723&gt;=TtkUcteBirEsik,"1/3 KAYIP (DİKKAT)","UYGUN")))))</f>
        <v/>
      </c>
      <c r="U723" s="20" t="str">
        <f aca="false">IF($N723="","",$Q723*$R723)</f>
        <v/>
      </c>
    </row>
    <row r="724" customFormat="false" ht="15" hidden="false" customHeight="false" outlineLevel="0" collapsed="false">
      <c r="J724" s="20" t="str">
        <f aca="false">IF($A724="","",$B724+$C724+$D724-$E724+$F724-$G724)</f>
        <v/>
      </c>
      <c r="K724" s="20" t="str">
        <f aca="false">IF($A724="","",MAX(0,$B724-$J724))</f>
        <v/>
      </c>
      <c r="L724" s="20" t="str">
        <f aca="false">IF($A724="","",IF($B724=0,0,$K724/$B724))</f>
        <v/>
      </c>
      <c r="M724" s="20" t="str">
        <f aca="false">IF($A724="","",IF($J724&lt;0,"BORCA BATIK",IF($I724&lt;$H724,"BORCA BATIK",IF($L724&gt;=TtkUcteIkiEsik,"2/3 KAYIP (KRİTİK)",IF($L724&gt;=TtkUcteBirEsik,"1/3 KAYIP (DİKKAT)","UYGUN")))))</f>
        <v/>
      </c>
      <c r="U724" s="20" t="str">
        <f aca="false">IF($N724="","",$Q724*$R724)</f>
        <v/>
      </c>
    </row>
    <row r="725" customFormat="false" ht="15" hidden="false" customHeight="false" outlineLevel="0" collapsed="false">
      <c r="J725" s="20" t="str">
        <f aca="false">IF($A725="","",$B725+$C725+$D725-$E725+$F725-$G725)</f>
        <v/>
      </c>
      <c r="K725" s="20" t="str">
        <f aca="false">IF($A725="","",MAX(0,$B725-$J725))</f>
        <v/>
      </c>
      <c r="L725" s="20" t="str">
        <f aca="false">IF($A725="","",IF($B725=0,0,$K725/$B725))</f>
        <v/>
      </c>
      <c r="M725" s="20" t="str">
        <f aca="false">IF($A725="","",IF($J725&lt;0,"BORCA BATIK",IF($I725&lt;$H725,"BORCA BATIK",IF($L725&gt;=TtkUcteIkiEsik,"2/3 KAYIP (KRİTİK)",IF($L725&gt;=TtkUcteBirEsik,"1/3 KAYIP (DİKKAT)","UYGUN")))))</f>
        <v/>
      </c>
      <c r="U725" s="20" t="str">
        <f aca="false">IF($N725="","",$Q725*$R725)</f>
        <v/>
      </c>
    </row>
    <row r="726" customFormat="false" ht="15" hidden="false" customHeight="false" outlineLevel="0" collapsed="false">
      <c r="J726" s="20" t="str">
        <f aca="false">IF($A726="","",$B726+$C726+$D726-$E726+$F726-$G726)</f>
        <v/>
      </c>
      <c r="K726" s="20" t="str">
        <f aca="false">IF($A726="","",MAX(0,$B726-$J726))</f>
        <v/>
      </c>
      <c r="L726" s="20" t="str">
        <f aca="false">IF($A726="","",IF($B726=0,0,$K726/$B726))</f>
        <v/>
      </c>
      <c r="M726" s="20" t="str">
        <f aca="false">IF($A726="","",IF($J726&lt;0,"BORCA BATIK",IF($I726&lt;$H726,"BORCA BATIK",IF($L726&gt;=TtkUcteIkiEsik,"2/3 KAYIP (KRİTİK)",IF($L726&gt;=TtkUcteBirEsik,"1/3 KAYIP (DİKKAT)","UYGUN")))))</f>
        <v/>
      </c>
      <c r="U726" s="20" t="str">
        <f aca="false">IF($N726="","",$Q726*$R726)</f>
        <v/>
      </c>
    </row>
    <row r="727" customFormat="false" ht="15" hidden="false" customHeight="false" outlineLevel="0" collapsed="false">
      <c r="J727" s="20" t="str">
        <f aca="false">IF($A727="","",$B727+$C727+$D727-$E727+$F727-$G727)</f>
        <v/>
      </c>
      <c r="K727" s="20" t="str">
        <f aca="false">IF($A727="","",MAX(0,$B727-$J727))</f>
        <v/>
      </c>
      <c r="L727" s="20" t="str">
        <f aca="false">IF($A727="","",IF($B727=0,0,$K727/$B727))</f>
        <v/>
      </c>
      <c r="M727" s="20" t="str">
        <f aca="false">IF($A727="","",IF($J727&lt;0,"BORCA BATIK",IF($I727&lt;$H727,"BORCA BATIK",IF($L727&gt;=TtkUcteIkiEsik,"2/3 KAYIP (KRİTİK)",IF($L727&gt;=TtkUcteBirEsik,"1/3 KAYIP (DİKKAT)","UYGUN")))))</f>
        <v/>
      </c>
      <c r="U727" s="20" t="str">
        <f aca="false">IF($N727="","",$Q727*$R727)</f>
        <v/>
      </c>
    </row>
    <row r="728" customFormat="false" ht="15" hidden="false" customHeight="false" outlineLevel="0" collapsed="false">
      <c r="J728" s="20" t="str">
        <f aca="false">IF($A728="","",$B728+$C728+$D728-$E728+$F728-$G728)</f>
        <v/>
      </c>
      <c r="K728" s="20" t="str">
        <f aca="false">IF($A728="","",MAX(0,$B728-$J728))</f>
        <v/>
      </c>
      <c r="L728" s="20" t="str">
        <f aca="false">IF($A728="","",IF($B728=0,0,$K728/$B728))</f>
        <v/>
      </c>
      <c r="M728" s="20" t="str">
        <f aca="false">IF($A728="","",IF($J728&lt;0,"BORCA BATIK",IF($I728&lt;$H728,"BORCA BATIK",IF($L728&gt;=TtkUcteIkiEsik,"2/3 KAYIP (KRİTİK)",IF($L728&gt;=TtkUcteBirEsik,"1/3 KAYIP (DİKKAT)","UYGUN")))))</f>
        <v/>
      </c>
      <c r="U728" s="20" t="str">
        <f aca="false">IF($N728="","",$Q728*$R728)</f>
        <v/>
      </c>
    </row>
    <row r="729" customFormat="false" ht="15" hidden="false" customHeight="false" outlineLevel="0" collapsed="false">
      <c r="J729" s="20" t="str">
        <f aca="false">IF($A729="","",$B729+$C729+$D729-$E729+$F729-$G729)</f>
        <v/>
      </c>
      <c r="K729" s="20" t="str">
        <f aca="false">IF($A729="","",MAX(0,$B729-$J729))</f>
        <v/>
      </c>
      <c r="L729" s="20" t="str">
        <f aca="false">IF($A729="","",IF($B729=0,0,$K729/$B729))</f>
        <v/>
      </c>
      <c r="M729" s="20" t="str">
        <f aca="false">IF($A729="","",IF($J729&lt;0,"BORCA BATIK",IF($I729&lt;$H729,"BORCA BATIK",IF($L729&gt;=TtkUcteIkiEsik,"2/3 KAYIP (KRİTİK)",IF($L729&gt;=TtkUcteBirEsik,"1/3 KAYIP (DİKKAT)","UYGUN")))))</f>
        <v/>
      </c>
      <c r="U729" s="20" t="str">
        <f aca="false">IF($N729="","",$Q729*$R729)</f>
        <v/>
      </c>
    </row>
    <row r="730" customFormat="false" ht="15" hidden="false" customHeight="false" outlineLevel="0" collapsed="false">
      <c r="J730" s="20" t="str">
        <f aca="false">IF($A730="","",$B730+$C730+$D730-$E730+$F730-$G730)</f>
        <v/>
      </c>
      <c r="K730" s="20" t="str">
        <f aca="false">IF($A730="","",MAX(0,$B730-$J730))</f>
        <v/>
      </c>
      <c r="L730" s="20" t="str">
        <f aca="false">IF($A730="","",IF($B730=0,0,$K730/$B730))</f>
        <v/>
      </c>
      <c r="M730" s="20" t="str">
        <f aca="false">IF($A730="","",IF($J730&lt;0,"BORCA BATIK",IF($I730&lt;$H730,"BORCA BATIK",IF($L730&gt;=TtkUcteIkiEsik,"2/3 KAYIP (KRİTİK)",IF($L730&gt;=TtkUcteBirEsik,"1/3 KAYIP (DİKKAT)","UYGUN")))))</f>
        <v/>
      </c>
      <c r="U730" s="20" t="str">
        <f aca="false">IF($N730="","",$Q730*$R730)</f>
        <v/>
      </c>
    </row>
    <row r="731" customFormat="false" ht="15" hidden="false" customHeight="false" outlineLevel="0" collapsed="false">
      <c r="J731" s="20" t="str">
        <f aca="false">IF($A731="","",$B731+$C731+$D731-$E731+$F731-$G731)</f>
        <v/>
      </c>
      <c r="K731" s="20" t="str">
        <f aca="false">IF($A731="","",MAX(0,$B731-$J731))</f>
        <v/>
      </c>
      <c r="L731" s="20" t="str">
        <f aca="false">IF($A731="","",IF($B731=0,0,$K731/$B731))</f>
        <v/>
      </c>
      <c r="M731" s="20" t="str">
        <f aca="false">IF($A731="","",IF($J731&lt;0,"BORCA BATIK",IF($I731&lt;$H731,"BORCA BATIK",IF($L731&gt;=TtkUcteIkiEsik,"2/3 KAYIP (KRİTİK)",IF($L731&gt;=TtkUcteBirEsik,"1/3 KAYIP (DİKKAT)","UYGUN")))))</f>
        <v/>
      </c>
      <c r="U731" s="20" t="str">
        <f aca="false">IF($N731="","",$Q731*$R731)</f>
        <v/>
      </c>
    </row>
    <row r="732" customFormat="false" ht="15" hidden="false" customHeight="false" outlineLevel="0" collapsed="false">
      <c r="J732" s="20" t="str">
        <f aca="false">IF($A732="","",$B732+$C732+$D732-$E732+$F732-$G732)</f>
        <v/>
      </c>
      <c r="K732" s="20" t="str">
        <f aca="false">IF($A732="","",MAX(0,$B732-$J732))</f>
        <v/>
      </c>
      <c r="L732" s="20" t="str">
        <f aca="false">IF($A732="","",IF($B732=0,0,$K732/$B732))</f>
        <v/>
      </c>
      <c r="M732" s="20" t="str">
        <f aca="false">IF($A732="","",IF($J732&lt;0,"BORCA BATIK",IF($I732&lt;$H732,"BORCA BATIK",IF($L732&gt;=TtkUcteIkiEsik,"2/3 KAYIP (KRİTİK)",IF($L732&gt;=TtkUcteBirEsik,"1/3 KAYIP (DİKKAT)","UYGUN")))))</f>
        <v/>
      </c>
      <c r="U732" s="20" t="str">
        <f aca="false">IF($N732="","",$Q732*$R732)</f>
        <v/>
      </c>
    </row>
    <row r="733" customFormat="false" ht="15" hidden="false" customHeight="false" outlineLevel="0" collapsed="false">
      <c r="J733" s="20" t="str">
        <f aca="false">IF($A733="","",$B733+$C733+$D733-$E733+$F733-$G733)</f>
        <v/>
      </c>
      <c r="K733" s="20" t="str">
        <f aca="false">IF($A733="","",MAX(0,$B733-$J733))</f>
        <v/>
      </c>
      <c r="L733" s="20" t="str">
        <f aca="false">IF($A733="","",IF($B733=0,0,$K733/$B733))</f>
        <v/>
      </c>
      <c r="M733" s="20" t="str">
        <f aca="false">IF($A733="","",IF($J733&lt;0,"BORCA BATIK",IF($I733&lt;$H733,"BORCA BATIK",IF($L733&gt;=TtkUcteIkiEsik,"2/3 KAYIP (KRİTİK)",IF($L733&gt;=TtkUcteBirEsik,"1/3 KAYIP (DİKKAT)","UYGUN")))))</f>
        <v/>
      </c>
      <c r="U733" s="20" t="str">
        <f aca="false">IF($N733="","",$Q733*$R733)</f>
        <v/>
      </c>
    </row>
    <row r="734" customFormat="false" ht="15" hidden="false" customHeight="false" outlineLevel="0" collapsed="false">
      <c r="J734" s="20" t="str">
        <f aca="false">IF($A734="","",$B734+$C734+$D734-$E734+$F734-$G734)</f>
        <v/>
      </c>
      <c r="K734" s="20" t="str">
        <f aca="false">IF($A734="","",MAX(0,$B734-$J734))</f>
        <v/>
      </c>
      <c r="L734" s="20" t="str">
        <f aca="false">IF($A734="","",IF($B734=0,0,$K734/$B734))</f>
        <v/>
      </c>
      <c r="M734" s="20" t="str">
        <f aca="false">IF($A734="","",IF($J734&lt;0,"BORCA BATIK",IF($I734&lt;$H734,"BORCA BATIK",IF($L734&gt;=TtkUcteIkiEsik,"2/3 KAYIP (KRİTİK)",IF($L734&gt;=TtkUcteBirEsik,"1/3 KAYIP (DİKKAT)","UYGUN")))))</f>
        <v/>
      </c>
      <c r="U734" s="20" t="str">
        <f aca="false">IF($N734="","",$Q734*$R734)</f>
        <v/>
      </c>
    </row>
    <row r="735" customFormat="false" ht="15" hidden="false" customHeight="false" outlineLevel="0" collapsed="false">
      <c r="J735" s="20" t="str">
        <f aca="false">IF($A735="","",$B735+$C735+$D735-$E735+$F735-$G735)</f>
        <v/>
      </c>
      <c r="K735" s="20" t="str">
        <f aca="false">IF($A735="","",MAX(0,$B735-$J735))</f>
        <v/>
      </c>
      <c r="L735" s="20" t="str">
        <f aca="false">IF($A735="","",IF($B735=0,0,$K735/$B735))</f>
        <v/>
      </c>
      <c r="M735" s="20" t="str">
        <f aca="false">IF($A735="","",IF($J735&lt;0,"BORCA BATIK",IF($I735&lt;$H735,"BORCA BATIK",IF($L735&gt;=TtkUcteIkiEsik,"2/3 KAYIP (KRİTİK)",IF($L735&gt;=TtkUcteBirEsik,"1/3 KAYIP (DİKKAT)","UYGUN")))))</f>
        <v/>
      </c>
      <c r="U735" s="20" t="str">
        <f aca="false">IF($N735="","",$Q735*$R735)</f>
        <v/>
      </c>
    </row>
    <row r="736" customFormat="false" ht="15" hidden="false" customHeight="false" outlineLevel="0" collapsed="false">
      <c r="J736" s="20" t="str">
        <f aca="false">IF($A736="","",$B736+$C736+$D736-$E736+$F736-$G736)</f>
        <v/>
      </c>
      <c r="K736" s="20" t="str">
        <f aca="false">IF($A736="","",MAX(0,$B736-$J736))</f>
        <v/>
      </c>
      <c r="L736" s="20" t="str">
        <f aca="false">IF($A736="","",IF($B736=0,0,$K736/$B736))</f>
        <v/>
      </c>
      <c r="M736" s="20" t="str">
        <f aca="false">IF($A736="","",IF($J736&lt;0,"BORCA BATIK",IF($I736&lt;$H736,"BORCA BATIK",IF($L736&gt;=TtkUcteIkiEsik,"2/3 KAYIP (KRİTİK)",IF($L736&gt;=TtkUcteBirEsik,"1/3 KAYIP (DİKKAT)","UYGUN")))))</f>
        <v/>
      </c>
      <c r="U736" s="20" t="str">
        <f aca="false">IF($N736="","",$Q736*$R736)</f>
        <v/>
      </c>
    </row>
    <row r="737" customFormat="false" ht="15" hidden="false" customHeight="false" outlineLevel="0" collapsed="false">
      <c r="J737" s="20" t="str">
        <f aca="false">IF($A737="","",$B737+$C737+$D737-$E737+$F737-$G737)</f>
        <v/>
      </c>
      <c r="K737" s="20" t="str">
        <f aca="false">IF($A737="","",MAX(0,$B737-$J737))</f>
        <v/>
      </c>
      <c r="L737" s="20" t="str">
        <f aca="false">IF($A737="","",IF($B737=0,0,$K737/$B737))</f>
        <v/>
      </c>
      <c r="M737" s="20" t="str">
        <f aca="false">IF($A737="","",IF($J737&lt;0,"BORCA BATIK",IF($I737&lt;$H737,"BORCA BATIK",IF($L737&gt;=TtkUcteIkiEsik,"2/3 KAYIP (KRİTİK)",IF($L737&gt;=TtkUcteBirEsik,"1/3 KAYIP (DİKKAT)","UYGUN")))))</f>
        <v/>
      </c>
      <c r="U737" s="20" t="str">
        <f aca="false">IF($N737="","",$Q737*$R737)</f>
        <v/>
      </c>
    </row>
    <row r="738" customFormat="false" ht="15" hidden="false" customHeight="false" outlineLevel="0" collapsed="false">
      <c r="J738" s="20" t="str">
        <f aca="false">IF($A738="","",$B738+$C738+$D738-$E738+$F738-$G738)</f>
        <v/>
      </c>
      <c r="K738" s="20" t="str">
        <f aca="false">IF($A738="","",MAX(0,$B738-$J738))</f>
        <v/>
      </c>
      <c r="L738" s="20" t="str">
        <f aca="false">IF($A738="","",IF($B738=0,0,$K738/$B738))</f>
        <v/>
      </c>
      <c r="M738" s="20" t="str">
        <f aca="false">IF($A738="","",IF($J738&lt;0,"BORCA BATIK",IF($I738&lt;$H738,"BORCA BATIK",IF($L738&gt;=TtkUcteIkiEsik,"2/3 KAYIP (KRİTİK)",IF($L738&gt;=TtkUcteBirEsik,"1/3 KAYIP (DİKKAT)","UYGUN")))))</f>
        <v/>
      </c>
      <c r="U738" s="20" t="str">
        <f aca="false">IF($N738="","",$Q738*$R738)</f>
        <v/>
      </c>
    </row>
    <row r="739" customFormat="false" ht="15" hidden="false" customHeight="false" outlineLevel="0" collapsed="false">
      <c r="J739" s="20" t="str">
        <f aca="false">IF($A739="","",$B739+$C739+$D739-$E739+$F739-$G739)</f>
        <v/>
      </c>
      <c r="K739" s="20" t="str">
        <f aca="false">IF($A739="","",MAX(0,$B739-$J739))</f>
        <v/>
      </c>
      <c r="L739" s="20" t="str">
        <f aca="false">IF($A739="","",IF($B739=0,0,$K739/$B739))</f>
        <v/>
      </c>
      <c r="M739" s="20" t="str">
        <f aca="false">IF($A739="","",IF($J739&lt;0,"BORCA BATIK",IF($I739&lt;$H739,"BORCA BATIK",IF($L739&gt;=TtkUcteIkiEsik,"2/3 KAYIP (KRİTİK)",IF($L739&gt;=TtkUcteBirEsik,"1/3 KAYIP (DİKKAT)","UYGUN")))))</f>
        <v/>
      </c>
      <c r="U739" s="20" t="str">
        <f aca="false">IF($N739="","",$Q739*$R739)</f>
        <v/>
      </c>
    </row>
    <row r="740" customFormat="false" ht="15" hidden="false" customHeight="false" outlineLevel="0" collapsed="false">
      <c r="J740" s="20" t="str">
        <f aca="false">IF($A740="","",$B740+$C740+$D740-$E740+$F740-$G740)</f>
        <v/>
      </c>
      <c r="K740" s="20" t="str">
        <f aca="false">IF($A740="","",MAX(0,$B740-$J740))</f>
        <v/>
      </c>
      <c r="L740" s="20" t="str">
        <f aca="false">IF($A740="","",IF($B740=0,0,$K740/$B740))</f>
        <v/>
      </c>
      <c r="M740" s="20" t="str">
        <f aca="false">IF($A740="","",IF($J740&lt;0,"BORCA BATIK",IF($I740&lt;$H740,"BORCA BATIK",IF($L740&gt;=TtkUcteIkiEsik,"2/3 KAYIP (KRİTİK)",IF($L740&gt;=TtkUcteBirEsik,"1/3 KAYIP (DİKKAT)","UYGUN")))))</f>
        <v/>
      </c>
      <c r="U740" s="20" t="str">
        <f aca="false">IF($N740="","",$Q740*$R740)</f>
        <v/>
      </c>
    </row>
    <row r="741" customFormat="false" ht="15" hidden="false" customHeight="false" outlineLevel="0" collapsed="false">
      <c r="J741" s="20" t="str">
        <f aca="false">IF($A741="","",$B741+$C741+$D741-$E741+$F741-$G741)</f>
        <v/>
      </c>
      <c r="K741" s="20" t="str">
        <f aca="false">IF($A741="","",MAX(0,$B741-$J741))</f>
        <v/>
      </c>
      <c r="L741" s="20" t="str">
        <f aca="false">IF($A741="","",IF($B741=0,0,$K741/$B741))</f>
        <v/>
      </c>
      <c r="M741" s="20" t="str">
        <f aca="false">IF($A741="","",IF($J741&lt;0,"BORCA BATIK",IF($I741&lt;$H741,"BORCA BATIK",IF($L741&gt;=TtkUcteIkiEsik,"2/3 KAYIP (KRİTİK)",IF($L741&gt;=TtkUcteBirEsik,"1/3 KAYIP (DİKKAT)","UYGUN")))))</f>
        <v/>
      </c>
      <c r="U741" s="20" t="str">
        <f aca="false">IF($N741="","",$Q741*$R741)</f>
        <v/>
      </c>
    </row>
    <row r="742" customFormat="false" ht="15" hidden="false" customHeight="false" outlineLevel="0" collapsed="false">
      <c r="J742" s="20" t="str">
        <f aca="false">IF($A742="","",$B742+$C742+$D742-$E742+$F742-$G742)</f>
        <v/>
      </c>
      <c r="K742" s="20" t="str">
        <f aca="false">IF($A742="","",MAX(0,$B742-$J742))</f>
        <v/>
      </c>
      <c r="L742" s="20" t="str">
        <f aca="false">IF($A742="","",IF($B742=0,0,$K742/$B742))</f>
        <v/>
      </c>
      <c r="M742" s="20" t="str">
        <f aca="false">IF($A742="","",IF($J742&lt;0,"BORCA BATIK",IF($I742&lt;$H742,"BORCA BATIK",IF($L742&gt;=TtkUcteIkiEsik,"2/3 KAYIP (KRİTİK)",IF($L742&gt;=TtkUcteBirEsik,"1/3 KAYIP (DİKKAT)","UYGUN")))))</f>
        <v/>
      </c>
      <c r="U742" s="20" t="str">
        <f aca="false">IF($N742="","",$Q742*$R742)</f>
        <v/>
      </c>
    </row>
    <row r="743" customFormat="false" ht="15" hidden="false" customHeight="false" outlineLevel="0" collapsed="false">
      <c r="J743" s="20" t="str">
        <f aca="false">IF($A743="","",$B743+$C743+$D743-$E743+$F743-$G743)</f>
        <v/>
      </c>
      <c r="K743" s="20" t="str">
        <f aca="false">IF($A743="","",MAX(0,$B743-$J743))</f>
        <v/>
      </c>
      <c r="L743" s="20" t="str">
        <f aca="false">IF($A743="","",IF($B743=0,0,$K743/$B743))</f>
        <v/>
      </c>
      <c r="M743" s="20" t="str">
        <f aca="false">IF($A743="","",IF($J743&lt;0,"BORCA BATIK",IF($I743&lt;$H743,"BORCA BATIK",IF($L743&gt;=TtkUcteIkiEsik,"2/3 KAYIP (KRİTİK)",IF($L743&gt;=TtkUcteBirEsik,"1/3 KAYIP (DİKKAT)","UYGUN")))))</f>
        <v/>
      </c>
      <c r="U743" s="20" t="str">
        <f aca="false">IF($N743="","",$Q743*$R743)</f>
        <v/>
      </c>
    </row>
    <row r="744" customFormat="false" ht="15" hidden="false" customHeight="false" outlineLevel="0" collapsed="false">
      <c r="J744" s="20" t="str">
        <f aca="false">IF($A744="","",$B744+$C744+$D744-$E744+$F744-$G744)</f>
        <v/>
      </c>
      <c r="K744" s="20" t="str">
        <f aca="false">IF($A744="","",MAX(0,$B744-$J744))</f>
        <v/>
      </c>
      <c r="L744" s="20" t="str">
        <f aca="false">IF($A744="","",IF($B744=0,0,$K744/$B744))</f>
        <v/>
      </c>
      <c r="M744" s="20" t="str">
        <f aca="false">IF($A744="","",IF($J744&lt;0,"BORCA BATIK",IF($I744&lt;$H744,"BORCA BATIK",IF($L744&gt;=TtkUcteIkiEsik,"2/3 KAYIP (KRİTİK)",IF($L744&gt;=TtkUcteBirEsik,"1/3 KAYIP (DİKKAT)","UYGUN")))))</f>
        <v/>
      </c>
      <c r="U744" s="20" t="str">
        <f aca="false">IF($N744="","",$Q744*$R744)</f>
        <v/>
      </c>
    </row>
    <row r="745" customFormat="false" ht="15" hidden="false" customHeight="false" outlineLevel="0" collapsed="false">
      <c r="J745" s="20" t="str">
        <f aca="false">IF($A745="","",$B745+$C745+$D745-$E745+$F745-$G745)</f>
        <v/>
      </c>
      <c r="K745" s="20" t="str">
        <f aca="false">IF($A745="","",MAX(0,$B745-$J745))</f>
        <v/>
      </c>
      <c r="L745" s="20" t="str">
        <f aca="false">IF($A745="","",IF($B745=0,0,$K745/$B745))</f>
        <v/>
      </c>
      <c r="M745" s="20" t="str">
        <f aca="false">IF($A745="","",IF($J745&lt;0,"BORCA BATIK",IF($I745&lt;$H745,"BORCA BATIK",IF($L745&gt;=TtkUcteIkiEsik,"2/3 KAYIP (KRİTİK)",IF($L745&gt;=TtkUcteBirEsik,"1/3 KAYIP (DİKKAT)","UYGUN")))))</f>
        <v/>
      </c>
      <c r="U745" s="20" t="str">
        <f aca="false">IF($N745="","",$Q745*$R745)</f>
        <v/>
      </c>
    </row>
    <row r="746" customFormat="false" ht="15" hidden="false" customHeight="false" outlineLevel="0" collapsed="false">
      <c r="J746" s="20" t="str">
        <f aca="false">IF($A746="","",$B746+$C746+$D746-$E746+$F746-$G746)</f>
        <v/>
      </c>
      <c r="K746" s="20" t="str">
        <f aca="false">IF($A746="","",MAX(0,$B746-$J746))</f>
        <v/>
      </c>
      <c r="L746" s="20" t="str">
        <f aca="false">IF($A746="","",IF($B746=0,0,$K746/$B746))</f>
        <v/>
      </c>
      <c r="M746" s="20" t="str">
        <f aca="false">IF($A746="","",IF($J746&lt;0,"BORCA BATIK",IF($I746&lt;$H746,"BORCA BATIK",IF($L746&gt;=TtkUcteIkiEsik,"2/3 KAYIP (KRİTİK)",IF($L746&gt;=TtkUcteBirEsik,"1/3 KAYIP (DİKKAT)","UYGUN")))))</f>
        <v/>
      </c>
      <c r="U746" s="20" t="str">
        <f aca="false">IF($N746="","",$Q746*$R746)</f>
        <v/>
      </c>
    </row>
    <row r="747" customFormat="false" ht="15" hidden="false" customHeight="false" outlineLevel="0" collapsed="false">
      <c r="J747" s="20" t="str">
        <f aca="false">IF($A747="","",$B747+$C747+$D747-$E747+$F747-$G747)</f>
        <v/>
      </c>
      <c r="K747" s="20" t="str">
        <f aca="false">IF($A747="","",MAX(0,$B747-$J747))</f>
        <v/>
      </c>
      <c r="L747" s="20" t="str">
        <f aca="false">IF($A747="","",IF($B747=0,0,$K747/$B747))</f>
        <v/>
      </c>
      <c r="M747" s="20" t="str">
        <f aca="false">IF($A747="","",IF($J747&lt;0,"BORCA BATIK",IF($I747&lt;$H747,"BORCA BATIK",IF($L747&gt;=TtkUcteIkiEsik,"2/3 KAYIP (KRİTİK)",IF($L747&gt;=TtkUcteBirEsik,"1/3 KAYIP (DİKKAT)","UYGUN")))))</f>
        <v/>
      </c>
      <c r="U747" s="20" t="str">
        <f aca="false">IF($N747="","",$Q747*$R747)</f>
        <v/>
      </c>
    </row>
    <row r="748" customFormat="false" ht="15" hidden="false" customHeight="false" outlineLevel="0" collapsed="false">
      <c r="J748" s="20" t="str">
        <f aca="false">IF($A748="","",$B748+$C748+$D748-$E748+$F748-$G748)</f>
        <v/>
      </c>
      <c r="K748" s="20" t="str">
        <f aca="false">IF($A748="","",MAX(0,$B748-$J748))</f>
        <v/>
      </c>
      <c r="L748" s="20" t="str">
        <f aca="false">IF($A748="","",IF($B748=0,0,$K748/$B748))</f>
        <v/>
      </c>
      <c r="M748" s="20" t="str">
        <f aca="false">IF($A748="","",IF($J748&lt;0,"BORCA BATIK",IF($I748&lt;$H748,"BORCA BATIK",IF($L748&gt;=TtkUcteIkiEsik,"2/3 KAYIP (KRİTİK)",IF($L748&gt;=TtkUcteBirEsik,"1/3 KAYIP (DİKKAT)","UYGUN")))))</f>
        <v/>
      </c>
      <c r="U748" s="20" t="str">
        <f aca="false">IF($N748="","",$Q748*$R748)</f>
        <v/>
      </c>
    </row>
    <row r="749" customFormat="false" ht="15" hidden="false" customHeight="false" outlineLevel="0" collapsed="false">
      <c r="J749" s="20" t="str">
        <f aca="false">IF($A749="","",$B749+$C749+$D749-$E749+$F749-$G749)</f>
        <v/>
      </c>
      <c r="K749" s="20" t="str">
        <f aca="false">IF($A749="","",MAX(0,$B749-$J749))</f>
        <v/>
      </c>
      <c r="L749" s="20" t="str">
        <f aca="false">IF($A749="","",IF($B749=0,0,$K749/$B749))</f>
        <v/>
      </c>
      <c r="M749" s="20" t="str">
        <f aca="false">IF($A749="","",IF($J749&lt;0,"BORCA BATIK",IF($I749&lt;$H749,"BORCA BATIK",IF($L749&gt;=TtkUcteIkiEsik,"2/3 KAYIP (KRİTİK)",IF($L749&gt;=TtkUcteBirEsik,"1/3 KAYIP (DİKKAT)","UYGUN")))))</f>
        <v/>
      </c>
      <c r="U749" s="20" t="str">
        <f aca="false">IF($N749="","",$Q749*$R749)</f>
        <v/>
      </c>
    </row>
    <row r="750" customFormat="false" ht="15" hidden="false" customHeight="false" outlineLevel="0" collapsed="false">
      <c r="J750" s="20" t="str">
        <f aca="false">IF($A750="","",$B750+$C750+$D750-$E750+$F750-$G750)</f>
        <v/>
      </c>
      <c r="K750" s="20" t="str">
        <f aca="false">IF($A750="","",MAX(0,$B750-$J750))</f>
        <v/>
      </c>
      <c r="L750" s="20" t="str">
        <f aca="false">IF($A750="","",IF($B750=0,0,$K750/$B750))</f>
        <v/>
      </c>
      <c r="M750" s="20" t="str">
        <f aca="false">IF($A750="","",IF($J750&lt;0,"BORCA BATIK",IF($I750&lt;$H750,"BORCA BATIK",IF($L750&gt;=TtkUcteIkiEsik,"2/3 KAYIP (KRİTİK)",IF($L750&gt;=TtkUcteBirEsik,"1/3 KAYIP (DİKKAT)","UYGUN")))))</f>
        <v/>
      </c>
      <c r="U750" s="20" t="str">
        <f aca="false">IF($N750="","",$Q750*$R750)</f>
        <v/>
      </c>
    </row>
    <row r="751" customFormat="false" ht="15" hidden="false" customHeight="false" outlineLevel="0" collapsed="false">
      <c r="J751" s="20" t="str">
        <f aca="false">IF($A751="","",$B751+$C751+$D751-$E751+$F751-$G751)</f>
        <v/>
      </c>
      <c r="K751" s="20" t="str">
        <f aca="false">IF($A751="","",MAX(0,$B751-$J751))</f>
        <v/>
      </c>
      <c r="L751" s="20" t="str">
        <f aca="false">IF($A751="","",IF($B751=0,0,$K751/$B751))</f>
        <v/>
      </c>
      <c r="M751" s="20" t="str">
        <f aca="false">IF($A751="","",IF($J751&lt;0,"BORCA BATIK",IF($I751&lt;$H751,"BORCA BATIK",IF($L751&gt;=TtkUcteIkiEsik,"2/3 KAYIP (KRİTİK)",IF($L751&gt;=TtkUcteBirEsik,"1/3 KAYIP (DİKKAT)","UYGUN")))))</f>
        <v/>
      </c>
      <c r="U751" s="20" t="str">
        <f aca="false">IF($N751="","",$Q751*$R751)</f>
        <v/>
      </c>
    </row>
    <row r="752" customFormat="false" ht="15" hidden="false" customHeight="false" outlineLevel="0" collapsed="false">
      <c r="J752" s="20" t="str">
        <f aca="false">IF($A752="","",$B752+$C752+$D752-$E752+$F752-$G752)</f>
        <v/>
      </c>
      <c r="K752" s="20" t="str">
        <f aca="false">IF($A752="","",MAX(0,$B752-$J752))</f>
        <v/>
      </c>
      <c r="L752" s="20" t="str">
        <f aca="false">IF($A752="","",IF($B752=0,0,$K752/$B752))</f>
        <v/>
      </c>
      <c r="M752" s="20" t="str">
        <f aca="false">IF($A752="","",IF($J752&lt;0,"BORCA BATIK",IF($I752&lt;$H752,"BORCA BATIK",IF($L752&gt;=TtkUcteIkiEsik,"2/3 KAYIP (KRİTİK)",IF($L752&gt;=TtkUcteBirEsik,"1/3 KAYIP (DİKKAT)","UYGUN")))))</f>
        <v/>
      </c>
      <c r="U752" s="20" t="str">
        <f aca="false">IF($N752="","",$Q752*$R752)</f>
        <v/>
      </c>
    </row>
    <row r="753" customFormat="false" ht="15" hidden="false" customHeight="false" outlineLevel="0" collapsed="false">
      <c r="J753" s="20" t="str">
        <f aca="false">IF($A753="","",$B753+$C753+$D753-$E753+$F753-$G753)</f>
        <v/>
      </c>
      <c r="K753" s="20" t="str">
        <f aca="false">IF($A753="","",MAX(0,$B753-$J753))</f>
        <v/>
      </c>
      <c r="L753" s="20" t="str">
        <f aca="false">IF($A753="","",IF($B753=0,0,$K753/$B753))</f>
        <v/>
      </c>
      <c r="M753" s="20" t="str">
        <f aca="false">IF($A753="","",IF($J753&lt;0,"BORCA BATIK",IF($I753&lt;$H753,"BORCA BATIK",IF($L753&gt;=TtkUcteIkiEsik,"2/3 KAYIP (KRİTİK)",IF($L753&gt;=TtkUcteBirEsik,"1/3 KAYIP (DİKKAT)","UYGUN")))))</f>
        <v/>
      </c>
      <c r="U753" s="20" t="str">
        <f aca="false">IF($N753="","",$Q753*$R753)</f>
        <v/>
      </c>
    </row>
    <row r="754" customFormat="false" ht="15" hidden="false" customHeight="false" outlineLevel="0" collapsed="false">
      <c r="J754" s="20" t="str">
        <f aca="false">IF($A754="","",$B754+$C754+$D754-$E754+$F754-$G754)</f>
        <v/>
      </c>
      <c r="K754" s="20" t="str">
        <f aca="false">IF($A754="","",MAX(0,$B754-$J754))</f>
        <v/>
      </c>
      <c r="L754" s="20" t="str">
        <f aca="false">IF($A754="","",IF($B754=0,0,$K754/$B754))</f>
        <v/>
      </c>
      <c r="M754" s="20" t="str">
        <f aca="false">IF($A754="","",IF($J754&lt;0,"BORCA BATIK",IF($I754&lt;$H754,"BORCA BATIK",IF($L754&gt;=TtkUcteIkiEsik,"2/3 KAYIP (KRİTİK)",IF($L754&gt;=TtkUcteBirEsik,"1/3 KAYIP (DİKKAT)","UYGUN")))))</f>
        <v/>
      </c>
      <c r="U754" s="20" t="str">
        <f aca="false">IF($N754="","",$Q754*$R754)</f>
        <v/>
      </c>
    </row>
    <row r="755" customFormat="false" ht="15" hidden="false" customHeight="false" outlineLevel="0" collapsed="false">
      <c r="J755" s="20" t="str">
        <f aca="false">IF($A755="","",$B755+$C755+$D755-$E755+$F755-$G755)</f>
        <v/>
      </c>
      <c r="K755" s="20" t="str">
        <f aca="false">IF($A755="","",MAX(0,$B755-$J755))</f>
        <v/>
      </c>
      <c r="L755" s="20" t="str">
        <f aca="false">IF($A755="","",IF($B755=0,0,$K755/$B755))</f>
        <v/>
      </c>
      <c r="M755" s="20" t="str">
        <f aca="false">IF($A755="","",IF($J755&lt;0,"BORCA BATIK",IF($I755&lt;$H755,"BORCA BATIK",IF($L755&gt;=TtkUcteIkiEsik,"2/3 KAYIP (KRİTİK)",IF($L755&gt;=TtkUcteBirEsik,"1/3 KAYIP (DİKKAT)","UYGUN")))))</f>
        <v/>
      </c>
      <c r="U755" s="20" t="str">
        <f aca="false">IF($N755="","",$Q755*$R755)</f>
        <v/>
      </c>
    </row>
    <row r="756" customFormat="false" ht="15" hidden="false" customHeight="false" outlineLevel="0" collapsed="false">
      <c r="J756" s="20" t="str">
        <f aca="false">IF($A756="","",$B756+$C756+$D756-$E756+$F756-$G756)</f>
        <v/>
      </c>
      <c r="K756" s="20" t="str">
        <f aca="false">IF($A756="","",MAX(0,$B756-$J756))</f>
        <v/>
      </c>
      <c r="L756" s="20" t="str">
        <f aca="false">IF($A756="","",IF($B756=0,0,$K756/$B756))</f>
        <v/>
      </c>
      <c r="M756" s="20" t="str">
        <f aca="false">IF($A756="","",IF($J756&lt;0,"BORCA BATIK",IF($I756&lt;$H756,"BORCA BATIK",IF($L756&gt;=TtkUcteIkiEsik,"2/3 KAYIP (KRİTİK)",IF($L756&gt;=TtkUcteBirEsik,"1/3 KAYIP (DİKKAT)","UYGUN")))))</f>
        <v/>
      </c>
      <c r="U756" s="20" t="str">
        <f aca="false">IF($N756="","",$Q756*$R756)</f>
        <v/>
      </c>
    </row>
    <row r="757" customFormat="false" ht="15" hidden="false" customHeight="false" outlineLevel="0" collapsed="false">
      <c r="J757" s="20" t="str">
        <f aca="false">IF($A757="","",$B757+$C757+$D757-$E757+$F757-$G757)</f>
        <v/>
      </c>
      <c r="K757" s="20" t="str">
        <f aca="false">IF($A757="","",MAX(0,$B757-$J757))</f>
        <v/>
      </c>
      <c r="L757" s="20" t="str">
        <f aca="false">IF($A757="","",IF($B757=0,0,$K757/$B757))</f>
        <v/>
      </c>
      <c r="M757" s="20" t="str">
        <f aca="false">IF($A757="","",IF($J757&lt;0,"BORCA BATIK",IF($I757&lt;$H757,"BORCA BATIK",IF($L757&gt;=TtkUcteIkiEsik,"2/3 KAYIP (KRİTİK)",IF($L757&gt;=TtkUcteBirEsik,"1/3 KAYIP (DİKKAT)","UYGUN")))))</f>
        <v/>
      </c>
      <c r="U757" s="20" t="str">
        <f aca="false">IF($N757="","",$Q757*$R757)</f>
        <v/>
      </c>
    </row>
    <row r="758" customFormat="false" ht="15" hidden="false" customHeight="false" outlineLevel="0" collapsed="false">
      <c r="J758" s="20" t="str">
        <f aca="false">IF($A758="","",$B758+$C758+$D758-$E758+$F758-$G758)</f>
        <v/>
      </c>
      <c r="K758" s="20" t="str">
        <f aca="false">IF($A758="","",MAX(0,$B758-$J758))</f>
        <v/>
      </c>
      <c r="L758" s="20" t="str">
        <f aca="false">IF($A758="","",IF($B758=0,0,$K758/$B758))</f>
        <v/>
      </c>
      <c r="M758" s="20" t="str">
        <f aca="false">IF($A758="","",IF($J758&lt;0,"BORCA BATIK",IF($I758&lt;$H758,"BORCA BATIK",IF($L758&gt;=TtkUcteIkiEsik,"2/3 KAYIP (KRİTİK)",IF($L758&gt;=TtkUcteBirEsik,"1/3 KAYIP (DİKKAT)","UYGUN")))))</f>
        <v/>
      </c>
      <c r="U758" s="20" t="str">
        <f aca="false">IF($N758="","",$Q758*$R758)</f>
        <v/>
      </c>
    </row>
    <row r="759" customFormat="false" ht="15" hidden="false" customHeight="false" outlineLevel="0" collapsed="false">
      <c r="J759" s="20" t="str">
        <f aca="false">IF($A759="","",$B759+$C759+$D759-$E759+$F759-$G759)</f>
        <v/>
      </c>
      <c r="K759" s="20" t="str">
        <f aca="false">IF($A759="","",MAX(0,$B759-$J759))</f>
        <v/>
      </c>
      <c r="L759" s="20" t="str">
        <f aca="false">IF($A759="","",IF($B759=0,0,$K759/$B759))</f>
        <v/>
      </c>
      <c r="M759" s="20" t="str">
        <f aca="false">IF($A759="","",IF($J759&lt;0,"BORCA BATIK",IF($I759&lt;$H759,"BORCA BATIK",IF($L759&gt;=TtkUcteIkiEsik,"2/3 KAYIP (KRİTİK)",IF($L759&gt;=TtkUcteBirEsik,"1/3 KAYIP (DİKKAT)","UYGUN")))))</f>
        <v/>
      </c>
      <c r="U759" s="20" t="str">
        <f aca="false">IF($N759="","",$Q759*$R759)</f>
        <v/>
      </c>
    </row>
    <row r="760" customFormat="false" ht="15" hidden="false" customHeight="false" outlineLevel="0" collapsed="false">
      <c r="J760" s="20" t="str">
        <f aca="false">IF($A760="","",$B760+$C760+$D760-$E760+$F760-$G760)</f>
        <v/>
      </c>
      <c r="K760" s="20" t="str">
        <f aca="false">IF($A760="","",MAX(0,$B760-$J760))</f>
        <v/>
      </c>
      <c r="L760" s="20" t="str">
        <f aca="false">IF($A760="","",IF($B760=0,0,$K760/$B760))</f>
        <v/>
      </c>
      <c r="M760" s="20" t="str">
        <f aca="false">IF($A760="","",IF($J760&lt;0,"BORCA BATIK",IF($I760&lt;$H760,"BORCA BATIK",IF($L760&gt;=TtkUcteIkiEsik,"2/3 KAYIP (KRİTİK)",IF($L760&gt;=TtkUcteBirEsik,"1/3 KAYIP (DİKKAT)","UYGUN")))))</f>
        <v/>
      </c>
      <c r="U760" s="20" t="str">
        <f aca="false">IF($N760="","",$Q760*$R760)</f>
        <v/>
      </c>
    </row>
    <row r="761" customFormat="false" ht="15" hidden="false" customHeight="false" outlineLevel="0" collapsed="false">
      <c r="J761" s="20" t="str">
        <f aca="false">IF($A761="","",$B761+$C761+$D761-$E761+$F761-$G761)</f>
        <v/>
      </c>
      <c r="K761" s="20" t="str">
        <f aca="false">IF($A761="","",MAX(0,$B761-$J761))</f>
        <v/>
      </c>
      <c r="L761" s="20" t="str">
        <f aca="false">IF($A761="","",IF($B761=0,0,$K761/$B761))</f>
        <v/>
      </c>
      <c r="M761" s="20" t="str">
        <f aca="false">IF($A761="","",IF($J761&lt;0,"BORCA BATIK",IF($I761&lt;$H761,"BORCA BATIK",IF($L761&gt;=TtkUcteIkiEsik,"2/3 KAYIP (KRİTİK)",IF($L761&gt;=TtkUcteBirEsik,"1/3 KAYIP (DİKKAT)","UYGUN")))))</f>
        <v/>
      </c>
      <c r="U761" s="20" t="str">
        <f aca="false">IF($N761="","",$Q761*$R761)</f>
        <v/>
      </c>
    </row>
    <row r="762" customFormat="false" ht="15" hidden="false" customHeight="false" outlineLevel="0" collapsed="false">
      <c r="J762" s="20" t="str">
        <f aca="false">IF($A762="","",$B762+$C762+$D762-$E762+$F762-$G762)</f>
        <v/>
      </c>
      <c r="K762" s="20" t="str">
        <f aca="false">IF($A762="","",MAX(0,$B762-$J762))</f>
        <v/>
      </c>
      <c r="L762" s="20" t="str">
        <f aca="false">IF($A762="","",IF($B762=0,0,$K762/$B762))</f>
        <v/>
      </c>
      <c r="M762" s="20" t="str">
        <f aca="false">IF($A762="","",IF($J762&lt;0,"BORCA BATIK",IF($I762&lt;$H762,"BORCA BATIK",IF($L762&gt;=TtkUcteIkiEsik,"2/3 KAYIP (KRİTİK)",IF($L762&gt;=TtkUcteBirEsik,"1/3 KAYIP (DİKKAT)","UYGUN")))))</f>
        <v/>
      </c>
      <c r="U762" s="20" t="str">
        <f aca="false">IF($N762="","",$Q762*$R762)</f>
        <v/>
      </c>
    </row>
    <row r="763" customFormat="false" ht="15" hidden="false" customHeight="false" outlineLevel="0" collapsed="false">
      <c r="J763" s="20" t="str">
        <f aca="false">IF($A763="","",$B763+$C763+$D763-$E763+$F763-$G763)</f>
        <v/>
      </c>
      <c r="K763" s="20" t="str">
        <f aca="false">IF($A763="","",MAX(0,$B763-$J763))</f>
        <v/>
      </c>
      <c r="L763" s="20" t="str">
        <f aca="false">IF($A763="","",IF($B763=0,0,$K763/$B763))</f>
        <v/>
      </c>
      <c r="M763" s="20" t="str">
        <f aca="false">IF($A763="","",IF($J763&lt;0,"BORCA BATIK",IF($I763&lt;$H763,"BORCA BATIK",IF($L763&gt;=TtkUcteIkiEsik,"2/3 KAYIP (KRİTİK)",IF($L763&gt;=TtkUcteBirEsik,"1/3 KAYIP (DİKKAT)","UYGUN")))))</f>
        <v/>
      </c>
      <c r="U763" s="20" t="str">
        <f aca="false">IF($N763="","",$Q763*$R763)</f>
        <v/>
      </c>
    </row>
    <row r="764" customFormat="false" ht="15" hidden="false" customHeight="false" outlineLevel="0" collapsed="false">
      <c r="J764" s="20" t="str">
        <f aca="false">IF($A764="","",$B764+$C764+$D764-$E764+$F764-$G764)</f>
        <v/>
      </c>
      <c r="K764" s="20" t="str">
        <f aca="false">IF($A764="","",MAX(0,$B764-$J764))</f>
        <v/>
      </c>
      <c r="L764" s="20" t="str">
        <f aca="false">IF($A764="","",IF($B764=0,0,$K764/$B764))</f>
        <v/>
      </c>
      <c r="M764" s="20" t="str">
        <f aca="false">IF($A764="","",IF($J764&lt;0,"BORCA BATIK",IF($I764&lt;$H764,"BORCA BATIK",IF($L764&gt;=TtkUcteIkiEsik,"2/3 KAYIP (KRİTİK)",IF($L764&gt;=TtkUcteBirEsik,"1/3 KAYIP (DİKKAT)","UYGUN")))))</f>
        <v/>
      </c>
      <c r="U764" s="20" t="str">
        <f aca="false">IF($N764="","",$Q764*$R764)</f>
        <v/>
      </c>
    </row>
    <row r="765" customFormat="false" ht="15" hidden="false" customHeight="false" outlineLevel="0" collapsed="false">
      <c r="J765" s="20" t="str">
        <f aca="false">IF($A765="","",$B765+$C765+$D765-$E765+$F765-$G765)</f>
        <v/>
      </c>
      <c r="K765" s="20" t="str">
        <f aca="false">IF($A765="","",MAX(0,$B765-$J765))</f>
        <v/>
      </c>
      <c r="L765" s="20" t="str">
        <f aca="false">IF($A765="","",IF($B765=0,0,$K765/$B765))</f>
        <v/>
      </c>
      <c r="M765" s="20" t="str">
        <f aca="false">IF($A765="","",IF($J765&lt;0,"BORCA BATIK",IF($I765&lt;$H765,"BORCA BATIK",IF($L765&gt;=TtkUcteIkiEsik,"2/3 KAYIP (KRİTİK)",IF($L765&gt;=TtkUcteBirEsik,"1/3 KAYIP (DİKKAT)","UYGUN")))))</f>
        <v/>
      </c>
      <c r="U765" s="20" t="str">
        <f aca="false">IF($N765="","",$Q765*$R765)</f>
        <v/>
      </c>
    </row>
    <row r="766" customFormat="false" ht="15" hidden="false" customHeight="false" outlineLevel="0" collapsed="false">
      <c r="J766" s="20" t="str">
        <f aca="false">IF($A766="","",$B766+$C766+$D766-$E766+$F766-$G766)</f>
        <v/>
      </c>
      <c r="K766" s="20" t="str">
        <f aca="false">IF($A766="","",MAX(0,$B766-$J766))</f>
        <v/>
      </c>
      <c r="L766" s="20" t="str">
        <f aca="false">IF($A766="","",IF($B766=0,0,$K766/$B766))</f>
        <v/>
      </c>
      <c r="M766" s="20" t="str">
        <f aca="false">IF($A766="","",IF($J766&lt;0,"BORCA BATIK",IF($I766&lt;$H766,"BORCA BATIK",IF($L766&gt;=TtkUcteIkiEsik,"2/3 KAYIP (KRİTİK)",IF($L766&gt;=TtkUcteBirEsik,"1/3 KAYIP (DİKKAT)","UYGUN")))))</f>
        <v/>
      </c>
      <c r="U766" s="20" t="str">
        <f aca="false">IF($N766="","",$Q766*$R766)</f>
        <v/>
      </c>
    </row>
    <row r="767" customFormat="false" ht="15" hidden="false" customHeight="false" outlineLevel="0" collapsed="false">
      <c r="J767" s="20" t="str">
        <f aca="false">IF($A767="","",$B767+$C767+$D767-$E767+$F767-$G767)</f>
        <v/>
      </c>
      <c r="K767" s="20" t="str">
        <f aca="false">IF($A767="","",MAX(0,$B767-$J767))</f>
        <v/>
      </c>
      <c r="L767" s="20" t="str">
        <f aca="false">IF($A767="","",IF($B767=0,0,$K767/$B767))</f>
        <v/>
      </c>
      <c r="M767" s="20" t="str">
        <f aca="false">IF($A767="","",IF($J767&lt;0,"BORCA BATIK",IF($I767&lt;$H767,"BORCA BATIK",IF($L767&gt;=TtkUcteIkiEsik,"2/3 KAYIP (KRİTİK)",IF($L767&gt;=TtkUcteBirEsik,"1/3 KAYIP (DİKKAT)","UYGUN")))))</f>
        <v/>
      </c>
      <c r="U767" s="20" t="str">
        <f aca="false">IF($N767="","",$Q767*$R767)</f>
        <v/>
      </c>
    </row>
    <row r="768" customFormat="false" ht="15" hidden="false" customHeight="false" outlineLevel="0" collapsed="false">
      <c r="J768" s="20" t="str">
        <f aca="false">IF($A768="","",$B768+$C768+$D768-$E768+$F768-$G768)</f>
        <v/>
      </c>
      <c r="K768" s="20" t="str">
        <f aca="false">IF($A768="","",MAX(0,$B768-$J768))</f>
        <v/>
      </c>
      <c r="L768" s="20" t="str">
        <f aca="false">IF($A768="","",IF($B768=0,0,$K768/$B768))</f>
        <v/>
      </c>
      <c r="M768" s="20" t="str">
        <f aca="false">IF($A768="","",IF($J768&lt;0,"BORCA BATIK",IF($I768&lt;$H768,"BORCA BATIK",IF($L768&gt;=TtkUcteIkiEsik,"2/3 KAYIP (KRİTİK)",IF($L768&gt;=TtkUcteBirEsik,"1/3 KAYIP (DİKKAT)","UYGUN")))))</f>
        <v/>
      </c>
      <c r="U768" s="20" t="str">
        <f aca="false">IF($N768="","",$Q768*$R768)</f>
        <v/>
      </c>
    </row>
    <row r="769" customFormat="false" ht="15" hidden="false" customHeight="false" outlineLevel="0" collapsed="false">
      <c r="J769" s="20" t="str">
        <f aca="false">IF($A769="","",$B769+$C769+$D769-$E769+$F769-$G769)</f>
        <v/>
      </c>
      <c r="K769" s="20" t="str">
        <f aca="false">IF($A769="","",MAX(0,$B769-$J769))</f>
        <v/>
      </c>
      <c r="L769" s="20" t="str">
        <f aca="false">IF($A769="","",IF($B769=0,0,$K769/$B769))</f>
        <v/>
      </c>
      <c r="M769" s="20" t="str">
        <f aca="false">IF($A769="","",IF($J769&lt;0,"BORCA BATIK",IF($I769&lt;$H769,"BORCA BATIK",IF($L769&gt;=TtkUcteIkiEsik,"2/3 KAYIP (KRİTİK)",IF($L769&gt;=TtkUcteBirEsik,"1/3 KAYIP (DİKKAT)","UYGUN")))))</f>
        <v/>
      </c>
      <c r="U769" s="20" t="str">
        <f aca="false">IF($N769="","",$Q769*$R769)</f>
        <v/>
      </c>
    </row>
    <row r="770" customFormat="false" ht="15" hidden="false" customHeight="false" outlineLevel="0" collapsed="false">
      <c r="J770" s="20" t="str">
        <f aca="false">IF($A770="","",$B770+$C770+$D770-$E770+$F770-$G770)</f>
        <v/>
      </c>
      <c r="K770" s="20" t="str">
        <f aca="false">IF($A770="","",MAX(0,$B770-$J770))</f>
        <v/>
      </c>
      <c r="L770" s="20" t="str">
        <f aca="false">IF($A770="","",IF($B770=0,0,$K770/$B770))</f>
        <v/>
      </c>
      <c r="M770" s="20" t="str">
        <f aca="false">IF($A770="","",IF($J770&lt;0,"BORCA BATIK",IF($I770&lt;$H770,"BORCA BATIK",IF($L770&gt;=TtkUcteIkiEsik,"2/3 KAYIP (KRİTİK)",IF($L770&gt;=TtkUcteBirEsik,"1/3 KAYIP (DİKKAT)","UYGUN")))))</f>
        <v/>
      </c>
      <c r="U770" s="20" t="str">
        <f aca="false">IF($N770="","",$Q770*$R770)</f>
        <v/>
      </c>
    </row>
    <row r="771" customFormat="false" ht="15" hidden="false" customHeight="false" outlineLevel="0" collapsed="false">
      <c r="J771" s="20" t="str">
        <f aca="false">IF($A771="","",$B771+$C771+$D771-$E771+$F771-$G771)</f>
        <v/>
      </c>
      <c r="K771" s="20" t="str">
        <f aca="false">IF($A771="","",MAX(0,$B771-$J771))</f>
        <v/>
      </c>
      <c r="L771" s="20" t="str">
        <f aca="false">IF($A771="","",IF($B771=0,0,$K771/$B771))</f>
        <v/>
      </c>
      <c r="M771" s="20" t="str">
        <f aca="false">IF($A771="","",IF($J771&lt;0,"BORCA BATIK",IF($I771&lt;$H771,"BORCA BATIK",IF($L771&gt;=TtkUcteIkiEsik,"2/3 KAYIP (KRİTİK)",IF($L771&gt;=TtkUcteBirEsik,"1/3 KAYIP (DİKKAT)","UYGUN")))))</f>
        <v/>
      </c>
      <c r="U771" s="20" t="str">
        <f aca="false">IF($N771="","",$Q771*$R771)</f>
        <v/>
      </c>
    </row>
    <row r="772" customFormat="false" ht="15" hidden="false" customHeight="false" outlineLevel="0" collapsed="false">
      <c r="J772" s="20" t="str">
        <f aca="false">IF($A772="","",$B772+$C772+$D772-$E772+$F772-$G772)</f>
        <v/>
      </c>
      <c r="K772" s="20" t="str">
        <f aca="false">IF($A772="","",MAX(0,$B772-$J772))</f>
        <v/>
      </c>
      <c r="L772" s="20" t="str">
        <f aca="false">IF($A772="","",IF($B772=0,0,$K772/$B772))</f>
        <v/>
      </c>
      <c r="M772" s="20" t="str">
        <f aca="false">IF($A772="","",IF($J772&lt;0,"BORCA BATIK",IF($I772&lt;$H772,"BORCA BATIK",IF($L772&gt;=TtkUcteIkiEsik,"2/3 KAYIP (KRİTİK)",IF($L772&gt;=TtkUcteBirEsik,"1/3 KAYIP (DİKKAT)","UYGUN")))))</f>
        <v/>
      </c>
      <c r="U772" s="20" t="str">
        <f aca="false">IF($N772="","",$Q772*$R772)</f>
        <v/>
      </c>
    </row>
    <row r="773" customFormat="false" ht="15" hidden="false" customHeight="false" outlineLevel="0" collapsed="false">
      <c r="J773" s="20" t="str">
        <f aca="false">IF($A773="","",$B773+$C773+$D773-$E773+$F773-$G773)</f>
        <v/>
      </c>
      <c r="K773" s="20" t="str">
        <f aca="false">IF($A773="","",MAX(0,$B773-$J773))</f>
        <v/>
      </c>
      <c r="L773" s="20" t="str">
        <f aca="false">IF($A773="","",IF($B773=0,0,$K773/$B773))</f>
        <v/>
      </c>
      <c r="M773" s="20" t="str">
        <f aca="false">IF($A773="","",IF($J773&lt;0,"BORCA BATIK",IF($I773&lt;$H773,"BORCA BATIK",IF($L773&gt;=TtkUcteIkiEsik,"2/3 KAYIP (KRİTİK)",IF($L773&gt;=TtkUcteBirEsik,"1/3 KAYIP (DİKKAT)","UYGUN")))))</f>
        <v/>
      </c>
      <c r="U773" s="20" t="str">
        <f aca="false">IF($N773="","",$Q773*$R773)</f>
        <v/>
      </c>
    </row>
    <row r="774" customFormat="false" ht="15" hidden="false" customHeight="false" outlineLevel="0" collapsed="false">
      <c r="J774" s="20" t="str">
        <f aca="false">IF($A774="","",$B774+$C774+$D774-$E774+$F774-$G774)</f>
        <v/>
      </c>
      <c r="K774" s="20" t="str">
        <f aca="false">IF($A774="","",MAX(0,$B774-$J774))</f>
        <v/>
      </c>
      <c r="L774" s="20" t="str">
        <f aca="false">IF($A774="","",IF($B774=0,0,$K774/$B774))</f>
        <v/>
      </c>
      <c r="M774" s="20" t="str">
        <f aca="false">IF($A774="","",IF($J774&lt;0,"BORCA BATIK",IF($I774&lt;$H774,"BORCA BATIK",IF($L774&gt;=TtkUcteIkiEsik,"2/3 KAYIP (KRİTİK)",IF($L774&gt;=TtkUcteBirEsik,"1/3 KAYIP (DİKKAT)","UYGUN")))))</f>
        <v/>
      </c>
      <c r="U774" s="20" t="str">
        <f aca="false">IF($N774="","",$Q774*$R774)</f>
        <v/>
      </c>
    </row>
    <row r="775" customFormat="false" ht="15" hidden="false" customHeight="false" outlineLevel="0" collapsed="false">
      <c r="J775" s="20" t="str">
        <f aca="false">IF($A775="","",$B775+$C775+$D775-$E775+$F775-$G775)</f>
        <v/>
      </c>
      <c r="K775" s="20" t="str">
        <f aca="false">IF($A775="","",MAX(0,$B775-$J775))</f>
        <v/>
      </c>
      <c r="L775" s="20" t="str">
        <f aca="false">IF($A775="","",IF($B775=0,0,$K775/$B775))</f>
        <v/>
      </c>
      <c r="M775" s="20" t="str">
        <f aca="false">IF($A775="","",IF($J775&lt;0,"BORCA BATIK",IF($I775&lt;$H775,"BORCA BATIK",IF($L775&gt;=TtkUcteIkiEsik,"2/3 KAYIP (KRİTİK)",IF($L775&gt;=TtkUcteBirEsik,"1/3 KAYIP (DİKKAT)","UYGUN")))))</f>
        <v/>
      </c>
      <c r="U775" s="20" t="str">
        <f aca="false">IF($N775="","",$Q775*$R775)</f>
        <v/>
      </c>
    </row>
    <row r="776" customFormat="false" ht="15" hidden="false" customHeight="false" outlineLevel="0" collapsed="false">
      <c r="J776" s="20" t="str">
        <f aca="false">IF($A776="","",$B776+$C776+$D776-$E776+$F776-$G776)</f>
        <v/>
      </c>
      <c r="K776" s="20" t="str">
        <f aca="false">IF($A776="","",MAX(0,$B776-$J776))</f>
        <v/>
      </c>
      <c r="L776" s="20" t="str">
        <f aca="false">IF($A776="","",IF($B776=0,0,$K776/$B776))</f>
        <v/>
      </c>
      <c r="M776" s="20" t="str">
        <f aca="false">IF($A776="","",IF($J776&lt;0,"BORCA BATIK",IF($I776&lt;$H776,"BORCA BATIK",IF($L776&gt;=TtkUcteIkiEsik,"2/3 KAYIP (KRİTİK)",IF($L776&gt;=TtkUcteBirEsik,"1/3 KAYIP (DİKKAT)","UYGUN")))))</f>
        <v/>
      </c>
      <c r="U776" s="20" t="str">
        <f aca="false">IF($N776="","",$Q776*$R776)</f>
        <v/>
      </c>
    </row>
    <row r="777" customFormat="false" ht="15" hidden="false" customHeight="false" outlineLevel="0" collapsed="false">
      <c r="J777" s="20" t="str">
        <f aca="false">IF($A777="","",$B777+$C777+$D777-$E777+$F777-$G777)</f>
        <v/>
      </c>
      <c r="K777" s="20" t="str">
        <f aca="false">IF($A777="","",MAX(0,$B777-$J777))</f>
        <v/>
      </c>
      <c r="L777" s="20" t="str">
        <f aca="false">IF($A777="","",IF($B777=0,0,$K777/$B777))</f>
        <v/>
      </c>
      <c r="M777" s="20" t="str">
        <f aca="false">IF($A777="","",IF($J777&lt;0,"BORCA BATIK",IF($I777&lt;$H777,"BORCA BATIK",IF($L777&gt;=TtkUcteIkiEsik,"2/3 KAYIP (KRİTİK)",IF($L777&gt;=TtkUcteBirEsik,"1/3 KAYIP (DİKKAT)","UYGUN")))))</f>
        <v/>
      </c>
      <c r="U777" s="20" t="str">
        <f aca="false">IF($N777="","",$Q777*$R777)</f>
        <v/>
      </c>
    </row>
    <row r="778" customFormat="false" ht="15" hidden="false" customHeight="false" outlineLevel="0" collapsed="false">
      <c r="J778" s="20" t="str">
        <f aca="false">IF($A778="","",$B778+$C778+$D778-$E778+$F778-$G778)</f>
        <v/>
      </c>
      <c r="K778" s="20" t="str">
        <f aca="false">IF($A778="","",MAX(0,$B778-$J778))</f>
        <v/>
      </c>
      <c r="L778" s="20" t="str">
        <f aca="false">IF($A778="","",IF($B778=0,0,$K778/$B778))</f>
        <v/>
      </c>
      <c r="M778" s="20" t="str">
        <f aca="false">IF($A778="","",IF($J778&lt;0,"BORCA BATIK",IF($I778&lt;$H778,"BORCA BATIK",IF($L778&gt;=TtkUcteIkiEsik,"2/3 KAYIP (KRİTİK)",IF($L778&gt;=TtkUcteBirEsik,"1/3 KAYIP (DİKKAT)","UYGUN")))))</f>
        <v/>
      </c>
      <c r="U778" s="20" t="str">
        <f aca="false">IF($N778="","",$Q778*$R778)</f>
        <v/>
      </c>
    </row>
    <row r="779" customFormat="false" ht="15" hidden="false" customHeight="false" outlineLevel="0" collapsed="false">
      <c r="J779" s="20" t="str">
        <f aca="false">IF($A779="","",$B779+$C779+$D779-$E779+$F779-$G779)</f>
        <v/>
      </c>
      <c r="K779" s="20" t="str">
        <f aca="false">IF($A779="","",MAX(0,$B779-$J779))</f>
        <v/>
      </c>
      <c r="L779" s="20" t="str">
        <f aca="false">IF($A779="","",IF($B779=0,0,$K779/$B779))</f>
        <v/>
      </c>
      <c r="M779" s="20" t="str">
        <f aca="false">IF($A779="","",IF($J779&lt;0,"BORCA BATIK",IF($I779&lt;$H779,"BORCA BATIK",IF($L779&gt;=TtkUcteIkiEsik,"2/3 KAYIP (KRİTİK)",IF($L779&gt;=TtkUcteBirEsik,"1/3 KAYIP (DİKKAT)","UYGUN")))))</f>
        <v/>
      </c>
      <c r="U779" s="20" t="str">
        <f aca="false">IF($N779="","",$Q779*$R779)</f>
        <v/>
      </c>
    </row>
    <row r="780" customFormat="false" ht="15" hidden="false" customHeight="false" outlineLevel="0" collapsed="false">
      <c r="J780" s="20" t="str">
        <f aca="false">IF($A780="","",$B780+$C780+$D780-$E780+$F780-$G780)</f>
        <v/>
      </c>
      <c r="K780" s="20" t="str">
        <f aca="false">IF($A780="","",MAX(0,$B780-$J780))</f>
        <v/>
      </c>
      <c r="L780" s="20" t="str">
        <f aca="false">IF($A780="","",IF($B780=0,0,$K780/$B780))</f>
        <v/>
      </c>
      <c r="M780" s="20" t="str">
        <f aca="false">IF($A780="","",IF($J780&lt;0,"BORCA BATIK",IF($I780&lt;$H780,"BORCA BATIK",IF($L780&gt;=TtkUcteIkiEsik,"2/3 KAYIP (KRİTİK)",IF($L780&gt;=TtkUcteBirEsik,"1/3 KAYIP (DİKKAT)","UYGUN")))))</f>
        <v/>
      </c>
      <c r="U780" s="20" t="str">
        <f aca="false">IF($N780="","",$Q780*$R780)</f>
        <v/>
      </c>
    </row>
    <row r="781" customFormat="false" ht="15" hidden="false" customHeight="false" outlineLevel="0" collapsed="false">
      <c r="J781" s="20" t="str">
        <f aca="false">IF($A781="","",$B781+$C781+$D781-$E781+$F781-$G781)</f>
        <v/>
      </c>
      <c r="K781" s="20" t="str">
        <f aca="false">IF($A781="","",MAX(0,$B781-$J781))</f>
        <v/>
      </c>
      <c r="L781" s="20" t="str">
        <f aca="false">IF($A781="","",IF($B781=0,0,$K781/$B781))</f>
        <v/>
      </c>
      <c r="M781" s="20" t="str">
        <f aca="false">IF($A781="","",IF($J781&lt;0,"BORCA BATIK",IF($I781&lt;$H781,"BORCA BATIK",IF($L781&gt;=TtkUcteIkiEsik,"2/3 KAYIP (KRİTİK)",IF($L781&gt;=TtkUcteBirEsik,"1/3 KAYIP (DİKKAT)","UYGUN")))))</f>
        <v/>
      </c>
      <c r="U781" s="20" t="str">
        <f aca="false">IF($N781="","",$Q781*$R781)</f>
        <v/>
      </c>
    </row>
    <row r="782" customFormat="false" ht="15" hidden="false" customHeight="false" outlineLevel="0" collapsed="false">
      <c r="J782" s="20" t="str">
        <f aca="false">IF($A782="","",$B782+$C782+$D782-$E782+$F782-$G782)</f>
        <v/>
      </c>
      <c r="K782" s="20" t="str">
        <f aca="false">IF($A782="","",MAX(0,$B782-$J782))</f>
        <v/>
      </c>
      <c r="L782" s="20" t="str">
        <f aca="false">IF($A782="","",IF($B782=0,0,$K782/$B782))</f>
        <v/>
      </c>
      <c r="M782" s="20" t="str">
        <f aca="false">IF($A782="","",IF($J782&lt;0,"BORCA BATIK",IF($I782&lt;$H782,"BORCA BATIK",IF($L782&gt;=TtkUcteIkiEsik,"2/3 KAYIP (KRİTİK)",IF($L782&gt;=TtkUcteBirEsik,"1/3 KAYIP (DİKKAT)","UYGUN")))))</f>
        <v/>
      </c>
      <c r="U782" s="20" t="str">
        <f aca="false">IF($N782="","",$Q782*$R782)</f>
        <v/>
      </c>
    </row>
    <row r="783" customFormat="false" ht="15" hidden="false" customHeight="false" outlineLevel="0" collapsed="false">
      <c r="J783" s="20" t="str">
        <f aca="false">IF($A783="","",$B783+$C783+$D783-$E783+$F783-$G783)</f>
        <v/>
      </c>
      <c r="K783" s="20" t="str">
        <f aca="false">IF($A783="","",MAX(0,$B783-$J783))</f>
        <v/>
      </c>
      <c r="L783" s="20" t="str">
        <f aca="false">IF($A783="","",IF($B783=0,0,$K783/$B783))</f>
        <v/>
      </c>
      <c r="M783" s="20" t="str">
        <f aca="false">IF($A783="","",IF($J783&lt;0,"BORCA BATIK",IF($I783&lt;$H783,"BORCA BATIK",IF($L783&gt;=TtkUcteIkiEsik,"2/3 KAYIP (KRİTİK)",IF($L783&gt;=TtkUcteBirEsik,"1/3 KAYIP (DİKKAT)","UYGUN")))))</f>
        <v/>
      </c>
      <c r="U783" s="20" t="str">
        <f aca="false">IF($N783="","",$Q783*$R783)</f>
        <v/>
      </c>
    </row>
    <row r="784" customFormat="false" ht="15" hidden="false" customHeight="false" outlineLevel="0" collapsed="false">
      <c r="J784" s="20" t="str">
        <f aca="false">IF($A784="","",$B784+$C784+$D784-$E784+$F784-$G784)</f>
        <v/>
      </c>
      <c r="K784" s="20" t="str">
        <f aca="false">IF($A784="","",MAX(0,$B784-$J784))</f>
        <v/>
      </c>
      <c r="L784" s="20" t="str">
        <f aca="false">IF($A784="","",IF($B784=0,0,$K784/$B784))</f>
        <v/>
      </c>
      <c r="M784" s="20" t="str">
        <f aca="false">IF($A784="","",IF($J784&lt;0,"BORCA BATIK",IF($I784&lt;$H784,"BORCA BATIK",IF($L784&gt;=TtkUcteIkiEsik,"2/3 KAYIP (KRİTİK)",IF($L784&gt;=TtkUcteBirEsik,"1/3 KAYIP (DİKKAT)","UYGUN")))))</f>
        <v/>
      </c>
      <c r="U784" s="20" t="str">
        <f aca="false">IF($N784="","",$Q784*$R784)</f>
        <v/>
      </c>
    </row>
    <row r="785" customFormat="false" ht="15" hidden="false" customHeight="false" outlineLevel="0" collapsed="false">
      <c r="J785" s="20" t="str">
        <f aca="false">IF($A785="","",$B785+$C785+$D785-$E785+$F785-$G785)</f>
        <v/>
      </c>
      <c r="K785" s="20" t="str">
        <f aca="false">IF($A785="","",MAX(0,$B785-$J785))</f>
        <v/>
      </c>
      <c r="L785" s="20" t="str">
        <f aca="false">IF($A785="","",IF($B785=0,0,$K785/$B785))</f>
        <v/>
      </c>
      <c r="M785" s="20" t="str">
        <f aca="false">IF($A785="","",IF($J785&lt;0,"BORCA BATIK",IF($I785&lt;$H785,"BORCA BATIK",IF($L785&gt;=TtkUcteIkiEsik,"2/3 KAYIP (KRİTİK)",IF($L785&gt;=TtkUcteBirEsik,"1/3 KAYIP (DİKKAT)","UYGUN")))))</f>
        <v/>
      </c>
      <c r="U785" s="20" t="str">
        <f aca="false">IF($N785="","",$Q785*$R785)</f>
        <v/>
      </c>
    </row>
    <row r="786" customFormat="false" ht="15" hidden="false" customHeight="false" outlineLevel="0" collapsed="false">
      <c r="J786" s="20" t="str">
        <f aca="false">IF($A786="","",$B786+$C786+$D786-$E786+$F786-$G786)</f>
        <v/>
      </c>
      <c r="K786" s="20" t="str">
        <f aca="false">IF($A786="","",MAX(0,$B786-$J786))</f>
        <v/>
      </c>
      <c r="L786" s="20" t="str">
        <f aca="false">IF($A786="","",IF($B786=0,0,$K786/$B786))</f>
        <v/>
      </c>
      <c r="M786" s="20" t="str">
        <f aca="false">IF($A786="","",IF($J786&lt;0,"BORCA BATIK",IF($I786&lt;$H786,"BORCA BATIK",IF($L786&gt;=TtkUcteIkiEsik,"2/3 KAYIP (KRİTİK)",IF($L786&gt;=TtkUcteBirEsik,"1/3 KAYIP (DİKKAT)","UYGUN")))))</f>
        <v/>
      </c>
      <c r="U786" s="20" t="str">
        <f aca="false">IF($N786="","",$Q786*$R786)</f>
        <v/>
      </c>
    </row>
    <row r="787" customFormat="false" ht="15" hidden="false" customHeight="false" outlineLevel="0" collapsed="false">
      <c r="J787" s="20" t="str">
        <f aca="false">IF($A787="","",$B787+$C787+$D787-$E787+$F787-$G787)</f>
        <v/>
      </c>
      <c r="K787" s="20" t="str">
        <f aca="false">IF($A787="","",MAX(0,$B787-$J787))</f>
        <v/>
      </c>
      <c r="L787" s="20" t="str">
        <f aca="false">IF($A787="","",IF($B787=0,0,$K787/$B787))</f>
        <v/>
      </c>
      <c r="M787" s="20" t="str">
        <f aca="false">IF($A787="","",IF($J787&lt;0,"BORCA BATIK",IF($I787&lt;$H787,"BORCA BATIK",IF($L787&gt;=TtkUcteIkiEsik,"2/3 KAYIP (KRİTİK)",IF($L787&gt;=TtkUcteBirEsik,"1/3 KAYIP (DİKKAT)","UYGUN")))))</f>
        <v/>
      </c>
      <c r="U787" s="20" t="str">
        <f aca="false">IF($N787="","",$Q787*$R787)</f>
        <v/>
      </c>
    </row>
    <row r="788" customFormat="false" ht="15" hidden="false" customHeight="false" outlineLevel="0" collapsed="false">
      <c r="J788" s="20" t="str">
        <f aca="false">IF($A788="","",$B788+$C788+$D788-$E788+$F788-$G788)</f>
        <v/>
      </c>
      <c r="K788" s="20" t="str">
        <f aca="false">IF($A788="","",MAX(0,$B788-$J788))</f>
        <v/>
      </c>
      <c r="L788" s="20" t="str">
        <f aca="false">IF($A788="","",IF($B788=0,0,$K788/$B788))</f>
        <v/>
      </c>
      <c r="M788" s="20" t="str">
        <f aca="false">IF($A788="","",IF($J788&lt;0,"BORCA BATIK",IF($I788&lt;$H788,"BORCA BATIK",IF($L788&gt;=TtkUcteIkiEsik,"2/3 KAYIP (KRİTİK)",IF($L788&gt;=TtkUcteBirEsik,"1/3 KAYIP (DİKKAT)","UYGUN")))))</f>
        <v/>
      </c>
      <c r="U788" s="20" t="str">
        <f aca="false">IF($N788="","",$Q788*$R788)</f>
        <v/>
      </c>
    </row>
    <row r="789" customFormat="false" ht="15" hidden="false" customHeight="false" outlineLevel="0" collapsed="false">
      <c r="J789" s="20" t="str">
        <f aca="false">IF($A789="","",$B789+$C789+$D789-$E789+$F789-$G789)</f>
        <v/>
      </c>
      <c r="K789" s="20" t="str">
        <f aca="false">IF($A789="","",MAX(0,$B789-$J789))</f>
        <v/>
      </c>
      <c r="L789" s="20" t="str">
        <f aca="false">IF($A789="","",IF($B789=0,0,$K789/$B789))</f>
        <v/>
      </c>
      <c r="M789" s="20" t="str">
        <f aca="false">IF($A789="","",IF($J789&lt;0,"BORCA BATIK",IF($I789&lt;$H789,"BORCA BATIK",IF($L789&gt;=TtkUcteIkiEsik,"2/3 KAYIP (KRİTİK)",IF($L789&gt;=TtkUcteBirEsik,"1/3 KAYIP (DİKKAT)","UYGUN")))))</f>
        <v/>
      </c>
      <c r="U789" s="20" t="str">
        <f aca="false">IF($N789="","",$Q789*$R789)</f>
        <v/>
      </c>
    </row>
    <row r="790" customFormat="false" ht="15" hidden="false" customHeight="false" outlineLevel="0" collapsed="false">
      <c r="J790" s="20" t="str">
        <f aca="false">IF($A790="","",$B790+$C790+$D790-$E790+$F790-$G790)</f>
        <v/>
      </c>
      <c r="K790" s="20" t="str">
        <f aca="false">IF($A790="","",MAX(0,$B790-$J790))</f>
        <v/>
      </c>
      <c r="L790" s="20" t="str">
        <f aca="false">IF($A790="","",IF($B790=0,0,$K790/$B790))</f>
        <v/>
      </c>
      <c r="M790" s="20" t="str">
        <f aca="false">IF($A790="","",IF($J790&lt;0,"BORCA BATIK",IF($I790&lt;$H790,"BORCA BATIK",IF($L790&gt;=TtkUcteIkiEsik,"2/3 KAYIP (KRİTİK)",IF($L790&gt;=TtkUcteBirEsik,"1/3 KAYIP (DİKKAT)","UYGUN")))))</f>
        <v/>
      </c>
      <c r="U790" s="20" t="str">
        <f aca="false">IF($N790="","",$Q790*$R790)</f>
        <v/>
      </c>
    </row>
    <row r="791" customFormat="false" ht="15" hidden="false" customHeight="false" outlineLevel="0" collapsed="false">
      <c r="J791" s="20" t="str">
        <f aca="false">IF($A791="","",$B791+$C791+$D791-$E791+$F791-$G791)</f>
        <v/>
      </c>
      <c r="K791" s="20" t="str">
        <f aca="false">IF($A791="","",MAX(0,$B791-$J791))</f>
        <v/>
      </c>
      <c r="L791" s="20" t="str">
        <f aca="false">IF($A791="","",IF($B791=0,0,$K791/$B791))</f>
        <v/>
      </c>
      <c r="M791" s="20" t="str">
        <f aca="false">IF($A791="","",IF($J791&lt;0,"BORCA BATIK",IF($I791&lt;$H791,"BORCA BATIK",IF($L791&gt;=TtkUcteIkiEsik,"2/3 KAYIP (KRİTİK)",IF($L791&gt;=TtkUcteBirEsik,"1/3 KAYIP (DİKKAT)","UYGUN")))))</f>
        <v/>
      </c>
      <c r="U791" s="20" t="str">
        <f aca="false">IF($N791="","",$Q791*$R791)</f>
        <v/>
      </c>
    </row>
    <row r="792" customFormat="false" ht="15" hidden="false" customHeight="false" outlineLevel="0" collapsed="false">
      <c r="J792" s="20" t="str">
        <f aca="false">IF($A792="","",$B792+$C792+$D792-$E792+$F792-$G792)</f>
        <v/>
      </c>
      <c r="K792" s="20" t="str">
        <f aca="false">IF($A792="","",MAX(0,$B792-$J792))</f>
        <v/>
      </c>
      <c r="L792" s="20" t="str">
        <f aca="false">IF($A792="","",IF($B792=0,0,$K792/$B792))</f>
        <v/>
      </c>
      <c r="M792" s="20" t="str">
        <f aca="false">IF($A792="","",IF($J792&lt;0,"BORCA BATIK",IF($I792&lt;$H792,"BORCA BATIK",IF($L792&gt;=TtkUcteIkiEsik,"2/3 KAYIP (KRİTİK)",IF($L792&gt;=TtkUcteBirEsik,"1/3 KAYIP (DİKKAT)","UYGUN")))))</f>
        <v/>
      </c>
      <c r="U792" s="20" t="str">
        <f aca="false">IF($N792="","",$Q792*$R792)</f>
        <v/>
      </c>
    </row>
    <row r="793" customFormat="false" ht="15" hidden="false" customHeight="false" outlineLevel="0" collapsed="false">
      <c r="J793" s="20" t="str">
        <f aca="false">IF($A793="","",$B793+$C793+$D793-$E793+$F793-$G793)</f>
        <v/>
      </c>
      <c r="K793" s="20" t="str">
        <f aca="false">IF($A793="","",MAX(0,$B793-$J793))</f>
        <v/>
      </c>
      <c r="L793" s="20" t="str">
        <f aca="false">IF($A793="","",IF($B793=0,0,$K793/$B793))</f>
        <v/>
      </c>
      <c r="M793" s="20" t="str">
        <f aca="false">IF($A793="","",IF($J793&lt;0,"BORCA BATIK",IF($I793&lt;$H793,"BORCA BATIK",IF($L793&gt;=TtkUcteIkiEsik,"2/3 KAYIP (KRİTİK)",IF($L793&gt;=TtkUcteBirEsik,"1/3 KAYIP (DİKKAT)","UYGUN")))))</f>
        <v/>
      </c>
      <c r="U793" s="20" t="str">
        <f aca="false">IF($N793="","",$Q793*$R793)</f>
        <v/>
      </c>
    </row>
    <row r="794" customFormat="false" ht="15" hidden="false" customHeight="false" outlineLevel="0" collapsed="false">
      <c r="J794" s="20" t="str">
        <f aca="false">IF($A794="","",$B794+$C794+$D794-$E794+$F794-$G794)</f>
        <v/>
      </c>
      <c r="K794" s="20" t="str">
        <f aca="false">IF($A794="","",MAX(0,$B794-$J794))</f>
        <v/>
      </c>
      <c r="L794" s="20" t="str">
        <f aca="false">IF($A794="","",IF($B794=0,0,$K794/$B794))</f>
        <v/>
      </c>
      <c r="M794" s="20" t="str">
        <f aca="false">IF($A794="","",IF($J794&lt;0,"BORCA BATIK",IF($I794&lt;$H794,"BORCA BATIK",IF($L794&gt;=TtkUcteIkiEsik,"2/3 KAYIP (KRİTİK)",IF($L794&gt;=TtkUcteBirEsik,"1/3 KAYIP (DİKKAT)","UYGUN")))))</f>
        <v/>
      </c>
      <c r="U794" s="20" t="str">
        <f aca="false">IF($N794="","",$Q794*$R794)</f>
        <v/>
      </c>
    </row>
    <row r="795" customFormat="false" ht="15" hidden="false" customHeight="false" outlineLevel="0" collapsed="false">
      <c r="J795" s="20" t="str">
        <f aca="false">IF($A795="","",$B795+$C795+$D795-$E795+$F795-$G795)</f>
        <v/>
      </c>
      <c r="K795" s="20" t="str">
        <f aca="false">IF($A795="","",MAX(0,$B795-$J795))</f>
        <v/>
      </c>
      <c r="L795" s="20" t="str">
        <f aca="false">IF($A795="","",IF($B795=0,0,$K795/$B795))</f>
        <v/>
      </c>
      <c r="M795" s="20" t="str">
        <f aca="false">IF($A795="","",IF($J795&lt;0,"BORCA BATIK",IF($I795&lt;$H795,"BORCA BATIK",IF($L795&gt;=TtkUcteIkiEsik,"2/3 KAYIP (KRİTİK)",IF($L795&gt;=TtkUcteBirEsik,"1/3 KAYIP (DİKKAT)","UYGUN")))))</f>
        <v/>
      </c>
      <c r="U795" s="20" t="str">
        <f aca="false">IF($N795="","",$Q795*$R795)</f>
        <v/>
      </c>
    </row>
    <row r="796" customFormat="false" ht="15" hidden="false" customHeight="false" outlineLevel="0" collapsed="false">
      <c r="J796" s="20" t="str">
        <f aca="false">IF($A796="","",$B796+$C796+$D796-$E796+$F796-$G796)</f>
        <v/>
      </c>
      <c r="K796" s="20" t="str">
        <f aca="false">IF($A796="","",MAX(0,$B796-$J796))</f>
        <v/>
      </c>
      <c r="L796" s="20" t="str">
        <f aca="false">IF($A796="","",IF($B796=0,0,$K796/$B796))</f>
        <v/>
      </c>
      <c r="M796" s="20" t="str">
        <f aca="false">IF($A796="","",IF($J796&lt;0,"BORCA BATIK",IF($I796&lt;$H796,"BORCA BATIK",IF($L796&gt;=TtkUcteIkiEsik,"2/3 KAYIP (KRİTİK)",IF($L796&gt;=TtkUcteBirEsik,"1/3 KAYIP (DİKKAT)","UYGUN")))))</f>
        <v/>
      </c>
      <c r="U796" s="20" t="str">
        <f aca="false">IF($N796="","",$Q796*$R796)</f>
        <v/>
      </c>
    </row>
    <row r="797" customFormat="false" ht="15" hidden="false" customHeight="false" outlineLevel="0" collapsed="false">
      <c r="J797" s="20" t="str">
        <f aca="false">IF($A797="","",$B797+$C797+$D797-$E797+$F797-$G797)</f>
        <v/>
      </c>
      <c r="K797" s="20" t="str">
        <f aca="false">IF($A797="","",MAX(0,$B797-$J797))</f>
        <v/>
      </c>
      <c r="L797" s="20" t="str">
        <f aca="false">IF($A797="","",IF($B797=0,0,$K797/$B797))</f>
        <v/>
      </c>
      <c r="M797" s="20" t="str">
        <f aca="false">IF($A797="","",IF($J797&lt;0,"BORCA BATIK",IF($I797&lt;$H797,"BORCA BATIK",IF($L797&gt;=TtkUcteIkiEsik,"2/3 KAYIP (KRİTİK)",IF($L797&gt;=TtkUcteBirEsik,"1/3 KAYIP (DİKKAT)","UYGUN")))))</f>
        <v/>
      </c>
      <c r="U797" s="20" t="str">
        <f aca="false">IF($N797="","",$Q797*$R797)</f>
        <v/>
      </c>
    </row>
    <row r="798" customFormat="false" ht="15" hidden="false" customHeight="false" outlineLevel="0" collapsed="false">
      <c r="J798" s="20" t="str">
        <f aca="false">IF($A798="","",$B798+$C798+$D798-$E798+$F798-$G798)</f>
        <v/>
      </c>
      <c r="K798" s="20" t="str">
        <f aca="false">IF($A798="","",MAX(0,$B798-$J798))</f>
        <v/>
      </c>
      <c r="L798" s="20" t="str">
        <f aca="false">IF($A798="","",IF($B798=0,0,$K798/$B798))</f>
        <v/>
      </c>
      <c r="M798" s="20" t="str">
        <f aca="false">IF($A798="","",IF($J798&lt;0,"BORCA BATIK",IF($I798&lt;$H798,"BORCA BATIK",IF($L798&gt;=TtkUcteIkiEsik,"2/3 KAYIP (KRİTİK)",IF($L798&gt;=TtkUcteBirEsik,"1/3 KAYIP (DİKKAT)","UYGUN")))))</f>
        <v/>
      </c>
      <c r="U798" s="20" t="str">
        <f aca="false">IF($N798="","",$Q798*$R798)</f>
        <v/>
      </c>
    </row>
    <row r="799" customFormat="false" ht="15" hidden="false" customHeight="false" outlineLevel="0" collapsed="false">
      <c r="J799" s="20" t="str">
        <f aca="false">IF($A799="","",$B799+$C799+$D799-$E799+$F799-$G799)</f>
        <v/>
      </c>
      <c r="K799" s="20" t="str">
        <f aca="false">IF($A799="","",MAX(0,$B799-$J799))</f>
        <v/>
      </c>
      <c r="L799" s="20" t="str">
        <f aca="false">IF($A799="","",IF($B799=0,0,$K799/$B799))</f>
        <v/>
      </c>
      <c r="M799" s="20" t="str">
        <f aca="false">IF($A799="","",IF($J799&lt;0,"BORCA BATIK",IF($I799&lt;$H799,"BORCA BATIK",IF($L799&gt;=TtkUcteIkiEsik,"2/3 KAYIP (KRİTİK)",IF($L799&gt;=TtkUcteBirEsik,"1/3 KAYIP (DİKKAT)","UYGUN")))))</f>
        <v/>
      </c>
      <c r="U799" s="20" t="str">
        <f aca="false">IF($N799="","",$Q799*$R799)</f>
        <v/>
      </c>
    </row>
    <row r="800" customFormat="false" ht="15" hidden="false" customHeight="false" outlineLevel="0" collapsed="false">
      <c r="J800" s="20" t="str">
        <f aca="false">IF($A800="","",$B800+$C800+$D800-$E800+$F800-$G800)</f>
        <v/>
      </c>
      <c r="K800" s="20" t="str">
        <f aca="false">IF($A800="","",MAX(0,$B800-$J800))</f>
        <v/>
      </c>
      <c r="L800" s="20" t="str">
        <f aca="false">IF($A800="","",IF($B800=0,0,$K800/$B800))</f>
        <v/>
      </c>
      <c r="M800" s="20" t="str">
        <f aca="false">IF($A800="","",IF($J800&lt;0,"BORCA BATIK",IF($I800&lt;$H800,"BORCA BATIK",IF($L800&gt;=TtkUcteIkiEsik,"2/3 KAYIP (KRİTİK)",IF($L800&gt;=TtkUcteBirEsik,"1/3 KAYIP (DİKKAT)","UYGUN")))))</f>
        <v/>
      </c>
      <c r="U800" s="20" t="str">
        <f aca="false">IF($N800="","",$Q800*$R800)</f>
        <v/>
      </c>
    </row>
    <row r="801" customFormat="false" ht="15" hidden="false" customHeight="false" outlineLevel="0" collapsed="false">
      <c r="J801" s="20" t="str">
        <f aca="false">IF($A801="","",$B801+$C801+$D801-$E801+$F801-$G801)</f>
        <v/>
      </c>
      <c r="K801" s="20" t="str">
        <f aca="false">IF($A801="","",MAX(0,$B801-$J801))</f>
        <v/>
      </c>
      <c r="L801" s="20" t="str">
        <f aca="false">IF($A801="","",IF($B801=0,0,$K801/$B801))</f>
        <v/>
      </c>
      <c r="M801" s="20" t="str">
        <f aca="false">IF($A801="","",IF($J801&lt;0,"BORCA BATIK",IF($I801&lt;$H801,"BORCA BATIK",IF($L801&gt;=TtkUcteIkiEsik,"2/3 KAYIP (KRİTİK)",IF($L801&gt;=TtkUcteBirEsik,"1/3 KAYIP (DİKKAT)","UYGUN")))))</f>
        <v/>
      </c>
      <c r="U801" s="20" t="str">
        <f aca="false">IF($N801="","",$Q801*$R801)</f>
        <v/>
      </c>
    </row>
    <row r="802" customFormat="false" ht="15" hidden="false" customHeight="false" outlineLevel="0" collapsed="false">
      <c r="J802" s="20" t="str">
        <f aca="false">IF($A802="","",$B802+$C802+$D802-$E802+$F802-$G802)</f>
        <v/>
      </c>
      <c r="K802" s="20" t="str">
        <f aca="false">IF($A802="","",MAX(0,$B802-$J802))</f>
        <v/>
      </c>
      <c r="L802" s="20" t="str">
        <f aca="false">IF($A802="","",IF($B802=0,0,$K802/$B802))</f>
        <v/>
      </c>
      <c r="M802" s="20" t="str">
        <f aca="false">IF($A802="","",IF($J802&lt;0,"BORCA BATIK",IF($I802&lt;$H802,"BORCA BATIK",IF($L802&gt;=TtkUcteIkiEsik,"2/3 KAYIP (KRİTİK)",IF($L802&gt;=TtkUcteBirEsik,"1/3 KAYIP (DİKKAT)","UYGUN")))))</f>
        <v/>
      </c>
      <c r="U802" s="20" t="str">
        <f aca="false">IF($N802="","",$Q802*$R802)</f>
        <v/>
      </c>
    </row>
    <row r="803" customFormat="false" ht="15" hidden="false" customHeight="false" outlineLevel="0" collapsed="false">
      <c r="J803" s="20" t="str">
        <f aca="false">IF($A803="","",$B803+$C803+$D803-$E803+$F803-$G803)</f>
        <v/>
      </c>
      <c r="K803" s="20" t="str">
        <f aca="false">IF($A803="","",MAX(0,$B803-$J803))</f>
        <v/>
      </c>
      <c r="L803" s="20" t="str">
        <f aca="false">IF($A803="","",IF($B803=0,0,$K803/$B803))</f>
        <v/>
      </c>
      <c r="M803" s="20" t="str">
        <f aca="false">IF($A803="","",IF($J803&lt;0,"BORCA BATIK",IF($I803&lt;$H803,"BORCA BATIK",IF($L803&gt;=TtkUcteIkiEsik,"2/3 KAYIP (KRİTİK)",IF($L803&gt;=TtkUcteBirEsik,"1/3 KAYIP (DİKKAT)","UYGUN")))))</f>
        <v/>
      </c>
      <c r="U803" s="20" t="str">
        <f aca="false">IF($N803="","",$Q803*$R803)</f>
        <v/>
      </c>
    </row>
    <row r="804" customFormat="false" ht="15" hidden="false" customHeight="false" outlineLevel="0" collapsed="false">
      <c r="J804" s="20" t="str">
        <f aca="false">IF($A804="","",$B804+$C804+$D804-$E804+$F804-$G804)</f>
        <v/>
      </c>
      <c r="K804" s="20" t="str">
        <f aca="false">IF($A804="","",MAX(0,$B804-$J804))</f>
        <v/>
      </c>
      <c r="L804" s="20" t="str">
        <f aca="false">IF($A804="","",IF($B804=0,0,$K804/$B804))</f>
        <v/>
      </c>
      <c r="M804" s="20" t="str">
        <f aca="false">IF($A804="","",IF($J804&lt;0,"BORCA BATIK",IF($I804&lt;$H804,"BORCA BATIK",IF($L804&gt;=TtkUcteIkiEsik,"2/3 KAYIP (KRİTİK)",IF($L804&gt;=TtkUcteBirEsik,"1/3 KAYIP (DİKKAT)","UYGUN")))))</f>
        <v/>
      </c>
      <c r="U804" s="20" t="str">
        <f aca="false">IF($N804="","",$Q804*$R804)</f>
        <v/>
      </c>
    </row>
    <row r="805" customFormat="false" ht="15" hidden="false" customHeight="false" outlineLevel="0" collapsed="false">
      <c r="J805" s="20" t="str">
        <f aca="false">IF($A805="","",$B805+$C805+$D805-$E805+$F805-$G805)</f>
        <v/>
      </c>
      <c r="K805" s="20" t="str">
        <f aca="false">IF($A805="","",MAX(0,$B805-$J805))</f>
        <v/>
      </c>
      <c r="L805" s="20" t="str">
        <f aca="false">IF($A805="","",IF($B805=0,0,$K805/$B805))</f>
        <v/>
      </c>
      <c r="M805" s="20" t="str">
        <f aca="false">IF($A805="","",IF($J805&lt;0,"BORCA BATIK",IF($I805&lt;$H805,"BORCA BATIK",IF($L805&gt;=TtkUcteIkiEsik,"2/3 KAYIP (KRİTİK)",IF($L805&gt;=TtkUcteBirEsik,"1/3 KAYIP (DİKKAT)","UYGUN")))))</f>
        <v/>
      </c>
      <c r="U805" s="20" t="str">
        <f aca="false">IF($N805="","",$Q805*$R805)</f>
        <v/>
      </c>
    </row>
    <row r="806" customFormat="false" ht="15" hidden="false" customHeight="false" outlineLevel="0" collapsed="false">
      <c r="J806" s="20" t="str">
        <f aca="false">IF($A806="","",$B806+$C806+$D806-$E806+$F806-$G806)</f>
        <v/>
      </c>
      <c r="K806" s="20" t="str">
        <f aca="false">IF($A806="","",MAX(0,$B806-$J806))</f>
        <v/>
      </c>
      <c r="L806" s="20" t="str">
        <f aca="false">IF($A806="","",IF($B806=0,0,$K806/$B806))</f>
        <v/>
      </c>
      <c r="M806" s="20" t="str">
        <f aca="false">IF($A806="","",IF($J806&lt;0,"BORCA BATIK",IF($I806&lt;$H806,"BORCA BATIK",IF($L806&gt;=TtkUcteIkiEsik,"2/3 KAYIP (KRİTİK)",IF($L806&gt;=TtkUcteBirEsik,"1/3 KAYIP (DİKKAT)","UYGUN")))))</f>
        <v/>
      </c>
      <c r="U806" s="20" t="str">
        <f aca="false">IF($N806="","",$Q806*$R806)</f>
        <v/>
      </c>
    </row>
    <row r="807" customFormat="false" ht="15" hidden="false" customHeight="false" outlineLevel="0" collapsed="false">
      <c r="J807" s="20" t="str">
        <f aca="false">IF($A807="","",$B807+$C807+$D807-$E807+$F807-$G807)</f>
        <v/>
      </c>
      <c r="K807" s="20" t="str">
        <f aca="false">IF($A807="","",MAX(0,$B807-$J807))</f>
        <v/>
      </c>
      <c r="L807" s="20" t="str">
        <f aca="false">IF($A807="","",IF($B807=0,0,$K807/$B807))</f>
        <v/>
      </c>
      <c r="M807" s="20" t="str">
        <f aca="false">IF($A807="","",IF($J807&lt;0,"BORCA BATIK",IF($I807&lt;$H807,"BORCA BATIK",IF($L807&gt;=TtkUcteIkiEsik,"2/3 KAYIP (KRİTİK)",IF($L807&gt;=TtkUcteBirEsik,"1/3 KAYIP (DİKKAT)","UYGUN")))))</f>
        <v/>
      </c>
      <c r="U807" s="20" t="str">
        <f aca="false">IF($N807="","",$Q807*$R807)</f>
        <v/>
      </c>
    </row>
    <row r="808" customFormat="false" ht="15" hidden="false" customHeight="false" outlineLevel="0" collapsed="false">
      <c r="J808" s="20" t="str">
        <f aca="false">IF($A808="","",$B808+$C808+$D808-$E808+$F808-$G808)</f>
        <v/>
      </c>
      <c r="K808" s="20" t="str">
        <f aca="false">IF($A808="","",MAX(0,$B808-$J808))</f>
        <v/>
      </c>
      <c r="L808" s="20" t="str">
        <f aca="false">IF($A808="","",IF($B808=0,0,$K808/$B808))</f>
        <v/>
      </c>
      <c r="M808" s="20" t="str">
        <f aca="false">IF($A808="","",IF($J808&lt;0,"BORCA BATIK",IF($I808&lt;$H808,"BORCA BATIK",IF($L808&gt;=TtkUcteIkiEsik,"2/3 KAYIP (KRİTİK)",IF($L808&gt;=TtkUcteBirEsik,"1/3 KAYIP (DİKKAT)","UYGUN")))))</f>
        <v/>
      </c>
      <c r="U808" s="20" t="str">
        <f aca="false">IF($N808="","",$Q808*$R808)</f>
        <v/>
      </c>
    </row>
    <row r="809" customFormat="false" ht="15" hidden="false" customHeight="false" outlineLevel="0" collapsed="false">
      <c r="J809" s="20" t="str">
        <f aca="false">IF($A809="","",$B809+$C809+$D809-$E809+$F809-$G809)</f>
        <v/>
      </c>
      <c r="K809" s="20" t="str">
        <f aca="false">IF($A809="","",MAX(0,$B809-$J809))</f>
        <v/>
      </c>
      <c r="L809" s="20" t="str">
        <f aca="false">IF($A809="","",IF($B809=0,0,$K809/$B809))</f>
        <v/>
      </c>
      <c r="M809" s="20" t="str">
        <f aca="false">IF($A809="","",IF($J809&lt;0,"BORCA BATIK",IF($I809&lt;$H809,"BORCA BATIK",IF($L809&gt;=TtkUcteIkiEsik,"2/3 KAYIP (KRİTİK)",IF($L809&gt;=TtkUcteBirEsik,"1/3 KAYIP (DİKKAT)","UYGUN")))))</f>
        <v/>
      </c>
      <c r="U809" s="20" t="str">
        <f aca="false">IF($N809="","",$Q809*$R809)</f>
        <v/>
      </c>
    </row>
    <row r="810" customFormat="false" ht="15" hidden="false" customHeight="false" outlineLevel="0" collapsed="false">
      <c r="J810" s="20" t="str">
        <f aca="false">IF($A810="","",$B810+$C810+$D810-$E810+$F810-$G810)</f>
        <v/>
      </c>
      <c r="K810" s="20" t="str">
        <f aca="false">IF($A810="","",MAX(0,$B810-$J810))</f>
        <v/>
      </c>
      <c r="L810" s="20" t="str">
        <f aca="false">IF($A810="","",IF($B810=0,0,$K810/$B810))</f>
        <v/>
      </c>
      <c r="M810" s="20" t="str">
        <f aca="false">IF($A810="","",IF($J810&lt;0,"BORCA BATIK",IF($I810&lt;$H810,"BORCA BATIK",IF($L810&gt;=TtkUcteIkiEsik,"2/3 KAYIP (KRİTİK)",IF($L810&gt;=TtkUcteBirEsik,"1/3 KAYIP (DİKKAT)","UYGUN")))))</f>
        <v/>
      </c>
      <c r="U810" s="20" t="str">
        <f aca="false">IF($N810="","",$Q810*$R810)</f>
        <v/>
      </c>
    </row>
    <row r="811" customFormat="false" ht="15" hidden="false" customHeight="false" outlineLevel="0" collapsed="false">
      <c r="J811" s="20" t="str">
        <f aca="false">IF($A811="","",$B811+$C811+$D811-$E811+$F811-$G811)</f>
        <v/>
      </c>
      <c r="K811" s="20" t="str">
        <f aca="false">IF($A811="","",MAX(0,$B811-$J811))</f>
        <v/>
      </c>
      <c r="L811" s="20" t="str">
        <f aca="false">IF($A811="","",IF($B811=0,0,$K811/$B811))</f>
        <v/>
      </c>
      <c r="M811" s="20" t="str">
        <f aca="false">IF($A811="","",IF($J811&lt;0,"BORCA BATIK",IF($I811&lt;$H811,"BORCA BATIK",IF($L811&gt;=TtkUcteIkiEsik,"2/3 KAYIP (KRİTİK)",IF($L811&gt;=TtkUcteBirEsik,"1/3 KAYIP (DİKKAT)","UYGUN")))))</f>
        <v/>
      </c>
      <c r="U811" s="20" t="str">
        <f aca="false">IF($N811="","",$Q811*$R811)</f>
        <v/>
      </c>
    </row>
    <row r="812" customFormat="false" ht="15" hidden="false" customHeight="false" outlineLevel="0" collapsed="false">
      <c r="J812" s="20" t="str">
        <f aca="false">IF($A812="","",$B812+$C812+$D812-$E812+$F812-$G812)</f>
        <v/>
      </c>
      <c r="K812" s="20" t="str">
        <f aca="false">IF($A812="","",MAX(0,$B812-$J812))</f>
        <v/>
      </c>
      <c r="L812" s="20" t="str">
        <f aca="false">IF($A812="","",IF($B812=0,0,$K812/$B812))</f>
        <v/>
      </c>
      <c r="M812" s="20" t="str">
        <f aca="false">IF($A812="","",IF($J812&lt;0,"BORCA BATIK",IF($I812&lt;$H812,"BORCA BATIK",IF($L812&gt;=TtkUcteIkiEsik,"2/3 KAYIP (KRİTİK)",IF($L812&gt;=TtkUcteBirEsik,"1/3 KAYIP (DİKKAT)","UYGUN")))))</f>
        <v/>
      </c>
      <c r="U812" s="20" t="str">
        <f aca="false">IF($N812="","",$Q812*$R812)</f>
        <v/>
      </c>
    </row>
    <row r="813" customFormat="false" ht="15" hidden="false" customHeight="false" outlineLevel="0" collapsed="false">
      <c r="J813" s="20" t="str">
        <f aca="false">IF($A813="","",$B813+$C813+$D813-$E813+$F813-$G813)</f>
        <v/>
      </c>
      <c r="K813" s="20" t="str">
        <f aca="false">IF($A813="","",MAX(0,$B813-$J813))</f>
        <v/>
      </c>
      <c r="L813" s="20" t="str">
        <f aca="false">IF($A813="","",IF($B813=0,0,$K813/$B813))</f>
        <v/>
      </c>
      <c r="M813" s="20" t="str">
        <f aca="false">IF($A813="","",IF($J813&lt;0,"BORCA BATIK",IF($I813&lt;$H813,"BORCA BATIK",IF($L813&gt;=TtkUcteIkiEsik,"2/3 KAYIP (KRİTİK)",IF($L813&gt;=TtkUcteBirEsik,"1/3 KAYIP (DİKKAT)","UYGUN")))))</f>
        <v/>
      </c>
      <c r="U813" s="20" t="str">
        <f aca="false">IF($N813="","",$Q813*$R813)</f>
        <v/>
      </c>
    </row>
    <row r="814" customFormat="false" ht="15" hidden="false" customHeight="false" outlineLevel="0" collapsed="false">
      <c r="J814" s="20" t="str">
        <f aca="false">IF($A814="","",$B814+$C814+$D814-$E814+$F814-$G814)</f>
        <v/>
      </c>
      <c r="K814" s="20" t="str">
        <f aca="false">IF($A814="","",MAX(0,$B814-$J814))</f>
        <v/>
      </c>
      <c r="L814" s="20" t="str">
        <f aca="false">IF($A814="","",IF($B814=0,0,$K814/$B814))</f>
        <v/>
      </c>
      <c r="M814" s="20" t="str">
        <f aca="false">IF($A814="","",IF($J814&lt;0,"BORCA BATIK",IF($I814&lt;$H814,"BORCA BATIK",IF($L814&gt;=TtkUcteIkiEsik,"2/3 KAYIP (KRİTİK)",IF($L814&gt;=TtkUcteBirEsik,"1/3 KAYIP (DİKKAT)","UYGUN")))))</f>
        <v/>
      </c>
      <c r="U814" s="20" t="str">
        <f aca="false">IF($N814="","",$Q814*$R814)</f>
        <v/>
      </c>
    </row>
    <row r="815" customFormat="false" ht="15" hidden="false" customHeight="false" outlineLevel="0" collapsed="false">
      <c r="J815" s="20" t="str">
        <f aca="false">IF($A815="","",$B815+$C815+$D815-$E815+$F815-$G815)</f>
        <v/>
      </c>
      <c r="K815" s="20" t="str">
        <f aca="false">IF($A815="","",MAX(0,$B815-$J815))</f>
        <v/>
      </c>
      <c r="L815" s="20" t="str">
        <f aca="false">IF($A815="","",IF($B815=0,0,$K815/$B815))</f>
        <v/>
      </c>
      <c r="M815" s="20" t="str">
        <f aca="false">IF($A815="","",IF($J815&lt;0,"BORCA BATIK",IF($I815&lt;$H815,"BORCA BATIK",IF($L815&gt;=TtkUcteIkiEsik,"2/3 KAYIP (KRİTİK)",IF($L815&gt;=TtkUcteBirEsik,"1/3 KAYIP (DİKKAT)","UYGUN")))))</f>
        <v/>
      </c>
      <c r="U815" s="20" t="str">
        <f aca="false">IF($N815="","",$Q815*$R815)</f>
        <v/>
      </c>
    </row>
    <row r="816" customFormat="false" ht="15" hidden="false" customHeight="false" outlineLevel="0" collapsed="false">
      <c r="J816" s="20" t="str">
        <f aca="false">IF($A816="","",$B816+$C816+$D816-$E816+$F816-$G816)</f>
        <v/>
      </c>
      <c r="K816" s="20" t="str">
        <f aca="false">IF($A816="","",MAX(0,$B816-$J816))</f>
        <v/>
      </c>
      <c r="L816" s="20" t="str">
        <f aca="false">IF($A816="","",IF($B816=0,0,$K816/$B816))</f>
        <v/>
      </c>
      <c r="M816" s="20" t="str">
        <f aca="false">IF($A816="","",IF($J816&lt;0,"BORCA BATIK",IF($I816&lt;$H816,"BORCA BATIK",IF($L816&gt;=TtkUcteIkiEsik,"2/3 KAYIP (KRİTİK)",IF($L816&gt;=TtkUcteBirEsik,"1/3 KAYIP (DİKKAT)","UYGUN")))))</f>
        <v/>
      </c>
      <c r="U816" s="20" t="str">
        <f aca="false">IF($N816="","",$Q816*$R816)</f>
        <v/>
      </c>
    </row>
    <row r="817" customFormat="false" ht="15" hidden="false" customHeight="false" outlineLevel="0" collapsed="false">
      <c r="J817" s="20" t="str">
        <f aca="false">IF($A817="","",$B817+$C817+$D817-$E817+$F817-$G817)</f>
        <v/>
      </c>
      <c r="K817" s="20" t="str">
        <f aca="false">IF($A817="","",MAX(0,$B817-$J817))</f>
        <v/>
      </c>
      <c r="L817" s="20" t="str">
        <f aca="false">IF($A817="","",IF($B817=0,0,$K817/$B817))</f>
        <v/>
      </c>
      <c r="M817" s="20" t="str">
        <f aca="false">IF($A817="","",IF($J817&lt;0,"BORCA BATIK",IF($I817&lt;$H817,"BORCA BATIK",IF($L817&gt;=TtkUcteIkiEsik,"2/3 KAYIP (KRİTİK)",IF($L817&gt;=TtkUcteBirEsik,"1/3 KAYIP (DİKKAT)","UYGUN")))))</f>
        <v/>
      </c>
      <c r="U817" s="20" t="str">
        <f aca="false">IF($N817="","",$Q817*$R817)</f>
        <v/>
      </c>
    </row>
    <row r="818" customFormat="false" ht="15" hidden="false" customHeight="false" outlineLevel="0" collapsed="false">
      <c r="J818" s="20" t="str">
        <f aca="false">IF($A818="","",$B818+$C818+$D818-$E818+$F818-$G818)</f>
        <v/>
      </c>
      <c r="K818" s="20" t="str">
        <f aca="false">IF($A818="","",MAX(0,$B818-$J818))</f>
        <v/>
      </c>
      <c r="L818" s="20" t="str">
        <f aca="false">IF($A818="","",IF($B818=0,0,$K818/$B818))</f>
        <v/>
      </c>
      <c r="M818" s="20" t="str">
        <f aca="false">IF($A818="","",IF($J818&lt;0,"BORCA BATIK",IF($I818&lt;$H818,"BORCA BATIK",IF($L818&gt;=TtkUcteIkiEsik,"2/3 KAYIP (KRİTİK)",IF($L818&gt;=TtkUcteBirEsik,"1/3 KAYIP (DİKKAT)","UYGUN")))))</f>
        <v/>
      </c>
      <c r="U818" s="20" t="str">
        <f aca="false">IF($N818="","",$Q818*$R818)</f>
        <v/>
      </c>
    </row>
    <row r="819" customFormat="false" ht="15" hidden="false" customHeight="false" outlineLevel="0" collapsed="false">
      <c r="J819" s="20" t="str">
        <f aca="false">IF($A819="","",$B819+$C819+$D819-$E819+$F819-$G819)</f>
        <v/>
      </c>
      <c r="K819" s="20" t="str">
        <f aca="false">IF($A819="","",MAX(0,$B819-$J819))</f>
        <v/>
      </c>
      <c r="L819" s="20" t="str">
        <f aca="false">IF($A819="","",IF($B819=0,0,$K819/$B819))</f>
        <v/>
      </c>
      <c r="M819" s="20" t="str">
        <f aca="false">IF($A819="","",IF($J819&lt;0,"BORCA BATIK",IF($I819&lt;$H819,"BORCA BATIK",IF($L819&gt;=TtkUcteIkiEsik,"2/3 KAYIP (KRİTİK)",IF($L819&gt;=TtkUcteBirEsik,"1/3 KAYIP (DİKKAT)","UYGUN")))))</f>
        <v/>
      </c>
      <c r="U819" s="20" t="str">
        <f aca="false">IF($N819="","",$Q819*$R819)</f>
        <v/>
      </c>
    </row>
    <row r="820" customFormat="false" ht="15" hidden="false" customHeight="false" outlineLevel="0" collapsed="false">
      <c r="J820" s="20" t="str">
        <f aca="false">IF($A820="","",$B820+$C820+$D820-$E820+$F820-$G820)</f>
        <v/>
      </c>
      <c r="K820" s="20" t="str">
        <f aca="false">IF($A820="","",MAX(0,$B820-$J820))</f>
        <v/>
      </c>
      <c r="L820" s="20" t="str">
        <f aca="false">IF($A820="","",IF($B820=0,0,$K820/$B820))</f>
        <v/>
      </c>
      <c r="M820" s="20" t="str">
        <f aca="false">IF($A820="","",IF($J820&lt;0,"BORCA BATIK",IF($I820&lt;$H820,"BORCA BATIK",IF($L820&gt;=TtkUcteIkiEsik,"2/3 KAYIP (KRİTİK)",IF($L820&gt;=TtkUcteBirEsik,"1/3 KAYIP (DİKKAT)","UYGUN")))))</f>
        <v/>
      </c>
      <c r="U820" s="20" t="str">
        <f aca="false">IF($N820="","",$Q820*$R820)</f>
        <v/>
      </c>
    </row>
    <row r="821" customFormat="false" ht="15" hidden="false" customHeight="false" outlineLevel="0" collapsed="false">
      <c r="J821" s="20" t="str">
        <f aca="false">IF($A821="","",$B821+$C821+$D821-$E821+$F821-$G821)</f>
        <v/>
      </c>
      <c r="K821" s="20" t="str">
        <f aca="false">IF($A821="","",MAX(0,$B821-$J821))</f>
        <v/>
      </c>
      <c r="L821" s="20" t="str">
        <f aca="false">IF($A821="","",IF($B821=0,0,$K821/$B821))</f>
        <v/>
      </c>
      <c r="M821" s="20" t="str">
        <f aca="false">IF($A821="","",IF($J821&lt;0,"BORCA BATIK",IF($I821&lt;$H821,"BORCA BATIK",IF($L821&gt;=TtkUcteIkiEsik,"2/3 KAYIP (KRİTİK)",IF($L821&gt;=TtkUcteBirEsik,"1/3 KAYIP (DİKKAT)","UYGUN")))))</f>
        <v/>
      </c>
      <c r="U821" s="20" t="str">
        <f aca="false">IF($N821="","",$Q821*$R821)</f>
        <v/>
      </c>
    </row>
    <row r="822" customFormat="false" ht="15" hidden="false" customHeight="false" outlineLevel="0" collapsed="false">
      <c r="J822" s="20" t="str">
        <f aca="false">IF($A822="","",$B822+$C822+$D822-$E822+$F822-$G822)</f>
        <v/>
      </c>
      <c r="K822" s="20" t="str">
        <f aca="false">IF($A822="","",MAX(0,$B822-$J822))</f>
        <v/>
      </c>
      <c r="L822" s="20" t="str">
        <f aca="false">IF($A822="","",IF($B822=0,0,$K822/$B822))</f>
        <v/>
      </c>
      <c r="M822" s="20" t="str">
        <f aca="false">IF($A822="","",IF($J822&lt;0,"BORCA BATIK",IF($I822&lt;$H822,"BORCA BATIK",IF($L822&gt;=TtkUcteIkiEsik,"2/3 KAYIP (KRİTİK)",IF($L822&gt;=TtkUcteBirEsik,"1/3 KAYIP (DİKKAT)","UYGUN")))))</f>
        <v/>
      </c>
      <c r="U822" s="20" t="str">
        <f aca="false">IF($N822="","",$Q822*$R822)</f>
        <v/>
      </c>
    </row>
    <row r="823" customFormat="false" ht="15" hidden="false" customHeight="false" outlineLevel="0" collapsed="false">
      <c r="J823" s="20" t="str">
        <f aca="false">IF($A823="","",$B823+$C823+$D823-$E823+$F823-$G823)</f>
        <v/>
      </c>
      <c r="K823" s="20" t="str">
        <f aca="false">IF($A823="","",MAX(0,$B823-$J823))</f>
        <v/>
      </c>
      <c r="L823" s="20" t="str">
        <f aca="false">IF($A823="","",IF($B823=0,0,$K823/$B823))</f>
        <v/>
      </c>
      <c r="M823" s="20" t="str">
        <f aca="false">IF($A823="","",IF($J823&lt;0,"BORCA BATIK",IF($I823&lt;$H823,"BORCA BATIK",IF($L823&gt;=TtkUcteIkiEsik,"2/3 KAYIP (KRİTİK)",IF($L823&gt;=TtkUcteBirEsik,"1/3 KAYIP (DİKKAT)","UYGUN")))))</f>
        <v/>
      </c>
      <c r="U823" s="20" t="str">
        <f aca="false">IF($N823="","",$Q823*$R823)</f>
        <v/>
      </c>
    </row>
    <row r="824" customFormat="false" ht="15" hidden="false" customHeight="false" outlineLevel="0" collapsed="false">
      <c r="J824" s="20" t="str">
        <f aca="false">IF($A824="","",$B824+$C824+$D824-$E824+$F824-$G824)</f>
        <v/>
      </c>
      <c r="K824" s="20" t="str">
        <f aca="false">IF($A824="","",MAX(0,$B824-$J824))</f>
        <v/>
      </c>
      <c r="L824" s="20" t="str">
        <f aca="false">IF($A824="","",IF($B824=0,0,$K824/$B824))</f>
        <v/>
      </c>
      <c r="M824" s="20" t="str">
        <f aca="false">IF($A824="","",IF($J824&lt;0,"BORCA BATIK",IF($I824&lt;$H824,"BORCA BATIK",IF($L824&gt;=TtkUcteIkiEsik,"2/3 KAYIP (KRİTİK)",IF($L824&gt;=TtkUcteBirEsik,"1/3 KAYIP (DİKKAT)","UYGUN")))))</f>
        <v/>
      </c>
      <c r="U824" s="20" t="str">
        <f aca="false">IF($N824="","",$Q824*$R824)</f>
        <v/>
      </c>
    </row>
    <row r="825" customFormat="false" ht="15" hidden="false" customHeight="false" outlineLevel="0" collapsed="false">
      <c r="J825" s="20" t="str">
        <f aca="false">IF($A825="","",$B825+$C825+$D825-$E825+$F825-$G825)</f>
        <v/>
      </c>
      <c r="K825" s="20" t="str">
        <f aca="false">IF($A825="","",MAX(0,$B825-$J825))</f>
        <v/>
      </c>
      <c r="L825" s="20" t="str">
        <f aca="false">IF($A825="","",IF($B825=0,0,$K825/$B825))</f>
        <v/>
      </c>
      <c r="M825" s="20" t="str">
        <f aca="false">IF($A825="","",IF($J825&lt;0,"BORCA BATIK",IF($I825&lt;$H825,"BORCA BATIK",IF($L825&gt;=TtkUcteIkiEsik,"2/3 KAYIP (KRİTİK)",IF($L825&gt;=TtkUcteBirEsik,"1/3 KAYIP (DİKKAT)","UYGUN")))))</f>
        <v/>
      </c>
      <c r="U825" s="20" t="str">
        <f aca="false">IF($N825="","",$Q825*$R825)</f>
        <v/>
      </c>
    </row>
    <row r="826" customFormat="false" ht="15" hidden="false" customHeight="false" outlineLevel="0" collapsed="false">
      <c r="J826" s="20" t="str">
        <f aca="false">IF($A826="","",$B826+$C826+$D826-$E826+$F826-$G826)</f>
        <v/>
      </c>
      <c r="K826" s="20" t="str">
        <f aca="false">IF($A826="","",MAX(0,$B826-$J826))</f>
        <v/>
      </c>
      <c r="L826" s="20" t="str">
        <f aca="false">IF($A826="","",IF($B826=0,0,$K826/$B826))</f>
        <v/>
      </c>
      <c r="M826" s="20" t="str">
        <f aca="false">IF($A826="","",IF($J826&lt;0,"BORCA BATIK",IF($I826&lt;$H826,"BORCA BATIK",IF($L826&gt;=TtkUcteIkiEsik,"2/3 KAYIP (KRİTİK)",IF($L826&gt;=TtkUcteBirEsik,"1/3 KAYIP (DİKKAT)","UYGUN")))))</f>
        <v/>
      </c>
      <c r="U826" s="20" t="str">
        <f aca="false">IF($N826="","",$Q826*$R826)</f>
        <v/>
      </c>
    </row>
    <row r="827" customFormat="false" ht="15" hidden="false" customHeight="false" outlineLevel="0" collapsed="false">
      <c r="J827" s="20" t="str">
        <f aca="false">IF($A827="","",$B827+$C827+$D827-$E827+$F827-$G827)</f>
        <v/>
      </c>
      <c r="K827" s="20" t="str">
        <f aca="false">IF($A827="","",MAX(0,$B827-$J827))</f>
        <v/>
      </c>
      <c r="L827" s="20" t="str">
        <f aca="false">IF($A827="","",IF($B827=0,0,$K827/$B827))</f>
        <v/>
      </c>
      <c r="M827" s="20" t="str">
        <f aca="false">IF($A827="","",IF($J827&lt;0,"BORCA BATIK",IF($I827&lt;$H827,"BORCA BATIK",IF($L827&gt;=TtkUcteIkiEsik,"2/3 KAYIP (KRİTİK)",IF($L827&gt;=TtkUcteBirEsik,"1/3 KAYIP (DİKKAT)","UYGUN")))))</f>
        <v/>
      </c>
      <c r="U827" s="20" t="str">
        <f aca="false">IF($N827="","",$Q827*$R827)</f>
        <v/>
      </c>
    </row>
    <row r="828" customFormat="false" ht="15" hidden="false" customHeight="false" outlineLevel="0" collapsed="false">
      <c r="J828" s="20" t="str">
        <f aca="false">IF($A828="","",$B828+$C828+$D828-$E828+$F828-$G828)</f>
        <v/>
      </c>
      <c r="K828" s="20" t="str">
        <f aca="false">IF($A828="","",MAX(0,$B828-$J828))</f>
        <v/>
      </c>
      <c r="L828" s="20" t="str">
        <f aca="false">IF($A828="","",IF($B828=0,0,$K828/$B828))</f>
        <v/>
      </c>
      <c r="M828" s="20" t="str">
        <f aca="false">IF($A828="","",IF($J828&lt;0,"BORCA BATIK",IF($I828&lt;$H828,"BORCA BATIK",IF($L828&gt;=TtkUcteIkiEsik,"2/3 KAYIP (KRİTİK)",IF($L828&gt;=TtkUcteBirEsik,"1/3 KAYIP (DİKKAT)","UYGUN")))))</f>
        <v/>
      </c>
      <c r="U828" s="20" t="str">
        <f aca="false">IF($N828="","",$Q828*$R828)</f>
        <v/>
      </c>
    </row>
    <row r="829" customFormat="false" ht="15" hidden="false" customHeight="false" outlineLevel="0" collapsed="false">
      <c r="J829" s="20" t="str">
        <f aca="false">IF($A829="","",$B829+$C829+$D829-$E829+$F829-$G829)</f>
        <v/>
      </c>
      <c r="K829" s="20" t="str">
        <f aca="false">IF($A829="","",MAX(0,$B829-$J829))</f>
        <v/>
      </c>
      <c r="L829" s="20" t="str">
        <f aca="false">IF($A829="","",IF($B829=0,0,$K829/$B829))</f>
        <v/>
      </c>
      <c r="M829" s="20" t="str">
        <f aca="false">IF($A829="","",IF($J829&lt;0,"BORCA BATIK",IF($I829&lt;$H829,"BORCA BATIK",IF($L829&gt;=TtkUcteIkiEsik,"2/3 KAYIP (KRİTİK)",IF($L829&gt;=TtkUcteBirEsik,"1/3 KAYIP (DİKKAT)","UYGUN")))))</f>
        <v/>
      </c>
      <c r="U829" s="20" t="str">
        <f aca="false">IF($N829="","",$Q829*$R829)</f>
        <v/>
      </c>
    </row>
    <row r="830" customFormat="false" ht="15" hidden="false" customHeight="false" outlineLevel="0" collapsed="false">
      <c r="J830" s="20" t="str">
        <f aca="false">IF($A830="","",$B830+$C830+$D830-$E830+$F830-$G830)</f>
        <v/>
      </c>
      <c r="K830" s="20" t="str">
        <f aca="false">IF($A830="","",MAX(0,$B830-$J830))</f>
        <v/>
      </c>
      <c r="L830" s="20" t="str">
        <f aca="false">IF($A830="","",IF($B830=0,0,$K830/$B830))</f>
        <v/>
      </c>
      <c r="M830" s="20" t="str">
        <f aca="false">IF($A830="","",IF($J830&lt;0,"BORCA BATIK",IF($I830&lt;$H830,"BORCA BATIK",IF($L830&gt;=TtkUcteIkiEsik,"2/3 KAYIP (KRİTİK)",IF($L830&gt;=TtkUcteBirEsik,"1/3 KAYIP (DİKKAT)","UYGUN")))))</f>
        <v/>
      </c>
      <c r="U830" s="20" t="str">
        <f aca="false">IF($N830="","",$Q830*$R830)</f>
        <v/>
      </c>
    </row>
    <row r="831" customFormat="false" ht="15" hidden="false" customHeight="false" outlineLevel="0" collapsed="false">
      <c r="J831" s="20" t="str">
        <f aca="false">IF($A831="","",$B831+$C831+$D831-$E831+$F831-$G831)</f>
        <v/>
      </c>
      <c r="K831" s="20" t="str">
        <f aca="false">IF($A831="","",MAX(0,$B831-$J831))</f>
        <v/>
      </c>
      <c r="L831" s="20" t="str">
        <f aca="false">IF($A831="","",IF($B831=0,0,$K831/$B831))</f>
        <v/>
      </c>
      <c r="M831" s="20" t="str">
        <f aca="false">IF($A831="","",IF($J831&lt;0,"BORCA BATIK",IF($I831&lt;$H831,"BORCA BATIK",IF($L831&gt;=TtkUcteIkiEsik,"2/3 KAYIP (KRİTİK)",IF($L831&gt;=TtkUcteBirEsik,"1/3 KAYIP (DİKKAT)","UYGUN")))))</f>
        <v/>
      </c>
      <c r="U831" s="20" t="str">
        <f aca="false">IF($N831="","",$Q831*$R831)</f>
        <v/>
      </c>
    </row>
    <row r="832" customFormat="false" ht="15" hidden="false" customHeight="false" outlineLevel="0" collapsed="false">
      <c r="J832" s="20" t="str">
        <f aca="false">IF($A832="","",$B832+$C832+$D832-$E832+$F832-$G832)</f>
        <v/>
      </c>
      <c r="K832" s="20" t="str">
        <f aca="false">IF($A832="","",MAX(0,$B832-$J832))</f>
        <v/>
      </c>
      <c r="L832" s="20" t="str">
        <f aca="false">IF($A832="","",IF($B832=0,0,$K832/$B832))</f>
        <v/>
      </c>
      <c r="M832" s="20" t="str">
        <f aca="false">IF($A832="","",IF($J832&lt;0,"BORCA BATIK",IF($I832&lt;$H832,"BORCA BATIK",IF($L832&gt;=TtkUcteIkiEsik,"2/3 KAYIP (KRİTİK)",IF($L832&gt;=TtkUcteBirEsik,"1/3 KAYIP (DİKKAT)","UYGUN")))))</f>
        <v/>
      </c>
      <c r="U832" s="20" t="str">
        <f aca="false">IF($N832="","",$Q832*$R832)</f>
        <v/>
      </c>
    </row>
    <row r="833" customFormat="false" ht="15" hidden="false" customHeight="false" outlineLevel="0" collapsed="false">
      <c r="J833" s="20" t="str">
        <f aca="false">IF($A833="","",$B833+$C833+$D833-$E833+$F833-$G833)</f>
        <v/>
      </c>
      <c r="K833" s="20" t="str">
        <f aca="false">IF($A833="","",MAX(0,$B833-$J833))</f>
        <v/>
      </c>
      <c r="L833" s="20" t="str">
        <f aca="false">IF($A833="","",IF($B833=0,0,$K833/$B833))</f>
        <v/>
      </c>
      <c r="M833" s="20" t="str">
        <f aca="false">IF($A833="","",IF($J833&lt;0,"BORCA BATIK",IF($I833&lt;$H833,"BORCA BATIK",IF($L833&gt;=TtkUcteIkiEsik,"2/3 KAYIP (KRİTİK)",IF($L833&gt;=TtkUcteBirEsik,"1/3 KAYIP (DİKKAT)","UYGUN")))))</f>
        <v/>
      </c>
      <c r="U833" s="20" t="str">
        <f aca="false">IF($N833="","",$Q833*$R833)</f>
        <v/>
      </c>
    </row>
    <row r="834" customFormat="false" ht="15" hidden="false" customHeight="false" outlineLevel="0" collapsed="false">
      <c r="J834" s="20" t="str">
        <f aca="false">IF($A834="","",$B834+$C834+$D834-$E834+$F834-$G834)</f>
        <v/>
      </c>
      <c r="K834" s="20" t="str">
        <f aca="false">IF($A834="","",MAX(0,$B834-$J834))</f>
        <v/>
      </c>
      <c r="L834" s="20" t="str">
        <f aca="false">IF($A834="","",IF($B834=0,0,$K834/$B834))</f>
        <v/>
      </c>
      <c r="M834" s="20" t="str">
        <f aca="false">IF($A834="","",IF($J834&lt;0,"BORCA BATIK",IF($I834&lt;$H834,"BORCA BATIK",IF($L834&gt;=TtkUcteIkiEsik,"2/3 KAYIP (KRİTİK)",IF($L834&gt;=TtkUcteBirEsik,"1/3 KAYIP (DİKKAT)","UYGUN")))))</f>
        <v/>
      </c>
      <c r="U834" s="20" t="str">
        <f aca="false">IF($N834="","",$Q834*$R834)</f>
        <v/>
      </c>
    </row>
    <row r="835" customFormat="false" ht="15" hidden="false" customHeight="false" outlineLevel="0" collapsed="false">
      <c r="J835" s="20" t="str">
        <f aca="false">IF($A835="","",$B835+$C835+$D835-$E835+$F835-$G835)</f>
        <v/>
      </c>
      <c r="K835" s="20" t="str">
        <f aca="false">IF($A835="","",MAX(0,$B835-$J835))</f>
        <v/>
      </c>
      <c r="L835" s="20" t="str">
        <f aca="false">IF($A835="","",IF($B835=0,0,$K835/$B835))</f>
        <v/>
      </c>
      <c r="M835" s="20" t="str">
        <f aca="false">IF($A835="","",IF($J835&lt;0,"BORCA BATIK",IF($I835&lt;$H835,"BORCA BATIK",IF($L835&gt;=TtkUcteIkiEsik,"2/3 KAYIP (KRİTİK)",IF($L835&gt;=TtkUcteBirEsik,"1/3 KAYIP (DİKKAT)","UYGUN")))))</f>
        <v/>
      </c>
      <c r="U835" s="20" t="str">
        <f aca="false">IF($N835="","",$Q835*$R835)</f>
        <v/>
      </c>
    </row>
    <row r="836" customFormat="false" ht="15" hidden="false" customHeight="false" outlineLevel="0" collapsed="false">
      <c r="J836" s="20" t="str">
        <f aca="false">IF($A836="","",$B836+$C836+$D836-$E836+$F836-$G836)</f>
        <v/>
      </c>
      <c r="K836" s="20" t="str">
        <f aca="false">IF($A836="","",MAX(0,$B836-$J836))</f>
        <v/>
      </c>
      <c r="L836" s="20" t="str">
        <f aca="false">IF($A836="","",IF($B836=0,0,$K836/$B836))</f>
        <v/>
      </c>
      <c r="M836" s="20" t="str">
        <f aca="false">IF($A836="","",IF($J836&lt;0,"BORCA BATIK",IF($I836&lt;$H836,"BORCA BATIK",IF($L836&gt;=TtkUcteIkiEsik,"2/3 KAYIP (KRİTİK)",IF($L836&gt;=TtkUcteBirEsik,"1/3 KAYIP (DİKKAT)","UYGUN")))))</f>
        <v/>
      </c>
      <c r="U836" s="20" t="str">
        <f aca="false">IF($N836="","",$Q836*$R836)</f>
        <v/>
      </c>
    </row>
    <row r="837" customFormat="false" ht="15" hidden="false" customHeight="false" outlineLevel="0" collapsed="false">
      <c r="J837" s="20" t="str">
        <f aca="false">IF($A837="","",$B837+$C837+$D837-$E837+$F837-$G837)</f>
        <v/>
      </c>
      <c r="K837" s="20" t="str">
        <f aca="false">IF($A837="","",MAX(0,$B837-$J837))</f>
        <v/>
      </c>
      <c r="L837" s="20" t="str">
        <f aca="false">IF($A837="","",IF($B837=0,0,$K837/$B837))</f>
        <v/>
      </c>
      <c r="M837" s="20" t="str">
        <f aca="false">IF($A837="","",IF($J837&lt;0,"BORCA BATIK",IF($I837&lt;$H837,"BORCA BATIK",IF($L837&gt;=TtkUcteIkiEsik,"2/3 KAYIP (KRİTİK)",IF($L837&gt;=TtkUcteBirEsik,"1/3 KAYIP (DİKKAT)","UYGUN")))))</f>
        <v/>
      </c>
      <c r="U837" s="20" t="str">
        <f aca="false">IF($N837="","",$Q837*$R837)</f>
        <v/>
      </c>
    </row>
    <row r="838" customFormat="false" ht="15" hidden="false" customHeight="false" outlineLevel="0" collapsed="false">
      <c r="J838" s="20" t="str">
        <f aca="false">IF($A838="","",$B838+$C838+$D838-$E838+$F838-$G838)</f>
        <v/>
      </c>
      <c r="K838" s="20" t="str">
        <f aca="false">IF($A838="","",MAX(0,$B838-$J838))</f>
        <v/>
      </c>
      <c r="L838" s="20" t="str">
        <f aca="false">IF($A838="","",IF($B838=0,0,$K838/$B838))</f>
        <v/>
      </c>
      <c r="M838" s="20" t="str">
        <f aca="false">IF($A838="","",IF($J838&lt;0,"BORCA BATIK",IF($I838&lt;$H838,"BORCA BATIK",IF($L838&gt;=TtkUcteIkiEsik,"2/3 KAYIP (KRİTİK)",IF($L838&gt;=TtkUcteBirEsik,"1/3 KAYIP (DİKKAT)","UYGUN")))))</f>
        <v/>
      </c>
      <c r="U838" s="20" t="str">
        <f aca="false">IF($N838="","",$Q838*$R838)</f>
        <v/>
      </c>
    </row>
    <row r="839" customFormat="false" ht="15" hidden="false" customHeight="false" outlineLevel="0" collapsed="false">
      <c r="J839" s="20" t="str">
        <f aca="false">IF($A839="","",$B839+$C839+$D839-$E839+$F839-$G839)</f>
        <v/>
      </c>
      <c r="K839" s="20" t="str">
        <f aca="false">IF($A839="","",MAX(0,$B839-$J839))</f>
        <v/>
      </c>
      <c r="L839" s="20" t="str">
        <f aca="false">IF($A839="","",IF($B839=0,0,$K839/$B839))</f>
        <v/>
      </c>
      <c r="M839" s="20" t="str">
        <f aca="false">IF($A839="","",IF($J839&lt;0,"BORCA BATIK",IF($I839&lt;$H839,"BORCA BATIK",IF($L839&gt;=TtkUcteIkiEsik,"2/3 KAYIP (KRİTİK)",IF($L839&gt;=TtkUcteBirEsik,"1/3 KAYIP (DİKKAT)","UYGUN")))))</f>
        <v/>
      </c>
      <c r="U839" s="20" t="str">
        <f aca="false">IF($N839="","",$Q839*$R839)</f>
        <v/>
      </c>
    </row>
    <row r="840" customFormat="false" ht="15" hidden="false" customHeight="false" outlineLevel="0" collapsed="false">
      <c r="J840" s="20" t="str">
        <f aca="false">IF($A840="","",$B840+$C840+$D840-$E840+$F840-$G840)</f>
        <v/>
      </c>
      <c r="K840" s="20" t="str">
        <f aca="false">IF($A840="","",MAX(0,$B840-$J840))</f>
        <v/>
      </c>
      <c r="L840" s="20" t="str">
        <f aca="false">IF($A840="","",IF($B840=0,0,$K840/$B840))</f>
        <v/>
      </c>
      <c r="M840" s="20" t="str">
        <f aca="false">IF($A840="","",IF($J840&lt;0,"BORCA BATIK",IF($I840&lt;$H840,"BORCA BATIK",IF($L840&gt;=TtkUcteIkiEsik,"2/3 KAYIP (KRİTİK)",IF($L840&gt;=TtkUcteBirEsik,"1/3 KAYIP (DİKKAT)","UYGUN")))))</f>
        <v/>
      </c>
      <c r="U840" s="20" t="str">
        <f aca="false">IF($N840="","",$Q840*$R840)</f>
        <v/>
      </c>
    </row>
    <row r="841" customFormat="false" ht="15" hidden="false" customHeight="false" outlineLevel="0" collapsed="false">
      <c r="J841" s="20" t="str">
        <f aca="false">IF($A841="","",$B841+$C841+$D841-$E841+$F841-$G841)</f>
        <v/>
      </c>
      <c r="K841" s="20" t="str">
        <f aca="false">IF($A841="","",MAX(0,$B841-$J841))</f>
        <v/>
      </c>
      <c r="L841" s="20" t="str">
        <f aca="false">IF($A841="","",IF($B841=0,0,$K841/$B841))</f>
        <v/>
      </c>
      <c r="M841" s="20" t="str">
        <f aca="false">IF($A841="","",IF($J841&lt;0,"BORCA BATIK",IF($I841&lt;$H841,"BORCA BATIK",IF($L841&gt;=TtkUcteIkiEsik,"2/3 KAYIP (KRİTİK)",IF($L841&gt;=TtkUcteBirEsik,"1/3 KAYIP (DİKKAT)","UYGUN")))))</f>
        <v/>
      </c>
      <c r="U841" s="20" t="str">
        <f aca="false">IF($N841="","",$Q841*$R841)</f>
        <v/>
      </c>
    </row>
    <row r="842" customFormat="false" ht="15" hidden="false" customHeight="false" outlineLevel="0" collapsed="false">
      <c r="J842" s="20" t="str">
        <f aca="false">IF($A842="","",$B842+$C842+$D842-$E842+$F842-$G842)</f>
        <v/>
      </c>
      <c r="K842" s="20" t="str">
        <f aca="false">IF($A842="","",MAX(0,$B842-$J842))</f>
        <v/>
      </c>
      <c r="L842" s="20" t="str">
        <f aca="false">IF($A842="","",IF($B842=0,0,$K842/$B842))</f>
        <v/>
      </c>
      <c r="M842" s="20" t="str">
        <f aca="false">IF($A842="","",IF($J842&lt;0,"BORCA BATIK",IF($I842&lt;$H842,"BORCA BATIK",IF($L842&gt;=TtkUcteIkiEsik,"2/3 KAYIP (KRİTİK)",IF($L842&gt;=TtkUcteBirEsik,"1/3 KAYIP (DİKKAT)","UYGUN")))))</f>
        <v/>
      </c>
      <c r="U842" s="20" t="str">
        <f aca="false">IF($N842="","",$Q842*$R842)</f>
        <v/>
      </c>
    </row>
    <row r="843" customFormat="false" ht="15" hidden="false" customHeight="false" outlineLevel="0" collapsed="false">
      <c r="J843" s="20" t="str">
        <f aca="false">IF($A843="","",$B843+$C843+$D843-$E843+$F843-$G843)</f>
        <v/>
      </c>
      <c r="K843" s="20" t="str">
        <f aca="false">IF($A843="","",MAX(0,$B843-$J843))</f>
        <v/>
      </c>
      <c r="L843" s="20" t="str">
        <f aca="false">IF($A843="","",IF($B843=0,0,$K843/$B843))</f>
        <v/>
      </c>
      <c r="M843" s="20" t="str">
        <f aca="false">IF($A843="","",IF($J843&lt;0,"BORCA BATIK",IF($I843&lt;$H843,"BORCA BATIK",IF($L843&gt;=TtkUcteIkiEsik,"2/3 KAYIP (KRİTİK)",IF($L843&gt;=TtkUcteBirEsik,"1/3 KAYIP (DİKKAT)","UYGUN")))))</f>
        <v/>
      </c>
      <c r="U843" s="20" t="str">
        <f aca="false">IF($N843="","",$Q843*$R843)</f>
        <v/>
      </c>
    </row>
    <row r="844" customFormat="false" ht="15" hidden="false" customHeight="false" outlineLevel="0" collapsed="false">
      <c r="J844" s="20" t="str">
        <f aca="false">IF($A844="","",$B844+$C844+$D844-$E844+$F844-$G844)</f>
        <v/>
      </c>
      <c r="K844" s="20" t="str">
        <f aca="false">IF($A844="","",MAX(0,$B844-$J844))</f>
        <v/>
      </c>
      <c r="L844" s="20" t="str">
        <f aca="false">IF($A844="","",IF($B844=0,0,$K844/$B844))</f>
        <v/>
      </c>
      <c r="M844" s="20" t="str">
        <f aca="false">IF($A844="","",IF($J844&lt;0,"BORCA BATIK",IF($I844&lt;$H844,"BORCA BATIK",IF($L844&gt;=TtkUcteIkiEsik,"2/3 KAYIP (KRİTİK)",IF($L844&gt;=TtkUcteBirEsik,"1/3 KAYIP (DİKKAT)","UYGUN")))))</f>
        <v/>
      </c>
      <c r="U844" s="20" t="str">
        <f aca="false">IF($N844="","",$Q844*$R844)</f>
        <v/>
      </c>
    </row>
    <row r="845" customFormat="false" ht="15" hidden="false" customHeight="false" outlineLevel="0" collapsed="false">
      <c r="J845" s="20" t="str">
        <f aca="false">IF($A845="","",$B845+$C845+$D845-$E845+$F845-$G845)</f>
        <v/>
      </c>
      <c r="K845" s="20" t="str">
        <f aca="false">IF($A845="","",MAX(0,$B845-$J845))</f>
        <v/>
      </c>
      <c r="L845" s="20" t="str">
        <f aca="false">IF($A845="","",IF($B845=0,0,$K845/$B845))</f>
        <v/>
      </c>
      <c r="M845" s="20" t="str">
        <f aca="false">IF($A845="","",IF($J845&lt;0,"BORCA BATIK",IF($I845&lt;$H845,"BORCA BATIK",IF($L845&gt;=TtkUcteIkiEsik,"2/3 KAYIP (KRİTİK)",IF($L845&gt;=TtkUcteBirEsik,"1/3 KAYIP (DİKKAT)","UYGUN")))))</f>
        <v/>
      </c>
      <c r="U845" s="20" t="str">
        <f aca="false">IF($N845="","",$Q845*$R845)</f>
        <v/>
      </c>
    </row>
    <row r="846" customFormat="false" ht="15" hidden="false" customHeight="false" outlineLevel="0" collapsed="false">
      <c r="J846" s="20" t="str">
        <f aca="false">IF($A846="","",$B846+$C846+$D846-$E846+$F846-$G846)</f>
        <v/>
      </c>
      <c r="K846" s="20" t="str">
        <f aca="false">IF($A846="","",MAX(0,$B846-$J846))</f>
        <v/>
      </c>
      <c r="L846" s="20" t="str">
        <f aca="false">IF($A846="","",IF($B846=0,0,$K846/$B846))</f>
        <v/>
      </c>
      <c r="M846" s="20" t="str">
        <f aca="false">IF($A846="","",IF($J846&lt;0,"BORCA BATIK",IF($I846&lt;$H846,"BORCA BATIK",IF($L846&gt;=TtkUcteIkiEsik,"2/3 KAYIP (KRİTİK)",IF($L846&gt;=TtkUcteBirEsik,"1/3 KAYIP (DİKKAT)","UYGUN")))))</f>
        <v/>
      </c>
      <c r="U846" s="20" t="str">
        <f aca="false">IF($N846="","",$Q846*$R846)</f>
        <v/>
      </c>
    </row>
    <row r="847" customFormat="false" ht="15" hidden="false" customHeight="false" outlineLevel="0" collapsed="false">
      <c r="J847" s="20" t="str">
        <f aca="false">IF($A847="","",$B847+$C847+$D847-$E847+$F847-$G847)</f>
        <v/>
      </c>
      <c r="K847" s="20" t="str">
        <f aca="false">IF($A847="","",MAX(0,$B847-$J847))</f>
        <v/>
      </c>
      <c r="L847" s="20" t="str">
        <f aca="false">IF($A847="","",IF($B847=0,0,$K847/$B847))</f>
        <v/>
      </c>
      <c r="M847" s="20" t="str">
        <f aca="false">IF($A847="","",IF($J847&lt;0,"BORCA BATIK",IF($I847&lt;$H847,"BORCA BATIK",IF($L847&gt;=TtkUcteIkiEsik,"2/3 KAYIP (KRİTİK)",IF($L847&gt;=TtkUcteBirEsik,"1/3 KAYIP (DİKKAT)","UYGUN")))))</f>
        <v/>
      </c>
      <c r="U847" s="20" t="str">
        <f aca="false">IF($N847="","",$Q847*$R847)</f>
        <v/>
      </c>
    </row>
    <row r="848" customFormat="false" ht="15" hidden="false" customHeight="false" outlineLevel="0" collapsed="false">
      <c r="J848" s="20" t="str">
        <f aca="false">IF($A848="","",$B848+$C848+$D848-$E848+$F848-$G848)</f>
        <v/>
      </c>
      <c r="K848" s="20" t="str">
        <f aca="false">IF($A848="","",MAX(0,$B848-$J848))</f>
        <v/>
      </c>
      <c r="L848" s="20" t="str">
        <f aca="false">IF($A848="","",IF($B848=0,0,$K848/$B848))</f>
        <v/>
      </c>
      <c r="M848" s="20" t="str">
        <f aca="false">IF($A848="","",IF($J848&lt;0,"BORCA BATIK",IF($I848&lt;$H848,"BORCA BATIK",IF($L848&gt;=TtkUcteIkiEsik,"2/3 KAYIP (KRİTİK)",IF($L848&gt;=TtkUcteBirEsik,"1/3 KAYIP (DİKKAT)","UYGUN")))))</f>
        <v/>
      </c>
      <c r="U848" s="20" t="str">
        <f aca="false">IF($N848="","",$Q848*$R848)</f>
        <v/>
      </c>
    </row>
    <row r="849" customFormat="false" ht="15" hidden="false" customHeight="false" outlineLevel="0" collapsed="false">
      <c r="J849" s="20" t="str">
        <f aca="false">IF($A849="","",$B849+$C849+$D849-$E849+$F849-$G849)</f>
        <v/>
      </c>
      <c r="K849" s="20" t="str">
        <f aca="false">IF($A849="","",MAX(0,$B849-$J849))</f>
        <v/>
      </c>
      <c r="L849" s="20" t="str">
        <f aca="false">IF($A849="","",IF($B849=0,0,$K849/$B849))</f>
        <v/>
      </c>
      <c r="M849" s="20" t="str">
        <f aca="false">IF($A849="","",IF($J849&lt;0,"BORCA BATIK",IF($I849&lt;$H849,"BORCA BATIK",IF($L849&gt;=TtkUcteIkiEsik,"2/3 KAYIP (KRİTİK)",IF($L849&gt;=TtkUcteBirEsik,"1/3 KAYIP (DİKKAT)","UYGUN")))))</f>
        <v/>
      </c>
      <c r="U849" s="20" t="str">
        <f aca="false">IF($N849="","",$Q849*$R849)</f>
        <v/>
      </c>
    </row>
    <row r="850" customFormat="false" ht="15" hidden="false" customHeight="false" outlineLevel="0" collapsed="false">
      <c r="J850" s="20" t="str">
        <f aca="false">IF($A850="","",$B850+$C850+$D850-$E850+$F850-$G850)</f>
        <v/>
      </c>
      <c r="K850" s="20" t="str">
        <f aca="false">IF($A850="","",MAX(0,$B850-$J850))</f>
        <v/>
      </c>
      <c r="L850" s="20" t="str">
        <f aca="false">IF($A850="","",IF($B850=0,0,$K850/$B850))</f>
        <v/>
      </c>
      <c r="M850" s="20" t="str">
        <f aca="false">IF($A850="","",IF($J850&lt;0,"BORCA BATIK",IF($I850&lt;$H850,"BORCA BATIK",IF($L850&gt;=TtkUcteIkiEsik,"2/3 KAYIP (KRİTİK)",IF($L850&gt;=TtkUcteBirEsik,"1/3 KAYIP (DİKKAT)","UYGUN")))))</f>
        <v/>
      </c>
      <c r="U850" s="20" t="str">
        <f aca="false">IF($N850="","",$Q850*$R850)</f>
        <v/>
      </c>
    </row>
    <row r="851" customFormat="false" ht="15" hidden="false" customHeight="false" outlineLevel="0" collapsed="false">
      <c r="J851" s="20" t="str">
        <f aca="false">IF($A851="","",$B851+$C851+$D851-$E851+$F851-$G851)</f>
        <v/>
      </c>
      <c r="K851" s="20" t="str">
        <f aca="false">IF($A851="","",MAX(0,$B851-$J851))</f>
        <v/>
      </c>
      <c r="L851" s="20" t="str">
        <f aca="false">IF($A851="","",IF($B851=0,0,$K851/$B851))</f>
        <v/>
      </c>
      <c r="M851" s="20" t="str">
        <f aca="false">IF($A851="","",IF($J851&lt;0,"BORCA BATIK",IF($I851&lt;$H851,"BORCA BATIK",IF($L851&gt;=TtkUcteIkiEsik,"2/3 KAYIP (KRİTİK)",IF($L851&gt;=TtkUcteBirEsik,"1/3 KAYIP (DİKKAT)","UYGUN")))))</f>
        <v/>
      </c>
      <c r="U851" s="20" t="str">
        <f aca="false">IF($N851="","",$Q851*$R851)</f>
        <v/>
      </c>
    </row>
    <row r="852" customFormat="false" ht="15" hidden="false" customHeight="false" outlineLevel="0" collapsed="false">
      <c r="J852" s="20" t="str">
        <f aca="false">IF($A852="","",$B852+$C852+$D852-$E852+$F852-$G852)</f>
        <v/>
      </c>
      <c r="K852" s="20" t="str">
        <f aca="false">IF($A852="","",MAX(0,$B852-$J852))</f>
        <v/>
      </c>
      <c r="L852" s="20" t="str">
        <f aca="false">IF($A852="","",IF($B852=0,0,$K852/$B852))</f>
        <v/>
      </c>
      <c r="M852" s="20" t="str">
        <f aca="false">IF($A852="","",IF($J852&lt;0,"BORCA BATIK",IF($I852&lt;$H852,"BORCA BATIK",IF($L852&gt;=TtkUcteIkiEsik,"2/3 KAYIP (KRİTİK)",IF($L852&gt;=TtkUcteBirEsik,"1/3 KAYIP (DİKKAT)","UYGUN")))))</f>
        <v/>
      </c>
      <c r="U852" s="20" t="str">
        <f aca="false">IF($N852="","",$Q852*$R852)</f>
        <v/>
      </c>
    </row>
    <row r="853" customFormat="false" ht="15" hidden="false" customHeight="false" outlineLevel="0" collapsed="false">
      <c r="J853" s="20" t="str">
        <f aca="false">IF($A853="","",$B853+$C853+$D853-$E853+$F853-$G853)</f>
        <v/>
      </c>
      <c r="K853" s="20" t="str">
        <f aca="false">IF($A853="","",MAX(0,$B853-$J853))</f>
        <v/>
      </c>
      <c r="L853" s="20" t="str">
        <f aca="false">IF($A853="","",IF($B853=0,0,$K853/$B853))</f>
        <v/>
      </c>
      <c r="M853" s="20" t="str">
        <f aca="false">IF($A853="","",IF($J853&lt;0,"BORCA BATIK",IF($I853&lt;$H853,"BORCA BATIK",IF($L853&gt;=TtkUcteIkiEsik,"2/3 KAYIP (KRİTİK)",IF($L853&gt;=TtkUcteBirEsik,"1/3 KAYIP (DİKKAT)","UYGUN")))))</f>
        <v/>
      </c>
      <c r="U853" s="20" t="str">
        <f aca="false">IF($N853="","",$Q853*$R853)</f>
        <v/>
      </c>
    </row>
    <row r="854" customFormat="false" ht="15" hidden="false" customHeight="false" outlineLevel="0" collapsed="false">
      <c r="J854" s="20" t="str">
        <f aca="false">IF($A854="","",$B854+$C854+$D854-$E854+$F854-$G854)</f>
        <v/>
      </c>
      <c r="K854" s="20" t="str">
        <f aca="false">IF($A854="","",MAX(0,$B854-$J854))</f>
        <v/>
      </c>
      <c r="L854" s="20" t="str">
        <f aca="false">IF($A854="","",IF($B854=0,0,$K854/$B854))</f>
        <v/>
      </c>
      <c r="M854" s="20" t="str">
        <f aca="false">IF($A854="","",IF($J854&lt;0,"BORCA BATIK",IF($I854&lt;$H854,"BORCA BATIK",IF($L854&gt;=TtkUcteIkiEsik,"2/3 KAYIP (KRİTİK)",IF($L854&gt;=TtkUcteBirEsik,"1/3 KAYIP (DİKKAT)","UYGUN")))))</f>
        <v/>
      </c>
      <c r="U854" s="20" t="str">
        <f aca="false">IF($N854="","",$Q854*$R854)</f>
        <v/>
      </c>
    </row>
    <row r="855" customFormat="false" ht="15" hidden="false" customHeight="false" outlineLevel="0" collapsed="false">
      <c r="J855" s="20" t="str">
        <f aca="false">IF($A855="","",$B855+$C855+$D855-$E855+$F855-$G855)</f>
        <v/>
      </c>
      <c r="K855" s="20" t="str">
        <f aca="false">IF($A855="","",MAX(0,$B855-$J855))</f>
        <v/>
      </c>
      <c r="L855" s="20" t="str">
        <f aca="false">IF($A855="","",IF($B855=0,0,$K855/$B855))</f>
        <v/>
      </c>
      <c r="M855" s="20" t="str">
        <f aca="false">IF($A855="","",IF($J855&lt;0,"BORCA BATIK",IF($I855&lt;$H855,"BORCA BATIK",IF($L855&gt;=TtkUcteIkiEsik,"2/3 KAYIP (KRİTİK)",IF($L855&gt;=TtkUcteBirEsik,"1/3 KAYIP (DİKKAT)","UYGUN")))))</f>
        <v/>
      </c>
      <c r="U855" s="20" t="str">
        <f aca="false">IF($N855="","",$Q855*$R855)</f>
        <v/>
      </c>
    </row>
    <row r="856" customFormat="false" ht="15" hidden="false" customHeight="false" outlineLevel="0" collapsed="false">
      <c r="J856" s="20" t="str">
        <f aca="false">IF($A856="","",$B856+$C856+$D856-$E856+$F856-$G856)</f>
        <v/>
      </c>
      <c r="K856" s="20" t="str">
        <f aca="false">IF($A856="","",MAX(0,$B856-$J856))</f>
        <v/>
      </c>
      <c r="L856" s="20" t="str">
        <f aca="false">IF($A856="","",IF($B856=0,0,$K856/$B856))</f>
        <v/>
      </c>
      <c r="M856" s="20" t="str">
        <f aca="false">IF($A856="","",IF($J856&lt;0,"BORCA BATIK",IF($I856&lt;$H856,"BORCA BATIK",IF($L856&gt;=TtkUcteIkiEsik,"2/3 KAYIP (KRİTİK)",IF($L856&gt;=TtkUcteBirEsik,"1/3 KAYIP (DİKKAT)","UYGUN")))))</f>
        <v/>
      </c>
      <c r="U856" s="20" t="str">
        <f aca="false">IF($N856="","",$Q856*$R856)</f>
        <v/>
      </c>
    </row>
    <row r="857" customFormat="false" ht="15" hidden="false" customHeight="false" outlineLevel="0" collapsed="false">
      <c r="J857" s="20" t="str">
        <f aca="false">IF($A857="","",$B857+$C857+$D857-$E857+$F857-$G857)</f>
        <v/>
      </c>
      <c r="K857" s="20" t="str">
        <f aca="false">IF($A857="","",MAX(0,$B857-$J857))</f>
        <v/>
      </c>
      <c r="L857" s="20" t="str">
        <f aca="false">IF($A857="","",IF($B857=0,0,$K857/$B857))</f>
        <v/>
      </c>
      <c r="M857" s="20" t="str">
        <f aca="false">IF($A857="","",IF($J857&lt;0,"BORCA BATIK",IF($I857&lt;$H857,"BORCA BATIK",IF($L857&gt;=TtkUcteIkiEsik,"2/3 KAYIP (KRİTİK)",IF($L857&gt;=TtkUcteBirEsik,"1/3 KAYIP (DİKKAT)","UYGUN")))))</f>
        <v/>
      </c>
      <c r="U857" s="20" t="str">
        <f aca="false">IF($N857="","",$Q857*$R857)</f>
        <v/>
      </c>
    </row>
    <row r="858" customFormat="false" ht="15" hidden="false" customHeight="false" outlineLevel="0" collapsed="false">
      <c r="J858" s="20" t="str">
        <f aca="false">IF($A858="","",$B858+$C858+$D858-$E858+$F858-$G858)</f>
        <v/>
      </c>
      <c r="K858" s="20" t="str">
        <f aca="false">IF($A858="","",MAX(0,$B858-$J858))</f>
        <v/>
      </c>
      <c r="L858" s="20" t="str">
        <f aca="false">IF($A858="","",IF($B858=0,0,$K858/$B858))</f>
        <v/>
      </c>
      <c r="M858" s="20" t="str">
        <f aca="false">IF($A858="","",IF($J858&lt;0,"BORCA BATIK",IF($I858&lt;$H858,"BORCA BATIK",IF($L858&gt;=TtkUcteIkiEsik,"2/3 KAYIP (KRİTİK)",IF($L858&gt;=TtkUcteBirEsik,"1/3 KAYIP (DİKKAT)","UYGUN")))))</f>
        <v/>
      </c>
      <c r="U858" s="20" t="str">
        <f aca="false">IF($N858="","",$Q858*$R858)</f>
        <v/>
      </c>
    </row>
    <row r="859" customFormat="false" ht="15" hidden="false" customHeight="false" outlineLevel="0" collapsed="false">
      <c r="J859" s="20" t="str">
        <f aca="false">IF($A859="","",$B859+$C859+$D859-$E859+$F859-$G859)</f>
        <v/>
      </c>
      <c r="K859" s="20" t="str">
        <f aca="false">IF($A859="","",MAX(0,$B859-$J859))</f>
        <v/>
      </c>
      <c r="L859" s="20" t="str">
        <f aca="false">IF($A859="","",IF($B859=0,0,$K859/$B859))</f>
        <v/>
      </c>
      <c r="M859" s="20" t="str">
        <f aca="false">IF($A859="","",IF($J859&lt;0,"BORCA BATIK",IF($I859&lt;$H859,"BORCA BATIK",IF($L859&gt;=TtkUcteIkiEsik,"2/3 KAYIP (KRİTİK)",IF($L859&gt;=TtkUcteBirEsik,"1/3 KAYIP (DİKKAT)","UYGUN")))))</f>
        <v/>
      </c>
      <c r="U859" s="20" t="str">
        <f aca="false">IF($N859="","",$Q859*$R859)</f>
        <v/>
      </c>
    </row>
    <row r="860" customFormat="false" ht="15" hidden="false" customHeight="false" outlineLevel="0" collapsed="false">
      <c r="J860" s="20" t="str">
        <f aca="false">IF($A860="","",$B860+$C860+$D860-$E860+$F860-$G860)</f>
        <v/>
      </c>
      <c r="K860" s="20" t="str">
        <f aca="false">IF($A860="","",MAX(0,$B860-$J860))</f>
        <v/>
      </c>
      <c r="L860" s="20" t="str">
        <f aca="false">IF($A860="","",IF($B860=0,0,$K860/$B860))</f>
        <v/>
      </c>
      <c r="M860" s="20" t="str">
        <f aca="false">IF($A860="","",IF($J860&lt;0,"BORCA BATIK",IF($I860&lt;$H860,"BORCA BATIK",IF($L860&gt;=TtkUcteIkiEsik,"2/3 KAYIP (KRİTİK)",IF($L860&gt;=TtkUcteBirEsik,"1/3 KAYIP (DİKKAT)","UYGUN")))))</f>
        <v/>
      </c>
      <c r="U860" s="20" t="str">
        <f aca="false">IF($N860="","",$Q860*$R860)</f>
        <v/>
      </c>
    </row>
    <row r="861" customFormat="false" ht="15" hidden="false" customHeight="false" outlineLevel="0" collapsed="false">
      <c r="J861" s="20" t="str">
        <f aca="false">IF($A861="","",$B861+$C861+$D861-$E861+$F861-$G861)</f>
        <v/>
      </c>
      <c r="K861" s="20" t="str">
        <f aca="false">IF($A861="","",MAX(0,$B861-$J861))</f>
        <v/>
      </c>
      <c r="L861" s="20" t="str">
        <f aca="false">IF($A861="","",IF($B861=0,0,$K861/$B861))</f>
        <v/>
      </c>
      <c r="M861" s="20" t="str">
        <f aca="false">IF($A861="","",IF($J861&lt;0,"BORCA BATIK",IF($I861&lt;$H861,"BORCA BATIK",IF($L861&gt;=TtkUcteIkiEsik,"2/3 KAYIP (KRİTİK)",IF($L861&gt;=TtkUcteBirEsik,"1/3 KAYIP (DİKKAT)","UYGUN")))))</f>
        <v/>
      </c>
      <c r="U861" s="20" t="str">
        <f aca="false">IF($N861="","",$Q861*$R861)</f>
        <v/>
      </c>
    </row>
    <row r="862" customFormat="false" ht="15" hidden="false" customHeight="false" outlineLevel="0" collapsed="false">
      <c r="J862" s="20" t="str">
        <f aca="false">IF($A862="","",$B862+$C862+$D862-$E862+$F862-$G862)</f>
        <v/>
      </c>
      <c r="K862" s="20" t="str">
        <f aca="false">IF($A862="","",MAX(0,$B862-$J862))</f>
        <v/>
      </c>
      <c r="L862" s="20" t="str">
        <f aca="false">IF($A862="","",IF($B862=0,0,$K862/$B862))</f>
        <v/>
      </c>
      <c r="M862" s="20" t="str">
        <f aca="false">IF($A862="","",IF($J862&lt;0,"BORCA BATIK",IF($I862&lt;$H862,"BORCA BATIK",IF($L862&gt;=TtkUcteIkiEsik,"2/3 KAYIP (KRİTİK)",IF($L862&gt;=TtkUcteBirEsik,"1/3 KAYIP (DİKKAT)","UYGUN")))))</f>
        <v/>
      </c>
      <c r="U862" s="20" t="str">
        <f aca="false">IF($N862="","",$Q862*$R862)</f>
        <v/>
      </c>
    </row>
    <row r="863" customFormat="false" ht="15" hidden="false" customHeight="false" outlineLevel="0" collapsed="false">
      <c r="J863" s="20" t="str">
        <f aca="false">IF($A863="","",$B863+$C863+$D863-$E863+$F863-$G863)</f>
        <v/>
      </c>
      <c r="K863" s="20" t="str">
        <f aca="false">IF($A863="","",MAX(0,$B863-$J863))</f>
        <v/>
      </c>
      <c r="L863" s="20" t="str">
        <f aca="false">IF($A863="","",IF($B863=0,0,$K863/$B863))</f>
        <v/>
      </c>
      <c r="M863" s="20" t="str">
        <f aca="false">IF($A863="","",IF($J863&lt;0,"BORCA BATIK",IF($I863&lt;$H863,"BORCA BATIK",IF($L863&gt;=TtkUcteIkiEsik,"2/3 KAYIP (KRİTİK)",IF($L863&gt;=TtkUcteBirEsik,"1/3 KAYIP (DİKKAT)","UYGUN")))))</f>
        <v/>
      </c>
      <c r="U863" s="20" t="str">
        <f aca="false">IF($N863="","",$Q863*$R863)</f>
        <v/>
      </c>
    </row>
    <row r="864" customFormat="false" ht="15" hidden="false" customHeight="false" outlineLevel="0" collapsed="false">
      <c r="J864" s="20" t="str">
        <f aca="false">IF($A864="","",$B864+$C864+$D864-$E864+$F864-$G864)</f>
        <v/>
      </c>
      <c r="K864" s="20" t="str">
        <f aca="false">IF($A864="","",MAX(0,$B864-$J864))</f>
        <v/>
      </c>
      <c r="L864" s="20" t="str">
        <f aca="false">IF($A864="","",IF($B864=0,0,$K864/$B864))</f>
        <v/>
      </c>
      <c r="M864" s="20" t="str">
        <f aca="false">IF($A864="","",IF($J864&lt;0,"BORCA BATIK",IF($I864&lt;$H864,"BORCA BATIK",IF($L864&gt;=TtkUcteIkiEsik,"2/3 KAYIP (KRİTİK)",IF($L864&gt;=TtkUcteBirEsik,"1/3 KAYIP (DİKKAT)","UYGUN")))))</f>
        <v/>
      </c>
      <c r="U864" s="20" t="str">
        <f aca="false">IF($N864="","",$Q864*$R864)</f>
        <v/>
      </c>
    </row>
    <row r="865" customFormat="false" ht="15" hidden="false" customHeight="false" outlineLevel="0" collapsed="false">
      <c r="J865" s="20" t="str">
        <f aca="false">IF($A865="","",$B865+$C865+$D865-$E865+$F865-$G865)</f>
        <v/>
      </c>
      <c r="K865" s="20" t="str">
        <f aca="false">IF($A865="","",MAX(0,$B865-$J865))</f>
        <v/>
      </c>
      <c r="L865" s="20" t="str">
        <f aca="false">IF($A865="","",IF($B865=0,0,$K865/$B865))</f>
        <v/>
      </c>
      <c r="M865" s="20" t="str">
        <f aca="false">IF($A865="","",IF($J865&lt;0,"BORCA BATIK",IF($I865&lt;$H865,"BORCA BATIK",IF($L865&gt;=TtkUcteIkiEsik,"2/3 KAYIP (KRİTİK)",IF($L865&gt;=TtkUcteBirEsik,"1/3 KAYIP (DİKKAT)","UYGUN")))))</f>
        <v/>
      </c>
      <c r="U865" s="20" t="str">
        <f aca="false">IF($N865="","",$Q865*$R865)</f>
        <v/>
      </c>
    </row>
    <row r="866" customFormat="false" ht="15" hidden="false" customHeight="false" outlineLevel="0" collapsed="false">
      <c r="J866" s="20" t="str">
        <f aca="false">IF($A866="","",$B866+$C866+$D866-$E866+$F866-$G866)</f>
        <v/>
      </c>
      <c r="K866" s="20" t="str">
        <f aca="false">IF($A866="","",MAX(0,$B866-$J866))</f>
        <v/>
      </c>
      <c r="L866" s="20" t="str">
        <f aca="false">IF($A866="","",IF($B866=0,0,$K866/$B866))</f>
        <v/>
      </c>
      <c r="M866" s="20" t="str">
        <f aca="false">IF($A866="","",IF($J866&lt;0,"BORCA BATIK",IF($I866&lt;$H866,"BORCA BATIK",IF($L866&gt;=TtkUcteIkiEsik,"2/3 KAYIP (KRİTİK)",IF($L866&gt;=TtkUcteBirEsik,"1/3 KAYIP (DİKKAT)","UYGUN")))))</f>
        <v/>
      </c>
      <c r="U866" s="20" t="str">
        <f aca="false">IF($N866="","",$Q866*$R866)</f>
        <v/>
      </c>
    </row>
    <row r="867" customFormat="false" ht="15" hidden="false" customHeight="false" outlineLevel="0" collapsed="false">
      <c r="J867" s="20" t="str">
        <f aca="false">IF($A867="","",$B867+$C867+$D867-$E867+$F867-$G867)</f>
        <v/>
      </c>
      <c r="K867" s="20" t="str">
        <f aca="false">IF($A867="","",MAX(0,$B867-$J867))</f>
        <v/>
      </c>
      <c r="L867" s="20" t="str">
        <f aca="false">IF($A867="","",IF($B867=0,0,$K867/$B867))</f>
        <v/>
      </c>
      <c r="M867" s="20" t="str">
        <f aca="false">IF($A867="","",IF($J867&lt;0,"BORCA BATIK",IF($I867&lt;$H867,"BORCA BATIK",IF($L867&gt;=TtkUcteIkiEsik,"2/3 KAYIP (KRİTİK)",IF($L867&gt;=TtkUcteBirEsik,"1/3 KAYIP (DİKKAT)","UYGUN")))))</f>
        <v/>
      </c>
      <c r="U867" s="20" t="str">
        <f aca="false">IF($N867="","",$Q867*$R867)</f>
        <v/>
      </c>
    </row>
    <row r="868" customFormat="false" ht="15" hidden="false" customHeight="false" outlineLevel="0" collapsed="false">
      <c r="J868" s="20" t="str">
        <f aca="false">IF($A868="","",$B868+$C868+$D868-$E868+$F868-$G868)</f>
        <v/>
      </c>
      <c r="K868" s="20" t="str">
        <f aca="false">IF($A868="","",MAX(0,$B868-$J868))</f>
        <v/>
      </c>
      <c r="L868" s="20" t="str">
        <f aca="false">IF($A868="","",IF($B868=0,0,$K868/$B868))</f>
        <v/>
      </c>
      <c r="M868" s="20" t="str">
        <f aca="false">IF($A868="","",IF($J868&lt;0,"BORCA BATIK",IF($I868&lt;$H868,"BORCA BATIK",IF($L868&gt;=TtkUcteIkiEsik,"2/3 KAYIP (KRİTİK)",IF($L868&gt;=TtkUcteBirEsik,"1/3 KAYIP (DİKKAT)","UYGUN")))))</f>
        <v/>
      </c>
      <c r="U868" s="20" t="str">
        <f aca="false">IF($N868="","",$Q868*$R868)</f>
        <v/>
      </c>
    </row>
    <row r="869" customFormat="false" ht="15" hidden="false" customHeight="false" outlineLevel="0" collapsed="false">
      <c r="J869" s="20" t="str">
        <f aca="false">IF($A869="","",$B869+$C869+$D869-$E869+$F869-$G869)</f>
        <v/>
      </c>
      <c r="K869" s="20" t="str">
        <f aca="false">IF($A869="","",MAX(0,$B869-$J869))</f>
        <v/>
      </c>
      <c r="L869" s="20" t="str">
        <f aca="false">IF($A869="","",IF($B869=0,0,$K869/$B869))</f>
        <v/>
      </c>
      <c r="M869" s="20" t="str">
        <f aca="false">IF($A869="","",IF($J869&lt;0,"BORCA BATIK",IF($I869&lt;$H869,"BORCA BATIK",IF($L869&gt;=TtkUcteIkiEsik,"2/3 KAYIP (KRİTİK)",IF($L869&gt;=TtkUcteBirEsik,"1/3 KAYIP (DİKKAT)","UYGUN")))))</f>
        <v/>
      </c>
      <c r="U869" s="20" t="str">
        <f aca="false">IF($N869="","",$Q869*$R869)</f>
        <v/>
      </c>
    </row>
    <row r="870" customFormat="false" ht="15" hidden="false" customHeight="false" outlineLevel="0" collapsed="false">
      <c r="J870" s="20" t="str">
        <f aca="false">IF($A870="","",$B870+$C870+$D870-$E870+$F870-$G870)</f>
        <v/>
      </c>
      <c r="K870" s="20" t="str">
        <f aca="false">IF($A870="","",MAX(0,$B870-$J870))</f>
        <v/>
      </c>
      <c r="L870" s="20" t="str">
        <f aca="false">IF($A870="","",IF($B870=0,0,$K870/$B870))</f>
        <v/>
      </c>
      <c r="M870" s="20" t="str">
        <f aca="false">IF($A870="","",IF($J870&lt;0,"BORCA BATIK",IF($I870&lt;$H870,"BORCA BATIK",IF($L870&gt;=TtkUcteIkiEsik,"2/3 KAYIP (KRİTİK)",IF($L870&gt;=TtkUcteBirEsik,"1/3 KAYIP (DİKKAT)","UYGUN")))))</f>
        <v/>
      </c>
      <c r="U870" s="20" t="str">
        <f aca="false">IF($N870="","",$Q870*$R870)</f>
        <v/>
      </c>
    </row>
    <row r="871" customFormat="false" ht="15" hidden="false" customHeight="false" outlineLevel="0" collapsed="false">
      <c r="J871" s="20" t="str">
        <f aca="false">IF($A871="","",$B871+$C871+$D871-$E871+$F871-$G871)</f>
        <v/>
      </c>
      <c r="K871" s="20" t="str">
        <f aca="false">IF($A871="","",MAX(0,$B871-$J871))</f>
        <v/>
      </c>
      <c r="L871" s="20" t="str">
        <f aca="false">IF($A871="","",IF($B871=0,0,$K871/$B871))</f>
        <v/>
      </c>
      <c r="M871" s="20" t="str">
        <f aca="false">IF($A871="","",IF($J871&lt;0,"BORCA BATIK",IF($I871&lt;$H871,"BORCA BATIK",IF($L871&gt;=TtkUcteIkiEsik,"2/3 KAYIP (KRİTİK)",IF($L871&gt;=TtkUcteBirEsik,"1/3 KAYIP (DİKKAT)","UYGUN")))))</f>
        <v/>
      </c>
      <c r="U871" s="20" t="str">
        <f aca="false">IF($N871="","",$Q871*$R871)</f>
        <v/>
      </c>
    </row>
    <row r="872" customFormat="false" ht="15" hidden="false" customHeight="false" outlineLevel="0" collapsed="false">
      <c r="J872" s="20" t="str">
        <f aca="false">IF($A872="","",$B872+$C872+$D872-$E872+$F872-$G872)</f>
        <v/>
      </c>
      <c r="K872" s="20" t="str">
        <f aca="false">IF($A872="","",MAX(0,$B872-$J872))</f>
        <v/>
      </c>
      <c r="L872" s="20" t="str">
        <f aca="false">IF($A872="","",IF($B872=0,0,$K872/$B872))</f>
        <v/>
      </c>
      <c r="M872" s="20" t="str">
        <f aca="false">IF($A872="","",IF($J872&lt;0,"BORCA BATIK",IF($I872&lt;$H872,"BORCA BATIK",IF($L872&gt;=TtkUcteIkiEsik,"2/3 KAYIP (KRİTİK)",IF($L872&gt;=TtkUcteBirEsik,"1/3 KAYIP (DİKKAT)","UYGUN")))))</f>
        <v/>
      </c>
      <c r="U872" s="20" t="str">
        <f aca="false">IF($N872="","",$Q872*$R872)</f>
        <v/>
      </c>
    </row>
    <row r="873" customFormat="false" ht="15" hidden="false" customHeight="false" outlineLevel="0" collapsed="false">
      <c r="J873" s="20" t="str">
        <f aca="false">IF($A873="","",$B873+$C873+$D873-$E873+$F873-$G873)</f>
        <v/>
      </c>
      <c r="K873" s="20" t="str">
        <f aca="false">IF($A873="","",MAX(0,$B873-$J873))</f>
        <v/>
      </c>
      <c r="L873" s="20" t="str">
        <f aca="false">IF($A873="","",IF($B873=0,0,$K873/$B873))</f>
        <v/>
      </c>
      <c r="M873" s="20" t="str">
        <f aca="false">IF($A873="","",IF($J873&lt;0,"BORCA BATIK",IF($I873&lt;$H873,"BORCA BATIK",IF($L873&gt;=TtkUcteIkiEsik,"2/3 KAYIP (KRİTİK)",IF($L873&gt;=TtkUcteBirEsik,"1/3 KAYIP (DİKKAT)","UYGUN")))))</f>
        <v/>
      </c>
      <c r="U873" s="20" t="str">
        <f aca="false">IF($N873="","",$Q873*$R873)</f>
        <v/>
      </c>
    </row>
    <row r="874" customFormat="false" ht="15" hidden="false" customHeight="false" outlineLevel="0" collapsed="false">
      <c r="J874" s="20" t="str">
        <f aca="false">IF($A874="","",$B874+$C874+$D874-$E874+$F874-$G874)</f>
        <v/>
      </c>
      <c r="K874" s="20" t="str">
        <f aca="false">IF($A874="","",MAX(0,$B874-$J874))</f>
        <v/>
      </c>
      <c r="L874" s="20" t="str">
        <f aca="false">IF($A874="","",IF($B874=0,0,$K874/$B874))</f>
        <v/>
      </c>
      <c r="M874" s="20" t="str">
        <f aca="false">IF($A874="","",IF($J874&lt;0,"BORCA BATIK",IF($I874&lt;$H874,"BORCA BATIK",IF($L874&gt;=TtkUcteIkiEsik,"2/3 KAYIP (KRİTİK)",IF($L874&gt;=TtkUcteBirEsik,"1/3 KAYIP (DİKKAT)","UYGUN")))))</f>
        <v/>
      </c>
      <c r="U874" s="20" t="str">
        <f aca="false">IF($N874="","",$Q874*$R874)</f>
        <v/>
      </c>
    </row>
    <row r="875" customFormat="false" ht="15" hidden="false" customHeight="false" outlineLevel="0" collapsed="false">
      <c r="J875" s="20" t="str">
        <f aca="false">IF($A875="","",$B875+$C875+$D875-$E875+$F875-$G875)</f>
        <v/>
      </c>
      <c r="K875" s="20" t="str">
        <f aca="false">IF($A875="","",MAX(0,$B875-$J875))</f>
        <v/>
      </c>
      <c r="L875" s="20" t="str">
        <f aca="false">IF($A875="","",IF($B875=0,0,$K875/$B875))</f>
        <v/>
      </c>
      <c r="M875" s="20" t="str">
        <f aca="false">IF($A875="","",IF($J875&lt;0,"BORCA BATIK",IF($I875&lt;$H875,"BORCA BATIK",IF($L875&gt;=TtkUcteIkiEsik,"2/3 KAYIP (KRİTİK)",IF($L875&gt;=TtkUcteBirEsik,"1/3 KAYIP (DİKKAT)","UYGUN")))))</f>
        <v/>
      </c>
      <c r="U875" s="20" t="str">
        <f aca="false">IF($N875="","",$Q875*$R875)</f>
        <v/>
      </c>
    </row>
    <row r="876" customFormat="false" ht="15" hidden="false" customHeight="false" outlineLevel="0" collapsed="false">
      <c r="J876" s="20" t="str">
        <f aca="false">IF($A876="","",$B876+$C876+$D876-$E876+$F876-$G876)</f>
        <v/>
      </c>
      <c r="K876" s="20" t="str">
        <f aca="false">IF($A876="","",MAX(0,$B876-$J876))</f>
        <v/>
      </c>
      <c r="L876" s="20" t="str">
        <f aca="false">IF($A876="","",IF($B876=0,0,$K876/$B876))</f>
        <v/>
      </c>
      <c r="M876" s="20" t="str">
        <f aca="false">IF($A876="","",IF($J876&lt;0,"BORCA BATIK",IF($I876&lt;$H876,"BORCA BATIK",IF($L876&gt;=TtkUcteIkiEsik,"2/3 KAYIP (KRİTİK)",IF($L876&gt;=TtkUcteBirEsik,"1/3 KAYIP (DİKKAT)","UYGUN")))))</f>
        <v/>
      </c>
      <c r="U876" s="20" t="str">
        <f aca="false">IF($N876="","",$Q876*$R876)</f>
        <v/>
      </c>
    </row>
    <row r="877" customFormat="false" ht="15" hidden="false" customHeight="false" outlineLevel="0" collapsed="false">
      <c r="J877" s="20" t="str">
        <f aca="false">IF($A877="","",$B877+$C877+$D877-$E877+$F877-$G877)</f>
        <v/>
      </c>
      <c r="K877" s="20" t="str">
        <f aca="false">IF($A877="","",MAX(0,$B877-$J877))</f>
        <v/>
      </c>
      <c r="L877" s="20" t="str">
        <f aca="false">IF($A877="","",IF($B877=0,0,$K877/$B877))</f>
        <v/>
      </c>
      <c r="M877" s="20" t="str">
        <f aca="false">IF($A877="","",IF($J877&lt;0,"BORCA BATIK",IF($I877&lt;$H877,"BORCA BATIK",IF($L877&gt;=TtkUcteIkiEsik,"2/3 KAYIP (KRİTİK)",IF($L877&gt;=TtkUcteBirEsik,"1/3 KAYIP (DİKKAT)","UYGUN")))))</f>
        <v/>
      </c>
      <c r="U877" s="20" t="str">
        <f aca="false">IF($N877="","",$Q877*$R877)</f>
        <v/>
      </c>
    </row>
    <row r="878" customFormat="false" ht="15" hidden="false" customHeight="false" outlineLevel="0" collapsed="false">
      <c r="J878" s="20" t="str">
        <f aca="false">IF($A878="","",$B878+$C878+$D878-$E878+$F878-$G878)</f>
        <v/>
      </c>
      <c r="K878" s="20" t="str">
        <f aca="false">IF($A878="","",MAX(0,$B878-$J878))</f>
        <v/>
      </c>
      <c r="L878" s="20" t="str">
        <f aca="false">IF($A878="","",IF($B878=0,0,$K878/$B878))</f>
        <v/>
      </c>
      <c r="M878" s="20" t="str">
        <f aca="false">IF($A878="","",IF($J878&lt;0,"BORCA BATIK",IF($I878&lt;$H878,"BORCA BATIK",IF($L878&gt;=TtkUcteIkiEsik,"2/3 KAYIP (KRİTİK)",IF($L878&gt;=TtkUcteBirEsik,"1/3 KAYIP (DİKKAT)","UYGUN")))))</f>
        <v/>
      </c>
      <c r="U878" s="20" t="str">
        <f aca="false">IF($N878="","",$Q878*$R878)</f>
        <v/>
      </c>
    </row>
    <row r="879" customFormat="false" ht="15" hidden="false" customHeight="false" outlineLevel="0" collapsed="false">
      <c r="J879" s="20" t="str">
        <f aca="false">IF($A879="","",$B879+$C879+$D879-$E879+$F879-$G879)</f>
        <v/>
      </c>
      <c r="K879" s="20" t="str">
        <f aca="false">IF($A879="","",MAX(0,$B879-$J879))</f>
        <v/>
      </c>
      <c r="L879" s="20" t="str">
        <f aca="false">IF($A879="","",IF($B879=0,0,$K879/$B879))</f>
        <v/>
      </c>
      <c r="M879" s="20" t="str">
        <f aca="false">IF($A879="","",IF($J879&lt;0,"BORCA BATIK",IF($I879&lt;$H879,"BORCA BATIK",IF($L879&gt;=TtkUcteIkiEsik,"2/3 KAYIP (KRİTİK)",IF($L879&gt;=TtkUcteBirEsik,"1/3 KAYIP (DİKKAT)","UYGUN")))))</f>
        <v/>
      </c>
      <c r="U879" s="20" t="str">
        <f aca="false">IF($N879="","",$Q879*$R879)</f>
        <v/>
      </c>
    </row>
    <row r="880" customFormat="false" ht="15" hidden="false" customHeight="false" outlineLevel="0" collapsed="false">
      <c r="J880" s="20" t="str">
        <f aca="false">IF($A880="","",$B880+$C880+$D880-$E880+$F880-$G880)</f>
        <v/>
      </c>
      <c r="K880" s="20" t="str">
        <f aca="false">IF($A880="","",MAX(0,$B880-$J880))</f>
        <v/>
      </c>
      <c r="L880" s="20" t="str">
        <f aca="false">IF($A880="","",IF($B880=0,0,$K880/$B880))</f>
        <v/>
      </c>
      <c r="M880" s="20" t="str">
        <f aca="false">IF($A880="","",IF($J880&lt;0,"BORCA BATIK",IF($I880&lt;$H880,"BORCA BATIK",IF($L880&gt;=TtkUcteIkiEsik,"2/3 KAYIP (KRİTİK)",IF($L880&gt;=TtkUcteBirEsik,"1/3 KAYIP (DİKKAT)","UYGUN")))))</f>
        <v/>
      </c>
      <c r="U880" s="20" t="str">
        <f aca="false">IF($N880="","",$Q880*$R880)</f>
        <v/>
      </c>
    </row>
    <row r="881" customFormat="false" ht="15" hidden="false" customHeight="false" outlineLevel="0" collapsed="false">
      <c r="J881" s="20" t="str">
        <f aca="false">IF($A881="","",$B881+$C881+$D881-$E881+$F881-$G881)</f>
        <v/>
      </c>
      <c r="K881" s="20" t="str">
        <f aca="false">IF($A881="","",MAX(0,$B881-$J881))</f>
        <v/>
      </c>
      <c r="L881" s="20" t="str">
        <f aca="false">IF($A881="","",IF($B881=0,0,$K881/$B881))</f>
        <v/>
      </c>
      <c r="M881" s="20" t="str">
        <f aca="false">IF($A881="","",IF($J881&lt;0,"BORCA BATIK",IF($I881&lt;$H881,"BORCA BATIK",IF($L881&gt;=TtkUcteIkiEsik,"2/3 KAYIP (KRİTİK)",IF($L881&gt;=TtkUcteBirEsik,"1/3 KAYIP (DİKKAT)","UYGUN")))))</f>
        <v/>
      </c>
      <c r="U881" s="20" t="str">
        <f aca="false">IF($N881="","",$Q881*$R881)</f>
        <v/>
      </c>
    </row>
    <row r="882" customFormat="false" ht="15" hidden="false" customHeight="false" outlineLevel="0" collapsed="false">
      <c r="J882" s="20" t="str">
        <f aca="false">IF($A882="","",$B882+$C882+$D882-$E882+$F882-$G882)</f>
        <v/>
      </c>
      <c r="K882" s="20" t="str">
        <f aca="false">IF($A882="","",MAX(0,$B882-$J882))</f>
        <v/>
      </c>
      <c r="L882" s="20" t="str">
        <f aca="false">IF($A882="","",IF($B882=0,0,$K882/$B882))</f>
        <v/>
      </c>
      <c r="M882" s="20" t="str">
        <f aca="false">IF($A882="","",IF($J882&lt;0,"BORCA BATIK",IF($I882&lt;$H882,"BORCA BATIK",IF($L882&gt;=TtkUcteIkiEsik,"2/3 KAYIP (KRİTİK)",IF($L882&gt;=TtkUcteBirEsik,"1/3 KAYIP (DİKKAT)","UYGUN")))))</f>
        <v/>
      </c>
      <c r="U882" s="20" t="str">
        <f aca="false">IF($N882="","",$Q882*$R882)</f>
        <v/>
      </c>
    </row>
    <row r="883" customFormat="false" ht="15" hidden="false" customHeight="false" outlineLevel="0" collapsed="false">
      <c r="J883" s="20" t="str">
        <f aca="false">IF($A883="","",$B883+$C883+$D883-$E883+$F883-$G883)</f>
        <v/>
      </c>
      <c r="K883" s="20" t="str">
        <f aca="false">IF($A883="","",MAX(0,$B883-$J883))</f>
        <v/>
      </c>
      <c r="L883" s="20" t="str">
        <f aca="false">IF($A883="","",IF($B883=0,0,$K883/$B883))</f>
        <v/>
      </c>
      <c r="M883" s="20" t="str">
        <f aca="false">IF($A883="","",IF($J883&lt;0,"BORCA BATIK",IF($I883&lt;$H883,"BORCA BATIK",IF($L883&gt;=TtkUcteIkiEsik,"2/3 KAYIP (KRİTİK)",IF($L883&gt;=TtkUcteBirEsik,"1/3 KAYIP (DİKKAT)","UYGUN")))))</f>
        <v/>
      </c>
      <c r="U883" s="20" t="str">
        <f aca="false">IF($N883="","",$Q883*$R883)</f>
        <v/>
      </c>
    </row>
    <row r="884" customFormat="false" ht="15" hidden="false" customHeight="false" outlineLevel="0" collapsed="false">
      <c r="J884" s="20" t="str">
        <f aca="false">IF($A884="","",$B884+$C884+$D884-$E884+$F884-$G884)</f>
        <v/>
      </c>
      <c r="K884" s="20" t="str">
        <f aca="false">IF($A884="","",MAX(0,$B884-$J884))</f>
        <v/>
      </c>
      <c r="L884" s="20" t="str">
        <f aca="false">IF($A884="","",IF($B884=0,0,$K884/$B884))</f>
        <v/>
      </c>
      <c r="M884" s="20" t="str">
        <f aca="false">IF($A884="","",IF($J884&lt;0,"BORCA BATIK",IF($I884&lt;$H884,"BORCA BATIK",IF($L884&gt;=TtkUcteIkiEsik,"2/3 KAYIP (KRİTİK)",IF($L884&gt;=TtkUcteBirEsik,"1/3 KAYIP (DİKKAT)","UYGUN")))))</f>
        <v/>
      </c>
      <c r="U884" s="20" t="str">
        <f aca="false">IF($N884="","",$Q884*$R884)</f>
        <v/>
      </c>
    </row>
    <row r="885" customFormat="false" ht="15" hidden="false" customHeight="false" outlineLevel="0" collapsed="false">
      <c r="J885" s="20" t="str">
        <f aca="false">IF($A885="","",$B885+$C885+$D885-$E885+$F885-$G885)</f>
        <v/>
      </c>
      <c r="K885" s="20" t="str">
        <f aca="false">IF($A885="","",MAX(0,$B885-$J885))</f>
        <v/>
      </c>
      <c r="L885" s="20" t="str">
        <f aca="false">IF($A885="","",IF($B885=0,0,$K885/$B885))</f>
        <v/>
      </c>
      <c r="M885" s="20" t="str">
        <f aca="false">IF($A885="","",IF($J885&lt;0,"BORCA BATIK",IF($I885&lt;$H885,"BORCA BATIK",IF($L885&gt;=TtkUcteIkiEsik,"2/3 KAYIP (KRİTİK)",IF($L885&gt;=TtkUcteBirEsik,"1/3 KAYIP (DİKKAT)","UYGUN")))))</f>
        <v/>
      </c>
      <c r="U885" s="20" t="str">
        <f aca="false">IF($N885="","",$Q885*$R885)</f>
        <v/>
      </c>
    </row>
    <row r="886" customFormat="false" ht="15" hidden="false" customHeight="false" outlineLevel="0" collapsed="false">
      <c r="J886" s="20" t="str">
        <f aca="false">IF($A886="","",$B886+$C886+$D886-$E886+$F886-$G886)</f>
        <v/>
      </c>
      <c r="K886" s="20" t="str">
        <f aca="false">IF($A886="","",MAX(0,$B886-$J886))</f>
        <v/>
      </c>
      <c r="L886" s="20" t="str">
        <f aca="false">IF($A886="","",IF($B886=0,0,$K886/$B886))</f>
        <v/>
      </c>
      <c r="M886" s="20" t="str">
        <f aca="false">IF($A886="","",IF($J886&lt;0,"BORCA BATIK",IF($I886&lt;$H886,"BORCA BATIK",IF($L886&gt;=TtkUcteIkiEsik,"2/3 KAYIP (KRİTİK)",IF($L886&gt;=TtkUcteBirEsik,"1/3 KAYIP (DİKKAT)","UYGUN")))))</f>
        <v/>
      </c>
      <c r="U886" s="20" t="str">
        <f aca="false">IF($N886="","",$Q886*$R886)</f>
        <v/>
      </c>
    </row>
    <row r="887" customFormat="false" ht="15" hidden="false" customHeight="false" outlineLevel="0" collapsed="false">
      <c r="J887" s="20" t="str">
        <f aca="false">IF($A887="","",$B887+$C887+$D887-$E887+$F887-$G887)</f>
        <v/>
      </c>
      <c r="K887" s="20" t="str">
        <f aca="false">IF($A887="","",MAX(0,$B887-$J887))</f>
        <v/>
      </c>
      <c r="L887" s="20" t="str">
        <f aca="false">IF($A887="","",IF($B887=0,0,$K887/$B887))</f>
        <v/>
      </c>
      <c r="M887" s="20" t="str">
        <f aca="false">IF($A887="","",IF($J887&lt;0,"BORCA BATIK",IF($I887&lt;$H887,"BORCA BATIK",IF($L887&gt;=TtkUcteIkiEsik,"2/3 KAYIP (KRİTİK)",IF($L887&gt;=TtkUcteBirEsik,"1/3 KAYIP (DİKKAT)","UYGUN")))))</f>
        <v/>
      </c>
      <c r="U887" s="20" t="str">
        <f aca="false">IF($N887="","",$Q887*$R887)</f>
        <v/>
      </c>
    </row>
    <row r="888" customFormat="false" ht="15" hidden="false" customHeight="false" outlineLevel="0" collapsed="false">
      <c r="J888" s="20" t="str">
        <f aca="false">IF($A888="","",$B888+$C888+$D888-$E888+$F888-$G888)</f>
        <v/>
      </c>
      <c r="K888" s="20" t="str">
        <f aca="false">IF($A888="","",MAX(0,$B888-$J888))</f>
        <v/>
      </c>
      <c r="L888" s="20" t="str">
        <f aca="false">IF($A888="","",IF($B888=0,0,$K888/$B888))</f>
        <v/>
      </c>
      <c r="M888" s="20" t="str">
        <f aca="false">IF($A888="","",IF($J888&lt;0,"BORCA BATIK",IF($I888&lt;$H888,"BORCA BATIK",IF($L888&gt;=TtkUcteIkiEsik,"2/3 KAYIP (KRİTİK)",IF($L888&gt;=TtkUcteBirEsik,"1/3 KAYIP (DİKKAT)","UYGUN")))))</f>
        <v/>
      </c>
      <c r="U888" s="20" t="str">
        <f aca="false">IF($N888="","",$Q888*$R888)</f>
        <v/>
      </c>
    </row>
    <row r="889" customFormat="false" ht="15" hidden="false" customHeight="false" outlineLevel="0" collapsed="false">
      <c r="J889" s="20" t="str">
        <f aca="false">IF($A889="","",$B889+$C889+$D889-$E889+$F889-$G889)</f>
        <v/>
      </c>
      <c r="K889" s="20" t="str">
        <f aca="false">IF($A889="","",MAX(0,$B889-$J889))</f>
        <v/>
      </c>
      <c r="L889" s="20" t="str">
        <f aca="false">IF($A889="","",IF($B889=0,0,$K889/$B889))</f>
        <v/>
      </c>
      <c r="M889" s="20" t="str">
        <f aca="false">IF($A889="","",IF($J889&lt;0,"BORCA BATIK",IF($I889&lt;$H889,"BORCA BATIK",IF($L889&gt;=TtkUcteIkiEsik,"2/3 KAYIP (KRİTİK)",IF($L889&gt;=TtkUcteBirEsik,"1/3 KAYIP (DİKKAT)","UYGUN")))))</f>
        <v/>
      </c>
      <c r="U889" s="20" t="str">
        <f aca="false">IF($N889="","",$Q889*$R889)</f>
        <v/>
      </c>
    </row>
    <row r="890" customFormat="false" ht="15" hidden="false" customHeight="false" outlineLevel="0" collapsed="false">
      <c r="J890" s="20" t="str">
        <f aca="false">IF($A890="","",$B890+$C890+$D890-$E890+$F890-$G890)</f>
        <v/>
      </c>
      <c r="K890" s="20" t="str">
        <f aca="false">IF($A890="","",MAX(0,$B890-$J890))</f>
        <v/>
      </c>
      <c r="L890" s="20" t="str">
        <f aca="false">IF($A890="","",IF($B890=0,0,$K890/$B890))</f>
        <v/>
      </c>
      <c r="M890" s="20" t="str">
        <f aca="false">IF($A890="","",IF($J890&lt;0,"BORCA BATIK",IF($I890&lt;$H890,"BORCA BATIK",IF($L890&gt;=TtkUcteIkiEsik,"2/3 KAYIP (KRİTİK)",IF($L890&gt;=TtkUcteBirEsik,"1/3 KAYIP (DİKKAT)","UYGUN")))))</f>
        <v/>
      </c>
      <c r="U890" s="20" t="str">
        <f aca="false">IF($N890="","",$Q890*$R890)</f>
        <v/>
      </c>
    </row>
    <row r="891" customFormat="false" ht="15" hidden="false" customHeight="false" outlineLevel="0" collapsed="false">
      <c r="J891" s="20" t="str">
        <f aca="false">IF($A891="","",$B891+$C891+$D891-$E891+$F891-$G891)</f>
        <v/>
      </c>
      <c r="K891" s="20" t="str">
        <f aca="false">IF($A891="","",MAX(0,$B891-$J891))</f>
        <v/>
      </c>
      <c r="L891" s="20" t="str">
        <f aca="false">IF($A891="","",IF($B891=0,0,$K891/$B891))</f>
        <v/>
      </c>
      <c r="M891" s="20" t="str">
        <f aca="false">IF($A891="","",IF($J891&lt;0,"BORCA BATIK",IF($I891&lt;$H891,"BORCA BATIK",IF($L891&gt;=TtkUcteIkiEsik,"2/3 KAYIP (KRİTİK)",IF($L891&gt;=TtkUcteBirEsik,"1/3 KAYIP (DİKKAT)","UYGUN")))))</f>
        <v/>
      </c>
      <c r="U891" s="20" t="str">
        <f aca="false">IF($N891="","",$Q891*$R891)</f>
        <v/>
      </c>
    </row>
    <row r="892" customFormat="false" ht="15" hidden="false" customHeight="false" outlineLevel="0" collapsed="false">
      <c r="J892" s="20" t="str">
        <f aca="false">IF($A892="","",$B892+$C892+$D892-$E892+$F892-$G892)</f>
        <v/>
      </c>
      <c r="K892" s="20" t="str">
        <f aca="false">IF($A892="","",MAX(0,$B892-$J892))</f>
        <v/>
      </c>
      <c r="L892" s="20" t="str">
        <f aca="false">IF($A892="","",IF($B892=0,0,$K892/$B892))</f>
        <v/>
      </c>
      <c r="M892" s="20" t="str">
        <f aca="false">IF($A892="","",IF($J892&lt;0,"BORCA BATIK",IF($I892&lt;$H892,"BORCA BATIK",IF($L892&gt;=TtkUcteIkiEsik,"2/3 KAYIP (KRİTİK)",IF($L892&gt;=TtkUcteBirEsik,"1/3 KAYIP (DİKKAT)","UYGUN")))))</f>
        <v/>
      </c>
      <c r="U892" s="20" t="str">
        <f aca="false">IF($N892="","",$Q892*$R892)</f>
        <v/>
      </c>
    </row>
    <row r="893" customFormat="false" ht="15" hidden="false" customHeight="false" outlineLevel="0" collapsed="false">
      <c r="J893" s="20" t="str">
        <f aca="false">IF($A893="","",$B893+$C893+$D893-$E893+$F893-$G893)</f>
        <v/>
      </c>
      <c r="K893" s="20" t="str">
        <f aca="false">IF($A893="","",MAX(0,$B893-$J893))</f>
        <v/>
      </c>
      <c r="L893" s="20" t="str">
        <f aca="false">IF($A893="","",IF($B893=0,0,$K893/$B893))</f>
        <v/>
      </c>
      <c r="M893" s="20" t="str">
        <f aca="false">IF($A893="","",IF($J893&lt;0,"BORCA BATIK",IF($I893&lt;$H893,"BORCA BATIK",IF($L893&gt;=TtkUcteIkiEsik,"2/3 KAYIP (KRİTİK)",IF($L893&gt;=TtkUcteBirEsik,"1/3 KAYIP (DİKKAT)","UYGUN")))))</f>
        <v/>
      </c>
      <c r="U893" s="20" t="str">
        <f aca="false">IF($N893="","",$Q893*$R893)</f>
        <v/>
      </c>
    </row>
    <row r="894" customFormat="false" ht="15" hidden="false" customHeight="false" outlineLevel="0" collapsed="false">
      <c r="J894" s="20" t="str">
        <f aca="false">IF($A894="","",$B894+$C894+$D894-$E894+$F894-$G894)</f>
        <v/>
      </c>
      <c r="K894" s="20" t="str">
        <f aca="false">IF($A894="","",MAX(0,$B894-$J894))</f>
        <v/>
      </c>
      <c r="L894" s="20" t="str">
        <f aca="false">IF($A894="","",IF($B894=0,0,$K894/$B894))</f>
        <v/>
      </c>
      <c r="M894" s="20" t="str">
        <f aca="false">IF($A894="","",IF($J894&lt;0,"BORCA BATIK",IF($I894&lt;$H894,"BORCA BATIK",IF($L894&gt;=TtkUcteIkiEsik,"2/3 KAYIP (KRİTİK)",IF($L894&gt;=TtkUcteBirEsik,"1/3 KAYIP (DİKKAT)","UYGUN")))))</f>
        <v/>
      </c>
      <c r="U894" s="20" t="str">
        <f aca="false">IF($N894="","",$Q894*$R894)</f>
        <v/>
      </c>
    </row>
    <row r="895" customFormat="false" ht="15" hidden="false" customHeight="false" outlineLevel="0" collapsed="false">
      <c r="J895" s="20" t="str">
        <f aca="false">IF($A895="","",$B895+$C895+$D895-$E895+$F895-$G895)</f>
        <v/>
      </c>
      <c r="K895" s="20" t="str">
        <f aca="false">IF($A895="","",MAX(0,$B895-$J895))</f>
        <v/>
      </c>
      <c r="L895" s="20" t="str">
        <f aca="false">IF($A895="","",IF($B895=0,0,$K895/$B895))</f>
        <v/>
      </c>
      <c r="M895" s="20" t="str">
        <f aca="false">IF($A895="","",IF($J895&lt;0,"BORCA BATIK",IF($I895&lt;$H895,"BORCA BATIK",IF($L895&gt;=TtkUcteIkiEsik,"2/3 KAYIP (KRİTİK)",IF($L895&gt;=TtkUcteBirEsik,"1/3 KAYIP (DİKKAT)","UYGUN")))))</f>
        <v/>
      </c>
      <c r="U895" s="20" t="str">
        <f aca="false">IF($N895="","",$Q895*$R895)</f>
        <v/>
      </c>
    </row>
    <row r="896" customFormat="false" ht="15" hidden="false" customHeight="false" outlineLevel="0" collapsed="false">
      <c r="J896" s="20" t="str">
        <f aca="false">IF($A896="","",$B896+$C896+$D896-$E896+$F896-$G896)</f>
        <v/>
      </c>
      <c r="K896" s="20" t="str">
        <f aca="false">IF($A896="","",MAX(0,$B896-$J896))</f>
        <v/>
      </c>
      <c r="L896" s="20" t="str">
        <f aca="false">IF($A896="","",IF($B896=0,0,$K896/$B896))</f>
        <v/>
      </c>
      <c r="M896" s="20" t="str">
        <f aca="false">IF($A896="","",IF($J896&lt;0,"BORCA BATIK",IF($I896&lt;$H896,"BORCA BATIK",IF($L896&gt;=TtkUcteIkiEsik,"2/3 KAYIP (KRİTİK)",IF($L896&gt;=TtkUcteBirEsik,"1/3 KAYIP (DİKKAT)","UYGUN")))))</f>
        <v/>
      </c>
      <c r="U896" s="20" t="str">
        <f aca="false">IF($N896="","",$Q896*$R896)</f>
        <v/>
      </c>
    </row>
    <row r="897" customFormat="false" ht="15" hidden="false" customHeight="false" outlineLevel="0" collapsed="false">
      <c r="J897" s="20" t="str">
        <f aca="false">IF($A897="","",$B897+$C897+$D897-$E897+$F897-$G897)</f>
        <v/>
      </c>
      <c r="K897" s="20" t="str">
        <f aca="false">IF($A897="","",MAX(0,$B897-$J897))</f>
        <v/>
      </c>
      <c r="L897" s="20" t="str">
        <f aca="false">IF($A897="","",IF($B897=0,0,$K897/$B897))</f>
        <v/>
      </c>
      <c r="M897" s="20" t="str">
        <f aca="false">IF($A897="","",IF($J897&lt;0,"BORCA BATIK",IF($I897&lt;$H897,"BORCA BATIK",IF($L897&gt;=TtkUcteIkiEsik,"2/3 KAYIP (KRİTİK)",IF($L897&gt;=TtkUcteBirEsik,"1/3 KAYIP (DİKKAT)","UYGUN")))))</f>
        <v/>
      </c>
      <c r="U897" s="20" t="str">
        <f aca="false">IF($N897="","",$Q897*$R897)</f>
        <v/>
      </c>
    </row>
    <row r="898" customFormat="false" ht="15" hidden="false" customHeight="false" outlineLevel="0" collapsed="false">
      <c r="J898" s="20" t="str">
        <f aca="false">IF($A898="","",$B898+$C898+$D898-$E898+$F898-$G898)</f>
        <v/>
      </c>
      <c r="K898" s="20" t="str">
        <f aca="false">IF($A898="","",MAX(0,$B898-$J898))</f>
        <v/>
      </c>
      <c r="L898" s="20" t="str">
        <f aca="false">IF($A898="","",IF($B898=0,0,$K898/$B898))</f>
        <v/>
      </c>
      <c r="M898" s="20" t="str">
        <f aca="false">IF($A898="","",IF($J898&lt;0,"BORCA BATIK",IF($I898&lt;$H898,"BORCA BATIK",IF($L898&gt;=TtkUcteIkiEsik,"2/3 KAYIP (KRİTİK)",IF($L898&gt;=TtkUcteBirEsik,"1/3 KAYIP (DİKKAT)","UYGUN")))))</f>
        <v/>
      </c>
      <c r="U898" s="20" t="str">
        <f aca="false">IF($N898="","",$Q898*$R898)</f>
        <v/>
      </c>
    </row>
    <row r="899" customFormat="false" ht="15" hidden="false" customHeight="false" outlineLevel="0" collapsed="false">
      <c r="J899" s="20" t="str">
        <f aca="false">IF($A899="","",$B899+$C899+$D899-$E899+$F899-$G899)</f>
        <v/>
      </c>
      <c r="K899" s="20" t="str">
        <f aca="false">IF($A899="","",MAX(0,$B899-$J899))</f>
        <v/>
      </c>
      <c r="L899" s="20" t="str">
        <f aca="false">IF($A899="","",IF($B899=0,0,$K899/$B899))</f>
        <v/>
      </c>
      <c r="M899" s="20" t="str">
        <f aca="false">IF($A899="","",IF($J899&lt;0,"BORCA BATIK",IF($I899&lt;$H899,"BORCA BATIK",IF($L899&gt;=TtkUcteIkiEsik,"2/3 KAYIP (KRİTİK)",IF($L899&gt;=TtkUcteBirEsik,"1/3 KAYIP (DİKKAT)","UYGUN")))))</f>
        <v/>
      </c>
      <c r="U899" s="20" t="str">
        <f aca="false">IF($N899="","",$Q899*$R899)</f>
        <v/>
      </c>
    </row>
    <row r="900" customFormat="false" ht="15" hidden="false" customHeight="false" outlineLevel="0" collapsed="false">
      <c r="J900" s="20" t="str">
        <f aca="false">IF($A900="","",$B900+$C900+$D900-$E900+$F900-$G900)</f>
        <v/>
      </c>
      <c r="K900" s="20" t="str">
        <f aca="false">IF($A900="","",MAX(0,$B900-$J900))</f>
        <v/>
      </c>
      <c r="L900" s="20" t="str">
        <f aca="false">IF($A900="","",IF($B900=0,0,$K900/$B900))</f>
        <v/>
      </c>
      <c r="M900" s="20" t="str">
        <f aca="false">IF($A900="","",IF($J900&lt;0,"BORCA BATIK",IF($I900&lt;$H900,"BORCA BATIK",IF($L900&gt;=TtkUcteIkiEsik,"2/3 KAYIP (KRİTİK)",IF($L900&gt;=TtkUcteBirEsik,"1/3 KAYIP (DİKKAT)","UYGUN")))))</f>
        <v/>
      </c>
      <c r="U900" s="20" t="str">
        <f aca="false">IF($N900="","",$Q900*$R900)</f>
        <v/>
      </c>
    </row>
    <row r="901" customFormat="false" ht="15" hidden="false" customHeight="false" outlineLevel="0" collapsed="false">
      <c r="J901" s="20" t="str">
        <f aca="false">IF($A901="","",$B901+$C901+$D901-$E901+$F901-$G901)</f>
        <v/>
      </c>
      <c r="K901" s="20" t="str">
        <f aca="false">IF($A901="","",MAX(0,$B901-$J901))</f>
        <v/>
      </c>
      <c r="L901" s="20" t="str">
        <f aca="false">IF($A901="","",IF($B901=0,0,$K901/$B901))</f>
        <v/>
      </c>
      <c r="M901" s="20" t="str">
        <f aca="false">IF($A901="","",IF($J901&lt;0,"BORCA BATIK",IF($I901&lt;$H901,"BORCA BATIK",IF($L901&gt;=TtkUcteIkiEsik,"2/3 KAYIP (KRİTİK)",IF($L901&gt;=TtkUcteBirEsik,"1/3 KAYIP (DİKKAT)","UYGUN")))))</f>
        <v/>
      </c>
      <c r="U901" s="20" t="str">
        <f aca="false">IF($N901="","",$Q901*$R901)</f>
        <v/>
      </c>
    </row>
    <row r="902" customFormat="false" ht="15" hidden="false" customHeight="false" outlineLevel="0" collapsed="false">
      <c r="J902" s="20" t="str">
        <f aca="false">IF($A902="","",$B902+$C902+$D902-$E902+$F902-$G902)</f>
        <v/>
      </c>
      <c r="K902" s="20" t="str">
        <f aca="false">IF($A902="","",MAX(0,$B902-$J902))</f>
        <v/>
      </c>
      <c r="L902" s="20" t="str">
        <f aca="false">IF($A902="","",IF($B902=0,0,$K902/$B902))</f>
        <v/>
      </c>
      <c r="M902" s="20" t="str">
        <f aca="false">IF($A902="","",IF($J902&lt;0,"BORCA BATIK",IF($I902&lt;$H902,"BORCA BATIK",IF($L902&gt;=TtkUcteIkiEsik,"2/3 KAYIP (KRİTİK)",IF($L902&gt;=TtkUcteBirEsik,"1/3 KAYIP (DİKKAT)","UYGUN")))))</f>
        <v/>
      </c>
      <c r="U902" s="20" t="str">
        <f aca="false">IF($N902="","",$Q902*$R902)</f>
        <v/>
      </c>
    </row>
    <row r="903" customFormat="false" ht="15" hidden="false" customHeight="false" outlineLevel="0" collapsed="false">
      <c r="J903" s="20" t="str">
        <f aca="false">IF($A903="","",$B903+$C903+$D903-$E903+$F903-$G903)</f>
        <v/>
      </c>
      <c r="K903" s="20" t="str">
        <f aca="false">IF($A903="","",MAX(0,$B903-$J903))</f>
        <v/>
      </c>
      <c r="L903" s="20" t="str">
        <f aca="false">IF($A903="","",IF($B903=0,0,$K903/$B903))</f>
        <v/>
      </c>
      <c r="M903" s="20" t="str">
        <f aca="false">IF($A903="","",IF($J903&lt;0,"BORCA BATIK",IF($I903&lt;$H903,"BORCA BATIK",IF($L903&gt;=TtkUcteIkiEsik,"2/3 KAYIP (KRİTİK)",IF($L903&gt;=TtkUcteBirEsik,"1/3 KAYIP (DİKKAT)","UYGUN")))))</f>
        <v/>
      </c>
      <c r="U903" s="20" t="str">
        <f aca="false">IF($N903="","",$Q903*$R903)</f>
        <v/>
      </c>
    </row>
    <row r="904" customFormat="false" ht="15" hidden="false" customHeight="false" outlineLevel="0" collapsed="false">
      <c r="J904" s="20" t="str">
        <f aca="false">IF($A904="","",$B904+$C904+$D904-$E904+$F904-$G904)</f>
        <v/>
      </c>
      <c r="K904" s="20" t="str">
        <f aca="false">IF($A904="","",MAX(0,$B904-$J904))</f>
        <v/>
      </c>
      <c r="L904" s="20" t="str">
        <f aca="false">IF($A904="","",IF($B904=0,0,$K904/$B904))</f>
        <v/>
      </c>
      <c r="M904" s="20" t="str">
        <f aca="false">IF($A904="","",IF($J904&lt;0,"BORCA BATIK",IF($I904&lt;$H904,"BORCA BATIK",IF($L904&gt;=TtkUcteIkiEsik,"2/3 KAYIP (KRİTİK)",IF($L904&gt;=TtkUcteBirEsik,"1/3 KAYIP (DİKKAT)","UYGUN")))))</f>
        <v/>
      </c>
      <c r="U904" s="20" t="str">
        <f aca="false">IF($N904="","",$Q904*$R904)</f>
        <v/>
      </c>
    </row>
    <row r="905" customFormat="false" ht="15" hidden="false" customHeight="false" outlineLevel="0" collapsed="false">
      <c r="J905" s="20" t="str">
        <f aca="false">IF($A905="","",$B905+$C905+$D905-$E905+$F905-$G905)</f>
        <v/>
      </c>
      <c r="K905" s="20" t="str">
        <f aca="false">IF($A905="","",MAX(0,$B905-$J905))</f>
        <v/>
      </c>
      <c r="L905" s="20" t="str">
        <f aca="false">IF($A905="","",IF($B905=0,0,$K905/$B905))</f>
        <v/>
      </c>
      <c r="M905" s="20" t="str">
        <f aca="false">IF($A905="","",IF($J905&lt;0,"BORCA BATIK",IF($I905&lt;$H905,"BORCA BATIK",IF($L905&gt;=TtkUcteIkiEsik,"2/3 KAYIP (KRİTİK)",IF($L905&gt;=TtkUcteBirEsik,"1/3 KAYIP (DİKKAT)","UYGUN")))))</f>
        <v/>
      </c>
      <c r="U905" s="20" t="str">
        <f aca="false">IF($N905="","",$Q905*$R905)</f>
        <v/>
      </c>
    </row>
    <row r="906" customFormat="false" ht="15" hidden="false" customHeight="false" outlineLevel="0" collapsed="false">
      <c r="J906" s="20" t="str">
        <f aca="false">IF($A906="","",$B906+$C906+$D906-$E906+$F906-$G906)</f>
        <v/>
      </c>
      <c r="K906" s="20" t="str">
        <f aca="false">IF($A906="","",MAX(0,$B906-$J906))</f>
        <v/>
      </c>
      <c r="L906" s="20" t="str">
        <f aca="false">IF($A906="","",IF($B906=0,0,$K906/$B906))</f>
        <v/>
      </c>
      <c r="M906" s="20" t="str">
        <f aca="false">IF($A906="","",IF($J906&lt;0,"BORCA BATIK",IF($I906&lt;$H906,"BORCA BATIK",IF($L906&gt;=TtkUcteIkiEsik,"2/3 KAYIP (KRİTİK)",IF($L906&gt;=TtkUcteBirEsik,"1/3 KAYIP (DİKKAT)","UYGUN")))))</f>
        <v/>
      </c>
      <c r="U906" s="20" t="str">
        <f aca="false">IF($N906="","",$Q906*$R906)</f>
        <v/>
      </c>
    </row>
    <row r="907" customFormat="false" ht="15" hidden="false" customHeight="false" outlineLevel="0" collapsed="false">
      <c r="J907" s="20" t="str">
        <f aca="false">IF($A907="","",$B907+$C907+$D907-$E907+$F907-$G907)</f>
        <v/>
      </c>
      <c r="K907" s="20" t="str">
        <f aca="false">IF($A907="","",MAX(0,$B907-$J907))</f>
        <v/>
      </c>
      <c r="L907" s="20" t="str">
        <f aca="false">IF($A907="","",IF($B907=0,0,$K907/$B907))</f>
        <v/>
      </c>
      <c r="M907" s="20" t="str">
        <f aca="false">IF($A907="","",IF($J907&lt;0,"BORCA BATIK",IF($I907&lt;$H907,"BORCA BATIK",IF($L907&gt;=TtkUcteIkiEsik,"2/3 KAYIP (KRİTİK)",IF($L907&gt;=TtkUcteBirEsik,"1/3 KAYIP (DİKKAT)","UYGUN")))))</f>
        <v/>
      </c>
      <c r="U907" s="20" t="str">
        <f aca="false">IF($N907="","",$Q907*$R907)</f>
        <v/>
      </c>
    </row>
    <row r="908" customFormat="false" ht="15" hidden="false" customHeight="false" outlineLevel="0" collapsed="false">
      <c r="J908" s="20" t="str">
        <f aca="false">IF($A908="","",$B908+$C908+$D908-$E908+$F908-$G908)</f>
        <v/>
      </c>
      <c r="K908" s="20" t="str">
        <f aca="false">IF($A908="","",MAX(0,$B908-$J908))</f>
        <v/>
      </c>
      <c r="L908" s="20" t="str">
        <f aca="false">IF($A908="","",IF($B908=0,0,$K908/$B908))</f>
        <v/>
      </c>
      <c r="M908" s="20" t="str">
        <f aca="false">IF($A908="","",IF($J908&lt;0,"BORCA BATIK",IF($I908&lt;$H908,"BORCA BATIK",IF($L908&gt;=TtkUcteIkiEsik,"2/3 KAYIP (KRİTİK)",IF($L908&gt;=TtkUcteBirEsik,"1/3 KAYIP (DİKKAT)","UYGUN")))))</f>
        <v/>
      </c>
      <c r="U908" s="20" t="str">
        <f aca="false">IF($N908="","",$Q908*$R908)</f>
        <v/>
      </c>
    </row>
    <row r="909" customFormat="false" ht="15" hidden="false" customHeight="false" outlineLevel="0" collapsed="false">
      <c r="J909" s="20" t="str">
        <f aca="false">IF($A909="","",$B909+$C909+$D909-$E909+$F909-$G909)</f>
        <v/>
      </c>
      <c r="K909" s="20" t="str">
        <f aca="false">IF($A909="","",MAX(0,$B909-$J909))</f>
        <v/>
      </c>
      <c r="L909" s="20" t="str">
        <f aca="false">IF($A909="","",IF($B909=0,0,$K909/$B909))</f>
        <v/>
      </c>
      <c r="M909" s="20" t="str">
        <f aca="false">IF($A909="","",IF($J909&lt;0,"BORCA BATIK",IF($I909&lt;$H909,"BORCA BATIK",IF($L909&gt;=TtkUcteIkiEsik,"2/3 KAYIP (KRİTİK)",IF($L909&gt;=TtkUcteBirEsik,"1/3 KAYIP (DİKKAT)","UYGUN")))))</f>
        <v/>
      </c>
      <c r="U909" s="20" t="str">
        <f aca="false">IF($N909="","",$Q909*$R909)</f>
        <v/>
      </c>
    </row>
    <row r="910" customFormat="false" ht="15" hidden="false" customHeight="false" outlineLevel="0" collapsed="false">
      <c r="J910" s="20" t="str">
        <f aca="false">IF($A910="","",$B910+$C910+$D910-$E910+$F910-$G910)</f>
        <v/>
      </c>
      <c r="K910" s="20" t="str">
        <f aca="false">IF($A910="","",MAX(0,$B910-$J910))</f>
        <v/>
      </c>
      <c r="L910" s="20" t="str">
        <f aca="false">IF($A910="","",IF($B910=0,0,$K910/$B910))</f>
        <v/>
      </c>
      <c r="M910" s="20" t="str">
        <f aca="false">IF($A910="","",IF($J910&lt;0,"BORCA BATIK",IF($I910&lt;$H910,"BORCA BATIK",IF($L910&gt;=TtkUcteIkiEsik,"2/3 KAYIP (KRİTİK)",IF($L910&gt;=TtkUcteBirEsik,"1/3 KAYIP (DİKKAT)","UYGUN")))))</f>
        <v/>
      </c>
      <c r="U910" s="20" t="str">
        <f aca="false">IF($N910="","",$Q910*$R910)</f>
        <v/>
      </c>
    </row>
    <row r="911" customFormat="false" ht="15" hidden="false" customHeight="false" outlineLevel="0" collapsed="false">
      <c r="J911" s="20" t="str">
        <f aca="false">IF($A911="","",$B911+$C911+$D911-$E911+$F911-$G911)</f>
        <v/>
      </c>
      <c r="K911" s="20" t="str">
        <f aca="false">IF($A911="","",MAX(0,$B911-$J911))</f>
        <v/>
      </c>
      <c r="L911" s="20" t="str">
        <f aca="false">IF($A911="","",IF($B911=0,0,$K911/$B911))</f>
        <v/>
      </c>
      <c r="M911" s="20" t="str">
        <f aca="false">IF($A911="","",IF($J911&lt;0,"BORCA BATIK",IF($I911&lt;$H911,"BORCA BATIK",IF($L911&gt;=TtkUcteIkiEsik,"2/3 KAYIP (KRİTİK)",IF($L911&gt;=TtkUcteBirEsik,"1/3 KAYIP (DİKKAT)","UYGUN")))))</f>
        <v/>
      </c>
      <c r="U911" s="20" t="str">
        <f aca="false">IF($N911="","",$Q911*$R911)</f>
        <v/>
      </c>
    </row>
    <row r="912" customFormat="false" ht="15" hidden="false" customHeight="false" outlineLevel="0" collapsed="false">
      <c r="J912" s="20" t="str">
        <f aca="false">IF($A912="","",$B912+$C912+$D912-$E912+$F912-$G912)</f>
        <v/>
      </c>
      <c r="K912" s="20" t="str">
        <f aca="false">IF($A912="","",MAX(0,$B912-$J912))</f>
        <v/>
      </c>
      <c r="L912" s="20" t="str">
        <f aca="false">IF($A912="","",IF($B912=0,0,$K912/$B912))</f>
        <v/>
      </c>
      <c r="M912" s="20" t="str">
        <f aca="false">IF($A912="","",IF($J912&lt;0,"BORCA BATIK",IF($I912&lt;$H912,"BORCA BATIK",IF($L912&gt;=TtkUcteIkiEsik,"2/3 KAYIP (KRİTİK)",IF($L912&gt;=TtkUcteBirEsik,"1/3 KAYIP (DİKKAT)","UYGUN")))))</f>
        <v/>
      </c>
      <c r="U912" s="20" t="str">
        <f aca="false">IF($N912="","",$Q912*$R912)</f>
        <v/>
      </c>
    </row>
    <row r="913" customFormat="false" ht="15" hidden="false" customHeight="false" outlineLevel="0" collapsed="false">
      <c r="J913" s="20" t="str">
        <f aca="false">IF($A913="","",$B913+$C913+$D913-$E913+$F913-$G913)</f>
        <v/>
      </c>
      <c r="K913" s="20" t="str">
        <f aca="false">IF($A913="","",MAX(0,$B913-$J913))</f>
        <v/>
      </c>
      <c r="L913" s="20" t="str">
        <f aca="false">IF($A913="","",IF($B913=0,0,$K913/$B913))</f>
        <v/>
      </c>
      <c r="M913" s="20" t="str">
        <f aca="false">IF($A913="","",IF($J913&lt;0,"BORCA BATIK",IF($I913&lt;$H913,"BORCA BATIK",IF($L913&gt;=TtkUcteIkiEsik,"2/3 KAYIP (KRİTİK)",IF($L913&gt;=TtkUcteBirEsik,"1/3 KAYIP (DİKKAT)","UYGUN")))))</f>
        <v/>
      </c>
      <c r="U913" s="20" t="str">
        <f aca="false">IF($N913="","",$Q913*$R913)</f>
        <v/>
      </c>
    </row>
    <row r="914" customFormat="false" ht="15" hidden="false" customHeight="false" outlineLevel="0" collapsed="false">
      <c r="J914" s="20" t="str">
        <f aca="false">IF($A914="","",$B914+$C914+$D914-$E914+$F914-$G914)</f>
        <v/>
      </c>
      <c r="K914" s="20" t="str">
        <f aca="false">IF($A914="","",MAX(0,$B914-$J914))</f>
        <v/>
      </c>
      <c r="L914" s="20" t="str">
        <f aca="false">IF($A914="","",IF($B914=0,0,$K914/$B914))</f>
        <v/>
      </c>
      <c r="M914" s="20" t="str">
        <f aca="false">IF($A914="","",IF($J914&lt;0,"BORCA BATIK",IF($I914&lt;$H914,"BORCA BATIK",IF($L914&gt;=TtkUcteIkiEsik,"2/3 KAYIP (KRİTİK)",IF($L914&gt;=TtkUcteBirEsik,"1/3 KAYIP (DİKKAT)","UYGUN")))))</f>
        <v/>
      </c>
      <c r="U914" s="20" t="str">
        <f aca="false">IF($N914="","",$Q914*$R914)</f>
        <v/>
      </c>
    </row>
    <row r="915" customFormat="false" ht="15" hidden="false" customHeight="false" outlineLevel="0" collapsed="false">
      <c r="J915" s="20" t="str">
        <f aca="false">IF($A915="","",$B915+$C915+$D915-$E915+$F915-$G915)</f>
        <v/>
      </c>
      <c r="K915" s="20" t="str">
        <f aca="false">IF($A915="","",MAX(0,$B915-$J915))</f>
        <v/>
      </c>
      <c r="L915" s="20" t="str">
        <f aca="false">IF($A915="","",IF($B915=0,0,$K915/$B915))</f>
        <v/>
      </c>
      <c r="M915" s="20" t="str">
        <f aca="false">IF($A915="","",IF($J915&lt;0,"BORCA BATIK",IF($I915&lt;$H915,"BORCA BATIK",IF($L915&gt;=TtkUcteIkiEsik,"2/3 KAYIP (KRİTİK)",IF($L915&gt;=TtkUcteBirEsik,"1/3 KAYIP (DİKKAT)","UYGUN")))))</f>
        <v/>
      </c>
      <c r="U915" s="20" t="str">
        <f aca="false">IF($N915="","",$Q915*$R915)</f>
        <v/>
      </c>
    </row>
    <row r="916" customFormat="false" ht="15" hidden="false" customHeight="false" outlineLevel="0" collapsed="false">
      <c r="J916" s="20" t="str">
        <f aca="false">IF($A916="","",$B916+$C916+$D916-$E916+$F916-$G916)</f>
        <v/>
      </c>
      <c r="K916" s="20" t="str">
        <f aca="false">IF($A916="","",MAX(0,$B916-$J916))</f>
        <v/>
      </c>
      <c r="L916" s="20" t="str">
        <f aca="false">IF($A916="","",IF($B916=0,0,$K916/$B916))</f>
        <v/>
      </c>
      <c r="M916" s="20" t="str">
        <f aca="false">IF($A916="","",IF($J916&lt;0,"BORCA BATIK",IF($I916&lt;$H916,"BORCA BATIK",IF($L916&gt;=TtkUcteIkiEsik,"2/3 KAYIP (KRİTİK)",IF($L916&gt;=TtkUcteBirEsik,"1/3 KAYIP (DİKKAT)","UYGUN")))))</f>
        <v/>
      </c>
      <c r="U916" s="20" t="str">
        <f aca="false">IF($N916="","",$Q916*$R916)</f>
        <v/>
      </c>
    </row>
    <row r="917" customFormat="false" ht="15" hidden="false" customHeight="false" outlineLevel="0" collapsed="false">
      <c r="J917" s="20" t="str">
        <f aca="false">IF($A917="","",$B917+$C917+$D917-$E917+$F917-$G917)</f>
        <v/>
      </c>
      <c r="K917" s="20" t="str">
        <f aca="false">IF($A917="","",MAX(0,$B917-$J917))</f>
        <v/>
      </c>
      <c r="L917" s="20" t="str">
        <f aca="false">IF($A917="","",IF($B917=0,0,$K917/$B917))</f>
        <v/>
      </c>
      <c r="M917" s="20" t="str">
        <f aca="false">IF($A917="","",IF($J917&lt;0,"BORCA BATIK",IF($I917&lt;$H917,"BORCA BATIK",IF($L917&gt;=TtkUcteIkiEsik,"2/3 KAYIP (KRİTİK)",IF($L917&gt;=TtkUcteBirEsik,"1/3 KAYIP (DİKKAT)","UYGUN")))))</f>
        <v/>
      </c>
      <c r="U917" s="20" t="str">
        <f aca="false">IF($N917="","",$Q917*$R917)</f>
        <v/>
      </c>
    </row>
    <row r="918" customFormat="false" ht="15" hidden="false" customHeight="false" outlineLevel="0" collapsed="false">
      <c r="J918" s="20" t="str">
        <f aca="false">IF($A918="","",$B918+$C918+$D918-$E918+$F918-$G918)</f>
        <v/>
      </c>
      <c r="K918" s="20" t="str">
        <f aca="false">IF($A918="","",MAX(0,$B918-$J918))</f>
        <v/>
      </c>
      <c r="L918" s="20" t="str">
        <f aca="false">IF($A918="","",IF($B918=0,0,$K918/$B918))</f>
        <v/>
      </c>
      <c r="M918" s="20" t="str">
        <f aca="false">IF($A918="","",IF($J918&lt;0,"BORCA BATIK",IF($I918&lt;$H918,"BORCA BATIK",IF($L918&gt;=TtkUcteIkiEsik,"2/3 KAYIP (KRİTİK)",IF($L918&gt;=TtkUcteBirEsik,"1/3 KAYIP (DİKKAT)","UYGUN")))))</f>
        <v/>
      </c>
      <c r="U918" s="20" t="str">
        <f aca="false">IF($N918="","",$Q918*$R918)</f>
        <v/>
      </c>
    </row>
    <row r="919" customFormat="false" ht="15" hidden="false" customHeight="false" outlineLevel="0" collapsed="false">
      <c r="J919" s="20" t="str">
        <f aca="false">IF($A919="","",$B919+$C919+$D919-$E919+$F919-$G919)</f>
        <v/>
      </c>
      <c r="K919" s="20" t="str">
        <f aca="false">IF($A919="","",MAX(0,$B919-$J919))</f>
        <v/>
      </c>
      <c r="L919" s="20" t="str">
        <f aca="false">IF($A919="","",IF($B919=0,0,$K919/$B919))</f>
        <v/>
      </c>
      <c r="M919" s="20" t="str">
        <f aca="false">IF($A919="","",IF($J919&lt;0,"BORCA BATIK",IF($I919&lt;$H919,"BORCA BATIK",IF($L919&gt;=TtkUcteIkiEsik,"2/3 KAYIP (KRİTİK)",IF($L919&gt;=TtkUcteBirEsik,"1/3 KAYIP (DİKKAT)","UYGUN")))))</f>
        <v/>
      </c>
      <c r="U919" s="20" t="str">
        <f aca="false">IF($N919="","",$Q919*$R919)</f>
        <v/>
      </c>
    </row>
    <row r="920" customFormat="false" ht="15" hidden="false" customHeight="false" outlineLevel="0" collapsed="false">
      <c r="J920" s="20" t="str">
        <f aca="false">IF($A920="","",$B920+$C920+$D920-$E920+$F920-$G920)</f>
        <v/>
      </c>
      <c r="K920" s="20" t="str">
        <f aca="false">IF($A920="","",MAX(0,$B920-$J920))</f>
        <v/>
      </c>
      <c r="L920" s="20" t="str">
        <f aca="false">IF($A920="","",IF($B920=0,0,$K920/$B920))</f>
        <v/>
      </c>
      <c r="M920" s="20" t="str">
        <f aca="false">IF($A920="","",IF($J920&lt;0,"BORCA BATIK",IF($I920&lt;$H920,"BORCA BATIK",IF($L920&gt;=TtkUcteIkiEsik,"2/3 KAYIP (KRİTİK)",IF($L920&gt;=TtkUcteBirEsik,"1/3 KAYIP (DİKKAT)","UYGUN")))))</f>
        <v/>
      </c>
      <c r="U920" s="20" t="str">
        <f aca="false">IF($N920="","",$Q920*$R920)</f>
        <v/>
      </c>
    </row>
    <row r="921" customFormat="false" ht="15" hidden="false" customHeight="false" outlineLevel="0" collapsed="false">
      <c r="J921" s="20" t="str">
        <f aca="false">IF($A921="","",$B921+$C921+$D921-$E921+$F921-$G921)</f>
        <v/>
      </c>
      <c r="K921" s="20" t="str">
        <f aca="false">IF($A921="","",MAX(0,$B921-$J921))</f>
        <v/>
      </c>
      <c r="L921" s="20" t="str">
        <f aca="false">IF($A921="","",IF($B921=0,0,$K921/$B921))</f>
        <v/>
      </c>
      <c r="M921" s="20" t="str">
        <f aca="false">IF($A921="","",IF($J921&lt;0,"BORCA BATIK",IF($I921&lt;$H921,"BORCA BATIK",IF($L921&gt;=TtkUcteIkiEsik,"2/3 KAYIP (KRİTİK)",IF($L921&gt;=TtkUcteBirEsik,"1/3 KAYIP (DİKKAT)","UYGUN")))))</f>
        <v/>
      </c>
      <c r="U921" s="20" t="str">
        <f aca="false">IF($N921="","",$Q921*$R921)</f>
        <v/>
      </c>
    </row>
    <row r="922" customFormat="false" ht="15" hidden="false" customHeight="false" outlineLevel="0" collapsed="false">
      <c r="J922" s="20" t="str">
        <f aca="false">IF($A922="","",$B922+$C922+$D922-$E922+$F922-$G922)</f>
        <v/>
      </c>
      <c r="K922" s="20" t="str">
        <f aca="false">IF($A922="","",MAX(0,$B922-$J922))</f>
        <v/>
      </c>
      <c r="L922" s="20" t="str">
        <f aca="false">IF($A922="","",IF($B922=0,0,$K922/$B922))</f>
        <v/>
      </c>
      <c r="M922" s="20" t="str">
        <f aca="false">IF($A922="","",IF($J922&lt;0,"BORCA BATIK",IF($I922&lt;$H922,"BORCA BATIK",IF($L922&gt;=TtkUcteIkiEsik,"2/3 KAYIP (KRİTİK)",IF($L922&gt;=TtkUcteBirEsik,"1/3 KAYIP (DİKKAT)","UYGUN")))))</f>
        <v/>
      </c>
      <c r="U922" s="20" t="str">
        <f aca="false">IF($N922="","",$Q922*$R922)</f>
        <v/>
      </c>
    </row>
    <row r="923" customFormat="false" ht="15" hidden="false" customHeight="false" outlineLevel="0" collapsed="false">
      <c r="J923" s="20" t="str">
        <f aca="false">IF($A923="","",$B923+$C923+$D923-$E923+$F923-$G923)</f>
        <v/>
      </c>
      <c r="K923" s="20" t="str">
        <f aca="false">IF($A923="","",MAX(0,$B923-$J923))</f>
        <v/>
      </c>
      <c r="L923" s="20" t="str">
        <f aca="false">IF($A923="","",IF($B923=0,0,$K923/$B923))</f>
        <v/>
      </c>
      <c r="M923" s="20" t="str">
        <f aca="false">IF($A923="","",IF($J923&lt;0,"BORCA BATIK",IF($I923&lt;$H923,"BORCA BATIK",IF($L923&gt;=TtkUcteIkiEsik,"2/3 KAYIP (KRİTİK)",IF($L923&gt;=TtkUcteBirEsik,"1/3 KAYIP (DİKKAT)","UYGUN")))))</f>
        <v/>
      </c>
      <c r="U923" s="20" t="str">
        <f aca="false">IF($N923="","",$Q923*$R923)</f>
        <v/>
      </c>
    </row>
    <row r="924" customFormat="false" ht="15" hidden="false" customHeight="false" outlineLevel="0" collapsed="false">
      <c r="J924" s="20" t="str">
        <f aca="false">IF($A924="","",$B924+$C924+$D924-$E924+$F924-$G924)</f>
        <v/>
      </c>
      <c r="K924" s="20" t="str">
        <f aca="false">IF($A924="","",MAX(0,$B924-$J924))</f>
        <v/>
      </c>
      <c r="L924" s="20" t="str">
        <f aca="false">IF($A924="","",IF($B924=0,0,$K924/$B924))</f>
        <v/>
      </c>
      <c r="M924" s="20" t="str">
        <f aca="false">IF($A924="","",IF($J924&lt;0,"BORCA BATIK",IF($I924&lt;$H924,"BORCA BATIK",IF($L924&gt;=TtkUcteIkiEsik,"2/3 KAYIP (KRİTİK)",IF($L924&gt;=TtkUcteBirEsik,"1/3 KAYIP (DİKKAT)","UYGUN")))))</f>
        <v/>
      </c>
      <c r="U924" s="20" t="str">
        <f aca="false">IF($N924="","",$Q924*$R924)</f>
        <v/>
      </c>
    </row>
    <row r="925" customFormat="false" ht="15" hidden="false" customHeight="false" outlineLevel="0" collapsed="false">
      <c r="J925" s="20" t="str">
        <f aca="false">IF($A925="","",$B925+$C925+$D925-$E925+$F925-$G925)</f>
        <v/>
      </c>
      <c r="K925" s="20" t="str">
        <f aca="false">IF($A925="","",MAX(0,$B925-$J925))</f>
        <v/>
      </c>
      <c r="L925" s="20" t="str">
        <f aca="false">IF($A925="","",IF($B925=0,0,$K925/$B925))</f>
        <v/>
      </c>
      <c r="M925" s="20" t="str">
        <f aca="false">IF($A925="","",IF($J925&lt;0,"BORCA BATIK",IF($I925&lt;$H925,"BORCA BATIK",IF($L925&gt;=TtkUcteIkiEsik,"2/3 KAYIP (KRİTİK)",IF($L925&gt;=TtkUcteBirEsik,"1/3 KAYIP (DİKKAT)","UYGUN")))))</f>
        <v/>
      </c>
      <c r="U925" s="20" t="str">
        <f aca="false">IF($N925="","",$Q925*$R925)</f>
        <v/>
      </c>
    </row>
    <row r="926" customFormat="false" ht="15" hidden="false" customHeight="false" outlineLevel="0" collapsed="false">
      <c r="J926" s="20" t="str">
        <f aca="false">IF($A926="","",$B926+$C926+$D926-$E926+$F926-$G926)</f>
        <v/>
      </c>
      <c r="K926" s="20" t="str">
        <f aca="false">IF($A926="","",MAX(0,$B926-$J926))</f>
        <v/>
      </c>
      <c r="L926" s="20" t="str">
        <f aca="false">IF($A926="","",IF($B926=0,0,$K926/$B926))</f>
        <v/>
      </c>
      <c r="M926" s="20" t="str">
        <f aca="false">IF($A926="","",IF($J926&lt;0,"BORCA BATIK",IF($I926&lt;$H926,"BORCA BATIK",IF($L926&gt;=TtkUcteIkiEsik,"2/3 KAYIP (KRİTİK)",IF($L926&gt;=TtkUcteBirEsik,"1/3 KAYIP (DİKKAT)","UYGUN")))))</f>
        <v/>
      </c>
      <c r="U926" s="20" t="str">
        <f aca="false">IF($N926="","",$Q926*$R926)</f>
        <v/>
      </c>
    </row>
    <row r="927" customFormat="false" ht="15" hidden="false" customHeight="false" outlineLevel="0" collapsed="false">
      <c r="J927" s="20" t="str">
        <f aca="false">IF($A927="","",$B927+$C927+$D927-$E927+$F927-$G927)</f>
        <v/>
      </c>
      <c r="K927" s="20" t="str">
        <f aca="false">IF($A927="","",MAX(0,$B927-$J927))</f>
        <v/>
      </c>
      <c r="L927" s="20" t="str">
        <f aca="false">IF($A927="","",IF($B927=0,0,$K927/$B927))</f>
        <v/>
      </c>
      <c r="M927" s="20" t="str">
        <f aca="false">IF($A927="","",IF($J927&lt;0,"BORCA BATIK",IF($I927&lt;$H927,"BORCA BATIK",IF($L927&gt;=TtkUcteIkiEsik,"2/3 KAYIP (KRİTİK)",IF($L927&gt;=TtkUcteBirEsik,"1/3 KAYIP (DİKKAT)","UYGUN")))))</f>
        <v/>
      </c>
      <c r="U927" s="20" t="str">
        <f aca="false">IF($N927="","",$Q927*$R927)</f>
        <v/>
      </c>
    </row>
    <row r="928" customFormat="false" ht="15" hidden="false" customHeight="false" outlineLevel="0" collapsed="false">
      <c r="J928" s="20" t="str">
        <f aca="false">IF($A928="","",$B928+$C928+$D928-$E928+$F928-$G928)</f>
        <v/>
      </c>
      <c r="K928" s="20" t="str">
        <f aca="false">IF($A928="","",MAX(0,$B928-$J928))</f>
        <v/>
      </c>
      <c r="L928" s="20" t="str">
        <f aca="false">IF($A928="","",IF($B928=0,0,$K928/$B928))</f>
        <v/>
      </c>
      <c r="M928" s="20" t="str">
        <f aca="false">IF($A928="","",IF($J928&lt;0,"BORCA BATIK",IF($I928&lt;$H928,"BORCA BATIK",IF($L928&gt;=TtkUcteIkiEsik,"2/3 KAYIP (KRİTİK)",IF($L928&gt;=TtkUcteBirEsik,"1/3 KAYIP (DİKKAT)","UYGUN")))))</f>
        <v/>
      </c>
      <c r="U928" s="20" t="str">
        <f aca="false">IF($N928="","",$Q928*$R928)</f>
        <v/>
      </c>
    </row>
    <row r="929" customFormat="false" ht="15" hidden="false" customHeight="false" outlineLevel="0" collapsed="false">
      <c r="J929" s="20" t="str">
        <f aca="false">IF($A929="","",$B929+$C929+$D929-$E929+$F929-$G929)</f>
        <v/>
      </c>
      <c r="K929" s="20" t="str">
        <f aca="false">IF($A929="","",MAX(0,$B929-$J929))</f>
        <v/>
      </c>
      <c r="L929" s="20" t="str">
        <f aca="false">IF($A929="","",IF($B929=0,0,$K929/$B929))</f>
        <v/>
      </c>
      <c r="M929" s="20" t="str">
        <f aca="false">IF($A929="","",IF($J929&lt;0,"BORCA BATIK",IF($I929&lt;$H929,"BORCA BATIK",IF($L929&gt;=TtkUcteIkiEsik,"2/3 KAYIP (KRİTİK)",IF($L929&gt;=TtkUcteBirEsik,"1/3 KAYIP (DİKKAT)","UYGUN")))))</f>
        <v/>
      </c>
      <c r="U929" s="20" t="str">
        <f aca="false">IF($N929="","",$Q929*$R929)</f>
        <v/>
      </c>
    </row>
    <row r="930" customFormat="false" ht="15" hidden="false" customHeight="false" outlineLevel="0" collapsed="false">
      <c r="J930" s="20" t="str">
        <f aca="false">IF($A930="","",$B930+$C930+$D930-$E930+$F930-$G930)</f>
        <v/>
      </c>
      <c r="K930" s="20" t="str">
        <f aca="false">IF($A930="","",MAX(0,$B930-$J930))</f>
        <v/>
      </c>
      <c r="L930" s="20" t="str">
        <f aca="false">IF($A930="","",IF($B930=0,0,$K930/$B930))</f>
        <v/>
      </c>
      <c r="M930" s="20" t="str">
        <f aca="false">IF($A930="","",IF($J930&lt;0,"BORCA BATIK",IF($I930&lt;$H930,"BORCA BATIK",IF($L930&gt;=TtkUcteIkiEsik,"2/3 KAYIP (KRİTİK)",IF($L930&gt;=TtkUcteBirEsik,"1/3 KAYIP (DİKKAT)","UYGUN")))))</f>
        <v/>
      </c>
      <c r="U930" s="20" t="str">
        <f aca="false">IF($N930="","",$Q930*$R930)</f>
        <v/>
      </c>
    </row>
    <row r="931" customFormat="false" ht="15" hidden="false" customHeight="false" outlineLevel="0" collapsed="false">
      <c r="J931" s="20" t="str">
        <f aca="false">IF($A931="","",$B931+$C931+$D931-$E931+$F931-$G931)</f>
        <v/>
      </c>
      <c r="K931" s="20" t="str">
        <f aca="false">IF($A931="","",MAX(0,$B931-$J931))</f>
        <v/>
      </c>
      <c r="L931" s="20" t="str">
        <f aca="false">IF($A931="","",IF($B931=0,0,$K931/$B931))</f>
        <v/>
      </c>
      <c r="M931" s="20" t="str">
        <f aca="false">IF($A931="","",IF($J931&lt;0,"BORCA BATIK",IF($I931&lt;$H931,"BORCA BATIK",IF($L931&gt;=TtkUcteIkiEsik,"2/3 KAYIP (KRİTİK)",IF($L931&gt;=TtkUcteBirEsik,"1/3 KAYIP (DİKKAT)","UYGUN")))))</f>
        <v/>
      </c>
      <c r="U931" s="20" t="str">
        <f aca="false">IF($N931="","",$Q931*$R931)</f>
        <v/>
      </c>
    </row>
    <row r="932" customFormat="false" ht="15" hidden="false" customHeight="false" outlineLevel="0" collapsed="false">
      <c r="J932" s="20" t="str">
        <f aca="false">IF($A932="","",$B932+$C932+$D932-$E932+$F932-$G932)</f>
        <v/>
      </c>
      <c r="K932" s="20" t="str">
        <f aca="false">IF($A932="","",MAX(0,$B932-$J932))</f>
        <v/>
      </c>
      <c r="L932" s="20" t="str">
        <f aca="false">IF($A932="","",IF($B932=0,0,$K932/$B932))</f>
        <v/>
      </c>
      <c r="M932" s="20" t="str">
        <f aca="false">IF($A932="","",IF($J932&lt;0,"BORCA BATIK",IF($I932&lt;$H932,"BORCA BATIK",IF($L932&gt;=TtkUcteIkiEsik,"2/3 KAYIP (KRİTİK)",IF($L932&gt;=TtkUcteBirEsik,"1/3 KAYIP (DİKKAT)","UYGUN")))))</f>
        <v/>
      </c>
      <c r="U932" s="20" t="str">
        <f aca="false">IF($N932="","",$Q932*$R932)</f>
        <v/>
      </c>
    </row>
    <row r="933" customFormat="false" ht="15" hidden="false" customHeight="false" outlineLevel="0" collapsed="false">
      <c r="J933" s="20" t="str">
        <f aca="false">IF($A933="","",$B933+$C933+$D933-$E933+$F933-$G933)</f>
        <v/>
      </c>
      <c r="K933" s="20" t="str">
        <f aca="false">IF($A933="","",MAX(0,$B933-$J933))</f>
        <v/>
      </c>
      <c r="L933" s="20" t="str">
        <f aca="false">IF($A933="","",IF($B933=0,0,$K933/$B933))</f>
        <v/>
      </c>
      <c r="M933" s="20" t="str">
        <f aca="false">IF($A933="","",IF($J933&lt;0,"BORCA BATIK",IF($I933&lt;$H933,"BORCA BATIK",IF($L933&gt;=TtkUcteIkiEsik,"2/3 KAYIP (KRİTİK)",IF($L933&gt;=TtkUcteBirEsik,"1/3 KAYIP (DİKKAT)","UYGUN")))))</f>
        <v/>
      </c>
      <c r="U933" s="20" t="str">
        <f aca="false">IF($N933="","",$Q933*$R933)</f>
        <v/>
      </c>
    </row>
    <row r="934" customFormat="false" ht="15" hidden="false" customHeight="false" outlineLevel="0" collapsed="false">
      <c r="J934" s="20" t="str">
        <f aca="false">IF($A934="","",$B934+$C934+$D934-$E934+$F934-$G934)</f>
        <v/>
      </c>
      <c r="K934" s="20" t="str">
        <f aca="false">IF($A934="","",MAX(0,$B934-$J934))</f>
        <v/>
      </c>
      <c r="L934" s="20" t="str">
        <f aca="false">IF($A934="","",IF($B934=0,0,$K934/$B934))</f>
        <v/>
      </c>
      <c r="M934" s="20" t="str">
        <f aca="false">IF($A934="","",IF($J934&lt;0,"BORCA BATIK",IF($I934&lt;$H934,"BORCA BATIK",IF($L934&gt;=TtkUcteIkiEsik,"2/3 KAYIP (KRİTİK)",IF($L934&gt;=TtkUcteBirEsik,"1/3 KAYIP (DİKKAT)","UYGUN")))))</f>
        <v/>
      </c>
      <c r="U934" s="20" t="str">
        <f aca="false">IF($N934="","",$Q934*$R934)</f>
        <v/>
      </c>
    </row>
    <row r="935" customFormat="false" ht="15" hidden="false" customHeight="false" outlineLevel="0" collapsed="false">
      <c r="J935" s="20" t="str">
        <f aca="false">IF($A935="","",$B935+$C935+$D935-$E935+$F935-$G935)</f>
        <v/>
      </c>
      <c r="K935" s="20" t="str">
        <f aca="false">IF($A935="","",MAX(0,$B935-$J935))</f>
        <v/>
      </c>
      <c r="L935" s="20" t="str">
        <f aca="false">IF($A935="","",IF($B935=0,0,$K935/$B935))</f>
        <v/>
      </c>
      <c r="M935" s="20" t="str">
        <f aca="false">IF($A935="","",IF($J935&lt;0,"BORCA BATIK",IF($I935&lt;$H935,"BORCA BATIK",IF($L935&gt;=TtkUcteIkiEsik,"2/3 KAYIP (KRİTİK)",IF($L935&gt;=TtkUcteBirEsik,"1/3 KAYIP (DİKKAT)","UYGUN")))))</f>
        <v/>
      </c>
      <c r="U935" s="20" t="str">
        <f aca="false">IF($N935="","",$Q935*$R935)</f>
        <v/>
      </c>
    </row>
    <row r="936" customFormat="false" ht="15" hidden="false" customHeight="false" outlineLevel="0" collapsed="false">
      <c r="J936" s="20" t="str">
        <f aca="false">IF($A936="","",$B936+$C936+$D936-$E936+$F936-$G936)</f>
        <v/>
      </c>
      <c r="K936" s="20" t="str">
        <f aca="false">IF($A936="","",MAX(0,$B936-$J936))</f>
        <v/>
      </c>
      <c r="L936" s="20" t="str">
        <f aca="false">IF($A936="","",IF($B936=0,0,$K936/$B936))</f>
        <v/>
      </c>
      <c r="M936" s="20" t="str">
        <f aca="false">IF($A936="","",IF($J936&lt;0,"BORCA BATIK",IF($I936&lt;$H936,"BORCA BATIK",IF($L936&gt;=TtkUcteIkiEsik,"2/3 KAYIP (KRİTİK)",IF($L936&gt;=TtkUcteBirEsik,"1/3 KAYIP (DİKKAT)","UYGUN")))))</f>
        <v/>
      </c>
      <c r="U936" s="20" t="str">
        <f aca="false">IF($N936="","",$Q936*$R936)</f>
        <v/>
      </c>
    </row>
    <row r="937" customFormat="false" ht="15" hidden="false" customHeight="false" outlineLevel="0" collapsed="false">
      <c r="J937" s="20" t="str">
        <f aca="false">IF($A937="","",$B937+$C937+$D937-$E937+$F937-$G937)</f>
        <v/>
      </c>
      <c r="K937" s="20" t="str">
        <f aca="false">IF($A937="","",MAX(0,$B937-$J937))</f>
        <v/>
      </c>
      <c r="L937" s="20" t="str">
        <f aca="false">IF($A937="","",IF($B937=0,0,$K937/$B937))</f>
        <v/>
      </c>
      <c r="M937" s="20" t="str">
        <f aca="false">IF($A937="","",IF($J937&lt;0,"BORCA BATIK",IF($I937&lt;$H937,"BORCA BATIK",IF($L937&gt;=TtkUcteIkiEsik,"2/3 KAYIP (KRİTİK)",IF($L937&gt;=TtkUcteBirEsik,"1/3 KAYIP (DİKKAT)","UYGUN")))))</f>
        <v/>
      </c>
      <c r="U937" s="20" t="str">
        <f aca="false">IF($N937="","",$Q937*$R937)</f>
        <v/>
      </c>
    </row>
    <row r="938" customFormat="false" ht="15" hidden="false" customHeight="false" outlineLevel="0" collapsed="false">
      <c r="J938" s="20" t="str">
        <f aca="false">IF($A938="","",$B938+$C938+$D938-$E938+$F938-$G938)</f>
        <v/>
      </c>
      <c r="K938" s="20" t="str">
        <f aca="false">IF($A938="","",MAX(0,$B938-$J938))</f>
        <v/>
      </c>
      <c r="L938" s="20" t="str">
        <f aca="false">IF($A938="","",IF($B938=0,0,$K938/$B938))</f>
        <v/>
      </c>
      <c r="M938" s="20" t="str">
        <f aca="false">IF($A938="","",IF($J938&lt;0,"BORCA BATIK",IF($I938&lt;$H938,"BORCA BATIK",IF($L938&gt;=TtkUcteIkiEsik,"2/3 KAYIP (KRİTİK)",IF($L938&gt;=TtkUcteBirEsik,"1/3 KAYIP (DİKKAT)","UYGUN")))))</f>
        <v/>
      </c>
      <c r="U938" s="20" t="str">
        <f aca="false">IF($N938="","",$Q938*$R938)</f>
        <v/>
      </c>
    </row>
    <row r="939" customFormat="false" ht="15" hidden="false" customHeight="false" outlineLevel="0" collapsed="false">
      <c r="J939" s="20" t="str">
        <f aca="false">IF($A939="","",$B939+$C939+$D939-$E939+$F939-$G939)</f>
        <v/>
      </c>
      <c r="K939" s="20" t="str">
        <f aca="false">IF($A939="","",MAX(0,$B939-$J939))</f>
        <v/>
      </c>
      <c r="L939" s="20" t="str">
        <f aca="false">IF($A939="","",IF($B939=0,0,$K939/$B939))</f>
        <v/>
      </c>
      <c r="M939" s="20" t="str">
        <f aca="false">IF($A939="","",IF($J939&lt;0,"BORCA BATIK",IF($I939&lt;$H939,"BORCA BATIK",IF($L939&gt;=TtkUcteIkiEsik,"2/3 KAYIP (KRİTİK)",IF($L939&gt;=TtkUcteBirEsik,"1/3 KAYIP (DİKKAT)","UYGUN")))))</f>
        <v/>
      </c>
      <c r="U939" s="20" t="str">
        <f aca="false">IF($N939="","",$Q939*$R939)</f>
        <v/>
      </c>
    </row>
    <row r="940" customFormat="false" ht="15" hidden="false" customHeight="false" outlineLevel="0" collapsed="false">
      <c r="J940" s="20" t="str">
        <f aca="false">IF($A940="","",$B940+$C940+$D940-$E940+$F940-$G940)</f>
        <v/>
      </c>
      <c r="K940" s="20" t="str">
        <f aca="false">IF($A940="","",MAX(0,$B940-$J940))</f>
        <v/>
      </c>
      <c r="L940" s="20" t="str">
        <f aca="false">IF($A940="","",IF($B940=0,0,$K940/$B940))</f>
        <v/>
      </c>
      <c r="M940" s="20" t="str">
        <f aca="false">IF($A940="","",IF($J940&lt;0,"BORCA BATIK",IF($I940&lt;$H940,"BORCA BATIK",IF($L940&gt;=TtkUcteIkiEsik,"2/3 KAYIP (KRİTİK)",IF($L940&gt;=TtkUcteBirEsik,"1/3 KAYIP (DİKKAT)","UYGUN")))))</f>
        <v/>
      </c>
      <c r="U940" s="20" t="str">
        <f aca="false">IF($N940="","",$Q940*$R940)</f>
        <v/>
      </c>
    </row>
    <row r="941" customFormat="false" ht="15" hidden="false" customHeight="false" outlineLevel="0" collapsed="false">
      <c r="J941" s="20" t="str">
        <f aca="false">IF($A941="","",$B941+$C941+$D941-$E941+$F941-$G941)</f>
        <v/>
      </c>
      <c r="K941" s="20" t="str">
        <f aca="false">IF($A941="","",MAX(0,$B941-$J941))</f>
        <v/>
      </c>
      <c r="L941" s="20" t="str">
        <f aca="false">IF($A941="","",IF($B941=0,0,$K941/$B941))</f>
        <v/>
      </c>
      <c r="M941" s="20" t="str">
        <f aca="false">IF($A941="","",IF($J941&lt;0,"BORCA BATIK",IF($I941&lt;$H941,"BORCA BATIK",IF($L941&gt;=TtkUcteIkiEsik,"2/3 KAYIP (KRİTİK)",IF($L941&gt;=TtkUcteBirEsik,"1/3 KAYIP (DİKKAT)","UYGUN")))))</f>
        <v/>
      </c>
      <c r="U941" s="20" t="str">
        <f aca="false">IF($N941="","",$Q941*$R941)</f>
        <v/>
      </c>
    </row>
    <row r="942" customFormat="false" ht="15" hidden="false" customHeight="false" outlineLevel="0" collapsed="false">
      <c r="J942" s="20" t="str">
        <f aca="false">IF($A942="","",$B942+$C942+$D942-$E942+$F942-$G942)</f>
        <v/>
      </c>
      <c r="K942" s="20" t="str">
        <f aca="false">IF($A942="","",MAX(0,$B942-$J942))</f>
        <v/>
      </c>
      <c r="L942" s="20" t="str">
        <f aca="false">IF($A942="","",IF($B942=0,0,$K942/$B942))</f>
        <v/>
      </c>
      <c r="M942" s="20" t="str">
        <f aca="false">IF($A942="","",IF($J942&lt;0,"BORCA BATIK",IF($I942&lt;$H942,"BORCA BATIK",IF($L942&gt;=TtkUcteIkiEsik,"2/3 KAYIP (KRİTİK)",IF($L942&gt;=TtkUcteBirEsik,"1/3 KAYIP (DİKKAT)","UYGUN")))))</f>
        <v/>
      </c>
      <c r="U942" s="20" t="str">
        <f aca="false">IF($N942="","",$Q942*$R942)</f>
        <v/>
      </c>
    </row>
    <row r="943" customFormat="false" ht="15" hidden="false" customHeight="false" outlineLevel="0" collapsed="false">
      <c r="J943" s="20" t="str">
        <f aca="false">IF($A943="","",$B943+$C943+$D943-$E943+$F943-$G943)</f>
        <v/>
      </c>
      <c r="K943" s="20" t="str">
        <f aca="false">IF($A943="","",MAX(0,$B943-$J943))</f>
        <v/>
      </c>
      <c r="L943" s="20" t="str">
        <f aca="false">IF($A943="","",IF($B943=0,0,$K943/$B943))</f>
        <v/>
      </c>
      <c r="M943" s="20" t="str">
        <f aca="false">IF($A943="","",IF($J943&lt;0,"BORCA BATIK",IF($I943&lt;$H943,"BORCA BATIK",IF($L943&gt;=TtkUcteIkiEsik,"2/3 KAYIP (KRİTİK)",IF($L943&gt;=TtkUcteBirEsik,"1/3 KAYIP (DİKKAT)","UYGUN")))))</f>
        <v/>
      </c>
      <c r="U943" s="20" t="str">
        <f aca="false">IF($N943="","",$Q943*$R943)</f>
        <v/>
      </c>
    </row>
    <row r="944" customFormat="false" ht="15" hidden="false" customHeight="false" outlineLevel="0" collapsed="false">
      <c r="J944" s="20" t="str">
        <f aca="false">IF($A944="","",$B944+$C944+$D944-$E944+$F944-$G944)</f>
        <v/>
      </c>
      <c r="K944" s="20" t="str">
        <f aca="false">IF($A944="","",MAX(0,$B944-$J944))</f>
        <v/>
      </c>
      <c r="L944" s="20" t="str">
        <f aca="false">IF($A944="","",IF($B944=0,0,$K944/$B944))</f>
        <v/>
      </c>
      <c r="M944" s="20" t="str">
        <f aca="false">IF($A944="","",IF($J944&lt;0,"BORCA BATIK",IF($I944&lt;$H944,"BORCA BATIK",IF($L944&gt;=TtkUcteIkiEsik,"2/3 KAYIP (KRİTİK)",IF($L944&gt;=TtkUcteBirEsik,"1/3 KAYIP (DİKKAT)","UYGUN")))))</f>
        <v/>
      </c>
      <c r="U944" s="20" t="str">
        <f aca="false">IF($N944="","",$Q944*$R944)</f>
        <v/>
      </c>
    </row>
    <row r="945" customFormat="false" ht="15" hidden="false" customHeight="false" outlineLevel="0" collapsed="false">
      <c r="J945" s="20" t="str">
        <f aca="false">IF($A945="","",$B945+$C945+$D945-$E945+$F945-$G945)</f>
        <v/>
      </c>
      <c r="K945" s="20" t="str">
        <f aca="false">IF($A945="","",MAX(0,$B945-$J945))</f>
        <v/>
      </c>
      <c r="L945" s="20" t="str">
        <f aca="false">IF($A945="","",IF($B945=0,0,$K945/$B945))</f>
        <v/>
      </c>
      <c r="M945" s="20" t="str">
        <f aca="false">IF($A945="","",IF($J945&lt;0,"BORCA BATIK",IF($I945&lt;$H945,"BORCA BATIK",IF($L945&gt;=TtkUcteIkiEsik,"2/3 KAYIP (KRİTİK)",IF($L945&gt;=TtkUcteBirEsik,"1/3 KAYIP (DİKKAT)","UYGUN")))))</f>
        <v/>
      </c>
      <c r="U945" s="20" t="str">
        <f aca="false">IF($N945="","",$Q945*$R945)</f>
        <v/>
      </c>
    </row>
    <row r="946" customFormat="false" ht="15" hidden="false" customHeight="false" outlineLevel="0" collapsed="false">
      <c r="J946" s="20" t="str">
        <f aca="false">IF($A946="","",$B946+$C946+$D946-$E946+$F946-$G946)</f>
        <v/>
      </c>
      <c r="K946" s="20" t="str">
        <f aca="false">IF($A946="","",MAX(0,$B946-$J946))</f>
        <v/>
      </c>
      <c r="L946" s="20" t="str">
        <f aca="false">IF($A946="","",IF($B946=0,0,$K946/$B946))</f>
        <v/>
      </c>
      <c r="M946" s="20" t="str">
        <f aca="false">IF($A946="","",IF($J946&lt;0,"BORCA BATIK",IF($I946&lt;$H946,"BORCA BATIK",IF($L946&gt;=TtkUcteIkiEsik,"2/3 KAYIP (KRİTİK)",IF($L946&gt;=TtkUcteBirEsik,"1/3 KAYIP (DİKKAT)","UYGUN")))))</f>
        <v/>
      </c>
      <c r="U946" s="20" t="str">
        <f aca="false">IF($N946="","",$Q946*$R946)</f>
        <v/>
      </c>
    </row>
    <row r="947" customFormat="false" ht="15" hidden="false" customHeight="false" outlineLevel="0" collapsed="false">
      <c r="J947" s="20" t="str">
        <f aca="false">IF($A947="","",$B947+$C947+$D947-$E947+$F947-$G947)</f>
        <v/>
      </c>
      <c r="K947" s="20" t="str">
        <f aca="false">IF($A947="","",MAX(0,$B947-$J947))</f>
        <v/>
      </c>
      <c r="L947" s="20" t="str">
        <f aca="false">IF($A947="","",IF($B947=0,0,$K947/$B947))</f>
        <v/>
      </c>
      <c r="M947" s="20" t="str">
        <f aca="false">IF($A947="","",IF($J947&lt;0,"BORCA BATIK",IF($I947&lt;$H947,"BORCA BATIK",IF($L947&gt;=TtkUcteIkiEsik,"2/3 KAYIP (KRİTİK)",IF($L947&gt;=TtkUcteBirEsik,"1/3 KAYIP (DİKKAT)","UYGUN")))))</f>
        <v/>
      </c>
      <c r="U947" s="20" t="str">
        <f aca="false">IF($N947="","",$Q947*$R947)</f>
        <v/>
      </c>
    </row>
    <row r="948" customFormat="false" ht="15" hidden="false" customHeight="false" outlineLevel="0" collapsed="false">
      <c r="J948" s="20" t="str">
        <f aca="false">IF($A948="","",$B948+$C948+$D948-$E948+$F948-$G948)</f>
        <v/>
      </c>
      <c r="K948" s="20" t="str">
        <f aca="false">IF($A948="","",MAX(0,$B948-$J948))</f>
        <v/>
      </c>
      <c r="L948" s="20" t="str">
        <f aca="false">IF($A948="","",IF($B948=0,0,$K948/$B948))</f>
        <v/>
      </c>
      <c r="M948" s="20" t="str">
        <f aca="false">IF($A948="","",IF($J948&lt;0,"BORCA BATIK",IF($I948&lt;$H948,"BORCA BATIK",IF($L948&gt;=TtkUcteIkiEsik,"2/3 KAYIP (KRİTİK)",IF($L948&gt;=TtkUcteBirEsik,"1/3 KAYIP (DİKKAT)","UYGUN")))))</f>
        <v/>
      </c>
      <c r="U948" s="20" t="str">
        <f aca="false">IF($N948="","",$Q948*$R948)</f>
        <v/>
      </c>
    </row>
    <row r="949" customFormat="false" ht="15" hidden="false" customHeight="false" outlineLevel="0" collapsed="false">
      <c r="J949" s="20" t="str">
        <f aca="false">IF($A949="","",$B949+$C949+$D949-$E949+$F949-$G949)</f>
        <v/>
      </c>
      <c r="K949" s="20" t="str">
        <f aca="false">IF($A949="","",MAX(0,$B949-$J949))</f>
        <v/>
      </c>
      <c r="L949" s="20" t="str">
        <f aca="false">IF($A949="","",IF($B949=0,0,$K949/$B949))</f>
        <v/>
      </c>
      <c r="M949" s="20" t="str">
        <f aca="false">IF($A949="","",IF($J949&lt;0,"BORCA BATIK",IF($I949&lt;$H949,"BORCA BATIK",IF($L949&gt;=TtkUcteIkiEsik,"2/3 KAYIP (KRİTİK)",IF($L949&gt;=TtkUcteBirEsik,"1/3 KAYIP (DİKKAT)","UYGUN")))))</f>
        <v/>
      </c>
      <c r="U949" s="20" t="str">
        <f aca="false">IF($N949="","",$Q949*$R949)</f>
        <v/>
      </c>
    </row>
    <row r="950" customFormat="false" ht="15" hidden="false" customHeight="false" outlineLevel="0" collapsed="false">
      <c r="J950" s="20" t="str">
        <f aca="false">IF($A950="","",$B950+$C950+$D950-$E950+$F950-$G950)</f>
        <v/>
      </c>
      <c r="K950" s="20" t="str">
        <f aca="false">IF($A950="","",MAX(0,$B950-$J950))</f>
        <v/>
      </c>
      <c r="L950" s="20" t="str">
        <f aca="false">IF($A950="","",IF($B950=0,0,$K950/$B950))</f>
        <v/>
      </c>
      <c r="M950" s="20" t="str">
        <f aca="false">IF($A950="","",IF($J950&lt;0,"BORCA BATIK",IF($I950&lt;$H950,"BORCA BATIK",IF($L950&gt;=TtkUcteIkiEsik,"2/3 KAYIP (KRİTİK)",IF($L950&gt;=TtkUcteBirEsik,"1/3 KAYIP (DİKKAT)","UYGUN")))))</f>
        <v/>
      </c>
      <c r="U950" s="20" t="str">
        <f aca="false">IF($N950="","",$Q950*$R950)</f>
        <v/>
      </c>
    </row>
    <row r="951" customFormat="false" ht="15" hidden="false" customHeight="false" outlineLevel="0" collapsed="false">
      <c r="J951" s="20" t="str">
        <f aca="false">IF($A951="","",$B951+$C951+$D951-$E951+$F951-$G951)</f>
        <v/>
      </c>
      <c r="K951" s="20" t="str">
        <f aca="false">IF($A951="","",MAX(0,$B951-$J951))</f>
        <v/>
      </c>
      <c r="L951" s="20" t="str">
        <f aca="false">IF($A951="","",IF($B951=0,0,$K951/$B951))</f>
        <v/>
      </c>
      <c r="M951" s="20" t="str">
        <f aca="false">IF($A951="","",IF($J951&lt;0,"BORCA BATIK",IF($I951&lt;$H951,"BORCA BATIK",IF($L951&gt;=TtkUcteIkiEsik,"2/3 KAYIP (KRİTİK)",IF($L951&gt;=TtkUcteBirEsik,"1/3 KAYIP (DİKKAT)","UYGUN")))))</f>
        <v/>
      </c>
      <c r="U951" s="20" t="str">
        <f aca="false">IF($N951="","",$Q951*$R951)</f>
        <v/>
      </c>
    </row>
    <row r="952" customFormat="false" ht="15" hidden="false" customHeight="false" outlineLevel="0" collapsed="false">
      <c r="J952" s="20" t="str">
        <f aca="false">IF($A952="","",$B952+$C952+$D952-$E952+$F952-$G952)</f>
        <v/>
      </c>
      <c r="K952" s="20" t="str">
        <f aca="false">IF($A952="","",MAX(0,$B952-$J952))</f>
        <v/>
      </c>
      <c r="L952" s="20" t="str">
        <f aca="false">IF($A952="","",IF($B952=0,0,$K952/$B952))</f>
        <v/>
      </c>
      <c r="M952" s="20" t="str">
        <f aca="false">IF($A952="","",IF($J952&lt;0,"BORCA BATIK",IF($I952&lt;$H952,"BORCA BATIK",IF($L952&gt;=TtkUcteIkiEsik,"2/3 KAYIP (KRİTİK)",IF($L952&gt;=TtkUcteBirEsik,"1/3 KAYIP (DİKKAT)","UYGUN")))))</f>
        <v/>
      </c>
      <c r="U952" s="20" t="str">
        <f aca="false">IF($N952="","",$Q952*$R952)</f>
        <v/>
      </c>
    </row>
    <row r="953" customFormat="false" ht="15" hidden="false" customHeight="false" outlineLevel="0" collapsed="false">
      <c r="J953" s="20" t="str">
        <f aca="false">IF($A953="","",$B953+$C953+$D953-$E953+$F953-$G953)</f>
        <v/>
      </c>
      <c r="K953" s="20" t="str">
        <f aca="false">IF($A953="","",MAX(0,$B953-$J953))</f>
        <v/>
      </c>
      <c r="L953" s="20" t="str">
        <f aca="false">IF($A953="","",IF($B953=0,0,$K953/$B953))</f>
        <v/>
      </c>
      <c r="M953" s="20" t="str">
        <f aca="false">IF($A953="","",IF($J953&lt;0,"BORCA BATIK",IF($I953&lt;$H953,"BORCA BATIK",IF($L953&gt;=TtkUcteIkiEsik,"2/3 KAYIP (KRİTİK)",IF($L953&gt;=TtkUcteBirEsik,"1/3 KAYIP (DİKKAT)","UYGUN")))))</f>
        <v/>
      </c>
      <c r="U953" s="20" t="str">
        <f aca="false">IF($N953="","",$Q953*$R953)</f>
        <v/>
      </c>
    </row>
    <row r="954" customFormat="false" ht="15" hidden="false" customHeight="false" outlineLevel="0" collapsed="false">
      <c r="J954" s="20" t="str">
        <f aca="false">IF($A954="","",$B954+$C954+$D954-$E954+$F954-$G954)</f>
        <v/>
      </c>
      <c r="K954" s="20" t="str">
        <f aca="false">IF($A954="","",MAX(0,$B954-$J954))</f>
        <v/>
      </c>
      <c r="L954" s="20" t="str">
        <f aca="false">IF($A954="","",IF($B954=0,0,$K954/$B954))</f>
        <v/>
      </c>
      <c r="M954" s="20" t="str">
        <f aca="false">IF($A954="","",IF($J954&lt;0,"BORCA BATIK",IF($I954&lt;$H954,"BORCA BATIK",IF($L954&gt;=TtkUcteIkiEsik,"2/3 KAYIP (KRİTİK)",IF($L954&gt;=TtkUcteBirEsik,"1/3 KAYIP (DİKKAT)","UYGUN")))))</f>
        <v/>
      </c>
      <c r="U954" s="20" t="str">
        <f aca="false">IF($N954="","",$Q954*$R954)</f>
        <v/>
      </c>
    </row>
    <row r="955" customFormat="false" ht="15" hidden="false" customHeight="false" outlineLevel="0" collapsed="false">
      <c r="J955" s="20" t="str">
        <f aca="false">IF($A955="","",$B955+$C955+$D955-$E955+$F955-$G955)</f>
        <v/>
      </c>
      <c r="K955" s="20" t="str">
        <f aca="false">IF($A955="","",MAX(0,$B955-$J955))</f>
        <v/>
      </c>
      <c r="L955" s="20" t="str">
        <f aca="false">IF($A955="","",IF($B955=0,0,$K955/$B955))</f>
        <v/>
      </c>
      <c r="M955" s="20" t="str">
        <f aca="false">IF($A955="","",IF($J955&lt;0,"BORCA BATIK",IF($I955&lt;$H955,"BORCA BATIK",IF($L955&gt;=TtkUcteIkiEsik,"2/3 KAYIP (KRİTİK)",IF($L955&gt;=TtkUcteBirEsik,"1/3 KAYIP (DİKKAT)","UYGUN")))))</f>
        <v/>
      </c>
      <c r="U955" s="20" t="str">
        <f aca="false">IF($N955="","",$Q955*$R955)</f>
        <v/>
      </c>
    </row>
    <row r="956" customFormat="false" ht="15" hidden="false" customHeight="false" outlineLevel="0" collapsed="false">
      <c r="J956" s="20" t="str">
        <f aca="false">IF($A956="","",$B956+$C956+$D956-$E956+$F956-$G956)</f>
        <v/>
      </c>
      <c r="K956" s="20" t="str">
        <f aca="false">IF($A956="","",MAX(0,$B956-$J956))</f>
        <v/>
      </c>
      <c r="L956" s="20" t="str">
        <f aca="false">IF($A956="","",IF($B956=0,0,$K956/$B956))</f>
        <v/>
      </c>
      <c r="M956" s="20" t="str">
        <f aca="false">IF($A956="","",IF($J956&lt;0,"BORCA BATIK",IF($I956&lt;$H956,"BORCA BATIK",IF($L956&gt;=TtkUcteIkiEsik,"2/3 KAYIP (KRİTİK)",IF($L956&gt;=TtkUcteBirEsik,"1/3 KAYIP (DİKKAT)","UYGUN")))))</f>
        <v/>
      </c>
      <c r="U956" s="20" t="str">
        <f aca="false">IF($N956="","",$Q956*$R956)</f>
        <v/>
      </c>
    </row>
    <row r="957" customFormat="false" ht="15" hidden="false" customHeight="false" outlineLevel="0" collapsed="false">
      <c r="J957" s="20" t="str">
        <f aca="false">IF($A957="","",$B957+$C957+$D957-$E957+$F957-$G957)</f>
        <v/>
      </c>
      <c r="K957" s="20" t="str">
        <f aca="false">IF($A957="","",MAX(0,$B957-$J957))</f>
        <v/>
      </c>
      <c r="L957" s="20" t="str">
        <f aca="false">IF($A957="","",IF($B957=0,0,$K957/$B957))</f>
        <v/>
      </c>
      <c r="M957" s="20" t="str">
        <f aca="false">IF($A957="","",IF($J957&lt;0,"BORCA BATIK",IF($I957&lt;$H957,"BORCA BATIK",IF($L957&gt;=TtkUcteIkiEsik,"2/3 KAYIP (KRİTİK)",IF($L957&gt;=TtkUcteBirEsik,"1/3 KAYIP (DİKKAT)","UYGUN")))))</f>
        <v/>
      </c>
      <c r="U957" s="20" t="str">
        <f aca="false">IF($N957="","",$Q957*$R957)</f>
        <v/>
      </c>
    </row>
    <row r="958" customFormat="false" ht="15" hidden="false" customHeight="false" outlineLevel="0" collapsed="false">
      <c r="J958" s="20" t="str">
        <f aca="false">IF($A958="","",$B958+$C958+$D958-$E958+$F958-$G958)</f>
        <v/>
      </c>
      <c r="K958" s="20" t="str">
        <f aca="false">IF($A958="","",MAX(0,$B958-$J958))</f>
        <v/>
      </c>
      <c r="L958" s="20" t="str">
        <f aca="false">IF($A958="","",IF($B958=0,0,$K958/$B958))</f>
        <v/>
      </c>
      <c r="M958" s="20" t="str">
        <f aca="false">IF($A958="","",IF($J958&lt;0,"BORCA BATIK",IF($I958&lt;$H958,"BORCA BATIK",IF($L958&gt;=TtkUcteIkiEsik,"2/3 KAYIP (KRİTİK)",IF($L958&gt;=TtkUcteBirEsik,"1/3 KAYIP (DİKKAT)","UYGUN")))))</f>
        <v/>
      </c>
      <c r="U958" s="20" t="str">
        <f aca="false">IF($N958="","",$Q958*$R958)</f>
        <v/>
      </c>
    </row>
    <row r="959" customFormat="false" ht="15" hidden="false" customHeight="false" outlineLevel="0" collapsed="false">
      <c r="J959" s="20" t="str">
        <f aca="false">IF($A959="","",$B959+$C959+$D959-$E959+$F959-$G959)</f>
        <v/>
      </c>
      <c r="K959" s="20" t="str">
        <f aca="false">IF($A959="","",MAX(0,$B959-$J959))</f>
        <v/>
      </c>
      <c r="L959" s="20" t="str">
        <f aca="false">IF($A959="","",IF($B959=0,0,$K959/$B959))</f>
        <v/>
      </c>
      <c r="M959" s="20" t="str">
        <f aca="false">IF($A959="","",IF($J959&lt;0,"BORCA BATIK",IF($I959&lt;$H959,"BORCA BATIK",IF($L959&gt;=TtkUcteIkiEsik,"2/3 KAYIP (KRİTİK)",IF($L959&gt;=TtkUcteBirEsik,"1/3 KAYIP (DİKKAT)","UYGUN")))))</f>
        <v/>
      </c>
      <c r="U959" s="20" t="str">
        <f aca="false">IF($N959="","",$Q959*$R959)</f>
        <v/>
      </c>
    </row>
    <row r="960" customFormat="false" ht="15" hidden="false" customHeight="false" outlineLevel="0" collapsed="false">
      <c r="J960" s="20" t="str">
        <f aca="false">IF($A960="","",$B960+$C960+$D960-$E960+$F960-$G960)</f>
        <v/>
      </c>
      <c r="K960" s="20" t="str">
        <f aca="false">IF($A960="","",MAX(0,$B960-$J960))</f>
        <v/>
      </c>
      <c r="L960" s="20" t="str">
        <f aca="false">IF($A960="","",IF($B960=0,0,$K960/$B960))</f>
        <v/>
      </c>
      <c r="M960" s="20" t="str">
        <f aca="false">IF($A960="","",IF($J960&lt;0,"BORCA BATIK",IF($I960&lt;$H960,"BORCA BATIK",IF($L960&gt;=TtkUcteIkiEsik,"2/3 KAYIP (KRİTİK)",IF($L960&gt;=TtkUcteBirEsik,"1/3 KAYIP (DİKKAT)","UYGUN")))))</f>
        <v/>
      </c>
      <c r="U960" s="20" t="str">
        <f aca="false">IF($N960="","",$Q960*$R960)</f>
        <v/>
      </c>
    </row>
    <row r="961" customFormat="false" ht="15" hidden="false" customHeight="false" outlineLevel="0" collapsed="false">
      <c r="J961" s="20" t="str">
        <f aca="false">IF($A961="","",$B961+$C961+$D961-$E961+$F961-$G961)</f>
        <v/>
      </c>
      <c r="K961" s="20" t="str">
        <f aca="false">IF($A961="","",MAX(0,$B961-$J961))</f>
        <v/>
      </c>
      <c r="L961" s="20" t="str">
        <f aca="false">IF($A961="","",IF($B961=0,0,$K961/$B961))</f>
        <v/>
      </c>
      <c r="M961" s="20" t="str">
        <f aca="false">IF($A961="","",IF($J961&lt;0,"BORCA BATIK",IF($I961&lt;$H961,"BORCA BATIK",IF($L961&gt;=TtkUcteIkiEsik,"2/3 KAYIP (KRİTİK)",IF($L961&gt;=TtkUcteBirEsik,"1/3 KAYIP (DİKKAT)","UYGUN")))))</f>
        <v/>
      </c>
      <c r="U961" s="20" t="str">
        <f aca="false">IF($N961="","",$Q961*$R961)</f>
        <v/>
      </c>
    </row>
    <row r="962" customFormat="false" ht="15" hidden="false" customHeight="false" outlineLevel="0" collapsed="false">
      <c r="J962" s="20" t="str">
        <f aca="false">IF($A962="","",$B962+$C962+$D962-$E962+$F962-$G962)</f>
        <v/>
      </c>
      <c r="K962" s="20" t="str">
        <f aca="false">IF($A962="","",MAX(0,$B962-$J962))</f>
        <v/>
      </c>
      <c r="L962" s="20" t="str">
        <f aca="false">IF($A962="","",IF($B962=0,0,$K962/$B962))</f>
        <v/>
      </c>
      <c r="M962" s="20" t="str">
        <f aca="false">IF($A962="","",IF($J962&lt;0,"BORCA BATIK",IF($I962&lt;$H962,"BORCA BATIK",IF($L962&gt;=TtkUcteIkiEsik,"2/3 KAYIP (KRİTİK)",IF($L962&gt;=TtkUcteBirEsik,"1/3 KAYIP (DİKKAT)","UYGUN")))))</f>
        <v/>
      </c>
      <c r="U962" s="20" t="str">
        <f aca="false">IF($N962="","",$Q962*$R962)</f>
        <v/>
      </c>
    </row>
    <row r="963" customFormat="false" ht="15" hidden="false" customHeight="false" outlineLevel="0" collapsed="false">
      <c r="J963" s="20" t="str">
        <f aca="false">IF($A963="","",$B963+$C963+$D963-$E963+$F963-$G963)</f>
        <v/>
      </c>
      <c r="K963" s="20" t="str">
        <f aca="false">IF($A963="","",MAX(0,$B963-$J963))</f>
        <v/>
      </c>
      <c r="L963" s="20" t="str">
        <f aca="false">IF($A963="","",IF($B963=0,0,$K963/$B963))</f>
        <v/>
      </c>
      <c r="M963" s="20" t="str">
        <f aca="false">IF($A963="","",IF($J963&lt;0,"BORCA BATIK",IF($I963&lt;$H963,"BORCA BATIK",IF($L963&gt;=TtkUcteIkiEsik,"2/3 KAYIP (KRİTİK)",IF($L963&gt;=TtkUcteBirEsik,"1/3 KAYIP (DİKKAT)","UYGUN")))))</f>
        <v/>
      </c>
      <c r="U963" s="20" t="str">
        <f aca="false">IF($N963="","",$Q963*$R963)</f>
        <v/>
      </c>
    </row>
    <row r="964" customFormat="false" ht="15" hidden="false" customHeight="false" outlineLevel="0" collapsed="false">
      <c r="J964" s="20" t="str">
        <f aca="false">IF($A964="","",$B964+$C964+$D964-$E964+$F964-$G964)</f>
        <v/>
      </c>
      <c r="K964" s="20" t="str">
        <f aca="false">IF($A964="","",MAX(0,$B964-$J964))</f>
        <v/>
      </c>
      <c r="L964" s="20" t="str">
        <f aca="false">IF($A964="","",IF($B964=0,0,$K964/$B964))</f>
        <v/>
      </c>
      <c r="M964" s="20" t="str">
        <f aca="false">IF($A964="","",IF($J964&lt;0,"BORCA BATIK",IF($I964&lt;$H964,"BORCA BATIK",IF($L964&gt;=TtkUcteIkiEsik,"2/3 KAYIP (KRİTİK)",IF($L964&gt;=TtkUcteBirEsik,"1/3 KAYIP (DİKKAT)","UYGUN")))))</f>
        <v/>
      </c>
      <c r="U964" s="20" t="str">
        <f aca="false">IF($N964="","",$Q964*$R964)</f>
        <v/>
      </c>
    </row>
    <row r="965" customFormat="false" ht="15" hidden="false" customHeight="false" outlineLevel="0" collapsed="false">
      <c r="J965" s="20" t="str">
        <f aca="false">IF($A965="","",$B965+$C965+$D965-$E965+$F965-$G965)</f>
        <v/>
      </c>
      <c r="K965" s="20" t="str">
        <f aca="false">IF($A965="","",MAX(0,$B965-$J965))</f>
        <v/>
      </c>
      <c r="L965" s="20" t="str">
        <f aca="false">IF($A965="","",IF($B965=0,0,$K965/$B965))</f>
        <v/>
      </c>
      <c r="M965" s="20" t="str">
        <f aca="false">IF($A965="","",IF($J965&lt;0,"BORCA BATIK",IF($I965&lt;$H965,"BORCA BATIK",IF($L965&gt;=TtkUcteIkiEsik,"2/3 KAYIP (KRİTİK)",IF($L965&gt;=TtkUcteBirEsik,"1/3 KAYIP (DİKKAT)","UYGUN")))))</f>
        <v/>
      </c>
      <c r="U965" s="20" t="str">
        <f aca="false">IF($N965="","",$Q965*$R965)</f>
        <v/>
      </c>
    </row>
    <row r="966" customFormat="false" ht="15" hidden="false" customHeight="false" outlineLevel="0" collapsed="false">
      <c r="J966" s="20" t="str">
        <f aca="false">IF($A966="","",$B966+$C966+$D966-$E966+$F966-$G966)</f>
        <v/>
      </c>
      <c r="K966" s="20" t="str">
        <f aca="false">IF($A966="","",MAX(0,$B966-$J966))</f>
        <v/>
      </c>
      <c r="L966" s="20" t="str">
        <f aca="false">IF($A966="","",IF($B966=0,0,$K966/$B966))</f>
        <v/>
      </c>
      <c r="M966" s="20" t="str">
        <f aca="false">IF($A966="","",IF($J966&lt;0,"BORCA BATIK",IF($I966&lt;$H966,"BORCA BATIK",IF($L966&gt;=TtkUcteIkiEsik,"2/3 KAYIP (KRİTİK)",IF($L966&gt;=TtkUcteBirEsik,"1/3 KAYIP (DİKKAT)","UYGUN")))))</f>
        <v/>
      </c>
      <c r="U966" s="20" t="str">
        <f aca="false">IF($N966="","",$Q966*$R966)</f>
        <v/>
      </c>
    </row>
    <row r="967" customFormat="false" ht="15" hidden="false" customHeight="false" outlineLevel="0" collapsed="false">
      <c r="J967" s="20" t="str">
        <f aca="false">IF($A967="","",$B967+$C967+$D967-$E967+$F967-$G967)</f>
        <v/>
      </c>
      <c r="K967" s="20" t="str">
        <f aca="false">IF($A967="","",MAX(0,$B967-$J967))</f>
        <v/>
      </c>
      <c r="L967" s="20" t="str">
        <f aca="false">IF($A967="","",IF($B967=0,0,$K967/$B967))</f>
        <v/>
      </c>
      <c r="M967" s="20" t="str">
        <f aca="false">IF($A967="","",IF($J967&lt;0,"BORCA BATIK",IF($I967&lt;$H967,"BORCA BATIK",IF($L967&gt;=TtkUcteIkiEsik,"2/3 KAYIP (KRİTİK)",IF($L967&gt;=TtkUcteBirEsik,"1/3 KAYIP (DİKKAT)","UYGUN")))))</f>
        <v/>
      </c>
      <c r="U967" s="20" t="str">
        <f aca="false">IF($N967="","",$Q967*$R967)</f>
        <v/>
      </c>
    </row>
    <row r="968" customFormat="false" ht="15" hidden="false" customHeight="false" outlineLevel="0" collapsed="false">
      <c r="J968" s="20" t="str">
        <f aca="false">IF($A968="","",$B968+$C968+$D968-$E968+$F968-$G968)</f>
        <v/>
      </c>
      <c r="K968" s="20" t="str">
        <f aca="false">IF($A968="","",MAX(0,$B968-$J968))</f>
        <v/>
      </c>
      <c r="L968" s="20" t="str">
        <f aca="false">IF($A968="","",IF($B968=0,0,$K968/$B968))</f>
        <v/>
      </c>
      <c r="M968" s="20" t="str">
        <f aca="false">IF($A968="","",IF($J968&lt;0,"BORCA BATIK",IF($I968&lt;$H968,"BORCA BATIK",IF($L968&gt;=TtkUcteIkiEsik,"2/3 KAYIP (KRİTİK)",IF($L968&gt;=TtkUcteBirEsik,"1/3 KAYIP (DİKKAT)","UYGUN")))))</f>
        <v/>
      </c>
      <c r="U968" s="20" t="str">
        <f aca="false">IF($N968="","",$Q968*$R968)</f>
        <v/>
      </c>
    </row>
    <row r="969" customFormat="false" ht="15" hidden="false" customHeight="false" outlineLevel="0" collapsed="false">
      <c r="J969" s="20" t="str">
        <f aca="false">IF($A969="","",$B969+$C969+$D969-$E969+$F969-$G969)</f>
        <v/>
      </c>
      <c r="K969" s="20" t="str">
        <f aca="false">IF($A969="","",MAX(0,$B969-$J969))</f>
        <v/>
      </c>
      <c r="L969" s="20" t="str">
        <f aca="false">IF($A969="","",IF($B969=0,0,$K969/$B969))</f>
        <v/>
      </c>
      <c r="M969" s="20" t="str">
        <f aca="false">IF($A969="","",IF($J969&lt;0,"BORCA BATIK",IF($I969&lt;$H969,"BORCA BATIK",IF($L969&gt;=TtkUcteIkiEsik,"2/3 KAYIP (KRİTİK)",IF($L969&gt;=TtkUcteBirEsik,"1/3 KAYIP (DİKKAT)","UYGUN")))))</f>
        <v/>
      </c>
      <c r="U969" s="20" t="str">
        <f aca="false">IF($N969="","",$Q969*$R969)</f>
        <v/>
      </c>
    </row>
    <row r="970" customFormat="false" ht="15" hidden="false" customHeight="false" outlineLevel="0" collapsed="false">
      <c r="J970" s="20" t="str">
        <f aca="false">IF($A970="","",$B970+$C970+$D970-$E970+$F970-$G970)</f>
        <v/>
      </c>
      <c r="K970" s="20" t="str">
        <f aca="false">IF($A970="","",MAX(0,$B970-$J970))</f>
        <v/>
      </c>
      <c r="L970" s="20" t="str">
        <f aca="false">IF($A970="","",IF($B970=0,0,$K970/$B970))</f>
        <v/>
      </c>
      <c r="M970" s="20" t="str">
        <f aca="false">IF($A970="","",IF($J970&lt;0,"BORCA BATIK",IF($I970&lt;$H970,"BORCA BATIK",IF($L970&gt;=TtkUcteIkiEsik,"2/3 KAYIP (KRİTİK)",IF($L970&gt;=TtkUcteBirEsik,"1/3 KAYIP (DİKKAT)","UYGUN")))))</f>
        <v/>
      </c>
      <c r="U970" s="20" t="str">
        <f aca="false">IF($N970="","",$Q970*$R970)</f>
        <v/>
      </c>
    </row>
    <row r="971" customFormat="false" ht="15" hidden="false" customHeight="false" outlineLevel="0" collapsed="false">
      <c r="J971" s="20" t="str">
        <f aca="false">IF($A971="","",$B971+$C971+$D971-$E971+$F971-$G971)</f>
        <v/>
      </c>
      <c r="K971" s="20" t="str">
        <f aca="false">IF($A971="","",MAX(0,$B971-$J971))</f>
        <v/>
      </c>
      <c r="L971" s="20" t="str">
        <f aca="false">IF($A971="","",IF($B971=0,0,$K971/$B971))</f>
        <v/>
      </c>
      <c r="M971" s="20" t="str">
        <f aca="false">IF($A971="","",IF($J971&lt;0,"BORCA BATIK",IF($I971&lt;$H971,"BORCA BATIK",IF($L971&gt;=TtkUcteIkiEsik,"2/3 KAYIP (KRİTİK)",IF($L971&gt;=TtkUcteBirEsik,"1/3 KAYIP (DİKKAT)","UYGUN")))))</f>
        <v/>
      </c>
      <c r="U971" s="20" t="str">
        <f aca="false">IF($N971="","",$Q971*$R971)</f>
        <v/>
      </c>
    </row>
    <row r="972" customFormat="false" ht="15" hidden="false" customHeight="false" outlineLevel="0" collapsed="false">
      <c r="J972" s="20" t="str">
        <f aca="false">IF($A972="","",$B972+$C972+$D972-$E972+$F972-$G972)</f>
        <v/>
      </c>
      <c r="K972" s="20" t="str">
        <f aca="false">IF($A972="","",MAX(0,$B972-$J972))</f>
        <v/>
      </c>
      <c r="L972" s="20" t="str">
        <f aca="false">IF($A972="","",IF($B972=0,0,$K972/$B972))</f>
        <v/>
      </c>
      <c r="M972" s="20" t="str">
        <f aca="false">IF($A972="","",IF($J972&lt;0,"BORCA BATIK",IF($I972&lt;$H972,"BORCA BATIK",IF($L972&gt;=TtkUcteIkiEsik,"2/3 KAYIP (KRİTİK)",IF($L972&gt;=TtkUcteBirEsik,"1/3 KAYIP (DİKKAT)","UYGUN")))))</f>
        <v/>
      </c>
      <c r="U972" s="20" t="str">
        <f aca="false">IF($N972="","",$Q972*$R972)</f>
        <v/>
      </c>
    </row>
    <row r="973" customFormat="false" ht="15" hidden="false" customHeight="false" outlineLevel="0" collapsed="false">
      <c r="J973" s="20" t="str">
        <f aca="false">IF($A973="","",$B973+$C973+$D973-$E973+$F973-$G973)</f>
        <v/>
      </c>
      <c r="K973" s="20" t="str">
        <f aca="false">IF($A973="","",MAX(0,$B973-$J973))</f>
        <v/>
      </c>
      <c r="L973" s="20" t="str">
        <f aca="false">IF($A973="","",IF($B973=0,0,$K973/$B973))</f>
        <v/>
      </c>
      <c r="M973" s="20" t="str">
        <f aca="false">IF($A973="","",IF($J973&lt;0,"BORCA BATIK",IF($I973&lt;$H973,"BORCA BATIK",IF($L973&gt;=TtkUcteIkiEsik,"2/3 KAYIP (KRİTİK)",IF($L973&gt;=TtkUcteBirEsik,"1/3 KAYIP (DİKKAT)","UYGUN")))))</f>
        <v/>
      </c>
      <c r="U973" s="20" t="str">
        <f aca="false">IF($N973="","",$Q973*$R973)</f>
        <v/>
      </c>
    </row>
    <row r="974" customFormat="false" ht="15" hidden="false" customHeight="false" outlineLevel="0" collapsed="false">
      <c r="J974" s="20" t="str">
        <f aca="false">IF($A974="","",$B974+$C974+$D974-$E974+$F974-$G974)</f>
        <v/>
      </c>
      <c r="K974" s="20" t="str">
        <f aca="false">IF($A974="","",MAX(0,$B974-$J974))</f>
        <v/>
      </c>
      <c r="L974" s="20" t="str">
        <f aca="false">IF($A974="","",IF($B974=0,0,$K974/$B974))</f>
        <v/>
      </c>
      <c r="M974" s="20" t="str">
        <f aca="false">IF($A974="","",IF($J974&lt;0,"BORCA BATIK",IF($I974&lt;$H974,"BORCA BATIK",IF($L974&gt;=TtkUcteIkiEsik,"2/3 KAYIP (KRİTİK)",IF($L974&gt;=TtkUcteBirEsik,"1/3 KAYIP (DİKKAT)","UYGUN")))))</f>
        <v/>
      </c>
      <c r="U974" s="20" t="str">
        <f aca="false">IF($N974="","",$Q974*$R974)</f>
        <v/>
      </c>
    </row>
    <row r="975" customFormat="false" ht="15" hidden="false" customHeight="false" outlineLevel="0" collapsed="false">
      <c r="J975" s="20" t="str">
        <f aca="false">IF($A975="","",$B975+$C975+$D975-$E975+$F975-$G975)</f>
        <v/>
      </c>
      <c r="K975" s="20" t="str">
        <f aca="false">IF($A975="","",MAX(0,$B975-$J975))</f>
        <v/>
      </c>
      <c r="L975" s="20" t="str">
        <f aca="false">IF($A975="","",IF($B975=0,0,$K975/$B975))</f>
        <v/>
      </c>
      <c r="M975" s="20" t="str">
        <f aca="false">IF($A975="","",IF($J975&lt;0,"BORCA BATIK",IF($I975&lt;$H975,"BORCA BATIK",IF($L975&gt;=TtkUcteIkiEsik,"2/3 KAYIP (KRİTİK)",IF($L975&gt;=TtkUcteBirEsik,"1/3 KAYIP (DİKKAT)","UYGUN")))))</f>
        <v/>
      </c>
      <c r="U975" s="20" t="str">
        <f aca="false">IF($N975="","",$Q975*$R975)</f>
        <v/>
      </c>
    </row>
    <row r="976" customFormat="false" ht="15" hidden="false" customHeight="false" outlineLevel="0" collapsed="false">
      <c r="J976" s="20" t="str">
        <f aca="false">IF($A976="","",$B976+$C976+$D976-$E976+$F976-$G976)</f>
        <v/>
      </c>
      <c r="K976" s="20" t="str">
        <f aca="false">IF($A976="","",MAX(0,$B976-$J976))</f>
        <v/>
      </c>
      <c r="L976" s="20" t="str">
        <f aca="false">IF($A976="","",IF($B976=0,0,$K976/$B976))</f>
        <v/>
      </c>
      <c r="M976" s="20" t="str">
        <f aca="false">IF($A976="","",IF($J976&lt;0,"BORCA BATIK",IF($I976&lt;$H976,"BORCA BATIK",IF($L976&gt;=TtkUcteIkiEsik,"2/3 KAYIP (KRİTİK)",IF($L976&gt;=TtkUcteBirEsik,"1/3 KAYIP (DİKKAT)","UYGUN")))))</f>
        <v/>
      </c>
      <c r="U976" s="20" t="str">
        <f aca="false">IF($N976="","",$Q976*$R976)</f>
        <v/>
      </c>
    </row>
    <row r="977" customFormat="false" ht="15" hidden="false" customHeight="false" outlineLevel="0" collapsed="false">
      <c r="J977" s="20" t="str">
        <f aca="false">IF($A977="","",$B977+$C977+$D977-$E977+$F977-$G977)</f>
        <v/>
      </c>
      <c r="K977" s="20" t="str">
        <f aca="false">IF($A977="","",MAX(0,$B977-$J977))</f>
        <v/>
      </c>
      <c r="L977" s="20" t="str">
        <f aca="false">IF($A977="","",IF($B977=0,0,$K977/$B977))</f>
        <v/>
      </c>
      <c r="M977" s="20" t="str">
        <f aca="false">IF($A977="","",IF($J977&lt;0,"BORCA BATIK",IF($I977&lt;$H977,"BORCA BATIK",IF($L977&gt;=TtkUcteIkiEsik,"2/3 KAYIP (KRİTİK)",IF($L977&gt;=TtkUcteBirEsik,"1/3 KAYIP (DİKKAT)","UYGUN")))))</f>
        <v/>
      </c>
      <c r="U977" s="20" t="str">
        <f aca="false">IF($N977="","",$Q977*$R977)</f>
        <v/>
      </c>
    </row>
    <row r="978" customFormat="false" ht="15" hidden="false" customHeight="false" outlineLevel="0" collapsed="false">
      <c r="J978" s="20" t="str">
        <f aca="false">IF($A978="","",$B978+$C978+$D978-$E978+$F978-$G978)</f>
        <v/>
      </c>
      <c r="K978" s="20" t="str">
        <f aca="false">IF($A978="","",MAX(0,$B978-$J978))</f>
        <v/>
      </c>
      <c r="L978" s="20" t="str">
        <f aca="false">IF($A978="","",IF($B978=0,0,$K978/$B978))</f>
        <v/>
      </c>
      <c r="M978" s="20" t="str">
        <f aca="false">IF($A978="","",IF($J978&lt;0,"BORCA BATIK",IF($I978&lt;$H978,"BORCA BATIK",IF($L978&gt;=TtkUcteIkiEsik,"2/3 KAYIP (KRİTİK)",IF($L978&gt;=TtkUcteBirEsik,"1/3 KAYIP (DİKKAT)","UYGUN")))))</f>
        <v/>
      </c>
      <c r="U978" s="20" t="str">
        <f aca="false">IF($N978="","",$Q978*$R978)</f>
        <v/>
      </c>
    </row>
    <row r="979" customFormat="false" ht="15" hidden="false" customHeight="false" outlineLevel="0" collapsed="false">
      <c r="J979" s="20" t="str">
        <f aca="false">IF($A979="","",$B979+$C979+$D979-$E979+$F979-$G979)</f>
        <v/>
      </c>
      <c r="K979" s="20" t="str">
        <f aca="false">IF($A979="","",MAX(0,$B979-$J979))</f>
        <v/>
      </c>
      <c r="L979" s="20" t="str">
        <f aca="false">IF($A979="","",IF($B979=0,0,$K979/$B979))</f>
        <v/>
      </c>
      <c r="M979" s="20" t="str">
        <f aca="false">IF($A979="","",IF($J979&lt;0,"BORCA BATIK",IF($I979&lt;$H979,"BORCA BATIK",IF($L979&gt;=TtkUcteIkiEsik,"2/3 KAYIP (KRİTİK)",IF($L979&gt;=TtkUcteBirEsik,"1/3 KAYIP (DİKKAT)","UYGUN")))))</f>
        <v/>
      </c>
      <c r="U979" s="20" t="str">
        <f aca="false">IF($N979="","",$Q979*$R979)</f>
        <v/>
      </c>
    </row>
    <row r="980" customFormat="false" ht="15" hidden="false" customHeight="false" outlineLevel="0" collapsed="false">
      <c r="J980" s="20" t="str">
        <f aca="false">IF($A980="","",$B980+$C980+$D980-$E980+$F980-$G980)</f>
        <v/>
      </c>
      <c r="K980" s="20" t="str">
        <f aca="false">IF($A980="","",MAX(0,$B980-$J980))</f>
        <v/>
      </c>
      <c r="L980" s="20" t="str">
        <f aca="false">IF($A980="","",IF($B980=0,0,$K980/$B980))</f>
        <v/>
      </c>
      <c r="M980" s="20" t="str">
        <f aca="false">IF($A980="","",IF($J980&lt;0,"BORCA BATIK",IF($I980&lt;$H980,"BORCA BATIK",IF($L980&gt;=TtkUcteIkiEsik,"2/3 KAYIP (KRİTİK)",IF($L980&gt;=TtkUcteBirEsik,"1/3 KAYIP (DİKKAT)","UYGUN")))))</f>
        <v/>
      </c>
      <c r="U980" s="20" t="str">
        <f aca="false">IF($N980="","",$Q980*$R980)</f>
        <v/>
      </c>
    </row>
    <row r="981" customFormat="false" ht="15" hidden="false" customHeight="false" outlineLevel="0" collapsed="false">
      <c r="J981" s="20" t="str">
        <f aca="false">IF($A981="","",$B981+$C981+$D981-$E981+$F981-$G981)</f>
        <v/>
      </c>
      <c r="K981" s="20" t="str">
        <f aca="false">IF($A981="","",MAX(0,$B981-$J981))</f>
        <v/>
      </c>
      <c r="L981" s="20" t="str">
        <f aca="false">IF($A981="","",IF($B981=0,0,$K981/$B981))</f>
        <v/>
      </c>
      <c r="M981" s="20" t="str">
        <f aca="false">IF($A981="","",IF($J981&lt;0,"BORCA BATIK",IF($I981&lt;$H981,"BORCA BATIK",IF($L981&gt;=TtkUcteIkiEsik,"2/3 KAYIP (KRİTİK)",IF($L981&gt;=TtkUcteBirEsik,"1/3 KAYIP (DİKKAT)","UYGUN")))))</f>
        <v/>
      </c>
      <c r="U981" s="20" t="str">
        <f aca="false">IF($N981="","",$Q981*$R981)</f>
        <v/>
      </c>
    </row>
    <row r="982" customFormat="false" ht="15" hidden="false" customHeight="false" outlineLevel="0" collapsed="false">
      <c r="J982" s="20" t="str">
        <f aca="false">IF($A982="","",$B982+$C982+$D982-$E982+$F982-$G982)</f>
        <v/>
      </c>
      <c r="K982" s="20" t="str">
        <f aca="false">IF($A982="","",MAX(0,$B982-$J982))</f>
        <v/>
      </c>
      <c r="L982" s="20" t="str">
        <f aca="false">IF($A982="","",IF($B982=0,0,$K982/$B982))</f>
        <v/>
      </c>
      <c r="M982" s="20" t="str">
        <f aca="false">IF($A982="","",IF($J982&lt;0,"BORCA BATIK",IF($I982&lt;$H982,"BORCA BATIK",IF($L982&gt;=TtkUcteIkiEsik,"2/3 KAYIP (KRİTİK)",IF($L982&gt;=TtkUcteBirEsik,"1/3 KAYIP (DİKKAT)","UYGUN")))))</f>
        <v/>
      </c>
      <c r="U982" s="20" t="str">
        <f aca="false">IF($N982="","",$Q982*$R982)</f>
        <v/>
      </c>
    </row>
    <row r="983" customFormat="false" ht="15" hidden="false" customHeight="false" outlineLevel="0" collapsed="false">
      <c r="J983" s="20" t="str">
        <f aca="false">IF($A983="","",$B983+$C983+$D983-$E983+$F983-$G983)</f>
        <v/>
      </c>
      <c r="K983" s="20" t="str">
        <f aca="false">IF($A983="","",MAX(0,$B983-$J983))</f>
        <v/>
      </c>
      <c r="L983" s="20" t="str">
        <f aca="false">IF($A983="","",IF($B983=0,0,$K983/$B983))</f>
        <v/>
      </c>
      <c r="M983" s="20" t="str">
        <f aca="false">IF($A983="","",IF($J983&lt;0,"BORCA BATIK",IF($I983&lt;$H983,"BORCA BATIK",IF($L983&gt;=TtkUcteIkiEsik,"2/3 KAYIP (KRİTİK)",IF($L983&gt;=TtkUcteBirEsik,"1/3 KAYIP (DİKKAT)","UYGUN")))))</f>
        <v/>
      </c>
      <c r="U983" s="20" t="str">
        <f aca="false">IF($N983="","",$Q983*$R983)</f>
        <v/>
      </c>
    </row>
    <row r="984" customFormat="false" ht="15" hidden="false" customHeight="false" outlineLevel="0" collapsed="false">
      <c r="J984" s="20" t="str">
        <f aca="false">IF($A984="","",$B984+$C984+$D984-$E984+$F984-$G984)</f>
        <v/>
      </c>
      <c r="K984" s="20" t="str">
        <f aca="false">IF($A984="","",MAX(0,$B984-$J984))</f>
        <v/>
      </c>
      <c r="L984" s="20" t="str">
        <f aca="false">IF($A984="","",IF($B984=0,0,$K984/$B984))</f>
        <v/>
      </c>
      <c r="M984" s="20" t="str">
        <f aca="false">IF($A984="","",IF($J984&lt;0,"BORCA BATIK",IF($I984&lt;$H984,"BORCA BATIK",IF($L984&gt;=TtkUcteIkiEsik,"2/3 KAYIP (KRİTİK)",IF($L984&gt;=TtkUcteBirEsik,"1/3 KAYIP (DİKKAT)","UYGUN")))))</f>
        <v/>
      </c>
      <c r="U984" s="20" t="str">
        <f aca="false">IF($N984="","",$Q984*$R984)</f>
        <v/>
      </c>
    </row>
    <row r="985" customFormat="false" ht="15" hidden="false" customHeight="false" outlineLevel="0" collapsed="false">
      <c r="J985" s="20" t="str">
        <f aca="false">IF($A985="","",$B985+$C985+$D985-$E985+$F985-$G985)</f>
        <v/>
      </c>
      <c r="K985" s="20" t="str">
        <f aca="false">IF($A985="","",MAX(0,$B985-$J985))</f>
        <v/>
      </c>
      <c r="L985" s="20" t="str">
        <f aca="false">IF($A985="","",IF($B985=0,0,$K985/$B985))</f>
        <v/>
      </c>
      <c r="M985" s="20" t="str">
        <f aca="false">IF($A985="","",IF($J985&lt;0,"BORCA BATIK",IF($I985&lt;$H985,"BORCA BATIK",IF($L985&gt;=TtkUcteIkiEsik,"2/3 KAYIP (KRİTİK)",IF($L985&gt;=TtkUcteBirEsik,"1/3 KAYIP (DİKKAT)","UYGUN")))))</f>
        <v/>
      </c>
      <c r="U985" s="20" t="str">
        <f aca="false">IF($N985="","",$Q985*$R985)</f>
        <v/>
      </c>
    </row>
    <row r="986" customFormat="false" ht="15" hidden="false" customHeight="false" outlineLevel="0" collapsed="false">
      <c r="J986" s="20" t="str">
        <f aca="false">IF($A986="","",$B986+$C986+$D986-$E986+$F986-$G986)</f>
        <v/>
      </c>
      <c r="K986" s="20" t="str">
        <f aca="false">IF($A986="","",MAX(0,$B986-$J986))</f>
        <v/>
      </c>
      <c r="L986" s="20" t="str">
        <f aca="false">IF($A986="","",IF($B986=0,0,$K986/$B986))</f>
        <v/>
      </c>
      <c r="M986" s="20" t="str">
        <f aca="false">IF($A986="","",IF($J986&lt;0,"BORCA BATIK",IF($I986&lt;$H986,"BORCA BATIK",IF($L986&gt;=TtkUcteIkiEsik,"2/3 KAYIP (KRİTİK)",IF($L986&gt;=TtkUcteBirEsik,"1/3 KAYIP (DİKKAT)","UYGUN")))))</f>
        <v/>
      </c>
      <c r="U986" s="20" t="str">
        <f aca="false">IF($N986="","",$Q986*$R986)</f>
        <v/>
      </c>
    </row>
    <row r="987" customFormat="false" ht="15" hidden="false" customHeight="false" outlineLevel="0" collapsed="false">
      <c r="J987" s="20" t="str">
        <f aca="false">IF($A987="","",$B987+$C987+$D987-$E987+$F987-$G987)</f>
        <v/>
      </c>
      <c r="K987" s="20" t="str">
        <f aca="false">IF($A987="","",MAX(0,$B987-$J987))</f>
        <v/>
      </c>
      <c r="L987" s="20" t="str">
        <f aca="false">IF($A987="","",IF($B987=0,0,$K987/$B987))</f>
        <v/>
      </c>
      <c r="M987" s="20" t="str">
        <f aca="false">IF($A987="","",IF($J987&lt;0,"BORCA BATIK",IF($I987&lt;$H987,"BORCA BATIK",IF($L987&gt;=TtkUcteIkiEsik,"2/3 KAYIP (KRİTİK)",IF($L987&gt;=TtkUcteBirEsik,"1/3 KAYIP (DİKKAT)","UYGUN")))))</f>
        <v/>
      </c>
      <c r="U987" s="20" t="str">
        <f aca="false">IF($N987="","",$Q987*$R987)</f>
        <v/>
      </c>
    </row>
    <row r="988" customFormat="false" ht="15" hidden="false" customHeight="false" outlineLevel="0" collapsed="false">
      <c r="J988" s="20" t="str">
        <f aca="false">IF($A988="","",$B988+$C988+$D988-$E988+$F988-$G988)</f>
        <v/>
      </c>
      <c r="K988" s="20" t="str">
        <f aca="false">IF($A988="","",MAX(0,$B988-$J988))</f>
        <v/>
      </c>
      <c r="L988" s="20" t="str">
        <f aca="false">IF($A988="","",IF($B988=0,0,$K988/$B988))</f>
        <v/>
      </c>
      <c r="M988" s="20" t="str">
        <f aca="false">IF($A988="","",IF($J988&lt;0,"BORCA BATIK",IF($I988&lt;$H988,"BORCA BATIK",IF($L988&gt;=TtkUcteIkiEsik,"2/3 KAYIP (KRİTİK)",IF($L988&gt;=TtkUcteBirEsik,"1/3 KAYIP (DİKKAT)","UYGUN")))))</f>
        <v/>
      </c>
      <c r="U988" s="20" t="str">
        <f aca="false">IF($N988="","",$Q988*$R988)</f>
        <v/>
      </c>
    </row>
    <row r="989" customFormat="false" ht="15" hidden="false" customHeight="false" outlineLevel="0" collapsed="false">
      <c r="J989" s="20" t="str">
        <f aca="false">IF($A989="","",$B989+$C989+$D989-$E989+$F989-$G989)</f>
        <v/>
      </c>
      <c r="K989" s="20" t="str">
        <f aca="false">IF($A989="","",MAX(0,$B989-$J989))</f>
        <v/>
      </c>
      <c r="L989" s="20" t="str">
        <f aca="false">IF($A989="","",IF($B989=0,0,$K989/$B989))</f>
        <v/>
      </c>
      <c r="M989" s="20" t="str">
        <f aca="false">IF($A989="","",IF($J989&lt;0,"BORCA BATIK",IF($I989&lt;$H989,"BORCA BATIK",IF($L989&gt;=TtkUcteIkiEsik,"2/3 KAYIP (KRİTİK)",IF($L989&gt;=TtkUcteBirEsik,"1/3 KAYIP (DİKKAT)","UYGUN")))))</f>
        <v/>
      </c>
      <c r="U989" s="20" t="str">
        <f aca="false">IF($N989="","",$Q989*$R989)</f>
        <v/>
      </c>
    </row>
    <row r="990" customFormat="false" ht="15" hidden="false" customHeight="false" outlineLevel="0" collapsed="false">
      <c r="J990" s="20" t="str">
        <f aca="false">IF($A990="","",$B990+$C990+$D990-$E990+$F990-$G990)</f>
        <v/>
      </c>
      <c r="K990" s="20" t="str">
        <f aca="false">IF($A990="","",MAX(0,$B990-$J990))</f>
        <v/>
      </c>
      <c r="L990" s="20" t="str">
        <f aca="false">IF($A990="","",IF($B990=0,0,$K990/$B990))</f>
        <v/>
      </c>
      <c r="M990" s="20" t="str">
        <f aca="false">IF($A990="","",IF($J990&lt;0,"BORCA BATIK",IF($I990&lt;$H990,"BORCA BATIK",IF($L990&gt;=TtkUcteIkiEsik,"2/3 KAYIP (KRİTİK)",IF($L990&gt;=TtkUcteBirEsik,"1/3 KAYIP (DİKKAT)","UYGUN")))))</f>
        <v/>
      </c>
      <c r="U990" s="20" t="str">
        <f aca="false">IF($N990="","",$Q990*$R990)</f>
        <v/>
      </c>
    </row>
    <row r="991" customFormat="false" ht="15" hidden="false" customHeight="false" outlineLevel="0" collapsed="false">
      <c r="J991" s="20" t="str">
        <f aca="false">IF($A991="","",$B991+$C991+$D991-$E991+$F991-$G991)</f>
        <v/>
      </c>
      <c r="K991" s="20" t="str">
        <f aca="false">IF($A991="","",MAX(0,$B991-$J991))</f>
        <v/>
      </c>
      <c r="L991" s="20" t="str">
        <f aca="false">IF($A991="","",IF($B991=0,0,$K991/$B991))</f>
        <v/>
      </c>
      <c r="M991" s="20" t="str">
        <f aca="false">IF($A991="","",IF($J991&lt;0,"BORCA BATIK",IF($I991&lt;$H991,"BORCA BATIK",IF($L991&gt;=TtkUcteIkiEsik,"2/3 KAYIP (KRİTİK)",IF($L991&gt;=TtkUcteBirEsik,"1/3 KAYIP (DİKKAT)","UYGUN")))))</f>
        <v/>
      </c>
      <c r="U991" s="20" t="str">
        <f aca="false">IF($N991="","",$Q991*$R991)</f>
        <v/>
      </c>
    </row>
    <row r="992" customFormat="false" ht="15" hidden="false" customHeight="false" outlineLevel="0" collapsed="false">
      <c r="J992" s="20" t="str">
        <f aca="false">IF($A992="","",$B992+$C992+$D992-$E992+$F992-$G992)</f>
        <v/>
      </c>
      <c r="K992" s="20" t="str">
        <f aca="false">IF($A992="","",MAX(0,$B992-$J992))</f>
        <v/>
      </c>
      <c r="L992" s="20" t="str">
        <f aca="false">IF($A992="","",IF($B992=0,0,$K992/$B992))</f>
        <v/>
      </c>
      <c r="M992" s="20" t="str">
        <f aca="false">IF($A992="","",IF($J992&lt;0,"BORCA BATIK",IF($I992&lt;$H992,"BORCA BATIK",IF($L992&gt;=TtkUcteIkiEsik,"2/3 KAYIP (KRİTİK)",IF($L992&gt;=TtkUcteBirEsik,"1/3 KAYIP (DİKKAT)","UYGUN")))))</f>
        <v/>
      </c>
      <c r="U992" s="20" t="str">
        <f aca="false">IF($N992="","",$Q992*$R992)</f>
        <v/>
      </c>
    </row>
    <row r="993" customFormat="false" ht="15" hidden="false" customHeight="false" outlineLevel="0" collapsed="false">
      <c r="J993" s="20" t="str">
        <f aca="false">IF($A993="","",$B993+$C993+$D993-$E993+$F993-$G993)</f>
        <v/>
      </c>
      <c r="K993" s="20" t="str">
        <f aca="false">IF($A993="","",MAX(0,$B993-$J993))</f>
        <v/>
      </c>
      <c r="L993" s="20" t="str">
        <f aca="false">IF($A993="","",IF($B993=0,0,$K993/$B993))</f>
        <v/>
      </c>
      <c r="M993" s="20" t="str">
        <f aca="false">IF($A993="","",IF($J993&lt;0,"BORCA BATIK",IF($I993&lt;$H993,"BORCA BATIK",IF($L993&gt;=TtkUcteIkiEsik,"2/3 KAYIP (KRİTİK)",IF($L993&gt;=TtkUcteBirEsik,"1/3 KAYIP (DİKKAT)","UYGUN")))))</f>
        <v/>
      </c>
      <c r="U993" s="20" t="str">
        <f aca="false">IF($N993="","",$Q993*$R993)</f>
        <v/>
      </c>
    </row>
    <row r="994" customFormat="false" ht="15" hidden="false" customHeight="false" outlineLevel="0" collapsed="false">
      <c r="J994" s="20" t="str">
        <f aca="false">IF($A994="","",$B994+$C994+$D994-$E994+$F994-$G994)</f>
        <v/>
      </c>
      <c r="K994" s="20" t="str">
        <f aca="false">IF($A994="","",MAX(0,$B994-$J994))</f>
        <v/>
      </c>
      <c r="L994" s="20" t="str">
        <f aca="false">IF($A994="","",IF($B994=0,0,$K994/$B994))</f>
        <v/>
      </c>
      <c r="M994" s="20" t="str">
        <f aca="false">IF($A994="","",IF($J994&lt;0,"BORCA BATIK",IF($I994&lt;$H994,"BORCA BATIK",IF($L994&gt;=TtkUcteIkiEsik,"2/3 KAYIP (KRİTİK)",IF($L994&gt;=TtkUcteBirEsik,"1/3 KAYIP (DİKKAT)","UYGUN")))))</f>
        <v/>
      </c>
      <c r="U994" s="20" t="str">
        <f aca="false">IF($N994="","",$Q994*$R994)</f>
        <v/>
      </c>
    </row>
    <row r="995" customFormat="false" ht="15" hidden="false" customHeight="false" outlineLevel="0" collapsed="false">
      <c r="J995" s="20" t="str">
        <f aca="false">IF($A995="","",$B995+$C995+$D995-$E995+$F995-$G995)</f>
        <v/>
      </c>
      <c r="K995" s="20" t="str">
        <f aca="false">IF($A995="","",MAX(0,$B995-$J995))</f>
        <v/>
      </c>
      <c r="L995" s="20" t="str">
        <f aca="false">IF($A995="","",IF($B995=0,0,$K995/$B995))</f>
        <v/>
      </c>
      <c r="M995" s="20" t="str">
        <f aca="false">IF($A995="","",IF($J995&lt;0,"BORCA BATIK",IF($I995&lt;$H995,"BORCA BATIK",IF($L995&gt;=TtkUcteIkiEsik,"2/3 KAYIP (KRİTİK)",IF($L995&gt;=TtkUcteBirEsik,"1/3 KAYIP (DİKKAT)","UYGUN")))))</f>
        <v/>
      </c>
      <c r="U995" s="20" t="str">
        <f aca="false">IF($N995="","",$Q995*$R995)</f>
        <v/>
      </c>
    </row>
    <row r="996" customFormat="false" ht="15" hidden="false" customHeight="false" outlineLevel="0" collapsed="false">
      <c r="J996" s="20" t="str">
        <f aca="false">IF($A996="","",$B996+$C996+$D996-$E996+$F996-$G996)</f>
        <v/>
      </c>
      <c r="K996" s="20" t="str">
        <f aca="false">IF($A996="","",MAX(0,$B996-$J996))</f>
        <v/>
      </c>
      <c r="L996" s="20" t="str">
        <f aca="false">IF($A996="","",IF($B996=0,0,$K996/$B996))</f>
        <v/>
      </c>
      <c r="M996" s="20" t="str">
        <f aca="false">IF($A996="","",IF($J996&lt;0,"BORCA BATIK",IF($I996&lt;$H996,"BORCA BATIK",IF($L996&gt;=TtkUcteIkiEsik,"2/3 KAYIP (KRİTİK)",IF($L996&gt;=TtkUcteBirEsik,"1/3 KAYIP (DİKKAT)","UYGUN")))))</f>
        <v/>
      </c>
      <c r="U996" s="20" t="str">
        <f aca="false">IF($N996="","",$Q996*$R996)</f>
        <v/>
      </c>
    </row>
    <row r="997" customFormat="false" ht="15" hidden="false" customHeight="false" outlineLevel="0" collapsed="false">
      <c r="J997" s="20" t="str">
        <f aca="false">IF($A997="","",$B997+$C997+$D997-$E997+$F997-$G997)</f>
        <v/>
      </c>
      <c r="K997" s="20" t="str">
        <f aca="false">IF($A997="","",MAX(0,$B997-$J997))</f>
        <v/>
      </c>
      <c r="L997" s="20" t="str">
        <f aca="false">IF($A997="","",IF($B997=0,0,$K997/$B997))</f>
        <v/>
      </c>
      <c r="M997" s="20" t="str">
        <f aca="false">IF($A997="","",IF($J997&lt;0,"BORCA BATIK",IF($I997&lt;$H997,"BORCA BATIK",IF($L997&gt;=TtkUcteIkiEsik,"2/3 KAYIP (KRİTİK)",IF($L997&gt;=TtkUcteBirEsik,"1/3 KAYIP (DİKKAT)","UYGUN")))))</f>
        <v/>
      </c>
      <c r="U997" s="20" t="str">
        <f aca="false">IF($N997="","",$Q997*$R997)</f>
        <v/>
      </c>
    </row>
    <row r="998" customFormat="false" ht="15" hidden="false" customHeight="false" outlineLevel="0" collapsed="false">
      <c r="J998" s="20" t="str">
        <f aca="false">IF($A998="","",$B998+$C998+$D998-$E998+$F998-$G998)</f>
        <v/>
      </c>
      <c r="K998" s="20" t="str">
        <f aca="false">IF($A998="","",MAX(0,$B998-$J998))</f>
        <v/>
      </c>
      <c r="L998" s="20" t="str">
        <f aca="false">IF($A998="","",IF($B998=0,0,$K998/$B998))</f>
        <v/>
      </c>
      <c r="M998" s="20" t="str">
        <f aca="false">IF($A998="","",IF($J998&lt;0,"BORCA BATIK",IF($I998&lt;$H998,"BORCA BATIK",IF($L998&gt;=TtkUcteIkiEsik,"2/3 KAYIP (KRİTİK)",IF($L998&gt;=TtkUcteBirEsik,"1/3 KAYIP (DİKKAT)","UYGUN")))))</f>
        <v/>
      </c>
      <c r="U998" s="20" t="str">
        <f aca="false">IF($N998="","",$Q998*$R998)</f>
        <v/>
      </c>
    </row>
    <row r="999" customFormat="false" ht="15" hidden="false" customHeight="false" outlineLevel="0" collapsed="false">
      <c r="J999" s="20" t="str">
        <f aca="false">IF($A999="","",$B999+$C999+$D999-$E999+$F999-$G999)</f>
        <v/>
      </c>
      <c r="K999" s="20" t="str">
        <f aca="false">IF($A999="","",MAX(0,$B999-$J999))</f>
        <v/>
      </c>
      <c r="L999" s="20" t="str">
        <f aca="false">IF($A999="","",IF($B999=0,0,$K999/$B999))</f>
        <v/>
      </c>
      <c r="M999" s="20" t="str">
        <f aca="false">IF($A999="","",IF($J999&lt;0,"BORCA BATIK",IF($I999&lt;$H999,"BORCA BATIK",IF($L999&gt;=TtkUcteIkiEsik,"2/3 KAYIP (KRİTİK)",IF($L999&gt;=TtkUcteBirEsik,"1/3 KAYIP (DİKKAT)","UYGUN")))))</f>
        <v/>
      </c>
      <c r="U999" s="20" t="str">
        <f aca="false">IF($N999="","",$Q999*$R999)</f>
        <v/>
      </c>
    </row>
    <row r="1000" customFormat="false" ht="15" hidden="false" customHeight="false" outlineLevel="0" collapsed="false">
      <c r="J1000" s="20" t="str">
        <f aca="false">IF($A1000="","",$B1000+$C1000+$D1000-$E1000+$F1000-$G1000)</f>
        <v/>
      </c>
      <c r="K1000" s="20" t="str">
        <f aca="false">IF($A1000="","",MAX(0,$B1000-$J1000))</f>
        <v/>
      </c>
      <c r="L1000" s="20" t="str">
        <f aca="false">IF($A1000="","",IF($B1000=0,0,$K1000/$B1000))</f>
        <v/>
      </c>
      <c r="M1000" s="20" t="str">
        <f aca="false">IF($A1000="","",IF($J1000&lt;0,"BORCA BATIK",IF($I1000&lt;$H1000,"BORCA BATIK",IF($L1000&gt;=TtkUcteIkiEsik,"2/3 KAYIP (KRİTİK)",IF($L1000&gt;=TtkUcteBirEsik,"1/3 KAYIP (DİKKAT)","UYGUN")))))</f>
        <v/>
      </c>
      <c r="U1000" s="20" t="str">
        <f aca="false">IF($N1000="","",$Q1000*$R1000)</f>
        <v/>
      </c>
    </row>
    <row r="1001" customFormat="false" ht="15" hidden="false" customHeight="false" outlineLevel="0" collapsed="false">
      <c r="J1001" s="20" t="str">
        <f aca="false">IF($A1001="","",$B1001+$C1001+$D1001-$E1001+$F1001-$G1001)</f>
        <v/>
      </c>
      <c r="K1001" s="20" t="str">
        <f aca="false">IF($A1001="","",MAX(0,$B1001-$J1001))</f>
        <v/>
      </c>
      <c r="L1001" s="20" t="str">
        <f aca="false">IF($A1001="","",IF($B1001=0,0,$K1001/$B1001))</f>
        <v/>
      </c>
      <c r="M1001" s="20" t="str">
        <f aca="false">IF($A1001="","",IF($J1001&lt;0,"BORCA BATIK",IF($I1001&lt;$H1001,"BORCA BATIK",IF($L1001&gt;=TtkUcteIkiEsik,"2/3 KAYIP (KRİTİK)",IF($L1001&gt;=TtkUcteBirEsik,"1/3 KAYIP (DİKKAT)","UYGUN")))))</f>
        <v/>
      </c>
      <c r="U1001" s="20" t="str">
        <f aca="false">IF($N1001="","",$Q1001*$R1001)</f>
        <v/>
      </c>
    </row>
    <row r="1002" customFormat="false" ht="15" hidden="false" customHeight="false" outlineLevel="0" collapsed="false">
      <c r="J1002" s="20" t="str">
        <f aca="false">IF($A1002="","",$B1002+$C1002+$D1002-$E1002+$F1002-$G1002)</f>
        <v/>
      </c>
      <c r="K1002" s="20" t="str">
        <f aca="false">IF($A1002="","",MAX(0,$B1002-$J1002))</f>
        <v/>
      </c>
      <c r="L1002" s="20" t="str">
        <f aca="false">IF($A1002="","",IF($B1002=0,0,$K1002/$B1002))</f>
        <v/>
      </c>
      <c r="M1002" s="20" t="str">
        <f aca="false">IF($A1002="","",IF($J1002&lt;0,"BORCA BATIK",IF($I1002&lt;$H1002,"BORCA BATIK",IF($L1002&gt;=TtkUcteIkiEsik,"2/3 KAYIP (KRİTİK)",IF($L1002&gt;=TtkUcteBirEsik,"1/3 KAYIP (DİKKAT)","UYGUN")))))</f>
        <v/>
      </c>
      <c r="U1002" s="20" t="str">
        <f aca="false">IF($N1002="","",$Q1002*$R1002)</f>
        <v/>
      </c>
    </row>
    <row r="1003" customFormat="false" ht="15" hidden="false" customHeight="false" outlineLevel="0" collapsed="false">
      <c r="J1003" s="20" t="str">
        <f aca="false">IF($A1003="","",$B1003+$C1003+$D1003-$E1003+$F1003-$G1003)</f>
        <v/>
      </c>
      <c r="K1003" s="20" t="str">
        <f aca="false">IF($A1003="","",MAX(0,$B1003-$J1003))</f>
        <v/>
      </c>
      <c r="L1003" s="20" t="str">
        <f aca="false">IF($A1003="","",IF($B1003=0,0,$K1003/$B1003))</f>
        <v/>
      </c>
      <c r="M1003" s="20" t="str">
        <f aca="false">IF($A1003="","",IF($J1003&lt;0,"BORCA BATIK",IF($I1003&lt;$H1003,"BORCA BATIK",IF($L1003&gt;=TtkUcteIkiEsik,"2/3 KAYIP (KRİTİK)",IF($L1003&gt;=TtkUcteBirEsik,"1/3 KAYIP (DİKKAT)","UYGUN")))))</f>
        <v/>
      </c>
      <c r="U1003" s="20" t="str">
        <f aca="false">IF($N1003="","",$Q1003*$R1003)</f>
        <v/>
      </c>
    </row>
    <row r="1004" customFormat="false" ht="15" hidden="false" customHeight="false" outlineLevel="0" collapsed="false">
      <c r="J1004" s="20" t="str">
        <f aca="false">IF($A1004="","",$B1004+$C1004+$D1004-$E1004+$F1004-$G1004)</f>
        <v/>
      </c>
      <c r="K1004" s="20" t="str">
        <f aca="false">IF($A1004="","",MAX(0,$B1004-$J1004))</f>
        <v/>
      </c>
      <c r="L1004" s="20" t="str">
        <f aca="false">IF($A1004="","",IF($B1004=0,0,$K1004/$B1004))</f>
        <v/>
      </c>
      <c r="M1004" s="20" t="str">
        <f aca="false">IF($A1004="","",IF($J1004&lt;0,"BORCA BATIK",IF($I1004&lt;$H1004,"BORCA BATIK",IF($L1004&gt;=TtkUcteIkiEsik,"2/3 KAYIP (KRİTİK)",IF($L1004&gt;=TtkUcteBirEsik,"1/3 KAYIP (DİKKAT)","UYGUN")))))</f>
        <v/>
      </c>
      <c r="U1004" s="20" t="str">
        <f aca="false">IF($N1004="","",$Q1004*$R1004)</f>
        <v/>
      </c>
    </row>
    <row r="1006" customFormat="false" ht="19.5" hidden="false" customHeight="true" outlineLevel="0" collapsed="false">
      <c r="A1006" s="22" t="s">
        <v>235</v>
      </c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22"/>
      <c r="AC1006" s="22"/>
      <c r="AD1006" s="22"/>
      <c r="AE1006" s="22"/>
      <c r="AF1006" s="22"/>
      <c r="AG1006" s="22"/>
      <c r="AH1006" s="22"/>
      <c r="AI1006" s="22"/>
      <c r="AJ1006" s="22"/>
      <c r="AK1006" s="22"/>
      <c r="AL1006" s="22"/>
      <c r="AM1006" s="22"/>
      <c r="AN1006" s="22"/>
    </row>
  </sheetData>
  <sheetProtection sheet="true" password="cc3d" objects="true" scenarios="true" deleteColumns="false" deleteRows="false"/>
  <mergeCells count="2">
    <mergeCell ref="A1:AD1"/>
    <mergeCell ref="A1006:AN1006"/>
  </mergeCells>
  <conditionalFormatting sqref="B6:B1004">
    <cfRule type="cellIs" priority="2" operator="lessThan" aboveAverage="0" equalAverage="0" bottom="0" percent="0" rank="0" text="" dxfId="11">
      <formula>0</formula>
    </cfRule>
  </conditionalFormatting>
  <conditionalFormatting sqref="C6:C1004">
    <cfRule type="cellIs" priority="3" operator="lessThan" aboveAverage="0" equalAverage="0" bottom="0" percent="0" rank="0" text="" dxfId="11">
      <formula>0</formula>
    </cfRule>
  </conditionalFormatting>
  <conditionalFormatting sqref="D6:D1004">
    <cfRule type="cellIs" priority="4" operator="lessThan" aboveAverage="0" equalAverage="0" bottom="0" percent="0" rank="0" text="" dxfId="11">
      <formula>0</formula>
    </cfRule>
  </conditionalFormatting>
  <conditionalFormatting sqref="E6:E1004">
    <cfRule type="cellIs" priority="5" operator="lessThan" aboveAverage="0" equalAverage="0" bottom="0" percent="0" rank="0" text="" dxfId="11">
      <formula>0</formula>
    </cfRule>
  </conditionalFormatting>
  <conditionalFormatting sqref="F6:F1004">
    <cfRule type="cellIs" priority="6" operator="lessThan" aboveAverage="0" equalAverage="0" bottom="0" percent="0" rank="0" text="" dxfId="11">
      <formula>0</formula>
    </cfRule>
  </conditionalFormatting>
  <conditionalFormatting sqref="G6:G1004">
    <cfRule type="cellIs" priority="7" operator="lessThan" aboveAverage="0" equalAverage="0" bottom="0" percent="0" rank="0" text="" dxfId="11">
      <formula>0</formula>
    </cfRule>
  </conditionalFormatting>
  <conditionalFormatting sqref="H6:H1004">
    <cfRule type="cellIs" priority="8" operator="lessThan" aboveAverage="0" equalAverage="0" bottom="0" percent="0" rank="0" text="" dxfId="11">
      <formula>0</formula>
    </cfRule>
  </conditionalFormatting>
  <conditionalFormatting sqref="I6:I1004">
    <cfRule type="cellIs" priority="9" operator="lessThan" aboveAverage="0" equalAverage="0" bottom="0" percent="0" rank="0" text="" dxfId="11">
      <formula>0</formula>
    </cfRule>
  </conditionalFormatting>
  <conditionalFormatting sqref="J6:J1004">
    <cfRule type="cellIs" priority="10" operator="lessThan" aboveAverage="0" equalAverage="0" bottom="0" percent="0" rank="0" text="" dxfId="11">
      <formula>0</formula>
    </cfRule>
  </conditionalFormatting>
  <conditionalFormatting sqref="L6:L1004">
    <cfRule type="cellIs" priority="11" operator="greaterThan" aboveAverage="0" equalAverage="0" bottom="0" percent="0" rank="0" text="" dxfId="11">
      <formula>0.666667</formula>
    </cfRule>
    <cfRule type="cellIs" priority="12" operator="between" aboveAverage="0" equalAverage="0" bottom="0" percent="0" rank="0" text="" dxfId="12">
      <formula>0.333333</formula>
      <formula>0.666667</formula>
    </cfRule>
    <cfRule type="cellIs" priority="13" operator="lessThan" aboveAverage="0" equalAverage="0" bottom="0" percent="0" rank="0" text="" dxfId="13">
      <formula>0.333333</formula>
    </cfRule>
  </conditionalFormatting>
  <conditionalFormatting sqref="M6:M1004">
    <cfRule type="cellIs" priority="14" operator="equal" aboveAverage="0" equalAverage="0" bottom="0" percent="0" rank="0" text="" dxfId="14">
      <formula>"BORCA BATIK"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1" t="s">
        <v>236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237</v>
      </c>
    </row>
    <row r="4" customFormat="false" ht="30" hidden="false" customHeight="true" outlineLevel="0" collapsed="false">
      <c r="A4" s="14" t="s">
        <v>238</v>
      </c>
      <c r="B4" s="14" t="s">
        <v>239</v>
      </c>
      <c r="C4" s="14" t="s">
        <v>240</v>
      </c>
      <c r="D4" s="14" t="s">
        <v>241</v>
      </c>
      <c r="E4" s="14" t="s">
        <v>242</v>
      </c>
    </row>
    <row r="5" customFormat="false" ht="15" hidden="false" customHeight="false" outlineLevel="0" collapsed="false">
      <c r="A5" s="60" t="s">
        <v>243</v>
      </c>
      <c r="B5" s="60" t="s">
        <v>244</v>
      </c>
      <c r="C5" s="60" t="s">
        <v>245</v>
      </c>
      <c r="D5" s="60" t="s">
        <v>246</v>
      </c>
      <c r="E5" s="60" t="s">
        <v>247</v>
      </c>
    </row>
  </sheetData>
  <sheetProtection sheet="true" password="cc3d" objects="true" scenarios="true" deleteColumns="false" deleteRows="false"/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3" style="0" width="12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1" t="s">
        <v>248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249</v>
      </c>
    </row>
    <row r="4" customFormat="false" ht="68.65" hidden="false" customHeight="false" outlineLevel="0" collapsed="false">
      <c r="A4" s="13" t="s">
        <v>250</v>
      </c>
    </row>
    <row r="6" customFormat="false" ht="15" hidden="false" customHeight="false" outlineLevel="0" collapsed="false">
      <c r="A6" s="54" t="s">
        <v>64</v>
      </c>
      <c r="C6" s="54" t="s">
        <v>34</v>
      </c>
      <c r="E6" s="54" t="s">
        <v>251</v>
      </c>
    </row>
    <row r="7" customFormat="false" ht="15" hidden="false" customHeight="false" outlineLevel="0" collapsed="false">
      <c r="A7" s="63" t="s">
        <v>74</v>
      </c>
      <c r="C7" s="63" t="s">
        <v>47</v>
      </c>
      <c r="E7" s="63" t="s">
        <v>76</v>
      </c>
    </row>
    <row r="8" customFormat="false" ht="15" hidden="false" customHeight="false" outlineLevel="0" collapsed="false">
      <c r="A8" s="63" t="s">
        <v>79</v>
      </c>
      <c r="C8" s="63" t="s">
        <v>48</v>
      </c>
      <c r="E8" s="63" t="s">
        <v>81</v>
      </c>
    </row>
    <row r="9" customFormat="false" ht="15" hidden="false" customHeight="false" outlineLevel="0" collapsed="false">
      <c r="A9" s="63" t="s">
        <v>92</v>
      </c>
      <c r="C9" s="63" t="s">
        <v>49</v>
      </c>
    </row>
    <row r="10" customFormat="false" ht="15" hidden="false" customHeight="false" outlineLevel="0" collapsed="false">
      <c r="A10" s="63" t="s">
        <v>84</v>
      </c>
      <c r="C10" s="63" t="s">
        <v>50</v>
      </c>
    </row>
    <row r="11" customFormat="false" ht="15" hidden="false" customHeight="false" outlineLevel="0" collapsed="false">
      <c r="A11" s="63" t="s">
        <v>88</v>
      </c>
      <c r="C11" s="63" t="s">
        <v>51</v>
      </c>
    </row>
    <row r="12" customFormat="false" ht="15" hidden="false" customHeight="false" outlineLevel="0" collapsed="false">
      <c r="A12" s="63" t="s">
        <v>105</v>
      </c>
      <c r="C12" s="63" t="s">
        <v>52</v>
      </c>
    </row>
    <row r="13" customFormat="false" ht="15" hidden="false" customHeight="false" outlineLevel="0" collapsed="false">
      <c r="C13" s="63" t="s">
        <v>53</v>
      </c>
    </row>
    <row r="14" customFormat="false" ht="15" hidden="false" customHeight="false" outlineLevel="0" collapsed="false">
      <c r="C14" s="63" t="s">
        <v>54</v>
      </c>
    </row>
    <row r="15" customFormat="false" ht="15" hidden="false" customHeight="false" outlineLevel="0" collapsed="false">
      <c r="C15" s="63" t="s">
        <v>55</v>
      </c>
    </row>
    <row r="16" customFormat="false" ht="15" hidden="false" customHeight="false" outlineLevel="0" collapsed="false">
      <c r="C16" s="63" t="s">
        <v>56</v>
      </c>
    </row>
    <row r="17" customFormat="false" ht="15" hidden="false" customHeight="false" outlineLevel="0" collapsed="false">
      <c r="C17" s="63" t="s">
        <v>57</v>
      </c>
    </row>
    <row r="18" customFormat="false" ht="15" hidden="false" customHeight="false" outlineLevel="0" collapsed="false">
      <c r="C18" s="63" t="s">
        <v>58</v>
      </c>
    </row>
  </sheetData>
  <sheetProtection sheet="true" password="cc3d" objects="true" scenarios="true" deleteColumns="false" deleteRows="false"/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6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8"/>
  </cols>
  <sheetData>
    <row r="1" customFormat="false" ht="25.5" hidden="false" customHeight="true" outlineLevel="0" collapsed="false">
      <c r="A1" s="1" t="s">
        <v>252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253</v>
      </c>
    </row>
    <row r="4" customFormat="false" ht="55.2" hidden="false" customHeight="false" outlineLevel="0" collapsed="false">
      <c r="A4" s="13" t="s">
        <v>254</v>
      </c>
    </row>
    <row r="6" customFormat="false" ht="30" hidden="false" customHeight="true" outlineLevel="0" collapsed="false">
      <c r="A6" s="14" t="s">
        <v>255</v>
      </c>
      <c r="B6" s="14" t="s">
        <v>256</v>
      </c>
      <c r="C6" s="14" t="s">
        <v>257</v>
      </c>
      <c r="D6" s="14" t="s">
        <v>258</v>
      </c>
      <c r="E6" s="14" t="s">
        <v>259</v>
      </c>
      <c r="F6" s="14" t="s">
        <v>260</v>
      </c>
      <c r="G6" s="14" t="s">
        <v>261</v>
      </c>
      <c r="H6" s="14" t="s">
        <v>262</v>
      </c>
      <c r="I6" s="14" t="s">
        <v>263</v>
      </c>
    </row>
    <row r="7" customFormat="false" ht="25.5" hidden="false" customHeight="true" outlineLevel="0" collapsed="false">
      <c r="A7" s="64" t="s">
        <v>264</v>
      </c>
      <c r="B7" s="65" t="s">
        <v>265</v>
      </c>
      <c r="C7" s="66" t="s">
        <v>266</v>
      </c>
      <c r="D7" s="67"/>
      <c r="E7" s="67"/>
      <c r="F7" s="12" t="s">
        <v>267</v>
      </c>
      <c r="G7" s="66" t="s">
        <v>268</v>
      </c>
      <c r="H7" s="68" t="n">
        <v>46023</v>
      </c>
      <c r="I7" s="68" t="n">
        <v>46244</v>
      </c>
    </row>
    <row r="8" customFormat="false" ht="25.5" hidden="false" customHeight="true" outlineLevel="0" collapsed="false">
      <c r="A8" s="64" t="s">
        <v>269</v>
      </c>
      <c r="B8" s="69" t="n">
        <v>46242</v>
      </c>
      <c r="C8" s="66" t="s">
        <v>238</v>
      </c>
      <c r="D8" s="67"/>
      <c r="E8" s="67"/>
      <c r="F8" s="12" t="s">
        <v>270</v>
      </c>
      <c r="G8" s="66" t="s">
        <v>268</v>
      </c>
      <c r="H8" s="68" t="n">
        <v>46023</v>
      </c>
      <c r="I8" s="68" t="n">
        <v>46244</v>
      </c>
    </row>
    <row r="9" customFormat="false" ht="25.5" hidden="false" customHeight="true" outlineLevel="0" collapsed="false">
      <c r="A9" s="64" t="s">
        <v>271</v>
      </c>
      <c r="B9" s="65" t="s">
        <v>272</v>
      </c>
      <c r="C9" s="66" t="s">
        <v>266</v>
      </c>
      <c r="D9" s="67"/>
      <c r="E9" s="67"/>
      <c r="F9" s="12" t="s">
        <v>273</v>
      </c>
      <c r="G9" s="66" t="s">
        <v>268</v>
      </c>
      <c r="H9" s="68" t="n">
        <v>46023</v>
      </c>
      <c r="I9" s="68" t="n">
        <v>46244</v>
      </c>
    </row>
    <row r="10" customFormat="false" ht="25.5" hidden="false" customHeight="true" outlineLevel="0" collapsed="false">
      <c r="A10" s="64" t="s">
        <v>274</v>
      </c>
      <c r="B10" s="65" t="s">
        <v>244</v>
      </c>
      <c r="C10" s="66" t="s">
        <v>266</v>
      </c>
      <c r="D10" s="67"/>
      <c r="E10" s="67"/>
      <c r="F10" s="12" t="s">
        <v>275</v>
      </c>
      <c r="G10" s="66" t="s">
        <v>268</v>
      </c>
      <c r="H10" s="68" t="n">
        <v>46023</v>
      </c>
      <c r="I10" s="68" t="n">
        <v>46244</v>
      </c>
    </row>
    <row r="11" customFormat="false" ht="25.5" hidden="false" customHeight="true" outlineLevel="0" collapsed="false">
      <c r="A11" s="64" t="s">
        <v>276</v>
      </c>
      <c r="B11" s="70" t="n">
        <v>0.333333</v>
      </c>
      <c r="C11" s="66" t="s">
        <v>277</v>
      </c>
      <c r="D11" s="67" t="n">
        <v>0.05</v>
      </c>
      <c r="E11" s="67" t="n">
        <v>0.5</v>
      </c>
      <c r="F11" s="12" t="s">
        <v>278</v>
      </c>
      <c r="G11" s="66" t="s">
        <v>279</v>
      </c>
      <c r="H11" s="68" t="n">
        <v>46023</v>
      </c>
      <c r="I11" s="68" t="n">
        <v>46244</v>
      </c>
    </row>
    <row r="12" customFormat="false" ht="25.5" hidden="false" customHeight="true" outlineLevel="0" collapsed="false">
      <c r="A12" s="64" t="s">
        <v>280</v>
      </c>
      <c r="B12" s="70" t="n">
        <v>0.666667</v>
      </c>
      <c r="C12" s="66" t="s">
        <v>277</v>
      </c>
      <c r="D12" s="67" t="n">
        <v>0.3</v>
      </c>
      <c r="E12" s="67" t="n">
        <v>1</v>
      </c>
      <c r="F12" s="12" t="s">
        <v>281</v>
      </c>
      <c r="G12" s="66" t="s">
        <v>279</v>
      </c>
      <c r="H12" s="68" t="n">
        <v>46023</v>
      </c>
      <c r="I12" s="68" t="n">
        <v>46244</v>
      </c>
    </row>
    <row r="13" customFormat="false" ht="25.5" hidden="false" customHeight="true" outlineLevel="0" collapsed="false">
      <c r="A13" s="64" t="s">
        <v>282</v>
      </c>
      <c r="B13" s="70" t="n">
        <v>1.645</v>
      </c>
      <c r="C13" s="66" t="s">
        <v>277</v>
      </c>
      <c r="D13" s="67" t="n">
        <v>0</v>
      </c>
      <c r="E13" s="67" t="n">
        <v>3</v>
      </c>
      <c r="F13" s="12" t="s">
        <v>283</v>
      </c>
      <c r="G13" s="66" t="s">
        <v>284</v>
      </c>
      <c r="H13" s="68" t="n">
        <v>46023</v>
      </c>
      <c r="I13" s="68" t="n">
        <v>46244</v>
      </c>
    </row>
    <row r="14" customFormat="false" ht="25.5" hidden="false" customHeight="true" outlineLevel="0" collapsed="false">
      <c r="A14" s="64" t="s">
        <v>285</v>
      </c>
      <c r="B14" s="70" t="n">
        <v>0.6</v>
      </c>
      <c r="C14" s="66" t="s">
        <v>277</v>
      </c>
      <c r="D14" s="67" t="n">
        <v>0.1</v>
      </c>
      <c r="E14" s="67" t="n">
        <v>1</v>
      </c>
      <c r="F14" s="12" t="s">
        <v>286</v>
      </c>
      <c r="G14" s="66" t="s">
        <v>284</v>
      </c>
      <c r="H14" s="68" t="n">
        <v>46023</v>
      </c>
      <c r="I14" s="68" t="n">
        <v>46244</v>
      </c>
    </row>
    <row r="15" customFormat="false" ht="25.5" hidden="false" customHeight="true" outlineLevel="0" collapsed="false">
      <c r="A15" s="64" t="s">
        <v>287</v>
      </c>
      <c r="B15" s="70" t="n">
        <v>1</v>
      </c>
      <c r="C15" s="66" t="s">
        <v>277</v>
      </c>
      <c r="D15" s="67" t="n">
        <v>0.1</v>
      </c>
      <c r="E15" s="67" t="n">
        <v>2</v>
      </c>
      <c r="F15" s="12" t="s">
        <v>288</v>
      </c>
      <c r="G15" s="66" t="s">
        <v>284</v>
      </c>
      <c r="H15" s="68" t="n">
        <v>46023</v>
      </c>
      <c r="I15" s="68" t="n">
        <v>46244</v>
      </c>
    </row>
    <row r="16" customFormat="false" ht="25.5" hidden="false" customHeight="true" outlineLevel="0" collapsed="false">
      <c r="A16" s="64" t="s">
        <v>289</v>
      </c>
      <c r="B16" s="70" t="n">
        <v>1.5</v>
      </c>
      <c r="C16" s="66" t="s">
        <v>277</v>
      </c>
      <c r="D16" s="67" t="n">
        <v>0.1</v>
      </c>
      <c r="E16" s="67" t="n">
        <v>3</v>
      </c>
      <c r="F16" s="12" t="s">
        <v>290</v>
      </c>
      <c r="G16" s="66" t="s">
        <v>284</v>
      </c>
      <c r="H16" s="68" t="n">
        <v>46023</v>
      </c>
      <c r="I16" s="68" t="n">
        <v>46244</v>
      </c>
    </row>
    <row r="17" customFormat="false" ht="25.5" hidden="false" customHeight="true" outlineLevel="0" collapsed="false">
      <c r="A17" s="64" t="s">
        <v>291</v>
      </c>
      <c r="B17" s="70" t="n">
        <v>0.01</v>
      </c>
      <c r="C17" s="66" t="s">
        <v>277</v>
      </c>
      <c r="D17" s="67" t="n">
        <v>0</v>
      </c>
      <c r="E17" s="67" t="n">
        <v>0.2</v>
      </c>
      <c r="F17" s="12" t="s">
        <v>292</v>
      </c>
      <c r="G17" s="66" t="s">
        <v>284</v>
      </c>
      <c r="H17" s="68" t="n">
        <v>46023</v>
      </c>
      <c r="I17" s="68" t="n">
        <v>46244</v>
      </c>
    </row>
    <row r="18" customFormat="false" ht="25.5" hidden="false" customHeight="true" outlineLevel="0" collapsed="false">
      <c r="A18" s="64" t="s">
        <v>293</v>
      </c>
      <c r="B18" s="71" t="n">
        <v>90</v>
      </c>
      <c r="C18" s="66" t="s">
        <v>294</v>
      </c>
      <c r="D18" s="67" t="n">
        <v>0</v>
      </c>
      <c r="E18" s="67" t="n">
        <v>100</v>
      </c>
      <c r="F18" s="12" t="s">
        <v>295</v>
      </c>
      <c r="G18" s="66" t="s">
        <v>284</v>
      </c>
      <c r="H18" s="68" t="n">
        <v>46023</v>
      </c>
      <c r="I18" s="68" t="n">
        <v>46244</v>
      </c>
    </row>
    <row r="19" customFormat="false" ht="25.5" hidden="false" customHeight="true" outlineLevel="0" collapsed="false">
      <c r="A19" s="64" t="s">
        <v>296</v>
      </c>
      <c r="B19" s="71" t="n">
        <v>70</v>
      </c>
      <c r="C19" s="66" t="s">
        <v>294</v>
      </c>
      <c r="D19" s="67" t="n">
        <v>0</v>
      </c>
      <c r="E19" s="67" t="n">
        <v>100</v>
      </c>
      <c r="F19" s="12" t="s">
        <v>297</v>
      </c>
      <c r="G19" s="66" t="s">
        <v>284</v>
      </c>
      <c r="H19" s="68" t="n">
        <v>46023</v>
      </c>
      <c r="I19" s="68" t="n">
        <v>46244</v>
      </c>
    </row>
    <row r="20" customFormat="false" ht="25.5" hidden="false" customHeight="true" outlineLevel="0" collapsed="false">
      <c r="A20" s="64" t="s">
        <v>298</v>
      </c>
      <c r="B20" s="72" t="s">
        <v>299</v>
      </c>
      <c r="C20" s="66" t="s">
        <v>266</v>
      </c>
      <c r="D20" s="67"/>
      <c r="E20" s="67"/>
      <c r="F20" s="12" t="s">
        <v>300</v>
      </c>
      <c r="G20" s="66" t="s">
        <v>284</v>
      </c>
      <c r="H20" s="68" t="n">
        <v>46023</v>
      </c>
      <c r="I20" s="68" t="n">
        <v>46244</v>
      </c>
    </row>
    <row r="21" customFormat="false" ht="25.5" hidden="false" customHeight="true" outlineLevel="0" collapsed="false">
      <c r="A21" s="64" t="s">
        <v>301</v>
      </c>
      <c r="B21" s="72" t="s">
        <v>302</v>
      </c>
      <c r="C21" s="66" t="s">
        <v>266</v>
      </c>
      <c r="D21" s="67"/>
      <c r="E21" s="67"/>
      <c r="F21" s="12" t="s">
        <v>303</v>
      </c>
      <c r="G21" s="66" t="s">
        <v>284</v>
      </c>
      <c r="H21" s="68" t="n">
        <v>46023</v>
      </c>
      <c r="I21" s="68" t="n">
        <v>46244</v>
      </c>
    </row>
    <row r="22" customFormat="false" ht="25.5" hidden="false" customHeight="true" outlineLevel="0" collapsed="false">
      <c r="A22" s="64" t="s">
        <v>304</v>
      </c>
      <c r="B22" s="72" t="s">
        <v>305</v>
      </c>
      <c r="C22" s="66" t="s">
        <v>266</v>
      </c>
      <c r="D22" s="67"/>
      <c r="E22" s="67"/>
      <c r="F22" s="12" t="s">
        <v>306</v>
      </c>
      <c r="G22" s="66" t="s">
        <v>284</v>
      </c>
      <c r="H22" s="68" t="n">
        <v>46023</v>
      </c>
      <c r="I22" s="68" t="n">
        <v>46244</v>
      </c>
    </row>
    <row r="23" customFormat="false" ht="25.5" hidden="false" customHeight="true" outlineLevel="0" collapsed="false">
      <c r="A23" s="64" t="s">
        <v>307</v>
      </c>
      <c r="B23" s="70" t="n">
        <v>0.9</v>
      </c>
      <c r="C23" s="66" t="s">
        <v>277</v>
      </c>
      <c r="D23" s="67" t="n">
        <v>0.5</v>
      </c>
      <c r="E23" s="67" t="n">
        <v>1</v>
      </c>
      <c r="F23" s="12" t="s">
        <v>308</v>
      </c>
      <c r="G23" s="66" t="s">
        <v>284</v>
      </c>
      <c r="H23" s="68" t="n">
        <v>46023</v>
      </c>
      <c r="I23" s="68" t="n">
        <v>46244</v>
      </c>
    </row>
    <row r="24" customFormat="false" ht="25.5" hidden="false" customHeight="true" outlineLevel="0" collapsed="false">
      <c r="A24" s="64" t="s">
        <v>309</v>
      </c>
      <c r="B24" s="73" t="n">
        <v>100000000000</v>
      </c>
      <c r="C24" s="66" t="s">
        <v>310</v>
      </c>
      <c r="D24" s="67" t="n">
        <v>0</v>
      </c>
      <c r="E24" s="67" t="n">
        <v>100000000000000</v>
      </c>
      <c r="F24" s="12" t="s">
        <v>311</v>
      </c>
      <c r="G24" s="66" t="s">
        <v>284</v>
      </c>
      <c r="H24" s="68" t="n">
        <v>46023</v>
      </c>
      <c r="I24" s="68" t="n">
        <v>46244</v>
      </c>
    </row>
    <row r="26" customFormat="false" ht="25.5" hidden="false" customHeight="true" outlineLevel="0" collapsed="false">
      <c r="A26" s="74" t="s">
        <v>312</v>
      </c>
      <c r="B26" s="75" t="n">
        <v>1</v>
      </c>
      <c r="C26" s="66" t="s">
        <v>313</v>
      </c>
      <c r="F26" s="12" t="s">
        <v>314</v>
      </c>
      <c r="G26" s="66" t="s">
        <v>268</v>
      </c>
      <c r="H26" s="68" t="n">
        <v>46023</v>
      </c>
      <c r="I26" s="68" t="n">
        <v>46244</v>
      </c>
    </row>
    <row r="27" customFormat="false" ht="25.5" hidden="false" customHeight="true" outlineLevel="0" collapsed="false">
      <c r="A27" s="74" t="s">
        <v>315</v>
      </c>
      <c r="B27" s="75" t="n">
        <v>2</v>
      </c>
      <c r="C27" s="66" t="s">
        <v>313</v>
      </c>
      <c r="F27" s="12" t="s">
        <v>316</v>
      </c>
      <c r="G27" s="66" t="s">
        <v>268</v>
      </c>
      <c r="H27" s="68" t="n">
        <v>46023</v>
      </c>
      <c r="I27" s="68" t="n">
        <v>46244</v>
      </c>
    </row>
    <row r="28" customFormat="false" ht="25.5" hidden="false" customHeight="true" outlineLevel="0" collapsed="false">
      <c r="A28" s="74" t="s">
        <v>317</v>
      </c>
      <c r="B28" s="75" t="n">
        <v>3</v>
      </c>
      <c r="C28" s="66" t="s">
        <v>313</v>
      </c>
      <c r="F28" s="12" t="s">
        <v>318</v>
      </c>
      <c r="G28" s="66" t="s">
        <v>268</v>
      </c>
      <c r="H28" s="68" t="n">
        <v>46023</v>
      </c>
      <c r="I28" s="68" t="n">
        <v>46244</v>
      </c>
    </row>
    <row r="29" customFormat="false" ht="25.5" hidden="false" customHeight="true" outlineLevel="0" collapsed="false">
      <c r="A29" s="74" t="s">
        <v>319</v>
      </c>
      <c r="B29" s="75" t="n">
        <v>4</v>
      </c>
      <c r="C29" s="66" t="s">
        <v>313</v>
      </c>
      <c r="F29" s="12" t="s">
        <v>320</v>
      </c>
      <c r="G29" s="66" t="s">
        <v>268</v>
      </c>
      <c r="H29" s="68" t="n">
        <v>46023</v>
      </c>
      <c r="I29" s="68" t="n">
        <v>46244</v>
      </c>
    </row>
    <row r="30" customFormat="false" ht="25.5" hidden="false" customHeight="true" outlineLevel="0" collapsed="false">
      <c r="A30" s="74" t="s">
        <v>321</v>
      </c>
      <c r="B30" s="75" t="n">
        <v>5</v>
      </c>
      <c r="C30" s="66" t="s">
        <v>313</v>
      </c>
      <c r="F30" s="12" t="s">
        <v>322</v>
      </c>
      <c r="G30" s="66" t="s">
        <v>268</v>
      </c>
      <c r="H30" s="68" t="n">
        <v>46023</v>
      </c>
      <c r="I30" s="68" t="n">
        <v>46244</v>
      </c>
    </row>
    <row r="31" customFormat="false" ht="25.5" hidden="false" customHeight="true" outlineLevel="0" collapsed="false">
      <c r="A31" s="74" t="s">
        <v>323</v>
      </c>
      <c r="B31" s="75" t="n">
        <v>6</v>
      </c>
      <c r="C31" s="66" t="s">
        <v>313</v>
      </c>
      <c r="F31" s="12" t="s">
        <v>324</v>
      </c>
      <c r="G31" s="66" t="s">
        <v>268</v>
      </c>
      <c r="H31" s="68" t="n">
        <v>46023</v>
      </c>
      <c r="I31" s="68" t="n">
        <v>46244</v>
      </c>
    </row>
    <row r="32" customFormat="false" ht="25.5" hidden="false" customHeight="true" outlineLevel="0" collapsed="false">
      <c r="A32" s="74" t="s">
        <v>325</v>
      </c>
      <c r="B32" s="75" t="n">
        <v>7</v>
      </c>
      <c r="C32" s="66" t="s">
        <v>313</v>
      </c>
      <c r="F32" s="12" t="s">
        <v>326</v>
      </c>
      <c r="G32" s="66" t="s">
        <v>268</v>
      </c>
      <c r="H32" s="68" t="n">
        <v>46023</v>
      </c>
      <c r="I32" s="68" t="n">
        <v>46244</v>
      </c>
    </row>
    <row r="33" customFormat="false" ht="25.5" hidden="false" customHeight="true" outlineLevel="0" collapsed="false">
      <c r="A33" s="74" t="s">
        <v>327</v>
      </c>
      <c r="B33" s="75" t="n">
        <v>8</v>
      </c>
      <c r="C33" s="66" t="s">
        <v>313</v>
      </c>
      <c r="F33" s="12" t="s">
        <v>328</v>
      </c>
      <c r="G33" s="66" t="s">
        <v>268</v>
      </c>
      <c r="H33" s="68" t="n">
        <v>46023</v>
      </c>
      <c r="I33" s="68" t="n">
        <v>46244</v>
      </c>
    </row>
    <row r="34" customFormat="false" ht="25.5" hidden="false" customHeight="true" outlineLevel="0" collapsed="false">
      <c r="A34" s="74" t="s">
        <v>329</v>
      </c>
      <c r="B34" s="75" t="n">
        <v>9</v>
      </c>
      <c r="C34" s="66" t="s">
        <v>313</v>
      </c>
      <c r="F34" s="12" t="s">
        <v>330</v>
      </c>
      <c r="G34" s="66" t="s">
        <v>268</v>
      </c>
      <c r="H34" s="68" t="n">
        <v>46023</v>
      </c>
      <c r="I34" s="68" t="n">
        <v>46244</v>
      </c>
    </row>
    <row r="35" customFormat="false" ht="25.5" hidden="false" customHeight="true" outlineLevel="0" collapsed="false">
      <c r="A35" s="74" t="s">
        <v>331</v>
      </c>
      <c r="B35" s="75" t="n">
        <v>10</v>
      </c>
      <c r="C35" s="66" t="s">
        <v>313</v>
      </c>
      <c r="F35" s="12" t="s">
        <v>332</v>
      </c>
      <c r="G35" s="66" t="s">
        <v>268</v>
      </c>
      <c r="H35" s="68" t="n">
        <v>46023</v>
      </c>
      <c r="I35" s="68" t="n">
        <v>46244</v>
      </c>
    </row>
    <row r="36" customFormat="false" ht="25.5" hidden="false" customHeight="true" outlineLevel="0" collapsed="false">
      <c r="A36" s="74" t="s">
        <v>333</v>
      </c>
      <c r="B36" s="75" t="n">
        <v>11</v>
      </c>
      <c r="C36" s="66" t="s">
        <v>313</v>
      </c>
      <c r="F36" s="12" t="s">
        <v>334</v>
      </c>
      <c r="G36" s="66" t="s">
        <v>268</v>
      </c>
      <c r="H36" s="68" t="n">
        <v>46023</v>
      </c>
      <c r="I36" s="68" t="n">
        <v>46244</v>
      </c>
    </row>
    <row r="37" customFormat="false" ht="25.5" hidden="false" customHeight="true" outlineLevel="0" collapsed="false">
      <c r="A37" s="74" t="s">
        <v>335</v>
      </c>
      <c r="B37" s="75" t="n">
        <v>12</v>
      </c>
      <c r="C37" s="66" t="s">
        <v>313</v>
      </c>
      <c r="F37" s="12" t="s">
        <v>336</v>
      </c>
      <c r="G37" s="66" t="s">
        <v>268</v>
      </c>
      <c r="H37" s="68" t="n">
        <v>46023</v>
      </c>
      <c r="I37" s="68" t="n">
        <v>46244</v>
      </c>
    </row>
    <row r="38" customFormat="false" ht="25.5" hidden="false" customHeight="true" outlineLevel="0" collapsed="false">
      <c r="A38" s="64" t="s">
        <v>337</v>
      </c>
      <c r="B38" s="71" t="n">
        <v>9</v>
      </c>
      <c r="C38" s="66" t="s">
        <v>338</v>
      </c>
      <c r="D38" s="67" t="n">
        <v>1</v>
      </c>
      <c r="E38" s="67" t="n">
        <v>100</v>
      </c>
      <c r="F38" s="12" t="s">
        <v>339</v>
      </c>
      <c r="G38" s="66" t="s">
        <v>268</v>
      </c>
      <c r="H38" s="68" t="n">
        <v>46023</v>
      </c>
      <c r="I38" s="68" t="n">
        <v>46244</v>
      </c>
    </row>
    <row r="39" customFormat="false" ht="25.5" hidden="false" customHeight="true" outlineLevel="0" collapsed="false">
      <c r="A39" s="64" t="s">
        <v>340</v>
      </c>
      <c r="B39" s="71" t="n">
        <v>9</v>
      </c>
      <c r="C39" s="66" t="s">
        <v>338</v>
      </c>
      <c r="D39" s="67" t="n">
        <v>1</v>
      </c>
      <c r="E39" s="67" t="n">
        <v>100</v>
      </c>
      <c r="F39" s="12" t="s">
        <v>341</v>
      </c>
      <c r="G39" s="66" t="s">
        <v>268</v>
      </c>
      <c r="H39" s="68" t="n">
        <v>46023</v>
      </c>
      <c r="I39" s="68" t="n">
        <v>46244</v>
      </c>
    </row>
  </sheetData>
  <sheetProtection sheet="true" password="cc3d" objects="true" scenarios="true" deleteColumns="false" deleteRows="false"/>
  <mergeCells count="1">
    <mergeCell ref="A1:AD1"/>
  </mergeCells>
  <dataValidations count="13">
    <dataValidation allowBlank="false" error="TTK 376 1/3 sermaye kaybı eşiği; altına düşen öz kaynak işlemi tetikler." errorStyle="stop" errorTitle="Değer aralık dışı" operator="between" prompt="TTK 376 1/3 sermaye kaybı eşiği; altına düşen öz kaynak işlemi tetikler." promptTitle="TtkUcteBirEsik" showDropDown="false" showErrorMessage="true" showInputMessage="false" sqref="B11" type="decimal">
      <formula1>0.05</formula1>
      <formula2>0.5</formula2>
    </dataValidation>
    <dataValidation allowBlank="false" error="TTK 376 2/3 sermaye kaybı eşiği; bu eşikte genel kurul derhal toplanır." errorStyle="stop" errorTitle="Değer aralık dışı" operator="between" prompt="TTK 376 2/3 sermaye kaybı eşiği; bu eşikte genel kurul derhal toplanır." promptTitle="TtkUcteIkiEsik" showDropDown="false" showErrorMessage="true" showInputMessage="false" sqref="B12" type="decimal">
      <formula1>0.3</formula1>
      <formula2>1</formula2>
    </dataValidation>
    <dataValidation allowBlank="false" error="Tahmin bandı genişliği (standart sapma katı)." errorStyle="stop" errorTitle="Değer aralık dışı" operator="between" prompt="Tahmin bandı genişliği (standart sapma katı)." promptTitle="TtkTahminCarpan" showDropDown="false" showErrorMessage="true" showInputMessage="false" sqref="B13" type="decimal">
      <formula1>0</formula1>
      <formula2>3</formula2>
    </dataValidation>
    <dataValidation allowBlank="false" error="İyimser senaryoda dönem zararı bu çarpanla hesaplanır (0.6 = %40 azalış)." errorStyle="stop" errorTitle="Değer aralık dışı" operator="between" prompt="İyimser senaryoda dönem zararı bu çarpanla hesaplanır (0.6 = %40 azalış)." promptTitle="TtkIyiSenaryo" showDropDown="false" showErrorMessage="true" showInputMessage="false" sqref="B14" type="decimal">
      <formula1>0.1</formula1>
      <formula2>1</formula2>
    </dataValidation>
    <dataValidation allowBlank="false" error="Baz senaryoda dönem zararı bu çarpanla hesaplanır." errorStyle="stop" errorTitle="Değer aralık dışı" operator="between" prompt="Baz senaryoda dönem zararı bu çarpanla hesaplanır." promptTitle="TtkBazSenaryo" showDropDown="false" showErrorMessage="true" showInputMessage="false" sqref="B15" type="decimal">
      <formula1>0.1</formula1>
      <formula2>2</formula2>
    </dataValidation>
    <dataValidation allowBlank="false" error="Kötümser senaryoda dönem zararı bu çarpanla hesaplanır (1.5 = %50 artış)." errorStyle="stop" errorTitle="Değer aralık dışı" operator="between" prompt="Kötümser senaryoda dönem zararı bu çarpanla hesaplanır (1.5 = %50 artış)." promptTitle="TtkKotuSenaryo" showDropDown="false" showErrorMessage="true" showInputMessage="false" sqref="B16" type="decimal">
      <formula1>0.1</formula1>
      <formula2>3</formula2>
    </dataValidation>
    <dataValidation allowBlank="false" error="Tornado analizinde dönem zararının %1 artış etkisi." errorStyle="stop" errorTitle="Değer aralık dışı" operator="between" prompt="Tornado analizinde dönem zararının %1 artış etkisi." promptTitle="TtkTornadoZarar" showDropDown="false" showErrorMessage="true" showInputMessage="false" sqref="B17" type="decimal">
      <formula1>0</formula1>
      <formula2>0.2</formula2>
    </dataValidation>
    <dataValidation allowBlank="false" error="Kalite skoru bu eşiğin üzerindeyse YÜKSEK kalite." errorStyle="stop" errorTitle="Değer aralık dışı" operator="between" prompt="Kalite skoru bu eşiğin üzerindeyse YÜKSEK kalite." promptTitle="TtkKaliteIyi" showDropDown="false" showErrorMessage="true" showInputMessage="false" sqref="B18" type="decimal">
      <formula1>0</formula1>
      <formula2>100</formula2>
    </dataValidation>
    <dataValidation allowBlank="false" error="Kalite skoru bu eşiğin üzerindeyse ORTA kalite." errorStyle="stop" errorTitle="Değer aralık dışı" operator="between" prompt="Kalite skoru bu eşiğin üzerindeyse ORTA kalite." promptTitle="TtkKaliteOrta" showDropDown="false" showErrorMessage="true" showInputMessage="false" sqref="B19" type="decimal">
      <formula1>0</formula1>
      <formula2>100</formula2>
    </dataValidation>
    <dataValidation allowBlank="false" error="Borç tutarı dağılımında üst yüzdelik dilimin oranı." errorStyle="stop" errorTitle="Değer aralık dışı" operator="between" prompt="Borç tutarı dağılımında üst yüzdelik dilimin oranı." promptTitle="TtkP90Oran" showDropDown="false" showErrorMessage="true" showInputMessage="false" sqref="B23" type="decimal">
      <formula1>0.5</formula1>
      <formula2>1</formula2>
    </dataValidation>
    <dataValidation allowBlank="false" error="Gerçekçilik üst sınırı; toplam borç bu tutarı aşarsa uç değer işareti üretilir ve karar İNCELE kalır." errorStyle="stop" errorTitle="Değer aralık dışı" operator="between" prompt="Gerçekçilik üst sınırı; toplam borç bu tutarı aşarsa uç değer işareti üretilir ve karar İNCELE kalır." promptTitle="TtkAzamiBilancoTutari" showDropDown="false" showErrorMessage="true" showInputMessage="false" sqref="B24" type="decimal">
      <formula1>0</formula1>
      <formula2>100000000000000</formula2>
    </dataValidation>
    <dataValidation allowBlank="false" error="DONEM_BILANCO tablosunda satır başına manuel giriş kolonu sayısı." errorStyle="stop" errorTitle="Değer aralık dışı" operator="between" prompt="DONEM_BILANCO tablosunda satır başına manuel giriş kolonu sayısı." promptTitle="TtkDonemGirisKolon" showDropDown="false" showErrorMessage="true" showInputMessage="false" sqref="B38" type="decimal">
      <formula1>1</formula1>
      <formula2>100</formula2>
    </dataValidation>
    <dataValidation allowBlank="false" error="BORC_LISTESI tablosunda satır başına manuel giriş kolonu sayısı." errorStyle="stop" errorTitle="Değer aralık dışı" operator="between" prompt="BORC_LISTESI tablosunda satır başına manuel giriş kolonu sayısı." promptTitle="TtkBorcGirisKolon" showDropDown="false" showErrorMessage="true" showInputMessage="false" sqref="B39" type="decimal">
      <formula1>1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342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343</v>
      </c>
    </row>
    <row r="5" customFormat="false" ht="15" hidden="false" customHeight="true" outlineLevel="0" collapsed="false">
      <c r="A5" s="9" t="s">
        <v>344</v>
      </c>
      <c r="B5" s="5" t="s">
        <v>345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customFormat="false" ht="15" hidden="false" customHeight="true" outlineLevel="0" collapsed="false">
      <c r="A6" s="9" t="s">
        <v>346</v>
      </c>
      <c r="B6" s="5" t="s">
        <v>347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customFormat="false" ht="15" hidden="false" customHeight="true" outlineLevel="0" collapsed="false">
      <c r="A7" s="9" t="s">
        <v>348</v>
      </c>
      <c r="B7" s="5" t="s">
        <v>349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customFormat="false" ht="15" hidden="false" customHeight="true" outlineLevel="0" collapsed="false">
      <c r="A8" s="9" t="s">
        <v>350</v>
      </c>
      <c r="B8" s="5" t="s">
        <v>351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customFormat="false" ht="15" hidden="false" customHeight="true" outlineLevel="0" collapsed="false">
      <c r="A9" s="9" t="s">
        <v>352</v>
      </c>
      <c r="B9" s="5" t="s">
        <v>353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1" customFormat="false" ht="25.35" hidden="false" customHeight="false" outlineLevel="0" collapsed="false">
      <c r="A11" s="12" t="s">
        <v>354</v>
      </c>
    </row>
    <row r="13" customFormat="false" ht="15" hidden="false" customHeight="false" outlineLevel="0" collapsed="false">
      <c r="A13" s="4" t="s">
        <v>355</v>
      </c>
    </row>
    <row r="14" customFormat="false" ht="41.75" hidden="false" customHeight="false" outlineLevel="0" collapsed="false">
      <c r="A14" s="6" t="s">
        <v>356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</row>
    <row r="15" customFormat="false" ht="15" hidden="false" customHeight="false" outlineLevel="0" collapsed="false">
      <c r="A15" s="77" t="s">
        <v>357</v>
      </c>
    </row>
    <row r="16" customFormat="false" ht="15" hidden="false" customHeight="false" outlineLevel="0" collapsed="false">
      <c r="A16" s="77" t="s">
        <v>358</v>
      </c>
    </row>
    <row r="17" customFormat="false" ht="15" hidden="false" customHeight="false" outlineLevel="0" collapsed="false">
      <c r="A17" s="77" t="s">
        <v>359</v>
      </c>
    </row>
    <row r="18" customFormat="false" ht="15" hidden="false" customHeight="false" outlineLevel="0" collapsed="false">
      <c r="A18" s="77" t="s">
        <v>360</v>
      </c>
    </row>
    <row r="19" customFormat="false" ht="15" hidden="false" customHeight="false" outlineLevel="0" collapsed="false">
      <c r="A19" s="77" t="s">
        <v>361</v>
      </c>
    </row>
    <row r="20" customFormat="false" ht="15" hidden="false" customHeight="false" outlineLevel="0" collapsed="false">
      <c r="A20" s="77" t="s">
        <v>362</v>
      </c>
    </row>
    <row r="21" customFormat="false" ht="15" hidden="false" customHeight="false" outlineLevel="0" collapsed="false">
      <c r="A21" s="77" t="s">
        <v>363</v>
      </c>
    </row>
    <row r="24" customFormat="false" ht="25.35" hidden="false" customHeight="false" outlineLevel="0" collapsed="false">
      <c r="A24" s="12" t="s">
        <v>364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</row>
  </sheetData>
  <sheetProtection sheet="true" password="cc3d" objects="true" scenarios="true" deleteColumns="false" deleteRows="false"/>
  <mergeCells count="8">
    <mergeCell ref="A1:AD1"/>
    <mergeCell ref="B5:T5"/>
    <mergeCell ref="B6:T6"/>
    <mergeCell ref="B7:T7"/>
    <mergeCell ref="B8:T8"/>
    <mergeCell ref="B9:T9"/>
    <mergeCell ref="B14:T14"/>
    <mergeCell ref="B24:T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2026-08-10T14:56:20Z</dcterms:created>
  <dc:creator>openpyxl</dc:creator>
  <dc:description/>
  <dc:language>tr-TR</dc:language>
  <cp:lastModifiedBy/>
  <dcterms:modified xsi:type="dcterms:W3CDTF">2026-08-10T14:56:20Z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