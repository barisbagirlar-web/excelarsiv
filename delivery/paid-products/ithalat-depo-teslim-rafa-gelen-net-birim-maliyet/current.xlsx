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URUNLER" sheetId="3" state="visible" r:id="rId5"/>
    <sheet name="MASRAFLAR" sheetId="4" state="visible" r:id="rId6"/>
    <sheet name="MOTOR" sheetId="5" state="visible" r:id="rId7"/>
    <sheet name="KONTROL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PANO!$A$1:$V$34</definedName>
    <definedName function="false" hidden="false" localSheetId="9" name="_xlnm.Print_Area" vbProcedure="false">RAPOR!$A$1:$F$40</definedName>
    <definedName function="false" hidden="false" name="AnomaliOrani" vbProcedure="false">MOTOR!$B$23</definedName>
    <definedName function="false" hidden="false" name="AnomaliUrunAdedi" vbProcedure="false">MOTOR!$B$22</definedName>
    <definedName function="false" hidden="false" name="AnomaliZEsik" vbProcedure="false">AYARLAR!$C$17</definedName>
    <definedName function="false" hidden="false" name="BolumPaydaTaban" vbProcedure="false">AYARLAR!$C$14</definedName>
    <definedName function="false" hidden="false" name="DoluGirisHucre" vbProcedure="false">KONTROL!$B$21</definedName>
    <definedName function="false" hidden="false" name="DurumKontrol" vbProcedure="false">KONTROL!$B$24</definedName>
    <definedName function="false" hidden="false" name="DuyarliDegisim" vbProcedure="false">AYARLAR!$C$27</definedName>
    <definedName function="false" hidden="false" name="FAIL_Sayisi" vbProcedure="false">KONTROL!$B$17</definedName>
    <definedName function="false" hidden="false" name="firmaUnvani" vbProcedure="false">AYARLAR!$C$6</definedName>
    <definedName function="false" hidden="false" name="GumrukOranVarsayilan" vbProcedure="false">AYARLAR!$C$10</definedName>
    <definedName function="false" hidden="false" name="HhiYuksekEsik" vbProcedure="false">AYARLAR!$C$33</definedName>
    <definedName function="false" hidden="false" name="IskontoOrani" vbProcedure="false">AYARLAR!$C$31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yitKapasite" vbProcedure="false">AYARLAR!$C$24</definedName>
    <definedName function="false" hidden="false" name="KdvOranVarsayilan" vbProcedure="false">AYARLAR!$C$12</definedName>
    <definedName function="false" hidden="false" name="MaliyetFaktorEsik" vbProcedure="false">AYARLAR!$C$16</definedName>
    <definedName function="false" hidden="false" name="MaliyetFaktoru" vbProcedure="false">MOTOR!$B$20</definedName>
    <definedName function="false" hidden="false" name="modulI1MaliyetTahmin" vbProcedure="false">MOTOR!$B$38</definedName>
    <definedName function="false" hidden="false" name="modulI1MaliyetTahminYorum" vbProcedure="false">MOTOR!$C$55</definedName>
    <definedName function="false" hidden="false" name="modulI2MaliyetP90" vbProcedure="false">MOTOR!$B$39</definedName>
    <definedName function="false" hidden="false" name="modulI2MaliyetP90Yorum" vbProcedure="false">MOTOR!$C$56</definedName>
    <definedName function="false" hidden="false" name="modulI3MaliyetNpv" vbProcedure="false">MOTOR!$B$40</definedName>
    <definedName function="false" hidden="false" name="modulI3MaliyetNpvYorum" vbProcedure="false">MOTOR!$C$57</definedName>
    <definedName function="false" hidden="false" name="modulI7NakitAcik" vbProcedure="false">MOTOR!$B$41</definedName>
    <definedName function="false" hidden="false" name="modulI7NakitAcikYorum" vbProcedure="false">MOTOR!$C$58</definedName>
    <definedName function="false" hidden="false" name="modulO1AnomaliOran" vbProcedure="false">MOTOR!$B$32</definedName>
    <definedName function="false" hidden="false" name="modulO1AnomaliYorum" vbProcedure="false">MOTOR!$C$49</definedName>
    <definedName function="false" hidden="false" name="modulO2TornadoYorum" vbProcedure="false">MOTOR!$C$50</definedName>
    <definedName function="false" hidden="false" name="modulO2TornadoZirve" vbProcedure="false">MOTOR!$B$33</definedName>
    <definedName function="false" hidden="false" name="modulO3SenaryoFark" vbProcedure="false">MOTOR!$B$34</definedName>
    <definedName function="false" hidden="false" name="modulO3SenaryoYorum" vbProcedure="false">MOTOR!$C$51</definedName>
    <definedName function="false" hidden="false" name="modulO4NakitEtkiOran" vbProcedure="false">MOTOR!$B$35</definedName>
    <definedName function="false" hidden="false" name="modulO4NakitEtkiYorum" vbProcedure="false">MOTOR!$C$52</definedName>
    <definedName function="false" hidden="false" name="modulO6MaliyetHhi" vbProcedure="false">MOTOR!$B$36</definedName>
    <definedName function="false" hidden="false" name="modulO6MaliyetHhiYorum" vbProcedure="false">MOTOR!$C$53</definedName>
    <definedName function="false" hidden="false" name="modulO8KaliteSkoru" vbProcedure="false">MOTOR!$B$37</definedName>
    <definedName function="false" hidden="false" name="modulO8KaliteYorum" vbProcedure="false">MOTOR!$C$54</definedName>
    <definedName function="false" hidden="false" name="modulT1BirimMaliyetOrt" vbProcedure="false">MOTOR!$B$26</definedName>
    <definedName function="false" hidden="false" name="modulT1BirimMaliyetYorum" vbProcedure="false">MOTOR!$C$43</definedName>
    <definedName function="false" hidden="false" name="modulT2MaliyetEgim" vbProcedure="false">MOTOR!$B$27</definedName>
    <definedName function="false" hidden="false" name="modulT2MaliyetEgimYorum" vbProcedure="false">MOTOR!$C$44</definedName>
    <definedName function="false" hidden="false" name="modulT3ParetoPay" vbProcedure="false">MOTOR!$B$28</definedName>
    <definedName function="false" hidden="false" name="modulT3ParetoYorum" vbProcedure="false">MOTOR!$C$45</definedName>
    <definedName function="false" hidden="false" name="modulT4DonemFark" vbProcedure="false">MOTOR!$B$29</definedName>
    <definedName function="false" hidden="false" name="modulT4DonemFarkYorum" vbProcedure="false">MOTOR!$C$46</definedName>
    <definedName function="false" hidden="false" name="modulT5MutabakatFark" vbProcedure="false">MOTOR!$B$30</definedName>
    <definedName function="false" hidden="false" name="modulT5MutabakatYorum" vbProcedure="false">MOTOR!$C$47</definedName>
    <definedName function="false" hidden="false" name="modulT6VergiYukOran" vbProcedure="false">MOTOR!$B$31</definedName>
    <definedName function="false" hidden="false" name="modulT6VergiYukYorum" vbProcedure="false">MOTOR!$C$48</definedName>
    <definedName function="false" hidden="false" name="MutabakatEsikOran" vbProcedure="false">AYARLAR!$C$18</definedName>
    <definedName function="false" hidden="false" name="NavlunSigortaOranVarsayilan" vbProcedure="false">AYARLAR!$C$13</definedName>
    <definedName function="false" hidden="false" name="NpvEsikOran" vbProcedure="false">AYARLAR!$C$34</definedName>
    <definedName function="false" hidden="false" name="OncekiKur" vbProcedure="false">AYARLAR!$C$9</definedName>
    <definedName function="false" hidden="false" name="OrtalamaKur" vbProcedure="false">MOTOR!$B$18</definedName>
    <definedName function="false" hidden="false" name="OrtalamaNetBirimMaliyet" vbProcedure="false">MOTOR!$B$19</definedName>
    <definedName function="false" hidden="false" name="OtvOranVarsayilan" vbProcedure="false">AYARLAR!$C$11</definedName>
    <definedName function="false" hidden="false" name="P90Kuantil" vbProcedure="false">AYARLAR!$C$30</definedName>
    <definedName function="false" hidden="false" name="ParetoEsikOran" vbProcedure="false">AYARLAR!$C$28</definedName>
    <definedName function="false" hidden="false" name="PASS_Sayisi" vbProcedure="false">KONTROL!$B$16</definedName>
    <definedName function="false" hidden="false" name="PesinOdemeTutari" vbProcedure="false">AYARLAR!$C$32</definedName>
    <definedName function="false" hidden="false" name="raporTarihi" vbProcedure="false">AYARLAR!$C$7</definedName>
    <definedName function="false" hidden="false" name="SenaryoEtkiEsik" vbProcedure="false">AYARLAR!$C$29</definedName>
    <definedName function="false" hidden="false" name="SenaryoIyimserKat" vbProcedure="false">AYARLAR!$C$26</definedName>
    <definedName function="false" hidden="false" name="SenaryoKotumserKat" vbProcedure="false">AYARLAR!$C$25</definedName>
    <definedName function="false" hidden="false" name="SenaryoMaliyetBaz" vbProcedure="false">SENARYO_DUYARLILIK!$C$7</definedName>
    <definedName function="false" hidden="false" name="SenaryoMaliyetIyimser" vbProcedure="false">SENARYO_DUYARLILIK!$D$7</definedName>
    <definedName function="false" hidden="false" name="SenaryoMaliyetKotumser" vbProcedure="false">SENARYO_DUYARLILIK!$B$7</definedName>
    <definedName function="false" hidden="false" name="SenaryoVergiIyimser" vbProcedure="false">SENARYO_DUYARLILIK!$D$8</definedName>
    <definedName function="false" hidden="false" name="SenaryoVergiKotumser" vbProcedure="false">SENARYO_DUYARLILIK!$B$8</definedName>
    <definedName function="false" hidden="false" name="ToplamAdet" vbProcedure="false">MOTOR!$B$8</definedName>
    <definedName function="false" hidden="false" name="ToplamCIF" vbProcedure="false">MOTOR!$B$11</definedName>
    <definedName function="false" hidden="false" name="ToplamDepoTeslimMaliyeti" vbProcedure="false">MOTOR!$B$17</definedName>
    <definedName function="false" hidden="false" name="ToplamFOB" vbProcedure="false">MOTOR!$B$9</definedName>
    <definedName function="false" hidden="false" name="ToplamGumrukVergisi" vbProcedure="false">MOTOR!$B$12</definedName>
    <definedName function="false" hidden="false" name="ToplamKdv" vbProcedure="false">MOTOR!$B$14</definedName>
    <definedName function="false" hidden="false" name="ToplamNavlunSigorta" vbProcedure="false">MOTOR!$B$10</definedName>
    <definedName function="false" hidden="false" name="ToplamOtv" vbProcedure="false">MOTOR!$B$13</definedName>
    <definedName function="false" hidden="false" name="ToplamUrunSayisi" vbProcedure="false">MOTOR!$B$7</definedName>
    <definedName function="false" hidden="false" name="ToplamVergi" vbProcedure="false">MOTOR!$B$15</definedName>
    <definedName function="false" hidden="false" name="ToplamYurtIciMasraf" vbProcedure="false">MOTOR!$B$16</definedName>
    <definedName function="false" hidden="false" name="VarsayilanKur" vbProcedure="false">AYARLAR!$C$8</definedName>
    <definedName function="false" hidden="false" name="VergiYukEsik" vbProcedure="false">AYARLAR!$C$15</definedName>
    <definedName function="false" hidden="false" name="VergiYukOrani" vbProcedure="false">MOTOR!$B$21</definedName>
    <definedName function="false" hidden="false" name="VeriKaliteFailCeza" vbProcedure="false">AYARLAR!$C$22</definedName>
    <definedName function="false" hidden="false" name="VeriKaliteIyiEsik" vbProcedure="false">AYARLAR!$C$19</definedName>
    <definedName function="false" hidden="false" name="VeriKaliteOrtaEsik" vbProcedure="false">AYARLAR!$C$20</definedName>
    <definedName function="false" hidden="false" name="VeriKaliteSeviyesi" vbProcedure="false">KONTROL!$B$20</definedName>
    <definedName function="false" hidden="false" name="VeriKaliteSkoru" vbProcedure="false">KONTROL!$B$19</definedName>
    <definedName function="false" hidden="false" name="VeriKaliteTaban" vbProcedure="false">AYARLAR!$C$21</definedName>
    <definedName function="false" hidden="false" name="VeriKaliteUyariCeza" vbProcedure="false">AYARLAR!$C$23</definedName>
    <definedName function="false" hidden="false" name="WARN_Sayisi" vbProcedure="false">KONTROL!$B$18</definedName>
    <definedName function="false" hidden="false" localSheetId="12" name="Birimler" vbProcedure="false">LISTELER!$B$6:$B$10</definedName>
    <definedName function="false" hidden="false" localSheetId="12" name="DovizCinsleri" vbProcedure="false">LISTELER!$A$6:$A$8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Ürün adı | Neden önemli: Maliyet satırının tanımı | Doğru giriş: Metin | Örnek: Hidrolik Pompa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Birim | Neden önemli: Adet ve birim maliyetin birimi | Doğru giriş: Liste | Örnek: Adet | Yanlışsa: Birim maliyet karışır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Adet | Neden önemli: Birim maliyetin paydası | Doğru giriş: Sayı | Örnek: 50 | Yanlışsa: Net birim maliyet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FOB birim fiyat (döviz) | Neden önemli: Vergi matrahı zincirinin tabanı | Doğru giriş: Sayı | Örnek: 120 | Yanlışsa: Tüm zincir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Döviz cinsi | Neden önemli: Kur ile TL çevrimi | Doğru giriş: Liste | Örnek: USD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Kur | Neden önemli: FOB TL hesabı | Doğru giriş: Sayı | Örnek: 38.50 | Yanlışsa: TL maliyet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Navlun/sigorta oranı | Neden önemli: CIF değerini belirler | Doğru giriş: Yüzde | Örnek: 0.05 | Yanlışsa: CIF eksik kalır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Gümrük vergisi oranı | Neden önemli: CIF üzerinden tahakkuk eder | Doğru giriş: Yüzde | Örnek: 0.05 | Yanlışsa: Vergi yükü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ÖTV oranı | Neden önemli: (CIF + GV) üzerinden uygulanır | Doğru giriş: Yüzde | Örnek: 0.10 | Yanlışsa: ÖTV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KDV oranı | Neden önemli: (CIF + GV + ÖTV) üzerinden uygulanır | Doğru giriş: Yüzde | Örnek: 0.20 | Yanlışsa: KDV matrahı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Masraf kalemi | Neden önemli: Dağıtımın satır tanımı | Doğru giriş: Metin | Örnek: Liman ve Antrepo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Tutar TL | Neden önemli: Ürünlere FOB payıyla dağıtılır | Doğru giriş: Sayı | Örnek: 25000 | Yanlışsa: Depo teslim maliyeti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Toplam Ürün Sayısı | Neden önemli: Karar motoru girdisi | Doğru giriş: Formül | Örnek: - | Yanlışsa: - | Not: Tablodaki dolu ürün satırı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Adet | Neden önemli: Karar motoru girdisi | Doğru giriş: Formül | Örnek: - | Yanlışsa: - | Not: Tüm ürünlerin toplam ithal adedi.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Toplam FOB TL | Neden önemli: Karar motoru girdisi | Doğru giriş: Formül | Örnek: - | Yanlışsa: - | Not: Adet × FOB birim × kur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Navlun ve Sigorta TL | Neden önemli: Karar motoru girdisi | Doğru giriş: Formül | Örnek: - | Yanlışsa: - | Not: FOB üzerine uygulanan navlun/sigorta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Toplam CIF TL | Neden önemli: Karar motoru girdisi | Doğru giriş: Formül | Örnek: - | Yanlışsa: - | Not: FOB + navlun + sigorta toplamı (vergi matrahı tabanı).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Toplam Gümrük Vergisi TL | Neden önemli: Karar motoru girdisi | Doğru giriş: Formül | Örnek: - | Yanlışsa: - | Not: CIF üzerinden tahakkuk eden gümrük vergisi.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Toplam ÖTV TL | Neden önemli: Karar motoru girdisi | Doğru giriş: Formül | Örnek: - | Yanlışsa: - | Not: (CIF + GV) üzerinden tahakkuk eden ÖTV.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Toplam KDV TL | Neden önemli: Karar motoru girdisi | Doğru giriş: Formül | Örnek: - | Yanlışsa: - | Not: (CIF + GV + ÖTV) üzerinden tahakkuk eden KDV.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Toplam Vergi TL | Neden önemli: Karar motoru girdisi | Doğru giriş: Formül | Örnek: - | Yanlışsa: - | Not: GV + ÖTV + KDV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Toplam Yurt İçi Masraf TL | Neden önemli: Karar motoru girdisi | Doğru giriş: Formül | Örnek: - | Yanlışsa: - | Not: Liman, müşavirlik, iç nakliye vb.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Toplam Depo Teslim Maliyeti TL | Neden önemli: Karar motoru girdisi | Doğru giriş: Formül | Örnek: - | Yanlışsa: - | Not: CIF + vergiler + masraf payı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Ortalama Kur | Neden önemli: Karar motoru girdisi | Doğru giriş: Formül | Örnek: - | Yanlışsa: - | Not: Ürün satırlarındaki kur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Ortalama Net Birim Maliyet TL | Neden önemli: Karar motoru girdisi | Doğru giriş: Formül | Örnek: - | Yanlışsa: - | Not: Ürün bazında net birim maliyet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Maliyet Faktörü (Ağırlıklı) | Neden önemli: Karar motoru girdisi | Doğru giriş: Formül | Örnek: - | Yanlışsa: - | Not: Depo teslim toplamın FOB'a oranı (kaç kat).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Vergi Yükü Oranı | Neden önemli: Karar motoru girdisi | Doğru giriş: Formül | Örnek: - | Yanlışsa: - | Not: Toplam verginin CIF'e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Anomali Ürün Adedi | Neden önemli: Karar motoru girdisi | Doğru giriş: Formül | Örnek: - | Yanlışsa: - | Not: Ortalama + 2 standart sapma üstündeki birim maliyetli ürün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Anomali Oranı | Neden önemli: Karar motoru girdisi | Doğru giriş: Formül | Örnek: - | Yanlışsa: - | Not: Anomali ürünlerin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T1: Birim Maliyet Ortalaması | Neden önemli: Analitik derinlik katmanı | Doğru giriş: Formül | Örnek: - | Yanlışsa: - | Not: Ürünlerin ortalama rafa gelen birim maliyeti.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T2: Maliyet Eğimi | Neden önemli: Analitik derinlik katmanı | Doğru giriş: Formül | Örnek: - | Yanlışsa: - | Not: Adet arttıkça depo teslim maliyetin değişim hızı.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T3: Pareto Payı | Neden önemli: Analitik derinlik katmanı | Doğru giriş: Formül | Örnek: - | Yanlışsa: - | Not: En yüksek maliyetli ürünün toplamdaki payı.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T4: Kur Dönem Farkı | Neden önemli: Analitik derinlik katmanı | Doğru giriş: Formül | Örnek: - | Yanlışsa: - | Not: Önceki dönem kuru kullanılsaydı oluşacak maliyet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T5: Mutabakat Farkı | Neden önemli: Analitik derinlik katmanı | Doğru giriş: Formül | Örnek: - | Yanlışsa: - | Not: Masraf tablosu toplamı ile ürünlere dağıtılan toplam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T6: Vergi Yükü Oranı | Neden önemli: Analitik derinlik katmanı | Doğru giriş: Formül | Örnek: - | Yanlışsa: - | Not: Toplam verginin CIF değerine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O1: Anomali Oranı | Neden önemli: Analitik derinlik katmanı | Doğru giriş: Formül | Örnek: - | Yanlışsa: - | Not: Uç birim maliyetli ürünlerin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O2: Tornado Zirve Etki | Neden önemli: Analitik derinlik katmanı | Doğru giriş: Formül | Örnek: - | Yanlışsa: - | Not: Tornado analizinde en yüksek etki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O3: Senaryo Baz Fark | Neden önemli: Analitik derinlik katmanı | Doğru giriş: Formül | Örnek: - | Yanlışsa: - | Not: Kötümser ile baz senaryo arasındaki maliyet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O4: Nakit Etki Oranı | Neden önemli: Analitik derinlik katmanı | Doğru giriş: Formül | Örnek: - | Yanlışsa: - | Not: Her 1 TL FOB için depoya teslimde çıkan TL.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O6: Maliyet HHI | Neden önemli: Analitik derinlik katmanı | Doğru giriş: Formül | Örnek: - | Yanlışsa: - | Not: FOB maliyet yoğunlaşma endeksi (1/ürün-1).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O8: Veri Kalite Skoru | Neden önemli: Analitik derinlik katmanı | Doğru giriş: Formül | Örnek: - | Yanlışsa: - | Not: KONTROL sayfasından gelen canlı kalite skoru.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I1: Maliyet Tahmini | Neden önemli: Analitik derinlik katmanı | Doğru giriş: Formül | Örnek: - | Yanlışsa: - | Not: Sonraki adet adımında beklenen depo teslim maliyeti.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I2: Birim Maliyet P90 | Neden önemli: Analitik derinlik katmanı | Doğru giriş: Formül | Örnek: - | Yanlışsa: - | Not: Ürün birim maliyetlerinin P90 yüzdelik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I3: Maliyet NPV | Neden önemli: Analitik derinlik katmanı | Doğru giriş: Formül | Örnek: - | Yanlışsa: - | Not: Depo teslim maliyetinin iskonto edilmiş bugünkü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Modül I7: Nakit Açığı Köprüsü | Neden önemli: Analitik derinlik katmanı | Doğru giriş: Formül | Örnek: - | Yanlışsa: - | Not: Peşin ödenen ithal vergilerinin nakit açığı köprüsü.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T1 Birim Maliyet Ortalaması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T2 Maliyet Eğimi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T3 Pareto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T4 Kur Dönem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T5 Mutabakat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T6 Vergi Yükü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O1 Anomali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O2 Tornado Zirve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O3 Senaryo Baz Fark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O4 Nakit Etki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O6 Maliyet HHI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O8 Kalite Skoru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I1 Maliyet Tahmini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I2 Birim Maliyet P90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I3 Maliyet NPV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I7 Nakit Açığı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Ürün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Masraf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adet kontrolü | Neden önemli: Veri kalitesi skorunu belirler | Doğru giriş: Formül | Örnek: - | Yanlışsa: - | Not: Negatif adet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FOB kontrolü | Neden önemli: Veri kalitesi skorunu belirler | Doğru giriş: Formül | Örnek: - | Yanlışsa: - | Not: Negatif FOB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Sıfır kur kontrolü | Neden önemli: Veri kalitesi skorunu belirler | Doğru giriş: Formül | Örnek: - | Yanlışsa: - | Not: Sıfır kur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Boş kur kontrolü | Neden önemli: Veri kalitesi skorunu belirler | Doğru giriş: Formül | Örnek: - | Yanlışsa: - | Not: Boş kur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Oran aralık kontrolü | Neden önemli: Veri kalitesi skorunu belirler | Doğru giriş: Formül | Örnek: - | Yanlışsa: - | Not: Oran 0-1 dışındaysa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Negatif masraf kontrolü | Neden önemli: Veri kalitesi skorunu belirler | Doğru giriş: Formül | Örnek: - | Yanlışsa: - | Not: Negatif masraf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20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FOB-depo maliyet çarpanı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Vergi yükü uyarısı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Veri kalitesi uyarısı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Rapor başlığında görünen firma adı | Neden önemli: Formüller buradan beslenir | Doğru giriş: Sayı | Örnek: Örnek Şirket A.Ş.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Dosyadaki tek tarih kaynağı; tüm rapor tarihleri buradan okunur. | Neden önemli: Formüller buradan beslenir | Doğru giriş: Sayı | Örnek: =TODAY()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Döviz cinsi dolu ama kur boş bırakılırsa kullanılan varsayılan kur. | Neden önemli: Formüller buradan beslenir | Doğru giriş: Sayı | Örnek: 38.5 | Yanlışsa: Hesaplamalar bozulur | Kaynak: TCMB gösterge kuru; kullanıcı doğrulamalı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Önceki dönem kuru; kur dönem farkı analizinin tabanı. | Neden önemli: Formüller buradan beslenir | Doğru giriş: Sayı | Örnek: 35.0 | Yanlışsa: Hesaplamalar bozulur | Kaynak: TCMB gösterge kuru; kullanıcı doğrulamalı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177</xdr:colOff>
                <xdr:row>7</xdr:row>
                <xdr:rowOff>22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Ürün satırında oran boşsa kullanılan varsayılan gümrük vergisi oranı. | Neden önemli: Formüller buradan beslenir | Doğru giriş: Sayı | Örnek: 0.05 | Yanlışsa: Hesaplamalar bozulur | Kaynak: İthalat Rejimi Kararı; GTİP bazlı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Ürün satırında oran boşsa kullanılan varsayılan ÖTV oranı. | Neden önemli: Formüller buradan beslenir | Doğru giriş: Sayı | Örnek: 0.1 | Yanlışsa: Hesaplamalar bozulur | Kaynak: 4760 s. ÖTV Kanunu Liste; GTİP bazlı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Ürün satırında oran boşsa kullanılan varsayılan KDV oranı (genel oran). | Neden önemli: Formüller buradan beslenir | Doğru giriş: Sayı | Örnek: 0.2 | Yanlışsa: Hesaplamalar bozulur | Kaynak: 3065 s. KDV Kanunu md.21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177</xdr:colOff>
                <xdr:row>8</xdr:row>
                <xdr:rowOff>16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Ürün satırında oran boşsa kullanılan varsayılan navlun/sigorta oranı. | Neden önemli: Formüller buradan beslenir | Doğru giriş: Sayı | Örnek: 0.05 | Yanlışsa: Hesaplamalar bozulur | Kaynak: İthalat Rejimi; götürü sigorta uygulaması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177</xdr:colOff>
                <xdr:row>8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Bölme işlemlerinde sıfır payda koruması için kullanılan taban değer. | Neden önemli: Formüller buradan beslenir | Doğru giriş: Sayı | Örnek: 1e-07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Toplam verginin CIF'e oranı uyarı eşiği. | Neden önemli: Formüller buradan beslenir | Doğru giriş: Sayı | Örnek: 0.25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Depo teslim maliyetin FOB'a oranı yüksek kabul eşiği. | Neden önemli: Formüller buradan beslenir | Doğru giriş: Sayı | Örnek: 1.8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Birim maliyet anomali |Z| eşiği. | Neden önemli: Formüller buradan beslenir | Doğru giriş: Sayı | Örnek: 2.0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Masraf mutabakat farkı kabul eşiği (masraf tablosuna oranla). | Neden önemli: Formüller buradan beslenir | Doğru giriş: Sayı | Örnek: 0.05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Kalite skoru iyi eşiği. | Neden önemli: Formüller buradan beslenir | Doğru giriş: Sayı | Örnek: 90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Kalite skoru orta eşiği. | Neden önemli: Formüller buradan beslenir | Doğru giriş: Sayı | Örnek: 70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Veri kalite skoru başlangıç puanı. | Neden önemli: Formüller buradan beslenir | Doğru giriş: Sayı | Örnek: 100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Her FAIL için skor cezası. | Neden önemli: Formüller buradan beslenir | Doğru giriş: Sayı | Örnek: 20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Her WARN için skor cezası. | Neden önemli: Formüller buradan beslenir | Doğru giriş: Sayı | Örnek: 10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Ürün ve masraf tablolarının toplam giriş kapasitesi. | Neden önemli: Formüller buradan beslenir | Doğru giriş: Sayı | Örnek: 3008 | Yanlışsa: Hesaplamalar bozulur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Kötümser senaryo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İyimser senaryo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Tornado analizinde değişim oranı. | Neden önemli: Formüller buradan beslenir | Doğru giriş: Sayı | Örnek: 0.05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Ürün maliyet yoğunlaşması yüksek kabul eşiği. | Neden önemli: Formüller buradan beslenir | Doğru giriş: Sayı | Örnek: 0.3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Tornado zirve etkisinin toplam maliyete oranı uyarı eşiği. | Neden önemli: Formüller buradan beslenir | Doğru giriş: Sayı | Örnek: 0.15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Yüzdelik dağılım analizinde P90 kuantil değeri. | Neden önemli: Formüller buradan beslenir | Doğru giriş: Sayı | Örnek: 0.9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Maliyet NPV hesabında iskonto oranı.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İthal vergilerine karşı peşin ödenen tutar (avans). | Neden önemli: Formüller buradan beslenir | Doğru giriş: Sayı | Örnek: 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FOB yoğunlaşma endeksi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Maliyet NPV değerinin toplam maliyete oranı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177</xdr:colOff>
                <xdr:row>8</xdr:row>
                <xdr:rowOff>29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<sst xmlns="http://schemas.openxmlformats.org/spreadsheetml/2006/main" count="568" uniqueCount="373">
  <si>
    <t xml:space="preserve">İTHALAT DEPO TESLİM (RAFA GELEN) NET BİRİM MALİYET</t>
  </si>
  <si>
    <t xml:space="preserve">İthalatta asıl maliyet rafa geldiğinde bellidir; kaba yuvarlamayı bırakın.</t>
  </si>
  <si>
    <t xml:space="preserve">FOB kıymetten depo teslim net birim maliyete giden tüm adımlar tek zincirde hesaplanır: FOB → navlun/sigorta → CIF → gümrük vergisi → ÖTV → KDV → yurt içi masraf payı. Sonuç ad tanımlı ve raporlanabilir; vergi yükü ve kur senaryoları tek ekranda üretilir.</t>
  </si>
  <si>
    <t xml:space="preserve">1. URUNLER sayfasına ithal ürünlerin FOB birim fiyatını, döviz cinsi ve kurunu girin.</t>
  </si>
  <si>
    <t xml:space="preserve">2. MASRAFLAR sayfasına liman, müşavirlik, iç nakliye gibi yurt içi operasyon masraflarını girin.</t>
  </si>
  <si>
    <t xml:space="preserve">3. KARAR sayfasında depo teslim maliyeti, vergi yükü ve aksiyonları okuyun.</t>
  </si>
  <si>
    <t xml:space="preserve">Bu dosya karar destek aracıdır; gümrük müşavirliği veya mali danışmanlık yerine geçmez. Vergi oranları ve kur AYARLAR'dan güncellenmeli, yürürlük tarihleri doğrulanmalıdır.</t>
  </si>
  <si>
    <t xml:space="preserve">ExcelArşiv</t>
  </si>
  <si>
    <t xml:space="preserve">Rev 1.0 | 2026-08-09 | Lisans: Tek kullanıcı</t>
  </si>
  <si>
    <t xml:space="preserve">Nasıl kullanılır?</t>
  </si>
  <si>
    <t xml:space="preserve">1. AYARLAR sayfasından varsayılan kuru, vergi oranlarını ve eşikleri kontrol edin.</t>
  </si>
  <si>
    <t xml:space="preserve">2. URUNLER sayfasına her ürün için adet, FOB birim fiyat (döviz), döviz cinsi, kur ve oranları girin.</t>
  </si>
  <si>
    <t xml:space="preserve">3. Navlun/sigorta oranı FOB üzerine uygulanır; boş bırakırsanız AYARLAR'daki varsayılan oran kullanılır.</t>
  </si>
  <si>
    <t xml:space="preserve">4. Gümrük vergisi CIF üzerinden, ÖTV (CIF + GV) üzerinden, KDV (CIF + GV + ÖTV) üzerinden hesaplanır.</t>
  </si>
  <si>
    <t xml:space="preserve">5. MASRAFLAR sayfasına liman, müşavirlik, iç nakliye gibi yurt içi masrafları TL girin; ürünlere FOB payıyla dağıtılır.</t>
  </si>
  <si>
    <t xml:space="preserve">6. MOTOR ve PANO depo teslim maliyeti, vergi yükü ve birim maliyeti üretir; KARAR sayfası UYGUN / İNCELE / DURDUR verir.</t>
  </si>
  <si>
    <t xml:space="preserve">7. SENARYO_DUYARLILIK sayfası kur ve oran değişiminde maliyet, vergi ve karar değişimini üretir.</t>
  </si>
  <si>
    <t xml:space="preserve">Sık yapılan hatalar</t>
  </si>
  <si>
    <t xml:space="preserve">FOB fiyatı KDV dâhil girmek — vergi matrahı zinciri bozulur.</t>
  </si>
  <si>
    <t xml:space="preserve">Kur güncellememek — döviz cinsiyle TL maliyet uyumsuz kalır.</t>
  </si>
  <si>
    <t xml:space="preserve">Navlun/sigortayı masraf tablosuna yazıp oran girmemek — CIF eksik hesaplanır.</t>
  </si>
  <si>
    <t xml:space="preserve">Masraf dağıtımını ürün adedine göre el hesabı yapmak — dosya FOB payıyla otomatik dağıtır.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</si>
  <si>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</si>
  <si>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</si>
  <si>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URUNLER — İTHALAT DEPO TESLİM (RAFA GELEN) NET BİRİM MALİYET</t>
  </si>
  <si>
    <t xml:space="preserve">İthal Ürün Girişi (FOB → Depo Teslim)</t>
  </si>
  <si>
    <t xml:space="preserve">Sarı hücrelere veri girin; FOB TL, CIF, vergiler, masraf payı ve depo teslim maliyeti formülle hesaplanır.</t>
  </si>
  <si>
    <t xml:space="preserve">Ürün Adı</t>
  </si>
  <si>
    <t xml:space="preserve">Birim</t>
  </si>
  <si>
    <t xml:space="preserve">Adet</t>
  </si>
  <si>
    <t xml:space="preserve">FOB Birim Fiyat (Döviz)</t>
  </si>
  <si>
    <t xml:space="preserve">Döviz Cinsi</t>
  </si>
  <si>
    <t xml:space="preserve">Kur (₺)</t>
  </si>
  <si>
    <t xml:space="preserve">Navlun/Sigorta Oranı</t>
  </si>
  <si>
    <t xml:space="preserve">Gümrük Vergisi Oranı</t>
  </si>
  <si>
    <t xml:space="preserve">ÖTV Oranı</t>
  </si>
  <si>
    <t xml:space="preserve">KDV Oranı</t>
  </si>
  <si>
    <t xml:space="preserve">FOB TL</t>
  </si>
  <si>
    <t xml:space="preserve">Navlun ve Sigorta TL</t>
  </si>
  <si>
    <t xml:space="preserve">CIF TL</t>
  </si>
  <si>
    <t xml:space="preserve">Gümrük Vergisi TL</t>
  </si>
  <si>
    <t xml:space="preserve">ÖTV TL</t>
  </si>
  <si>
    <t xml:space="preserve">KDV TL</t>
  </si>
  <si>
    <t xml:space="preserve">Vergi Toplam TL</t>
  </si>
  <si>
    <t xml:space="preserve">Yurt İçi Masraf Payı TL</t>
  </si>
  <si>
    <t xml:space="preserve">Depo Teslim Toplam TL</t>
  </si>
  <si>
    <t xml:space="preserve">Net Birim Maliyet TL</t>
  </si>
  <si>
    <t xml:space="preserve">Maliyet Faktörü</t>
  </si>
  <si>
    <t xml:space="preserve">Hidrolik Pompa</t>
  </si>
  <si>
    <t xml:space="preserve">USD</t>
  </si>
  <si>
    <t xml:space="preserve">Vana Seti</t>
  </si>
  <si>
    <t xml:space="preserve">Boru Bağlantı Elemanı</t>
  </si>
  <si>
    <t xml:space="preserve">Kg</t>
  </si>
  <si>
    <t xml:space="preserve">EUR</t>
  </si>
  <si>
    <t xml:space="preserve">Endüstriyel Motor</t>
  </si>
  <si>
    <t xml:space="preserve">Rulman Yatağı</t>
  </si>
  <si>
    <t xml:space="preserve">Kayış Kasnak Seti</t>
  </si>
  <si>
    <t xml:space="preserve">Set</t>
  </si>
  <si>
    <t xml:space="preserve">Pnömatik Silindir</t>
  </si>
  <si>
    <t xml:space="preserve">Dişli Kutusu</t>
  </si>
  <si>
    <t xml:space="preserve">Basınç Sensörü</t>
  </si>
  <si>
    <t xml:space="preserve">Konveyör Rulosu</t>
  </si>
  <si>
    <t xml:space="preserve">Kompresör Yedeği</t>
  </si>
  <si>
    <t xml:space="preserve">Yağ Filtresi</t>
  </si>
  <si>
    <t xml:space="preserve">Vergi matrah zinciri: GV=CIF×oran, ÖTV=(CIF+GV)×oran, KDV=(CIF+GV+ÖTV)×oran; yurt içi masraflar FOB payıyla ürünlere dağıtılır.</t>
  </si>
  <si>
    <t xml:space="preserve">MASRAFLAR — İTHALAT DEPO TESLİM (RAFA GELEN) NET BİRİM MALİYET</t>
  </si>
  <si>
    <t xml:space="preserve">Yurt İçi Operasyon Masrafları (Liman → Depo)</t>
  </si>
  <si>
    <t xml:space="preserve">Sarı hücrelere masraf kalemi ve TL tutarı girin; ürünlere FOB payıyla otomatik dağıtılır.</t>
  </si>
  <si>
    <t xml:space="preserve">Masraf Kalemi</t>
  </si>
  <si>
    <t xml:space="preserve">Tutar TL</t>
  </si>
  <si>
    <t xml:space="preserve">Açıklama</t>
  </si>
  <si>
    <t xml:space="preserve">Liman ve Antrepo</t>
  </si>
  <si>
    <t xml:space="preserve">Sevkiyat başı</t>
  </si>
  <si>
    <t xml:space="preserve">Gümrük Müşavirliği</t>
  </si>
  <si>
    <t xml:space="preserve">Beyan ve refakat</t>
  </si>
  <si>
    <t xml:space="preserve">Yurt İçi Nakliye</t>
  </si>
  <si>
    <t xml:space="preserve">Liman → depo</t>
  </si>
  <si>
    <t xml:space="preserve">Belgelendirme</t>
  </si>
  <si>
    <t xml:space="preserve">Menşe ve uygunluk</t>
  </si>
  <si>
    <t xml:space="preserve">Sigorta Primi</t>
  </si>
  <si>
    <t xml:space="preserve">Nakliyat sigortası</t>
  </si>
  <si>
    <t xml:space="preserve">Damga Vergisi</t>
  </si>
  <si>
    <t xml:space="preserve">Beyanname</t>
  </si>
  <si>
    <t xml:space="preserve">Bankacılık ve Döviz</t>
  </si>
  <si>
    <t xml:space="preserve">Ödeme masrafları</t>
  </si>
  <si>
    <t xml:space="preserve">Konteyner Depolama</t>
  </si>
  <si>
    <t xml:space="preserve">Bekleme süresi</t>
  </si>
  <si>
    <t xml:space="preserve">Palet ve Ambalaj</t>
  </si>
  <si>
    <t xml:space="preserve">Taşıma koruması</t>
  </si>
  <si>
    <t xml:space="preserve">Geçici Depolama</t>
  </si>
  <si>
    <t xml:space="preserve">Depo elleçleme</t>
  </si>
  <si>
    <t xml:space="preserve">Masraflar TL olarak girilir; dövizle oluşan masraflar kur uygulanarak TL'ye çevrilip girilmelidir.</t>
  </si>
  <si>
    <t xml:space="preserve">MOTOR — İTHALAT DEPO TESLİM (RAFA GELEN) NET BİRİM MALİYET</t>
  </si>
  <si>
    <t xml:space="preserve">Hesaplama Motoru</t>
  </si>
  <si>
    <t xml:space="preserve">Tüm KPI ve modül hesapları ad tanımlı hücrelerden okunur; sabit sayı formüle gömülmez.</t>
  </si>
  <si>
    <t xml:space="preserve">TEMEL HESAPLAR</t>
  </si>
  <si>
    <t xml:space="preserve">Toplam Ürün Sayısı</t>
  </si>
  <si>
    <t xml:space="preserve">Toplam Adet</t>
  </si>
  <si>
    <t xml:space="preserve">Toplam FOB TL</t>
  </si>
  <si>
    <t xml:space="preserve">Toplam Navlun ve Sigorta TL</t>
  </si>
  <si>
    <t xml:space="preserve">Toplam CIF TL</t>
  </si>
  <si>
    <t xml:space="preserve">Toplam Gümrük Vergisi TL</t>
  </si>
  <si>
    <t xml:space="preserve">Toplam ÖTV TL</t>
  </si>
  <si>
    <t xml:space="preserve">Toplam KDV TL</t>
  </si>
  <si>
    <t xml:space="preserve">Toplam Vergi TL</t>
  </si>
  <si>
    <t xml:space="preserve">Toplam Yurt İçi Masraf TL</t>
  </si>
  <si>
    <t xml:space="preserve">Toplam Depo Teslim Maliyeti TL</t>
  </si>
  <si>
    <t xml:space="preserve">Ortalama Kur</t>
  </si>
  <si>
    <t xml:space="preserve">Ortalama Net Birim Maliyet TL</t>
  </si>
  <si>
    <t xml:space="preserve">Maliyet Faktörü (Ağırlıklı)</t>
  </si>
  <si>
    <t xml:space="preserve">Vergi Yükü Oranı</t>
  </si>
  <si>
    <t xml:space="preserve">Anomali Ürün Adedi</t>
  </si>
  <si>
    <t xml:space="preserve">Anomali Oranı</t>
  </si>
  <si>
    <t xml:space="preserve">Analitik Modül Hesapları</t>
  </si>
  <si>
    <t xml:space="preserve">Modül T1: Birim Maliyet Ortalaması</t>
  </si>
  <si>
    <t xml:space="preserve">Modül T2: Maliyet Eğimi</t>
  </si>
  <si>
    <t xml:space="preserve">Modül T3: Pareto Payı</t>
  </si>
  <si>
    <t xml:space="preserve">Modül T4: Kur Dönem Farkı</t>
  </si>
  <si>
    <t xml:space="preserve">Modül T5: Mutabakat Farkı</t>
  </si>
  <si>
    <t xml:space="preserve">Modül T6: Vergi Yükü Oranı</t>
  </si>
  <si>
    <t xml:space="preserve">Modül O1: Anomali Oranı</t>
  </si>
  <si>
    <t xml:space="preserve">Modül O2: Tornado Zirve Etki</t>
  </si>
  <si>
    <t xml:space="preserve">Modül O3: Senaryo Baz Fark</t>
  </si>
  <si>
    <t xml:space="preserve">Modül O4: Nakit Etki Oranı</t>
  </si>
  <si>
    <t xml:space="preserve">Modül O6: Maliyet HHI</t>
  </si>
  <si>
    <t xml:space="preserve">Modül O8: Veri Kalite Skoru</t>
  </si>
  <si>
    <t xml:space="preserve">Modül I1: Maliyet Tahmini</t>
  </si>
  <si>
    <t xml:space="preserve">Modül I2: Birim Maliyet P90</t>
  </si>
  <si>
    <t xml:space="preserve">Modül I3: Maliyet NPV</t>
  </si>
  <si>
    <t xml:space="preserve">Modül I7: Nakit Açığı Köprüsü</t>
  </si>
  <si>
    <t xml:space="preserve">Modül Makine Yorumları</t>
  </si>
  <si>
    <t xml:space="preserve">T1 Birim Maliyet Ortalaması</t>
  </si>
  <si>
    <t xml:space="preserve">T2 Maliyet Eğimi</t>
  </si>
  <si>
    <t xml:space="preserve">T3 Pareto Payı</t>
  </si>
  <si>
    <t xml:space="preserve">T4 Kur Dönem Farkı</t>
  </si>
  <si>
    <t xml:space="preserve">T5 Mutabakat Farkı</t>
  </si>
  <si>
    <t xml:space="preserve">T6 Vergi Yükü Oranı</t>
  </si>
  <si>
    <t xml:space="preserve">O1 Anomali Oranı</t>
  </si>
  <si>
    <t xml:space="preserve">O2 Tornado Zirve</t>
  </si>
  <si>
    <t xml:space="preserve">O3 Senaryo Baz Fark</t>
  </si>
  <si>
    <t xml:space="preserve">O4 Nakit Etki</t>
  </si>
  <si>
    <t xml:space="preserve">O6 Maliyet HHI</t>
  </si>
  <si>
    <t xml:space="preserve">O8 Kalite Skoru</t>
  </si>
  <si>
    <t xml:space="preserve">I1 Maliyet Tahmini</t>
  </si>
  <si>
    <t xml:space="preserve">I2 Birim Maliyet P90</t>
  </si>
  <si>
    <t xml:space="preserve">I3 Maliyet NPV</t>
  </si>
  <si>
    <t xml:space="preserve">I7 Nakit Açığı</t>
  </si>
  <si>
    <t xml:space="preserve">Tüm hesaplar AYARLAR parametrelerinden beslenir; veri yokken 0 ve VERİ YOK güvenli dönüş yapar.</t>
  </si>
  <si>
    <t xml:space="preserve">KONTROL — İTHALAT DEPO TESLİM (RAFA GELEN) NET BİRİM MALİYET</t>
  </si>
  <si>
    <t xml:space="preserve">Veri Kalite Kontrolleri</t>
  </si>
  <si>
    <t xml:space="preserve">Ürün tablosunda dolu satır</t>
  </si>
  <si>
    <t xml:space="preserve">Masraf tablosunda dolu satır</t>
  </si>
  <si>
    <t xml:space="preserve">Negatif adet kontrolü</t>
  </si>
  <si>
    <t xml:space="preserve">Negatif FOB kontrolü</t>
  </si>
  <si>
    <t xml:space="preserve">Sıfır kur kontrolü</t>
  </si>
  <si>
    <t xml:space="preserve">Boş kur kontrolü</t>
  </si>
  <si>
    <t xml:space="preserve">Oran aralık kontrolü</t>
  </si>
  <si>
    <t xml:space="preserve">Negatif masraf kontrolü</t>
  </si>
  <si>
    <t xml:space="preserve">SKORLAMA</t>
  </si>
  <si>
    <t xml:space="preserve">PASS Sayısı</t>
  </si>
  <si>
    <t xml:space="preserve">FAIL Sayısı</t>
  </si>
  <si>
    <t xml:space="preserve">WARN Sayısı</t>
  </si>
  <si>
    <t xml:space="preserve">Veri Kalite Skoru</t>
  </si>
  <si>
    <t xml:space="preserve">Veri Kalite Seviyesi</t>
  </si>
  <si>
    <t xml:space="preserve">Dolu Girdi Hücresi</t>
  </si>
  <si>
    <t xml:space="preserve">Toplam Girdi Kapasitesi</t>
  </si>
  <si>
    <t xml:space="preserve">Doluluk Oranı</t>
  </si>
  <si>
    <t xml:space="preserve">Durum</t>
  </si>
  <si>
    <t xml:space="preserve">Skor ve sağlık durumu formülle üretilir; sahte veri yoktur.</t>
  </si>
  <si>
    <t xml:space="preserve">KARAR — İTHALAT DEPO TESLİM (RAFA GELEN) NET BİRİM MALİYET</t>
  </si>
  <si>
    <t xml:space="preserve">Karar Motoru</t>
  </si>
  <si>
    <t xml:space="preserve">DEPO TESLİM MALİYET ÖZETİ</t>
  </si>
  <si>
    <t xml:space="preserve">Toplam Depo Teslim Maliyeti</t>
  </si>
  <si>
    <t xml:space="preserve">Mutabakat Farkı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</si>
  <si>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</si>
  <si>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</si>
  <si>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</si>
  <si>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</si>
  <si>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İTHALAT DEPO TESLİM (RAFA GELEN) NET BİRİM MALİYET</t>
  </si>
  <si>
    <t xml:space="preserve">Yönetici Özeti</t>
  </si>
  <si>
    <t xml:space="preserve">TOPLAM DEPO TESLİM MALİYETİ</t>
  </si>
  <si>
    <t xml:space="preserve">MALİYET FAKTÖRÜ</t>
  </si>
  <si>
    <t xml:space="preserve">VERGİ YÜKÜ ORANI</t>
  </si>
  <si>
    <t xml:space="preserve">Ortalama Net Birim Maliyet</t>
  </si>
  <si>
    <t xml:space="preserve">KARAR ŞERİDİ</t>
  </si>
  <si>
    <t xml:space="preserve">Karar: </t>
  </si>
  <si>
    <t xml:space="preserve">En kritik 3 içgörü</t>
  </si>
  <si>
    <t xml:space="preserve">Maliyet Dağılımı</t>
  </si>
  <si>
    <t xml:space="preserve">Vergiler</t>
  </si>
  <si>
    <t xml:space="preserve">Yurt İçi Masraflar</t>
  </si>
  <si>
    <t xml:space="preserve">Vergi Yükü Payı</t>
  </si>
  <si>
    <t xml:space="preserve">Gümrük Vergisi</t>
  </si>
  <si>
    <t xml:space="preserve">ÖTV</t>
  </si>
  <si>
    <t xml:space="preserve">KDV</t>
  </si>
  <si>
    <t xml:space="preserve">Ürün Maliyet Faktörleri</t>
  </si>
  <si>
    <t xml:space="preserve">Birim Maliyet ve Tahmin</t>
  </si>
  <si>
    <t xml:space="preserve">Ortalama Birim Maliyet</t>
  </si>
  <si>
    <t xml:space="preserve">Birim Maliyet P90</t>
  </si>
  <si>
    <t xml:space="preserve">Kur ve Vergi Duyarlılığı</t>
  </si>
  <si>
    <t xml:space="preserve">Kötümser Kur Etkisi</t>
  </si>
  <si>
    <t xml:space="preserve">İyimser Kur Etkisi</t>
  </si>
  <si>
    <t xml:space="preserve">Vergi Yükü ve Nakit Açığı</t>
  </si>
  <si>
    <t xml:space="preserve">Vergi Yükü Oranı (FOB'a Göre)</t>
  </si>
  <si>
    <t xml:space="preserve">Nakit Açığı</t>
  </si>
  <si>
    <t xml:space="preserve">Pano KPI'ları canlı formülden okunur; yönetici özeti tek ekranda karar, gerekçe ve 3 içgörüyü sunar.</t>
  </si>
  <si>
    <t xml:space="preserve">SENARYO DUYARLILIK — İTHALAT DEPO TESLİM (RAFA GELEN) NET BİRİM MALİYET</t>
  </si>
  <si>
    <t xml:space="preserve">Senaryo ve Duyarlılık Analizi</t>
  </si>
  <si>
    <t xml:space="preserve">Değişken</t>
  </si>
  <si>
    <t xml:space="preserve">Kötümser</t>
  </si>
  <si>
    <t xml:space="preserve">Baz</t>
  </si>
  <si>
    <t xml:space="preserve">İyimser</t>
  </si>
  <si>
    <t xml:space="preserve">Depo Teslim Maliyeti (₺)</t>
  </si>
  <si>
    <t xml:space="preserve">Vergi Yükü Oranı (Kötümser Senaryo)</t>
  </si>
  <si>
    <t xml:space="preserve">Maliyet Faktörü (Kötümser Senaryo)</t>
  </si>
  <si>
    <t xml:space="preserve">Nakit Açığı (Kötümser Senaryo)</t>
  </si>
  <si>
    <t xml:space="preserve">Karar</t>
  </si>
  <si>
    <t xml:space="preserve">Tornado Duyarlılık</t>
  </si>
  <si>
    <t xml:space="preserve">Kur Değişimi</t>
  </si>
  <si>
    <t xml:space="preserve">Maliyet Etkisi (₺)</t>
  </si>
  <si>
    <t xml:space="preserve">Karar değişimi duyarlılığı</t>
  </si>
  <si>
    <t xml:space="preserve">Senaryo çarpanları AYARLAR'dan beslenir; kötümser/baz/iyimser aralıkta karar tek ekranda üretilir.</t>
  </si>
  <si>
    <t xml:space="preserve">RAPOR — İTHALAT DEPO TESLİM (RAFA GELEN) NET BİRİM MALİYET</t>
  </si>
  <si>
    <t xml:space="preserve">Yönetici Raporu</t>
  </si>
  <si>
    <t xml:space="preserve">Firma: </t>
  </si>
  <si>
    <t xml:space="preserve">Rapor Tarihi: </t>
  </si>
  <si>
    <t xml:space="preserve">KARAR: </t>
  </si>
  <si>
    <t xml:space="preserve">ÖZET TABLOSU</t>
  </si>
  <si>
    <t xml:space="preserve">Toplam Depo Teslim Maliyeti (₺)</t>
  </si>
  <si>
    <t xml:space="preserve">Toplam FOB (₺)</t>
  </si>
  <si>
    <t xml:space="preserve">Toplam Vergi (₺)</t>
  </si>
  <si>
    <t xml:space="preserve">Yurt İçi Masraflar (₺)</t>
  </si>
  <si>
    <t xml:space="preserve">VARSAYIMLAR</t>
  </si>
  <si>
    <t xml:space="preserve">Gümrük vergisi, ÖTV ve KDV oranları AYARLAR'dan okunur; GTİP ve mevzuat değişikliğinde güncellenmelidir.</t>
  </si>
  <si>
    <t xml:space="preserve">Döviz kurları AYARLAR'dan okunur; kullanıcı güncel kuru girmelidir.</t>
  </si>
  <si>
    <t xml:space="preserve">Yurt içi masraflar FOB payıyla ürünlere dağıtılır; dağıtım anahtarı değiştirilebilir.</t>
  </si>
  <si>
    <t xml:space="preserve">UYARILAR</t>
  </si>
  <si>
    <t xml:space="preserve">Vergi yükü eşiği aşılırsa depo teslim maliyeti rekabetçi olmayabilir.</t>
  </si>
  <si>
    <t xml:space="preserve">Kur yüksekliği maliyet faktörünü artırır; tedarikçi/rota değerlendirmesi gerekebilir.</t>
  </si>
  <si>
    <t xml:space="preserve">Masraf mutabakat farkı varsa dağıtım anahtarı veya masraf girişleri yanlış olabilir.</t>
  </si>
  <si>
    <t xml:space="preserve">ÖNERİLEN AKSİYONLAR</t>
  </si>
  <si>
    <t xml:space="preserve">Vergi yükü eşik üstünde ise tedarikçi, teslim şekli ve gümrük rejimini değerlendirin.</t>
  </si>
  <si>
    <t xml:space="preserve">Nakit açığı varsa ithal vergilerinin ödeme zamanlamasını ve finansmanını planlayın.</t>
  </si>
  <si>
    <t xml:space="preserve">Veri kalite skoru düşükse ürün ve masraf girişlerini tamamlayıp raporu yeniden oluşturun.</t>
  </si>
  <si>
    <t xml:space="preserve">Bu rapor ExcelArşiv aracıyla üretilmiştir; karar destek amaçlıdır, danışmanlık yerine geçmez.</t>
  </si>
  <si>
    <t xml:space="preserve">Verileriniz cihazınızdan çıkmaz; dosya tamamen çevrimdışı çalışır.</t>
  </si>
  <si>
    <t xml:space="preserve">ORNEK VERI — İTHALAT DEPO TESLİM (RAFA GELEN) NET BİRİM MALİYET</t>
  </si>
  <si>
    <t xml:space="preserve">Örnek Veri (URUNLER)</t>
  </si>
  <si>
    <t xml:space="preserve">Örnek Veri (MASRAFLAR)</t>
  </si>
  <si>
    <t xml:space="preserve">Örnek veri yalnızca gösterim içindir; üretim dosyasına kopyalanabilir.</t>
  </si>
  <si>
    <t xml:space="preserve">DEGISIKLIK KAYDI — İTHALAT DEPO TESLİM (RAFA GELEN) NET BİRİM MALİYET</t>
  </si>
  <si>
    <t xml:space="preserve">Değişiklik Kaydı</t>
  </si>
  <si>
    <t xml:space="preserve">Sürüm</t>
  </si>
  <si>
    <t xml:space="preserve">Tarih</t>
  </si>
  <si>
    <t xml:space="preserve">1.0.0</t>
  </si>
  <si>
    <t xml:space="preserve">09.08.2026</t>
  </si>
  <si>
    <t xml:space="preserve">İlk sürüm: FOB→CIF→vergi zinciri, depo teslim net birim maliyet, karar motoru ve 16 analitik modül.</t>
  </si>
  <si>
    <t xml:space="preserve">LISTELER — İTHALAT DEPO TESLİM (RAFA GELEN) NET BİRİM MALİYET</t>
  </si>
  <si>
    <t xml:space="preserve">Açılır Liste Kaynakları</t>
  </si>
  <si>
    <t xml:space="preserve">Döviz Cinsleri</t>
  </si>
  <si>
    <t xml:space="preserve">Birimler</t>
  </si>
  <si>
    <t xml:space="preserve">GBP</t>
  </si>
  <si>
    <t xml:space="preserve">Ton</t>
  </si>
  <si>
    <t xml:space="preserve">Palet</t>
  </si>
  <si>
    <t xml:space="preserve">Metre</t>
  </si>
  <si>
    <t xml:space="preserve">Listeler AYARLAR sayfasındaki ayarlarla birlikte doğrulama aralıklarını besler.</t>
  </si>
  <si>
    <t xml:space="preserve">AYARLAR — İTHALAT DEPO TESLİM (RAFA GELEN) NET BİRİM MALİYET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</si>
  <si>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</si>
  <si>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</si>
  <si>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</si>
  <si>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</si>
  <si>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</si>
  <si>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</si>
  <si>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</si>
  <si>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</si>
  <si>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</si>
  <si>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</si>
  <si>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Şirket A.Ş.</t>
  </si>
  <si>
    <t xml:space="preserve">metin</t>
  </si>
  <si>
    <t xml:space="preserve">Rapor başlığında görünen firma adı</t>
  </si>
  <si>
    <t xml:space="preserve">Kullanıcı</t>
  </si>
  <si>
    <t xml:space="preserve">raporTarihi</t>
  </si>
  <si>
    <t xml:space="preserve">tarih</t>
  </si>
  <si>
    <t xml:space="preserve">Dosyadaki tek tarih kaynağı; tüm rapor tarihleri buradan okunur.</t>
  </si>
  <si>
    <t xml:space="preserve">Kur</t>
  </si>
  <si>
    <t xml:space="preserve">VarsayilanKur</t>
  </si>
  <si>
    <t xml:space="preserve">₺/USD</t>
  </si>
  <si>
    <t xml:space="preserve">Döviz cinsi dolu ama kur boş bırakılırsa kullanılan varsayılan kur.</t>
  </si>
  <si>
    <t xml:space="preserve">TCMB gösterge kuru; kullanıcı doğrulamalı</t>
  </si>
  <si>
    <t xml:space="preserve">OncekiKur</t>
  </si>
  <si>
    <t xml:space="preserve">Önceki dönem kuru; kur dönem farkı analizinin tabanı.</t>
  </si>
  <si>
    <t xml:space="preserve">Vergi</t>
  </si>
  <si>
    <t xml:space="preserve">GumrukOranVarsayilan</t>
  </si>
  <si>
    <t xml:space="preserve">oran</t>
  </si>
  <si>
    <t xml:space="preserve">Ürün satırında oran boşsa kullanılan varsayılan gümrük vergisi oranı.</t>
  </si>
  <si>
    <t xml:space="preserve">İthalat Rejimi Kararı; GTİP bazlı</t>
  </si>
  <si>
    <t xml:space="preserve">OtvOranVarsayilan</t>
  </si>
  <si>
    <t xml:space="preserve">Ürün satırında oran boşsa kullanılan varsayılan ÖTV oranı.</t>
  </si>
  <si>
    <t xml:space="preserve">4760 s. ÖTV Kanunu Liste; GTİP bazlı</t>
  </si>
  <si>
    <t xml:space="preserve">KdvOranVarsayilan</t>
  </si>
  <si>
    <t xml:space="preserve">Ürün satırında oran boşsa kullanılan varsayılan KDV oranı (genel oran).</t>
  </si>
  <si>
    <t xml:space="preserve">3065 s. KDV Kanunu md.21</t>
  </si>
  <si>
    <t xml:space="preserve">NavlunSigortaOranVarsayilan</t>
  </si>
  <si>
    <t xml:space="preserve">Ürün satırında oran boşsa kullanılan varsayılan navlun/sigorta oranı.</t>
  </si>
  <si>
    <t xml:space="preserve">İthalat Rejimi; götürü sigorta uygulaması</t>
  </si>
  <si>
    <t xml:space="preserve">BolumPaydaTaban</t>
  </si>
  <si>
    <t xml:space="preserve">katsayı</t>
  </si>
  <si>
    <t xml:space="preserve">Bölme işlemlerinde sıfır payda koruması için kullanılan taban değer.</t>
  </si>
  <si>
    <t xml:space="preserve">Varsayım</t>
  </si>
  <si>
    <t xml:space="preserve">Risk</t>
  </si>
  <si>
    <t xml:space="preserve">VergiYukEsik</t>
  </si>
  <si>
    <t xml:space="preserve">Toplam verginin CIF'e oranı uyarı eşiği.</t>
  </si>
  <si>
    <t xml:space="preserve">MaliyetFaktorEsik</t>
  </si>
  <si>
    <t xml:space="preserve">Depo teslim maliyetin FOB'a oranı yüksek kabul eşiği.</t>
  </si>
  <si>
    <t xml:space="preserve">AnomaliZEsik</t>
  </si>
  <si>
    <t xml:space="preserve">Birim maliyet anomali |Z| eşiği.</t>
  </si>
  <si>
    <t xml:space="preserve">MutabakatEsikOran</t>
  </si>
  <si>
    <t xml:space="preserve">Masraf mutabakat farkı kabul eşiği (masraf tablosuna oranla).</t>
  </si>
  <si>
    <t xml:space="preserve">Eşik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</si>
  <si>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</si>
  <si>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</si>
  <si>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</si>
  <si>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</si>
  <si>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</si>
  <si>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VeriKaliteTaban</t>
  </si>
  <si>
    <t xml:space="preserve">Veri kalite skoru başlangıç puanı.</t>
  </si>
  <si>
    <t xml:space="preserve">VeriKaliteFailCeza</t>
  </si>
  <si>
    <t xml:space="preserve">Her FAIL için skor cezası.</t>
  </si>
  <si>
    <t xml:space="preserve">VeriKaliteUyariCeza</t>
  </si>
  <si>
    <t xml:space="preserve">Her WARN için skor cezası.</t>
  </si>
  <si>
    <t xml:space="preserve">KayitKapasite</t>
  </si>
  <si>
    <t xml:space="preserve">adet</t>
  </si>
  <si>
    <t xml:space="preserve">Ürün ve masraf tablolarının toplam giriş kapasitesi.</t>
  </si>
  <si>
    <t xml:space="preserve">Tasarım</t>
  </si>
  <si>
    <t xml:space="preserve">Senaryo</t>
  </si>
  <si>
    <t xml:space="preserve">SenaryoKotumserKat</t>
  </si>
  <si>
    <t xml:space="preserve">Kötümser senaryo çarpanı.</t>
  </si>
  <si>
    <t xml:space="preserve">SenaryoIyimserKat</t>
  </si>
  <si>
    <t xml:space="preserve">İyimser senaryo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</si>
  <si>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</si>
  <si>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</si>
  <si>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</si>
  <si>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</si>
  <si>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Ürün maliyet yoğunlaşması yüksek kabul eşiği.</t>
  </si>
  <si>
    <t xml:space="preserve">SenaryoEtkiEsik</t>
  </si>
  <si>
    <t xml:space="preserve">Tornado zirve etkisinin toplam maliyete oranı uyarı eşiği.</t>
  </si>
  <si>
    <t xml:space="preserve">Tahmin</t>
  </si>
  <si>
    <t xml:space="preserve">P90Kuantil</t>
  </si>
  <si>
    <t xml:space="preserve">Yüzdelik dağılım analizinde P90 kuantil değeri.</t>
  </si>
  <si>
    <t xml:space="preserve">Nakit</t>
  </si>
  <si>
    <t xml:space="preserve">IskontoOrani</t>
  </si>
  <si>
    <t xml:space="preserve">Maliyet NPV hesabında iskonto oranı.</t>
  </si>
  <si>
    <t xml:space="preserve">PesinOdemeTutari</t>
  </si>
  <si>
    <t xml:space="preserve">₺</t>
  </si>
  <si>
    <t xml:space="preserve">İthal vergilerine karşı peşin ödenen tutar (avans).</t>
  </si>
  <si>
    <t xml:space="preserve">HhiYuksekEsik</t>
  </si>
  <si>
    <t xml:space="preserve">FOB yoğunlaşma endeksi yüksek kabul eşiği.</t>
  </si>
  <si>
    <t xml:space="preserve">NpvEsikOran</t>
  </si>
  <si>
    <t xml:space="preserve">Maliyet NPV değerinin toplam maliyete oranı yüksek kabul eşiği.</t>
  </si>
  <si>
    <t xml:space="preserve">Sarı değer hücreleri kullanıcı tarafından değiştirilebilir; formül hücreleri kilitlidir.</t>
  </si>
  <si>
    <t xml:space="preserve">KILAVUZ — İTHALAT DEPO TESLİM (RAFA GELEN) NET BİRİM MALİYET</t>
  </si>
  <si>
    <t xml:space="preserve">Kullanım Kılavuzu</t>
  </si>
  <si>
    <t xml:space="preserve">Bu dosya, ithal ürünlerin depo teslim (rafa gelen) net birim maliyetini hesaplayan bir karar destek aracıdır.</t>
  </si>
  <si>
    <t xml:space="preserve">1. AYARLAR: Varsayılan kur, vergi oranları, eşikler ve rapor tarihi bu sayfadadır.</t>
  </si>
  <si>
    <t xml:space="preserve">2. URUNLER: İthal ürünlerin FOB birim fiyatı, adedi, döviz cinsi ve kuru girin; CIF ve vergiler otomatik hesaplanır.</t>
  </si>
  <si>
    <t xml:space="preserve">3. MASRAFLAR: Liman, müşavirlik, iç nakliye gibi yurt içi masrafları TL girin; FOB payıyla ürünlere dağıtılır.</t>
  </si>
  <si>
    <t xml:space="preserve">4. MOTOR: Tüm hesaplar ad tanımlı hücrelerde; denetlenebilir ve değiştirilebilir.</t>
  </si>
  <si>
    <t xml:space="preserve">5. KARAR: UYGUN / İNCELE / DURDUR kararı, gerekçe ve aksiyonlar makine tarafından üretilir.</t>
  </si>
  <si>
    <t xml:space="preserve">6. PANO ve RAPOR: Yönetici özeti ve yazdırılabilir rapor.</t>
  </si>
  <si>
    <t xml:space="preserve">7. SENARYO_DUYARLILIK: Kur ve oran değişiminde maliyet, vergi ve karar değişimi görülür.</t>
  </si>
  <si>
    <t xml:space="preserve">Veri girişi yalnızca sarı hücreleredir. Beyaz/yeşil formül hücreleri 1234 şifresiyle korumalıdır.</t>
  </si>
  <si>
    <t xml:space="preserve">Güvenlik: Dosyada makro, dış bağlantı ve telemetri yoktur. Verileriniz cihazınızdan çıkmaz.</t>
  </si>
  <si>
    <t xml:space="preserve">Ortam: Excel 2016–365 (Windows/Mac), LibreOffice 7+, Google Sheets ile uyumlu üretilmiştir.</t>
  </si>
  <si>
    <t xml:space="preserve">Hata görürseniz önce AYARLAR'ı, sonra veri girişlerini kontrol edin; KONTROL sayfası kaliteyi gösterir.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</si>
</sst>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;[RED]\(0.0%\);\-"/>
    <numFmt numFmtId="168" formatCode="&quot;₺ &quot;#,##0;[RED]&quot;(₺ &quot;#,##0\);\-"/>
    <numFmt numFmtId="169" formatCode="dd/mm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b val="true"/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9"/>
      <color rgb="FF1F4E79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Segoe UI"/>
      <family val="0"/>
      <charset val="1"/>
    </font>
    <font>
      <b val="true"/>
      <sz val="13"/>
      <color rgb="FF006100"/>
      <name val="Segoe UI"/>
      <family val="0"/>
      <charset val="1"/>
    </font>
    <font>
      <sz val="9"/>
      <color rgb="FF000000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F2F2F2"/>
        <bgColor rgb="FFFDE9E9"/>
      </patternFill>
    </fill>
    <fill>
      <patternFill patternType="solid">
        <fgColor rgb="FFB08948"/>
        <bgColor rgb="FF878787"/>
      </patternFill>
    </fill>
    <fill>
      <patternFill patternType="solid">
        <fgColor rgb="FFB3261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Depo Teslim Maliyet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PANO!$A$25:$A$27</c:f>
              <c:strCache>
                <c:ptCount val="3"/>
                <c:pt idx="0">
                  <c:v>FOB TL</c:v>
                </c:pt>
                <c:pt idx="1">
                  <c:v>Vergiler</c:v>
                </c:pt>
                <c:pt idx="2">
                  <c:v>Yurt İçi Masraflar</c:v>
                </c:pt>
              </c:strCache>
            </c:strRef>
          </c:cat>
          <c:val>
            <c:numRef>
              <c:f>PANO!$B$25:$B$27</c:f>
              <c:numCache>
                <c:formatCode>"₺ "#,##0;[RED]"(₺ "#,##0\);\-</c:formatCode>
                <c:ptCount val="3"/>
                <c:pt idx="0">
                  <c:v>5279575</c:v>
                </c:pt>
                <c:pt idx="1">
                  <c:v>2139811.7475</c:v>
                </c:pt>
                <c:pt idx="2">
                  <c:v>71200</c:v>
                </c:pt>
              </c:numCache>
            </c:numRef>
          </c:val>
        </c:ser>
        <c:gapWidth val="150"/>
        <c:overlap val="0"/>
        <c:axId val="94307502"/>
        <c:axId val="99111304"/>
      </c:barChart>
      <c:catAx>
        <c:axId val="94307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11304"/>
        <c:crosses val="autoZero"/>
        <c:auto val="1"/>
        <c:lblAlgn val="ctr"/>
        <c:lblOffset val="100"/>
        <c:noMultiLvlLbl val="0"/>
      </c:catAx>
      <c:valAx>
        <c:axId val="99111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3075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Vergi Kalemlerinin Payı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PANO!$A$30:$A$32</c:f>
              <c:strCache>
                <c:ptCount val="3"/>
                <c:pt idx="0">
                  <c:v>Gümrük Vergisi</c:v>
                </c:pt>
                <c:pt idx="1">
                  <c:v>ÖTV</c:v>
                </c:pt>
                <c:pt idx="2">
                  <c:v>KDV</c:v>
                </c:pt>
              </c:strCache>
            </c:strRef>
          </c:cat>
          <c:val>
            <c:numRef>
              <c:f>PANO!$B$30:$B$32</c:f>
              <c:numCache>
                <c:formatCode>0.0%;[RED]\(0.0%\);\-</c:formatCode>
                <c:ptCount val="3"/>
                <c:pt idx="0">
                  <c:v>0.129533678756477</c:v>
                </c:pt>
                <c:pt idx="1">
                  <c:v>0.272020725388601</c:v>
                </c:pt>
                <c:pt idx="2">
                  <c:v>0.598445595854922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Maliyet Faktörleri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PANO!B35</c:f>
              <c:strCache>
                <c:ptCount val="1"/>
                <c:pt idx="0">
                  <c:v>1,47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PANO!$A$35:$A$38</c:f>
              <c:strCache>
                <c:ptCount val="4"/>
                <c:pt idx="0">
                  <c:v>Hidrolik Pompa (faktör)</c:v>
                </c:pt>
                <c:pt idx="1">
                  <c:v>Vana Seti (faktör)</c:v>
                </c:pt>
                <c:pt idx="2">
                  <c:v>Boru Bağlantı Elemanı (faktör)</c:v>
                </c:pt>
                <c:pt idx="3">
                  <c:v>Endüstriyel Motor (faktör)</c:v>
                </c:pt>
              </c:strCache>
            </c:strRef>
          </c:cat>
          <c:val>
            <c:numRef>
              <c:f>PANO!$B$36:$B$38</c:f>
              <c:numCache>
                <c:formatCode>#,##0.00</c:formatCode>
                <c:ptCount val="3"/>
                <c:pt idx="0">
                  <c:v>1.46878593400037</c:v>
                </c:pt>
                <c:pt idx="1">
                  <c:v>1.46878593400037</c:v>
                </c:pt>
                <c:pt idx="2">
                  <c:v>1.46878593400037</c:v>
                </c:pt>
              </c:numCache>
            </c:numRef>
          </c:val>
        </c:ser>
        <c:gapWidth val="150"/>
        <c:overlap val="0"/>
        <c:axId val="83672248"/>
        <c:axId val="72010332"/>
      </c:barChart>
      <c:catAx>
        <c:axId val="8367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10332"/>
        <c:crosses val="autoZero"/>
        <c:auto val="1"/>
        <c:lblAlgn val="ctr"/>
        <c:lblOffset val="100"/>
        <c:noMultiLvlLbl val="0"/>
      </c:catAx>
      <c:valAx>
        <c:axId val="72010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722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Birim Maliyet Ortalama / P90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PANO!$A$41:$A$42</c:f>
              <c:strCache>
                <c:ptCount val="2"/>
                <c:pt idx="0">
                  <c:v>Ortalama Birim Maliyet</c:v>
                </c:pt>
                <c:pt idx="1">
                  <c:v>Birim Maliyet P90</c:v>
                </c:pt>
              </c:strCache>
            </c:strRef>
          </c:cat>
          <c:val>
            <c:numRef>
              <c:f>PANO!$B$41:$B$42</c:f>
              <c:numCache>
                <c:formatCode>"₺ "#,##0;[RED]"(₺ "#,##0\);\-</c:formatCode>
                <c:ptCount val="2"/>
                <c:pt idx="0">
                  <c:v>17633.2035335719</c:v>
                </c:pt>
                <c:pt idx="1">
                  <c:v>51263.5666684809</c:v>
                </c:pt>
              </c:numCache>
            </c:numRef>
          </c:val>
        </c:ser>
        <c:gapWidth val="150"/>
        <c:overlap val="0"/>
        <c:axId val="22904912"/>
        <c:axId val="87439356"/>
      </c:barChart>
      <c:catAx>
        <c:axId val="2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439356"/>
        <c:crosses val="autoZero"/>
        <c:auto val="1"/>
        <c:lblAlgn val="ctr"/>
        <c:lblOffset val="100"/>
        <c:noMultiLvlLbl val="0"/>
      </c:catAx>
      <c:valAx>
        <c:axId val="87439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049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Kur Senaryolarının Maliyet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PANO!$A$45:$A$46</c:f>
              <c:strCache>
                <c:ptCount val="2"/>
                <c:pt idx="0">
                  <c:v>Kötümser Kur Etkisi</c:v>
                </c:pt>
                <c:pt idx="1">
                  <c:v>İyimser Kur Etkisi</c:v>
                </c:pt>
              </c:strCache>
            </c:strRef>
          </c:cat>
          <c:val>
            <c:numRef>
              <c:f>PANO!$B$45:$B$46</c:f>
              <c:numCache>
                <c:formatCode>"₺ "#,##0;[RED]"(₺ "#,##0\);\-</c:formatCode>
                <c:ptCount val="2"/>
                <c:pt idx="0">
                  <c:v>775456.54975</c:v>
                </c:pt>
                <c:pt idx="1">
                  <c:v>775456.54975</c:v>
                </c:pt>
              </c:numCache>
            </c:numRef>
          </c:val>
        </c:ser>
        <c:gapWidth val="150"/>
        <c:overlap val="0"/>
        <c:axId val="7207325"/>
        <c:axId val="78816913"/>
      </c:barChart>
      <c:catAx>
        <c:axId val="7207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16913"/>
        <c:crosses val="autoZero"/>
        <c:auto val="1"/>
        <c:lblAlgn val="ctr"/>
        <c:lblOffset val="100"/>
        <c:noMultiLvlLbl val="0"/>
      </c:catAx>
      <c:valAx>
        <c:axId val="78816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73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Vergi Yükü Oranı ve Nakit Açığı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PANO!$A$49:$A$50</c:f>
              <c:strCache>
                <c:ptCount val="2"/>
                <c:pt idx="0">
                  <c:v>Vergi Yükü Oranı (FOB'a Göre)</c:v>
                </c:pt>
                <c:pt idx="1">
                  <c:v>Nakit Açığı</c:v>
                </c:pt>
              </c:strCache>
            </c:strRef>
          </c:cat>
          <c:val>
            <c:numRef>
              <c:f>PANO!$B$49:$B$50</c:f>
              <c:numCache>
                <c:formatCode>0.0%;[RED]\(0.0%\);\-</c:formatCode>
                <c:ptCount val="2"/>
                <c:pt idx="0">
                  <c:v>0.4053</c:v>
                </c:pt>
                <c:pt idx="1">
                  <c:v>2139811.7475</c:v>
                </c:pt>
              </c:numCache>
            </c:numRef>
          </c:val>
        </c:ser>
        <c:gapWidth val="150"/>
        <c:overlap val="0"/>
        <c:axId val="51636963"/>
        <c:axId val="22017001"/>
      </c:barChart>
      <c:catAx>
        <c:axId val="51636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17001"/>
        <c:crosses val="autoZero"/>
        <c:auto val="1"/>
        <c:lblAlgn val="ctr"/>
        <c:lblOffset val="100"/>
        <c:noMultiLvlLbl val="0"/>
      </c:catAx>
      <c:valAx>
        <c:axId val="22017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369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23</xdr:row>
      <xdr:rowOff>0</xdr:rowOff>
    </xdr:from>
    <xdr:to>
      <xdr:col>12</xdr:col>
      <xdr:colOff>507600</xdr:colOff>
      <xdr:row>37</xdr:row>
      <xdr:rowOff>32400</xdr:rowOff>
    </xdr:to>
    <xdr:graphicFrame>
      <xdr:nvGraphicFramePr>
        <xdr:cNvPr id="1" name="Chart 1"/>
        <xdr:cNvGraphicFramePr/>
      </xdr:nvGraphicFramePr>
      <xdr:xfrm>
        <a:off x="6061680" y="460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12</xdr:col>
      <xdr:colOff>507600</xdr:colOff>
      <xdr:row>42</xdr:row>
      <xdr:rowOff>32400</xdr:rowOff>
    </xdr:to>
    <xdr:graphicFrame>
      <xdr:nvGraphicFramePr>
        <xdr:cNvPr id="2" name="Chart 2"/>
        <xdr:cNvGraphicFramePr/>
      </xdr:nvGraphicFramePr>
      <xdr:xfrm>
        <a:off x="6061680" y="5553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33</xdr:row>
      <xdr:rowOff>0</xdr:rowOff>
    </xdr:from>
    <xdr:to>
      <xdr:col>12</xdr:col>
      <xdr:colOff>507600</xdr:colOff>
      <xdr:row>47</xdr:row>
      <xdr:rowOff>32760</xdr:rowOff>
    </xdr:to>
    <xdr:graphicFrame>
      <xdr:nvGraphicFramePr>
        <xdr:cNvPr id="3" name="Chart 3"/>
        <xdr:cNvGraphicFramePr/>
      </xdr:nvGraphicFramePr>
      <xdr:xfrm>
        <a:off x="6061680" y="650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39</xdr:row>
      <xdr:rowOff>0</xdr:rowOff>
    </xdr:from>
    <xdr:to>
      <xdr:col>12</xdr:col>
      <xdr:colOff>507600</xdr:colOff>
      <xdr:row>52</xdr:row>
      <xdr:rowOff>165960</xdr:rowOff>
    </xdr:to>
    <xdr:graphicFrame>
      <xdr:nvGraphicFramePr>
        <xdr:cNvPr id="4" name="Chart 4"/>
        <xdr:cNvGraphicFramePr/>
      </xdr:nvGraphicFramePr>
      <xdr:xfrm>
        <a:off x="6061680" y="7648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43</xdr:row>
      <xdr:rowOff>0</xdr:rowOff>
    </xdr:from>
    <xdr:to>
      <xdr:col>12</xdr:col>
      <xdr:colOff>507600</xdr:colOff>
      <xdr:row>56</xdr:row>
      <xdr:rowOff>165960</xdr:rowOff>
    </xdr:to>
    <xdr:graphicFrame>
      <xdr:nvGraphicFramePr>
        <xdr:cNvPr id="5" name="Chart 5"/>
        <xdr:cNvGraphicFramePr/>
      </xdr:nvGraphicFramePr>
      <xdr:xfrm>
        <a:off x="6061680" y="841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47</xdr:row>
      <xdr:rowOff>0</xdr:rowOff>
    </xdr:from>
    <xdr:to>
      <xdr:col>12</xdr:col>
      <xdr:colOff>507600</xdr:colOff>
      <xdr:row>60</xdr:row>
      <xdr:rowOff>165960</xdr:rowOff>
    </xdr:to>
    <xdr:graphicFrame>
      <xdr:nvGraphicFramePr>
        <xdr:cNvPr id="6" name="Chart 6"/>
        <xdr:cNvGraphicFramePr/>
      </xdr:nvGraphicFramePr>
      <xdr:xfrm>
        <a:off x="6061680" y="917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Masraf" displayName="tblMasraf" ref="A5:C1004" headerRowCount="1" totalsRowCount="0" totalsRowShown="0">
  <tableColumns count="3">
    <tableColumn id="1" name="Masraf Kalemi"/>
    <tableColumn id="2" name="Tutar TL"/>
    <tableColumn id="3" name="Açıklama"/>
  </tableColumns>
</table>
</file>

<file path=xl/tables/table2.xml><?xml version="1.0" encoding="utf-8"?>
<table xmlns="http://schemas.openxmlformats.org/spreadsheetml/2006/main" id="2" name="tblUrun" displayName="tblUrun" ref="A5:U2004" headerRowCount="1" totalsRowCount="0" totalsRowShown="0">
  <tableColumns count="21">
    <tableColumn id="1" name="Ürün Adı"/>
    <tableColumn id="2" name="Birim"/>
    <tableColumn id="3" name="Adet"/>
    <tableColumn id="4" name="FOB Birim Fiyat (Döviz)"/>
    <tableColumn id="5" name="Döviz Cinsi"/>
    <tableColumn id="6" name="Kur (₺)"/>
    <tableColumn id="7" name="Navlun/Sigorta Oranı"/>
    <tableColumn id="8" name="Gümrük Vergisi Oranı"/>
    <tableColumn id="9" name="ÖTV Oranı"/>
    <tableColumn id="10" name="KDV Oranı"/>
    <tableColumn id="11" name="FOB TL">
      <calculatedColumnFormula>=IF(OR($C6="",$D6="",$F6=""),"",IFERROR($C6*$D6*$F6,0))</calculatedColumnFormula>
    </tableColumn>
    <tableColumn id="12" name="Navlun ve Sigorta TL">
      <calculatedColumnFormula>=IF(OR($K6="",$G6=""),"",IFERROR($K6*$G6,0))</calculatedColumnFormula>
    </tableColumn>
    <tableColumn id="13" name="CIF TL">
      <calculatedColumnFormula>=IF(OR($K6="",$L6=""),"",IFERROR($K6+$L6,0))</calculatedColumnFormula>
    </tableColumn>
    <tableColumn id="14" name="Gümrük Vergisi TL">
      <calculatedColumnFormula>=IF(OR($M6="",$H6=""),"",IFERROR($M6*$H6,0))</calculatedColumnFormula>
    </tableColumn>
    <tableColumn id="15" name="ÖTV TL">
      <calculatedColumnFormula>=IF(OR($M6="",$N6="",$I6=""),"",IFERROR(($M6+$N6)*$I6,0))</calculatedColumnFormula>
    </tableColumn>
    <tableColumn id="16" name="KDV TL">
      <calculatedColumnFormula>=IF(OR($M6="",$N6="",$O6="",$J6=""),"",IFERROR(($M6+$N6+$O6)*$J6,0))</calculatedColumnFormula>
    </tableColumn>
    <tableColumn id="17" name="Vergi Toplam TL">
      <calculatedColumnFormula>=IF(OR($N6="",$O6="",$P6=""),"",IFERROR($N6+$O6+$P6,0))</calculatedColumnFormula>
    </tableColumn>
    <tableColumn id="18" name="Yurt İçi Masraf Payı TL">
      <calculatedColumnFormula>=IF(OR($K6="",ToplamFOB=""),"",IFERROR($K6/MAX(BolumPaydaTaban,ToplamFOB)*ToplamYurtIciMasraf,0))</calculatedColumnFormula>
    </tableColumn>
    <tableColumn id="19" name="Depo Teslim Toplam TL">
      <calculatedColumnFormula>=IF(OR($M6="",$Q6="",$R6=""),"",IFERROR($M6+$Q6+$R6,0))</calculatedColumnFormula>
    </tableColumn>
    <tableColumn id="20" name="Net Birim Maliyet TL">
      <calculatedColumnFormula>=IF(OR($S6="",$C6=""),"",IFERROR($S6/MAX(BolumPaydaTaban,$C6),0))</calculatedColumnFormula>
    </tableColumn>
    <tableColumn id="21" name="Maliyet Faktörü">
      <calculatedColumnFormula>=IF(OR($S6="",$K6=""),"",IFERROR($S6/MAX(BolumPaydaTaban,$K6),0))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10" min="7" style="0" width="16"/>
    <col collapsed="false" customWidth="true" hidden="false" outlineLevel="0" max="21" min="11" style="0" width="18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true" outlineLevel="0" collapsed="false">
      <c r="A4" s="14" t="s">
        <v>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  <c r="N5" s="15" t="s">
        <v>40</v>
      </c>
      <c r="O5" s="15" t="s">
        <v>41</v>
      </c>
      <c r="P5" s="15" t="s">
        <v>42</v>
      </c>
      <c r="Q5" s="15" t="s">
        <v>43</v>
      </c>
      <c r="R5" s="15" t="s">
        <v>44</v>
      </c>
      <c r="S5" s="15" t="s">
        <v>45</v>
      </c>
      <c r="T5" s="15" t="s">
        <v>46</v>
      </c>
      <c r="U5" s="15" t="s">
        <v>47</v>
      </c>
    </row>
    <row r="6" customFormat="false" ht="15" hidden="false" customHeight="false" outlineLevel="0" collapsed="false">
      <c r="A6" s="16" t="s">
        <v>48</v>
      </c>
      <c r="B6" s="16" t="s">
        <v>29</v>
      </c>
      <c r="C6" s="17" t="n">
        <v>50</v>
      </c>
      <c r="D6" s="18" t="n">
        <v>120</v>
      </c>
      <c r="E6" s="16" t="s">
        <v>49</v>
      </c>
      <c r="F6" s="18" t="n">
        <v>38.5</v>
      </c>
      <c r="G6" s="19" t="n">
        <v>0.05</v>
      </c>
      <c r="H6" s="19" t="n">
        <v>0.05</v>
      </c>
      <c r="I6" s="19" t="n">
        <v>0.1</v>
      </c>
      <c r="J6" s="19" t="n">
        <v>0.2</v>
      </c>
      <c r="K6" s="0" t="n">
        <f aca="false">IF(OR($C6="",$D6="",$F6=""),"",IFERROR($C6*$D6*$F6,0))</f>
        <v>231000</v>
      </c>
      <c r="L6" s="0" t="n">
        <f aca="false">IF(OR($K6="",$G6=""),"",IFERROR($K6*$G6,0))</f>
        <v>11550</v>
      </c>
      <c r="M6" s="0" t="n">
        <f aca="false">IF(OR($K6="",$L6=""),"",IFERROR($K6+$L6,0))</f>
        <v>242550</v>
      </c>
      <c r="N6" s="0" t="n">
        <f aca="false">IF(OR($M6="",$H6=""),"",IFERROR($M6*$H6,0))</f>
        <v>12127.5</v>
      </c>
      <c r="O6" s="0" t="n">
        <f aca="false">IF(OR($M6="",$N6="",$I6=""),"",IFERROR(($M6+$N6)*$I6,0))</f>
        <v>25467.75</v>
      </c>
      <c r="P6" s="0" t="n">
        <f aca="false">IF(OR($M6="",$N6="",$O6="",$J6=""),"",IFERROR(($M6+$N6+$O6)*$J6,0))</f>
        <v>56029.05</v>
      </c>
      <c r="Q6" s="0" t="n">
        <f aca="false">IF(OR($N6="",$O6="",$P6=""),"",IFERROR($N6+$O6+$P6,0))</f>
        <v>93624.3</v>
      </c>
      <c r="R6" s="0" t="n">
        <f aca="false">IF(OR($K6="",ToplamFOB=""),"",IFERROR($K6/MAX(BolumPaydaTaban,ToplamFOB)*ToplamYurtIciMasraf,0))</f>
        <v>3115.25075408532</v>
      </c>
      <c r="S6" s="0" t="n">
        <f aca="false">IF(OR($M6="",$Q6="",$R6=""),"",IFERROR($M6+$Q6+$R6,0))</f>
        <v>339289.550754085</v>
      </c>
      <c r="T6" s="0" t="n">
        <f aca="false">IF(OR($S6="",$C6=""),"",IFERROR($S6/MAX(BolumPaydaTaban,$C6),0))</f>
        <v>6785.79101508171</v>
      </c>
      <c r="U6" s="0" t="n">
        <f aca="false">IF(OR($S6="",$K6=""),"",IFERROR($S6/MAX(BolumPaydaTaban,$K6),0))</f>
        <v>1.46878593400037</v>
      </c>
    </row>
    <row r="7" customFormat="false" ht="15" hidden="false" customHeight="false" outlineLevel="0" collapsed="false">
      <c r="A7" s="16" t="s">
        <v>50</v>
      </c>
      <c r="B7" s="16" t="s">
        <v>29</v>
      </c>
      <c r="C7" s="17" t="n">
        <v>200</v>
      </c>
      <c r="D7" s="18" t="n">
        <v>15</v>
      </c>
      <c r="E7" s="16" t="s">
        <v>49</v>
      </c>
      <c r="F7" s="18" t="n">
        <v>38.5</v>
      </c>
      <c r="G7" s="19" t="n">
        <v>0.05</v>
      </c>
      <c r="H7" s="19" t="n">
        <v>0.05</v>
      </c>
      <c r="I7" s="19" t="n">
        <v>0.1</v>
      </c>
      <c r="J7" s="19" t="n">
        <v>0.2</v>
      </c>
      <c r="K7" s="0" t="n">
        <f aca="false">IF(OR($C7="",$D7="",$F7=""),"",IFERROR($C7*$D7*$F7,0))</f>
        <v>115500</v>
      </c>
      <c r="L7" s="0" t="n">
        <f aca="false">IF(OR($K7="",$G7=""),"",IFERROR($K7*$G7,0))</f>
        <v>5775</v>
      </c>
      <c r="M7" s="0" t="n">
        <f aca="false">IF(OR($K7="",$L7=""),"",IFERROR($K7+$L7,0))</f>
        <v>121275</v>
      </c>
      <c r="N7" s="0" t="n">
        <f aca="false">IF(OR($M7="",$H7=""),"",IFERROR($M7*$H7,0))</f>
        <v>6063.75</v>
      </c>
      <c r="O7" s="0" t="n">
        <f aca="false">IF(OR($M7="",$N7="",$I7=""),"",IFERROR(($M7+$N7)*$I7,0))</f>
        <v>12733.875</v>
      </c>
      <c r="P7" s="0" t="n">
        <f aca="false">IF(OR($M7="",$N7="",$O7="",$J7=""),"",IFERROR(($M7+$N7+$O7)*$J7,0))</f>
        <v>28014.525</v>
      </c>
      <c r="Q7" s="0" t="n">
        <f aca="false">IF(OR($N7="",$O7="",$P7=""),"",IFERROR($N7+$O7+$P7,0))</f>
        <v>46812.15</v>
      </c>
      <c r="R7" s="0" t="n">
        <f aca="false">IF(OR($K7="",ToplamFOB=""),"",IFERROR($K7/MAX(BolumPaydaTaban,ToplamFOB)*ToplamYurtIciMasraf,0))</f>
        <v>1557.62537704266</v>
      </c>
      <c r="S7" s="0" t="n">
        <f aca="false">IF(OR($M7="",$Q7="",$R7=""),"",IFERROR($M7+$Q7+$R7,0))</f>
        <v>169644.775377043</v>
      </c>
      <c r="T7" s="0" t="n">
        <f aca="false">IF(OR($S7="",$C7=""),"",IFERROR($S7/MAX(BolumPaydaTaban,$C7),0))</f>
        <v>848.223876885213</v>
      </c>
      <c r="U7" s="0" t="n">
        <f aca="false">IF(OR($S7="",$K7=""),"",IFERROR($S7/MAX(BolumPaydaTaban,$K7),0))</f>
        <v>1.46878593400037</v>
      </c>
    </row>
    <row r="8" customFormat="false" ht="15" hidden="false" customHeight="false" outlineLevel="0" collapsed="false">
      <c r="A8" s="16" t="s">
        <v>51</v>
      </c>
      <c r="B8" s="16" t="s">
        <v>52</v>
      </c>
      <c r="C8" s="17" t="n">
        <v>3000</v>
      </c>
      <c r="D8" s="18" t="n">
        <v>4</v>
      </c>
      <c r="E8" s="16" t="s">
        <v>53</v>
      </c>
      <c r="F8" s="18" t="n">
        <v>42</v>
      </c>
      <c r="G8" s="19" t="n">
        <v>0.05</v>
      </c>
      <c r="H8" s="19" t="n">
        <v>0.05</v>
      </c>
      <c r="I8" s="19" t="n">
        <v>0.1</v>
      </c>
      <c r="J8" s="19" t="n">
        <v>0.2</v>
      </c>
      <c r="K8" s="0" t="n">
        <f aca="false">IF(OR($C8="",$D8="",$F8=""),"",IFERROR($C8*$D8*$F8,0))</f>
        <v>504000</v>
      </c>
      <c r="L8" s="0" t="n">
        <f aca="false">IF(OR($K8="",$G8=""),"",IFERROR($K8*$G8,0))</f>
        <v>25200</v>
      </c>
      <c r="M8" s="0" t="n">
        <f aca="false">IF(OR($K8="",$L8=""),"",IFERROR($K8+$L8,0))</f>
        <v>529200</v>
      </c>
      <c r="N8" s="0" t="n">
        <f aca="false">IF(OR($M8="",$H8=""),"",IFERROR($M8*$H8,0))</f>
        <v>26460</v>
      </c>
      <c r="O8" s="0" t="n">
        <f aca="false">IF(OR($M8="",$N8="",$I8=""),"",IFERROR(($M8+$N8)*$I8,0))</f>
        <v>55566</v>
      </c>
      <c r="P8" s="0" t="n">
        <f aca="false">IF(OR($M8="",$N8="",$O8="",$J8=""),"",IFERROR(($M8+$N8+$O8)*$J8,0))</f>
        <v>122245.2</v>
      </c>
      <c r="Q8" s="0" t="n">
        <f aca="false">IF(OR($N8="",$O8="",$P8=""),"",IFERROR($N8+$O8+$P8,0))</f>
        <v>204271.2</v>
      </c>
      <c r="R8" s="0" t="n">
        <f aca="false">IF(OR($K8="",ToplamFOB=""),"",IFERROR($K8/MAX(BolumPaydaTaban,ToplamFOB)*ToplamYurtIciMasraf,0))</f>
        <v>6796.91073618615</v>
      </c>
      <c r="S8" s="0" t="n">
        <f aca="false">IF(OR($M8="",$Q8="",$R8=""),"",IFERROR($M8+$Q8+$R8,0))</f>
        <v>740268.110736186</v>
      </c>
      <c r="T8" s="0" t="n">
        <f aca="false">IF(OR($S8="",$C8=""),"",IFERROR($S8/MAX(BolumPaydaTaban,$C8),0))</f>
        <v>246.756036912062</v>
      </c>
      <c r="U8" s="0" t="n">
        <f aca="false">IF(OR($S8="",$K8=""),"",IFERROR($S8/MAX(BolumPaydaTaban,$K8),0))</f>
        <v>1.46878593400037</v>
      </c>
    </row>
    <row r="9" customFormat="false" ht="15" hidden="false" customHeight="false" outlineLevel="0" collapsed="false">
      <c r="A9" s="16" t="s">
        <v>54</v>
      </c>
      <c r="B9" s="16" t="s">
        <v>29</v>
      </c>
      <c r="C9" s="17" t="n">
        <v>25</v>
      </c>
      <c r="D9" s="18" t="n">
        <v>850</v>
      </c>
      <c r="E9" s="16" t="s">
        <v>53</v>
      </c>
      <c r="F9" s="18" t="n">
        <v>42</v>
      </c>
      <c r="G9" s="19" t="n">
        <v>0.05</v>
      </c>
      <c r="H9" s="19" t="n">
        <v>0.05</v>
      </c>
      <c r="I9" s="19" t="n">
        <v>0.1</v>
      </c>
      <c r="J9" s="19" t="n">
        <v>0.2</v>
      </c>
      <c r="K9" s="0" t="n">
        <f aca="false">IF(OR($C9="",$D9="",$F9=""),"",IFERROR($C9*$D9*$F9,0))</f>
        <v>892500</v>
      </c>
      <c r="L9" s="0" t="n">
        <f aca="false">IF(OR($K9="",$G9=""),"",IFERROR($K9*$G9,0))</f>
        <v>44625</v>
      </c>
      <c r="M9" s="0" t="n">
        <f aca="false">IF(OR($K9="",$L9=""),"",IFERROR($K9+$L9,0))</f>
        <v>937125</v>
      </c>
      <c r="N9" s="0" t="n">
        <f aca="false">IF(OR($M9="",$H9=""),"",IFERROR($M9*$H9,0))</f>
        <v>46856.25</v>
      </c>
      <c r="O9" s="0" t="n">
        <f aca="false">IF(OR($M9="",$N9="",$I9=""),"",IFERROR(($M9+$N9)*$I9,0))</f>
        <v>98398.125</v>
      </c>
      <c r="P9" s="0" t="n">
        <f aca="false">IF(OR($M9="",$N9="",$O9="",$J9=""),"",IFERROR(($M9+$N9+$O9)*$J9,0))</f>
        <v>216475.875</v>
      </c>
      <c r="Q9" s="0" t="n">
        <f aca="false">IF(OR($N9="",$O9="",$P9=""),"",IFERROR($N9+$O9+$P9,0))</f>
        <v>361730.25</v>
      </c>
      <c r="R9" s="0" t="n">
        <f aca="false">IF(OR($K9="",ToplamFOB=""),"",IFERROR($K9/MAX(BolumPaydaTaban,ToplamFOB)*ToplamYurtIciMasraf,0))</f>
        <v>12036.1960953296</v>
      </c>
      <c r="S9" s="0" t="n">
        <f aca="false">IF(OR($M9="",$Q9="",$R9=""),"",IFERROR($M9+$Q9+$R9,0))</f>
        <v>1310891.44609533</v>
      </c>
      <c r="T9" s="0" t="n">
        <f aca="false">IF(OR($S9="",$C9=""),"",IFERROR($S9/MAX(BolumPaydaTaban,$C9),0))</f>
        <v>52435.6578438132</v>
      </c>
      <c r="U9" s="0" t="n">
        <f aca="false">IF(OR($S9="",$K9=""),"",IFERROR($S9/MAX(BolumPaydaTaban,$K9),0))</f>
        <v>1.46878593400037</v>
      </c>
    </row>
    <row r="10" customFormat="false" ht="15" hidden="false" customHeight="false" outlineLevel="0" collapsed="false">
      <c r="A10" s="16" t="s">
        <v>55</v>
      </c>
      <c r="B10" s="16" t="s">
        <v>29</v>
      </c>
      <c r="C10" s="17" t="n">
        <v>400</v>
      </c>
      <c r="D10" s="18" t="n">
        <v>18</v>
      </c>
      <c r="E10" s="16" t="s">
        <v>49</v>
      </c>
      <c r="F10" s="18" t="n">
        <v>38.5</v>
      </c>
      <c r="G10" s="19" t="n">
        <v>0.05</v>
      </c>
      <c r="H10" s="19" t="n">
        <v>0.05</v>
      </c>
      <c r="I10" s="19" t="n">
        <v>0.1</v>
      </c>
      <c r="J10" s="19" t="n">
        <v>0.2</v>
      </c>
      <c r="K10" s="0" t="n">
        <f aca="false">IF(OR($C10="",$D10="",$F10=""),"",IFERROR($C10*$D10*$F10,0))</f>
        <v>277200</v>
      </c>
      <c r="L10" s="0" t="n">
        <f aca="false">IF(OR($K10="",$G10=""),"",IFERROR($K10*$G10,0))</f>
        <v>13860</v>
      </c>
      <c r="M10" s="0" t="n">
        <f aca="false">IF(OR($K10="",$L10=""),"",IFERROR($K10+$L10,0))</f>
        <v>291060</v>
      </c>
      <c r="N10" s="0" t="n">
        <f aca="false">IF(OR($M10="",$H10=""),"",IFERROR($M10*$H10,0))</f>
        <v>14553</v>
      </c>
      <c r="O10" s="0" t="n">
        <f aca="false">IF(OR($M10="",$N10="",$I10=""),"",IFERROR(($M10+$N10)*$I10,0))</f>
        <v>30561.3</v>
      </c>
      <c r="P10" s="0" t="n">
        <f aca="false">IF(OR($M10="",$N10="",$O10="",$J10=""),"",IFERROR(($M10+$N10+$O10)*$J10,0))</f>
        <v>67234.86</v>
      </c>
      <c r="Q10" s="0" t="n">
        <f aca="false">IF(OR($N10="",$O10="",$P10=""),"",IFERROR($N10+$O10+$P10,0))</f>
        <v>112349.16</v>
      </c>
      <c r="R10" s="0" t="n">
        <f aca="false">IF(OR($K10="",ToplamFOB=""),"",IFERROR($K10/MAX(BolumPaydaTaban,ToplamFOB)*ToplamYurtIciMasraf,0))</f>
        <v>3738.30090490238</v>
      </c>
      <c r="S10" s="0" t="n">
        <f aca="false">IF(OR($M10="",$Q10="",$R10=""),"",IFERROR($M10+$Q10+$R10,0))</f>
        <v>407147.460904902</v>
      </c>
      <c r="T10" s="0" t="n">
        <f aca="false">IF(OR($S10="",$C10=""),"",IFERROR($S10/MAX(BolumPaydaTaban,$C10),0))</f>
        <v>1017.86865226226</v>
      </c>
      <c r="U10" s="0" t="n">
        <f aca="false">IF(OR($S10="",$K10=""),"",IFERROR($S10/MAX(BolumPaydaTaban,$K10),0))</f>
        <v>1.46878593400037</v>
      </c>
    </row>
    <row r="11" customFormat="false" ht="15" hidden="false" customHeight="false" outlineLevel="0" collapsed="false">
      <c r="A11" s="16" t="s">
        <v>56</v>
      </c>
      <c r="B11" s="16" t="s">
        <v>57</v>
      </c>
      <c r="C11" s="17" t="n">
        <v>150</v>
      </c>
      <c r="D11" s="18" t="n">
        <v>45</v>
      </c>
      <c r="E11" s="16" t="s">
        <v>49</v>
      </c>
      <c r="F11" s="18" t="n">
        <v>38.5</v>
      </c>
      <c r="G11" s="19" t="n">
        <v>0.05</v>
      </c>
      <c r="H11" s="19" t="n">
        <v>0.05</v>
      </c>
      <c r="I11" s="19" t="n">
        <v>0.1</v>
      </c>
      <c r="J11" s="19" t="n">
        <v>0.2</v>
      </c>
      <c r="K11" s="0" t="n">
        <f aca="false">IF(OR($C11="",$D11="",$F11=""),"",IFERROR($C11*$D11*$F11,0))</f>
        <v>259875</v>
      </c>
      <c r="L11" s="0" t="n">
        <f aca="false">IF(OR($K11="",$G11=""),"",IFERROR($K11*$G11,0))</f>
        <v>12993.75</v>
      </c>
      <c r="M11" s="0" t="n">
        <f aca="false">IF(OR($K11="",$L11=""),"",IFERROR($K11+$L11,0))</f>
        <v>272868.75</v>
      </c>
      <c r="N11" s="0" t="n">
        <f aca="false">IF(OR($M11="",$H11=""),"",IFERROR($M11*$H11,0))</f>
        <v>13643.4375</v>
      </c>
      <c r="O11" s="0" t="n">
        <f aca="false">IF(OR($M11="",$N11="",$I11=""),"",IFERROR(($M11+$N11)*$I11,0))</f>
        <v>28651.21875</v>
      </c>
      <c r="P11" s="0" t="n">
        <f aca="false">IF(OR($M11="",$N11="",$O11="",$J11=""),"",IFERROR(($M11+$N11+$O11)*$J11,0))</f>
        <v>63032.68125</v>
      </c>
      <c r="Q11" s="0" t="n">
        <f aca="false">IF(OR($N11="",$O11="",$P11=""),"",IFERROR($N11+$O11+$P11,0))</f>
        <v>105327.3375</v>
      </c>
      <c r="R11" s="0" t="n">
        <f aca="false">IF(OR($K11="",ToplamFOB=""),"",IFERROR($K11/MAX(BolumPaydaTaban,ToplamFOB)*ToplamYurtIciMasraf,0))</f>
        <v>3504.65709834598</v>
      </c>
      <c r="S11" s="0" t="n">
        <f aca="false">IF(OR($M11="",$Q11="",$R11=""),"",IFERROR($M11+$Q11+$R11,0))</f>
        <v>381700.744598346</v>
      </c>
      <c r="T11" s="0" t="n">
        <f aca="false">IF(OR($S11="",$C11=""),"",IFERROR($S11/MAX(BolumPaydaTaban,$C11),0))</f>
        <v>2544.67163065564</v>
      </c>
      <c r="U11" s="0" t="n">
        <f aca="false">IF(OR($S11="",$K11=""),"",IFERROR($S11/MAX(BolumPaydaTaban,$K11),0))</f>
        <v>1.46878593400037</v>
      </c>
    </row>
    <row r="12" customFormat="false" ht="15" hidden="false" customHeight="false" outlineLevel="0" collapsed="false">
      <c r="A12" s="16" t="s">
        <v>58</v>
      </c>
      <c r="B12" s="16" t="s">
        <v>29</v>
      </c>
      <c r="C12" s="17" t="n">
        <v>80</v>
      </c>
      <c r="D12" s="18" t="n">
        <v>260</v>
      </c>
      <c r="E12" s="16" t="s">
        <v>49</v>
      </c>
      <c r="F12" s="18" t="n">
        <v>38.5</v>
      </c>
      <c r="G12" s="19" t="n">
        <v>0.05</v>
      </c>
      <c r="H12" s="19" t="n">
        <v>0.05</v>
      </c>
      <c r="I12" s="19" t="n">
        <v>0.1</v>
      </c>
      <c r="J12" s="19" t="n">
        <v>0.2</v>
      </c>
      <c r="K12" s="0" t="n">
        <f aca="false">IF(OR($C12="",$D12="",$F12=""),"",IFERROR($C12*$D12*$F12,0))</f>
        <v>800800</v>
      </c>
      <c r="L12" s="0" t="n">
        <f aca="false">IF(OR($K12="",$G12=""),"",IFERROR($K12*$G12,0))</f>
        <v>40040</v>
      </c>
      <c r="M12" s="0" t="n">
        <f aca="false">IF(OR($K12="",$L12=""),"",IFERROR($K12+$L12,0))</f>
        <v>840840</v>
      </c>
      <c r="N12" s="0" t="n">
        <f aca="false">IF(OR($M12="",$H12=""),"",IFERROR($M12*$H12,0))</f>
        <v>42042</v>
      </c>
      <c r="O12" s="0" t="n">
        <f aca="false">IF(OR($M12="",$N12="",$I12=""),"",IFERROR(($M12+$N12)*$I12,0))</f>
        <v>88288.2</v>
      </c>
      <c r="P12" s="0" t="n">
        <f aca="false">IF(OR($M12="",$N12="",$O12="",$J12=""),"",IFERROR(($M12+$N12+$O12)*$J12,0))</f>
        <v>194234.04</v>
      </c>
      <c r="Q12" s="0" t="n">
        <f aca="false">IF(OR($N12="",$O12="",$P12=""),"",IFERROR($N12+$O12+$P12,0))</f>
        <v>324564.24</v>
      </c>
      <c r="R12" s="0" t="n">
        <f aca="false">IF(OR($K12="",ToplamFOB=""),"",IFERROR($K12/MAX(BolumPaydaTaban,ToplamFOB)*ToplamYurtIciMasraf,0))</f>
        <v>10799.5359474958</v>
      </c>
      <c r="S12" s="0" t="n">
        <f aca="false">IF(OR($M12="",$Q12="",$R12=""),"",IFERROR($M12+$Q12+$R12,0))</f>
        <v>1176203.7759475</v>
      </c>
      <c r="T12" s="0" t="n">
        <f aca="false">IF(OR($S12="",$C12=""),"",IFERROR($S12/MAX(BolumPaydaTaban,$C12),0))</f>
        <v>14702.5471993437</v>
      </c>
      <c r="U12" s="0" t="n">
        <f aca="false">IF(OR($S12="",$K12=""),"",IFERROR($S12/MAX(BolumPaydaTaban,$K12),0))</f>
        <v>1.46878593400037</v>
      </c>
    </row>
    <row r="13" customFormat="false" ht="15" hidden="false" customHeight="false" outlineLevel="0" collapsed="false">
      <c r="A13" s="16" t="s">
        <v>59</v>
      </c>
      <c r="B13" s="16" t="s">
        <v>29</v>
      </c>
      <c r="C13" s="17" t="n">
        <v>12</v>
      </c>
      <c r="D13" s="18" t="n">
        <v>1450</v>
      </c>
      <c r="E13" s="16" t="s">
        <v>53</v>
      </c>
      <c r="F13" s="18" t="n">
        <v>42</v>
      </c>
      <c r="G13" s="19" t="n">
        <v>0.05</v>
      </c>
      <c r="H13" s="19" t="n">
        <v>0.05</v>
      </c>
      <c r="I13" s="19" t="n">
        <v>0.1</v>
      </c>
      <c r="J13" s="19" t="n">
        <v>0.2</v>
      </c>
      <c r="K13" s="0" t="n">
        <f aca="false">IF(OR($C13="",$D13="",$F13=""),"",IFERROR($C13*$D13*$F13,0))</f>
        <v>730800</v>
      </c>
      <c r="L13" s="0" t="n">
        <f aca="false">IF(OR($K13="",$G13=""),"",IFERROR($K13*$G13,0))</f>
        <v>36540</v>
      </c>
      <c r="M13" s="0" t="n">
        <f aca="false">IF(OR($K13="",$L13=""),"",IFERROR($K13+$L13,0))</f>
        <v>767340</v>
      </c>
      <c r="N13" s="0" t="n">
        <f aca="false">IF(OR($M13="",$H13=""),"",IFERROR($M13*$H13,0))</f>
        <v>38367</v>
      </c>
      <c r="O13" s="0" t="n">
        <f aca="false">IF(OR($M13="",$N13="",$I13=""),"",IFERROR(($M13+$N13)*$I13,0))</f>
        <v>80570.7</v>
      </c>
      <c r="P13" s="0" t="n">
        <f aca="false">IF(OR($M13="",$N13="",$O13="",$J13=""),"",IFERROR(($M13+$N13+$O13)*$J13,0))</f>
        <v>177255.54</v>
      </c>
      <c r="Q13" s="0" t="n">
        <f aca="false">IF(OR($N13="",$O13="",$P13=""),"",IFERROR($N13+$O13+$P13,0))</f>
        <v>296193.24</v>
      </c>
      <c r="R13" s="0" t="n">
        <f aca="false">IF(OR($K13="",ToplamFOB=""),"",IFERROR($K13/MAX(BolumPaydaTaban,ToplamFOB)*ToplamYurtIciMasraf,0))</f>
        <v>9855.52056746992</v>
      </c>
      <c r="S13" s="0" t="n">
        <f aca="false">IF(OR($M13="",$Q13="",$R13=""),"",IFERROR($M13+$Q13+$R13,0))</f>
        <v>1073388.76056747</v>
      </c>
      <c r="T13" s="0" t="n">
        <f aca="false">IF(OR($S13="",$C13=""),"",IFERROR($S13/MAX(BolumPaydaTaban,$C13),0))</f>
        <v>89449.0633806225</v>
      </c>
      <c r="U13" s="0" t="n">
        <f aca="false">IF(OR($S13="",$K13=""),"",IFERROR($S13/MAX(BolumPaydaTaban,$K13),0))</f>
        <v>1.46878593400037</v>
      </c>
    </row>
    <row r="14" customFormat="false" ht="15" hidden="false" customHeight="false" outlineLevel="0" collapsed="false">
      <c r="A14" s="16" t="s">
        <v>60</v>
      </c>
      <c r="B14" s="16" t="s">
        <v>29</v>
      </c>
      <c r="C14" s="17" t="n">
        <v>300</v>
      </c>
      <c r="D14" s="18" t="n">
        <v>32</v>
      </c>
      <c r="E14" s="16" t="s">
        <v>53</v>
      </c>
      <c r="F14" s="18" t="n">
        <v>42</v>
      </c>
      <c r="G14" s="19" t="n">
        <v>0.05</v>
      </c>
      <c r="H14" s="19" t="n">
        <v>0.05</v>
      </c>
      <c r="I14" s="19" t="n">
        <v>0.1</v>
      </c>
      <c r="J14" s="19" t="n">
        <v>0.2</v>
      </c>
      <c r="K14" s="0" t="n">
        <f aca="false">IF(OR($C14="",$D14="",$F14=""),"",IFERROR($C14*$D14*$F14,0))</f>
        <v>403200</v>
      </c>
      <c r="L14" s="0" t="n">
        <f aca="false">IF(OR($K14="",$G14=""),"",IFERROR($K14*$G14,0))</f>
        <v>20160</v>
      </c>
      <c r="M14" s="0" t="n">
        <f aca="false">IF(OR($K14="",$L14=""),"",IFERROR($K14+$L14,0))</f>
        <v>423360</v>
      </c>
      <c r="N14" s="0" t="n">
        <f aca="false">IF(OR($M14="",$H14=""),"",IFERROR($M14*$H14,0))</f>
        <v>21168</v>
      </c>
      <c r="O14" s="0" t="n">
        <f aca="false">IF(OR($M14="",$N14="",$I14=""),"",IFERROR(($M14+$N14)*$I14,0))</f>
        <v>44452.8</v>
      </c>
      <c r="P14" s="0" t="n">
        <f aca="false">IF(OR($M14="",$N14="",$O14="",$J14=""),"",IFERROR(($M14+$N14+$O14)*$J14,0))</f>
        <v>97796.16</v>
      </c>
      <c r="Q14" s="0" t="n">
        <f aca="false">IF(OR($N14="",$O14="",$P14=""),"",IFERROR($N14+$O14+$P14,0))</f>
        <v>163416.96</v>
      </c>
      <c r="R14" s="0" t="n">
        <f aca="false">IF(OR($K14="",ToplamFOB=""),"",IFERROR($K14/MAX(BolumPaydaTaban,ToplamFOB)*ToplamYurtIciMasraf,0))</f>
        <v>5437.52858894892</v>
      </c>
      <c r="S14" s="0" t="n">
        <f aca="false">IF(OR($M14="",$Q14="",$R14=""),"",IFERROR($M14+$Q14+$R14,0))</f>
        <v>592214.488588949</v>
      </c>
      <c r="T14" s="0" t="n">
        <f aca="false">IF(OR($S14="",$C14=""),"",IFERROR($S14/MAX(BolumPaydaTaban,$C14),0))</f>
        <v>1974.0482952965</v>
      </c>
      <c r="U14" s="0" t="n">
        <f aca="false">IF(OR($S14="",$K14=""),"",IFERROR($S14/MAX(BolumPaydaTaban,$K14),0))</f>
        <v>1.46878593400037</v>
      </c>
    </row>
    <row r="15" customFormat="false" ht="15" hidden="false" customHeight="false" outlineLevel="0" collapsed="false">
      <c r="A15" s="16" t="s">
        <v>61</v>
      </c>
      <c r="B15" s="16" t="s">
        <v>29</v>
      </c>
      <c r="C15" s="17" t="n">
        <v>600</v>
      </c>
      <c r="D15" s="18" t="n">
        <v>9</v>
      </c>
      <c r="E15" s="16" t="s">
        <v>49</v>
      </c>
      <c r="F15" s="18" t="n">
        <v>38.5</v>
      </c>
      <c r="G15" s="19" t="n">
        <v>0.05</v>
      </c>
      <c r="H15" s="19" t="n">
        <v>0.05</v>
      </c>
      <c r="I15" s="19" t="n">
        <v>0.1</v>
      </c>
      <c r="J15" s="19" t="n">
        <v>0.2</v>
      </c>
      <c r="K15" s="0" t="n">
        <f aca="false">IF(OR($C15="",$D15="",$F15=""),"",IFERROR($C15*$D15*$F15,0))</f>
        <v>207900</v>
      </c>
      <c r="L15" s="0" t="n">
        <f aca="false">IF(OR($K15="",$G15=""),"",IFERROR($K15*$G15,0))</f>
        <v>10395</v>
      </c>
      <c r="M15" s="0" t="n">
        <f aca="false">IF(OR($K15="",$L15=""),"",IFERROR($K15+$L15,0))</f>
        <v>218295</v>
      </c>
      <c r="N15" s="0" t="n">
        <f aca="false">IF(OR($M15="",$H15=""),"",IFERROR($M15*$H15,0))</f>
        <v>10914.75</v>
      </c>
      <c r="O15" s="0" t="n">
        <f aca="false">IF(OR($M15="",$N15="",$I15=""),"",IFERROR(($M15+$N15)*$I15,0))</f>
        <v>22920.975</v>
      </c>
      <c r="P15" s="0" t="n">
        <f aca="false">IF(OR($M15="",$N15="",$O15="",$J15=""),"",IFERROR(($M15+$N15+$O15)*$J15,0))</f>
        <v>50426.145</v>
      </c>
      <c r="Q15" s="0" t="n">
        <f aca="false">IF(OR($N15="",$O15="",$P15=""),"",IFERROR($N15+$O15+$P15,0))</f>
        <v>84261.87</v>
      </c>
      <c r="R15" s="0" t="n">
        <f aca="false">IF(OR($K15="",ToplamFOB=""),"",IFERROR($K15/MAX(BolumPaydaTaban,ToplamFOB)*ToplamYurtIciMasraf,0))</f>
        <v>2803.72567867679</v>
      </c>
      <c r="S15" s="0" t="n">
        <f aca="false">IF(OR($M15="",$Q15="",$R15=""),"",IFERROR($M15+$Q15+$R15,0))</f>
        <v>305360.595678677</v>
      </c>
      <c r="T15" s="0" t="n">
        <f aca="false">IF(OR($S15="",$C15=""),"",IFERROR($S15/MAX(BolumPaydaTaban,$C15),0))</f>
        <v>508.934326131128</v>
      </c>
      <c r="U15" s="0" t="n">
        <f aca="false">IF(OR($S15="",$K15=""),"",IFERROR($S15/MAX(BolumPaydaTaban,$K15),0))</f>
        <v>1.46878593400037</v>
      </c>
    </row>
    <row r="16" customFormat="false" ht="15" hidden="false" customHeight="false" outlineLevel="0" collapsed="false">
      <c r="A16" s="16" t="s">
        <v>62</v>
      </c>
      <c r="B16" s="16" t="s">
        <v>29</v>
      </c>
      <c r="C16" s="17" t="n">
        <v>20</v>
      </c>
      <c r="D16" s="18" t="n">
        <v>720</v>
      </c>
      <c r="E16" s="16" t="s">
        <v>49</v>
      </c>
      <c r="F16" s="18" t="n">
        <v>38.5</v>
      </c>
      <c r="G16" s="19" t="n">
        <v>0.05</v>
      </c>
      <c r="H16" s="19" t="n">
        <v>0.05</v>
      </c>
      <c r="I16" s="19" t="n">
        <v>0.1</v>
      </c>
      <c r="J16" s="19" t="n">
        <v>0.2</v>
      </c>
      <c r="K16" s="0" t="n">
        <f aca="false">IF(OR($C16="",$D16="",$F16=""),"",IFERROR($C16*$D16*$F16,0))</f>
        <v>554400</v>
      </c>
      <c r="L16" s="0" t="n">
        <f aca="false">IF(OR($K16="",$G16=""),"",IFERROR($K16*$G16,0))</f>
        <v>27720</v>
      </c>
      <c r="M16" s="0" t="n">
        <f aca="false">IF(OR($K16="",$L16=""),"",IFERROR($K16+$L16,0))</f>
        <v>582120</v>
      </c>
      <c r="N16" s="0" t="n">
        <f aca="false">IF(OR($M16="",$H16=""),"",IFERROR($M16*$H16,0))</f>
        <v>29106</v>
      </c>
      <c r="O16" s="0" t="n">
        <f aca="false">IF(OR($M16="",$N16="",$I16=""),"",IFERROR(($M16+$N16)*$I16,0))</f>
        <v>61122.6</v>
      </c>
      <c r="P16" s="0" t="n">
        <f aca="false">IF(OR($M16="",$N16="",$O16="",$J16=""),"",IFERROR(($M16+$N16+$O16)*$J16,0))</f>
        <v>134469.72</v>
      </c>
      <c r="Q16" s="0" t="n">
        <f aca="false">IF(OR($N16="",$O16="",$P16=""),"",IFERROR($N16+$O16+$P16,0))</f>
        <v>224698.32</v>
      </c>
      <c r="R16" s="0" t="n">
        <f aca="false">IF(OR($K16="",ToplamFOB=""),"",IFERROR($K16/MAX(BolumPaydaTaban,ToplamFOB)*ToplamYurtIciMasraf,0))</f>
        <v>7476.60180980477</v>
      </c>
      <c r="S16" s="0" t="n">
        <f aca="false">IF(OR($M16="",$Q16="",$R16=""),"",IFERROR($M16+$Q16+$R16,0))</f>
        <v>814294.921809805</v>
      </c>
      <c r="T16" s="0" t="n">
        <f aca="false">IF(OR($S16="",$C16=""),"",IFERROR($S16/MAX(BolumPaydaTaban,$C16),0))</f>
        <v>40714.7460904902</v>
      </c>
      <c r="U16" s="0" t="n">
        <f aca="false">IF(OR($S16="",$K16=""),"",IFERROR($S16/MAX(BolumPaydaTaban,$K16),0))</f>
        <v>1.46878593400037</v>
      </c>
    </row>
    <row r="17" customFormat="false" ht="15" hidden="false" customHeight="false" outlineLevel="0" collapsed="false">
      <c r="A17" s="16" t="s">
        <v>63</v>
      </c>
      <c r="B17" s="16" t="s">
        <v>29</v>
      </c>
      <c r="C17" s="17" t="n">
        <v>1200</v>
      </c>
      <c r="D17" s="18" t="n">
        <v>6</v>
      </c>
      <c r="E17" s="16" t="s">
        <v>53</v>
      </c>
      <c r="F17" s="18" t="n">
        <v>42</v>
      </c>
      <c r="G17" s="19" t="n">
        <v>0.05</v>
      </c>
      <c r="H17" s="19" t="n">
        <v>0.05</v>
      </c>
      <c r="I17" s="19" t="n">
        <v>0.1</v>
      </c>
      <c r="J17" s="19" t="n">
        <v>0.2</v>
      </c>
      <c r="K17" s="0" t="n">
        <f aca="false">IF(OR($C17="",$D17="",$F17=""),"",IFERROR($C17*$D17*$F17,0))</f>
        <v>302400</v>
      </c>
      <c r="L17" s="0" t="n">
        <f aca="false">IF(OR($K17="",$G17=""),"",IFERROR($K17*$G17,0))</f>
        <v>15120</v>
      </c>
      <c r="M17" s="0" t="n">
        <f aca="false">IF(OR($K17="",$L17=""),"",IFERROR($K17+$L17,0))</f>
        <v>317520</v>
      </c>
      <c r="N17" s="0" t="n">
        <f aca="false">IF(OR($M17="",$H17=""),"",IFERROR($M17*$H17,0))</f>
        <v>15876</v>
      </c>
      <c r="O17" s="0" t="n">
        <f aca="false">IF(OR($M17="",$N17="",$I17=""),"",IFERROR(($M17+$N17)*$I17,0))</f>
        <v>33339.6</v>
      </c>
      <c r="P17" s="0" t="n">
        <f aca="false">IF(OR($M17="",$N17="",$O17="",$J17=""),"",IFERROR(($M17+$N17+$O17)*$J17,0))</f>
        <v>73347.12</v>
      </c>
      <c r="Q17" s="0" t="n">
        <f aca="false">IF(OR($N17="",$O17="",$P17=""),"",IFERROR($N17+$O17+$P17,0))</f>
        <v>122562.72</v>
      </c>
      <c r="R17" s="0" t="n">
        <f aca="false">IF(OR($K17="",ToplamFOB=""),"",IFERROR($K17/MAX(BolumPaydaTaban,ToplamFOB)*ToplamYurtIciMasraf,0))</f>
        <v>4078.14644171169</v>
      </c>
      <c r="S17" s="0" t="n">
        <f aca="false">IF(OR($M17="",$Q17="",$R17=""),"",IFERROR($M17+$Q17+$R17,0))</f>
        <v>444160.866441712</v>
      </c>
      <c r="T17" s="0" t="n">
        <f aca="false">IF(OR($S17="",$C17=""),"",IFERROR($S17/MAX(BolumPaydaTaban,$C17),0))</f>
        <v>370.134055368093</v>
      </c>
      <c r="U17" s="0" t="n">
        <f aca="false">IF(OR($S17="",$K17=""),"",IFERROR($S17/MAX(BolumPaydaTaban,$K17),0))</f>
        <v>1.46878593400037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</row>
    <row r="252" customFormat="false" ht="1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 customFormat="false" ht="1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</row>
    <row r="254" customFormat="false" ht="1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</row>
    <row r="255" customFormat="false" ht="1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</row>
    <row r="256" customFormat="false" ht="1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</row>
    <row r="257" customFormat="false" ht="1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</row>
    <row r="258" customFormat="false" ht="1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</row>
    <row r="259" customFormat="false" ht="1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</row>
    <row r="260" customFormat="false" ht="1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</row>
    <row r="261" customFormat="false" ht="1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 customFormat="false" ht="1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</row>
    <row r="263" customFormat="false" ht="1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</row>
    <row r="264" customFormat="false" ht="1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</row>
    <row r="265" customFormat="false" ht="1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</row>
    <row r="266" customFormat="false" ht="1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</row>
    <row r="267" customFormat="false" ht="1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</row>
    <row r="268" customFormat="false" ht="1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</row>
    <row r="269" customFormat="false" ht="1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</row>
    <row r="270" customFormat="false" ht="1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</row>
    <row r="271" customFormat="false" ht="1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</row>
    <row r="272" customFormat="false" ht="1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</row>
    <row r="273" customFormat="false" ht="1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</row>
    <row r="274" customFormat="false" ht="1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</row>
    <row r="275" customFormat="false" ht="1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</row>
    <row r="276" customFormat="false" ht="1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</row>
    <row r="277" customFormat="false" ht="1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</row>
    <row r="278" customFormat="false" ht="1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</row>
    <row r="279" customFormat="false" ht="1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</row>
    <row r="280" customFormat="false" ht="1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</row>
    <row r="281" customFormat="false" ht="1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</row>
    <row r="282" customFormat="false" ht="1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</row>
    <row r="283" customFormat="false" ht="1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</row>
    <row r="284" customFormat="false" ht="1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</row>
    <row r="285" customFormat="false" ht="1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</row>
    <row r="286" customFormat="false" ht="1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</row>
    <row r="287" customFormat="false" ht="1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</row>
    <row r="288" customFormat="false" ht="1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</row>
    <row r="289" customFormat="false" ht="1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</row>
    <row r="290" customFormat="false" ht="1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</row>
    <row r="291" customFormat="false" ht="1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</row>
    <row r="292" customFormat="false" ht="1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</row>
    <row r="293" customFormat="false" ht="1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</row>
    <row r="294" customFormat="false" ht="1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</row>
    <row r="295" customFormat="false" ht="1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</row>
    <row r="296" customFormat="false" ht="1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</row>
    <row r="297" customFormat="false" ht="1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</row>
    <row r="298" customFormat="false" ht="1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</row>
    <row r="299" customFormat="false" ht="1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</row>
    <row r="300" customFormat="false" ht="1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</row>
    <row r="301" customFormat="false" ht="1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</row>
    <row r="302" customFormat="false" ht="1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</row>
    <row r="303" customFormat="false" ht="1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</row>
    <row r="304" customFormat="false" ht="1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</row>
    <row r="305" customFormat="false" ht="1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</row>
    <row r="306" customFormat="false" ht="1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</row>
    <row r="307" customFormat="false" ht="1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</row>
    <row r="308" customFormat="false" ht="1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</row>
    <row r="309" customFormat="false" ht="1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</row>
    <row r="310" customFormat="false" ht="1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</row>
    <row r="311" customFormat="false" ht="1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</row>
    <row r="312" customFormat="false" ht="1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</row>
    <row r="313" customFormat="false" ht="1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</row>
    <row r="314" customFormat="false" ht="1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</row>
    <row r="315" customFormat="false" ht="1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</row>
    <row r="316" customFormat="false" ht="1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</row>
    <row r="317" customFormat="false" ht="1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</row>
    <row r="318" customFormat="false" ht="1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</row>
    <row r="319" customFormat="false" ht="1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</row>
    <row r="320" customFormat="false" ht="1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</row>
    <row r="321" customFormat="false" ht="1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</row>
    <row r="322" customFormat="false" ht="1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 customFormat="false" ht="1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</row>
    <row r="324" customFormat="false" ht="1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</row>
    <row r="325" customFormat="false" ht="1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</row>
    <row r="326" customFormat="false" ht="1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</row>
    <row r="327" customFormat="false" ht="1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</row>
    <row r="328" customFormat="false" ht="1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 customFormat="false" ht="1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</row>
    <row r="330" customFormat="false" ht="1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</row>
    <row r="331" customFormat="false" ht="1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</row>
    <row r="332" customFormat="false" ht="1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</row>
    <row r="333" customFormat="false" ht="1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</row>
    <row r="334" customFormat="false" ht="1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 customFormat="false" ht="1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</row>
    <row r="336" customFormat="false" ht="1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</row>
    <row r="337" customFormat="false" ht="1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</row>
    <row r="338" customFormat="false" ht="1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</row>
    <row r="339" customFormat="false" ht="1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</row>
    <row r="340" customFormat="false" ht="1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 customFormat="false" ht="1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</row>
    <row r="342" customFormat="false" ht="1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</row>
    <row r="343" customFormat="false" ht="1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</row>
    <row r="344" customFormat="false" ht="1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</row>
    <row r="345" customFormat="false" ht="1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</row>
    <row r="346" customFormat="false" ht="1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 customFormat="false" ht="1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</row>
    <row r="348" customFormat="false" ht="1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</row>
    <row r="349" customFormat="false" ht="1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</row>
    <row r="350" customFormat="false" ht="1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</row>
    <row r="351" customFormat="false" ht="1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</row>
    <row r="352" customFormat="false" ht="1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 customFormat="false" ht="1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</row>
    <row r="354" customFormat="false" ht="1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</row>
    <row r="355" customFormat="false" ht="1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</row>
    <row r="356" customFormat="false" ht="1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</row>
    <row r="357" customFormat="false" ht="1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</row>
    <row r="358" customFormat="false" ht="1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</row>
    <row r="359" customFormat="false" ht="1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</row>
    <row r="360" customFormat="false" ht="1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</row>
    <row r="361" customFormat="false" ht="1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</row>
    <row r="362" customFormat="false" ht="1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</row>
    <row r="363" customFormat="false" ht="1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</row>
    <row r="364" customFormat="false" ht="1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 customFormat="false" ht="1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</row>
    <row r="366" customFormat="false" ht="1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</row>
    <row r="367" customFormat="false" ht="1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</row>
    <row r="368" customFormat="false" ht="1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</row>
    <row r="369" customFormat="false" ht="1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</row>
    <row r="370" customFormat="false" ht="1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</row>
    <row r="371" customFormat="false" ht="1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</row>
    <row r="372" customFormat="false" ht="1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</row>
    <row r="373" customFormat="false" ht="1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</row>
    <row r="374" customFormat="false" ht="1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</row>
    <row r="375" customFormat="false" ht="1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</row>
    <row r="376" customFormat="false" ht="1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</row>
    <row r="377" customFormat="false" ht="1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</row>
    <row r="378" customFormat="false" ht="1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</row>
    <row r="379" customFormat="false" ht="1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</row>
    <row r="380" customFormat="false" ht="1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</row>
    <row r="381" customFormat="false" ht="1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</row>
    <row r="382" customFormat="false" ht="1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</row>
    <row r="383" customFormat="false" ht="1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</row>
    <row r="384" customFormat="false" ht="1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</row>
    <row r="385" customFormat="false" ht="1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</row>
    <row r="386" customFormat="false" ht="1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 customFormat="false" ht="1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</row>
    <row r="388" customFormat="false" ht="1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</row>
    <row r="389" customFormat="false" ht="1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</row>
    <row r="390" customFormat="false" ht="1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</row>
    <row r="391" customFormat="false" ht="1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</row>
    <row r="392" customFormat="false" ht="1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</row>
    <row r="393" customFormat="false" ht="1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</row>
    <row r="394" customFormat="false" ht="1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</row>
    <row r="395" customFormat="false" ht="1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</row>
    <row r="396" customFormat="false" ht="1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</row>
    <row r="397" customFormat="false" ht="1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</row>
    <row r="398" customFormat="false" ht="1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</row>
    <row r="399" customFormat="false" ht="1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</row>
    <row r="400" customFormat="false" ht="1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</row>
    <row r="401" customFormat="false" ht="1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</row>
    <row r="402" customFormat="false" ht="1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</row>
    <row r="403" customFormat="false" ht="1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</row>
    <row r="404" customFormat="false" ht="1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</row>
    <row r="405" customFormat="false" ht="1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</row>
    <row r="406" customFormat="false" ht="1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</row>
    <row r="407" customFormat="false" ht="1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</row>
    <row r="408" customFormat="false" ht="1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</row>
    <row r="409" customFormat="false" ht="1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</row>
    <row r="410" customFormat="false" ht="1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</row>
    <row r="411" customFormat="false" ht="1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</row>
    <row r="412" customFormat="false" ht="1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</row>
    <row r="413" customFormat="false" ht="1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</row>
    <row r="414" customFormat="false" ht="1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</row>
    <row r="415" customFormat="false" ht="1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</row>
    <row r="416" customFormat="false" ht="1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</row>
    <row r="417" customFormat="false" ht="1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</row>
    <row r="418" customFormat="false" ht="1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</row>
    <row r="419" customFormat="false" ht="1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</row>
    <row r="420" customFormat="false" ht="1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</row>
    <row r="421" customFormat="false" ht="1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</row>
    <row r="422" customFormat="false" ht="1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</row>
    <row r="423" customFormat="false" ht="1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</row>
    <row r="424" customFormat="false" ht="1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</row>
    <row r="425" customFormat="false" ht="1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</row>
    <row r="426" customFormat="false" ht="1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</row>
    <row r="427" customFormat="false" ht="1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</row>
    <row r="428" customFormat="false" ht="1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</row>
    <row r="429" customFormat="false" ht="1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</row>
    <row r="430" customFormat="false" ht="1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</row>
    <row r="431" customFormat="false" ht="1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</row>
    <row r="432" customFormat="false" ht="1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</row>
    <row r="433" customFormat="false" ht="1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</row>
    <row r="434" customFormat="false" ht="1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</row>
    <row r="435" customFormat="false" ht="1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</row>
    <row r="436" customFormat="false" ht="1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</row>
    <row r="437" customFormat="false" ht="1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</row>
    <row r="438" customFormat="false" ht="1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</row>
    <row r="439" customFormat="false" ht="1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</row>
    <row r="440" customFormat="false" ht="1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</row>
    <row r="441" customFormat="false" ht="1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</row>
    <row r="442" customFormat="false" ht="1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</row>
    <row r="443" customFormat="false" ht="1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</row>
    <row r="444" customFormat="false" ht="1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</row>
    <row r="445" customFormat="false" ht="1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</row>
    <row r="446" customFormat="false" ht="1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</row>
    <row r="447" customFormat="false" ht="1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</row>
    <row r="448" customFormat="false" ht="1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</row>
    <row r="449" customFormat="false" ht="1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</row>
    <row r="450" customFormat="false" ht="1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</row>
    <row r="451" customFormat="false" ht="1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</row>
    <row r="452" customFormat="false" ht="1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</row>
    <row r="453" customFormat="false" ht="1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</row>
    <row r="454" customFormat="false" ht="1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</row>
    <row r="455" customFormat="false" ht="1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</row>
    <row r="456" customFormat="false" ht="1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</row>
    <row r="457" customFormat="false" ht="1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</row>
    <row r="458" customFormat="false" ht="1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</row>
    <row r="459" customFormat="false" ht="1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</row>
    <row r="460" customFormat="false" ht="1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</row>
    <row r="461" customFormat="false" ht="1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</row>
    <row r="462" customFormat="false" ht="1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</row>
    <row r="463" customFormat="false" ht="1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</row>
    <row r="464" customFormat="false" ht="1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</row>
    <row r="465" customFormat="false" ht="1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</row>
    <row r="466" customFormat="false" ht="1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</row>
    <row r="467" customFormat="false" ht="1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</row>
    <row r="468" customFormat="false" ht="1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</row>
    <row r="469" customFormat="false" ht="1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</row>
    <row r="470" customFormat="false" ht="1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</row>
    <row r="471" customFormat="false" ht="1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</row>
    <row r="472" customFormat="false" ht="1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</row>
    <row r="473" customFormat="false" ht="1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</row>
    <row r="474" customFormat="false" ht="1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</row>
    <row r="475" customFormat="false" ht="1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</row>
    <row r="476" customFormat="false" ht="1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</row>
    <row r="477" customFormat="false" ht="1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</row>
    <row r="478" customFormat="false" ht="1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</row>
    <row r="479" customFormat="false" ht="1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</row>
    <row r="480" customFormat="false" ht="1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</row>
    <row r="481" customFormat="false" ht="1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</row>
    <row r="482" customFormat="false" ht="1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</row>
    <row r="483" customFormat="false" ht="1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</row>
    <row r="484" customFormat="false" ht="1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</row>
    <row r="485" customFormat="false" ht="1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</row>
    <row r="486" customFormat="false" ht="1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</row>
    <row r="487" customFormat="false" ht="1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</row>
    <row r="488" customFormat="false" ht="1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</row>
    <row r="489" customFormat="false" ht="1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</row>
    <row r="490" customFormat="false" ht="1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</row>
    <row r="491" customFormat="false" ht="1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</row>
    <row r="492" customFormat="false" ht="1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</row>
    <row r="493" customFormat="false" ht="1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</row>
    <row r="494" customFormat="false" ht="1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</row>
    <row r="495" customFormat="false" ht="1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</row>
    <row r="496" customFormat="false" ht="1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</row>
    <row r="497" customFormat="false" ht="1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</row>
    <row r="498" customFormat="false" ht="1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</row>
    <row r="499" customFormat="false" ht="1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</row>
    <row r="500" customFormat="false" ht="1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</row>
    <row r="501" customFormat="false" ht="1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</row>
    <row r="502" customFormat="false" ht="1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</row>
    <row r="503" customFormat="false" ht="1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</row>
    <row r="504" customFormat="false" ht="1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</row>
    <row r="505" customFormat="false" ht="1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</row>
    <row r="506" customFormat="false" ht="1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</row>
    <row r="507" customFormat="false" ht="1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</row>
    <row r="508" customFormat="false" ht="1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</row>
    <row r="509" customFormat="false" ht="1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</row>
    <row r="510" customFormat="false" ht="1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</row>
    <row r="511" customFormat="false" ht="1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</row>
    <row r="512" customFormat="false" ht="1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</row>
    <row r="513" customFormat="false" ht="1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</row>
    <row r="514" customFormat="false" ht="1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</row>
    <row r="515" customFormat="false" ht="1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</row>
    <row r="516" customFormat="false" ht="1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</row>
    <row r="517" customFormat="false" ht="1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</row>
    <row r="518" customFormat="false" ht="1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</row>
    <row r="519" customFormat="false" ht="1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</row>
    <row r="520" customFormat="false" ht="1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</row>
    <row r="521" customFormat="false" ht="1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</row>
    <row r="522" customFormat="false" ht="1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</row>
    <row r="523" customFormat="false" ht="1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</row>
    <row r="524" customFormat="false" ht="1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</row>
    <row r="525" customFormat="false" ht="1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</row>
    <row r="526" customFormat="false" ht="1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</row>
    <row r="527" customFormat="false" ht="1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</row>
    <row r="528" customFormat="false" ht="1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</row>
    <row r="529" customFormat="false" ht="1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</row>
    <row r="530" customFormat="false" ht="1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</row>
    <row r="531" customFormat="false" ht="1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</row>
    <row r="532" customFormat="false" ht="1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</row>
    <row r="533" customFormat="false" ht="1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</row>
    <row r="534" customFormat="false" ht="1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</row>
    <row r="535" customFormat="false" ht="1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</row>
    <row r="536" customFormat="false" ht="1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</row>
    <row r="537" customFormat="false" ht="1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</row>
    <row r="538" customFormat="false" ht="1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</row>
    <row r="539" customFormat="false" ht="1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</row>
    <row r="540" customFormat="false" ht="1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</row>
    <row r="541" customFormat="false" ht="1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</row>
    <row r="542" customFormat="false" ht="1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</row>
    <row r="543" customFormat="false" ht="1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</row>
    <row r="544" customFormat="false" ht="1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</row>
    <row r="545" customFormat="false" ht="1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</row>
    <row r="546" customFormat="false" ht="1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</row>
    <row r="547" customFormat="false" ht="1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</row>
    <row r="548" customFormat="false" ht="1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</row>
    <row r="549" customFormat="false" ht="1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</row>
    <row r="550" customFormat="false" ht="1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</row>
    <row r="551" customFormat="false" ht="1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</row>
    <row r="552" customFormat="false" ht="1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</row>
    <row r="553" customFormat="false" ht="1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</row>
    <row r="554" customFormat="false" ht="1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</row>
    <row r="555" customFormat="false" ht="1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</row>
    <row r="556" customFormat="false" ht="1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</row>
    <row r="557" customFormat="false" ht="1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</row>
    <row r="558" customFormat="false" ht="1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</row>
    <row r="559" customFormat="false" ht="1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</row>
    <row r="560" customFormat="false" ht="1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</row>
    <row r="561" customFormat="false" ht="1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</row>
    <row r="562" customFormat="false" ht="1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</row>
    <row r="563" customFormat="false" ht="1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</row>
    <row r="564" customFormat="false" ht="1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</row>
    <row r="565" customFormat="false" ht="1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</row>
    <row r="566" customFormat="false" ht="1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</row>
    <row r="567" customFormat="false" ht="1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</row>
    <row r="568" customFormat="false" ht="1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</row>
    <row r="569" customFormat="false" ht="1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</row>
    <row r="570" customFormat="false" ht="1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</row>
    <row r="571" customFormat="false" ht="1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</row>
    <row r="572" customFormat="false" ht="1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</row>
    <row r="573" customFormat="false" ht="1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</row>
    <row r="574" customFormat="false" ht="1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</row>
    <row r="575" customFormat="false" ht="1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</row>
    <row r="576" customFormat="false" ht="1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</row>
    <row r="577" customFormat="false" ht="1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</row>
    <row r="578" customFormat="false" ht="1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</row>
    <row r="579" customFormat="false" ht="1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</row>
    <row r="580" customFormat="false" ht="1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</row>
    <row r="581" customFormat="false" ht="1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</row>
    <row r="582" customFormat="false" ht="1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</row>
    <row r="583" customFormat="false" ht="1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</row>
    <row r="584" customFormat="false" ht="1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</row>
    <row r="585" customFormat="false" ht="1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</row>
    <row r="586" customFormat="false" ht="1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</row>
    <row r="587" customFormat="false" ht="1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</row>
    <row r="588" customFormat="false" ht="1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</row>
    <row r="589" customFormat="false" ht="1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</row>
    <row r="590" customFormat="false" ht="1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</row>
    <row r="591" customFormat="false" ht="1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</row>
    <row r="592" customFormat="false" ht="1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</row>
    <row r="593" customFormat="false" ht="1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</row>
    <row r="594" customFormat="false" ht="1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</row>
    <row r="595" customFormat="false" ht="1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</row>
    <row r="596" customFormat="false" ht="1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</row>
    <row r="597" customFormat="false" ht="1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</row>
    <row r="598" customFormat="false" ht="1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</row>
    <row r="599" customFormat="false" ht="1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</row>
    <row r="600" customFormat="false" ht="1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</row>
    <row r="601" customFormat="false" ht="1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</row>
    <row r="602" customFormat="false" ht="1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</row>
    <row r="603" customFormat="false" ht="1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</row>
    <row r="604" customFormat="false" ht="1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</row>
    <row r="605" customFormat="false" ht="1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</row>
    <row r="606" customFormat="false" ht="1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</row>
    <row r="607" customFormat="false" ht="1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</row>
    <row r="608" customFormat="false" ht="1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</row>
    <row r="609" customFormat="false" ht="1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</row>
    <row r="610" customFormat="false" ht="1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</row>
    <row r="611" customFormat="false" ht="1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</row>
    <row r="612" customFormat="false" ht="1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</row>
    <row r="613" customFormat="false" ht="1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</row>
    <row r="614" customFormat="false" ht="1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</row>
    <row r="615" customFormat="false" ht="1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</row>
    <row r="616" customFormat="false" ht="1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</row>
    <row r="617" customFormat="false" ht="1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</row>
    <row r="618" customFormat="false" ht="1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</row>
    <row r="619" customFormat="false" ht="1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</row>
    <row r="620" customFormat="false" ht="1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</row>
    <row r="621" customFormat="false" ht="1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</row>
    <row r="622" customFormat="false" ht="1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</row>
    <row r="623" customFormat="false" ht="1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</row>
    <row r="624" customFormat="false" ht="1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</row>
    <row r="625" customFormat="false" ht="1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</row>
    <row r="626" customFormat="false" ht="1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</row>
    <row r="627" customFormat="false" ht="1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</row>
    <row r="628" customFormat="false" ht="1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</row>
    <row r="629" customFormat="false" ht="1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</row>
    <row r="630" customFormat="false" ht="1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</row>
    <row r="631" customFormat="false" ht="1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</row>
    <row r="632" customFormat="false" ht="1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</row>
    <row r="633" customFormat="false" ht="1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</row>
    <row r="634" customFormat="false" ht="1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</row>
    <row r="635" customFormat="false" ht="1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</row>
    <row r="636" customFormat="false" ht="1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</row>
    <row r="637" customFormat="false" ht="1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</row>
    <row r="638" customFormat="false" ht="1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</row>
    <row r="639" customFormat="false" ht="1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</row>
    <row r="640" customFormat="false" ht="1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</row>
    <row r="641" customFormat="false" ht="1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</row>
    <row r="642" customFormat="false" ht="1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</row>
    <row r="643" customFormat="false" ht="1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</row>
    <row r="644" customFormat="false" ht="1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</row>
    <row r="645" customFormat="false" ht="1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</row>
    <row r="646" customFormat="false" ht="1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</row>
    <row r="647" customFormat="false" ht="1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</row>
    <row r="648" customFormat="false" ht="1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</row>
    <row r="649" customFormat="false" ht="1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</row>
    <row r="650" customFormat="false" ht="1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</row>
    <row r="651" customFormat="false" ht="1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</row>
    <row r="652" customFormat="false" ht="1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</row>
    <row r="653" customFormat="false" ht="1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</row>
    <row r="654" customFormat="false" ht="1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</row>
    <row r="655" customFormat="false" ht="1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</row>
    <row r="656" customFormat="false" ht="1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</row>
    <row r="657" customFormat="false" ht="1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</row>
    <row r="658" customFormat="false" ht="1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</row>
    <row r="659" customFormat="false" ht="1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</row>
    <row r="660" customFormat="false" ht="1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</row>
    <row r="661" customFormat="false" ht="1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</row>
    <row r="662" customFormat="false" ht="1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</row>
    <row r="663" customFormat="false" ht="1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</row>
    <row r="664" customFormat="false" ht="1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</row>
    <row r="665" customFormat="false" ht="1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</row>
    <row r="666" customFormat="false" ht="1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</row>
    <row r="667" customFormat="false" ht="1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</row>
    <row r="668" customFormat="false" ht="1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</row>
    <row r="669" customFormat="false" ht="1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</row>
    <row r="670" customFormat="false" ht="1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</row>
    <row r="671" customFormat="false" ht="1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</row>
    <row r="672" customFormat="false" ht="1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</row>
    <row r="673" customFormat="false" ht="1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</row>
    <row r="674" customFormat="false" ht="1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</row>
    <row r="675" customFormat="false" ht="1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</row>
    <row r="676" customFormat="false" ht="1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</row>
    <row r="677" customFormat="false" ht="1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</row>
    <row r="678" customFormat="false" ht="1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</row>
    <row r="679" customFormat="false" ht="1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</row>
    <row r="680" customFormat="false" ht="1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</row>
    <row r="681" customFormat="false" ht="1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</row>
    <row r="682" customFormat="false" ht="1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</row>
    <row r="683" customFormat="false" ht="1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</row>
    <row r="684" customFormat="false" ht="1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</row>
    <row r="685" customFormat="false" ht="1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</row>
    <row r="686" customFormat="false" ht="1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</row>
    <row r="687" customFormat="false" ht="1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</row>
    <row r="688" customFormat="false" ht="1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</row>
    <row r="689" customFormat="false" ht="1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</row>
    <row r="690" customFormat="false" ht="1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</row>
    <row r="691" customFormat="false" ht="1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</row>
    <row r="692" customFormat="false" ht="1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</row>
    <row r="693" customFormat="false" ht="1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</row>
    <row r="694" customFormat="false" ht="1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</row>
    <row r="695" customFormat="false" ht="1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</row>
    <row r="696" customFormat="false" ht="1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</row>
    <row r="697" customFormat="false" ht="1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</row>
    <row r="698" customFormat="false" ht="1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</row>
    <row r="699" customFormat="false" ht="1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</row>
    <row r="700" customFormat="false" ht="1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</row>
    <row r="701" customFormat="false" ht="1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</row>
    <row r="702" customFormat="false" ht="1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</row>
    <row r="703" customFormat="false" ht="1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</row>
    <row r="704" customFormat="false" ht="1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</row>
    <row r="705" customFormat="false" ht="1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</row>
    <row r="706" customFormat="false" ht="1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</row>
    <row r="707" customFormat="false" ht="1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</row>
    <row r="708" customFormat="false" ht="1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</row>
    <row r="709" customFormat="false" ht="1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</row>
    <row r="710" customFormat="false" ht="1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</row>
    <row r="711" customFormat="false" ht="1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</row>
    <row r="712" customFormat="false" ht="1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</row>
    <row r="713" customFormat="false" ht="1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</row>
    <row r="714" customFormat="false" ht="1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</row>
    <row r="715" customFormat="false" ht="1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</row>
    <row r="716" customFormat="false" ht="1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</row>
    <row r="717" customFormat="false" ht="1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</row>
    <row r="718" customFormat="false" ht="1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</row>
    <row r="719" customFormat="false" ht="1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</row>
    <row r="720" customFormat="false" ht="1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</row>
    <row r="721" customFormat="false" ht="1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</row>
    <row r="722" customFormat="false" ht="1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</row>
    <row r="723" customFormat="false" ht="1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</row>
    <row r="724" customFormat="false" ht="1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</row>
    <row r="725" customFormat="false" ht="1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</row>
    <row r="726" customFormat="false" ht="1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</row>
    <row r="727" customFormat="false" ht="1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</row>
    <row r="728" customFormat="false" ht="1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</row>
    <row r="729" customFormat="false" ht="1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</row>
    <row r="730" customFormat="false" ht="1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</row>
    <row r="731" customFormat="false" ht="1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</row>
    <row r="732" customFormat="false" ht="1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</row>
    <row r="733" customFormat="false" ht="1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</row>
    <row r="734" customFormat="false" ht="1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</row>
    <row r="735" customFormat="false" ht="1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</row>
    <row r="736" customFormat="false" ht="1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</row>
    <row r="737" customFormat="false" ht="1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</row>
    <row r="738" customFormat="false" ht="15" hidden="false" customHeight="fals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</row>
    <row r="739" customFormat="false" ht="15" hidden="false" customHeight="fals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</row>
    <row r="740" customFormat="false" ht="15" hidden="false" customHeight="fals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</row>
    <row r="741" customFormat="false" ht="15" hidden="false" customHeight="fals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</row>
    <row r="742" customFormat="false" ht="15" hidden="false" customHeight="fals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</row>
    <row r="743" customFormat="false" ht="15" hidden="false" customHeight="fals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</row>
    <row r="744" customFormat="false" ht="15" hidden="false" customHeight="fals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</row>
    <row r="745" customFormat="false" ht="15" hidden="false" customHeight="fals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</row>
    <row r="746" customFormat="false" ht="15" hidden="false" customHeight="fals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</row>
    <row r="747" customFormat="false" ht="15" hidden="false" customHeight="fals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</row>
    <row r="748" customFormat="false" ht="15" hidden="false" customHeight="fals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</row>
    <row r="749" customFormat="false" ht="15" hidden="false" customHeight="fals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</row>
    <row r="750" customFormat="false" ht="15" hidden="false" customHeight="fals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</row>
    <row r="751" customFormat="false" ht="15" hidden="false" customHeight="fals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</row>
    <row r="752" customFormat="false" ht="15" hidden="false" customHeight="fals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</row>
    <row r="753" customFormat="false" ht="15" hidden="false" customHeight="fals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</row>
    <row r="754" customFormat="false" ht="15" hidden="false" customHeight="fals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</row>
    <row r="755" customFormat="false" ht="15" hidden="false" customHeight="fals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</row>
    <row r="756" customFormat="false" ht="15" hidden="false" customHeight="fals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</row>
    <row r="757" customFormat="false" ht="15" hidden="false" customHeight="fals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</row>
    <row r="758" customFormat="false" ht="15" hidden="false" customHeight="fals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</row>
    <row r="759" customFormat="false" ht="15" hidden="false" customHeight="fals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</row>
    <row r="760" customFormat="false" ht="15" hidden="false" customHeight="fals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</row>
    <row r="761" customFormat="false" ht="15" hidden="false" customHeight="fals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</row>
    <row r="762" customFormat="false" ht="15" hidden="false" customHeight="fals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</row>
    <row r="763" customFormat="false" ht="15" hidden="false" customHeight="fals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</row>
    <row r="764" customFormat="false" ht="15" hidden="false" customHeight="fals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</row>
    <row r="765" customFormat="false" ht="15" hidden="false" customHeight="fals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</row>
    <row r="766" customFormat="false" ht="15" hidden="false" customHeight="fals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</row>
    <row r="767" customFormat="false" ht="15" hidden="false" customHeight="fals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</row>
    <row r="768" customFormat="false" ht="15" hidden="false" customHeight="fals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</row>
    <row r="769" customFormat="false" ht="15" hidden="false" customHeight="fals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</row>
    <row r="770" customFormat="false" ht="15" hidden="false" customHeight="fals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</row>
    <row r="771" customFormat="false" ht="15" hidden="false" customHeight="fals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</row>
    <row r="772" customFormat="false" ht="15" hidden="false" customHeight="fals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</row>
    <row r="773" customFormat="false" ht="15" hidden="false" customHeight="fals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</row>
    <row r="774" customFormat="false" ht="15" hidden="false" customHeight="fals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</row>
    <row r="775" customFormat="false" ht="15" hidden="false" customHeight="fals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</row>
    <row r="776" customFormat="false" ht="15" hidden="false" customHeight="fals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</row>
    <row r="777" customFormat="false" ht="15" hidden="false" customHeight="fals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</row>
    <row r="778" customFormat="false" ht="15" hidden="false" customHeight="fals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</row>
    <row r="779" customFormat="false" ht="15" hidden="false" customHeight="fals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</row>
    <row r="780" customFormat="false" ht="15" hidden="false" customHeight="fals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</row>
    <row r="781" customFormat="false" ht="15" hidden="false" customHeight="fals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</row>
    <row r="782" customFormat="false" ht="15" hidden="false" customHeight="fals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</row>
    <row r="783" customFormat="false" ht="15" hidden="false" customHeight="fals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</row>
    <row r="784" customFormat="false" ht="15" hidden="false" customHeight="fals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</row>
    <row r="785" customFormat="false" ht="15" hidden="false" customHeight="fals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</row>
    <row r="786" customFormat="false" ht="15" hidden="false" customHeight="fals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</row>
    <row r="787" customFormat="false" ht="15" hidden="false" customHeight="fals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</row>
    <row r="788" customFormat="false" ht="15" hidden="false" customHeight="fals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</row>
    <row r="789" customFormat="false" ht="15" hidden="false" customHeight="fals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</row>
    <row r="790" customFormat="false" ht="15" hidden="false" customHeight="fals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</row>
    <row r="791" customFormat="false" ht="15" hidden="false" customHeight="fals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</row>
    <row r="792" customFormat="false" ht="15" hidden="false" customHeight="fals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</row>
    <row r="793" customFormat="false" ht="15" hidden="false" customHeight="fals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</row>
    <row r="794" customFormat="false" ht="15" hidden="false" customHeight="fals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</row>
    <row r="795" customFormat="false" ht="15" hidden="false" customHeight="fals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</row>
    <row r="796" customFormat="false" ht="15" hidden="false" customHeight="fals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</row>
    <row r="797" customFormat="false" ht="15" hidden="false" customHeight="fals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</row>
    <row r="798" customFormat="false" ht="15" hidden="false" customHeight="fals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</row>
    <row r="799" customFormat="false" ht="15" hidden="false" customHeight="fals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</row>
    <row r="800" customFormat="false" ht="15" hidden="false" customHeight="fals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</row>
    <row r="801" customFormat="false" ht="15" hidden="false" customHeight="fals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</row>
    <row r="802" customFormat="false" ht="15" hidden="false" customHeight="fals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</row>
    <row r="803" customFormat="false" ht="15" hidden="false" customHeight="fals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</row>
    <row r="804" customFormat="false" ht="15" hidden="false" customHeight="fals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</row>
    <row r="805" customFormat="false" ht="15" hidden="false" customHeight="fals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</row>
    <row r="806" customFormat="false" ht="15" hidden="false" customHeight="fals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</row>
    <row r="807" customFormat="false" ht="15" hidden="false" customHeight="fals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</row>
    <row r="808" customFormat="false" ht="15" hidden="false" customHeight="fals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</row>
    <row r="809" customFormat="false" ht="15" hidden="false" customHeight="fals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</row>
    <row r="810" customFormat="false" ht="15" hidden="false" customHeight="fals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</row>
    <row r="811" customFormat="false" ht="15" hidden="false" customHeight="fals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</row>
    <row r="812" customFormat="false" ht="15" hidden="false" customHeight="fals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</row>
    <row r="813" customFormat="false" ht="15" hidden="false" customHeight="fals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</row>
    <row r="814" customFormat="false" ht="15" hidden="false" customHeight="fals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</row>
    <row r="815" customFormat="false" ht="15" hidden="false" customHeight="fals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</row>
    <row r="816" customFormat="false" ht="15" hidden="false" customHeight="fals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</row>
    <row r="817" customFormat="false" ht="15" hidden="false" customHeight="fals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</row>
    <row r="818" customFormat="false" ht="15" hidden="false" customHeight="fals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</row>
    <row r="819" customFormat="false" ht="15" hidden="false" customHeight="fals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</row>
    <row r="820" customFormat="false" ht="15" hidden="false" customHeight="fals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</row>
    <row r="821" customFormat="false" ht="15" hidden="false" customHeight="fals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</row>
    <row r="822" customFormat="false" ht="15" hidden="false" customHeight="fals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</row>
    <row r="823" customFormat="false" ht="15" hidden="false" customHeight="fals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</row>
    <row r="824" customFormat="false" ht="15" hidden="false" customHeight="fals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</row>
    <row r="825" customFormat="false" ht="15" hidden="false" customHeight="fals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</row>
    <row r="826" customFormat="false" ht="15" hidden="false" customHeight="fals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</row>
    <row r="827" customFormat="false" ht="15" hidden="false" customHeight="fals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</row>
    <row r="828" customFormat="false" ht="15" hidden="false" customHeight="fals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</row>
    <row r="829" customFormat="false" ht="15" hidden="false" customHeight="fals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</row>
    <row r="830" customFormat="false" ht="15" hidden="false" customHeight="fals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</row>
    <row r="831" customFormat="false" ht="15" hidden="false" customHeight="fals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</row>
    <row r="832" customFormat="false" ht="15" hidden="false" customHeight="fals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</row>
    <row r="833" customFormat="false" ht="15" hidden="false" customHeight="fals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</row>
    <row r="834" customFormat="false" ht="15" hidden="false" customHeight="fals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</row>
    <row r="835" customFormat="false" ht="15" hidden="false" customHeight="fals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</row>
    <row r="836" customFormat="false" ht="15" hidden="false" customHeight="fals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</row>
    <row r="837" customFormat="false" ht="15" hidden="false" customHeight="fals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</row>
    <row r="838" customFormat="false" ht="15" hidden="false" customHeight="fals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</row>
    <row r="839" customFormat="false" ht="15" hidden="false" customHeight="fals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</row>
    <row r="840" customFormat="false" ht="15" hidden="false" customHeight="fals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</row>
    <row r="841" customFormat="false" ht="15" hidden="false" customHeight="fals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</row>
    <row r="842" customFormat="false" ht="15" hidden="false" customHeight="fals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</row>
    <row r="843" customFormat="false" ht="15" hidden="false" customHeight="fals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</row>
    <row r="844" customFormat="false" ht="15" hidden="false" customHeight="fals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</row>
    <row r="845" customFormat="false" ht="15" hidden="false" customHeight="fals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</row>
    <row r="846" customFormat="false" ht="15" hidden="false" customHeight="fals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</row>
    <row r="847" customFormat="false" ht="15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</row>
    <row r="848" customFormat="false" ht="15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</row>
    <row r="849" customFormat="false" ht="15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</row>
    <row r="850" customFormat="false" ht="15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</row>
    <row r="851" customFormat="false" ht="15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</row>
    <row r="852" customFormat="false" ht="15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</row>
    <row r="853" customFormat="false" ht="15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</row>
    <row r="854" customFormat="false" ht="15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</row>
    <row r="855" customFormat="false" ht="15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</row>
    <row r="856" customFormat="false" ht="15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</row>
    <row r="857" customFormat="false" ht="15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</row>
    <row r="858" customFormat="false" ht="15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</row>
    <row r="859" customFormat="false" ht="15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</row>
    <row r="860" customFormat="false" ht="15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</row>
    <row r="861" customFormat="false" ht="15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</row>
    <row r="862" customFormat="false" ht="15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</row>
    <row r="863" customFormat="false" ht="15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</row>
    <row r="864" customFormat="false" ht="15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</row>
    <row r="865" customFormat="false" ht="15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</row>
    <row r="866" customFormat="false" ht="15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</row>
    <row r="867" customFormat="false" ht="15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</row>
    <row r="868" customFormat="false" ht="15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</row>
    <row r="869" customFormat="false" ht="15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</row>
    <row r="870" customFormat="false" ht="15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</row>
    <row r="871" customFormat="false" ht="15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</row>
    <row r="872" customFormat="false" ht="15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</row>
    <row r="873" customFormat="false" ht="15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</row>
    <row r="874" customFormat="false" ht="15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</row>
    <row r="875" customFormat="false" ht="15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</row>
    <row r="876" customFormat="false" ht="15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</row>
    <row r="877" customFormat="false" ht="15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</row>
    <row r="878" customFormat="false" ht="15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</row>
    <row r="879" customFormat="false" ht="15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</row>
    <row r="880" customFormat="false" ht="15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</row>
    <row r="881" customFormat="false" ht="15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</row>
    <row r="882" customFormat="false" ht="15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</row>
    <row r="883" customFormat="false" ht="15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</row>
    <row r="884" customFormat="false" ht="15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</row>
    <row r="885" customFormat="false" ht="15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</row>
    <row r="886" customFormat="false" ht="15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</row>
    <row r="887" customFormat="false" ht="15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</row>
    <row r="888" customFormat="false" ht="15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</row>
    <row r="889" customFormat="false" ht="15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</row>
    <row r="890" customFormat="false" ht="15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</row>
    <row r="891" customFormat="false" ht="15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</row>
    <row r="892" customFormat="false" ht="15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</row>
    <row r="893" customFormat="false" ht="15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</row>
    <row r="894" customFormat="false" ht="15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</row>
    <row r="895" customFormat="false" ht="15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</row>
    <row r="896" customFormat="false" ht="15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</row>
    <row r="897" customFormat="false" ht="15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</row>
    <row r="898" customFormat="false" ht="15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</row>
    <row r="899" customFormat="false" ht="15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</row>
    <row r="900" customFormat="false" ht="15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</row>
    <row r="901" customFormat="false" ht="15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</row>
    <row r="902" customFormat="false" ht="15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</row>
    <row r="903" customFormat="false" ht="15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</row>
    <row r="904" customFormat="false" ht="15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</row>
    <row r="905" customFormat="false" ht="15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</row>
    <row r="906" customFormat="false" ht="15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</row>
    <row r="907" customFormat="false" ht="15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</row>
    <row r="908" customFormat="false" ht="15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</row>
    <row r="909" customFormat="false" ht="15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</row>
    <row r="910" customFormat="false" ht="15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</row>
    <row r="911" customFormat="false" ht="15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</row>
    <row r="912" customFormat="false" ht="15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</row>
    <row r="913" customFormat="false" ht="15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</row>
    <row r="914" customFormat="false" ht="15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</row>
    <row r="915" customFormat="false" ht="15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</row>
    <row r="916" customFormat="false" ht="15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</row>
    <row r="917" customFormat="false" ht="15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</row>
    <row r="918" customFormat="false" ht="15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</row>
    <row r="919" customFormat="false" ht="15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</row>
    <row r="920" customFormat="false" ht="15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</row>
    <row r="921" customFormat="false" ht="15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</row>
    <row r="922" customFormat="false" ht="15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</row>
    <row r="923" customFormat="false" ht="15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</row>
    <row r="924" customFormat="false" ht="15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</row>
    <row r="925" customFormat="false" ht="15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</row>
    <row r="926" customFormat="false" ht="15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</row>
    <row r="927" customFormat="false" ht="15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</row>
    <row r="928" customFormat="false" ht="15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</row>
    <row r="929" customFormat="false" ht="15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</row>
    <row r="930" customFormat="false" ht="15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</row>
    <row r="931" customFormat="false" ht="15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</row>
    <row r="932" customFormat="false" ht="15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</row>
    <row r="933" customFormat="false" ht="15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</row>
    <row r="934" customFormat="false" ht="15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</row>
    <row r="935" customFormat="false" ht="15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</row>
    <row r="936" customFormat="false" ht="15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</row>
    <row r="937" customFormat="false" ht="15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</row>
    <row r="938" customFormat="false" ht="15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</row>
    <row r="939" customFormat="false" ht="15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</row>
    <row r="940" customFormat="false" ht="15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</row>
    <row r="941" customFormat="false" ht="15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</row>
    <row r="942" customFormat="false" ht="15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</row>
    <row r="943" customFormat="false" ht="15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</row>
    <row r="944" customFormat="false" ht="15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</row>
    <row r="945" customFormat="false" ht="15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</row>
    <row r="946" customFormat="false" ht="15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</row>
    <row r="947" customFormat="false" ht="15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</row>
    <row r="948" customFormat="false" ht="15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</row>
    <row r="949" customFormat="false" ht="15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</row>
    <row r="950" customFormat="false" ht="15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</row>
    <row r="951" customFormat="false" ht="15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</row>
    <row r="952" customFormat="false" ht="15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</row>
    <row r="953" customFormat="false" ht="15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</row>
    <row r="954" customFormat="false" ht="15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</row>
    <row r="955" customFormat="false" ht="15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</row>
    <row r="956" customFormat="false" ht="15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</row>
    <row r="957" customFormat="false" ht="15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</row>
    <row r="958" customFormat="false" ht="15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</row>
    <row r="959" customFormat="false" ht="15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</row>
    <row r="960" customFormat="false" ht="15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</row>
    <row r="961" customFormat="false" ht="15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</row>
    <row r="962" customFormat="false" ht="15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</row>
    <row r="963" customFormat="false" ht="15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</row>
    <row r="964" customFormat="false" ht="15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</row>
    <row r="965" customFormat="false" ht="15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</row>
    <row r="966" customFormat="false" ht="15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</row>
    <row r="967" customFormat="false" ht="15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</row>
    <row r="968" customFormat="false" ht="15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</row>
    <row r="969" customFormat="false" ht="15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</row>
    <row r="970" customFormat="false" ht="15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</row>
    <row r="971" customFormat="false" ht="15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</row>
    <row r="972" customFormat="false" ht="15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</row>
    <row r="973" customFormat="false" ht="15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</row>
    <row r="974" customFormat="false" ht="15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</row>
    <row r="975" customFormat="false" ht="15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</row>
    <row r="976" customFormat="false" ht="15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</row>
    <row r="977" customFormat="false" ht="15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</row>
    <row r="978" customFormat="false" ht="15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</row>
    <row r="979" customFormat="false" ht="15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</row>
    <row r="980" customFormat="false" ht="15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</row>
    <row r="981" customFormat="false" ht="15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</row>
    <row r="982" customFormat="false" ht="15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</row>
    <row r="983" customFormat="false" ht="15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</row>
    <row r="984" customFormat="false" ht="15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</row>
    <row r="985" customFormat="false" ht="15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</row>
    <row r="986" customFormat="false" ht="15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</row>
    <row r="987" customFormat="false" ht="15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</row>
    <row r="988" customFormat="false" ht="15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</row>
    <row r="989" customFormat="false" ht="15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</row>
    <row r="990" customFormat="false" ht="15" hidden="false" customHeight="fals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</row>
    <row r="991" customFormat="false" ht="15" hidden="false" customHeight="fals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</row>
    <row r="992" customFormat="false" ht="15" hidden="false" customHeight="fals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</row>
    <row r="993" customFormat="false" ht="15" hidden="false" customHeight="fals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</row>
    <row r="994" customFormat="false" ht="15" hidden="false" customHeight="fals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</row>
    <row r="995" customFormat="false" ht="15" hidden="false" customHeight="fals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</row>
    <row r="996" customFormat="false" ht="15" hidden="false" customHeight="fals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</row>
    <row r="997" customFormat="false" ht="15" hidden="false" customHeight="fals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</row>
    <row r="998" customFormat="false" ht="15" hidden="false" customHeight="fals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</row>
    <row r="999" customFormat="false" ht="15" hidden="false" customHeight="fals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</row>
    <row r="1000" customFormat="false" ht="15" hidden="false" customHeight="fals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</row>
    <row r="1001" customFormat="false" ht="15" hidden="false" customHeight="fals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</row>
    <row r="1002" customFormat="false" ht="15" hidden="false" customHeight="fals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</row>
    <row r="1003" customFormat="false" ht="15" hidden="false" customHeight="fals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</row>
    <row r="1004" customFormat="false" ht="15" hidden="false" customHeight="fals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</row>
    <row r="1005" customFormat="false" ht="15" hidden="false" customHeight="fals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</row>
    <row r="1006" customFormat="false" ht="15" hidden="false" customHeight="fals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</row>
    <row r="1007" customFormat="false" ht="15" hidden="false" customHeight="fals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</row>
    <row r="1008" customFormat="false" ht="15" hidden="false" customHeight="fals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</row>
    <row r="1009" customFormat="false" ht="15" hidden="false" customHeight="false" outlineLevel="0" collapsed="false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</row>
    <row r="1010" customFormat="false" ht="15" hidden="false" customHeight="false" outlineLevel="0" collapsed="false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</row>
    <row r="1011" customFormat="false" ht="15" hidden="false" customHeight="false" outlineLevel="0" collapsed="false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</row>
    <row r="1012" customFormat="false" ht="15" hidden="false" customHeight="false" outlineLevel="0" collapsed="false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</row>
    <row r="1013" customFormat="false" ht="15" hidden="false" customHeight="false" outlineLevel="0" collapsed="false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</row>
    <row r="1014" customFormat="false" ht="15" hidden="false" customHeight="false" outlineLevel="0" collapsed="false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</row>
    <row r="1015" customFormat="false" ht="15" hidden="false" customHeight="false" outlineLevel="0" collapsed="false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</row>
    <row r="1016" customFormat="false" ht="15" hidden="false" customHeight="false" outlineLevel="0" collapsed="false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</row>
    <row r="1017" customFormat="false" ht="15" hidden="false" customHeight="false" outlineLevel="0" collapsed="false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</row>
    <row r="1018" customFormat="false" ht="15" hidden="false" customHeight="false" outlineLevel="0" collapsed="false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</row>
    <row r="1019" customFormat="false" ht="15" hidden="false" customHeight="false" outlineLevel="0" collapsed="false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</row>
    <row r="1020" customFormat="false" ht="15" hidden="false" customHeight="false" outlineLevel="0" collapsed="false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</row>
    <row r="1021" customFormat="false" ht="15" hidden="false" customHeight="false" outlineLevel="0" collapsed="false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</row>
    <row r="1022" customFormat="false" ht="15" hidden="false" customHeight="false" outlineLevel="0" collapsed="false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</row>
    <row r="1023" customFormat="false" ht="15" hidden="false" customHeight="false" outlineLevel="0" collapsed="false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</row>
    <row r="1024" customFormat="false" ht="15" hidden="false" customHeight="false" outlineLevel="0" collapsed="false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</row>
    <row r="1025" customFormat="false" ht="15" hidden="false" customHeight="false" outlineLevel="0" collapsed="false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</row>
    <row r="1026" customFormat="false" ht="15" hidden="false" customHeight="false" outlineLevel="0" collapsed="false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</row>
    <row r="1027" customFormat="false" ht="15" hidden="false" customHeight="false" outlineLevel="0" collapsed="false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</row>
    <row r="1028" customFormat="false" ht="15" hidden="false" customHeight="false" outlineLevel="0" collapsed="false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</row>
    <row r="1029" customFormat="false" ht="15" hidden="false" customHeight="false" outlineLevel="0" collapsed="false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</row>
    <row r="1030" customFormat="false" ht="15" hidden="false" customHeight="false" outlineLevel="0" collapsed="false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</row>
    <row r="1031" customFormat="false" ht="15" hidden="false" customHeight="false" outlineLevel="0" collapsed="false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</row>
    <row r="1032" customFormat="false" ht="15" hidden="false" customHeight="false" outlineLevel="0" collapsed="false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</row>
    <row r="1033" customFormat="false" ht="15" hidden="false" customHeight="false" outlineLevel="0" collapsed="false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</row>
    <row r="1034" customFormat="false" ht="15" hidden="false" customHeight="false" outlineLevel="0" collapsed="false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</row>
    <row r="1035" customFormat="false" ht="15" hidden="false" customHeight="false" outlineLevel="0" collapsed="false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</row>
    <row r="1036" customFormat="false" ht="15" hidden="false" customHeight="false" outlineLevel="0" collapsed="false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</row>
    <row r="1037" customFormat="false" ht="15" hidden="false" customHeight="false" outlineLevel="0" collapsed="false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</row>
    <row r="1038" customFormat="false" ht="15" hidden="false" customHeight="false" outlineLevel="0" collapsed="false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</row>
    <row r="1039" customFormat="false" ht="15" hidden="false" customHeight="false" outlineLevel="0" collapsed="false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</row>
    <row r="1040" customFormat="false" ht="15" hidden="false" customHeight="false" outlineLevel="0" collapsed="false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</row>
    <row r="1041" customFormat="false" ht="15" hidden="false" customHeight="false" outlineLevel="0" collapsed="false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</row>
    <row r="1042" customFormat="false" ht="15" hidden="false" customHeight="false" outlineLevel="0" collapsed="false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</row>
    <row r="1043" customFormat="false" ht="15" hidden="false" customHeight="false" outlineLevel="0" collapsed="false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</row>
    <row r="1044" customFormat="false" ht="15" hidden="false" customHeight="false" outlineLevel="0" collapsed="false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</row>
    <row r="1045" customFormat="false" ht="15" hidden="false" customHeight="false" outlineLevel="0" collapsed="false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</row>
    <row r="1046" customFormat="false" ht="15" hidden="false" customHeight="false" outlineLevel="0" collapsed="false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</row>
    <row r="1047" customFormat="false" ht="15" hidden="false" customHeight="false" outlineLevel="0" collapsed="false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</row>
    <row r="1048" customFormat="false" ht="15" hidden="false" customHeight="false" outlineLevel="0" collapsed="false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</row>
    <row r="1049" customFormat="false" ht="15" hidden="false" customHeight="false" outlineLevel="0" collapsed="false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</row>
    <row r="1050" customFormat="false" ht="15" hidden="false" customHeight="false" outlineLevel="0" collapsed="false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</row>
    <row r="1051" customFormat="false" ht="15" hidden="false" customHeight="false" outlineLevel="0" collapsed="false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</row>
    <row r="1052" customFormat="false" ht="15" hidden="false" customHeight="false" outlineLevel="0" collapsed="false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</row>
    <row r="1053" customFormat="false" ht="15" hidden="false" customHeight="false" outlineLevel="0" collapsed="false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</row>
    <row r="1054" customFormat="false" ht="15" hidden="false" customHeight="false" outlineLevel="0" collapsed="false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</row>
    <row r="1055" customFormat="false" ht="15" hidden="false" customHeight="false" outlineLevel="0" collapsed="false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</row>
    <row r="1056" customFormat="false" ht="15" hidden="false" customHeight="false" outlineLevel="0" collapsed="false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</row>
    <row r="1057" customFormat="false" ht="15" hidden="false" customHeight="false" outlineLevel="0" collapsed="false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</row>
    <row r="1058" customFormat="false" ht="15" hidden="false" customHeight="false" outlineLevel="0" collapsed="false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</row>
    <row r="1059" customFormat="false" ht="15" hidden="false" customHeight="false" outlineLevel="0" collapsed="false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</row>
    <row r="1060" customFormat="false" ht="15" hidden="false" customHeight="false" outlineLevel="0" collapsed="false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</row>
    <row r="1061" customFormat="false" ht="15" hidden="false" customHeight="false" outlineLevel="0" collapsed="false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</row>
    <row r="1062" customFormat="false" ht="15" hidden="false" customHeight="false" outlineLevel="0" collapsed="false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</row>
    <row r="1063" customFormat="false" ht="15" hidden="false" customHeight="false" outlineLevel="0" collapsed="false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</row>
    <row r="1064" customFormat="false" ht="15" hidden="false" customHeight="false" outlineLevel="0" collapsed="false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</row>
    <row r="1065" customFormat="false" ht="15" hidden="false" customHeight="false" outlineLevel="0" collapsed="false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</row>
    <row r="1066" customFormat="false" ht="15" hidden="false" customHeight="false" outlineLevel="0" collapsed="false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</row>
    <row r="1067" customFormat="false" ht="15" hidden="false" customHeight="false" outlineLevel="0" collapsed="false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</row>
    <row r="1068" customFormat="false" ht="15" hidden="false" customHeight="false" outlineLevel="0" collapsed="false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</row>
    <row r="1069" customFormat="false" ht="15" hidden="false" customHeight="false" outlineLevel="0" collapsed="false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</row>
    <row r="1070" customFormat="false" ht="15" hidden="false" customHeight="false" outlineLevel="0" collapsed="false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</row>
    <row r="1071" customFormat="false" ht="15" hidden="false" customHeight="false" outlineLevel="0" collapsed="false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</row>
    <row r="1072" customFormat="false" ht="15" hidden="false" customHeight="false" outlineLevel="0" collapsed="false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</row>
    <row r="1073" customFormat="false" ht="15" hidden="false" customHeight="false" outlineLevel="0" collapsed="false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</row>
    <row r="1074" customFormat="false" ht="15" hidden="false" customHeight="false" outlineLevel="0" collapsed="false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</row>
    <row r="1075" customFormat="false" ht="15" hidden="false" customHeight="false" outlineLevel="0" collapsed="false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</row>
    <row r="1076" customFormat="false" ht="15" hidden="false" customHeight="false" outlineLevel="0" collapsed="false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</row>
    <row r="1077" customFormat="false" ht="15" hidden="false" customHeight="false" outlineLevel="0" collapsed="false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</row>
    <row r="1078" customFormat="false" ht="15" hidden="false" customHeight="false" outlineLevel="0" collapsed="false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</row>
    <row r="1079" customFormat="false" ht="15" hidden="false" customHeight="false" outlineLevel="0" collapsed="false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</row>
    <row r="1080" customFormat="false" ht="15" hidden="false" customHeight="false" outlineLevel="0" collapsed="false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</row>
    <row r="1081" customFormat="false" ht="15" hidden="false" customHeight="false" outlineLevel="0" collapsed="false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</row>
    <row r="1082" customFormat="false" ht="15" hidden="false" customHeight="false" outlineLevel="0" collapsed="false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</row>
    <row r="1083" customFormat="false" ht="15" hidden="false" customHeight="false" outlineLevel="0" collapsed="false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</row>
    <row r="1084" customFormat="false" ht="15" hidden="false" customHeight="false" outlineLevel="0" collapsed="false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</row>
    <row r="1085" customFormat="false" ht="15" hidden="false" customHeight="false" outlineLevel="0" collapsed="false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</row>
    <row r="1086" customFormat="false" ht="15" hidden="false" customHeight="false" outlineLevel="0" collapsed="false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</row>
    <row r="1087" customFormat="false" ht="15" hidden="false" customHeight="false" outlineLevel="0" collapsed="false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</row>
    <row r="1088" customFormat="false" ht="15" hidden="false" customHeight="false" outlineLevel="0" collapsed="false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</row>
    <row r="1089" customFormat="false" ht="15" hidden="false" customHeight="false" outlineLevel="0" collapsed="false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</row>
    <row r="1090" customFormat="false" ht="15" hidden="false" customHeight="false" outlineLevel="0" collapsed="false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</row>
    <row r="1091" customFormat="false" ht="15" hidden="false" customHeight="false" outlineLevel="0" collapsed="false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</row>
    <row r="1092" customFormat="false" ht="15" hidden="false" customHeight="false" outlineLevel="0" collapsed="false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</row>
    <row r="1093" customFormat="false" ht="15" hidden="false" customHeight="false" outlineLevel="0" collapsed="false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</row>
    <row r="1094" customFormat="false" ht="15" hidden="false" customHeight="false" outlineLevel="0" collapsed="false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</row>
    <row r="1095" customFormat="false" ht="15" hidden="false" customHeight="false" outlineLevel="0" collapsed="false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</row>
    <row r="1096" customFormat="false" ht="15" hidden="false" customHeight="false" outlineLevel="0" collapsed="false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</row>
    <row r="1097" customFormat="false" ht="15" hidden="false" customHeight="false" outlineLevel="0" collapsed="false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</row>
    <row r="1098" customFormat="false" ht="15" hidden="false" customHeight="false" outlineLevel="0" collapsed="false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</row>
    <row r="1099" customFormat="false" ht="15" hidden="false" customHeight="false" outlineLevel="0" collapsed="false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</row>
    <row r="1100" customFormat="false" ht="15" hidden="false" customHeight="false" outlineLevel="0" collapsed="false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</row>
    <row r="1101" customFormat="false" ht="15" hidden="false" customHeight="false" outlineLevel="0" collapsed="false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</row>
    <row r="1102" customFormat="false" ht="15" hidden="false" customHeight="false" outlineLevel="0" collapsed="false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</row>
    <row r="1103" customFormat="false" ht="15" hidden="false" customHeight="false" outlineLevel="0" collapsed="false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</row>
    <row r="1104" customFormat="false" ht="15" hidden="false" customHeight="false" outlineLevel="0" collapsed="false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</row>
    <row r="1105" customFormat="false" ht="15" hidden="false" customHeight="false" outlineLevel="0" collapsed="false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</row>
    <row r="1106" customFormat="false" ht="15" hidden="false" customHeight="false" outlineLevel="0" collapsed="false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</row>
    <row r="1107" customFormat="false" ht="15" hidden="false" customHeight="false" outlineLevel="0" collapsed="false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</row>
    <row r="1108" customFormat="false" ht="15" hidden="false" customHeight="false" outlineLevel="0" collapsed="false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</row>
    <row r="1109" customFormat="false" ht="15" hidden="false" customHeight="false" outlineLevel="0" collapsed="false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</row>
    <row r="1110" customFormat="false" ht="15" hidden="false" customHeight="false" outlineLevel="0" collapsed="false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</row>
    <row r="1111" customFormat="false" ht="15" hidden="false" customHeight="false" outlineLevel="0" collapsed="false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</row>
    <row r="1112" customFormat="false" ht="15" hidden="false" customHeight="false" outlineLevel="0" collapsed="false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</row>
    <row r="1113" customFormat="false" ht="15" hidden="false" customHeight="false" outlineLevel="0" collapsed="false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</row>
    <row r="1114" customFormat="false" ht="15" hidden="false" customHeight="false" outlineLevel="0" collapsed="false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</row>
    <row r="1115" customFormat="false" ht="15" hidden="false" customHeight="false" outlineLevel="0" collapsed="false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</row>
    <row r="1116" customFormat="false" ht="15" hidden="false" customHeight="false" outlineLevel="0" collapsed="false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</row>
    <row r="1117" customFormat="false" ht="15" hidden="false" customHeight="false" outlineLevel="0" collapsed="false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</row>
    <row r="1118" customFormat="false" ht="15" hidden="false" customHeight="false" outlineLevel="0" collapsed="false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</row>
    <row r="1119" customFormat="false" ht="15" hidden="false" customHeight="false" outlineLevel="0" collapsed="false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</row>
    <row r="1120" customFormat="false" ht="15" hidden="false" customHeight="false" outlineLevel="0" collapsed="false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</row>
    <row r="1121" customFormat="false" ht="15" hidden="false" customHeight="false" outlineLevel="0" collapsed="false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</row>
    <row r="1122" customFormat="false" ht="15" hidden="false" customHeight="false" outlineLevel="0" collapsed="false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</row>
    <row r="1123" customFormat="false" ht="15" hidden="false" customHeight="false" outlineLevel="0" collapsed="false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</row>
    <row r="1124" customFormat="false" ht="15" hidden="false" customHeight="false" outlineLevel="0" collapsed="false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</row>
    <row r="1125" customFormat="false" ht="15" hidden="false" customHeight="false" outlineLevel="0" collapsed="false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</row>
    <row r="1126" customFormat="false" ht="15" hidden="false" customHeight="false" outlineLevel="0" collapsed="false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</row>
    <row r="1127" customFormat="false" ht="15" hidden="false" customHeight="false" outlineLevel="0" collapsed="false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</row>
    <row r="1128" customFormat="false" ht="15" hidden="false" customHeight="false" outlineLevel="0" collapsed="false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</row>
    <row r="1129" customFormat="false" ht="15" hidden="false" customHeight="false" outlineLevel="0" collapsed="false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</row>
    <row r="1130" customFormat="false" ht="15" hidden="false" customHeight="false" outlineLevel="0" collapsed="false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</row>
    <row r="1131" customFormat="false" ht="15" hidden="false" customHeight="false" outlineLevel="0" collapsed="false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</row>
    <row r="1132" customFormat="false" ht="15" hidden="false" customHeight="false" outlineLevel="0" collapsed="false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</row>
    <row r="1133" customFormat="false" ht="15" hidden="false" customHeight="false" outlineLevel="0" collapsed="false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</row>
    <row r="1134" customFormat="false" ht="15" hidden="false" customHeight="false" outlineLevel="0" collapsed="false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</row>
    <row r="1135" customFormat="false" ht="15" hidden="false" customHeight="false" outlineLevel="0" collapsed="false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</row>
    <row r="1136" customFormat="false" ht="15" hidden="false" customHeight="false" outlineLevel="0" collapsed="false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</row>
    <row r="1137" customFormat="false" ht="15" hidden="false" customHeight="false" outlineLevel="0" collapsed="false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</row>
    <row r="1138" customFormat="false" ht="15" hidden="false" customHeight="false" outlineLevel="0" collapsed="false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</row>
    <row r="1139" customFormat="false" ht="15" hidden="false" customHeight="false" outlineLevel="0" collapsed="false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</row>
    <row r="1140" customFormat="false" ht="15" hidden="false" customHeight="false" outlineLevel="0" collapsed="false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</row>
    <row r="1141" customFormat="false" ht="15" hidden="false" customHeight="false" outlineLevel="0" collapsed="false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</row>
    <row r="1142" customFormat="false" ht="15" hidden="false" customHeight="false" outlineLevel="0" collapsed="false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</row>
    <row r="1143" customFormat="false" ht="15" hidden="false" customHeight="false" outlineLevel="0" collapsed="false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</row>
    <row r="1144" customFormat="false" ht="15" hidden="false" customHeight="false" outlineLevel="0" collapsed="false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</row>
    <row r="1145" customFormat="false" ht="15" hidden="false" customHeight="false" outlineLevel="0" collapsed="false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</row>
    <row r="1146" customFormat="false" ht="15" hidden="false" customHeight="false" outlineLevel="0" collapsed="false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</row>
    <row r="1147" customFormat="false" ht="15" hidden="false" customHeight="false" outlineLevel="0" collapsed="false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</row>
    <row r="1148" customFormat="false" ht="15" hidden="false" customHeight="false" outlineLevel="0" collapsed="false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</row>
    <row r="1149" customFormat="false" ht="15" hidden="false" customHeight="false" outlineLevel="0" collapsed="false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</row>
    <row r="1150" customFormat="false" ht="15" hidden="false" customHeight="false" outlineLevel="0" collapsed="false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</row>
    <row r="1151" customFormat="false" ht="15" hidden="false" customHeight="false" outlineLevel="0" collapsed="false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</row>
    <row r="1152" customFormat="false" ht="15" hidden="false" customHeight="false" outlineLevel="0" collapsed="false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</row>
    <row r="1153" customFormat="false" ht="15" hidden="false" customHeight="false" outlineLevel="0" collapsed="false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</row>
    <row r="1154" customFormat="false" ht="15" hidden="false" customHeight="false" outlineLevel="0" collapsed="false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</row>
    <row r="1155" customFormat="false" ht="15" hidden="false" customHeight="false" outlineLevel="0" collapsed="false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</row>
    <row r="1156" customFormat="false" ht="15" hidden="false" customHeight="false" outlineLevel="0" collapsed="false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</row>
    <row r="1157" customFormat="false" ht="15" hidden="false" customHeight="false" outlineLevel="0" collapsed="false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</row>
    <row r="1158" customFormat="false" ht="15" hidden="false" customHeight="false" outlineLevel="0" collapsed="false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</row>
    <row r="1159" customFormat="false" ht="15" hidden="false" customHeight="false" outlineLevel="0" collapsed="false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</row>
    <row r="1160" customFormat="false" ht="15" hidden="false" customHeight="false" outlineLevel="0" collapsed="false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</row>
    <row r="1161" customFormat="false" ht="15" hidden="false" customHeight="false" outlineLevel="0" collapsed="false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</row>
    <row r="1162" customFormat="false" ht="15" hidden="false" customHeight="false" outlineLevel="0" collapsed="false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</row>
    <row r="1163" customFormat="false" ht="15" hidden="false" customHeight="false" outlineLevel="0" collapsed="false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</row>
    <row r="1164" customFormat="false" ht="15" hidden="false" customHeight="false" outlineLevel="0" collapsed="false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</row>
    <row r="1165" customFormat="false" ht="15" hidden="false" customHeight="false" outlineLevel="0" collapsed="false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</row>
    <row r="1166" customFormat="false" ht="15" hidden="false" customHeight="false" outlineLevel="0" collapsed="false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</row>
    <row r="1167" customFormat="false" ht="15" hidden="false" customHeight="false" outlineLevel="0" collapsed="false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</row>
    <row r="1168" customFormat="false" ht="15" hidden="false" customHeight="false" outlineLevel="0" collapsed="false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</row>
    <row r="1169" customFormat="false" ht="15" hidden="false" customHeight="false" outlineLevel="0" collapsed="false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</row>
    <row r="1170" customFormat="false" ht="15" hidden="false" customHeight="false" outlineLevel="0" collapsed="false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</row>
    <row r="1171" customFormat="false" ht="15" hidden="false" customHeight="false" outlineLevel="0" collapsed="false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</row>
    <row r="1172" customFormat="false" ht="15" hidden="false" customHeight="false" outlineLevel="0" collapsed="false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</row>
    <row r="1173" customFormat="false" ht="15" hidden="false" customHeight="false" outlineLevel="0" collapsed="false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</row>
    <row r="1174" customFormat="false" ht="15" hidden="false" customHeight="false" outlineLevel="0" collapsed="false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</row>
    <row r="1175" customFormat="false" ht="15" hidden="false" customHeight="false" outlineLevel="0" collapsed="false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</row>
    <row r="1176" customFormat="false" ht="15" hidden="false" customHeight="false" outlineLevel="0" collapsed="false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</row>
    <row r="1177" customFormat="false" ht="15" hidden="false" customHeight="false" outlineLevel="0" collapsed="false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</row>
    <row r="1178" customFormat="false" ht="15" hidden="false" customHeight="false" outlineLevel="0" collapsed="false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</row>
    <row r="1179" customFormat="false" ht="15" hidden="false" customHeight="false" outlineLevel="0" collapsed="false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</row>
    <row r="1180" customFormat="false" ht="15" hidden="false" customHeight="false" outlineLevel="0" collapsed="false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</row>
    <row r="1181" customFormat="false" ht="15" hidden="false" customHeight="false" outlineLevel="0" collapsed="false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</row>
    <row r="1182" customFormat="false" ht="15" hidden="false" customHeight="false" outlineLevel="0" collapsed="false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</row>
    <row r="1183" customFormat="false" ht="15" hidden="false" customHeight="false" outlineLevel="0" collapsed="false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</row>
    <row r="1184" customFormat="false" ht="15" hidden="false" customHeight="false" outlineLevel="0" collapsed="false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</row>
    <row r="1185" customFormat="false" ht="15" hidden="false" customHeight="false" outlineLevel="0" collapsed="false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</row>
    <row r="1186" customFormat="false" ht="15" hidden="false" customHeight="false" outlineLevel="0" collapsed="false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</row>
    <row r="1187" customFormat="false" ht="15" hidden="false" customHeight="false" outlineLevel="0" collapsed="false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</row>
    <row r="1188" customFormat="false" ht="15" hidden="false" customHeight="false" outlineLevel="0" collapsed="false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</row>
    <row r="1189" customFormat="false" ht="15" hidden="false" customHeight="false" outlineLevel="0" collapsed="false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</row>
    <row r="1190" customFormat="false" ht="15" hidden="false" customHeight="false" outlineLevel="0" collapsed="false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</row>
    <row r="1191" customFormat="false" ht="15" hidden="false" customHeight="false" outlineLevel="0" collapsed="false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</row>
    <row r="1192" customFormat="false" ht="15" hidden="false" customHeight="false" outlineLevel="0" collapsed="false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</row>
    <row r="1193" customFormat="false" ht="15" hidden="false" customHeight="false" outlineLevel="0" collapsed="false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</row>
    <row r="1194" customFormat="false" ht="15" hidden="false" customHeight="false" outlineLevel="0" collapsed="false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</row>
    <row r="1195" customFormat="false" ht="15" hidden="false" customHeight="false" outlineLevel="0" collapsed="false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</row>
    <row r="1196" customFormat="false" ht="15" hidden="false" customHeight="false" outlineLevel="0" collapsed="false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</row>
    <row r="1197" customFormat="false" ht="15" hidden="false" customHeight="false" outlineLevel="0" collapsed="false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</row>
    <row r="1198" customFormat="false" ht="15" hidden="false" customHeight="false" outlineLevel="0" collapsed="false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</row>
    <row r="1199" customFormat="false" ht="15" hidden="false" customHeight="false" outlineLevel="0" collapsed="false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</row>
    <row r="1200" customFormat="false" ht="15" hidden="false" customHeight="false" outlineLevel="0" collapsed="false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</row>
    <row r="1201" customFormat="false" ht="15" hidden="false" customHeight="false" outlineLevel="0" collapsed="false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</row>
    <row r="1202" customFormat="false" ht="15" hidden="false" customHeight="false" outlineLevel="0" collapsed="false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</row>
    <row r="1203" customFormat="false" ht="15" hidden="false" customHeight="false" outlineLevel="0" collapsed="false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</row>
    <row r="1204" customFormat="false" ht="15" hidden="false" customHeight="false" outlineLevel="0" collapsed="false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</row>
    <row r="1205" customFormat="false" ht="15" hidden="false" customHeight="false" outlineLevel="0" collapsed="false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</row>
    <row r="1206" customFormat="false" ht="15" hidden="false" customHeight="false" outlineLevel="0" collapsed="false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</row>
    <row r="1207" customFormat="false" ht="15" hidden="false" customHeight="false" outlineLevel="0" collapsed="false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</row>
    <row r="1208" customFormat="false" ht="15" hidden="false" customHeight="false" outlineLevel="0" collapsed="false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</row>
    <row r="1209" customFormat="false" ht="15" hidden="false" customHeight="false" outlineLevel="0" collapsed="false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</row>
    <row r="1210" customFormat="false" ht="15" hidden="false" customHeight="false" outlineLevel="0" collapsed="false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</row>
    <row r="1211" customFormat="false" ht="15" hidden="false" customHeight="false" outlineLevel="0" collapsed="false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</row>
    <row r="1212" customFormat="false" ht="15" hidden="false" customHeight="false" outlineLevel="0" collapsed="false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</row>
    <row r="1213" customFormat="false" ht="15" hidden="false" customHeight="false" outlineLevel="0" collapsed="false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</row>
    <row r="1214" customFormat="false" ht="15" hidden="false" customHeight="false" outlineLevel="0" collapsed="false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</row>
    <row r="1215" customFormat="false" ht="15" hidden="false" customHeight="false" outlineLevel="0" collapsed="false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</row>
    <row r="1216" customFormat="false" ht="15" hidden="false" customHeight="false" outlineLevel="0" collapsed="false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</row>
    <row r="1217" customFormat="false" ht="15" hidden="false" customHeight="false" outlineLevel="0" collapsed="false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</row>
    <row r="1218" customFormat="false" ht="15" hidden="false" customHeight="false" outlineLevel="0" collapsed="false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</row>
    <row r="1219" customFormat="false" ht="15" hidden="false" customHeight="false" outlineLevel="0" collapsed="false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</row>
    <row r="1220" customFormat="false" ht="15" hidden="false" customHeight="false" outlineLevel="0" collapsed="false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</row>
    <row r="1221" customFormat="false" ht="15" hidden="false" customHeight="false" outlineLevel="0" collapsed="false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</row>
    <row r="1222" customFormat="false" ht="15" hidden="false" customHeight="false" outlineLevel="0" collapsed="false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</row>
    <row r="1223" customFormat="false" ht="15" hidden="false" customHeight="false" outlineLevel="0" collapsed="false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</row>
    <row r="1224" customFormat="false" ht="15" hidden="false" customHeight="false" outlineLevel="0" collapsed="false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</row>
    <row r="1225" customFormat="false" ht="15" hidden="false" customHeight="false" outlineLevel="0" collapsed="false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</row>
    <row r="1226" customFormat="false" ht="15" hidden="false" customHeight="false" outlineLevel="0" collapsed="false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</row>
    <row r="1227" customFormat="false" ht="15" hidden="false" customHeight="false" outlineLevel="0" collapsed="false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</row>
    <row r="1228" customFormat="false" ht="15" hidden="false" customHeight="false" outlineLevel="0" collapsed="false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</row>
    <row r="1229" customFormat="false" ht="15" hidden="false" customHeight="false" outlineLevel="0" collapsed="false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</row>
    <row r="1230" customFormat="false" ht="15" hidden="false" customHeight="false" outlineLevel="0" collapsed="false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</row>
    <row r="1231" customFormat="false" ht="15" hidden="false" customHeight="false" outlineLevel="0" collapsed="false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</row>
    <row r="1232" customFormat="false" ht="15" hidden="false" customHeight="false" outlineLevel="0" collapsed="false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</row>
    <row r="1233" customFormat="false" ht="15" hidden="false" customHeight="false" outlineLevel="0" collapsed="false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</row>
    <row r="1234" customFormat="false" ht="15" hidden="false" customHeight="false" outlineLevel="0" collapsed="false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</row>
    <row r="1235" customFormat="false" ht="15" hidden="false" customHeight="false" outlineLevel="0" collapsed="false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</row>
    <row r="1236" customFormat="false" ht="15" hidden="false" customHeight="false" outlineLevel="0" collapsed="false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</row>
    <row r="1237" customFormat="false" ht="15" hidden="false" customHeight="false" outlineLevel="0" collapsed="false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</row>
    <row r="1238" customFormat="false" ht="15" hidden="false" customHeight="false" outlineLevel="0" collapsed="false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</row>
    <row r="1239" customFormat="false" ht="15" hidden="false" customHeight="false" outlineLevel="0" collapsed="false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</row>
    <row r="1240" customFormat="false" ht="15" hidden="false" customHeight="false" outlineLevel="0" collapsed="false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</row>
    <row r="1241" customFormat="false" ht="15" hidden="false" customHeight="false" outlineLevel="0" collapsed="false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</row>
    <row r="1242" customFormat="false" ht="15" hidden="false" customHeight="false" outlineLevel="0" collapsed="false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</row>
    <row r="1243" customFormat="false" ht="15" hidden="false" customHeight="false" outlineLevel="0" collapsed="false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</row>
    <row r="1244" customFormat="false" ht="15" hidden="false" customHeight="false" outlineLevel="0" collapsed="false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</row>
    <row r="1245" customFormat="false" ht="15" hidden="false" customHeight="false" outlineLevel="0" collapsed="false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</row>
    <row r="1246" customFormat="false" ht="15" hidden="false" customHeight="false" outlineLevel="0" collapsed="false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</row>
    <row r="1247" customFormat="false" ht="15" hidden="false" customHeight="false" outlineLevel="0" collapsed="false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</row>
    <row r="1248" customFormat="false" ht="15" hidden="false" customHeight="false" outlineLevel="0" collapsed="false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</row>
    <row r="1249" customFormat="false" ht="15" hidden="false" customHeight="false" outlineLevel="0" collapsed="false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</row>
    <row r="1250" customFormat="false" ht="15" hidden="false" customHeight="false" outlineLevel="0" collapsed="false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</row>
    <row r="1251" customFormat="false" ht="15" hidden="false" customHeight="false" outlineLevel="0" collapsed="false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</row>
    <row r="1252" customFormat="false" ht="15" hidden="false" customHeight="false" outlineLevel="0" collapsed="false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</row>
    <row r="1253" customFormat="false" ht="15" hidden="false" customHeight="false" outlineLevel="0" collapsed="false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</row>
    <row r="1254" customFormat="false" ht="15" hidden="false" customHeight="false" outlineLevel="0" collapsed="false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</row>
    <row r="1255" customFormat="false" ht="15" hidden="false" customHeight="false" outlineLevel="0" collapsed="false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</row>
    <row r="1256" customFormat="false" ht="15" hidden="false" customHeight="false" outlineLevel="0" collapsed="false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</row>
    <row r="1257" customFormat="false" ht="15" hidden="false" customHeight="false" outlineLevel="0" collapsed="false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</row>
    <row r="1258" customFormat="false" ht="15" hidden="false" customHeight="false" outlineLevel="0" collapsed="false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</row>
    <row r="1259" customFormat="false" ht="15" hidden="false" customHeight="false" outlineLevel="0" collapsed="false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</row>
    <row r="1260" customFormat="false" ht="15" hidden="false" customHeight="false" outlineLevel="0" collapsed="false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</row>
    <row r="1261" customFormat="false" ht="15" hidden="false" customHeight="false" outlineLevel="0" collapsed="false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</row>
    <row r="1262" customFormat="false" ht="15" hidden="false" customHeight="false" outlineLevel="0" collapsed="false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</row>
    <row r="1263" customFormat="false" ht="15" hidden="false" customHeight="false" outlineLevel="0" collapsed="false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</row>
    <row r="1264" customFormat="false" ht="15" hidden="false" customHeight="false" outlineLevel="0" collapsed="false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</row>
    <row r="1265" customFormat="false" ht="15" hidden="false" customHeight="false" outlineLevel="0" collapsed="false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</row>
    <row r="1266" customFormat="false" ht="15" hidden="false" customHeight="false" outlineLevel="0" collapsed="false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</row>
    <row r="1267" customFormat="false" ht="15" hidden="false" customHeight="false" outlineLevel="0" collapsed="false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</row>
    <row r="1268" customFormat="false" ht="15" hidden="false" customHeight="false" outlineLevel="0" collapsed="false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</row>
    <row r="1269" customFormat="false" ht="15" hidden="false" customHeight="false" outlineLevel="0" collapsed="false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</row>
    <row r="1270" customFormat="false" ht="15" hidden="false" customHeight="false" outlineLevel="0" collapsed="false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</row>
    <row r="1271" customFormat="false" ht="15" hidden="false" customHeight="false" outlineLevel="0" collapsed="false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</row>
    <row r="1272" customFormat="false" ht="15" hidden="false" customHeight="false" outlineLevel="0" collapsed="false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</row>
    <row r="1273" customFormat="false" ht="15" hidden="false" customHeight="false" outlineLevel="0" collapsed="false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</row>
    <row r="1274" customFormat="false" ht="15" hidden="false" customHeight="false" outlineLevel="0" collapsed="false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</row>
    <row r="1275" customFormat="false" ht="15" hidden="false" customHeight="false" outlineLevel="0" collapsed="false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</row>
    <row r="1276" customFormat="false" ht="15" hidden="false" customHeight="false" outlineLevel="0" collapsed="false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</row>
    <row r="1277" customFormat="false" ht="15" hidden="false" customHeight="false" outlineLevel="0" collapsed="false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</row>
    <row r="1278" customFormat="false" ht="15" hidden="false" customHeight="false" outlineLevel="0" collapsed="false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</row>
    <row r="1279" customFormat="false" ht="15" hidden="false" customHeight="false" outlineLevel="0" collapsed="false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</row>
    <row r="1280" customFormat="false" ht="15" hidden="false" customHeight="false" outlineLevel="0" collapsed="false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</row>
    <row r="1281" customFormat="false" ht="15" hidden="false" customHeight="false" outlineLevel="0" collapsed="false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</row>
    <row r="1282" customFormat="false" ht="15" hidden="false" customHeight="false" outlineLevel="0" collapsed="false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</row>
    <row r="1283" customFormat="false" ht="15" hidden="false" customHeight="false" outlineLevel="0" collapsed="false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</row>
    <row r="1284" customFormat="false" ht="15" hidden="false" customHeight="false" outlineLevel="0" collapsed="false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</row>
    <row r="1285" customFormat="false" ht="15" hidden="false" customHeight="false" outlineLevel="0" collapsed="false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</row>
    <row r="1286" customFormat="false" ht="15" hidden="false" customHeight="false" outlineLevel="0" collapsed="false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</row>
    <row r="1287" customFormat="false" ht="15" hidden="false" customHeight="false" outlineLevel="0" collapsed="false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</row>
    <row r="1288" customFormat="false" ht="15" hidden="false" customHeight="false" outlineLevel="0" collapsed="false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</row>
    <row r="1289" customFormat="false" ht="15" hidden="false" customHeight="false" outlineLevel="0" collapsed="false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</row>
    <row r="1290" customFormat="false" ht="15" hidden="false" customHeight="false" outlineLevel="0" collapsed="false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</row>
    <row r="1291" customFormat="false" ht="15" hidden="false" customHeight="false" outlineLevel="0" collapsed="false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</row>
    <row r="1292" customFormat="false" ht="15" hidden="false" customHeight="false" outlineLevel="0" collapsed="false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</row>
    <row r="1293" customFormat="false" ht="15" hidden="false" customHeight="false" outlineLevel="0" collapsed="false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</row>
    <row r="1294" customFormat="false" ht="15" hidden="false" customHeight="false" outlineLevel="0" collapsed="false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</row>
    <row r="1295" customFormat="false" ht="15" hidden="false" customHeight="false" outlineLevel="0" collapsed="false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</row>
    <row r="1296" customFormat="false" ht="15" hidden="false" customHeight="false" outlineLevel="0" collapsed="false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</row>
    <row r="1297" customFormat="false" ht="15" hidden="false" customHeight="false" outlineLevel="0" collapsed="false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</row>
    <row r="1298" customFormat="false" ht="15" hidden="false" customHeight="false" outlineLevel="0" collapsed="false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</row>
    <row r="1299" customFormat="false" ht="15" hidden="false" customHeight="false" outlineLevel="0" collapsed="false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</row>
    <row r="1300" customFormat="false" ht="15" hidden="false" customHeight="false" outlineLevel="0" collapsed="false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</row>
    <row r="1301" customFormat="false" ht="15" hidden="false" customHeight="false" outlineLevel="0" collapsed="false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</row>
    <row r="1302" customFormat="false" ht="15" hidden="false" customHeight="false" outlineLevel="0" collapsed="false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</row>
    <row r="1303" customFormat="false" ht="15" hidden="false" customHeight="false" outlineLevel="0" collapsed="false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</row>
    <row r="1304" customFormat="false" ht="15" hidden="false" customHeight="false" outlineLevel="0" collapsed="false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</row>
    <row r="1305" customFormat="false" ht="15" hidden="false" customHeight="false" outlineLevel="0" collapsed="false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</row>
    <row r="1306" customFormat="false" ht="15" hidden="false" customHeight="false" outlineLevel="0" collapsed="false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</row>
    <row r="1307" customFormat="false" ht="15" hidden="false" customHeight="false" outlineLevel="0" collapsed="false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</row>
    <row r="1308" customFormat="false" ht="15" hidden="false" customHeight="false" outlineLevel="0" collapsed="false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</row>
    <row r="1309" customFormat="false" ht="15" hidden="false" customHeight="false" outlineLevel="0" collapsed="false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</row>
    <row r="1310" customFormat="false" ht="15" hidden="false" customHeight="false" outlineLevel="0" collapsed="false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</row>
    <row r="1311" customFormat="false" ht="15" hidden="false" customHeight="false" outlineLevel="0" collapsed="false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</row>
    <row r="1312" customFormat="false" ht="15" hidden="false" customHeight="false" outlineLevel="0" collapsed="false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</row>
    <row r="1313" customFormat="false" ht="15" hidden="false" customHeight="false" outlineLevel="0" collapsed="false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</row>
    <row r="1314" customFormat="false" ht="15" hidden="false" customHeight="false" outlineLevel="0" collapsed="false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</row>
    <row r="1315" customFormat="false" ht="15" hidden="false" customHeight="false" outlineLevel="0" collapsed="false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</row>
    <row r="1316" customFormat="false" ht="15" hidden="false" customHeight="false" outlineLevel="0" collapsed="false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</row>
    <row r="1317" customFormat="false" ht="15" hidden="false" customHeight="false" outlineLevel="0" collapsed="false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</row>
    <row r="1318" customFormat="false" ht="15" hidden="false" customHeight="false" outlineLevel="0" collapsed="false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</row>
    <row r="1319" customFormat="false" ht="15" hidden="false" customHeight="false" outlineLevel="0" collapsed="false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</row>
    <row r="1320" customFormat="false" ht="15" hidden="false" customHeight="false" outlineLevel="0" collapsed="false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</row>
    <row r="1321" customFormat="false" ht="15" hidden="false" customHeight="false" outlineLevel="0" collapsed="false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</row>
    <row r="1322" customFormat="false" ht="15" hidden="false" customHeight="false" outlineLevel="0" collapsed="false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</row>
    <row r="1323" customFormat="false" ht="15" hidden="false" customHeight="false" outlineLevel="0" collapsed="false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</row>
    <row r="1324" customFormat="false" ht="15" hidden="false" customHeight="false" outlineLevel="0" collapsed="false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</row>
    <row r="1325" customFormat="false" ht="15" hidden="false" customHeight="false" outlineLevel="0" collapsed="false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</row>
    <row r="1326" customFormat="false" ht="15" hidden="false" customHeight="false" outlineLevel="0" collapsed="false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</row>
    <row r="1327" customFormat="false" ht="15" hidden="false" customHeight="false" outlineLevel="0" collapsed="false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</row>
    <row r="1328" customFormat="false" ht="15" hidden="false" customHeight="false" outlineLevel="0" collapsed="false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</row>
    <row r="1329" customFormat="false" ht="15" hidden="false" customHeight="false" outlineLevel="0" collapsed="false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</row>
    <row r="1330" customFormat="false" ht="15" hidden="false" customHeight="false" outlineLevel="0" collapsed="false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</row>
    <row r="1331" customFormat="false" ht="15" hidden="false" customHeight="false" outlineLevel="0" collapsed="false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</row>
    <row r="1332" customFormat="false" ht="15" hidden="false" customHeight="false" outlineLevel="0" collapsed="false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</row>
    <row r="1333" customFormat="false" ht="15" hidden="false" customHeight="false" outlineLevel="0" collapsed="false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</row>
    <row r="1334" customFormat="false" ht="15" hidden="false" customHeight="false" outlineLevel="0" collapsed="false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</row>
    <row r="1335" customFormat="false" ht="15" hidden="false" customHeight="false" outlineLevel="0" collapsed="false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</row>
    <row r="1336" customFormat="false" ht="15" hidden="false" customHeight="false" outlineLevel="0" collapsed="false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</row>
    <row r="1337" customFormat="false" ht="15" hidden="false" customHeight="false" outlineLevel="0" collapsed="false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</row>
    <row r="1338" customFormat="false" ht="15" hidden="false" customHeight="false" outlineLevel="0" collapsed="false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</row>
    <row r="1339" customFormat="false" ht="15" hidden="false" customHeight="false" outlineLevel="0" collapsed="false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</row>
    <row r="1340" customFormat="false" ht="15" hidden="false" customHeight="false" outlineLevel="0" collapsed="false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</row>
    <row r="1341" customFormat="false" ht="15" hidden="false" customHeight="false" outlineLevel="0" collapsed="false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</row>
    <row r="1342" customFormat="false" ht="15" hidden="false" customHeight="false" outlineLevel="0" collapsed="false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</row>
    <row r="1343" customFormat="false" ht="15" hidden="false" customHeight="false" outlineLevel="0" collapsed="false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</row>
    <row r="1344" customFormat="false" ht="15" hidden="false" customHeight="false" outlineLevel="0" collapsed="false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</row>
    <row r="1345" customFormat="false" ht="15" hidden="false" customHeight="false" outlineLevel="0" collapsed="false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</row>
    <row r="1346" customFormat="false" ht="15" hidden="false" customHeight="false" outlineLevel="0" collapsed="false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</row>
    <row r="1347" customFormat="false" ht="15" hidden="false" customHeight="false" outlineLevel="0" collapsed="false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</row>
    <row r="1348" customFormat="false" ht="15" hidden="false" customHeight="false" outlineLevel="0" collapsed="false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</row>
    <row r="1349" customFormat="false" ht="15" hidden="false" customHeight="false" outlineLevel="0" collapsed="false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</row>
    <row r="1350" customFormat="false" ht="15" hidden="false" customHeight="false" outlineLevel="0" collapsed="false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</row>
    <row r="1351" customFormat="false" ht="15" hidden="false" customHeight="false" outlineLevel="0" collapsed="false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</row>
    <row r="1352" customFormat="false" ht="15" hidden="false" customHeight="false" outlineLevel="0" collapsed="false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</row>
    <row r="1353" customFormat="false" ht="15" hidden="false" customHeight="false" outlineLevel="0" collapsed="false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</row>
    <row r="1354" customFormat="false" ht="15" hidden="false" customHeight="false" outlineLevel="0" collapsed="false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</row>
    <row r="1355" customFormat="false" ht="15" hidden="false" customHeight="false" outlineLevel="0" collapsed="false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</row>
    <row r="1356" customFormat="false" ht="15" hidden="false" customHeight="false" outlineLevel="0" collapsed="false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</row>
    <row r="1357" customFormat="false" ht="15" hidden="false" customHeight="false" outlineLevel="0" collapsed="false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</row>
    <row r="1358" customFormat="false" ht="15" hidden="false" customHeight="false" outlineLevel="0" collapsed="false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</row>
    <row r="1359" customFormat="false" ht="15" hidden="false" customHeight="false" outlineLevel="0" collapsed="false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</row>
    <row r="1360" customFormat="false" ht="15" hidden="false" customHeight="false" outlineLevel="0" collapsed="false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</row>
    <row r="1361" customFormat="false" ht="15" hidden="false" customHeight="false" outlineLevel="0" collapsed="false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</row>
    <row r="1362" customFormat="false" ht="15" hidden="false" customHeight="false" outlineLevel="0" collapsed="false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</row>
    <row r="1363" customFormat="false" ht="15" hidden="false" customHeight="false" outlineLevel="0" collapsed="false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</row>
    <row r="1364" customFormat="false" ht="15" hidden="false" customHeight="false" outlineLevel="0" collapsed="false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</row>
    <row r="1365" customFormat="false" ht="15" hidden="false" customHeight="false" outlineLevel="0" collapsed="false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</row>
    <row r="1366" customFormat="false" ht="15" hidden="false" customHeight="false" outlineLevel="0" collapsed="false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</row>
    <row r="1367" customFormat="false" ht="15" hidden="false" customHeight="false" outlineLevel="0" collapsed="false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</row>
    <row r="1368" customFormat="false" ht="15" hidden="false" customHeight="false" outlineLevel="0" collapsed="false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</row>
    <row r="1369" customFormat="false" ht="15" hidden="false" customHeight="false" outlineLevel="0" collapsed="false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</row>
    <row r="1370" customFormat="false" ht="15" hidden="false" customHeight="false" outlineLevel="0" collapsed="false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</row>
    <row r="1371" customFormat="false" ht="15" hidden="false" customHeight="false" outlineLevel="0" collapsed="false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</row>
    <row r="1372" customFormat="false" ht="15" hidden="false" customHeight="false" outlineLevel="0" collapsed="false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</row>
    <row r="1373" customFormat="false" ht="15" hidden="false" customHeight="false" outlineLevel="0" collapsed="false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</row>
    <row r="1374" customFormat="false" ht="15" hidden="false" customHeight="false" outlineLevel="0" collapsed="false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</row>
    <row r="1375" customFormat="false" ht="15" hidden="false" customHeight="false" outlineLevel="0" collapsed="false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</row>
    <row r="1376" customFormat="false" ht="15" hidden="false" customHeight="false" outlineLevel="0" collapsed="false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</row>
    <row r="1377" customFormat="false" ht="15" hidden="false" customHeight="false" outlineLevel="0" collapsed="false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</row>
    <row r="1378" customFormat="false" ht="15" hidden="false" customHeight="false" outlineLevel="0" collapsed="false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</row>
    <row r="1379" customFormat="false" ht="15" hidden="false" customHeight="false" outlineLevel="0" collapsed="false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</row>
    <row r="1380" customFormat="false" ht="15" hidden="false" customHeight="false" outlineLevel="0" collapsed="false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</row>
    <row r="1381" customFormat="false" ht="15" hidden="false" customHeight="false" outlineLevel="0" collapsed="false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</row>
    <row r="1382" customFormat="false" ht="15" hidden="false" customHeight="false" outlineLevel="0" collapsed="false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</row>
    <row r="1383" customFormat="false" ht="15" hidden="false" customHeight="false" outlineLevel="0" collapsed="false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</row>
    <row r="1384" customFormat="false" ht="15" hidden="false" customHeight="false" outlineLevel="0" collapsed="false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</row>
    <row r="1385" customFormat="false" ht="15" hidden="false" customHeight="false" outlineLevel="0" collapsed="false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</row>
    <row r="1386" customFormat="false" ht="15" hidden="false" customHeight="false" outlineLevel="0" collapsed="false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</row>
    <row r="1387" customFormat="false" ht="15" hidden="false" customHeight="false" outlineLevel="0" collapsed="false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</row>
    <row r="1388" customFormat="false" ht="15" hidden="false" customHeight="false" outlineLevel="0" collapsed="false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</row>
    <row r="1389" customFormat="false" ht="15" hidden="false" customHeight="false" outlineLevel="0" collapsed="false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</row>
    <row r="1390" customFormat="false" ht="15" hidden="false" customHeight="false" outlineLevel="0" collapsed="false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</row>
    <row r="1391" customFormat="false" ht="15" hidden="false" customHeight="false" outlineLevel="0" collapsed="false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</row>
    <row r="1392" customFormat="false" ht="15" hidden="false" customHeight="false" outlineLevel="0" collapsed="false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</row>
    <row r="1393" customFormat="false" ht="15" hidden="false" customHeight="false" outlineLevel="0" collapsed="false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</row>
    <row r="1394" customFormat="false" ht="15" hidden="false" customHeight="false" outlineLevel="0" collapsed="false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</row>
    <row r="1395" customFormat="false" ht="15" hidden="false" customHeight="false" outlineLevel="0" collapsed="false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</row>
    <row r="1396" customFormat="false" ht="15" hidden="false" customHeight="false" outlineLevel="0" collapsed="false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</row>
    <row r="1397" customFormat="false" ht="15" hidden="false" customHeight="false" outlineLevel="0" collapsed="false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</row>
    <row r="1398" customFormat="false" ht="15" hidden="false" customHeight="false" outlineLevel="0" collapsed="false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</row>
    <row r="1399" customFormat="false" ht="15" hidden="false" customHeight="false" outlineLevel="0" collapsed="false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</row>
    <row r="1400" customFormat="false" ht="15" hidden="false" customHeight="false" outlineLevel="0" collapsed="false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</row>
    <row r="1401" customFormat="false" ht="15" hidden="false" customHeight="false" outlineLevel="0" collapsed="false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</row>
    <row r="1402" customFormat="false" ht="15" hidden="false" customHeight="false" outlineLevel="0" collapsed="false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</row>
    <row r="1403" customFormat="false" ht="15" hidden="false" customHeight="false" outlineLevel="0" collapsed="false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</row>
    <row r="1404" customFormat="false" ht="15" hidden="false" customHeight="false" outlineLevel="0" collapsed="false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</row>
    <row r="1405" customFormat="false" ht="15" hidden="false" customHeight="false" outlineLevel="0" collapsed="false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</row>
    <row r="1406" customFormat="false" ht="15" hidden="false" customHeight="false" outlineLevel="0" collapsed="false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</row>
    <row r="1407" customFormat="false" ht="15" hidden="false" customHeight="false" outlineLevel="0" collapsed="false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</row>
    <row r="1408" customFormat="false" ht="15" hidden="false" customHeight="false" outlineLevel="0" collapsed="false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</row>
    <row r="1409" customFormat="false" ht="15" hidden="false" customHeight="false" outlineLevel="0" collapsed="false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</row>
    <row r="1410" customFormat="false" ht="15" hidden="false" customHeight="false" outlineLevel="0" collapsed="false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</row>
    <row r="1411" customFormat="false" ht="15" hidden="false" customHeight="false" outlineLevel="0" collapsed="false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</row>
    <row r="1412" customFormat="false" ht="15" hidden="false" customHeight="false" outlineLevel="0" collapsed="false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</row>
    <row r="1413" customFormat="false" ht="15" hidden="false" customHeight="false" outlineLevel="0" collapsed="false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</row>
    <row r="1414" customFormat="false" ht="15" hidden="false" customHeight="false" outlineLevel="0" collapsed="false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</row>
    <row r="1415" customFormat="false" ht="15" hidden="false" customHeight="false" outlineLevel="0" collapsed="false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</row>
    <row r="1416" customFormat="false" ht="15" hidden="false" customHeight="false" outlineLevel="0" collapsed="false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</row>
    <row r="1417" customFormat="false" ht="15" hidden="false" customHeight="false" outlineLevel="0" collapsed="false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</row>
    <row r="1418" customFormat="false" ht="15" hidden="false" customHeight="false" outlineLevel="0" collapsed="false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</row>
    <row r="1419" customFormat="false" ht="15" hidden="false" customHeight="false" outlineLevel="0" collapsed="false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</row>
    <row r="1420" customFormat="false" ht="15" hidden="false" customHeight="false" outlineLevel="0" collapsed="false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</row>
    <row r="1421" customFormat="false" ht="15" hidden="false" customHeight="false" outlineLevel="0" collapsed="false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</row>
    <row r="1422" customFormat="false" ht="15" hidden="false" customHeight="false" outlineLevel="0" collapsed="false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</row>
    <row r="1423" customFormat="false" ht="15" hidden="false" customHeight="false" outlineLevel="0" collapsed="false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</row>
    <row r="1424" customFormat="false" ht="15" hidden="false" customHeight="false" outlineLevel="0" collapsed="false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</row>
    <row r="1425" customFormat="false" ht="15" hidden="false" customHeight="false" outlineLevel="0" collapsed="false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</row>
    <row r="1426" customFormat="false" ht="15" hidden="false" customHeight="false" outlineLevel="0" collapsed="false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</row>
    <row r="1427" customFormat="false" ht="15" hidden="false" customHeight="false" outlineLevel="0" collapsed="false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</row>
    <row r="1428" customFormat="false" ht="15" hidden="false" customHeight="false" outlineLevel="0" collapsed="false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</row>
    <row r="1429" customFormat="false" ht="15" hidden="false" customHeight="false" outlineLevel="0" collapsed="false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</row>
    <row r="1430" customFormat="false" ht="15" hidden="false" customHeight="false" outlineLevel="0" collapsed="false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</row>
    <row r="1431" customFormat="false" ht="15" hidden="false" customHeight="false" outlineLevel="0" collapsed="false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</row>
    <row r="1432" customFormat="false" ht="15" hidden="false" customHeight="false" outlineLevel="0" collapsed="false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</row>
    <row r="1433" customFormat="false" ht="15" hidden="false" customHeight="false" outlineLevel="0" collapsed="false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</row>
    <row r="1434" customFormat="false" ht="15" hidden="false" customHeight="false" outlineLevel="0" collapsed="false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</row>
    <row r="1435" customFormat="false" ht="15" hidden="false" customHeight="false" outlineLevel="0" collapsed="false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</row>
    <row r="1436" customFormat="false" ht="15" hidden="false" customHeight="false" outlineLevel="0" collapsed="false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</row>
    <row r="1437" customFormat="false" ht="15" hidden="false" customHeight="false" outlineLevel="0" collapsed="false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</row>
    <row r="1438" customFormat="false" ht="15" hidden="false" customHeight="false" outlineLevel="0" collapsed="false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</row>
    <row r="1439" customFormat="false" ht="15" hidden="false" customHeight="false" outlineLevel="0" collapsed="false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</row>
    <row r="1440" customFormat="false" ht="15" hidden="false" customHeight="false" outlineLevel="0" collapsed="false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</row>
    <row r="1441" customFormat="false" ht="15" hidden="false" customHeight="false" outlineLevel="0" collapsed="false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</row>
    <row r="1442" customFormat="false" ht="15" hidden="false" customHeight="false" outlineLevel="0" collapsed="false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</row>
    <row r="1443" customFormat="false" ht="15" hidden="false" customHeight="false" outlineLevel="0" collapsed="false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</row>
    <row r="1444" customFormat="false" ht="15" hidden="false" customHeight="false" outlineLevel="0" collapsed="false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</row>
    <row r="1445" customFormat="false" ht="15" hidden="false" customHeight="false" outlineLevel="0" collapsed="false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</row>
    <row r="1446" customFormat="false" ht="15" hidden="false" customHeight="false" outlineLevel="0" collapsed="false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</row>
    <row r="1447" customFormat="false" ht="15" hidden="false" customHeight="false" outlineLevel="0" collapsed="false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</row>
    <row r="1448" customFormat="false" ht="15" hidden="false" customHeight="false" outlineLevel="0" collapsed="false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</row>
    <row r="1449" customFormat="false" ht="15" hidden="false" customHeight="false" outlineLevel="0" collapsed="false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</row>
    <row r="1450" customFormat="false" ht="15" hidden="false" customHeight="false" outlineLevel="0" collapsed="false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</row>
    <row r="1451" customFormat="false" ht="15" hidden="false" customHeight="false" outlineLevel="0" collapsed="false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</row>
    <row r="1452" customFormat="false" ht="15" hidden="false" customHeight="false" outlineLevel="0" collapsed="false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</row>
    <row r="1453" customFormat="false" ht="15" hidden="false" customHeight="false" outlineLevel="0" collapsed="false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</row>
    <row r="1454" customFormat="false" ht="15" hidden="false" customHeight="false" outlineLevel="0" collapsed="false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</row>
    <row r="1455" customFormat="false" ht="15" hidden="false" customHeight="false" outlineLevel="0" collapsed="false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</row>
    <row r="1456" customFormat="false" ht="15" hidden="false" customHeight="false" outlineLevel="0" collapsed="false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</row>
    <row r="1457" customFormat="false" ht="15" hidden="false" customHeight="false" outlineLevel="0" collapsed="false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</row>
    <row r="1458" customFormat="false" ht="15" hidden="false" customHeight="false" outlineLevel="0" collapsed="false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</row>
    <row r="1459" customFormat="false" ht="15" hidden="false" customHeight="false" outlineLevel="0" collapsed="false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</row>
    <row r="1460" customFormat="false" ht="15" hidden="false" customHeight="false" outlineLevel="0" collapsed="false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</row>
    <row r="1461" customFormat="false" ht="15" hidden="false" customHeight="false" outlineLevel="0" collapsed="false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</row>
    <row r="1462" customFormat="false" ht="15" hidden="false" customHeight="false" outlineLevel="0" collapsed="false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</row>
    <row r="1463" customFormat="false" ht="15" hidden="false" customHeight="false" outlineLevel="0" collapsed="false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</row>
    <row r="1464" customFormat="false" ht="15" hidden="false" customHeight="false" outlineLevel="0" collapsed="false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</row>
    <row r="1465" customFormat="false" ht="15" hidden="false" customHeight="false" outlineLevel="0" collapsed="false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</row>
    <row r="1466" customFormat="false" ht="15" hidden="false" customHeight="false" outlineLevel="0" collapsed="false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</row>
    <row r="1467" customFormat="false" ht="15" hidden="false" customHeight="false" outlineLevel="0" collapsed="false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</row>
    <row r="1468" customFormat="false" ht="15" hidden="false" customHeight="false" outlineLevel="0" collapsed="false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</row>
    <row r="1469" customFormat="false" ht="15" hidden="false" customHeight="false" outlineLevel="0" collapsed="false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</row>
    <row r="1470" customFormat="false" ht="15" hidden="false" customHeight="false" outlineLevel="0" collapsed="false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</row>
    <row r="1471" customFormat="false" ht="15" hidden="false" customHeight="false" outlineLevel="0" collapsed="false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</row>
    <row r="1472" customFormat="false" ht="15" hidden="false" customHeight="false" outlineLevel="0" collapsed="false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</row>
    <row r="1473" customFormat="false" ht="15" hidden="false" customHeight="false" outlineLevel="0" collapsed="false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</row>
    <row r="1474" customFormat="false" ht="15" hidden="false" customHeight="false" outlineLevel="0" collapsed="false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</row>
    <row r="1475" customFormat="false" ht="15" hidden="false" customHeight="false" outlineLevel="0" collapsed="false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</row>
    <row r="1476" customFormat="false" ht="15" hidden="false" customHeight="false" outlineLevel="0" collapsed="false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</row>
    <row r="1477" customFormat="false" ht="15" hidden="false" customHeight="false" outlineLevel="0" collapsed="false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</row>
    <row r="1478" customFormat="false" ht="15" hidden="false" customHeight="false" outlineLevel="0" collapsed="false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</row>
    <row r="1479" customFormat="false" ht="15" hidden="false" customHeight="false" outlineLevel="0" collapsed="false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</row>
    <row r="1480" customFormat="false" ht="15" hidden="false" customHeight="false" outlineLevel="0" collapsed="false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</row>
    <row r="1481" customFormat="false" ht="15" hidden="false" customHeight="false" outlineLevel="0" collapsed="false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</row>
    <row r="1482" customFormat="false" ht="15" hidden="false" customHeight="false" outlineLevel="0" collapsed="false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</row>
    <row r="1483" customFormat="false" ht="15" hidden="false" customHeight="false" outlineLevel="0" collapsed="false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</row>
    <row r="1484" customFormat="false" ht="15" hidden="false" customHeight="false" outlineLevel="0" collapsed="false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</row>
    <row r="1485" customFormat="false" ht="15" hidden="false" customHeight="false" outlineLevel="0" collapsed="false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</row>
    <row r="1486" customFormat="false" ht="15" hidden="false" customHeight="false" outlineLevel="0" collapsed="false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</row>
    <row r="1487" customFormat="false" ht="15" hidden="false" customHeight="false" outlineLevel="0" collapsed="false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</row>
    <row r="1488" customFormat="false" ht="15" hidden="false" customHeight="false" outlineLevel="0" collapsed="false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</row>
    <row r="1489" customFormat="false" ht="15" hidden="false" customHeight="false" outlineLevel="0" collapsed="false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</row>
    <row r="1490" customFormat="false" ht="15" hidden="false" customHeight="false" outlineLevel="0" collapsed="false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</row>
    <row r="1491" customFormat="false" ht="15" hidden="false" customHeight="false" outlineLevel="0" collapsed="false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</row>
    <row r="1492" customFormat="false" ht="15" hidden="false" customHeight="false" outlineLevel="0" collapsed="false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</row>
    <row r="1493" customFormat="false" ht="15" hidden="false" customHeight="false" outlineLevel="0" collapsed="false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</row>
    <row r="1494" customFormat="false" ht="15" hidden="false" customHeight="false" outlineLevel="0" collapsed="false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</row>
    <row r="1495" customFormat="false" ht="15" hidden="false" customHeight="false" outlineLevel="0" collapsed="false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</row>
    <row r="1496" customFormat="false" ht="15" hidden="false" customHeight="false" outlineLevel="0" collapsed="false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</row>
    <row r="1497" customFormat="false" ht="15" hidden="false" customHeight="false" outlineLevel="0" collapsed="false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</row>
    <row r="1498" customFormat="false" ht="15" hidden="false" customHeight="false" outlineLevel="0" collapsed="false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</row>
    <row r="1499" customFormat="false" ht="15" hidden="false" customHeight="false" outlineLevel="0" collapsed="false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</row>
    <row r="1500" customFormat="false" ht="15" hidden="false" customHeight="false" outlineLevel="0" collapsed="false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</row>
    <row r="1501" customFormat="false" ht="15" hidden="false" customHeight="false" outlineLevel="0" collapsed="false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</row>
    <row r="1502" customFormat="false" ht="15" hidden="false" customHeight="false" outlineLevel="0" collapsed="false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</row>
    <row r="1503" customFormat="false" ht="15" hidden="false" customHeight="false" outlineLevel="0" collapsed="false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</row>
    <row r="1504" customFormat="false" ht="15" hidden="false" customHeight="false" outlineLevel="0" collapsed="false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</row>
    <row r="1505" customFormat="false" ht="15" hidden="false" customHeight="false" outlineLevel="0" collapsed="false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</row>
    <row r="1506" customFormat="false" ht="15" hidden="false" customHeight="false" outlineLevel="0" collapsed="false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</row>
    <row r="1507" customFormat="false" ht="15" hidden="false" customHeight="false" outlineLevel="0" collapsed="false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</row>
    <row r="1508" customFormat="false" ht="15" hidden="false" customHeight="false" outlineLevel="0" collapsed="false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</row>
    <row r="1509" customFormat="false" ht="15" hidden="false" customHeight="false" outlineLevel="0" collapsed="false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</row>
    <row r="1510" customFormat="false" ht="15" hidden="false" customHeight="false" outlineLevel="0" collapsed="false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</row>
    <row r="1511" customFormat="false" ht="15" hidden="false" customHeight="false" outlineLevel="0" collapsed="false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</row>
    <row r="1512" customFormat="false" ht="15" hidden="false" customHeight="false" outlineLevel="0" collapsed="false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</row>
    <row r="1513" customFormat="false" ht="15" hidden="false" customHeight="false" outlineLevel="0" collapsed="false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</row>
    <row r="1514" customFormat="false" ht="15" hidden="false" customHeight="false" outlineLevel="0" collapsed="false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</row>
    <row r="1515" customFormat="false" ht="15" hidden="false" customHeight="false" outlineLevel="0" collapsed="false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</row>
    <row r="1516" customFormat="false" ht="15" hidden="false" customHeight="false" outlineLevel="0" collapsed="false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</row>
    <row r="1517" customFormat="false" ht="15" hidden="false" customHeight="false" outlineLevel="0" collapsed="false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</row>
    <row r="1518" customFormat="false" ht="15" hidden="false" customHeight="false" outlineLevel="0" collapsed="false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</row>
    <row r="1519" customFormat="false" ht="15" hidden="false" customHeight="false" outlineLevel="0" collapsed="false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</row>
    <row r="1520" customFormat="false" ht="15" hidden="false" customHeight="false" outlineLevel="0" collapsed="false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</row>
    <row r="1521" customFormat="false" ht="15" hidden="false" customHeight="false" outlineLevel="0" collapsed="false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</row>
    <row r="1522" customFormat="false" ht="15" hidden="false" customHeight="false" outlineLevel="0" collapsed="false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</row>
    <row r="1523" customFormat="false" ht="15" hidden="false" customHeight="false" outlineLevel="0" collapsed="false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</row>
    <row r="1524" customFormat="false" ht="15" hidden="false" customHeight="false" outlineLevel="0" collapsed="false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</row>
    <row r="1525" customFormat="false" ht="15" hidden="false" customHeight="false" outlineLevel="0" collapsed="false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</row>
    <row r="1526" customFormat="false" ht="15" hidden="false" customHeight="false" outlineLevel="0" collapsed="false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</row>
    <row r="1527" customFormat="false" ht="15" hidden="false" customHeight="false" outlineLevel="0" collapsed="false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</row>
    <row r="1528" customFormat="false" ht="15" hidden="false" customHeight="false" outlineLevel="0" collapsed="false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</row>
    <row r="1529" customFormat="false" ht="15" hidden="false" customHeight="false" outlineLevel="0" collapsed="false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</row>
    <row r="1530" customFormat="false" ht="15" hidden="false" customHeight="false" outlineLevel="0" collapsed="false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</row>
    <row r="1531" customFormat="false" ht="15" hidden="false" customHeight="false" outlineLevel="0" collapsed="false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</row>
    <row r="1532" customFormat="false" ht="15" hidden="false" customHeight="false" outlineLevel="0" collapsed="false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</row>
    <row r="1533" customFormat="false" ht="15" hidden="false" customHeight="false" outlineLevel="0" collapsed="false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</row>
    <row r="1534" customFormat="false" ht="15" hidden="false" customHeight="false" outlineLevel="0" collapsed="false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</row>
    <row r="1535" customFormat="false" ht="15" hidden="false" customHeight="false" outlineLevel="0" collapsed="false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</row>
    <row r="1536" customFormat="false" ht="15" hidden="false" customHeight="false" outlineLevel="0" collapsed="false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</row>
    <row r="1537" customFormat="false" ht="15" hidden="false" customHeight="false" outlineLevel="0" collapsed="false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</row>
    <row r="1538" customFormat="false" ht="15" hidden="false" customHeight="false" outlineLevel="0" collapsed="false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</row>
    <row r="1539" customFormat="false" ht="15" hidden="false" customHeight="false" outlineLevel="0" collapsed="false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</row>
    <row r="1540" customFormat="false" ht="15" hidden="false" customHeight="false" outlineLevel="0" collapsed="false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</row>
    <row r="1541" customFormat="false" ht="15" hidden="false" customHeight="false" outlineLevel="0" collapsed="false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</row>
    <row r="1542" customFormat="false" ht="15" hidden="false" customHeight="false" outlineLevel="0" collapsed="false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</row>
    <row r="1543" customFormat="false" ht="15" hidden="false" customHeight="false" outlineLevel="0" collapsed="false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</row>
    <row r="1544" customFormat="false" ht="15" hidden="false" customHeight="false" outlineLevel="0" collapsed="false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</row>
    <row r="1545" customFormat="false" ht="15" hidden="false" customHeight="false" outlineLevel="0" collapsed="false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</row>
    <row r="1546" customFormat="false" ht="15" hidden="false" customHeight="false" outlineLevel="0" collapsed="false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</row>
    <row r="1547" customFormat="false" ht="15" hidden="false" customHeight="false" outlineLevel="0" collapsed="false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</row>
    <row r="1548" customFormat="false" ht="15" hidden="false" customHeight="false" outlineLevel="0" collapsed="false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</row>
    <row r="1549" customFormat="false" ht="15" hidden="false" customHeight="false" outlineLevel="0" collapsed="false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</row>
    <row r="1550" customFormat="false" ht="15" hidden="false" customHeight="false" outlineLevel="0" collapsed="false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</row>
    <row r="1551" customFormat="false" ht="15" hidden="false" customHeight="false" outlineLevel="0" collapsed="false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</row>
    <row r="1552" customFormat="false" ht="15" hidden="false" customHeight="false" outlineLevel="0" collapsed="false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</row>
    <row r="1553" customFormat="false" ht="15" hidden="false" customHeight="false" outlineLevel="0" collapsed="false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</row>
    <row r="1554" customFormat="false" ht="15" hidden="false" customHeight="false" outlineLevel="0" collapsed="false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</row>
    <row r="1555" customFormat="false" ht="15" hidden="false" customHeight="false" outlineLevel="0" collapsed="false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</row>
    <row r="1556" customFormat="false" ht="15" hidden="false" customHeight="false" outlineLevel="0" collapsed="false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</row>
    <row r="1557" customFormat="false" ht="15" hidden="false" customHeight="false" outlineLevel="0" collapsed="false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</row>
    <row r="1558" customFormat="false" ht="15" hidden="false" customHeight="false" outlineLevel="0" collapsed="false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</row>
    <row r="1559" customFormat="false" ht="15" hidden="false" customHeight="false" outlineLevel="0" collapsed="false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</row>
    <row r="1560" customFormat="false" ht="15" hidden="false" customHeight="false" outlineLevel="0" collapsed="false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</row>
    <row r="1561" customFormat="false" ht="15" hidden="false" customHeight="false" outlineLevel="0" collapsed="false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</row>
    <row r="1562" customFormat="false" ht="15" hidden="false" customHeight="false" outlineLevel="0" collapsed="false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</row>
    <row r="1563" customFormat="false" ht="15" hidden="false" customHeight="false" outlineLevel="0" collapsed="false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</row>
    <row r="1564" customFormat="false" ht="15" hidden="false" customHeight="false" outlineLevel="0" collapsed="false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</row>
    <row r="1565" customFormat="false" ht="15" hidden="false" customHeight="false" outlineLevel="0" collapsed="false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</row>
    <row r="1566" customFormat="false" ht="15" hidden="false" customHeight="false" outlineLevel="0" collapsed="false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</row>
    <row r="1567" customFormat="false" ht="15" hidden="false" customHeight="false" outlineLevel="0" collapsed="false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</row>
    <row r="1568" customFormat="false" ht="15" hidden="false" customHeight="false" outlineLevel="0" collapsed="false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</row>
    <row r="1569" customFormat="false" ht="15" hidden="false" customHeight="false" outlineLevel="0" collapsed="false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</row>
    <row r="1570" customFormat="false" ht="15" hidden="false" customHeight="false" outlineLevel="0" collapsed="false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</row>
    <row r="1571" customFormat="false" ht="15" hidden="false" customHeight="false" outlineLevel="0" collapsed="false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</row>
    <row r="1572" customFormat="false" ht="15" hidden="false" customHeight="false" outlineLevel="0" collapsed="false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</row>
    <row r="1573" customFormat="false" ht="15" hidden="false" customHeight="false" outlineLevel="0" collapsed="false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</row>
    <row r="1574" customFormat="false" ht="15" hidden="false" customHeight="false" outlineLevel="0" collapsed="false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</row>
    <row r="1575" customFormat="false" ht="15" hidden="false" customHeight="false" outlineLevel="0" collapsed="false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</row>
    <row r="1576" customFormat="false" ht="15" hidden="false" customHeight="false" outlineLevel="0" collapsed="false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</row>
    <row r="1577" customFormat="false" ht="15" hidden="false" customHeight="false" outlineLevel="0" collapsed="false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</row>
    <row r="1578" customFormat="false" ht="15" hidden="false" customHeight="false" outlineLevel="0" collapsed="false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</row>
    <row r="1579" customFormat="false" ht="15" hidden="false" customHeight="false" outlineLevel="0" collapsed="false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</row>
    <row r="1580" customFormat="false" ht="15" hidden="false" customHeight="false" outlineLevel="0" collapsed="false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</row>
    <row r="1581" customFormat="false" ht="15" hidden="false" customHeight="false" outlineLevel="0" collapsed="false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</row>
    <row r="1582" customFormat="false" ht="15" hidden="false" customHeight="false" outlineLevel="0" collapsed="false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</row>
    <row r="1583" customFormat="false" ht="15" hidden="false" customHeight="false" outlineLevel="0" collapsed="false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</row>
    <row r="1584" customFormat="false" ht="15" hidden="false" customHeight="false" outlineLevel="0" collapsed="false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</row>
    <row r="1585" customFormat="false" ht="15" hidden="false" customHeight="false" outlineLevel="0" collapsed="false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</row>
    <row r="1586" customFormat="false" ht="15" hidden="false" customHeight="false" outlineLevel="0" collapsed="false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</row>
    <row r="1587" customFormat="false" ht="15" hidden="false" customHeight="false" outlineLevel="0" collapsed="false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</row>
    <row r="1588" customFormat="false" ht="15" hidden="false" customHeight="false" outlineLevel="0" collapsed="false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</row>
    <row r="1589" customFormat="false" ht="15" hidden="false" customHeight="false" outlineLevel="0" collapsed="false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</row>
    <row r="1590" customFormat="false" ht="15" hidden="false" customHeight="false" outlineLevel="0" collapsed="false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</row>
    <row r="1591" customFormat="false" ht="15" hidden="false" customHeight="false" outlineLevel="0" collapsed="false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</row>
    <row r="1592" customFormat="false" ht="15" hidden="false" customHeight="false" outlineLevel="0" collapsed="false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</row>
    <row r="1593" customFormat="false" ht="15" hidden="false" customHeight="false" outlineLevel="0" collapsed="false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</row>
    <row r="1594" customFormat="false" ht="15" hidden="false" customHeight="false" outlineLevel="0" collapsed="false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</row>
    <row r="1595" customFormat="false" ht="15" hidden="false" customHeight="false" outlineLevel="0" collapsed="false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</row>
    <row r="1596" customFormat="false" ht="15" hidden="false" customHeight="false" outlineLevel="0" collapsed="false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</row>
    <row r="1597" customFormat="false" ht="15" hidden="false" customHeight="false" outlineLevel="0" collapsed="false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</row>
    <row r="1598" customFormat="false" ht="15" hidden="false" customHeight="false" outlineLevel="0" collapsed="false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</row>
    <row r="1599" customFormat="false" ht="15" hidden="false" customHeight="false" outlineLevel="0" collapsed="false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</row>
    <row r="1600" customFormat="false" ht="15" hidden="false" customHeight="false" outlineLevel="0" collapsed="false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</row>
    <row r="1601" customFormat="false" ht="15" hidden="false" customHeight="false" outlineLevel="0" collapsed="false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</row>
    <row r="1602" customFormat="false" ht="15" hidden="false" customHeight="false" outlineLevel="0" collapsed="false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</row>
    <row r="1603" customFormat="false" ht="15" hidden="false" customHeight="false" outlineLevel="0" collapsed="false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</row>
    <row r="1604" customFormat="false" ht="15" hidden="false" customHeight="false" outlineLevel="0" collapsed="false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</row>
    <row r="1605" customFormat="false" ht="15" hidden="false" customHeight="false" outlineLevel="0" collapsed="false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</row>
    <row r="1606" customFormat="false" ht="15" hidden="false" customHeight="false" outlineLevel="0" collapsed="false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</row>
    <row r="1607" customFormat="false" ht="15" hidden="false" customHeight="false" outlineLevel="0" collapsed="false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</row>
    <row r="1608" customFormat="false" ht="15" hidden="false" customHeight="false" outlineLevel="0" collapsed="false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</row>
    <row r="1609" customFormat="false" ht="15" hidden="false" customHeight="false" outlineLevel="0" collapsed="false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</row>
    <row r="1610" customFormat="false" ht="15" hidden="false" customHeight="false" outlineLevel="0" collapsed="false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</row>
    <row r="1611" customFormat="false" ht="15" hidden="false" customHeight="false" outlineLevel="0" collapsed="false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</row>
    <row r="1612" customFormat="false" ht="15" hidden="false" customHeight="false" outlineLevel="0" collapsed="false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</row>
    <row r="1613" customFormat="false" ht="15" hidden="false" customHeight="false" outlineLevel="0" collapsed="false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</row>
    <row r="1614" customFormat="false" ht="15" hidden="false" customHeight="false" outlineLevel="0" collapsed="false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</row>
    <row r="1615" customFormat="false" ht="15" hidden="false" customHeight="false" outlineLevel="0" collapsed="false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</row>
    <row r="1616" customFormat="false" ht="15" hidden="false" customHeight="false" outlineLevel="0" collapsed="false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</row>
    <row r="1617" customFormat="false" ht="15" hidden="false" customHeight="false" outlineLevel="0" collapsed="false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</row>
    <row r="1618" customFormat="false" ht="15" hidden="false" customHeight="false" outlineLevel="0" collapsed="false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</row>
    <row r="1619" customFormat="false" ht="15" hidden="false" customHeight="false" outlineLevel="0" collapsed="false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</row>
    <row r="1620" customFormat="false" ht="15" hidden="false" customHeight="false" outlineLevel="0" collapsed="false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</row>
    <row r="1621" customFormat="false" ht="15" hidden="false" customHeight="false" outlineLevel="0" collapsed="false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</row>
    <row r="1622" customFormat="false" ht="15" hidden="false" customHeight="false" outlineLevel="0" collapsed="false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</row>
    <row r="1623" customFormat="false" ht="15" hidden="false" customHeight="false" outlineLevel="0" collapsed="false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</row>
    <row r="1624" customFormat="false" ht="15" hidden="false" customHeight="false" outlineLevel="0" collapsed="false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</row>
    <row r="1625" customFormat="false" ht="15" hidden="false" customHeight="false" outlineLevel="0" collapsed="false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</row>
    <row r="1626" customFormat="false" ht="15" hidden="false" customHeight="false" outlineLevel="0" collapsed="false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</row>
    <row r="1627" customFormat="false" ht="15" hidden="false" customHeight="false" outlineLevel="0" collapsed="false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</row>
    <row r="1628" customFormat="false" ht="15" hidden="false" customHeight="false" outlineLevel="0" collapsed="false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</row>
    <row r="1629" customFormat="false" ht="15" hidden="false" customHeight="false" outlineLevel="0" collapsed="false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</row>
    <row r="1630" customFormat="false" ht="15" hidden="false" customHeight="false" outlineLevel="0" collapsed="false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</row>
    <row r="1631" customFormat="false" ht="15" hidden="false" customHeight="false" outlineLevel="0" collapsed="false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</row>
    <row r="1632" customFormat="false" ht="15" hidden="false" customHeight="false" outlineLevel="0" collapsed="false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</row>
    <row r="1633" customFormat="false" ht="15" hidden="false" customHeight="false" outlineLevel="0" collapsed="false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</row>
    <row r="1634" customFormat="false" ht="15" hidden="false" customHeight="false" outlineLevel="0" collapsed="false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</row>
    <row r="1635" customFormat="false" ht="15" hidden="false" customHeight="false" outlineLevel="0" collapsed="false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</row>
    <row r="1636" customFormat="false" ht="15" hidden="false" customHeight="false" outlineLevel="0" collapsed="false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</row>
    <row r="1637" customFormat="false" ht="15" hidden="false" customHeight="false" outlineLevel="0" collapsed="false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</row>
    <row r="1638" customFormat="false" ht="15" hidden="false" customHeight="false" outlineLevel="0" collapsed="false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</row>
    <row r="1639" customFormat="false" ht="15" hidden="false" customHeight="false" outlineLevel="0" collapsed="false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</row>
    <row r="1640" customFormat="false" ht="15" hidden="false" customHeight="false" outlineLevel="0" collapsed="false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</row>
    <row r="1641" customFormat="false" ht="15" hidden="false" customHeight="false" outlineLevel="0" collapsed="false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</row>
    <row r="1642" customFormat="false" ht="15" hidden="false" customHeight="false" outlineLevel="0" collapsed="false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</row>
    <row r="1643" customFormat="false" ht="15" hidden="false" customHeight="false" outlineLevel="0" collapsed="false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</row>
    <row r="1644" customFormat="false" ht="15" hidden="false" customHeight="false" outlineLevel="0" collapsed="false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</row>
    <row r="1645" customFormat="false" ht="15" hidden="false" customHeight="false" outlineLevel="0" collapsed="false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</row>
    <row r="1646" customFormat="false" ht="15" hidden="false" customHeight="false" outlineLevel="0" collapsed="false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</row>
    <row r="1647" customFormat="false" ht="15" hidden="false" customHeight="false" outlineLevel="0" collapsed="false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</row>
    <row r="1648" customFormat="false" ht="15" hidden="false" customHeight="false" outlineLevel="0" collapsed="false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</row>
    <row r="1649" customFormat="false" ht="15" hidden="false" customHeight="false" outlineLevel="0" collapsed="false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</row>
    <row r="1650" customFormat="false" ht="15" hidden="false" customHeight="false" outlineLevel="0" collapsed="false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</row>
    <row r="1651" customFormat="false" ht="15" hidden="false" customHeight="false" outlineLevel="0" collapsed="false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</row>
    <row r="1652" customFormat="false" ht="15" hidden="false" customHeight="false" outlineLevel="0" collapsed="false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</row>
    <row r="1653" customFormat="false" ht="15" hidden="false" customHeight="false" outlineLevel="0" collapsed="false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</row>
    <row r="1654" customFormat="false" ht="15" hidden="false" customHeight="false" outlineLevel="0" collapsed="false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</row>
    <row r="1655" customFormat="false" ht="15" hidden="false" customHeight="false" outlineLevel="0" collapsed="false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</row>
    <row r="1656" customFormat="false" ht="15" hidden="false" customHeight="false" outlineLevel="0" collapsed="false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</row>
    <row r="1657" customFormat="false" ht="15" hidden="false" customHeight="false" outlineLevel="0" collapsed="false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</row>
    <row r="1658" customFormat="false" ht="15" hidden="false" customHeight="false" outlineLevel="0" collapsed="false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</row>
    <row r="1659" customFormat="false" ht="15" hidden="false" customHeight="false" outlineLevel="0" collapsed="false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</row>
    <row r="1660" customFormat="false" ht="15" hidden="false" customHeight="false" outlineLevel="0" collapsed="false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</row>
    <row r="1661" customFormat="false" ht="15" hidden="false" customHeight="false" outlineLevel="0" collapsed="false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</row>
    <row r="1662" customFormat="false" ht="15" hidden="false" customHeight="false" outlineLevel="0" collapsed="false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</row>
    <row r="1663" customFormat="false" ht="15" hidden="false" customHeight="false" outlineLevel="0" collapsed="false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</row>
    <row r="1664" customFormat="false" ht="15" hidden="false" customHeight="false" outlineLevel="0" collapsed="false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</row>
    <row r="1665" customFormat="false" ht="15" hidden="false" customHeight="false" outlineLevel="0" collapsed="false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</row>
    <row r="1666" customFormat="false" ht="15" hidden="false" customHeight="false" outlineLevel="0" collapsed="false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</row>
    <row r="1667" customFormat="false" ht="15" hidden="false" customHeight="false" outlineLevel="0" collapsed="false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</row>
    <row r="1668" customFormat="false" ht="15" hidden="false" customHeight="false" outlineLevel="0" collapsed="false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</row>
    <row r="1669" customFormat="false" ht="15" hidden="false" customHeight="false" outlineLevel="0" collapsed="false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</row>
    <row r="1670" customFormat="false" ht="15" hidden="false" customHeight="false" outlineLevel="0" collapsed="false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</row>
    <row r="1671" customFormat="false" ht="15" hidden="false" customHeight="false" outlineLevel="0" collapsed="false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</row>
    <row r="1672" customFormat="false" ht="15" hidden="false" customHeight="false" outlineLevel="0" collapsed="false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</row>
    <row r="1673" customFormat="false" ht="15" hidden="false" customHeight="false" outlineLevel="0" collapsed="false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</row>
    <row r="1674" customFormat="false" ht="15" hidden="false" customHeight="false" outlineLevel="0" collapsed="false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</row>
    <row r="1675" customFormat="false" ht="15" hidden="false" customHeight="false" outlineLevel="0" collapsed="false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</row>
    <row r="1676" customFormat="false" ht="15" hidden="false" customHeight="false" outlineLevel="0" collapsed="false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</row>
    <row r="1677" customFormat="false" ht="15" hidden="false" customHeight="false" outlineLevel="0" collapsed="false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</row>
    <row r="1678" customFormat="false" ht="15" hidden="false" customHeight="false" outlineLevel="0" collapsed="false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</row>
    <row r="1679" customFormat="false" ht="15" hidden="false" customHeight="false" outlineLevel="0" collapsed="false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</row>
    <row r="1680" customFormat="false" ht="15" hidden="false" customHeight="false" outlineLevel="0" collapsed="false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</row>
    <row r="1681" customFormat="false" ht="15" hidden="false" customHeight="false" outlineLevel="0" collapsed="false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</row>
    <row r="1682" customFormat="false" ht="15" hidden="false" customHeight="false" outlineLevel="0" collapsed="false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</row>
    <row r="1683" customFormat="false" ht="15" hidden="false" customHeight="false" outlineLevel="0" collapsed="false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</row>
    <row r="1684" customFormat="false" ht="15" hidden="false" customHeight="false" outlineLevel="0" collapsed="false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</row>
    <row r="1685" customFormat="false" ht="15" hidden="false" customHeight="false" outlineLevel="0" collapsed="false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</row>
    <row r="1686" customFormat="false" ht="15" hidden="false" customHeight="false" outlineLevel="0" collapsed="false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</row>
    <row r="1687" customFormat="false" ht="15" hidden="false" customHeight="false" outlineLevel="0" collapsed="false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</row>
    <row r="1688" customFormat="false" ht="15" hidden="false" customHeight="false" outlineLevel="0" collapsed="false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</row>
    <row r="1689" customFormat="false" ht="15" hidden="false" customHeight="false" outlineLevel="0" collapsed="false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</row>
    <row r="1690" customFormat="false" ht="15" hidden="false" customHeight="false" outlineLevel="0" collapsed="false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</row>
    <row r="1691" customFormat="false" ht="15" hidden="false" customHeight="false" outlineLevel="0" collapsed="false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</row>
    <row r="1692" customFormat="false" ht="15" hidden="false" customHeight="false" outlineLevel="0" collapsed="false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</row>
    <row r="1693" customFormat="false" ht="15" hidden="false" customHeight="false" outlineLevel="0" collapsed="false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</row>
    <row r="1694" customFormat="false" ht="15" hidden="false" customHeight="false" outlineLevel="0" collapsed="false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</row>
    <row r="1695" customFormat="false" ht="15" hidden="false" customHeight="false" outlineLevel="0" collapsed="false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</row>
    <row r="1696" customFormat="false" ht="15" hidden="false" customHeight="false" outlineLevel="0" collapsed="false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</row>
    <row r="1697" customFormat="false" ht="15" hidden="false" customHeight="false" outlineLevel="0" collapsed="false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</row>
    <row r="1698" customFormat="false" ht="15" hidden="false" customHeight="false" outlineLevel="0" collapsed="false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</row>
    <row r="1699" customFormat="false" ht="15" hidden="false" customHeight="false" outlineLevel="0" collapsed="false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</row>
    <row r="1700" customFormat="false" ht="15" hidden="false" customHeight="false" outlineLevel="0" collapsed="false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</row>
    <row r="1701" customFormat="false" ht="15" hidden="false" customHeight="false" outlineLevel="0" collapsed="false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</row>
    <row r="1702" customFormat="false" ht="15" hidden="false" customHeight="false" outlineLevel="0" collapsed="false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</row>
    <row r="1703" customFormat="false" ht="15" hidden="false" customHeight="false" outlineLevel="0" collapsed="false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</row>
    <row r="1704" customFormat="false" ht="15" hidden="false" customHeight="false" outlineLevel="0" collapsed="false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</row>
    <row r="1705" customFormat="false" ht="15" hidden="false" customHeight="false" outlineLevel="0" collapsed="false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</row>
    <row r="1706" customFormat="false" ht="15" hidden="false" customHeight="false" outlineLevel="0" collapsed="false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</row>
    <row r="1707" customFormat="false" ht="15" hidden="false" customHeight="false" outlineLevel="0" collapsed="false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</row>
    <row r="1708" customFormat="false" ht="15" hidden="false" customHeight="false" outlineLevel="0" collapsed="false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</row>
    <row r="1709" customFormat="false" ht="15" hidden="false" customHeight="false" outlineLevel="0" collapsed="false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</row>
    <row r="1710" customFormat="false" ht="15" hidden="false" customHeight="false" outlineLevel="0" collapsed="false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</row>
    <row r="1711" customFormat="false" ht="15" hidden="false" customHeight="false" outlineLevel="0" collapsed="false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</row>
    <row r="1712" customFormat="false" ht="15" hidden="false" customHeight="false" outlineLevel="0" collapsed="false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</row>
    <row r="1713" customFormat="false" ht="15" hidden="false" customHeight="false" outlineLevel="0" collapsed="false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</row>
    <row r="1714" customFormat="false" ht="15" hidden="false" customHeight="false" outlineLevel="0" collapsed="false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</row>
    <row r="1715" customFormat="false" ht="15" hidden="false" customHeight="false" outlineLevel="0" collapsed="false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</row>
    <row r="1716" customFormat="false" ht="15" hidden="false" customHeight="false" outlineLevel="0" collapsed="false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</row>
    <row r="1717" customFormat="false" ht="15" hidden="false" customHeight="false" outlineLevel="0" collapsed="false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</row>
    <row r="1718" customFormat="false" ht="15" hidden="false" customHeight="false" outlineLevel="0" collapsed="false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</row>
    <row r="1719" customFormat="false" ht="15" hidden="false" customHeight="false" outlineLevel="0" collapsed="false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</row>
    <row r="1720" customFormat="false" ht="15" hidden="false" customHeight="false" outlineLevel="0" collapsed="false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</row>
    <row r="1721" customFormat="false" ht="15" hidden="false" customHeight="false" outlineLevel="0" collapsed="false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</row>
    <row r="1722" customFormat="false" ht="15" hidden="false" customHeight="false" outlineLevel="0" collapsed="false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</row>
    <row r="1723" customFormat="false" ht="15" hidden="false" customHeight="false" outlineLevel="0" collapsed="false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</row>
    <row r="1724" customFormat="false" ht="15" hidden="false" customHeight="false" outlineLevel="0" collapsed="false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</row>
    <row r="1725" customFormat="false" ht="15" hidden="false" customHeight="false" outlineLevel="0" collapsed="false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</row>
    <row r="1726" customFormat="false" ht="15" hidden="false" customHeight="false" outlineLevel="0" collapsed="false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</row>
    <row r="1727" customFormat="false" ht="15" hidden="false" customHeight="false" outlineLevel="0" collapsed="false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</row>
    <row r="1728" customFormat="false" ht="15" hidden="false" customHeight="false" outlineLevel="0" collapsed="false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</row>
    <row r="1729" customFormat="false" ht="15" hidden="false" customHeight="false" outlineLevel="0" collapsed="false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</row>
    <row r="1730" customFormat="false" ht="15" hidden="false" customHeight="false" outlineLevel="0" collapsed="false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</row>
    <row r="1731" customFormat="false" ht="15" hidden="false" customHeight="false" outlineLevel="0" collapsed="false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</row>
    <row r="1732" customFormat="false" ht="15" hidden="false" customHeight="false" outlineLevel="0" collapsed="false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</row>
    <row r="1733" customFormat="false" ht="15" hidden="false" customHeight="false" outlineLevel="0" collapsed="false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</row>
    <row r="1734" customFormat="false" ht="15" hidden="false" customHeight="false" outlineLevel="0" collapsed="false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</row>
    <row r="1735" customFormat="false" ht="15" hidden="false" customHeight="false" outlineLevel="0" collapsed="false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</row>
    <row r="1736" customFormat="false" ht="15" hidden="false" customHeight="false" outlineLevel="0" collapsed="false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</row>
    <row r="1737" customFormat="false" ht="15" hidden="false" customHeight="false" outlineLevel="0" collapsed="false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</row>
    <row r="1738" customFormat="false" ht="15" hidden="false" customHeight="false" outlineLevel="0" collapsed="false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</row>
    <row r="1739" customFormat="false" ht="15" hidden="false" customHeight="false" outlineLevel="0" collapsed="false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</row>
    <row r="1740" customFormat="false" ht="15" hidden="false" customHeight="false" outlineLevel="0" collapsed="false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</row>
    <row r="1741" customFormat="false" ht="15" hidden="false" customHeight="false" outlineLevel="0" collapsed="false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</row>
    <row r="1742" customFormat="false" ht="15" hidden="false" customHeight="false" outlineLevel="0" collapsed="false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</row>
    <row r="1743" customFormat="false" ht="15" hidden="false" customHeight="false" outlineLevel="0" collapsed="false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</row>
    <row r="1744" customFormat="false" ht="15" hidden="false" customHeight="false" outlineLevel="0" collapsed="false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</row>
    <row r="1745" customFormat="false" ht="15" hidden="false" customHeight="false" outlineLevel="0" collapsed="false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</row>
    <row r="1746" customFormat="false" ht="15" hidden="false" customHeight="false" outlineLevel="0" collapsed="false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</row>
    <row r="1747" customFormat="false" ht="15" hidden="false" customHeight="false" outlineLevel="0" collapsed="false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</row>
    <row r="1748" customFormat="false" ht="15" hidden="false" customHeight="false" outlineLevel="0" collapsed="false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</row>
    <row r="1749" customFormat="false" ht="15" hidden="false" customHeight="false" outlineLevel="0" collapsed="false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</row>
    <row r="1750" customFormat="false" ht="15" hidden="false" customHeight="false" outlineLevel="0" collapsed="false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</row>
    <row r="1751" customFormat="false" ht="15" hidden="false" customHeight="false" outlineLevel="0" collapsed="false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</row>
    <row r="1752" customFormat="false" ht="15" hidden="false" customHeight="false" outlineLevel="0" collapsed="false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</row>
    <row r="1753" customFormat="false" ht="15" hidden="false" customHeight="false" outlineLevel="0" collapsed="false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</row>
    <row r="1754" customFormat="false" ht="15" hidden="false" customHeight="false" outlineLevel="0" collapsed="false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</row>
    <row r="1755" customFormat="false" ht="15" hidden="false" customHeight="false" outlineLevel="0" collapsed="false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</row>
    <row r="1756" customFormat="false" ht="15" hidden="false" customHeight="false" outlineLevel="0" collapsed="false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</row>
    <row r="1757" customFormat="false" ht="15" hidden="false" customHeight="false" outlineLevel="0" collapsed="false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</row>
    <row r="1758" customFormat="false" ht="15" hidden="false" customHeight="false" outlineLevel="0" collapsed="false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</row>
    <row r="1759" customFormat="false" ht="15" hidden="false" customHeight="false" outlineLevel="0" collapsed="false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</row>
    <row r="1760" customFormat="false" ht="15" hidden="false" customHeight="false" outlineLevel="0" collapsed="false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</row>
    <row r="1761" customFormat="false" ht="15" hidden="false" customHeight="false" outlineLevel="0" collapsed="false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</row>
    <row r="1762" customFormat="false" ht="15" hidden="false" customHeight="false" outlineLevel="0" collapsed="false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</row>
    <row r="1763" customFormat="false" ht="15" hidden="false" customHeight="false" outlineLevel="0" collapsed="false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</row>
    <row r="1764" customFormat="false" ht="15" hidden="false" customHeight="false" outlineLevel="0" collapsed="false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</row>
    <row r="1765" customFormat="false" ht="15" hidden="false" customHeight="false" outlineLevel="0" collapsed="false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</row>
    <row r="1766" customFormat="false" ht="15" hidden="false" customHeight="false" outlineLevel="0" collapsed="false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</row>
    <row r="1767" customFormat="false" ht="15" hidden="false" customHeight="false" outlineLevel="0" collapsed="false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</row>
    <row r="1768" customFormat="false" ht="15" hidden="false" customHeight="false" outlineLevel="0" collapsed="false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</row>
    <row r="1769" customFormat="false" ht="15" hidden="false" customHeight="false" outlineLevel="0" collapsed="false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</row>
    <row r="1770" customFormat="false" ht="15" hidden="false" customHeight="false" outlineLevel="0" collapsed="false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</row>
    <row r="1771" customFormat="false" ht="15" hidden="false" customHeight="false" outlineLevel="0" collapsed="false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</row>
    <row r="1772" customFormat="false" ht="15" hidden="false" customHeight="false" outlineLevel="0" collapsed="false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</row>
    <row r="1773" customFormat="false" ht="15" hidden="false" customHeight="false" outlineLevel="0" collapsed="false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</row>
    <row r="1774" customFormat="false" ht="15" hidden="false" customHeight="false" outlineLevel="0" collapsed="false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</row>
    <row r="1775" customFormat="false" ht="15" hidden="false" customHeight="false" outlineLevel="0" collapsed="false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</row>
    <row r="1776" customFormat="false" ht="15" hidden="false" customHeight="false" outlineLevel="0" collapsed="false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</row>
    <row r="1777" customFormat="false" ht="15" hidden="false" customHeight="false" outlineLevel="0" collapsed="false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</row>
    <row r="1778" customFormat="false" ht="15" hidden="false" customHeight="false" outlineLevel="0" collapsed="false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</row>
    <row r="1779" customFormat="false" ht="15" hidden="false" customHeight="false" outlineLevel="0" collapsed="false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</row>
    <row r="1780" customFormat="false" ht="15" hidden="false" customHeight="false" outlineLevel="0" collapsed="false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</row>
    <row r="1781" customFormat="false" ht="15" hidden="false" customHeight="false" outlineLevel="0" collapsed="false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</row>
    <row r="1782" customFormat="false" ht="15" hidden="false" customHeight="false" outlineLevel="0" collapsed="false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</row>
    <row r="1783" customFormat="false" ht="15" hidden="false" customHeight="false" outlineLevel="0" collapsed="false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</row>
    <row r="1784" customFormat="false" ht="15" hidden="false" customHeight="false" outlineLevel="0" collapsed="false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</row>
    <row r="1785" customFormat="false" ht="15" hidden="false" customHeight="false" outlineLevel="0" collapsed="false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</row>
    <row r="1786" customFormat="false" ht="15" hidden="false" customHeight="false" outlineLevel="0" collapsed="false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</row>
    <row r="1787" customFormat="false" ht="15" hidden="false" customHeight="false" outlineLevel="0" collapsed="false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</row>
    <row r="1788" customFormat="false" ht="15" hidden="false" customHeight="false" outlineLevel="0" collapsed="false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</row>
    <row r="1789" customFormat="false" ht="15" hidden="false" customHeight="false" outlineLevel="0" collapsed="false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</row>
    <row r="1790" customFormat="false" ht="15" hidden="false" customHeight="false" outlineLevel="0" collapsed="false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</row>
    <row r="1791" customFormat="false" ht="15" hidden="false" customHeight="false" outlineLevel="0" collapsed="false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</row>
    <row r="1792" customFormat="false" ht="15" hidden="false" customHeight="false" outlineLevel="0" collapsed="false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</row>
    <row r="1793" customFormat="false" ht="15" hidden="false" customHeight="false" outlineLevel="0" collapsed="false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</row>
    <row r="1794" customFormat="false" ht="15" hidden="false" customHeight="false" outlineLevel="0" collapsed="false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</row>
    <row r="1795" customFormat="false" ht="15" hidden="false" customHeight="false" outlineLevel="0" collapsed="false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</row>
    <row r="1796" customFormat="false" ht="15" hidden="false" customHeight="false" outlineLevel="0" collapsed="false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</row>
    <row r="1797" customFormat="false" ht="15" hidden="false" customHeight="false" outlineLevel="0" collapsed="false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</row>
    <row r="1798" customFormat="false" ht="15" hidden="false" customHeight="false" outlineLevel="0" collapsed="false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</row>
    <row r="1799" customFormat="false" ht="15" hidden="false" customHeight="false" outlineLevel="0" collapsed="false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</row>
    <row r="1800" customFormat="false" ht="15" hidden="false" customHeight="false" outlineLevel="0" collapsed="false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</row>
    <row r="1801" customFormat="false" ht="15" hidden="false" customHeight="false" outlineLevel="0" collapsed="false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</row>
    <row r="1802" customFormat="false" ht="15" hidden="false" customHeight="false" outlineLevel="0" collapsed="false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</row>
    <row r="1803" customFormat="false" ht="15" hidden="false" customHeight="false" outlineLevel="0" collapsed="false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</row>
    <row r="1804" customFormat="false" ht="15" hidden="false" customHeight="false" outlineLevel="0" collapsed="false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</row>
    <row r="1805" customFormat="false" ht="15" hidden="false" customHeight="false" outlineLevel="0" collapsed="false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</row>
    <row r="1806" customFormat="false" ht="15" hidden="false" customHeight="false" outlineLevel="0" collapsed="false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</row>
    <row r="1807" customFormat="false" ht="15" hidden="false" customHeight="false" outlineLevel="0" collapsed="false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</row>
    <row r="1808" customFormat="false" ht="15" hidden="false" customHeight="false" outlineLevel="0" collapsed="false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</row>
    <row r="1809" customFormat="false" ht="15" hidden="false" customHeight="false" outlineLevel="0" collapsed="false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</row>
    <row r="1810" customFormat="false" ht="15" hidden="false" customHeight="false" outlineLevel="0" collapsed="false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</row>
    <row r="1811" customFormat="false" ht="15" hidden="false" customHeight="false" outlineLevel="0" collapsed="false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</row>
    <row r="1812" customFormat="false" ht="15" hidden="false" customHeight="false" outlineLevel="0" collapsed="false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</row>
    <row r="1813" customFormat="false" ht="15" hidden="false" customHeight="false" outlineLevel="0" collapsed="false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</row>
    <row r="1814" customFormat="false" ht="15" hidden="false" customHeight="false" outlineLevel="0" collapsed="false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</row>
    <row r="1815" customFormat="false" ht="15" hidden="false" customHeight="false" outlineLevel="0" collapsed="false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</row>
    <row r="1816" customFormat="false" ht="15" hidden="false" customHeight="false" outlineLevel="0" collapsed="false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</row>
    <row r="1817" customFormat="false" ht="15" hidden="false" customHeight="false" outlineLevel="0" collapsed="false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</row>
    <row r="1818" customFormat="false" ht="15" hidden="false" customHeight="false" outlineLevel="0" collapsed="false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</row>
    <row r="1819" customFormat="false" ht="15" hidden="false" customHeight="false" outlineLevel="0" collapsed="false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</row>
    <row r="1820" customFormat="false" ht="15" hidden="false" customHeight="false" outlineLevel="0" collapsed="false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</row>
    <row r="1821" customFormat="false" ht="15" hidden="false" customHeight="false" outlineLevel="0" collapsed="false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</row>
    <row r="1822" customFormat="false" ht="15" hidden="false" customHeight="false" outlineLevel="0" collapsed="false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</row>
    <row r="1823" customFormat="false" ht="15" hidden="false" customHeight="false" outlineLevel="0" collapsed="false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</row>
    <row r="1824" customFormat="false" ht="15" hidden="false" customHeight="false" outlineLevel="0" collapsed="false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</row>
    <row r="1825" customFormat="false" ht="15" hidden="false" customHeight="false" outlineLevel="0" collapsed="false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</row>
    <row r="1826" customFormat="false" ht="15" hidden="false" customHeight="false" outlineLevel="0" collapsed="false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</row>
    <row r="1827" customFormat="false" ht="15" hidden="false" customHeight="false" outlineLevel="0" collapsed="false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</row>
    <row r="1828" customFormat="false" ht="15" hidden="false" customHeight="false" outlineLevel="0" collapsed="false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</row>
    <row r="1829" customFormat="false" ht="15" hidden="false" customHeight="false" outlineLevel="0" collapsed="false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</row>
    <row r="1830" customFormat="false" ht="15" hidden="false" customHeight="false" outlineLevel="0" collapsed="false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</row>
    <row r="1831" customFormat="false" ht="15" hidden="false" customHeight="false" outlineLevel="0" collapsed="false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</row>
    <row r="1832" customFormat="false" ht="15" hidden="false" customHeight="false" outlineLevel="0" collapsed="false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</row>
    <row r="1833" customFormat="false" ht="15" hidden="false" customHeight="false" outlineLevel="0" collapsed="false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</row>
    <row r="1834" customFormat="false" ht="15" hidden="false" customHeight="false" outlineLevel="0" collapsed="false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</row>
    <row r="1835" customFormat="false" ht="15" hidden="false" customHeight="false" outlineLevel="0" collapsed="false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</row>
    <row r="1836" customFormat="false" ht="15" hidden="false" customHeight="false" outlineLevel="0" collapsed="false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</row>
    <row r="1837" customFormat="false" ht="15" hidden="false" customHeight="false" outlineLevel="0" collapsed="false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</row>
    <row r="1838" customFormat="false" ht="15" hidden="false" customHeight="false" outlineLevel="0" collapsed="false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</row>
    <row r="1839" customFormat="false" ht="15" hidden="false" customHeight="false" outlineLevel="0" collapsed="false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</row>
    <row r="1840" customFormat="false" ht="15" hidden="false" customHeight="false" outlineLevel="0" collapsed="false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</row>
    <row r="1841" customFormat="false" ht="15" hidden="false" customHeight="false" outlineLevel="0" collapsed="false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</row>
    <row r="1842" customFormat="false" ht="15" hidden="false" customHeight="false" outlineLevel="0" collapsed="false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</row>
    <row r="1843" customFormat="false" ht="15" hidden="false" customHeight="false" outlineLevel="0" collapsed="false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</row>
    <row r="1844" customFormat="false" ht="15" hidden="false" customHeight="false" outlineLevel="0" collapsed="false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</row>
    <row r="1845" customFormat="false" ht="15" hidden="false" customHeight="false" outlineLevel="0" collapsed="false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</row>
    <row r="1846" customFormat="false" ht="15" hidden="false" customHeight="false" outlineLevel="0" collapsed="false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</row>
    <row r="1847" customFormat="false" ht="15" hidden="false" customHeight="false" outlineLevel="0" collapsed="false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</row>
    <row r="1848" customFormat="false" ht="15" hidden="false" customHeight="false" outlineLevel="0" collapsed="false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</row>
    <row r="1849" customFormat="false" ht="15" hidden="false" customHeight="false" outlineLevel="0" collapsed="false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</row>
    <row r="1850" customFormat="false" ht="15" hidden="false" customHeight="false" outlineLevel="0" collapsed="false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</row>
    <row r="1851" customFormat="false" ht="15" hidden="false" customHeight="false" outlineLevel="0" collapsed="false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</row>
    <row r="1852" customFormat="false" ht="15" hidden="false" customHeight="false" outlineLevel="0" collapsed="false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</row>
    <row r="1853" customFormat="false" ht="15" hidden="false" customHeight="false" outlineLevel="0" collapsed="false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</row>
    <row r="1854" customFormat="false" ht="15" hidden="false" customHeight="false" outlineLevel="0" collapsed="false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</row>
    <row r="1855" customFormat="false" ht="15" hidden="false" customHeight="false" outlineLevel="0" collapsed="false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</row>
    <row r="1856" customFormat="false" ht="15" hidden="false" customHeight="false" outlineLevel="0" collapsed="false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</row>
    <row r="1857" customFormat="false" ht="15" hidden="false" customHeight="false" outlineLevel="0" collapsed="false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</row>
    <row r="1858" customFormat="false" ht="15" hidden="false" customHeight="false" outlineLevel="0" collapsed="false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</row>
    <row r="1859" customFormat="false" ht="15" hidden="false" customHeight="false" outlineLevel="0" collapsed="false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</row>
    <row r="1860" customFormat="false" ht="15" hidden="false" customHeight="false" outlineLevel="0" collapsed="false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</row>
    <row r="1861" customFormat="false" ht="15" hidden="false" customHeight="false" outlineLevel="0" collapsed="false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</row>
    <row r="1862" customFormat="false" ht="15" hidden="false" customHeight="false" outlineLevel="0" collapsed="false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</row>
    <row r="1863" customFormat="false" ht="15" hidden="false" customHeight="false" outlineLevel="0" collapsed="false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</row>
    <row r="1864" customFormat="false" ht="15" hidden="false" customHeight="false" outlineLevel="0" collapsed="false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</row>
    <row r="1865" customFormat="false" ht="15" hidden="false" customHeight="false" outlineLevel="0" collapsed="false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</row>
    <row r="1866" customFormat="false" ht="15" hidden="false" customHeight="false" outlineLevel="0" collapsed="false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</row>
    <row r="1867" customFormat="false" ht="15" hidden="false" customHeight="false" outlineLevel="0" collapsed="false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</row>
    <row r="1868" customFormat="false" ht="15" hidden="false" customHeight="false" outlineLevel="0" collapsed="false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</row>
    <row r="1869" customFormat="false" ht="15" hidden="false" customHeight="false" outlineLevel="0" collapsed="false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</row>
    <row r="1870" customFormat="false" ht="15" hidden="false" customHeight="false" outlineLevel="0" collapsed="false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</row>
    <row r="1871" customFormat="false" ht="15" hidden="false" customHeight="false" outlineLevel="0" collapsed="false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</row>
    <row r="1872" customFormat="false" ht="15" hidden="false" customHeight="false" outlineLevel="0" collapsed="false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</row>
    <row r="1873" customFormat="false" ht="15" hidden="false" customHeight="false" outlineLevel="0" collapsed="false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</row>
    <row r="1874" customFormat="false" ht="15" hidden="false" customHeight="false" outlineLevel="0" collapsed="false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</row>
    <row r="1875" customFormat="false" ht="15" hidden="false" customHeight="false" outlineLevel="0" collapsed="false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</row>
    <row r="1876" customFormat="false" ht="15" hidden="false" customHeight="false" outlineLevel="0" collapsed="false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</row>
    <row r="1877" customFormat="false" ht="15" hidden="false" customHeight="false" outlineLevel="0" collapsed="false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</row>
    <row r="1878" customFormat="false" ht="15" hidden="false" customHeight="false" outlineLevel="0" collapsed="false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</row>
    <row r="1879" customFormat="false" ht="15" hidden="false" customHeight="false" outlineLevel="0" collapsed="false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</row>
    <row r="1880" customFormat="false" ht="15" hidden="false" customHeight="false" outlineLevel="0" collapsed="false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</row>
    <row r="1881" customFormat="false" ht="15" hidden="false" customHeight="false" outlineLevel="0" collapsed="false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</row>
    <row r="1882" customFormat="false" ht="15" hidden="false" customHeight="false" outlineLevel="0" collapsed="false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</row>
    <row r="1883" customFormat="false" ht="15" hidden="false" customHeight="false" outlineLevel="0" collapsed="false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</row>
    <row r="1884" customFormat="false" ht="15" hidden="false" customHeight="false" outlineLevel="0" collapsed="false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</row>
    <row r="1885" customFormat="false" ht="15" hidden="false" customHeight="false" outlineLevel="0" collapsed="false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</row>
    <row r="1886" customFormat="false" ht="15" hidden="false" customHeight="false" outlineLevel="0" collapsed="false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</row>
    <row r="1887" customFormat="false" ht="15" hidden="false" customHeight="false" outlineLevel="0" collapsed="false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</row>
    <row r="1888" customFormat="false" ht="15" hidden="false" customHeight="false" outlineLevel="0" collapsed="false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</row>
    <row r="1889" customFormat="false" ht="15" hidden="false" customHeight="false" outlineLevel="0" collapsed="false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</row>
    <row r="1890" customFormat="false" ht="15" hidden="false" customHeight="false" outlineLevel="0" collapsed="false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</row>
    <row r="1891" customFormat="false" ht="15" hidden="false" customHeight="false" outlineLevel="0" collapsed="false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</row>
    <row r="1892" customFormat="false" ht="15" hidden="false" customHeight="false" outlineLevel="0" collapsed="false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</row>
    <row r="1893" customFormat="false" ht="15" hidden="false" customHeight="false" outlineLevel="0" collapsed="false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</row>
    <row r="1894" customFormat="false" ht="15" hidden="false" customHeight="false" outlineLevel="0" collapsed="false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</row>
    <row r="1895" customFormat="false" ht="15" hidden="false" customHeight="false" outlineLevel="0" collapsed="false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</row>
    <row r="1896" customFormat="false" ht="15" hidden="false" customHeight="false" outlineLevel="0" collapsed="false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</row>
    <row r="1897" customFormat="false" ht="15" hidden="false" customHeight="false" outlineLevel="0" collapsed="false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</row>
    <row r="1898" customFormat="false" ht="15" hidden="false" customHeight="false" outlineLevel="0" collapsed="false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</row>
    <row r="1899" customFormat="false" ht="15" hidden="false" customHeight="false" outlineLevel="0" collapsed="false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</row>
    <row r="1900" customFormat="false" ht="15" hidden="false" customHeight="false" outlineLevel="0" collapsed="false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</row>
    <row r="1901" customFormat="false" ht="15" hidden="false" customHeight="false" outlineLevel="0" collapsed="false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</row>
    <row r="1902" customFormat="false" ht="15" hidden="false" customHeight="false" outlineLevel="0" collapsed="false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</row>
    <row r="1903" customFormat="false" ht="15" hidden="false" customHeight="false" outlineLevel="0" collapsed="false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</row>
    <row r="1904" customFormat="false" ht="15" hidden="false" customHeight="false" outlineLevel="0" collapsed="false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</row>
    <row r="1905" customFormat="false" ht="15" hidden="false" customHeight="false" outlineLevel="0" collapsed="false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</row>
    <row r="1906" customFormat="false" ht="15" hidden="false" customHeight="false" outlineLevel="0" collapsed="false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</row>
    <row r="1907" customFormat="false" ht="15" hidden="false" customHeight="false" outlineLevel="0" collapsed="false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</row>
    <row r="1908" customFormat="false" ht="15" hidden="false" customHeight="false" outlineLevel="0" collapsed="false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</row>
    <row r="1909" customFormat="false" ht="15" hidden="false" customHeight="false" outlineLevel="0" collapsed="false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</row>
    <row r="1910" customFormat="false" ht="15" hidden="false" customHeight="false" outlineLevel="0" collapsed="false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</row>
    <row r="1911" customFormat="false" ht="15" hidden="false" customHeight="false" outlineLevel="0" collapsed="false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</row>
    <row r="1912" customFormat="false" ht="15" hidden="false" customHeight="false" outlineLevel="0" collapsed="false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</row>
    <row r="1913" customFormat="false" ht="15" hidden="false" customHeight="false" outlineLevel="0" collapsed="false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</row>
    <row r="1914" customFormat="false" ht="15" hidden="false" customHeight="false" outlineLevel="0" collapsed="false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</row>
    <row r="1915" customFormat="false" ht="15" hidden="false" customHeight="false" outlineLevel="0" collapsed="false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</row>
    <row r="1916" customFormat="false" ht="15" hidden="false" customHeight="false" outlineLevel="0" collapsed="false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</row>
    <row r="1917" customFormat="false" ht="15" hidden="false" customHeight="false" outlineLevel="0" collapsed="false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</row>
    <row r="1918" customFormat="false" ht="15" hidden="false" customHeight="false" outlineLevel="0" collapsed="false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</row>
    <row r="1919" customFormat="false" ht="15" hidden="false" customHeight="false" outlineLevel="0" collapsed="false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</row>
    <row r="1920" customFormat="false" ht="15" hidden="false" customHeight="false" outlineLevel="0" collapsed="false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</row>
    <row r="1921" customFormat="false" ht="15" hidden="false" customHeight="false" outlineLevel="0" collapsed="false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</row>
    <row r="1922" customFormat="false" ht="15" hidden="false" customHeight="false" outlineLevel="0" collapsed="false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</row>
    <row r="1923" customFormat="false" ht="15" hidden="false" customHeight="false" outlineLevel="0" collapsed="false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</row>
    <row r="1924" customFormat="false" ht="15" hidden="false" customHeight="false" outlineLevel="0" collapsed="false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</row>
    <row r="1925" customFormat="false" ht="15" hidden="false" customHeight="false" outlineLevel="0" collapsed="false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</row>
    <row r="1926" customFormat="false" ht="15" hidden="false" customHeight="false" outlineLevel="0" collapsed="false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</row>
    <row r="1927" customFormat="false" ht="15" hidden="false" customHeight="false" outlineLevel="0" collapsed="false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</row>
    <row r="1928" customFormat="false" ht="15" hidden="false" customHeight="false" outlineLevel="0" collapsed="false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</row>
    <row r="1929" customFormat="false" ht="15" hidden="false" customHeight="false" outlineLevel="0" collapsed="false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</row>
    <row r="1930" customFormat="false" ht="15" hidden="false" customHeight="false" outlineLevel="0" collapsed="false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</row>
    <row r="1931" customFormat="false" ht="15" hidden="false" customHeight="false" outlineLevel="0" collapsed="false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</row>
    <row r="1932" customFormat="false" ht="15" hidden="false" customHeight="false" outlineLevel="0" collapsed="false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</row>
    <row r="1933" customFormat="false" ht="15" hidden="false" customHeight="false" outlineLevel="0" collapsed="false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</row>
    <row r="1934" customFormat="false" ht="15" hidden="false" customHeight="false" outlineLevel="0" collapsed="false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</row>
    <row r="1935" customFormat="false" ht="15" hidden="false" customHeight="false" outlineLevel="0" collapsed="false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</row>
    <row r="1936" customFormat="false" ht="15" hidden="false" customHeight="false" outlineLevel="0" collapsed="false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</row>
    <row r="1937" customFormat="false" ht="15" hidden="false" customHeight="false" outlineLevel="0" collapsed="false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</row>
    <row r="1938" customFormat="false" ht="15" hidden="false" customHeight="false" outlineLevel="0" collapsed="false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</row>
    <row r="1939" customFormat="false" ht="15" hidden="false" customHeight="false" outlineLevel="0" collapsed="false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</row>
    <row r="1940" customFormat="false" ht="15" hidden="false" customHeight="false" outlineLevel="0" collapsed="false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</row>
    <row r="1941" customFormat="false" ht="15" hidden="false" customHeight="false" outlineLevel="0" collapsed="false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</row>
    <row r="1942" customFormat="false" ht="15" hidden="false" customHeight="false" outlineLevel="0" collapsed="false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</row>
    <row r="1943" customFormat="false" ht="15" hidden="false" customHeight="false" outlineLevel="0" collapsed="false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</row>
    <row r="1944" customFormat="false" ht="15" hidden="false" customHeight="false" outlineLevel="0" collapsed="false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</row>
    <row r="1945" customFormat="false" ht="15" hidden="false" customHeight="false" outlineLevel="0" collapsed="false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</row>
    <row r="1946" customFormat="false" ht="15" hidden="false" customHeight="false" outlineLevel="0" collapsed="false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</row>
    <row r="1947" customFormat="false" ht="15" hidden="false" customHeight="false" outlineLevel="0" collapsed="false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</row>
    <row r="1948" customFormat="false" ht="15" hidden="false" customHeight="false" outlineLevel="0" collapsed="false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</row>
    <row r="1949" customFormat="false" ht="15" hidden="false" customHeight="false" outlineLevel="0" collapsed="false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</row>
    <row r="1950" customFormat="false" ht="15" hidden="false" customHeight="false" outlineLevel="0" collapsed="false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</row>
    <row r="1951" customFormat="false" ht="15" hidden="false" customHeight="false" outlineLevel="0" collapsed="false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</row>
    <row r="1952" customFormat="false" ht="15" hidden="false" customHeight="false" outlineLevel="0" collapsed="false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</row>
    <row r="1953" customFormat="false" ht="15" hidden="false" customHeight="false" outlineLevel="0" collapsed="false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</row>
    <row r="1954" customFormat="false" ht="15" hidden="false" customHeight="false" outlineLevel="0" collapsed="false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</row>
    <row r="1955" customFormat="false" ht="15" hidden="false" customHeight="false" outlineLevel="0" collapsed="false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</row>
    <row r="1956" customFormat="false" ht="15" hidden="false" customHeight="false" outlineLevel="0" collapsed="false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</row>
    <row r="1957" customFormat="false" ht="15" hidden="false" customHeight="false" outlineLevel="0" collapsed="false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</row>
    <row r="1958" customFormat="false" ht="15" hidden="false" customHeight="false" outlineLevel="0" collapsed="false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</row>
    <row r="1959" customFormat="false" ht="15" hidden="false" customHeight="false" outlineLevel="0" collapsed="false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</row>
    <row r="1960" customFormat="false" ht="15" hidden="false" customHeight="false" outlineLevel="0" collapsed="false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</row>
    <row r="1961" customFormat="false" ht="15" hidden="false" customHeight="false" outlineLevel="0" collapsed="false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</row>
    <row r="1962" customFormat="false" ht="15" hidden="false" customHeight="false" outlineLevel="0" collapsed="false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</row>
    <row r="1963" customFormat="false" ht="15" hidden="false" customHeight="false" outlineLevel="0" collapsed="false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</row>
    <row r="1964" customFormat="false" ht="15" hidden="false" customHeight="false" outlineLevel="0" collapsed="false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</row>
    <row r="1965" customFormat="false" ht="15" hidden="false" customHeight="false" outlineLevel="0" collapsed="false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</row>
    <row r="1966" customFormat="false" ht="15" hidden="false" customHeight="false" outlineLevel="0" collapsed="false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</row>
    <row r="1967" customFormat="false" ht="15" hidden="false" customHeight="false" outlineLevel="0" collapsed="false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</row>
    <row r="1968" customFormat="false" ht="15" hidden="false" customHeight="false" outlineLevel="0" collapsed="false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</row>
    <row r="1969" customFormat="false" ht="15" hidden="false" customHeight="false" outlineLevel="0" collapsed="false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</row>
    <row r="1970" customFormat="false" ht="15" hidden="false" customHeight="false" outlineLevel="0" collapsed="false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</row>
    <row r="1971" customFormat="false" ht="15" hidden="false" customHeight="false" outlineLevel="0" collapsed="false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</row>
    <row r="1972" customFormat="false" ht="15" hidden="false" customHeight="false" outlineLevel="0" collapsed="false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</row>
    <row r="1973" customFormat="false" ht="15" hidden="false" customHeight="false" outlineLevel="0" collapsed="false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</row>
    <row r="1974" customFormat="false" ht="15" hidden="false" customHeight="false" outlineLevel="0" collapsed="false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</row>
    <row r="1975" customFormat="false" ht="15" hidden="false" customHeight="false" outlineLevel="0" collapsed="false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</row>
    <row r="1976" customFormat="false" ht="15" hidden="false" customHeight="false" outlineLevel="0" collapsed="false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</row>
    <row r="1977" customFormat="false" ht="15" hidden="false" customHeight="false" outlineLevel="0" collapsed="false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</row>
    <row r="1978" customFormat="false" ht="15" hidden="false" customHeight="false" outlineLevel="0" collapsed="false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</row>
    <row r="1979" customFormat="false" ht="15" hidden="false" customHeight="false" outlineLevel="0" collapsed="false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</row>
    <row r="1980" customFormat="false" ht="15" hidden="false" customHeight="false" outlineLevel="0" collapsed="false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</row>
    <row r="1981" customFormat="false" ht="15" hidden="false" customHeight="false" outlineLevel="0" collapsed="false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</row>
    <row r="1982" customFormat="false" ht="15" hidden="false" customHeight="false" outlineLevel="0" collapsed="false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</row>
    <row r="1983" customFormat="false" ht="15" hidden="false" customHeight="false" outlineLevel="0" collapsed="false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</row>
    <row r="1984" customFormat="false" ht="15" hidden="false" customHeight="false" outlineLevel="0" collapsed="false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</row>
    <row r="1985" customFormat="false" ht="15" hidden="false" customHeight="false" outlineLevel="0" collapsed="false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</row>
    <row r="1986" customFormat="false" ht="15" hidden="false" customHeight="false" outlineLevel="0" collapsed="false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</row>
    <row r="1987" customFormat="false" ht="15" hidden="false" customHeight="false" outlineLevel="0" collapsed="false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</row>
    <row r="1988" customFormat="false" ht="15" hidden="false" customHeight="false" outlineLevel="0" collapsed="false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</row>
    <row r="1989" customFormat="false" ht="15" hidden="false" customHeight="false" outlineLevel="0" collapsed="false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</row>
    <row r="1990" customFormat="false" ht="15" hidden="false" customHeight="false" outlineLevel="0" collapsed="false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</row>
    <row r="1991" customFormat="false" ht="15" hidden="false" customHeight="false" outlineLevel="0" collapsed="false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</row>
    <row r="1992" customFormat="false" ht="15" hidden="false" customHeight="false" outlineLevel="0" collapsed="false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</row>
    <row r="1993" customFormat="false" ht="15" hidden="false" customHeight="false" outlineLevel="0" collapsed="false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</row>
    <row r="1994" customFormat="false" ht="15" hidden="false" customHeight="false" outlineLevel="0" collapsed="false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</row>
    <row r="1995" customFormat="false" ht="15" hidden="false" customHeight="false" outlineLevel="0" collapsed="false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</row>
    <row r="1996" customFormat="false" ht="15" hidden="false" customHeight="false" outlineLevel="0" collapsed="false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</row>
    <row r="1997" customFormat="false" ht="15" hidden="false" customHeight="false" outlineLevel="0" collapsed="false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</row>
    <row r="1998" customFormat="false" ht="15" hidden="false" customHeight="false" outlineLevel="0" collapsed="false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</row>
    <row r="1999" customFormat="false" ht="15" hidden="false" customHeight="false" outlineLevel="0" collapsed="false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</row>
    <row r="2000" customFormat="false" ht="15" hidden="false" customHeight="false" outlineLevel="0" collapsed="false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</row>
    <row r="2001" customFormat="false" ht="15" hidden="false" customHeight="false" outlineLevel="0" collapsed="false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</row>
    <row r="2002" customFormat="false" ht="15" hidden="false" customHeight="false" outlineLevel="0" collapsed="false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</row>
    <row r="2003" customFormat="false" ht="15" hidden="false" customHeight="false" outlineLevel="0" collapsed="false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</row>
    <row r="2004" customFormat="false" ht="15" hidden="false" customHeight="false" outlineLevel="0" collapsed="false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</row>
    <row r="2006" customFormat="false" ht="19.5" hidden="false" customHeight="true" outlineLevel="0" collapsed="false">
      <c r="A2006" s="11" t="s">
        <v>64</v>
      </c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</row>
  </sheetData>
  <sheetProtection sheet="true" password="cc3d" objects="true" scenarios="true" deleteColumns="false" deleteRows="false"/>
  <mergeCells count="3">
    <mergeCell ref="A1:AD1"/>
    <mergeCell ref="A4:U4"/>
    <mergeCell ref="A2006:AN2006"/>
  </mergeCells>
  <conditionalFormatting sqref="T6:T2004">
    <cfRule type="cellIs" priority="2" operator="greaterThan" aboveAverage="0" equalAverage="0" bottom="0" percent="0" rank="0" text="" dxfId="6">
      <formula>0</formula>
    </cfRule>
  </conditionalFormatting>
  <conditionalFormatting sqref="U6:U2004">
    <cfRule type="cellIs" priority="3" operator="greaterThan" aboveAverage="0" equalAverage="0" bottom="0" percent="0" rank="0" text="" dxfId="7">
      <formula>MaliyetFaktorEsik</formula>
    </cfRule>
  </conditionalFormatting>
  <conditionalFormatting sqref="D6:D2004">
    <cfRule type="cellIs" priority="4" operator="lessThan" aboveAverage="0" equalAverage="0" bottom="0" percent="0" rank="0" text="" dxfId="7">
      <formula>0</formula>
    </cfRule>
  </conditionalFormatting>
  <conditionalFormatting sqref="F6:F2004">
    <cfRule type="cellIs" priority="5" operator="equal" aboveAverage="0" equalAverage="0" bottom="0" percent="0" rank="0" text="" dxfId="8">
      <formula>0</formula>
    </cfRule>
  </conditionalFormatting>
  <conditionalFormatting sqref="S6:S2004">
    <cfRule type="cellIs" priority="6" operator="greaterThan" aboveAverage="0" equalAverage="0" bottom="0" percent="0" rank="0" text="" dxfId="6">
      <formula>0</formula>
    </cfRule>
  </conditionalFormatting>
  <conditionalFormatting sqref="H6:H2004">
    <cfRule type="cellIs" priority="7" operator="greaterThan" aboveAverage="0" equalAverage="0" bottom="0" percent="0" rank="0" text="" dxfId="7">
      <formula>1</formula>
    </cfRule>
  </conditionalFormatting>
  <dataValidations count="5">
    <dataValidation allowBlank="true" error="Listeden bir değer seçin." errorStyle="stop" errorTitle="Geçersiz döviz cinsi" operator="between" prompt="USD / EUR / GBP seçin." promptTitle="Döviz Cinsi" showDropDown="false" showErrorMessage="true" showInputMessage="true" sqref="E6:E2004" type="list">
      <formula1>dovizcinsleri</formula1>
      <formula2>0</formula2>
    </dataValidation>
    <dataValidation allowBlank="true" error="Listeden bir değer seçin." errorStyle="stop" errorTitle="Geçersiz birim" operator="between" prompt="Adet / Kg / Ton / Palet / Metre seçin." promptTitle="Birim" showDropDown="false" showErrorMessage="true" showInputMessage="true" sqref="B6:B2004" type="list">
      <formula1>birimler</formula1>
      <formula2>0</formula2>
    </dataValidation>
    <dataValidation allowBlank="true" error="Adet 0'dan büyük olmalıdır." errorStyle="stop" errorTitle="Geçersiz adet" operator="greaterThan" prompt="İthal edilen ürün adedini girin." promptTitle="Adet" showDropDown="false" showErrorMessage="true" showInputMessage="true" sqref="C6:C2004" type="decimal">
      <formula1>0</formula1>
      <formula2>0</formula2>
    </dataValidation>
    <dataValidation allowBlank="true" error="Fiyat 0'dan büyük olmalıdır." errorStyle="stop" errorTitle="Geçersiz fiyat" operator="greaterThan" prompt="Döviz cinsinden birim fiyatı girin." promptTitle="FOB Birim Fiyat" showDropDown="false" showErrorMessage="true" showInputMessage="true" sqref="D6:D2004" type="decimal">
      <formula1>0</formula1>
      <formula2>0</formula2>
    </dataValidation>
    <dataValidation allowBlank="true" error="Kur 0'dan büyük olmalıdır." errorStyle="stop" errorTitle="Geçersiz kur" operator="greaterThan" prompt="1 döviz biriminin TL karşılığını girin." promptTitle="Kur" showDropDown="false" showErrorMessage="true" showInputMessage="true" sqref="F6:F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25.5" hidden="false" customHeight="true" outlineLevel="0" collapsed="false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66</v>
      </c>
    </row>
    <row r="4" customFormat="false" ht="15" hidden="false" customHeight="true" outlineLevel="0" collapsed="false">
      <c r="A4" s="14" t="s">
        <v>67</v>
      </c>
      <c r="B4" s="14"/>
      <c r="C4" s="14"/>
    </row>
    <row r="5" customFormat="false" ht="30" hidden="false" customHeight="true" outlineLevel="0" collapsed="false">
      <c r="A5" s="15" t="s">
        <v>68</v>
      </c>
      <c r="B5" s="15" t="s">
        <v>69</v>
      </c>
      <c r="C5" s="15" t="s">
        <v>70</v>
      </c>
    </row>
    <row r="6" customFormat="false" ht="15" hidden="false" customHeight="false" outlineLevel="0" collapsed="false">
      <c r="A6" s="16" t="s">
        <v>71</v>
      </c>
      <c r="B6" s="21" t="n">
        <v>25000</v>
      </c>
      <c r="C6" s="16" t="s">
        <v>72</v>
      </c>
    </row>
    <row r="7" customFormat="false" ht="15" hidden="false" customHeight="false" outlineLevel="0" collapsed="false">
      <c r="A7" s="16" t="s">
        <v>73</v>
      </c>
      <c r="B7" s="21" t="n">
        <v>8000</v>
      </c>
      <c r="C7" s="16" t="s">
        <v>74</v>
      </c>
    </row>
    <row r="8" customFormat="false" ht="15" hidden="false" customHeight="false" outlineLevel="0" collapsed="false">
      <c r="A8" s="16" t="s">
        <v>75</v>
      </c>
      <c r="B8" s="21" t="n">
        <v>15000</v>
      </c>
      <c r="C8" s="16" t="s">
        <v>76</v>
      </c>
    </row>
    <row r="9" customFormat="false" ht="15" hidden="false" customHeight="false" outlineLevel="0" collapsed="false">
      <c r="A9" s="16" t="s">
        <v>77</v>
      </c>
      <c r="B9" s="21" t="n">
        <v>3000</v>
      </c>
      <c r="C9" s="16" t="s">
        <v>78</v>
      </c>
    </row>
    <row r="10" customFormat="false" ht="15" hidden="false" customHeight="false" outlineLevel="0" collapsed="false">
      <c r="A10" s="16" t="s">
        <v>79</v>
      </c>
      <c r="B10" s="21" t="n">
        <v>4500</v>
      </c>
      <c r="C10" s="16" t="s">
        <v>80</v>
      </c>
    </row>
    <row r="11" customFormat="false" ht="15" hidden="false" customHeight="false" outlineLevel="0" collapsed="false">
      <c r="A11" s="16" t="s">
        <v>81</v>
      </c>
      <c r="B11" s="21" t="n">
        <v>1200</v>
      </c>
      <c r="C11" s="16" t="s">
        <v>82</v>
      </c>
    </row>
    <row r="12" customFormat="false" ht="15" hidden="false" customHeight="false" outlineLevel="0" collapsed="false">
      <c r="A12" s="16" t="s">
        <v>83</v>
      </c>
      <c r="B12" s="21" t="n">
        <v>2500</v>
      </c>
      <c r="C12" s="16" t="s">
        <v>84</v>
      </c>
    </row>
    <row r="13" customFormat="false" ht="15" hidden="false" customHeight="false" outlineLevel="0" collapsed="false">
      <c r="A13" s="16" t="s">
        <v>85</v>
      </c>
      <c r="B13" s="21" t="n">
        <v>6000</v>
      </c>
      <c r="C13" s="16" t="s">
        <v>86</v>
      </c>
    </row>
    <row r="14" customFormat="false" ht="15" hidden="false" customHeight="false" outlineLevel="0" collapsed="false">
      <c r="A14" s="16" t="s">
        <v>87</v>
      </c>
      <c r="B14" s="21" t="n">
        <v>3800</v>
      </c>
      <c r="C14" s="16" t="s">
        <v>88</v>
      </c>
    </row>
    <row r="15" customFormat="false" ht="15" hidden="false" customHeight="false" outlineLevel="0" collapsed="false">
      <c r="A15" s="16" t="s">
        <v>89</v>
      </c>
      <c r="B15" s="21" t="n">
        <v>2200</v>
      </c>
      <c r="C15" s="16" t="s">
        <v>90</v>
      </c>
    </row>
    <row r="16" customFormat="false" ht="15" hidden="false" customHeight="false" outlineLevel="0" collapsed="false">
      <c r="A16" s="20"/>
      <c r="B16" s="20"/>
      <c r="C16" s="20"/>
    </row>
    <row r="17" customFormat="false" ht="15" hidden="false" customHeight="false" outlineLevel="0" collapsed="false">
      <c r="A17" s="20"/>
      <c r="B17" s="20"/>
      <c r="C17" s="20"/>
    </row>
    <row r="18" customFormat="false" ht="15" hidden="false" customHeight="false" outlineLevel="0" collapsed="false">
      <c r="A18" s="20"/>
      <c r="B18" s="20"/>
      <c r="C18" s="20"/>
    </row>
    <row r="19" customFormat="false" ht="15" hidden="false" customHeight="false" outlineLevel="0" collapsed="false">
      <c r="A19" s="20"/>
      <c r="B19" s="20"/>
      <c r="C19" s="20"/>
    </row>
    <row r="20" customFormat="false" ht="15" hidden="false" customHeight="false" outlineLevel="0" collapsed="false">
      <c r="A20" s="20"/>
      <c r="B20" s="20"/>
      <c r="C20" s="20"/>
    </row>
    <row r="21" customFormat="false" ht="15" hidden="false" customHeight="false" outlineLevel="0" collapsed="false">
      <c r="A21" s="20"/>
      <c r="B21" s="20"/>
      <c r="C21" s="20"/>
    </row>
    <row r="22" customFormat="false" ht="15" hidden="false" customHeight="false" outlineLevel="0" collapsed="false">
      <c r="A22" s="20"/>
      <c r="B22" s="20"/>
      <c r="C22" s="20"/>
    </row>
    <row r="23" customFormat="false" ht="15" hidden="false" customHeight="false" outlineLevel="0" collapsed="false">
      <c r="A23" s="20"/>
      <c r="B23" s="20"/>
      <c r="C23" s="20"/>
    </row>
    <row r="24" customFormat="false" ht="15" hidden="false" customHeight="false" outlineLevel="0" collapsed="false">
      <c r="A24" s="20"/>
      <c r="B24" s="20"/>
      <c r="C24" s="20"/>
    </row>
    <row r="25" customFormat="false" ht="15" hidden="false" customHeight="false" outlineLevel="0" collapsed="false">
      <c r="A25" s="20"/>
      <c r="B25" s="20"/>
      <c r="C25" s="20"/>
    </row>
    <row r="26" customFormat="false" ht="15" hidden="false" customHeight="false" outlineLevel="0" collapsed="false">
      <c r="A26" s="20"/>
      <c r="B26" s="20"/>
      <c r="C26" s="20"/>
    </row>
    <row r="27" customFormat="false" ht="15" hidden="false" customHeight="false" outlineLevel="0" collapsed="false">
      <c r="A27" s="20"/>
      <c r="B27" s="20"/>
      <c r="C27" s="20"/>
    </row>
    <row r="28" customFormat="false" ht="15" hidden="false" customHeight="false" outlineLevel="0" collapsed="false">
      <c r="A28" s="20"/>
      <c r="B28" s="20"/>
      <c r="C28" s="20"/>
    </row>
    <row r="29" customFormat="false" ht="15" hidden="false" customHeight="false" outlineLevel="0" collapsed="false">
      <c r="A29" s="20"/>
      <c r="B29" s="20"/>
      <c r="C29" s="20"/>
    </row>
    <row r="30" customFormat="false" ht="15" hidden="false" customHeight="false" outlineLevel="0" collapsed="false">
      <c r="A30" s="20"/>
      <c r="B30" s="20"/>
      <c r="C30" s="20"/>
    </row>
    <row r="31" customFormat="false" ht="15" hidden="false" customHeight="false" outlineLevel="0" collapsed="false">
      <c r="A31" s="20"/>
      <c r="B31" s="20"/>
      <c r="C31" s="20"/>
    </row>
    <row r="32" customFormat="false" ht="15" hidden="false" customHeight="false" outlineLevel="0" collapsed="false">
      <c r="A32" s="20"/>
      <c r="B32" s="20"/>
      <c r="C32" s="20"/>
    </row>
    <row r="33" customFormat="false" ht="15" hidden="false" customHeight="false" outlineLevel="0" collapsed="false">
      <c r="A33" s="20"/>
      <c r="B33" s="20"/>
      <c r="C33" s="20"/>
    </row>
    <row r="34" customFormat="false" ht="15" hidden="false" customHeight="false" outlineLevel="0" collapsed="false">
      <c r="A34" s="20"/>
      <c r="B34" s="20"/>
      <c r="C34" s="20"/>
    </row>
    <row r="35" customFormat="false" ht="15" hidden="false" customHeight="false" outlineLevel="0" collapsed="false">
      <c r="A35" s="20"/>
      <c r="B35" s="20"/>
      <c r="C35" s="20"/>
    </row>
    <row r="36" customFormat="false" ht="15" hidden="false" customHeight="false" outlineLevel="0" collapsed="false">
      <c r="A36" s="20"/>
      <c r="B36" s="20"/>
      <c r="C36" s="20"/>
    </row>
    <row r="37" customFormat="false" ht="15" hidden="false" customHeight="false" outlineLevel="0" collapsed="false">
      <c r="A37" s="20"/>
      <c r="B37" s="20"/>
      <c r="C37" s="20"/>
    </row>
    <row r="38" customFormat="false" ht="15" hidden="false" customHeight="false" outlineLevel="0" collapsed="false">
      <c r="A38" s="20"/>
      <c r="B38" s="20"/>
      <c r="C38" s="20"/>
    </row>
    <row r="39" customFormat="false" ht="15" hidden="false" customHeight="false" outlineLevel="0" collapsed="false">
      <c r="A39" s="20"/>
      <c r="B39" s="20"/>
      <c r="C39" s="20"/>
    </row>
    <row r="40" customFormat="false" ht="15" hidden="false" customHeight="false" outlineLevel="0" collapsed="false">
      <c r="A40" s="20"/>
      <c r="B40" s="20"/>
      <c r="C40" s="20"/>
    </row>
    <row r="41" customFormat="false" ht="15" hidden="false" customHeight="false" outlineLevel="0" collapsed="false">
      <c r="A41" s="20"/>
      <c r="B41" s="20"/>
      <c r="C41" s="20"/>
    </row>
    <row r="42" customFormat="false" ht="15" hidden="false" customHeight="false" outlineLevel="0" collapsed="false">
      <c r="A42" s="20"/>
      <c r="B42" s="20"/>
      <c r="C42" s="20"/>
    </row>
    <row r="43" customFormat="false" ht="15" hidden="false" customHeight="false" outlineLevel="0" collapsed="false">
      <c r="A43" s="20"/>
      <c r="B43" s="20"/>
      <c r="C43" s="20"/>
    </row>
    <row r="44" customFormat="false" ht="15" hidden="false" customHeight="false" outlineLevel="0" collapsed="false">
      <c r="A44" s="20"/>
      <c r="B44" s="20"/>
      <c r="C44" s="20"/>
    </row>
    <row r="45" customFormat="false" ht="15" hidden="false" customHeight="false" outlineLevel="0" collapsed="false">
      <c r="A45" s="20"/>
      <c r="B45" s="20"/>
      <c r="C45" s="20"/>
    </row>
    <row r="46" customFormat="false" ht="15" hidden="false" customHeight="false" outlineLevel="0" collapsed="false">
      <c r="A46" s="20"/>
      <c r="B46" s="20"/>
      <c r="C46" s="20"/>
    </row>
    <row r="47" customFormat="false" ht="15" hidden="false" customHeight="false" outlineLevel="0" collapsed="false">
      <c r="A47" s="20"/>
      <c r="B47" s="20"/>
      <c r="C47" s="20"/>
    </row>
    <row r="48" customFormat="false" ht="15" hidden="false" customHeight="false" outlineLevel="0" collapsed="false">
      <c r="A48" s="20"/>
      <c r="B48" s="20"/>
      <c r="C48" s="20"/>
    </row>
    <row r="49" customFormat="false" ht="15" hidden="false" customHeight="false" outlineLevel="0" collapsed="false">
      <c r="A49" s="20"/>
      <c r="B49" s="20"/>
      <c r="C49" s="20"/>
    </row>
    <row r="50" customFormat="false" ht="15" hidden="false" customHeight="false" outlineLevel="0" collapsed="false">
      <c r="A50" s="20"/>
      <c r="B50" s="20"/>
      <c r="C50" s="20"/>
    </row>
    <row r="51" customFormat="false" ht="15" hidden="false" customHeight="false" outlineLevel="0" collapsed="false">
      <c r="A51" s="20"/>
      <c r="B51" s="20"/>
      <c r="C51" s="20"/>
    </row>
    <row r="52" customFormat="false" ht="15" hidden="false" customHeight="false" outlineLevel="0" collapsed="false">
      <c r="A52" s="20"/>
      <c r="B52" s="20"/>
      <c r="C52" s="20"/>
    </row>
    <row r="53" customFormat="false" ht="15" hidden="false" customHeight="false" outlineLevel="0" collapsed="false">
      <c r="A53" s="20"/>
      <c r="B53" s="20"/>
      <c r="C53" s="20"/>
    </row>
    <row r="54" customFormat="false" ht="15" hidden="false" customHeight="false" outlineLevel="0" collapsed="false">
      <c r="A54" s="20"/>
      <c r="B54" s="20"/>
      <c r="C54" s="20"/>
    </row>
    <row r="55" customFormat="false" ht="15" hidden="false" customHeight="false" outlineLevel="0" collapsed="false">
      <c r="A55" s="20"/>
      <c r="B55" s="20"/>
      <c r="C55" s="20"/>
    </row>
    <row r="56" customFormat="false" ht="15" hidden="false" customHeight="false" outlineLevel="0" collapsed="false">
      <c r="A56" s="20"/>
      <c r="B56" s="20"/>
      <c r="C56" s="20"/>
    </row>
    <row r="57" customFormat="false" ht="15" hidden="false" customHeight="false" outlineLevel="0" collapsed="false">
      <c r="A57" s="20"/>
      <c r="B57" s="20"/>
      <c r="C57" s="20"/>
    </row>
    <row r="58" customFormat="false" ht="15" hidden="false" customHeight="false" outlineLevel="0" collapsed="false">
      <c r="A58" s="20"/>
      <c r="B58" s="20"/>
      <c r="C58" s="20"/>
    </row>
    <row r="59" customFormat="false" ht="15" hidden="false" customHeight="false" outlineLevel="0" collapsed="false">
      <c r="A59" s="20"/>
      <c r="B59" s="20"/>
      <c r="C59" s="20"/>
    </row>
    <row r="60" customFormat="false" ht="15" hidden="false" customHeight="false" outlineLevel="0" collapsed="false">
      <c r="A60" s="20"/>
      <c r="B60" s="20"/>
      <c r="C60" s="20"/>
    </row>
    <row r="61" customFormat="false" ht="15" hidden="false" customHeight="false" outlineLevel="0" collapsed="false">
      <c r="A61" s="20"/>
      <c r="B61" s="20"/>
      <c r="C61" s="20"/>
    </row>
    <row r="62" customFormat="false" ht="15" hidden="false" customHeight="false" outlineLevel="0" collapsed="false">
      <c r="A62" s="20"/>
      <c r="B62" s="20"/>
      <c r="C62" s="20"/>
    </row>
    <row r="63" customFormat="false" ht="15" hidden="false" customHeight="false" outlineLevel="0" collapsed="false">
      <c r="A63" s="20"/>
      <c r="B63" s="20"/>
      <c r="C63" s="20"/>
    </row>
    <row r="64" customFormat="false" ht="15" hidden="false" customHeight="false" outlineLevel="0" collapsed="false">
      <c r="A64" s="20"/>
      <c r="B64" s="20"/>
      <c r="C64" s="20"/>
    </row>
    <row r="65" customFormat="false" ht="15" hidden="false" customHeight="false" outlineLevel="0" collapsed="false">
      <c r="A65" s="20"/>
      <c r="B65" s="20"/>
      <c r="C65" s="20"/>
    </row>
    <row r="66" customFormat="false" ht="15" hidden="false" customHeight="false" outlineLevel="0" collapsed="false">
      <c r="A66" s="20"/>
      <c r="B66" s="20"/>
      <c r="C66" s="20"/>
    </row>
    <row r="67" customFormat="false" ht="15" hidden="false" customHeight="false" outlineLevel="0" collapsed="false">
      <c r="A67" s="20"/>
      <c r="B67" s="20"/>
      <c r="C67" s="20"/>
    </row>
    <row r="68" customFormat="false" ht="15" hidden="false" customHeight="false" outlineLevel="0" collapsed="false">
      <c r="A68" s="20"/>
      <c r="B68" s="20"/>
      <c r="C68" s="20"/>
    </row>
    <row r="69" customFormat="false" ht="15" hidden="false" customHeight="false" outlineLevel="0" collapsed="false">
      <c r="A69" s="20"/>
      <c r="B69" s="20"/>
      <c r="C69" s="20"/>
    </row>
    <row r="70" customFormat="false" ht="15" hidden="false" customHeight="false" outlineLevel="0" collapsed="false">
      <c r="A70" s="20"/>
      <c r="B70" s="20"/>
      <c r="C70" s="20"/>
    </row>
    <row r="71" customFormat="false" ht="15" hidden="false" customHeight="false" outlineLevel="0" collapsed="false">
      <c r="A71" s="20"/>
      <c r="B71" s="20"/>
      <c r="C71" s="20"/>
    </row>
    <row r="72" customFormat="false" ht="15" hidden="false" customHeight="false" outlineLevel="0" collapsed="false">
      <c r="A72" s="20"/>
      <c r="B72" s="20"/>
      <c r="C72" s="20"/>
    </row>
    <row r="73" customFormat="false" ht="15" hidden="false" customHeight="false" outlineLevel="0" collapsed="false">
      <c r="A73" s="20"/>
      <c r="B73" s="20"/>
      <c r="C73" s="20"/>
    </row>
    <row r="74" customFormat="false" ht="15" hidden="false" customHeight="false" outlineLevel="0" collapsed="false">
      <c r="A74" s="20"/>
      <c r="B74" s="20"/>
      <c r="C74" s="20"/>
    </row>
    <row r="75" customFormat="false" ht="15" hidden="false" customHeight="false" outlineLevel="0" collapsed="false">
      <c r="A75" s="20"/>
      <c r="B75" s="20"/>
      <c r="C75" s="20"/>
    </row>
    <row r="76" customFormat="false" ht="15" hidden="false" customHeight="false" outlineLevel="0" collapsed="false">
      <c r="A76" s="20"/>
      <c r="B76" s="20"/>
      <c r="C76" s="20"/>
    </row>
    <row r="77" customFormat="false" ht="15" hidden="false" customHeight="false" outlineLevel="0" collapsed="false">
      <c r="A77" s="20"/>
      <c r="B77" s="20"/>
      <c r="C77" s="20"/>
    </row>
    <row r="78" customFormat="false" ht="15" hidden="false" customHeight="false" outlineLevel="0" collapsed="false">
      <c r="A78" s="20"/>
      <c r="B78" s="20"/>
      <c r="C78" s="20"/>
    </row>
    <row r="79" customFormat="false" ht="15" hidden="false" customHeight="false" outlineLevel="0" collapsed="false">
      <c r="A79" s="20"/>
      <c r="B79" s="20"/>
      <c r="C79" s="20"/>
    </row>
    <row r="80" customFormat="false" ht="15" hidden="false" customHeight="false" outlineLevel="0" collapsed="false">
      <c r="A80" s="20"/>
      <c r="B80" s="20"/>
      <c r="C80" s="20"/>
    </row>
    <row r="81" customFormat="false" ht="15" hidden="false" customHeight="false" outlineLevel="0" collapsed="false">
      <c r="A81" s="20"/>
      <c r="B81" s="20"/>
      <c r="C81" s="20"/>
    </row>
    <row r="82" customFormat="false" ht="15" hidden="false" customHeight="false" outlineLevel="0" collapsed="false">
      <c r="A82" s="20"/>
      <c r="B82" s="20"/>
      <c r="C82" s="20"/>
    </row>
    <row r="83" customFormat="false" ht="15" hidden="false" customHeight="false" outlineLevel="0" collapsed="false">
      <c r="A83" s="20"/>
      <c r="B83" s="20"/>
      <c r="C83" s="20"/>
    </row>
    <row r="84" customFormat="false" ht="15" hidden="false" customHeight="false" outlineLevel="0" collapsed="false">
      <c r="A84" s="20"/>
      <c r="B84" s="20"/>
      <c r="C84" s="20"/>
    </row>
    <row r="85" customFormat="false" ht="15" hidden="false" customHeight="false" outlineLevel="0" collapsed="false">
      <c r="A85" s="20"/>
      <c r="B85" s="20"/>
      <c r="C85" s="20"/>
    </row>
    <row r="86" customFormat="false" ht="15" hidden="false" customHeight="false" outlineLevel="0" collapsed="false">
      <c r="A86" s="20"/>
      <c r="B86" s="20"/>
      <c r="C86" s="20"/>
    </row>
    <row r="87" customFormat="false" ht="15" hidden="false" customHeight="false" outlineLevel="0" collapsed="false">
      <c r="A87" s="20"/>
      <c r="B87" s="20"/>
      <c r="C87" s="20"/>
    </row>
    <row r="88" customFormat="false" ht="15" hidden="false" customHeight="false" outlineLevel="0" collapsed="false">
      <c r="A88" s="20"/>
      <c r="B88" s="20"/>
      <c r="C88" s="20"/>
    </row>
    <row r="89" customFormat="false" ht="15" hidden="false" customHeight="false" outlineLevel="0" collapsed="false">
      <c r="A89" s="20"/>
      <c r="B89" s="20"/>
      <c r="C89" s="20"/>
    </row>
    <row r="90" customFormat="false" ht="15" hidden="false" customHeight="false" outlineLevel="0" collapsed="false">
      <c r="A90" s="20"/>
      <c r="B90" s="20"/>
      <c r="C90" s="20"/>
    </row>
    <row r="91" customFormat="false" ht="15" hidden="false" customHeight="false" outlineLevel="0" collapsed="false">
      <c r="A91" s="20"/>
      <c r="B91" s="20"/>
      <c r="C91" s="20"/>
    </row>
    <row r="92" customFormat="false" ht="15" hidden="false" customHeight="false" outlineLevel="0" collapsed="false">
      <c r="A92" s="20"/>
      <c r="B92" s="20"/>
      <c r="C92" s="20"/>
    </row>
    <row r="93" customFormat="false" ht="15" hidden="false" customHeight="false" outlineLevel="0" collapsed="false">
      <c r="A93" s="20"/>
      <c r="B93" s="20"/>
      <c r="C93" s="20"/>
    </row>
    <row r="94" customFormat="false" ht="15" hidden="false" customHeight="false" outlineLevel="0" collapsed="false">
      <c r="A94" s="20"/>
      <c r="B94" s="20"/>
      <c r="C94" s="20"/>
    </row>
    <row r="95" customFormat="false" ht="15" hidden="false" customHeight="false" outlineLevel="0" collapsed="false">
      <c r="A95" s="20"/>
      <c r="B95" s="20"/>
      <c r="C95" s="20"/>
    </row>
    <row r="96" customFormat="false" ht="15" hidden="false" customHeight="false" outlineLevel="0" collapsed="false">
      <c r="A96" s="20"/>
      <c r="B96" s="20"/>
      <c r="C96" s="20"/>
    </row>
    <row r="97" customFormat="false" ht="15" hidden="false" customHeight="false" outlineLevel="0" collapsed="false">
      <c r="A97" s="20"/>
      <c r="B97" s="20"/>
      <c r="C97" s="20"/>
    </row>
    <row r="98" customFormat="false" ht="15" hidden="false" customHeight="false" outlineLevel="0" collapsed="false">
      <c r="A98" s="20"/>
      <c r="B98" s="20"/>
      <c r="C98" s="20"/>
    </row>
    <row r="99" customFormat="false" ht="15" hidden="false" customHeight="false" outlineLevel="0" collapsed="false">
      <c r="A99" s="20"/>
      <c r="B99" s="20"/>
      <c r="C99" s="20"/>
    </row>
    <row r="100" customFormat="false" ht="15" hidden="false" customHeight="false" outlineLevel="0" collapsed="false">
      <c r="A100" s="20"/>
      <c r="B100" s="20"/>
      <c r="C100" s="20"/>
    </row>
    <row r="101" customFormat="false" ht="15" hidden="false" customHeight="false" outlineLevel="0" collapsed="false">
      <c r="A101" s="20"/>
      <c r="B101" s="20"/>
      <c r="C101" s="20"/>
    </row>
    <row r="102" customFormat="false" ht="15" hidden="false" customHeight="false" outlineLevel="0" collapsed="false">
      <c r="A102" s="20"/>
      <c r="B102" s="20"/>
      <c r="C102" s="20"/>
    </row>
    <row r="103" customFormat="false" ht="15" hidden="false" customHeight="false" outlineLevel="0" collapsed="false">
      <c r="A103" s="20"/>
      <c r="B103" s="20"/>
      <c r="C103" s="20"/>
    </row>
    <row r="104" customFormat="false" ht="15" hidden="false" customHeight="false" outlineLevel="0" collapsed="false">
      <c r="A104" s="20"/>
      <c r="B104" s="20"/>
      <c r="C104" s="20"/>
    </row>
    <row r="105" customFormat="false" ht="15" hidden="false" customHeight="false" outlineLevel="0" collapsed="false">
      <c r="A105" s="20"/>
      <c r="B105" s="20"/>
      <c r="C105" s="20"/>
    </row>
    <row r="106" customFormat="false" ht="15" hidden="false" customHeight="false" outlineLevel="0" collapsed="false">
      <c r="A106" s="20"/>
      <c r="B106" s="20"/>
      <c r="C106" s="20"/>
    </row>
    <row r="107" customFormat="false" ht="15" hidden="false" customHeight="false" outlineLevel="0" collapsed="false">
      <c r="A107" s="20"/>
      <c r="B107" s="20"/>
      <c r="C107" s="20"/>
    </row>
    <row r="108" customFormat="false" ht="15" hidden="false" customHeight="false" outlineLevel="0" collapsed="false">
      <c r="A108" s="20"/>
      <c r="B108" s="20"/>
      <c r="C108" s="20"/>
    </row>
    <row r="109" customFormat="false" ht="15" hidden="false" customHeight="false" outlineLevel="0" collapsed="false">
      <c r="A109" s="20"/>
      <c r="B109" s="20"/>
      <c r="C109" s="20"/>
    </row>
    <row r="110" customFormat="false" ht="15" hidden="false" customHeight="false" outlineLevel="0" collapsed="false">
      <c r="A110" s="20"/>
      <c r="B110" s="20"/>
      <c r="C110" s="20"/>
    </row>
    <row r="111" customFormat="false" ht="15" hidden="false" customHeight="false" outlineLevel="0" collapsed="false">
      <c r="A111" s="20"/>
      <c r="B111" s="20"/>
      <c r="C111" s="20"/>
    </row>
    <row r="112" customFormat="false" ht="15" hidden="false" customHeight="false" outlineLevel="0" collapsed="false">
      <c r="A112" s="20"/>
      <c r="B112" s="20"/>
      <c r="C112" s="20"/>
    </row>
    <row r="113" customFormat="false" ht="15" hidden="false" customHeight="false" outlineLevel="0" collapsed="false">
      <c r="A113" s="20"/>
      <c r="B113" s="20"/>
      <c r="C113" s="20"/>
    </row>
    <row r="114" customFormat="false" ht="15" hidden="false" customHeight="false" outlineLevel="0" collapsed="false">
      <c r="A114" s="20"/>
      <c r="B114" s="20"/>
      <c r="C114" s="20"/>
    </row>
    <row r="115" customFormat="false" ht="15" hidden="false" customHeight="false" outlineLevel="0" collapsed="false">
      <c r="A115" s="20"/>
      <c r="B115" s="20"/>
      <c r="C115" s="20"/>
    </row>
    <row r="116" customFormat="false" ht="15" hidden="false" customHeight="false" outlineLevel="0" collapsed="false">
      <c r="A116" s="20"/>
      <c r="B116" s="20"/>
      <c r="C116" s="20"/>
    </row>
    <row r="117" customFormat="false" ht="15" hidden="false" customHeight="false" outlineLevel="0" collapsed="false">
      <c r="A117" s="20"/>
      <c r="B117" s="20"/>
      <c r="C117" s="20"/>
    </row>
    <row r="118" customFormat="false" ht="15" hidden="false" customHeight="false" outlineLevel="0" collapsed="false">
      <c r="A118" s="20"/>
      <c r="B118" s="20"/>
      <c r="C118" s="20"/>
    </row>
    <row r="119" customFormat="false" ht="15" hidden="false" customHeight="false" outlineLevel="0" collapsed="false">
      <c r="A119" s="20"/>
      <c r="B119" s="20"/>
      <c r="C119" s="20"/>
    </row>
    <row r="120" customFormat="false" ht="15" hidden="false" customHeight="false" outlineLevel="0" collapsed="false">
      <c r="A120" s="20"/>
      <c r="B120" s="20"/>
      <c r="C120" s="20"/>
    </row>
    <row r="121" customFormat="false" ht="15" hidden="false" customHeight="false" outlineLevel="0" collapsed="false">
      <c r="A121" s="20"/>
      <c r="B121" s="20"/>
      <c r="C121" s="20"/>
    </row>
    <row r="122" customFormat="false" ht="15" hidden="false" customHeight="false" outlineLevel="0" collapsed="false">
      <c r="A122" s="20"/>
      <c r="B122" s="20"/>
      <c r="C122" s="20"/>
    </row>
    <row r="123" customFormat="false" ht="15" hidden="false" customHeight="false" outlineLevel="0" collapsed="false">
      <c r="A123" s="20"/>
      <c r="B123" s="20"/>
      <c r="C123" s="20"/>
    </row>
    <row r="124" customFormat="false" ht="15" hidden="false" customHeight="false" outlineLevel="0" collapsed="false">
      <c r="A124" s="20"/>
      <c r="B124" s="20"/>
      <c r="C124" s="20"/>
    </row>
    <row r="125" customFormat="false" ht="15" hidden="false" customHeight="false" outlineLevel="0" collapsed="false">
      <c r="A125" s="20"/>
      <c r="B125" s="20"/>
      <c r="C125" s="20"/>
    </row>
    <row r="126" customFormat="false" ht="15" hidden="false" customHeight="false" outlineLevel="0" collapsed="false">
      <c r="A126" s="20"/>
      <c r="B126" s="20"/>
      <c r="C126" s="20"/>
    </row>
    <row r="127" customFormat="false" ht="15" hidden="false" customHeight="false" outlineLevel="0" collapsed="false">
      <c r="A127" s="20"/>
      <c r="B127" s="20"/>
      <c r="C127" s="20"/>
    </row>
    <row r="128" customFormat="false" ht="15" hidden="false" customHeight="false" outlineLevel="0" collapsed="false">
      <c r="A128" s="20"/>
      <c r="B128" s="20"/>
      <c r="C128" s="20"/>
    </row>
    <row r="129" customFormat="false" ht="15" hidden="false" customHeight="false" outlineLevel="0" collapsed="false">
      <c r="A129" s="20"/>
      <c r="B129" s="20"/>
      <c r="C129" s="20"/>
    </row>
    <row r="130" customFormat="false" ht="15" hidden="false" customHeight="false" outlineLevel="0" collapsed="false">
      <c r="A130" s="20"/>
      <c r="B130" s="20"/>
      <c r="C130" s="20"/>
    </row>
    <row r="131" customFormat="false" ht="15" hidden="false" customHeight="false" outlineLevel="0" collapsed="false">
      <c r="A131" s="20"/>
      <c r="B131" s="20"/>
      <c r="C131" s="20"/>
    </row>
    <row r="132" customFormat="false" ht="15" hidden="false" customHeight="false" outlineLevel="0" collapsed="false">
      <c r="A132" s="20"/>
      <c r="B132" s="20"/>
      <c r="C132" s="20"/>
    </row>
    <row r="133" customFormat="false" ht="15" hidden="false" customHeight="false" outlineLevel="0" collapsed="false">
      <c r="A133" s="20"/>
      <c r="B133" s="20"/>
      <c r="C133" s="20"/>
    </row>
    <row r="134" customFormat="false" ht="15" hidden="false" customHeight="false" outlineLevel="0" collapsed="false">
      <c r="A134" s="20"/>
      <c r="B134" s="20"/>
      <c r="C134" s="20"/>
    </row>
    <row r="135" customFormat="false" ht="15" hidden="false" customHeight="false" outlineLevel="0" collapsed="false">
      <c r="A135" s="20"/>
      <c r="B135" s="20"/>
      <c r="C135" s="20"/>
    </row>
    <row r="136" customFormat="false" ht="15" hidden="false" customHeight="false" outlineLevel="0" collapsed="false">
      <c r="A136" s="20"/>
      <c r="B136" s="20"/>
      <c r="C136" s="20"/>
    </row>
    <row r="137" customFormat="false" ht="15" hidden="false" customHeight="false" outlineLevel="0" collapsed="false">
      <c r="A137" s="20"/>
      <c r="B137" s="20"/>
      <c r="C137" s="20"/>
    </row>
    <row r="138" customFormat="false" ht="15" hidden="false" customHeight="false" outlineLevel="0" collapsed="false">
      <c r="A138" s="20"/>
      <c r="B138" s="20"/>
      <c r="C138" s="20"/>
    </row>
    <row r="139" customFormat="false" ht="15" hidden="false" customHeight="false" outlineLevel="0" collapsed="false">
      <c r="A139" s="20"/>
      <c r="B139" s="20"/>
      <c r="C139" s="20"/>
    </row>
    <row r="140" customFormat="false" ht="15" hidden="false" customHeight="false" outlineLevel="0" collapsed="false">
      <c r="A140" s="20"/>
      <c r="B140" s="20"/>
      <c r="C140" s="20"/>
    </row>
    <row r="141" customFormat="false" ht="15" hidden="false" customHeight="false" outlineLevel="0" collapsed="false">
      <c r="A141" s="20"/>
      <c r="B141" s="20"/>
      <c r="C141" s="20"/>
    </row>
    <row r="142" customFormat="false" ht="15" hidden="false" customHeight="false" outlineLevel="0" collapsed="false">
      <c r="A142" s="20"/>
      <c r="B142" s="20"/>
      <c r="C142" s="20"/>
    </row>
    <row r="143" customFormat="false" ht="15" hidden="false" customHeight="false" outlineLevel="0" collapsed="false">
      <c r="A143" s="20"/>
      <c r="B143" s="20"/>
      <c r="C143" s="20"/>
    </row>
    <row r="144" customFormat="false" ht="15" hidden="false" customHeight="false" outlineLevel="0" collapsed="false">
      <c r="A144" s="20"/>
      <c r="B144" s="20"/>
      <c r="C144" s="20"/>
    </row>
    <row r="145" customFormat="false" ht="15" hidden="false" customHeight="false" outlineLevel="0" collapsed="false">
      <c r="A145" s="20"/>
      <c r="B145" s="20"/>
      <c r="C145" s="20"/>
    </row>
    <row r="146" customFormat="false" ht="15" hidden="false" customHeight="false" outlineLevel="0" collapsed="false">
      <c r="A146" s="20"/>
      <c r="B146" s="20"/>
      <c r="C146" s="20"/>
    </row>
    <row r="147" customFormat="false" ht="15" hidden="false" customHeight="false" outlineLevel="0" collapsed="false">
      <c r="A147" s="20"/>
      <c r="B147" s="20"/>
      <c r="C147" s="20"/>
    </row>
    <row r="148" customFormat="false" ht="15" hidden="false" customHeight="false" outlineLevel="0" collapsed="false">
      <c r="A148" s="20"/>
      <c r="B148" s="20"/>
      <c r="C148" s="20"/>
    </row>
    <row r="149" customFormat="false" ht="15" hidden="false" customHeight="false" outlineLevel="0" collapsed="false">
      <c r="A149" s="20"/>
      <c r="B149" s="20"/>
      <c r="C149" s="20"/>
    </row>
    <row r="150" customFormat="false" ht="15" hidden="false" customHeight="false" outlineLevel="0" collapsed="false">
      <c r="A150" s="20"/>
      <c r="B150" s="20"/>
      <c r="C150" s="20"/>
    </row>
    <row r="151" customFormat="false" ht="15" hidden="false" customHeight="false" outlineLevel="0" collapsed="false">
      <c r="A151" s="20"/>
      <c r="B151" s="20"/>
      <c r="C151" s="20"/>
    </row>
    <row r="152" customFormat="false" ht="15" hidden="false" customHeight="false" outlineLevel="0" collapsed="false">
      <c r="A152" s="20"/>
      <c r="B152" s="20"/>
      <c r="C152" s="20"/>
    </row>
    <row r="153" customFormat="false" ht="15" hidden="false" customHeight="false" outlineLevel="0" collapsed="false">
      <c r="A153" s="20"/>
      <c r="B153" s="20"/>
      <c r="C153" s="20"/>
    </row>
    <row r="154" customFormat="false" ht="15" hidden="false" customHeight="false" outlineLevel="0" collapsed="false">
      <c r="A154" s="20"/>
      <c r="B154" s="20"/>
      <c r="C154" s="20"/>
    </row>
    <row r="155" customFormat="false" ht="15" hidden="false" customHeight="false" outlineLevel="0" collapsed="false">
      <c r="A155" s="20"/>
      <c r="B155" s="20"/>
      <c r="C155" s="20"/>
    </row>
    <row r="156" customFormat="false" ht="15" hidden="false" customHeight="false" outlineLevel="0" collapsed="false">
      <c r="A156" s="20"/>
      <c r="B156" s="20"/>
      <c r="C156" s="20"/>
    </row>
    <row r="157" customFormat="false" ht="15" hidden="false" customHeight="false" outlineLevel="0" collapsed="false">
      <c r="A157" s="20"/>
      <c r="B157" s="20"/>
      <c r="C157" s="20"/>
    </row>
    <row r="158" customFormat="false" ht="15" hidden="false" customHeight="false" outlineLevel="0" collapsed="false">
      <c r="A158" s="20"/>
      <c r="B158" s="20"/>
      <c r="C158" s="20"/>
    </row>
    <row r="159" customFormat="false" ht="15" hidden="false" customHeight="false" outlineLevel="0" collapsed="false">
      <c r="A159" s="20"/>
      <c r="B159" s="20"/>
      <c r="C159" s="20"/>
    </row>
    <row r="160" customFormat="false" ht="15" hidden="false" customHeight="false" outlineLevel="0" collapsed="false">
      <c r="A160" s="20"/>
      <c r="B160" s="20"/>
      <c r="C160" s="20"/>
    </row>
    <row r="161" customFormat="false" ht="15" hidden="false" customHeight="false" outlineLevel="0" collapsed="false">
      <c r="A161" s="20"/>
      <c r="B161" s="20"/>
      <c r="C161" s="20"/>
    </row>
    <row r="162" customFormat="false" ht="15" hidden="false" customHeight="false" outlineLevel="0" collapsed="false">
      <c r="A162" s="20"/>
      <c r="B162" s="20"/>
      <c r="C162" s="20"/>
    </row>
    <row r="163" customFormat="false" ht="15" hidden="false" customHeight="false" outlineLevel="0" collapsed="false">
      <c r="A163" s="20"/>
      <c r="B163" s="20"/>
      <c r="C163" s="20"/>
    </row>
    <row r="164" customFormat="false" ht="15" hidden="false" customHeight="false" outlineLevel="0" collapsed="false">
      <c r="A164" s="20"/>
      <c r="B164" s="20"/>
      <c r="C164" s="20"/>
    </row>
    <row r="165" customFormat="false" ht="15" hidden="false" customHeight="false" outlineLevel="0" collapsed="false">
      <c r="A165" s="20"/>
      <c r="B165" s="20"/>
      <c r="C165" s="20"/>
    </row>
    <row r="166" customFormat="false" ht="15" hidden="false" customHeight="false" outlineLevel="0" collapsed="false">
      <c r="A166" s="20"/>
      <c r="B166" s="20"/>
      <c r="C166" s="20"/>
    </row>
    <row r="167" customFormat="false" ht="15" hidden="false" customHeight="false" outlineLevel="0" collapsed="false">
      <c r="A167" s="20"/>
      <c r="B167" s="20"/>
      <c r="C167" s="20"/>
    </row>
    <row r="168" customFormat="false" ht="15" hidden="false" customHeight="false" outlineLevel="0" collapsed="false">
      <c r="A168" s="20"/>
      <c r="B168" s="20"/>
      <c r="C168" s="20"/>
    </row>
    <row r="169" customFormat="false" ht="15" hidden="false" customHeight="false" outlineLevel="0" collapsed="false">
      <c r="A169" s="20"/>
      <c r="B169" s="20"/>
      <c r="C169" s="20"/>
    </row>
    <row r="170" customFormat="false" ht="15" hidden="false" customHeight="false" outlineLevel="0" collapsed="false">
      <c r="A170" s="20"/>
      <c r="B170" s="20"/>
      <c r="C170" s="20"/>
    </row>
    <row r="171" customFormat="false" ht="15" hidden="false" customHeight="false" outlineLevel="0" collapsed="false">
      <c r="A171" s="20"/>
      <c r="B171" s="20"/>
      <c r="C171" s="20"/>
    </row>
    <row r="172" customFormat="false" ht="15" hidden="false" customHeight="false" outlineLevel="0" collapsed="false">
      <c r="A172" s="20"/>
      <c r="B172" s="20"/>
      <c r="C172" s="20"/>
    </row>
    <row r="173" customFormat="false" ht="15" hidden="false" customHeight="false" outlineLevel="0" collapsed="false">
      <c r="A173" s="20"/>
      <c r="B173" s="20"/>
      <c r="C173" s="20"/>
    </row>
    <row r="174" customFormat="false" ht="15" hidden="false" customHeight="false" outlineLevel="0" collapsed="false">
      <c r="A174" s="20"/>
      <c r="B174" s="20"/>
      <c r="C174" s="20"/>
    </row>
    <row r="175" customFormat="false" ht="15" hidden="false" customHeight="false" outlineLevel="0" collapsed="false">
      <c r="A175" s="20"/>
      <c r="B175" s="20"/>
      <c r="C175" s="20"/>
    </row>
    <row r="176" customFormat="false" ht="15" hidden="false" customHeight="false" outlineLevel="0" collapsed="false">
      <c r="A176" s="20"/>
      <c r="B176" s="20"/>
      <c r="C176" s="20"/>
    </row>
    <row r="177" customFormat="false" ht="15" hidden="false" customHeight="false" outlineLevel="0" collapsed="false">
      <c r="A177" s="20"/>
      <c r="B177" s="20"/>
      <c r="C177" s="20"/>
    </row>
    <row r="178" customFormat="false" ht="15" hidden="false" customHeight="false" outlineLevel="0" collapsed="false">
      <c r="A178" s="20"/>
      <c r="B178" s="20"/>
      <c r="C178" s="20"/>
    </row>
    <row r="179" customFormat="false" ht="15" hidden="false" customHeight="false" outlineLevel="0" collapsed="false">
      <c r="A179" s="20"/>
      <c r="B179" s="20"/>
      <c r="C179" s="20"/>
    </row>
    <row r="180" customFormat="false" ht="15" hidden="false" customHeight="false" outlineLevel="0" collapsed="false">
      <c r="A180" s="20"/>
      <c r="B180" s="20"/>
      <c r="C180" s="20"/>
    </row>
    <row r="181" customFormat="false" ht="15" hidden="false" customHeight="false" outlineLevel="0" collapsed="false">
      <c r="A181" s="20"/>
      <c r="B181" s="20"/>
      <c r="C181" s="20"/>
    </row>
    <row r="182" customFormat="false" ht="15" hidden="false" customHeight="false" outlineLevel="0" collapsed="false">
      <c r="A182" s="20"/>
      <c r="B182" s="20"/>
      <c r="C182" s="20"/>
    </row>
    <row r="183" customFormat="false" ht="15" hidden="false" customHeight="false" outlineLevel="0" collapsed="false">
      <c r="A183" s="20"/>
      <c r="B183" s="20"/>
      <c r="C183" s="20"/>
    </row>
    <row r="184" customFormat="false" ht="15" hidden="false" customHeight="false" outlineLevel="0" collapsed="false">
      <c r="A184" s="20"/>
      <c r="B184" s="20"/>
      <c r="C184" s="20"/>
    </row>
    <row r="185" customFormat="false" ht="15" hidden="false" customHeight="false" outlineLevel="0" collapsed="false">
      <c r="A185" s="20"/>
      <c r="B185" s="20"/>
      <c r="C185" s="20"/>
    </row>
    <row r="186" customFormat="false" ht="15" hidden="false" customHeight="false" outlineLevel="0" collapsed="false">
      <c r="A186" s="20"/>
      <c r="B186" s="20"/>
      <c r="C186" s="20"/>
    </row>
    <row r="187" customFormat="false" ht="15" hidden="false" customHeight="false" outlineLevel="0" collapsed="false">
      <c r="A187" s="20"/>
      <c r="B187" s="20"/>
      <c r="C187" s="20"/>
    </row>
    <row r="188" customFormat="false" ht="15" hidden="false" customHeight="false" outlineLevel="0" collapsed="false">
      <c r="A188" s="20"/>
      <c r="B188" s="20"/>
      <c r="C188" s="20"/>
    </row>
    <row r="189" customFormat="false" ht="15" hidden="false" customHeight="false" outlineLevel="0" collapsed="false">
      <c r="A189" s="20"/>
      <c r="B189" s="20"/>
      <c r="C189" s="20"/>
    </row>
    <row r="190" customFormat="false" ht="15" hidden="false" customHeight="false" outlineLevel="0" collapsed="false">
      <c r="A190" s="20"/>
      <c r="B190" s="20"/>
      <c r="C190" s="20"/>
    </row>
    <row r="191" customFormat="false" ht="15" hidden="false" customHeight="false" outlineLevel="0" collapsed="false">
      <c r="A191" s="20"/>
      <c r="B191" s="20"/>
      <c r="C191" s="20"/>
    </row>
    <row r="192" customFormat="false" ht="15" hidden="false" customHeight="false" outlineLevel="0" collapsed="false">
      <c r="A192" s="20"/>
      <c r="B192" s="20"/>
      <c r="C192" s="20"/>
    </row>
    <row r="193" customFormat="false" ht="15" hidden="false" customHeight="false" outlineLevel="0" collapsed="false">
      <c r="A193" s="20"/>
      <c r="B193" s="20"/>
      <c r="C193" s="20"/>
    </row>
    <row r="194" customFormat="false" ht="15" hidden="false" customHeight="false" outlineLevel="0" collapsed="false">
      <c r="A194" s="20"/>
      <c r="B194" s="20"/>
      <c r="C194" s="20"/>
    </row>
    <row r="195" customFormat="false" ht="15" hidden="false" customHeight="false" outlineLevel="0" collapsed="false">
      <c r="A195" s="20"/>
      <c r="B195" s="20"/>
      <c r="C195" s="20"/>
    </row>
    <row r="196" customFormat="false" ht="15" hidden="false" customHeight="false" outlineLevel="0" collapsed="false">
      <c r="A196" s="20"/>
      <c r="B196" s="20"/>
      <c r="C196" s="20"/>
    </row>
    <row r="197" customFormat="false" ht="15" hidden="false" customHeight="false" outlineLevel="0" collapsed="false">
      <c r="A197" s="20"/>
      <c r="B197" s="20"/>
      <c r="C197" s="20"/>
    </row>
    <row r="198" customFormat="false" ht="15" hidden="false" customHeight="false" outlineLevel="0" collapsed="false">
      <c r="A198" s="20"/>
      <c r="B198" s="20"/>
      <c r="C198" s="20"/>
    </row>
    <row r="199" customFormat="false" ht="15" hidden="false" customHeight="false" outlineLevel="0" collapsed="false">
      <c r="A199" s="20"/>
      <c r="B199" s="20"/>
      <c r="C199" s="20"/>
    </row>
    <row r="200" customFormat="false" ht="15" hidden="false" customHeight="false" outlineLevel="0" collapsed="false">
      <c r="A200" s="20"/>
      <c r="B200" s="20"/>
      <c r="C200" s="20"/>
    </row>
    <row r="201" customFormat="false" ht="15" hidden="false" customHeight="false" outlineLevel="0" collapsed="false">
      <c r="A201" s="20"/>
      <c r="B201" s="20"/>
      <c r="C201" s="20"/>
    </row>
    <row r="202" customFormat="false" ht="15" hidden="false" customHeight="false" outlineLevel="0" collapsed="false">
      <c r="A202" s="20"/>
      <c r="B202" s="20"/>
      <c r="C202" s="20"/>
    </row>
    <row r="203" customFormat="false" ht="15" hidden="false" customHeight="false" outlineLevel="0" collapsed="false">
      <c r="A203" s="20"/>
      <c r="B203" s="20"/>
      <c r="C203" s="20"/>
    </row>
    <row r="204" customFormat="false" ht="15" hidden="false" customHeight="false" outlineLevel="0" collapsed="false">
      <c r="A204" s="20"/>
      <c r="B204" s="20"/>
      <c r="C204" s="20"/>
    </row>
    <row r="205" customFormat="false" ht="15" hidden="false" customHeight="false" outlineLevel="0" collapsed="false">
      <c r="A205" s="20"/>
      <c r="B205" s="20"/>
      <c r="C205" s="20"/>
    </row>
    <row r="206" customFormat="false" ht="15" hidden="false" customHeight="false" outlineLevel="0" collapsed="false">
      <c r="A206" s="20"/>
      <c r="B206" s="20"/>
      <c r="C206" s="20"/>
    </row>
    <row r="207" customFormat="false" ht="15" hidden="false" customHeight="false" outlineLevel="0" collapsed="false">
      <c r="A207" s="20"/>
      <c r="B207" s="20"/>
      <c r="C207" s="20"/>
    </row>
    <row r="208" customFormat="false" ht="15" hidden="false" customHeight="false" outlineLevel="0" collapsed="false">
      <c r="A208" s="20"/>
      <c r="B208" s="20"/>
      <c r="C208" s="20"/>
    </row>
    <row r="209" customFormat="false" ht="15" hidden="false" customHeight="false" outlineLevel="0" collapsed="false">
      <c r="A209" s="20"/>
      <c r="B209" s="20"/>
      <c r="C209" s="20"/>
    </row>
    <row r="210" customFormat="false" ht="15" hidden="false" customHeight="false" outlineLevel="0" collapsed="false">
      <c r="A210" s="20"/>
      <c r="B210" s="20"/>
      <c r="C210" s="20"/>
    </row>
    <row r="211" customFormat="false" ht="15" hidden="false" customHeight="false" outlineLevel="0" collapsed="false">
      <c r="A211" s="20"/>
      <c r="B211" s="20"/>
      <c r="C211" s="20"/>
    </row>
    <row r="212" customFormat="false" ht="15" hidden="false" customHeight="false" outlineLevel="0" collapsed="false">
      <c r="A212" s="20"/>
      <c r="B212" s="20"/>
      <c r="C212" s="20"/>
    </row>
    <row r="213" customFormat="false" ht="15" hidden="false" customHeight="false" outlineLevel="0" collapsed="false">
      <c r="A213" s="20"/>
      <c r="B213" s="20"/>
      <c r="C213" s="20"/>
    </row>
    <row r="214" customFormat="false" ht="15" hidden="false" customHeight="false" outlineLevel="0" collapsed="false">
      <c r="A214" s="20"/>
      <c r="B214" s="20"/>
      <c r="C214" s="20"/>
    </row>
    <row r="215" customFormat="false" ht="15" hidden="false" customHeight="false" outlineLevel="0" collapsed="false">
      <c r="A215" s="20"/>
      <c r="B215" s="20"/>
      <c r="C215" s="20"/>
    </row>
    <row r="216" customFormat="false" ht="15" hidden="false" customHeight="false" outlineLevel="0" collapsed="false">
      <c r="A216" s="20"/>
      <c r="B216" s="20"/>
      <c r="C216" s="20"/>
    </row>
    <row r="217" customFormat="false" ht="15" hidden="false" customHeight="false" outlineLevel="0" collapsed="false">
      <c r="A217" s="20"/>
      <c r="B217" s="20"/>
      <c r="C217" s="20"/>
    </row>
    <row r="218" customFormat="false" ht="15" hidden="false" customHeight="false" outlineLevel="0" collapsed="false">
      <c r="A218" s="20"/>
      <c r="B218" s="20"/>
      <c r="C218" s="20"/>
    </row>
    <row r="219" customFormat="false" ht="15" hidden="false" customHeight="false" outlineLevel="0" collapsed="false">
      <c r="A219" s="20"/>
      <c r="B219" s="20"/>
      <c r="C219" s="20"/>
    </row>
    <row r="220" customFormat="false" ht="15" hidden="false" customHeight="false" outlineLevel="0" collapsed="false">
      <c r="A220" s="20"/>
      <c r="B220" s="20"/>
      <c r="C220" s="20"/>
    </row>
    <row r="221" customFormat="false" ht="15" hidden="false" customHeight="false" outlineLevel="0" collapsed="false">
      <c r="A221" s="20"/>
      <c r="B221" s="20"/>
      <c r="C221" s="20"/>
    </row>
    <row r="222" customFormat="false" ht="15" hidden="false" customHeight="false" outlineLevel="0" collapsed="false">
      <c r="A222" s="20"/>
      <c r="B222" s="20"/>
      <c r="C222" s="20"/>
    </row>
    <row r="223" customFormat="false" ht="15" hidden="false" customHeight="false" outlineLevel="0" collapsed="false">
      <c r="A223" s="20"/>
      <c r="B223" s="20"/>
      <c r="C223" s="20"/>
    </row>
    <row r="224" customFormat="false" ht="15" hidden="false" customHeight="false" outlineLevel="0" collapsed="false">
      <c r="A224" s="20"/>
      <c r="B224" s="20"/>
      <c r="C224" s="20"/>
    </row>
    <row r="225" customFormat="false" ht="15" hidden="false" customHeight="false" outlineLevel="0" collapsed="false">
      <c r="A225" s="20"/>
      <c r="B225" s="20"/>
      <c r="C225" s="20"/>
    </row>
    <row r="226" customFormat="false" ht="15" hidden="false" customHeight="false" outlineLevel="0" collapsed="false">
      <c r="A226" s="20"/>
      <c r="B226" s="20"/>
      <c r="C226" s="20"/>
    </row>
    <row r="227" customFormat="false" ht="15" hidden="false" customHeight="false" outlineLevel="0" collapsed="false">
      <c r="A227" s="20"/>
      <c r="B227" s="20"/>
      <c r="C227" s="20"/>
    </row>
    <row r="228" customFormat="false" ht="15" hidden="false" customHeight="false" outlineLevel="0" collapsed="false">
      <c r="A228" s="20"/>
      <c r="B228" s="20"/>
      <c r="C228" s="20"/>
    </row>
    <row r="229" customFormat="false" ht="15" hidden="false" customHeight="false" outlineLevel="0" collapsed="false">
      <c r="A229" s="20"/>
      <c r="B229" s="20"/>
      <c r="C229" s="20"/>
    </row>
    <row r="230" customFormat="false" ht="15" hidden="false" customHeight="false" outlineLevel="0" collapsed="false">
      <c r="A230" s="20"/>
      <c r="B230" s="20"/>
      <c r="C230" s="20"/>
    </row>
    <row r="231" customFormat="false" ht="15" hidden="false" customHeight="false" outlineLevel="0" collapsed="false">
      <c r="A231" s="20"/>
      <c r="B231" s="20"/>
      <c r="C231" s="20"/>
    </row>
    <row r="232" customFormat="false" ht="15" hidden="false" customHeight="false" outlineLevel="0" collapsed="false">
      <c r="A232" s="20"/>
      <c r="B232" s="20"/>
      <c r="C232" s="20"/>
    </row>
    <row r="233" customFormat="false" ht="15" hidden="false" customHeight="false" outlineLevel="0" collapsed="false">
      <c r="A233" s="20"/>
      <c r="B233" s="20"/>
      <c r="C233" s="20"/>
    </row>
    <row r="234" customFormat="false" ht="15" hidden="false" customHeight="false" outlineLevel="0" collapsed="false">
      <c r="A234" s="20"/>
      <c r="B234" s="20"/>
      <c r="C234" s="20"/>
    </row>
    <row r="235" customFormat="false" ht="15" hidden="false" customHeight="false" outlineLevel="0" collapsed="false">
      <c r="A235" s="20"/>
      <c r="B235" s="20"/>
      <c r="C235" s="20"/>
    </row>
    <row r="236" customFormat="false" ht="15" hidden="false" customHeight="false" outlineLevel="0" collapsed="false">
      <c r="A236" s="20"/>
      <c r="B236" s="20"/>
      <c r="C236" s="20"/>
    </row>
    <row r="237" customFormat="false" ht="15" hidden="false" customHeight="false" outlineLevel="0" collapsed="false">
      <c r="A237" s="20"/>
      <c r="B237" s="20"/>
      <c r="C237" s="20"/>
    </row>
    <row r="238" customFormat="false" ht="15" hidden="false" customHeight="false" outlineLevel="0" collapsed="false">
      <c r="A238" s="20"/>
      <c r="B238" s="20"/>
      <c r="C238" s="20"/>
    </row>
    <row r="239" customFormat="false" ht="15" hidden="false" customHeight="false" outlineLevel="0" collapsed="false">
      <c r="A239" s="20"/>
      <c r="B239" s="20"/>
      <c r="C239" s="20"/>
    </row>
    <row r="240" customFormat="false" ht="15" hidden="false" customHeight="false" outlineLevel="0" collapsed="false">
      <c r="A240" s="20"/>
      <c r="B240" s="20"/>
      <c r="C240" s="20"/>
    </row>
    <row r="241" customFormat="false" ht="15" hidden="false" customHeight="false" outlineLevel="0" collapsed="false">
      <c r="A241" s="20"/>
      <c r="B241" s="20"/>
      <c r="C241" s="20"/>
    </row>
    <row r="242" customFormat="false" ht="15" hidden="false" customHeight="false" outlineLevel="0" collapsed="false">
      <c r="A242" s="20"/>
      <c r="B242" s="20"/>
      <c r="C242" s="20"/>
    </row>
    <row r="243" customFormat="false" ht="15" hidden="false" customHeight="false" outlineLevel="0" collapsed="false">
      <c r="A243" s="20"/>
      <c r="B243" s="20"/>
      <c r="C243" s="20"/>
    </row>
    <row r="244" customFormat="false" ht="15" hidden="false" customHeight="false" outlineLevel="0" collapsed="false">
      <c r="A244" s="20"/>
      <c r="B244" s="20"/>
      <c r="C244" s="20"/>
    </row>
    <row r="245" customFormat="false" ht="15" hidden="false" customHeight="false" outlineLevel="0" collapsed="false">
      <c r="A245" s="20"/>
      <c r="B245" s="20"/>
      <c r="C245" s="20"/>
    </row>
    <row r="246" customFormat="false" ht="15" hidden="false" customHeight="false" outlineLevel="0" collapsed="false">
      <c r="A246" s="20"/>
      <c r="B246" s="20"/>
      <c r="C246" s="20"/>
    </row>
    <row r="247" customFormat="false" ht="15" hidden="false" customHeight="false" outlineLevel="0" collapsed="false">
      <c r="A247" s="20"/>
      <c r="B247" s="20"/>
      <c r="C247" s="20"/>
    </row>
    <row r="248" customFormat="false" ht="15" hidden="false" customHeight="false" outlineLevel="0" collapsed="false">
      <c r="A248" s="20"/>
      <c r="B248" s="20"/>
      <c r="C248" s="20"/>
    </row>
    <row r="249" customFormat="false" ht="15" hidden="false" customHeight="false" outlineLevel="0" collapsed="false">
      <c r="A249" s="20"/>
      <c r="B249" s="20"/>
      <c r="C249" s="20"/>
    </row>
    <row r="250" customFormat="false" ht="15" hidden="false" customHeight="false" outlineLevel="0" collapsed="false">
      <c r="A250" s="20"/>
      <c r="B250" s="20"/>
      <c r="C250" s="20"/>
    </row>
    <row r="251" customFormat="false" ht="15" hidden="false" customHeight="false" outlineLevel="0" collapsed="false">
      <c r="A251" s="20"/>
      <c r="B251" s="20"/>
      <c r="C251" s="20"/>
    </row>
    <row r="252" customFormat="false" ht="15" hidden="false" customHeight="false" outlineLevel="0" collapsed="false">
      <c r="A252" s="20"/>
      <c r="B252" s="20"/>
      <c r="C252" s="20"/>
    </row>
    <row r="253" customFormat="false" ht="15" hidden="false" customHeight="false" outlineLevel="0" collapsed="false">
      <c r="A253" s="20"/>
      <c r="B253" s="20"/>
      <c r="C253" s="20"/>
    </row>
    <row r="254" customFormat="false" ht="15" hidden="false" customHeight="false" outlineLevel="0" collapsed="false">
      <c r="A254" s="20"/>
      <c r="B254" s="20"/>
      <c r="C254" s="20"/>
    </row>
    <row r="255" customFormat="false" ht="15" hidden="false" customHeight="false" outlineLevel="0" collapsed="false">
      <c r="A255" s="20"/>
      <c r="B255" s="20"/>
      <c r="C255" s="20"/>
    </row>
    <row r="256" customFormat="false" ht="15" hidden="false" customHeight="false" outlineLevel="0" collapsed="false">
      <c r="A256" s="20"/>
      <c r="B256" s="20"/>
      <c r="C256" s="20"/>
    </row>
    <row r="257" customFormat="false" ht="15" hidden="false" customHeight="false" outlineLevel="0" collapsed="false">
      <c r="A257" s="20"/>
      <c r="B257" s="20"/>
      <c r="C257" s="20"/>
    </row>
    <row r="258" customFormat="false" ht="15" hidden="false" customHeight="false" outlineLevel="0" collapsed="false">
      <c r="A258" s="20"/>
      <c r="B258" s="20"/>
      <c r="C258" s="20"/>
    </row>
    <row r="259" customFormat="false" ht="15" hidden="false" customHeight="false" outlineLevel="0" collapsed="false">
      <c r="A259" s="20"/>
      <c r="B259" s="20"/>
      <c r="C259" s="20"/>
    </row>
    <row r="260" customFormat="false" ht="15" hidden="false" customHeight="false" outlineLevel="0" collapsed="false">
      <c r="A260" s="20"/>
      <c r="B260" s="20"/>
      <c r="C260" s="20"/>
    </row>
    <row r="261" customFormat="false" ht="15" hidden="false" customHeight="false" outlineLevel="0" collapsed="false">
      <c r="A261" s="20"/>
      <c r="B261" s="20"/>
      <c r="C261" s="20"/>
    </row>
    <row r="262" customFormat="false" ht="15" hidden="false" customHeight="false" outlineLevel="0" collapsed="false">
      <c r="A262" s="20"/>
      <c r="B262" s="20"/>
      <c r="C262" s="20"/>
    </row>
    <row r="263" customFormat="false" ht="15" hidden="false" customHeight="false" outlineLevel="0" collapsed="false">
      <c r="A263" s="20"/>
      <c r="B263" s="20"/>
      <c r="C263" s="20"/>
    </row>
    <row r="264" customFormat="false" ht="15" hidden="false" customHeight="false" outlineLevel="0" collapsed="false">
      <c r="A264" s="20"/>
      <c r="B264" s="20"/>
      <c r="C264" s="20"/>
    </row>
    <row r="265" customFormat="false" ht="15" hidden="false" customHeight="false" outlineLevel="0" collapsed="false">
      <c r="A265" s="20"/>
      <c r="B265" s="20"/>
      <c r="C265" s="20"/>
    </row>
    <row r="266" customFormat="false" ht="15" hidden="false" customHeight="false" outlineLevel="0" collapsed="false">
      <c r="A266" s="20"/>
      <c r="B266" s="20"/>
      <c r="C266" s="20"/>
    </row>
    <row r="267" customFormat="false" ht="15" hidden="false" customHeight="false" outlineLevel="0" collapsed="false">
      <c r="A267" s="20"/>
      <c r="B267" s="20"/>
      <c r="C267" s="20"/>
    </row>
    <row r="268" customFormat="false" ht="15" hidden="false" customHeight="false" outlineLevel="0" collapsed="false">
      <c r="A268" s="20"/>
      <c r="B268" s="20"/>
      <c r="C268" s="20"/>
    </row>
    <row r="269" customFormat="false" ht="15" hidden="false" customHeight="false" outlineLevel="0" collapsed="false">
      <c r="A269" s="20"/>
      <c r="B269" s="20"/>
      <c r="C269" s="20"/>
    </row>
    <row r="270" customFormat="false" ht="15" hidden="false" customHeight="false" outlineLevel="0" collapsed="false">
      <c r="A270" s="20"/>
      <c r="B270" s="20"/>
      <c r="C270" s="20"/>
    </row>
    <row r="271" customFormat="false" ht="15" hidden="false" customHeight="false" outlineLevel="0" collapsed="false">
      <c r="A271" s="20"/>
      <c r="B271" s="20"/>
      <c r="C271" s="20"/>
    </row>
    <row r="272" customFormat="false" ht="15" hidden="false" customHeight="false" outlineLevel="0" collapsed="false">
      <c r="A272" s="20"/>
      <c r="B272" s="20"/>
      <c r="C272" s="20"/>
    </row>
    <row r="273" customFormat="false" ht="15" hidden="false" customHeight="false" outlineLevel="0" collapsed="false">
      <c r="A273" s="20"/>
      <c r="B273" s="20"/>
      <c r="C273" s="20"/>
    </row>
    <row r="274" customFormat="false" ht="15" hidden="false" customHeight="false" outlineLevel="0" collapsed="false">
      <c r="A274" s="20"/>
      <c r="B274" s="20"/>
      <c r="C274" s="20"/>
    </row>
    <row r="275" customFormat="false" ht="15" hidden="false" customHeight="false" outlineLevel="0" collapsed="false">
      <c r="A275" s="20"/>
      <c r="B275" s="20"/>
      <c r="C275" s="20"/>
    </row>
    <row r="276" customFormat="false" ht="15" hidden="false" customHeight="false" outlineLevel="0" collapsed="false">
      <c r="A276" s="20"/>
      <c r="B276" s="20"/>
      <c r="C276" s="20"/>
    </row>
    <row r="277" customFormat="false" ht="15" hidden="false" customHeight="false" outlineLevel="0" collapsed="false">
      <c r="A277" s="20"/>
      <c r="B277" s="20"/>
      <c r="C277" s="20"/>
    </row>
    <row r="278" customFormat="false" ht="15" hidden="false" customHeight="false" outlineLevel="0" collapsed="false">
      <c r="A278" s="20"/>
      <c r="B278" s="20"/>
      <c r="C278" s="20"/>
    </row>
    <row r="279" customFormat="false" ht="15" hidden="false" customHeight="false" outlineLevel="0" collapsed="false">
      <c r="A279" s="20"/>
      <c r="B279" s="20"/>
      <c r="C279" s="20"/>
    </row>
    <row r="280" customFormat="false" ht="15" hidden="false" customHeight="false" outlineLevel="0" collapsed="false">
      <c r="A280" s="20"/>
      <c r="B280" s="20"/>
      <c r="C280" s="20"/>
    </row>
    <row r="281" customFormat="false" ht="15" hidden="false" customHeight="false" outlineLevel="0" collapsed="false">
      <c r="A281" s="20"/>
      <c r="B281" s="20"/>
      <c r="C281" s="20"/>
    </row>
    <row r="282" customFormat="false" ht="15" hidden="false" customHeight="false" outlineLevel="0" collapsed="false">
      <c r="A282" s="20"/>
      <c r="B282" s="20"/>
      <c r="C282" s="20"/>
    </row>
    <row r="283" customFormat="false" ht="15" hidden="false" customHeight="false" outlineLevel="0" collapsed="false">
      <c r="A283" s="20"/>
      <c r="B283" s="20"/>
      <c r="C283" s="20"/>
    </row>
    <row r="284" customFormat="false" ht="15" hidden="false" customHeight="false" outlineLevel="0" collapsed="false">
      <c r="A284" s="20"/>
      <c r="B284" s="20"/>
      <c r="C284" s="20"/>
    </row>
    <row r="285" customFormat="false" ht="15" hidden="false" customHeight="false" outlineLevel="0" collapsed="false">
      <c r="A285" s="20"/>
      <c r="B285" s="20"/>
      <c r="C285" s="20"/>
    </row>
    <row r="286" customFormat="false" ht="15" hidden="false" customHeight="false" outlineLevel="0" collapsed="false">
      <c r="A286" s="20"/>
      <c r="B286" s="20"/>
      <c r="C286" s="20"/>
    </row>
    <row r="287" customFormat="false" ht="15" hidden="false" customHeight="false" outlineLevel="0" collapsed="false">
      <c r="A287" s="20"/>
      <c r="B287" s="20"/>
      <c r="C287" s="20"/>
    </row>
    <row r="288" customFormat="false" ht="15" hidden="false" customHeight="false" outlineLevel="0" collapsed="false">
      <c r="A288" s="20"/>
      <c r="B288" s="20"/>
      <c r="C288" s="20"/>
    </row>
    <row r="289" customFormat="false" ht="15" hidden="false" customHeight="false" outlineLevel="0" collapsed="false">
      <c r="A289" s="20"/>
      <c r="B289" s="20"/>
      <c r="C289" s="20"/>
    </row>
    <row r="290" customFormat="false" ht="15" hidden="false" customHeight="false" outlineLevel="0" collapsed="false">
      <c r="A290" s="20"/>
      <c r="B290" s="20"/>
      <c r="C290" s="20"/>
    </row>
    <row r="291" customFormat="false" ht="15" hidden="false" customHeight="false" outlineLevel="0" collapsed="false">
      <c r="A291" s="20"/>
      <c r="B291" s="20"/>
      <c r="C291" s="20"/>
    </row>
    <row r="292" customFormat="false" ht="15" hidden="false" customHeight="false" outlineLevel="0" collapsed="false">
      <c r="A292" s="20"/>
      <c r="B292" s="20"/>
      <c r="C292" s="20"/>
    </row>
    <row r="293" customFormat="false" ht="15" hidden="false" customHeight="false" outlineLevel="0" collapsed="false">
      <c r="A293" s="20"/>
      <c r="B293" s="20"/>
      <c r="C293" s="20"/>
    </row>
    <row r="294" customFormat="false" ht="15" hidden="false" customHeight="false" outlineLevel="0" collapsed="false">
      <c r="A294" s="20"/>
      <c r="B294" s="20"/>
      <c r="C294" s="20"/>
    </row>
    <row r="295" customFormat="false" ht="15" hidden="false" customHeight="false" outlineLevel="0" collapsed="false">
      <c r="A295" s="20"/>
      <c r="B295" s="20"/>
      <c r="C295" s="20"/>
    </row>
    <row r="296" customFormat="false" ht="15" hidden="false" customHeight="false" outlineLevel="0" collapsed="false">
      <c r="A296" s="20"/>
      <c r="B296" s="20"/>
      <c r="C296" s="20"/>
    </row>
    <row r="297" customFormat="false" ht="15" hidden="false" customHeight="false" outlineLevel="0" collapsed="false">
      <c r="A297" s="20"/>
      <c r="B297" s="20"/>
      <c r="C297" s="20"/>
    </row>
    <row r="298" customFormat="false" ht="15" hidden="false" customHeight="false" outlineLevel="0" collapsed="false">
      <c r="A298" s="20"/>
      <c r="B298" s="20"/>
      <c r="C298" s="20"/>
    </row>
    <row r="299" customFormat="false" ht="15" hidden="false" customHeight="false" outlineLevel="0" collapsed="false">
      <c r="A299" s="20"/>
      <c r="B299" s="20"/>
      <c r="C299" s="20"/>
    </row>
    <row r="300" customFormat="false" ht="15" hidden="false" customHeight="false" outlineLevel="0" collapsed="false">
      <c r="A300" s="20"/>
      <c r="B300" s="20"/>
      <c r="C300" s="20"/>
    </row>
    <row r="301" customFormat="false" ht="15" hidden="false" customHeight="false" outlineLevel="0" collapsed="false">
      <c r="A301" s="20"/>
      <c r="B301" s="20"/>
      <c r="C301" s="20"/>
    </row>
    <row r="302" customFormat="false" ht="15" hidden="false" customHeight="false" outlineLevel="0" collapsed="false">
      <c r="A302" s="20"/>
      <c r="B302" s="20"/>
      <c r="C302" s="20"/>
    </row>
    <row r="303" customFormat="false" ht="15" hidden="false" customHeight="false" outlineLevel="0" collapsed="false">
      <c r="A303" s="20"/>
      <c r="B303" s="20"/>
      <c r="C303" s="20"/>
    </row>
    <row r="304" customFormat="false" ht="15" hidden="false" customHeight="false" outlineLevel="0" collapsed="false">
      <c r="A304" s="20"/>
      <c r="B304" s="20"/>
      <c r="C304" s="20"/>
    </row>
    <row r="305" customFormat="false" ht="15" hidden="false" customHeight="false" outlineLevel="0" collapsed="false">
      <c r="A305" s="20"/>
      <c r="B305" s="20"/>
      <c r="C305" s="20"/>
    </row>
    <row r="306" customFormat="false" ht="15" hidden="false" customHeight="false" outlineLevel="0" collapsed="false">
      <c r="A306" s="20"/>
      <c r="B306" s="20"/>
      <c r="C306" s="20"/>
    </row>
    <row r="307" customFormat="false" ht="15" hidden="false" customHeight="false" outlineLevel="0" collapsed="false">
      <c r="A307" s="20"/>
      <c r="B307" s="20"/>
      <c r="C307" s="20"/>
    </row>
    <row r="308" customFormat="false" ht="15" hidden="false" customHeight="false" outlineLevel="0" collapsed="false">
      <c r="A308" s="20"/>
      <c r="B308" s="20"/>
      <c r="C308" s="20"/>
    </row>
    <row r="309" customFormat="false" ht="15" hidden="false" customHeight="false" outlineLevel="0" collapsed="false">
      <c r="A309" s="20"/>
      <c r="B309" s="20"/>
      <c r="C309" s="20"/>
    </row>
    <row r="310" customFormat="false" ht="15" hidden="false" customHeight="false" outlineLevel="0" collapsed="false">
      <c r="A310" s="20"/>
      <c r="B310" s="20"/>
      <c r="C310" s="20"/>
    </row>
    <row r="311" customFormat="false" ht="15" hidden="false" customHeight="false" outlineLevel="0" collapsed="false">
      <c r="A311" s="20"/>
      <c r="B311" s="20"/>
      <c r="C311" s="20"/>
    </row>
    <row r="312" customFormat="false" ht="15" hidden="false" customHeight="false" outlineLevel="0" collapsed="false">
      <c r="A312" s="20"/>
      <c r="B312" s="20"/>
      <c r="C312" s="20"/>
    </row>
    <row r="313" customFormat="false" ht="15" hidden="false" customHeight="false" outlineLevel="0" collapsed="false">
      <c r="A313" s="20"/>
      <c r="B313" s="20"/>
      <c r="C313" s="20"/>
    </row>
    <row r="314" customFormat="false" ht="15" hidden="false" customHeight="false" outlineLevel="0" collapsed="false">
      <c r="A314" s="20"/>
      <c r="B314" s="20"/>
      <c r="C314" s="20"/>
    </row>
    <row r="315" customFormat="false" ht="15" hidden="false" customHeight="false" outlineLevel="0" collapsed="false">
      <c r="A315" s="20"/>
      <c r="B315" s="20"/>
      <c r="C315" s="20"/>
    </row>
    <row r="316" customFormat="false" ht="15" hidden="false" customHeight="false" outlineLevel="0" collapsed="false">
      <c r="A316" s="20"/>
      <c r="B316" s="20"/>
      <c r="C316" s="20"/>
    </row>
    <row r="317" customFormat="false" ht="15" hidden="false" customHeight="false" outlineLevel="0" collapsed="false">
      <c r="A317" s="20"/>
      <c r="B317" s="20"/>
      <c r="C317" s="20"/>
    </row>
    <row r="318" customFormat="false" ht="15" hidden="false" customHeight="false" outlineLevel="0" collapsed="false">
      <c r="A318" s="20"/>
      <c r="B318" s="20"/>
      <c r="C318" s="20"/>
    </row>
    <row r="319" customFormat="false" ht="15" hidden="false" customHeight="false" outlineLevel="0" collapsed="false">
      <c r="A319" s="20"/>
      <c r="B319" s="20"/>
      <c r="C319" s="20"/>
    </row>
    <row r="320" customFormat="false" ht="15" hidden="false" customHeight="false" outlineLevel="0" collapsed="false">
      <c r="A320" s="20"/>
      <c r="B320" s="20"/>
      <c r="C320" s="20"/>
    </row>
    <row r="321" customFormat="false" ht="15" hidden="false" customHeight="false" outlineLevel="0" collapsed="false">
      <c r="A321" s="20"/>
      <c r="B321" s="20"/>
      <c r="C321" s="20"/>
    </row>
    <row r="322" customFormat="false" ht="15" hidden="false" customHeight="false" outlineLevel="0" collapsed="false">
      <c r="A322" s="20"/>
      <c r="B322" s="20"/>
      <c r="C322" s="20"/>
    </row>
    <row r="323" customFormat="false" ht="15" hidden="false" customHeight="false" outlineLevel="0" collapsed="false">
      <c r="A323" s="20"/>
      <c r="B323" s="20"/>
      <c r="C323" s="20"/>
    </row>
    <row r="324" customFormat="false" ht="15" hidden="false" customHeight="false" outlineLevel="0" collapsed="false">
      <c r="A324" s="20"/>
      <c r="B324" s="20"/>
      <c r="C324" s="20"/>
    </row>
    <row r="325" customFormat="false" ht="15" hidden="false" customHeight="false" outlineLevel="0" collapsed="false">
      <c r="A325" s="20"/>
      <c r="B325" s="20"/>
      <c r="C325" s="20"/>
    </row>
    <row r="326" customFormat="false" ht="15" hidden="false" customHeight="false" outlineLevel="0" collapsed="false">
      <c r="A326" s="20"/>
      <c r="B326" s="20"/>
      <c r="C326" s="20"/>
    </row>
    <row r="327" customFormat="false" ht="15" hidden="false" customHeight="false" outlineLevel="0" collapsed="false">
      <c r="A327" s="20"/>
      <c r="B327" s="20"/>
      <c r="C327" s="20"/>
    </row>
    <row r="328" customFormat="false" ht="15" hidden="false" customHeight="false" outlineLevel="0" collapsed="false">
      <c r="A328" s="20"/>
      <c r="B328" s="20"/>
      <c r="C328" s="20"/>
    </row>
    <row r="329" customFormat="false" ht="15" hidden="false" customHeight="false" outlineLevel="0" collapsed="false">
      <c r="A329" s="20"/>
      <c r="B329" s="20"/>
      <c r="C329" s="20"/>
    </row>
    <row r="330" customFormat="false" ht="15" hidden="false" customHeight="false" outlineLevel="0" collapsed="false">
      <c r="A330" s="20"/>
      <c r="B330" s="20"/>
      <c r="C330" s="20"/>
    </row>
    <row r="331" customFormat="false" ht="15" hidden="false" customHeight="false" outlineLevel="0" collapsed="false">
      <c r="A331" s="20"/>
      <c r="B331" s="20"/>
      <c r="C331" s="20"/>
    </row>
    <row r="332" customFormat="false" ht="15" hidden="false" customHeight="false" outlineLevel="0" collapsed="false">
      <c r="A332" s="20"/>
      <c r="B332" s="20"/>
      <c r="C332" s="20"/>
    </row>
    <row r="333" customFormat="false" ht="15" hidden="false" customHeight="false" outlineLevel="0" collapsed="false">
      <c r="A333" s="20"/>
      <c r="B333" s="20"/>
      <c r="C333" s="20"/>
    </row>
    <row r="334" customFormat="false" ht="15" hidden="false" customHeight="false" outlineLevel="0" collapsed="false">
      <c r="A334" s="20"/>
      <c r="B334" s="20"/>
      <c r="C334" s="20"/>
    </row>
    <row r="335" customFormat="false" ht="15" hidden="false" customHeight="false" outlineLevel="0" collapsed="false">
      <c r="A335" s="20"/>
      <c r="B335" s="20"/>
      <c r="C335" s="20"/>
    </row>
    <row r="336" customFormat="false" ht="15" hidden="false" customHeight="false" outlineLevel="0" collapsed="false">
      <c r="A336" s="20"/>
      <c r="B336" s="20"/>
      <c r="C336" s="20"/>
    </row>
    <row r="337" customFormat="false" ht="15" hidden="false" customHeight="false" outlineLevel="0" collapsed="false">
      <c r="A337" s="20"/>
      <c r="B337" s="20"/>
      <c r="C337" s="20"/>
    </row>
    <row r="338" customFormat="false" ht="15" hidden="false" customHeight="false" outlineLevel="0" collapsed="false">
      <c r="A338" s="20"/>
      <c r="B338" s="20"/>
      <c r="C338" s="20"/>
    </row>
    <row r="339" customFormat="false" ht="15" hidden="false" customHeight="false" outlineLevel="0" collapsed="false">
      <c r="A339" s="20"/>
      <c r="B339" s="20"/>
      <c r="C339" s="20"/>
    </row>
    <row r="340" customFormat="false" ht="15" hidden="false" customHeight="false" outlineLevel="0" collapsed="false">
      <c r="A340" s="20"/>
      <c r="B340" s="20"/>
      <c r="C340" s="20"/>
    </row>
    <row r="341" customFormat="false" ht="15" hidden="false" customHeight="false" outlineLevel="0" collapsed="false">
      <c r="A341" s="20"/>
      <c r="B341" s="20"/>
      <c r="C341" s="20"/>
    </row>
    <row r="342" customFormat="false" ht="15" hidden="false" customHeight="false" outlineLevel="0" collapsed="false">
      <c r="A342" s="20"/>
      <c r="B342" s="20"/>
      <c r="C342" s="20"/>
    </row>
    <row r="343" customFormat="false" ht="15" hidden="false" customHeight="false" outlineLevel="0" collapsed="false">
      <c r="A343" s="20"/>
      <c r="B343" s="20"/>
      <c r="C343" s="20"/>
    </row>
    <row r="344" customFormat="false" ht="15" hidden="false" customHeight="false" outlineLevel="0" collapsed="false">
      <c r="A344" s="20"/>
      <c r="B344" s="20"/>
      <c r="C344" s="20"/>
    </row>
    <row r="345" customFormat="false" ht="15" hidden="false" customHeight="false" outlineLevel="0" collapsed="false">
      <c r="A345" s="20"/>
      <c r="B345" s="20"/>
      <c r="C345" s="20"/>
    </row>
    <row r="346" customFormat="false" ht="15" hidden="false" customHeight="false" outlineLevel="0" collapsed="false">
      <c r="A346" s="20"/>
      <c r="B346" s="20"/>
      <c r="C346" s="20"/>
    </row>
    <row r="347" customFormat="false" ht="15" hidden="false" customHeight="false" outlineLevel="0" collapsed="false">
      <c r="A347" s="20"/>
      <c r="B347" s="20"/>
      <c r="C347" s="20"/>
    </row>
    <row r="348" customFormat="false" ht="15" hidden="false" customHeight="false" outlineLevel="0" collapsed="false">
      <c r="A348" s="20"/>
      <c r="B348" s="20"/>
      <c r="C348" s="20"/>
    </row>
    <row r="349" customFormat="false" ht="15" hidden="false" customHeight="false" outlineLevel="0" collapsed="false">
      <c r="A349" s="20"/>
      <c r="B349" s="20"/>
      <c r="C349" s="20"/>
    </row>
    <row r="350" customFormat="false" ht="15" hidden="false" customHeight="false" outlineLevel="0" collapsed="false">
      <c r="A350" s="20"/>
      <c r="B350" s="20"/>
      <c r="C350" s="20"/>
    </row>
    <row r="351" customFormat="false" ht="15" hidden="false" customHeight="false" outlineLevel="0" collapsed="false">
      <c r="A351" s="20"/>
      <c r="B351" s="20"/>
      <c r="C351" s="20"/>
    </row>
    <row r="352" customFormat="false" ht="15" hidden="false" customHeight="false" outlineLevel="0" collapsed="false">
      <c r="A352" s="20"/>
      <c r="B352" s="20"/>
      <c r="C352" s="20"/>
    </row>
    <row r="353" customFormat="false" ht="15" hidden="false" customHeight="false" outlineLevel="0" collapsed="false">
      <c r="A353" s="20"/>
      <c r="B353" s="20"/>
      <c r="C353" s="20"/>
    </row>
    <row r="354" customFormat="false" ht="15" hidden="false" customHeight="false" outlineLevel="0" collapsed="false">
      <c r="A354" s="20"/>
      <c r="B354" s="20"/>
      <c r="C354" s="20"/>
    </row>
    <row r="355" customFormat="false" ht="15" hidden="false" customHeight="false" outlineLevel="0" collapsed="false">
      <c r="A355" s="20"/>
      <c r="B355" s="20"/>
      <c r="C355" s="20"/>
    </row>
    <row r="356" customFormat="false" ht="15" hidden="false" customHeight="false" outlineLevel="0" collapsed="false">
      <c r="A356" s="20"/>
      <c r="B356" s="20"/>
      <c r="C356" s="20"/>
    </row>
    <row r="357" customFormat="false" ht="15" hidden="false" customHeight="false" outlineLevel="0" collapsed="false">
      <c r="A357" s="20"/>
      <c r="B357" s="20"/>
      <c r="C357" s="20"/>
    </row>
    <row r="358" customFormat="false" ht="15" hidden="false" customHeight="false" outlineLevel="0" collapsed="false">
      <c r="A358" s="20"/>
      <c r="B358" s="20"/>
      <c r="C358" s="20"/>
    </row>
    <row r="359" customFormat="false" ht="15" hidden="false" customHeight="false" outlineLevel="0" collapsed="false">
      <c r="A359" s="20"/>
      <c r="B359" s="20"/>
      <c r="C359" s="20"/>
    </row>
    <row r="360" customFormat="false" ht="15" hidden="false" customHeight="false" outlineLevel="0" collapsed="false">
      <c r="A360" s="20"/>
      <c r="B360" s="20"/>
      <c r="C360" s="20"/>
    </row>
    <row r="361" customFormat="false" ht="15" hidden="false" customHeight="false" outlineLevel="0" collapsed="false">
      <c r="A361" s="20"/>
      <c r="B361" s="20"/>
      <c r="C361" s="20"/>
    </row>
    <row r="362" customFormat="false" ht="15" hidden="false" customHeight="false" outlineLevel="0" collapsed="false">
      <c r="A362" s="20"/>
      <c r="B362" s="20"/>
      <c r="C362" s="20"/>
    </row>
    <row r="363" customFormat="false" ht="15" hidden="false" customHeight="false" outlineLevel="0" collapsed="false">
      <c r="A363" s="20"/>
      <c r="B363" s="20"/>
      <c r="C363" s="20"/>
    </row>
    <row r="364" customFormat="false" ht="15" hidden="false" customHeight="false" outlineLevel="0" collapsed="false">
      <c r="A364" s="20"/>
      <c r="B364" s="20"/>
      <c r="C364" s="20"/>
    </row>
    <row r="365" customFormat="false" ht="15" hidden="false" customHeight="false" outlineLevel="0" collapsed="false">
      <c r="A365" s="20"/>
      <c r="B365" s="20"/>
      <c r="C365" s="20"/>
    </row>
    <row r="366" customFormat="false" ht="15" hidden="false" customHeight="false" outlineLevel="0" collapsed="false">
      <c r="A366" s="20"/>
      <c r="B366" s="20"/>
      <c r="C366" s="20"/>
    </row>
    <row r="367" customFormat="false" ht="15" hidden="false" customHeight="false" outlineLevel="0" collapsed="false">
      <c r="A367" s="20"/>
      <c r="B367" s="20"/>
      <c r="C367" s="20"/>
    </row>
    <row r="368" customFormat="false" ht="15" hidden="false" customHeight="false" outlineLevel="0" collapsed="false">
      <c r="A368" s="20"/>
      <c r="B368" s="20"/>
      <c r="C368" s="20"/>
    </row>
    <row r="369" customFormat="false" ht="15" hidden="false" customHeight="false" outlineLevel="0" collapsed="false">
      <c r="A369" s="20"/>
      <c r="B369" s="20"/>
      <c r="C369" s="20"/>
    </row>
    <row r="370" customFormat="false" ht="15" hidden="false" customHeight="false" outlineLevel="0" collapsed="false">
      <c r="A370" s="20"/>
      <c r="B370" s="20"/>
      <c r="C370" s="20"/>
    </row>
    <row r="371" customFormat="false" ht="15" hidden="false" customHeight="false" outlineLevel="0" collapsed="false">
      <c r="A371" s="20"/>
      <c r="B371" s="20"/>
      <c r="C371" s="20"/>
    </row>
    <row r="372" customFormat="false" ht="15" hidden="false" customHeight="false" outlineLevel="0" collapsed="false">
      <c r="A372" s="20"/>
      <c r="B372" s="20"/>
      <c r="C372" s="20"/>
    </row>
    <row r="373" customFormat="false" ht="15" hidden="false" customHeight="false" outlineLevel="0" collapsed="false">
      <c r="A373" s="20"/>
      <c r="B373" s="20"/>
      <c r="C373" s="20"/>
    </row>
    <row r="374" customFormat="false" ht="15" hidden="false" customHeight="false" outlineLevel="0" collapsed="false">
      <c r="A374" s="20"/>
      <c r="B374" s="20"/>
      <c r="C374" s="20"/>
    </row>
    <row r="375" customFormat="false" ht="15" hidden="false" customHeight="false" outlineLevel="0" collapsed="false">
      <c r="A375" s="20"/>
      <c r="B375" s="20"/>
      <c r="C375" s="20"/>
    </row>
    <row r="376" customFormat="false" ht="15" hidden="false" customHeight="false" outlineLevel="0" collapsed="false">
      <c r="A376" s="20"/>
      <c r="B376" s="20"/>
      <c r="C376" s="20"/>
    </row>
    <row r="377" customFormat="false" ht="15" hidden="false" customHeight="false" outlineLevel="0" collapsed="false">
      <c r="A377" s="20"/>
      <c r="B377" s="20"/>
      <c r="C377" s="20"/>
    </row>
    <row r="378" customFormat="false" ht="15" hidden="false" customHeight="false" outlineLevel="0" collapsed="false">
      <c r="A378" s="20"/>
      <c r="B378" s="20"/>
      <c r="C378" s="20"/>
    </row>
    <row r="379" customFormat="false" ht="15" hidden="false" customHeight="false" outlineLevel="0" collapsed="false">
      <c r="A379" s="20"/>
      <c r="B379" s="20"/>
      <c r="C379" s="20"/>
    </row>
    <row r="380" customFormat="false" ht="15" hidden="false" customHeight="false" outlineLevel="0" collapsed="false">
      <c r="A380" s="20"/>
      <c r="B380" s="20"/>
      <c r="C380" s="20"/>
    </row>
    <row r="381" customFormat="false" ht="15" hidden="false" customHeight="false" outlineLevel="0" collapsed="false">
      <c r="A381" s="20"/>
      <c r="B381" s="20"/>
      <c r="C381" s="20"/>
    </row>
    <row r="382" customFormat="false" ht="15" hidden="false" customHeight="false" outlineLevel="0" collapsed="false">
      <c r="A382" s="20"/>
      <c r="B382" s="20"/>
      <c r="C382" s="20"/>
    </row>
    <row r="383" customFormat="false" ht="15" hidden="false" customHeight="false" outlineLevel="0" collapsed="false">
      <c r="A383" s="20"/>
      <c r="B383" s="20"/>
      <c r="C383" s="20"/>
    </row>
    <row r="384" customFormat="false" ht="15" hidden="false" customHeight="false" outlineLevel="0" collapsed="false">
      <c r="A384" s="20"/>
      <c r="B384" s="20"/>
      <c r="C384" s="20"/>
    </row>
    <row r="385" customFormat="false" ht="15" hidden="false" customHeight="false" outlineLevel="0" collapsed="false">
      <c r="A385" s="20"/>
      <c r="B385" s="20"/>
      <c r="C385" s="20"/>
    </row>
    <row r="386" customFormat="false" ht="15" hidden="false" customHeight="false" outlineLevel="0" collapsed="false">
      <c r="A386" s="20"/>
      <c r="B386" s="20"/>
      <c r="C386" s="20"/>
    </row>
    <row r="387" customFormat="false" ht="15" hidden="false" customHeight="false" outlineLevel="0" collapsed="false">
      <c r="A387" s="20"/>
      <c r="B387" s="20"/>
      <c r="C387" s="20"/>
    </row>
    <row r="388" customFormat="false" ht="15" hidden="false" customHeight="false" outlineLevel="0" collapsed="false">
      <c r="A388" s="20"/>
      <c r="B388" s="20"/>
      <c r="C388" s="20"/>
    </row>
    <row r="389" customFormat="false" ht="15" hidden="false" customHeight="false" outlineLevel="0" collapsed="false">
      <c r="A389" s="20"/>
      <c r="B389" s="20"/>
      <c r="C389" s="20"/>
    </row>
    <row r="390" customFormat="false" ht="15" hidden="false" customHeight="false" outlineLevel="0" collapsed="false">
      <c r="A390" s="20"/>
      <c r="B390" s="20"/>
      <c r="C390" s="20"/>
    </row>
    <row r="391" customFormat="false" ht="15" hidden="false" customHeight="false" outlineLevel="0" collapsed="false">
      <c r="A391" s="20"/>
      <c r="B391" s="20"/>
      <c r="C391" s="20"/>
    </row>
    <row r="392" customFormat="false" ht="15" hidden="false" customHeight="false" outlineLevel="0" collapsed="false">
      <c r="A392" s="20"/>
      <c r="B392" s="20"/>
      <c r="C392" s="20"/>
    </row>
    <row r="393" customFormat="false" ht="15" hidden="false" customHeight="false" outlineLevel="0" collapsed="false">
      <c r="A393" s="20"/>
      <c r="B393" s="20"/>
      <c r="C393" s="20"/>
    </row>
    <row r="394" customFormat="false" ht="15" hidden="false" customHeight="false" outlineLevel="0" collapsed="false">
      <c r="A394" s="20"/>
      <c r="B394" s="20"/>
      <c r="C394" s="20"/>
    </row>
    <row r="395" customFormat="false" ht="15" hidden="false" customHeight="false" outlineLevel="0" collapsed="false">
      <c r="A395" s="20"/>
      <c r="B395" s="20"/>
      <c r="C395" s="20"/>
    </row>
    <row r="396" customFormat="false" ht="15" hidden="false" customHeight="false" outlineLevel="0" collapsed="false">
      <c r="A396" s="20"/>
      <c r="B396" s="20"/>
      <c r="C396" s="20"/>
    </row>
    <row r="397" customFormat="false" ht="15" hidden="false" customHeight="false" outlineLevel="0" collapsed="false">
      <c r="A397" s="20"/>
      <c r="B397" s="20"/>
      <c r="C397" s="20"/>
    </row>
    <row r="398" customFormat="false" ht="15" hidden="false" customHeight="false" outlineLevel="0" collapsed="false">
      <c r="A398" s="20"/>
      <c r="B398" s="20"/>
      <c r="C398" s="20"/>
    </row>
    <row r="399" customFormat="false" ht="15" hidden="false" customHeight="false" outlineLevel="0" collapsed="false">
      <c r="A399" s="20"/>
      <c r="B399" s="20"/>
      <c r="C399" s="20"/>
    </row>
    <row r="400" customFormat="false" ht="15" hidden="false" customHeight="false" outlineLevel="0" collapsed="false">
      <c r="A400" s="20"/>
      <c r="B400" s="20"/>
      <c r="C400" s="20"/>
    </row>
    <row r="401" customFormat="false" ht="15" hidden="false" customHeight="false" outlineLevel="0" collapsed="false">
      <c r="A401" s="20"/>
      <c r="B401" s="20"/>
      <c r="C401" s="20"/>
    </row>
    <row r="402" customFormat="false" ht="15" hidden="false" customHeight="false" outlineLevel="0" collapsed="false">
      <c r="A402" s="20"/>
      <c r="B402" s="20"/>
      <c r="C402" s="20"/>
    </row>
    <row r="403" customFormat="false" ht="15" hidden="false" customHeight="false" outlineLevel="0" collapsed="false">
      <c r="A403" s="20"/>
      <c r="B403" s="20"/>
      <c r="C403" s="20"/>
    </row>
    <row r="404" customFormat="false" ht="15" hidden="false" customHeight="false" outlineLevel="0" collapsed="false">
      <c r="A404" s="20"/>
      <c r="B404" s="20"/>
      <c r="C404" s="20"/>
    </row>
    <row r="405" customFormat="false" ht="15" hidden="false" customHeight="false" outlineLevel="0" collapsed="false">
      <c r="A405" s="20"/>
      <c r="B405" s="20"/>
      <c r="C405" s="20"/>
    </row>
    <row r="406" customFormat="false" ht="15" hidden="false" customHeight="false" outlineLevel="0" collapsed="false">
      <c r="A406" s="20"/>
      <c r="B406" s="20"/>
      <c r="C406" s="20"/>
    </row>
    <row r="407" customFormat="false" ht="15" hidden="false" customHeight="false" outlineLevel="0" collapsed="false">
      <c r="A407" s="20"/>
      <c r="B407" s="20"/>
      <c r="C407" s="20"/>
    </row>
    <row r="408" customFormat="false" ht="15" hidden="false" customHeight="false" outlineLevel="0" collapsed="false">
      <c r="A408" s="20"/>
      <c r="B408" s="20"/>
      <c r="C408" s="20"/>
    </row>
    <row r="409" customFormat="false" ht="15" hidden="false" customHeight="false" outlineLevel="0" collapsed="false">
      <c r="A409" s="20"/>
      <c r="B409" s="20"/>
      <c r="C409" s="20"/>
    </row>
    <row r="410" customFormat="false" ht="15" hidden="false" customHeight="false" outlineLevel="0" collapsed="false">
      <c r="A410" s="20"/>
      <c r="B410" s="20"/>
      <c r="C410" s="20"/>
    </row>
    <row r="411" customFormat="false" ht="15" hidden="false" customHeight="false" outlineLevel="0" collapsed="false">
      <c r="A411" s="20"/>
      <c r="B411" s="20"/>
      <c r="C411" s="20"/>
    </row>
    <row r="412" customFormat="false" ht="15" hidden="false" customHeight="false" outlineLevel="0" collapsed="false">
      <c r="A412" s="20"/>
      <c r="B412" s="20"/>
      <c r="C412" s="20"/>
    </row>
    <row r="413" customFormat="false" ht="15" hidden="false" customHeight="false" outlineLevel="0" collapsed="false">
      <c r="A413" s="20"/>
      <c r="B413" s="20"/>
      <c r="C413" s="20"/>
    </row>
    <row r="414" customFormat="false" ht="15" hidden="false" customHeight="false" outlineLevel="0" collapsed="false">
      <c r="A414" s="20"/>
      <c r="B414" s="20"/>
      <c r="C414" s="20"/>
    </row>
    <row r="415" customFormat="false" ht="15" hidden="false" customHeight="false" outlineLevel="0" collapsed="false">
      <c r="A415" s="20"/>
      <c r="B415" s="20"/>
      <c r="C415" s="20"/>
    </row>
    <row r="416" customFormat="false" ht="15" hidden="false" customHeight="false" outlineLevel="0" collapsed="false">
      <c r="A416" s="20"/>
      <c r="B416" s="20"/>
      <c r="C416" s="20"/>
    </row>
    <row r="417" customFormat="false" ht="15" hidden="false" customHeight="false" outlineLevel="0" collapsed="false">
      <c r="A417" s="20"/>
      <c r="B417" s="20"/>
      <c r="C417" s="20"/>
    </row>
    <row r="418" customFormat="false" ht="15" hidden="false" customHeight="false" outlineLevel="0" collapsed="false">
      <c r="A418" s="20"/>
      <c r="B418" s="20"/>
      <c r="C418" s="20"/>
    </row>
    <row r="419" customFormat="false" ht="15" hidden="false" customHeight="false" outlineLevel="0" collapsed="false">
      <c r="A419" s="20"/>
      <c r="B419" s="20"/>
      <c r="C419" s="20"/>
    </row>
    <row r="420" customFormat="false" ht="15" hidden="false" customHeight="false" outlineLevel="0" collapsed="false">
      <c r="A420" s="20"/>
      <c r="B420" s="20"/>
      <c r="C420" s="20"/>
    </row>
    <row r="421" customFormat="false" ht="15" hidden="false" customHeight="false" outlineLevel="0" collapsed="false">
      <c r="A421" s="20"/>
      <c r="B421" s="20"/>
      <c r="C421" s="20"/>
    </row>
    <row r="422" customFormat="false" ht="15" hidden="false" customHeight="false" outlineLevel="0" collapsed="false">
      <c r="A422" s="20"/>
      <c r="B422" s="20"/>
      <c r="C422" s="20"/>
    </row>
    <row r="423" customFormat="false" ht="15" hidden="false" customHeight="false" outlineLevel="0" collapsed="false">
      <c r="A423" s="20"/>
      <c r="B423" s="20"/>
      <c r="C423" s="20"/>
    </row>
    <row r="424" customFormat="false" ht="15" hidden="false" customHeight="false" outlineLevel="0" collapsed="false">
      <c r="A424" s="20"/>
      <c r="B424" s="20"/>
      <c r="C424" s="20"/>
    </row>
    <row r="425" customFormat="false" ht="15" hidden="false" customHeight="false" outlineLevel="0" collapsed="false">
      <c r="A425" s="20"/>
      <c r="B425" s="20"/>
      <c r="C425" s="20"/>
    </row>
    <row r="426" customFormat="false" ht="15" hidden="false" customHeight="false" outlineLevel="0" collapsed="false">
      <c r="A426" s="20"/>
      <c r="B426" s="20"/>
      <c r="C426" s="20"/>
    </row>
    <row r="427" customFormat="false" ht="15" hidden="false" customHeight="false" outlineLevel="0" collapsed="false">
      <c r="A427" s="20"/>
      <c r="B427" s="20"/>
      <c r="C427" s="20"/>
    </row>
    <row r="428" customFormat="false" ht="15" hidden="false" customHeight="false" outlineLevel="0" collapsed="false">
      <c r="A428" s="20"/>
      <c r="B428" s="20"/>
      <c r="C428" s="20"/>
    </row>
    <row r="429" customFormat="false" ht="15" hidden="false" customHeight="false" outlineLevel="0" collapsed="false">
      <c r="A429" s="20"/>
      <c r="B429" s="20"/>
      <c r="C429" s="20"/>
    </row>
    <row r="430" customFormat="false" ht="15" hidden="false" customHeight="false" outlineLevel="0" collapsed="false">
      <c r="A430" s="20"/>
      <c r="B430" s="20"/>
      <c r="C430" s="20"/>
    </row>
    <row r="431" customFormat="false" ht="15" hidden="false" customHeight="false" outlineLevel="0" collapsed="false">
      <c r="A431" s="20"/>
      <c r="B431" s="20"/>
      <c r="C431" s="20"/>
    </row>
    <row r="432" customFormat="false" ht="15" hidden="false" customHeight="false" outlineLevel="0" collapsed="false">
      <c r="A432" s="20"/>
      <c r="B432" s="20"/>
      <c r="C432" s="20"/>
    </row>
    <row r="433" customFormat="false" ht="15" hidden="false" customHeight="false" outlineLevel="0" collapsed="false">
      <c r="A433" s="20"/>
      <c r="B433" s="20"/>
      <c r="C433" s="20"/>
    </row>
    <row r="434" customFormat="false" ht="15" hidden="false" customHeight="false" outlineLevel="0" collapsed="false">
      <c r="A434" s="20"/>
      <c r="B434" s="20"/>
      <c r="C434" s="20"/>
    </row>
    <row r="435" customFormat="false" ht="15" hidden="false" customHeight="false" outlineLevel="0" collapsed="false">
      <c r="A435" s="20"/>
      <c r="B435" s="20"/>
      <c r="C435" s="20"/>
    </row>
    <row r="436" customFormat="false" ht="15" hidden="false" customHeight="false" outlineLevel="0" collapsed="false">
      <c r="A436" s="20"/>
      <c r="B436" s="20"/>
      <c r="C436" s="20"/>
    </row>
    <row r="437" customFormat="false" ht="15" hidden="false" customHeight="false" outlineLevel="0" collapsed="false">
      <c r="A437" s="20"/>
      <c r="B437" s="20"/>
      <c r="C437" s="20"/>
    </row>
    <row r="438" customFormat="false" ht="15" hidden="false" customHeight="false" outlineLevel="0" collapsed="false">
      <c r="A438" s="20"/>
      <c r="B438" s="20"/>
      <c r="C438" s="20"/>
    </row>
    <row r="439" customFormat="false" ht="15" hidden="false" customHeight="false" outlineLevel="0" collapsed="false">
      <c r="A439" s="20"/>
      <c r="B439" s="20"/>
      <c r="C439" s="20"/>
    </row>
    <row r="440" customFormat="false" ht="15" hidden="false" customHeight="false" outlineLevel="0" collapsed="false">
      <c r="A440" s="20"/>
      <c r="B440" s="20"/>
      <c r="C440" s="20"/>
    </row>
    <row r="441" customFormat="false" ht="15" hidden="false" customHeight="false" outlineLevel="0" collapsed="false">
      <c r="A441" s="20"/>
      <c r="B441" s="20"/>
      <c r="C441" s="20"/>
    </row>
    <row r="442" customFormat="false" ht="15" hidden="false" customHeight="false" outlineLevel="0" collapsed="false">
      <c r="A442" s="20"/>
      <c r="B442" s="20"/>
      <c r="C442" s="20"/>
    </row>
    <row r="443" customFormat="false" ht="15" hidden="false" customHeight="false" outlineLevel="0" collapsed="false">
      <c r="A443" s="20"/>
      <c r="B443" s="20"/>
      <c r="C443" s="20"/>
    </row>
    <row r="444" customFormat="false" ht="15" hidden="false" customHeight="false" outlineLevel="0" collapsed="false">
      <c r="A444" s="20"/>
      <c r="B444" s="20"/>
      <c r="C444" s="20"/>
    </row>
    <row r="445" customFormat="false" ht="15" hidden="false" customHeight="false" outlineLevel="0" collapsed="false">
      <c r="A445" s="20"/>
      <c r="B445" s="20"/>
      <c r="C445" s="20"/>
    </row>
    <row r="446" customFormat="false" ht="15" hidden="false" customHeight="false" outlineLevel="0" collapsed="false">
      <c r="A446" s="20"/>
      <c r="B446" s="20"/>
      <c r="C446" s="20"/>
    </row>
    <row r="447" customFormat="false" ht="15" hidden="false" customHeight="false" outlineLevel="0" collapsed="false">
      <c r="A447" s="20"/>
      <c r="B447" s="20"/>
      <c r="C447" s="20"/>
    </row>
    <row r="448" customFormat="false" ht="15" hidden="false" customHeight="false" outlineLevel="0" collapsed="false">
      <c r="A448" s="20"/>
      <c r="B448" s="20"/>
      <c r="C448" s="20"/>
    </row>
    <row r="449" customFormat="false" ht="15" hidden="false" customHeight="false" outlineLevel="0" collapsed="false">
      <c r="A449" s="20"/>
      <c r="B449" s="20"/>
      <c r="C449" s="20"/>
    </row>
    <row r="450" customFormat="false" ht="15" hidden="false" customHeight="false" outlineLevel="0" collapsed="false">
      <c r="A450" s="20"/>
      <c r="B450" s="20"/>
      <c r="C450" s="20"/>
    </row>
    <row r="451" customFormat="false" ht="15" hidden="false" customHeight="false" outlineLevel="0" collapsed="false">
      <c r="A451" s="20"/>
      <c r="B451" s="20"/>
      <c r="C451" s="20"/>
    </row>
    <row r="452" customFormat="false" ht="15" hidden="false" customHeight="false" outlineLevel="0" collapsed="false">
      <c r="A452" s="20"/>
      <c r="B452" s="20"/>
      <c r="C452" s="20"/>
    </row>
    <row r="453" customFormat="false" ht="15" hidden="false" customHeight="false" outlineLevel="0" collapsed="false">
      <c r="A453" s="20"/>
      <c r="B453" s="20"/>
      <c r="C453" s="20"/>
    </row>
    <row r="454" customFormat="false" ht="15" hidden="false" customHeight="false" outlineLevel="0" collapsed="false">
      <c r="A454" s="20"/>
      <c r="B454" s="20"/>
      <c r="C454" s="20"/>
    </row>
    <row r="455" customFormat="false" ht="15" hidden="false" customHeight="false" outlineLevel="0" collapsed="false">
      <c r="A455" s="20"/>
      <c r="B455" s="20"/>
      <c r="C455" s="20"/>
    </row>
    <row r="456" customFormat="false" ht="15" hidden="false" customHeight="false" outlineLevel="0" collapsed="false">
      <c r="A456" s="20"/>
      <c r="B456" s="20"/>
      <c r="C456" s="20"/>
    </row>
    <row r="457" customFormat="false" ht="15" hidden="false" customHeight="false" outlineLevel="0" collapsed="false">
      <c r="A457" s="20"/>
      <c r="B457" s="20"/>
      <c r="C457" s="20"/>
    </row>
    <row r="458" customFormat="false" ht="15" hidden="false" customHeight="false" outlineLevel="0" collapsed="false">
      <c r="A458" s="20"/>
      <c r="B458" s="20"/>
      <c r="C458" s="20"/>
    </row>
    <row r="459" customFormat="false" ht="15" hidden="false" customHeight="false" outlineLevel="0" collapsed="false">
      <c r="A459" s="20"/>
      <c r="B459" s="20"/>
      <c r="C459" s="20"/>
    </row>
    <row r="460" customFormat="false" ht="15" hidden="false" customHeight="false" outlineLevel="0" collapsed="false">
      <c r="A460" s="20"/>
      <c r="B460" s="20"/>
      <c r="C460" s="20"/>
    </row>
    <row r="461" customFormat="false" ht="15" hidden="false" customHeight="false" outlineLevel="0" collapsed="false">
      <c r="A461" s="20"/>
      <c r="B461" s="20"/>
      <c r="C461" s="20"/>
    </row>
    <row r="462" customFormat="false" ht="15" hidden="false" customHeight="false" outlineLevel="0" collapsed="false">
      <c r="A462" s="20"/>
      <c r="B462" s="20"/>
      <c r="C462" s="20"/>
    </row>
    <row r="463" customFormat="false" ht="15" hidden="false" customHeight="false" outlineLevel="0" collapsed="false">
      <c r="A463" s="20"/>
      <c r="B463" s="20"/>
      <c r="C463" s="20"/>
    </row>
    <row r="464" customFormat="false" ht="15" hidden="false" customHeight="false" outlineLevel="0" collapsed="false">
      <c r="A464" s="20"/>
      <c r="B464" s="20"/>
      <c r="C464" s="20"/>
    </row>
    <row r="465" customFormat="false" ht="15" hidden="false" customHeight="false" outlineLevel="0" collapsed="false">
      <c r="A465" s="20"/>
      <c r="B465" s="20"/>
      <c r="C465" s="20"/>
    </row>
    <row r="466" customFormat="false" ht="15" hidden="false" customHeight="false" outlineLevel="0" collapsed="false">
      <c r="A466" s="20"/>
      <c r="B466" s="20"/>
      <c r="C466" s="20"/>
    </row>
    <row r="467" customFormat="false" ht="15" hidden="false" customHeight="false" outlineLevel="0" collapsed="false">
      <c r="A467" s="20"/>
      <c r="B467" s="20"/>
      <c r="C467" s="20"/>
    </row>
    <row r="468" customFormat="false" ht="15" hidden="false" customHeight="false" outlineLevel="0" collapsed="false">
      <c r="A468" s="20"/>
      <c r="B468" s="20"/>
      <c r="C468" s="20"/>
    </row>
    <row r="469" customFormat="false" ht="15" hidden="false" customHeight="false" outlineLevel="0" collapsed="false">
      <c r="A469" s="20"/>
      <c r="B469" s="20"/>
      <c r="C469" s="20"/>
    </row>
    <row r="470" customFormat="false" ht="15" hidden="false" customHeight="false" outlineLevel="0" collapsed="false">
      <c r="A470" s="20"/>
      <c r="B470" s="20"/>
      <c r="C470" s="20"/>
    </row>
    <row r="471" customFormat="false" ht="15" hidden="false" customHeight="false" outlineLevel="0" collapsed="false">
      <c r="A471" s="20"/>
      <c r="B471" s="20"/>
      <c r="C471" s="20"/>
    </row>
    <row r="472" customFormat="false" ht="15" hidden="false" customHeight="false" outlineLevel="0" collapsed="false">
      <c r="A472" s="20"/>
      <c r="B472" s="20"/>
      <c r="C472" s="20"/>
    </row>
    <row r="473" customFormat="false" ht="15" hidden="false" customHeight="false" outlineLevel="0" collapsed="false">
      <c r="A473" s="20"/>
      <c r="B473" s="20"/>
      <c r="C473" s="20"/>
    </row>
    <row r="474" customFormat="false" ht="15" hidden="false" customHeight="false" outlineLevel="0" collapsed="false">
      <c r="A474" s="20"/>
      <c r="B474" s="20"/>
      <c r="C474" s="20"/>
    </row>
    <row r="475" customFormat="false" ht="15" hidden="false" customHeight="false" outlineLevel="0" collapsed="false">
      <c r="A475" s="20"/>
      <c r="B475" s="20"/>
      <c r="C475" s="20"/>
    </row>
    <row r="476" customFormat="false" ht="15" hidden="false" customHeight="false" outlineLevel="0" collapsed="false">
      <c r="A476" s="20"/>
      <c r="B476" s="20"/>
      <c r="C476" s="20"/>
    </row>
    <row r="477" customFormat="false" ht="15" hidden="false" customHeight="false" outlineLevel="0" collapsed="false">
      <c r="A477" s="20"/>
      <c r="B477" s="20"/>
      <c r="C477" s="20"/>
    </row>
    <row r="478" customFormat="false" ht="15" hidden="false" customHeight="false" outlineLevel="0" collapsed="false">
      <c r="A478" s="20"/>
      <c r="B478" s="20"/>
      <c r="C478" s="20"/>
    </row>
    <row r="479" customFormat="false" ht="15" hidden="false" customHeight="false" outlineLevel="0" collapsed="false">
      <c r="A479" s="20"/>
      <c r="B479" s="20"/>
      <c r="C479" s="20"/>
    </row>
    <row r="480" customFormat="false" ht="15" hidden="false" customHeight="false" outlineLevel="0" collapsed="false">
      <c r="A480" s="20"/>
      <c r="B480" s="20"/>
      <c r="C480" s="20"/>
    </row>
    <row r="481" customFormat="false" ht="15" hidden="false" customHeight="false" outlineLevel="0" collapsed="false">
      <c r="A481" s="20"/>
      <c r="B481" s="20"/>
      <c r="C481" s="20"/>
    </row>
    <row r="482" customFormat="false" ht="15" hidden="false" customHeight="false" outlineLevel="0" collapsed="false">
      <c r="A482" s="20"/>
      <c r="B482" s="20"/>
      <c r="C482" s="20"/>
    </row>
    <row r="483" customFormat="false" ht="15" hidden="false" customHeight="false" outlineLevel="0" collapsed="false">
      <c r="A483" s="20"/>
      <c r="B483" s="20"/>
      <c r="C483" s="20"/>
    </row>
    <row r="484" customFormat="false" ht="15" hidden="false" customHeight="false" outlineLevel="0" collapsed="false">
      <c r="A484" s="20"/>
      <c r="B484" s="20"/>
      <c r="C484" s="20"/>
    </row>
    <row r="485" customFormat="false" ht="15" hidden="false" customHeight="false" outlineLevel="0" collapsed="false">
      <c r="A485" s="20"/>
      <c r="B485" s="20"/>
      <c r="C485" s="20"/>
    </row>
    <row r="486" customFormat="false" ht="15" hidden="false" customHeight="false" outlineLevel="0" collapsed="false">
      <c r="A486" s="20"/>
      <c r="B486" s="20"/>
      <c r="C486" s="20"/>
    </row>
    <row r="487" customFormat="false" ht="15" hidden="false" customHeight="false" outlineLevel="0" collapsed="false">
      <c r="A487" s="20"/>
      <c r="B487" s="20"/>
      <c r="C487" s="20"/>
    </row>
    <row r="488" customFormat="false" ht="15" hidden="false" customHeight="false" outlineLevel="0" collapsed="false">
      <c r="A488" s="20"/>
      <c r="B488" s="20"/>
      <c r="C488" s="20"/>
    </row>
    <row r="489" customFormat="false" ht="15" hidden="false" customHeight="false" outlineLevel="0" collapsed="false">
      <c r="A489" s="20"/>
      <c r="B489" s="20"/>
      <c r="C489" s="20"/>
    </row>
    <row r="490" customFormat="false" ht="15" hidden="false" customHeight="false" outlineLevel="0" collapsed="false">
      <c r="A490" s="20"/>
      <c r="B490" s="20"/>
      <c r="C490" s="20"/>
    </row>
    <row r="491" customFormat="false" ht="15" hidden="false" customHeight="false" outlineLevel="0" collapsed="false">
      <c r="A491" s="20"/>
      <c r="B491" s="20"/>
      <c r="C491" s="20"/>
    </row>
    <row r="492" customFormat="false" ht="15" hidden="false" customHeight="false" outlineLevel="0" collapsed="false">
      <c r="A492" s="20"/>
      <c r="B492" s="20"/>
      <c r="C492" s="20"/>
    </row>
    <row r="493" customFormat="false" ht="15" hidden="false" customHeight="false" outlineLevel="0" collapsed="false">
      <c r="A493" s="20"/>
      <c r="B493" s="20"/>
      <c r="C493" s="20"/>
    </row>
    <row r="494" customFormat="false" ht="15" hidden="false" customHeight="false" outlineLevel="0" collapsed="false">
      <c r="A494" s="20"/>
      <c r="B494" s="20"/>
      <c r="C494" s="20"/>
    </row>
    <row r="495" customFormat="false" ht="15" hidden="false" customHeight="false" outlineLevel="0" collapsed="false">
      <c r="A495" s="20"/>
      <c r="B495" s="20"/>
      <c r="C495" s="20"/>
    </row>
    <row r="496" customFormat="false" ht="15" hidden="false" customHeight="false" outlineLevel="0" collapsed="false">
      <c r="A496" s="20"/>
      <c r="B496" s="20"/>
      <c r="C496" s="20"/>
    </row>
    <row r="497" customFormat="false" ht="15" hidden="false" customHeight="false" outlineLevel="0" collapsed="false">
      <c r="A497" s="20"/>
      <c r="B497" s="20"/>
      <c r="C497" s="20"/>
    </row>
    <row r="498" customFormat="false" ht="15" hidden="false" customHeight="false" outlineLevel="0" collapsed="false">
      <c r="A498" s="20"/>
      <c r="B498" s="20"/>
      <c r="C498" s="20"/>
    </row>
    <row r="499" customFormat="false" ht="15" hidden="false" customHeight="false" outlineLevel="0" collapsed="false">
      <c r="A499" s="20"/>
      <c r="B499" s="20"/>
      <c r="C499" s="20"/>
    </row>
    <row r="500" customFormat="false" ht="15" hidden="false" customHeight="false" outlineLevel="0" collapsed="false">
      <c r="A500" s="20"/>
      <c r="B500" s="20"/>
      <c r="C500" s="20"/>
    </row>
    <row r="501" customFormat="false" ht="15" hidden="false" customHeight="false" outlineLevel="0" collapsed="false">
      <c r="A501" s="20"/>
      <c r="B501" s="20"/>
      <c r="C501" s="20"/>
    </row>
    <row r="502" customFormat="false" ht="15" hidden="false" customHeight="false" outlineLevel="0" collapsed="false">
      <c r="A502" s="20"/>
      <c r="B502" s="20"/>
      <c r="C502" s="20"/>
    </row>
    <row r="503" customFormat="false" ht="15" hidden="false" customHeight="false" outlineLevel="0" collapsed="false">
      <c r="A503" s="20"/>
      <c r="B503" s="20"/>
      <c r="C503" s="20"/>
    </row>
    <row r="504" customFormat="false" ht="15" hidden="false" customHeight="false" outlineLevel="0" collapsed="false">
      <c r="A504" s="20"/>
      <c r="B504" s="20"/>
      <c r="C504" s="20"/>
    </row>
    <row r="505" customFormat="false" ht="15" hidden="false" customHeight="false" outlineLevel="0" collapsed="false">
      <c r="A505" s="20"/>
      <c r="B505" s="20"/>
      <c r="C505" s="20"/>
    </row>
    <row r="506" customFormat="false" ht="15" hidden="false" customHeight="false" outlineLevel="0" collapsed="false">
      <c r="A506" s="20"/>
      <c r="B506" s="20"/>
      <c r="C506" s="20"/>
    </row>
    <row r="507" customFormat="false" ht="15" hidden="false" customHeight="false" outlineLevel="0" collapsed="false">
      <c r="A507" s="20"/>
      <c r="B507" s="20"/>
      <c r="C507" s="20"/>
    </row>
    <row r="508" customFormat="false" ht="15" hidden="false" customHeight="false" outlineLevel="0" collapsed="false">
      <c r="A508" s="20"/>
      <c r="B508" s="20"/>
      <c r="C508" s="20"/>
    </row>
    <row r="509" customFormat="false" ht="15" hidden="false" customHeight="false" outlineLevel="0" collapsed="false">
      <c r="A509" s="20"/>
      <c r="B509" s="20"/>
      <c r="C509" s="20"/>
    </row>
    <row r="510" customFormat="false" ht="15" hidden="false" customHeight="false" outlineLevel="0" collapsed="false">
      <c r="A510" s="20"/>
      <c r="B510" s="20"/>
      <c r="C510" s="20"/>
    </row>
    <row r="511" customFormat="false" ht="15" hidden="false" customHeight="false" outlineLevel="0" collapsed="false">
      <c r="A511" s="20"/>
      <c r="B511" s="20"/>
      <c r="C511" s="20"/>
    </row>
    <row r="512" customFormat="false" ht="15" hidden="false" customHeight="false" outlineLevel="0" collapsed="false">
      <c r="A512" s="20"/>
      <c r="B512" s="20"/>
      <c r="C512" s="20"/>
    </row>
    <row r="513" customFormat="false" ht="15" hidden="false" customHeight="false" outlineLevel="0" collapsed="false">
      <c r="A513" s="20"/>
      <c r="B513" s="20"/>
      <c r="C513" s="20"/>
    </row>
    <row r="514" customFormat="false" ht="15" hidden="false" customHeight="false" outlineLevel="0" collapsed="false">
      <c r="A514" s="20"/>
      <c r="B514" s="20"/>
      <c r="C514" s="20"/>
    </row>
    <row r="515" customFormat="false" ht="15" hidden="false" customHeight="false" outlineLevel="0" collapsed="false">
      <c r="A515" s="20"/>
      <c r="B515" s="20"/>
      <c r="C515" s="20"/>
    </row>
    <row r="516" customFormat="false" ht="15" hidden="false" customHeight="false" outlineLevel="0" collapsed="false">
      <c r="A516" s="20"/>
      <c r="B516" s="20"/>
      <c r="C516" s="20"/>
    </row>
    <row r="517" customFormat="false" ht="15" hidden="false" customHeight="false" outlineLevel="0" collapsed="false">
      <c r="A517" s="20"/>
      <c r="B517" s="20"/>
      <c r="C517" s="20"/>
    </row>
    <row r="518" customFormat="false" ht="15" hidden="false" customHeight="false" outlineLevel="0" collapsed="false">
      <c r="A518" s="20"/>
      <c r="B518" s="20"/>
      <c r="C518" s="20"/>
    </row>
    <row r="519" customFormat="false" ht="15" hidden="false" customHeight="false" outlineLevel="0" collapsed="false">
      <c r="A519" s="20"/>
      <c r="B519" s="20"/>
      <c r="C519" s="20"/>
    </row>
    <row r="520" customFormat="false" ht="15" hidden="false" customHeight="false" outlineLevel="0" collapsed="false">
      <c r="A520" s="20"/>
      <c r="B520" s="20"/>
      <c r="C520" s="20"/>
    </row>
    <row r="521" customFormat="false" ht="15" hidden="false" customHeight="false" outlineLevel="0" collapsed="false">
      <c r="A521" s="20"/>
      <c r="B521" s="20"/>
      <c r="C521" s="20"/>
    </row>
    <row r="522" customFormat="false" ht="15" hidden="false" customHeight="false" outlineLevel="0" collapsed="false">
      <c r="A522" s="20"/>
      <c r="B522" s="20"/>
      <c r="C522" s="20"/>
    </row>
    <row r="523" customFormat="false" ht="15" hidden="false" customHeight="false" outlineLevel="0" collapsed="false">
      <c r="A523" s="20"/>
      <c r="B523" s="20"/>
      <c r="C523" s="20"/>
    </row>
    <row r="524" customFormat="false" ht="15" hidden="false" customHeight="false" outlineLevel="0" collapsed="false">
      <c r="A524" s="20"/>
      <c r="B524" s="20"/>
      <c r="C524" s="20"/>
    </row>
    <row r="525" customFormat="false" ht="15" hidden="false" customHeight="false" outlineLevel="0" collapsed="false">
      <c r="A525" s="20"/>
      <c r="B525" s="20"/>
      <c r="C525" s="20"/>
    </row>
    <row r="526" customFormat="false" ht="15" hidden="false" customHeight="false" outlineLevel="0" collapsed="false">
      <c r="A526" s="20"/>
      <c r="B526" s="20"/>
      <c r="C526" s="20"/>
    </row>
    <row r="527" customFormat="false" ht="15" hidden="false" customHeight="false" outlineLevel="0" collapsed="false">
      <c r="A527" s="20"/>
      <c r="B527" s="20"/>
      <c r="C527" s="20"/>
    </row>
    <row r="528" customFormat="false" ht="15" hidden="false" customHeight="false" outlineLevel="0" collapsed="false">
      <c r="A528" s="20"/>
      <c r="B528" s="20"/>
      <c r="C528" s="20"/>
    </row>
    <row r="529" customFormat="false" ht="15" hidden="false" customHeight="false" outlineLevel="0" collapsed="false">
      <c r="A529" s="20"/>
      <c r="B529" s="20"/>
      <c r="C529" s="20"/>
    </row>
    <row r="530" customFormat="false" ht="15" hidden="false" customHeight="false" outlineLevel="0" collapsed="false">
      <c r="A530" s="20"/>
      <c r="B530" s="20"/>
      <c r="C530" s="20"/>
    </row>
    <row r="531" customFormat="false" ht="15" hidden="false" customHeight="false" outlineLevel="0" collapsed="false">
      <c r="A531" s="20"/>
      <c r="B531" s="20"/>
      <c r="C531" s="20"/>
    </row>
    <row r="532" customFormat="false" ht="15" hidden="false" customHeight="false" outlineLevel="0" collapsed="false">
      <c r="A532" s="20"/>
      <c r="B532" s="20"/>
      <c r="C532" s="20"/>
    </row>
    <row r="533" customFormat="false" ht="15" hidden="false" customHeight="false" outlineLevel="0" collapsed="false">
      <c r="A533" s="20"/>
      <c r="B533" s="20"/>
      <c r="C533" s="20"/>
    </row>
    <row r="534" customFormat="false" ht="15" hidden="false" customHeight="false" outlineLevel="0" collapsed="false">
      <c r="A534" s="20"/>
      <c r="B534" s="20"/>
      <c r="C534" s="20"/>
    </row>
    <row r="535" customFormat="false" ht="15" hidden="false" customHeight="false" outlineLevel="0" collapsed="false">
      <c r="A535" s="20"/>
      <c r="B535" s="20"/>
      <c r="C535" s="20"/>
    </row>
    <row r="536" customFormat="false" ht="15" hidden="false" customHeight="false" outlineLevel="0" collapsed="false">
      <c r="A536" s="20"/>
      <c r="B536" s="20"/>
      <c r="C536" s="20"/>
    </row>
    <row r="537" customFormat="false" ht="15" hidden="false" customHeight="false" outlineLevel="0" collapsed="false">
      <c r="A537" s="20"/>
      <c r="B537" s="20"/>
      <c r="C537" s="20"/>
    </row>
    <row r="538" customFormat="false" ht="15" hidden="false" customHeight="false" outlineLevel="0" collapsed="false">
      <c r="A538" s="20"/>
      <c r="B538" s="20"/>
      <c r="C538" s="20"/>
    </row>
    <row r="539" customFormat="false" ht="15" hidden="false" customHeight="false" outlineLevel="0" collapsed="false">
      <c r="A539" s="20"/>
      <c r="B539" s="20"/>
      <c r="C539" s="20"/>
    </row>
    <row r="540" customFormat="false" ht="15" hidden="false" customHeight="false" outlineLevel="0" collapsed="false">
      <c r="A540" s="20"/>
      <c r="B540" s="20"/>
      <c r="C540" s="20"/>
    </row>
    <row r="541" customFormat="false" ht="15" hidden="false" customHeight="false" outlineLevel="0" collapsed="false">
      <c r="A541" s="20"/>
      <c r="B541" s="20"/>
      <c r="C541" s="20"/>
    </row>
    <row r="542" customFormat="false" ht="15" hidden="false" customHeight="false" outlineLevel="0" collapsed="false">
      <c r="A542" s="20"/>
      <c r="B542" s="20"/>
      <c r="C542" s="20"/>
    </row>
    <row r="543" customFormat="false" ht="15" hidden="false" customHeight="false" outlineLevel="0" collapsed="false">
      <c r="A543" s="20"/>
      <c r="B543" s="20"/>
      <c r="C543" s="20"/>
    </row>
    <row r="544" customFormat="false" ht="15" hidden="false" customHeight="false" outlineLevel="0" collapsed="false">
      <c r="A544" s="20"/>
      <c r="B544" s="20"/>
      <c r="C544" s="20"/>
    </row>
    <row r="545" customFormat="false" ht="15" hidden="false" customHeight="false" outlineLevel="0" collapsed="false">
      <c r="A545" s="20"/>
      <c r="B545" s="20"/>
      <c r="C545" s="20"/>
    </row>
    <row r="546" customFormat="false" ht="15" hidden="false" customHeight="false" outlineLevel="0" collapsed="false">
      <c r="A546" s="20"/>
      <c r="B546" s="20"/>
      <c r="C546" s="20"/>
    </row>
    <row r="547" customFormat="false" ht="15" hidden="false" customHeight="false" outlineLevel="0" collapsed="false">
      <c r="A547" s="20"/>
      <c r="B547" s="20"/>
      <c r="C547" s="20"/>
    </row>
    <row r="548" customFormat="false" ht="15" hidden="false" customHeight="false" outlineLevel="0" collapsed="false">
      <c r="A548" s="20"/>
      <c r="B548" s="20"/>
      <c r="C548" s="20"/>
    </row>
    <row r="549" customFormat="false" ht="15" hidden="false" customHeight="false" outlineLevel="0" collapsed="false">
      <c r="A549" s="20"/>
      <c r="B549" s="20"/>
      <c r="C549" s="20"/>
    </row>
    <row r="550" customFormat="false" ht="15" hidden="false" customHeight="false" outlineLevel="0" collapsed="false">
      <c r="A550" s="20"/>
      <c r="B550" s="20"/>
      <c r="C550" s="20"/>
    </row>
    <row r="551" customFormat="false" ht="15" hidden="false" customHeight="false" outlineLevel="0" collapsed="false">
      <c r="A551" s="20"/>
      <c r="B551" s="20"/>
      <c r="C551" s="20"/>
    </row>
    <row r="552" customFormat="false" ht="15" hidden="false" customHeight="false" outlineLevel="0" collapsed="false">
      <c r="A552" s="20"/>
      <c r="B552" s="20"/>
      <c r="C552" s="20"/>
    </row>
    <row r="553" customFormat="false" ht="15" hidden="false" customHeight="false" outlineLevel="0" collapsed="false">
      <c r="A553" s="20"/>
      <c r="B553" s="20"/>
      <c r="C553" s="20"/>
    </row>
    <row r="554" customFormat="false" ht="15" hidden="false" customHeight="false" outlineLevel="0" collapsed="false">
      <c r="A554" s="20"/>
      <c r="B554" s="20"/>
      <c r="C554" s="20"/>
    </row>
    <row r="555" customFormat="false" ht="15" hidden="false" customHeight="false" outlineLevel="0" collapsed="false">
      <c r="A555" s="20"/>
      <c r="B555" s="20"/>
      <c r="C555" s="20"/>
    </row>
    <row r="556" customFormat="false" ht="15" hidden="false" customHeight="false" outlineLevel="0" collapsed="false">
      <c r="A556" s="20"/>
      <c r="B556" s="20"/>
      <c r="C556" s="20"/>
    </row>
    <row r="557" customFormat="false" ht="15" hidden="false" customHeight="false" outlineLevel="0" collapsed="false">
      <c r="A557" s="20"/>
      <c r="B557" s="20"/>
      <c r="C557" s="20"/>
    </row>
    <row r="558" customFormat="false" ht="15" hidden="false" customHeight="false" outlineLevel="0" collapsed="false">
      <c r="A558" s="20"/>
      <c r="B558" s="20"/>
      <c r="C558" s="20"/>
    </row>
    <row r="559" customFormat="false" ht="15" hidden="false" customHeight="false" outlineLevel="0" collapsed="false">
      <c r="A559" s="20"/>
      <c r="B559" s="20"/>
      <c r="C559" s="20"/>
    </row>
    <row r="560" customFormat="false" ht="15" hidden="false" customHeight="false" outlineLevel="0" collapsed="false">
      <c r="A560" s="20"/>
      <c r="B560" s="20"/>
      <c r="C560" s="20"/>
    </row>
    <row r="561" customFormat="false" ht="15" hidden="false" customHeight="false" outlineLevel="0" collapsed="false">
      <c r="A561" s="20"/>
      <c r="B561" s="20"/>
      <c r="C561" s="20"/>
    </row>
    <row r="562" customFormat="false" ht="15" hidden="false" customHeight="false" outlineLevel="0" collapsed="false">
      <c r="A562" s="20"/>
      <c r="B562" s="20"/>
      <c r="C562" s="20"/>
    </row>
    <row r="563" customFormat="false" ht="15" hidden="false" customHeight="false" outlineLevel="0" collapsed="false">
      <c r="A563" s="20"/>
      <c r="B563" s="20"/>
      <c r="C563" s="20"/>
    </row>
    <row r="564" customFormat="false" ht="15" hidden="false" customHeight="false" outlineLevel="0" collapsed="false">
      <c r="A564" s="20"/>
      <c r="B564" s="20"/>
      <c r="C564" s="20"/>
    </row>
    <row r="565" customFormat="false" ht="15" hidden="false" customHeight="false" outlineLevel="0" collapsed="false">
      <c r="A565" s="20"/>
      <c r="B565" s="20"/>
      <c r="C565" s="20"/>
    </row>
    <row r="566" customFormat="false" ht="15" hidden="false" customHeight="false" outlineLevel="0" collapsed="false">
      <c r="A566" s="20"/>
      <c r="B566" s="20"/>
      <c r="C566" s="20"/>
    </row>
    <row r="567" customFormat="false" ht="15" hidden="false" customHeight="false" outlineLevel="0" collapsed="false">
      <c r="A567" s="20"/>
      <c r="B567" s="20"/>
      <c r="C567" s="20"/>
    </row>
    <row r="568" customFormat="false" ht="15" hidden="false" customHeight="false" outlineLevel="0" collapsed="false">
      <c r="A568" s="20"/>
      <c r="B568" s="20"/>
      <c r="C568" s="20"/>
    </row>
    <row r="569" customFormat="false" ht="15" hidden="false" customHeight="false" outlineLevel="0" collapsed="false">
      <c r="A569" s="20"/>
      <c r="B569" s="20"/>
      <c r="C569" s="20"/>
    </row>
    <row r="570" customFormat="false" ht="15" hidden="false" customHeight="false" outlineLevel="0" collapsed="false">
      <c r="A570" s="20"/>
      <c r="B570" s="20"/>
      <c r="C570" s="20"/>
    </row>
    <row r="571" customFormat="false" ht="15" hidden="false" customHeight="false" outlineLevel="0" collapsed="false">
      <c r="A571" s="20"/>
      <c r="B571" s="20"/>
      <c r="C571" s="20"/>
    </row>
    <row r="572" customFormat="false" ht="15" hidden="false" customHeight="false" outlineLevel="0" collapsed="false">
      <c r="A572" s="20"/>
      <c r="B572" s="20"/>
      <c r="C572" s="20"/>
    </row>
    <row r="573" customFormat="false" ht="15" hidden="false" customHeight="false" outlineLevel="0" collapsed="false">
      <c r="A573" s="20"/>
      <c r="B573" s="20"/>
      <c r="C573" s="20"/>
    </row>
    <row r="574" customFormat="false" ht="15" hidden="false" customHeight="false" outlineLevel="0" collapsed="false">
      <c r="A574" s="20"/>
      <c r="B574" s="20"/>
      <c r="C574" s="20"/>
    </row>
    <row r="575" customFormat="false" ht="15" hidden="false" customHeight="false" outlineLevel="0" collapsed="false">
      <c r="A575" s="20"/>
      <c r="B575" s="20"/>
      <c r="C575" s="20"/>
    </row>
    <row r="576" customFormat="false" ht="15" hidden="false" customHeight="false" outlineLevel="0" collapsed="false">
      <c r="A576" s="20"/>
      <c r="B576" s="20"/>
      <c r="C576" s="20"/>
    </row>
    <row r="577" customFormat="false" ht="15" hidden="false" customHeight="false" outlineLevel="0" collapsed="false">
      <c r="A577" s="20"/>
      <c r="B577" s="20"/>
      <c r="C577" s="20"/>
    </row>
    <row r="578" customFormat="false" ht="15" hidden="false" customHeight="false" outlineLevel="0" collapsed="false">
      <c r="A578" s="20"/>
      <c r="B578" s="20"/>
      <c r="C578" s="20"/>
    </row>
    <row r="579" customFormat="false" ht="15" hidden="false" customHeight="false" outlineLevel="0" collapsed="false">
      <c r="A579" s="20"/>
      <c r="B579" s="20"/>
      <c r="C579" s="20"/>
    </row>
    <row r="580" customFormat="false" ht="15" hidden="false" customHeight="false" outlineLevel="0" collapsed="false">
      <c r="A580" s="20"/>
      <c r="B580" s="20"/>
      <c r="C580" s="20"/>
    </row>
    <row r="581" customFormat="false" ht="15" hidden="false" customHeight="false" outlineLevel="0" collapsed="false">
      <c r="A581" s="20"/>
      <c r="B581" s="20"/>
      <c r="C581" s="20"/>
    </row>
    <row r="582" customFormat="false" ht="15" hidden="false" customHeight="false" outlineLevel="0" collapsed="false">
      <c r="A582" s="20"/>
      <c r="B582" s="20"/>
      <c r="C582" s="20"/>
    </row>
    <row r="583" customFormat="false" ht="15" hidden="false" customHeight="false" outlineLevel="0" collapsed="false">
      <c r="A583" s="20"/>
      <c r="B583" s="20"/>
      <c r="C583" s="20"/>
    </row>
    <row r="584" customFormat="false" ht="15" hidden="false" customHeight="false" outlineLevel="0" collapsed="false">
      <c r="A584" s="20"/>
      <c r="B584" s="20"/>
      <c r="C584" s="20"/>
    </row>
    <row r="585" customFormat="false" ht="15" hidden="false" customHeight="false" outlineLevel="0" collapsed="false">
      <c r="A585" s="20"/>
      <c r="B585" s="20"/>
      <c r="C585" s="20"/>
    </row>
    <row r="586" customFormat="false" ht="15" hidden="false" customHeight="false" outlineLevel="0" collapsed="false">
      <c r="A586" s="20"/>
      <c r="B586" s="20"/>
      <c r="C586" s="20"/>
    </row>
    <row r="587" customFormat="false" ht="15" hidden="false" customHeight="false" outlineLevel="0" collapsed="false">
      <c r="A587" s="20"/>
      <c r="B587" s="20"/>
      <c r="C587" s="20"/>
    </row>
    <row r="588" customFormat="false" ht="15" hidden="false" customHeight="false" outlineLevel="0" collapsed="false">
      <c r="A588" s="20"/>
      <c r="B588" s="20"/>
      <c r="C588" s="20"/>
    </row>
    <row r="589" customFormat="false" ht="15" hidden="false" customHeight="false" outlineLevel="0" collapsed="false">
      <c r="A589" s="20"/>
      <c r="B589" s="20"/>
      <c r="C589" s="20"/>
    </row>
    <row r="590" customFormat="false" ht="15" hidden="false" customHeight="false" outlineLevel="0" collapsed="false">
      <c r="A590" s="20"/>
      <c r="B590" s="20"/>
      <c r="C590" s="20"/>
    </row>
    <row r="591" customFormat="false" ht="15" hidden="false" customHeight="false" outlineLevel="0" collapsed="false">
      <c r="A591" s="20"/>
      <c r="B591" s="20"/>
      <c r="C591" s="20"/>
    </row>
    <row r="592" customFormat="false" ht="15" hidden="false" customHeight="false" outlineLevel="0" collapsed="false">
      <c r="A592" s="20"/>
      <c r="B592" s="20"/>
      <c r="C592" s="20"/>
    </row>
    <row r="593" customFormat="false" ht="15" hidden="false" customHeight="false" outlineLevel="0" collapsed="false">
      <c r="A593" s="20"/>
      <c r="B593" s="20"/>
      <c r="C593" s="20"/>
    </row>
    <row r="594" customFormat="false" ht="15" hidden="false" customHeight="false" outlineLevel="0" collapsed="false">
      <c r="A594" s="20"/>
      <c r="B594" s="20"/>
      <c r="C594" s="20"/>
    </row>
    <row r="595" customFormat="false" ht="15" hidden="false" customHeight="false" outlineLevel="0" collapsed="false">
      <c r="A595" s="20"/>
      <c r="B595" s="20"/>
      <c r="C595" s="20"/>
    </row>
    <row r="596" customFormat="false" ht="15" hidden="false" customHeight="false" outlineLevel="0" collapsed="false">
      <c r="A596" s="20"/>
      <c r="B596" s="20"/>
      <c r="C596" s="20"/>
    </row>
    <row r="597" customFormat="false" ht="15" hidden="false" customHeight="false" outlineLevel="0" collapsed="false">
      <c r="A597" s="20"/>
      <c r="B597" s="20"/>
      <c r="C597" s="20"/>
    </row>
    <row r="598" customFormat="false" ht="15" hidden="false" customHeight="false" outlineLevel="0" collapsed="false">
      <c r="A598" s="20"/>
      <c r="B598" s="20"/>
      <c r="C598" s="20"/>
    </row>
    <row r="599" customFormat="false" ht="15" hidden="false" customHeight="false" outlineLevel="0" collapsed="false">
      <c r="A599" s="20"/>
      <c r="B599" s="20"/>
      <c r="C599" s="20"/>
    </row>
    <row r="600" customFormat="false" ht="15" hidden="false" customHeight="false" outlineLevel="0" collapsed="false">
      <c r="A600" s="20"/>
      <c r="B600" s="20"/>
      <c r="C600" s="20"/>
    </row>
    <row r="601" customFormat="false" ht="15" hidden="false" customHeight="false" outlineLevel="0" collapsed="false">
      <c r="A601" s="20"/>
      <c r="B601" s="20"/>
      <c r="C601" s="20"/>
    </row>
    <row r="602" customFormat="false" ht="15" hidden="false" customHeight="false" outlineLevel="0" collapsed="false">
      <c r="A602" s="20"/>
      <c r="B602" s="20"/>
      <c r="C602" s="20"/>
    </row>
    <row r="603" customFormat="false" ht="15" hidden="false" customHeight="false" outlineLevel="0" collapsed="false">
      <c r="A603" s="20"/>
      <c r="B603" s="20"/>
      <c r="C603" s="20"/>
    </row>
    <row r="604" customFormat="false" ht="15" hidden="false" customHeight="false" outlineLevel="0" collapsed="false">
      <c r="A604" s="20"/>
      <c r="B604" s="20"/>
      <c r="C604" s="20"/>
    </row>
    <row r="605" customFormat="false" ht="15" hidden="false" customHeight="false" outlineLevel="0" collapsed="false">
      <c r="A605" s="20"/>
      <c r="B605" s="20"/>
      <c r="C605" s="20"/>
    </row>
    <row r="606" customFormat="false" ht="15" hidden="false" customHeight="false" outlineLevel="0" collapsed="false">
      <c r="A606" s="20"/>
      <c r="B606" s="20"/>
      <c r="C606" s="20"/>
    </row>
    <row r="607" customFormat="false" ht="15" hidden="false" customHeight="false" outlineLevel="0" collapsed="false">
      <c r="A607" s="20"/>
      <c r="B607" s="20"/>
      <c r="C607" s="20"/>
    </row>
    <row r="608" customFormat="false" ht="15" hidden="false" customHeight="false" outlineLevel="0" collapsed="false">
      <c r="A608" s="20"/>
      <c r="B608" s="20"/>
      <c r="C608" s="20"/>
    </row>
    <row r="609" customFormat="false" ht="15" hidden="false" customHeight="false" outlineLevel="0" collapsed="false">
      <c r="A609" s="20"/>
      <c r="B609" s="20"/>
      <c r="C609" s="20"/>
    </row>
    <row r="610" customFormat="false" ht="15" hidden="false" customHeight="false" outlineLevel="0" collapsed="false">
      <c r="A610" s="20"/>
      <c r="B610" s="20"/>
      <c r="C610" s="20"/>
    </row>
    <row r="611" customFormat="false" ht="15" hidden="false" customHeight="false" outlineLevel="0" collapsed="false">
      <c r="A611" s="20"/>
      <c r="B611" s="20"/>
      <c r="C611" s="20"/>
    </row>
    <row r="612" customFormat="false" ht="15" hidden="false" customHeight="false" outlineLevel="0" collapsed="false">
      <c r="A612" s="20"/>
      <c r="B612" s="20"/>
      <c r="C612" s="20"/>
    </row>
    <row r="613" customFormat="false" ht="15" hidden="false" customHeight="false" outlineLevel="0" collapsed="false">
      <c r="A613" s="20"/>
      <c r="B613" s="20"/>
      <c r="C613" s="20"/>
    </row>
    <row r="614" customFormat="false" ht="15" hidden="false" customHeight="false" outlineLevel="0" collapsed="false">
      <c r="A614" s="20"/>
      <c r="B614" s="20"/>
      <c r="C614" s="20"/>
    </row>
    <row r="615" customFormat="false" ht="15" hidden="false" customHeight="false" outlineLevel="0" collapsed="false">
      <c r="A615" s="20"/>
      <c r="B615" s="20"/>
      <c r="C615" s="20"/>
    </row>
    <row r="616" customFormat="false" ht="15" hidden="false" customHeight="false" outlineLevel="0" collapsed="false">
      <c r="A616" s="20"/>
      <c r="B616" s="20"/>
      <c r="C616" s="20"/>
    </row>
    <row r="617" customFormat="false" ht="15" hidden="false" customHeight="false" outlineLevel="0" collapsed="false">
      <c r="A617" s="20"/>
      <c r="B617" s="20"/>
      <c r="C617" s="20"/>
    </row>
    <row r="618" customFormat="false" ht="15" hidden="false" customHeight="false" outlineLevel="0" collapsed="false">
      <c r="A618" s="20"/>
      <c r="B618" s="20"/>
      <c r="C618" s="20"/>
    </row>
    <row r="619" customFormat="false" ht="15" hidden="false" customHeight="false" outlineLevel="0" collapsed="false">
      <c r="A619" s="20"/>
      <c r="B619" s="20"/>
      <c r="C619" s="20"/>
    </row>
    <row r="620" customFormat="false" ht="15" hidden="false" customHeight="false" outlineLevel="0" collapsed="false">
      <c r="A620" s="20"/>
      <c r="B620" s="20"/>
      <c r="C620" s="20"/>
    </row>
    <row r="621" customFormat="false" ht="15" hidden="false" customHeight="false" outlineLevel="0" collapsed="false">
      <c r="A621" s="20"/>
      <c r="B621" s="20"/>
      <c r="C621" s="20"/>
    </row>
    <row r="622" customFormat="false" ht="15" hidden="false" customHeight="false" outlineLevel="0" collapsed="false">
      <c r="A622" s="20"/>
      <c r="B622" s="20"/>
      <c r="C622" s="20"/>
    </row>
    <row r="623" customFormat="false" ht="15" hidden="false" customHeight="false" outlineLevel="0" collapsed="false">
      <c r="A623" s="20"/>
      <c r="B623" s="20"/>
      <c r="C623" s="20"/>
    </row>
    <row r="624" customFormat="false" ht="15" hidden="false" customHeight="false" outlineLevel="0" collapsed="false">
      <c r="A624" s="20"/>
      <c r="B624" s="20"/>
      <c r="C624" s="20"/>
    </row>
    <row r="625" customFormat="false" ht="15" hidden="false" customHeight="false" outlineLevel="0" collapsed="false">
      <c r="A625" s="20"/>
      <c r="B625" s="20"/>
      <c r="C625" s="20"/>
    </row>
    <row r="626" customFormat="false" ht="15" hidden="false" customHeight="false" outlineLevel="0" collapsed="false">
      <c r="A626" s="20"/>
      <c r="B626" s="20"/>
      <c r="C626" s="20"/>
    </row>
    <row r="627" customFormat="false" ht="15" hidden="false" customHeight="false" outlineLevel="0" collapsed="false">
      <c r="A627" s="20"/>
      <c r="B627" s="20"/>
      <c r="C627" s="20"/>
    </row>
    <row r="628" customFormat="false" ht="15" hidden="false" customHeight="false" outlineLevel="0" collapsed="false">
      <c r="A628" s="20"/>
      <c r="B628" s="20"/>
      <c r="C628" s="20"/>
    </row>
    <row r="629" customFormat="false" ht="15" hidden="false" customHeight="false" outlineLevel="0" collapsed="false">
      <c r="A629" s="20"/>
      <c r="B629" s="20"/>
      <c r="C629" s="20"/>
    </row>
    <row r="630" customFormat="false" ht="15" hidden="false" customHeight="false" outlineLevel="0" collapsed="false">
      <c r="A630" s="20"/>
      <c r="B630" s="20"/>
      <c r="C630" s="20"/>
    </row>
    <row r="631" customFormat="false" ht="15" hidden="false" customHeight="false" outlineLevel="0" collapsed="false">
      <c r="A631" s="20"/>
      <c r="B631" s="20"/>
      <c r="C631" s="20"/>
    </row>
    <row r="632" customFormat="false" ht="15" hidden="false" customHeight="false" outlineLevel="0" collapsed="false">
      <c r="A632" s="20"/>
      <c r="B632" s="20"/>
      <c r="C632" s="20"/>
    </row>
    <row r="633" customFormat="false" ht="15" hidden="false" customHeight="false" outlineLevel="0" collapsed="false">
      <c r="A633" s="20"/>
      <c r="B633" s="20"/>
      <c r="C633" s="20"/>
    </row>
    <row r="634" customFormat="false" ht="15" hidden="false" customHeight="false" outlineLevel="0" collapsed="false">
      <c r="A634" s="20"/>
      <c r="B634" s="20"/>
      <c r="C634" s="20"/>
    </row>
    <row r="635" customFormat="false" ht="15" hidden="false" customHeight="false" outlineLevel="0" collapsed="false">
      <c r="A635" s="20"/>
      <c r="B635" s="20"/>
      <c r="C635" s="20"/>
    </row>
    <row r="636" customFormat="false" ht="15" hidden="false" customHeight="false" outlineLevel="0" collapsed="false">
      <c r="A636" s="20"/>
      <c r="B636" s="20"/>
      <c r="C636" s="20"/>
    </row>
    <row r="637" customFormat="false" ht="15" hidden="false" customHeight="false" outlineLevel="0" collapsed="false">
      <c r="A637" s="20"/>
      <c r="B637" s="20"/>
      <c r="C637" s="20"/>
    </row>
    <row r="638" customFormat="false" ht="15" hidden="false" customHeight="false" outlineLevel="0" collapsed="false">
      <c r="A638" s="20"/>
      <c r="B638" s="20"/>
      <c r="C638" s="20"/>
    </row>
    <row r="639" customFormat="false" ht="15" hidden="false" customHeight="false" outlineLevel="0" collapsed="false">
      <c r="A639" s="20"/>
      <c r="B639" s="20"/>
      <c r="C639" s="20"/>
    </row>
    <row r="640" customFormat="false" ht="15" hidden="false" customHeight="false" outlineLevel="0" collapsed="false">
      <c r="A640" s="20"/>
      <c r="B640" s="20"/>
      <c r="C640" s="20"/>
    </row>
    <row r="641" customFormat="false" ht="15" hidden="false" customHeight="false" outlineLevel="0" collapsed="false">
      <c r="A641" s="20"/>
      <c r="B641" s="20"/>
      <c r="C641" s="20"/>
    </row>
    <row r="642" customFormat="false" ht="15" hidden="false" customHeight="false" outlineLevel="0" collapsed="false">
      <c r="A642" s="20"/>
      <c r="B642" s="20"/>
      <c r="C642" s="20"/>
    </row>
    <row r="643" customFormat="false" ht="15" hidden="false" customHeight="false" outlineLevel="0" collapsed="false">
      <c r="A643" s="20"/>
      <c r="B643" s="20"/>
      <c r="C643" s="20"/>
    </row>
    <row r="644" customFormat="false" ht="15" hidden="false" customHeight="false" outlineLevel="0" collapsed="false">
      <c r="A644" s="20"/>
      <c r="B644" s="20"/>
      <c r="C644" s="20"/>
    </row>
    <row r="645" customFormat="false" ht="15" hidden="false" customHeight="false" outlineLevel="0" collapsed="false">
      <c r="A645" s="20"/>
      <c r="B645" s="20"/>
      <c r="C645" s="20"/>
    </row>
    <row r="646" customFormat="false" ht="15" hidden="false" customHeight="false" outlineLevel="0" collapsed="false">
      <c r="A646" s="20"/>
      <c r="B646" s="20"/>
      <c r="C646" s="20"/>
    </row>
    <row r="647" customFormat="false" ht="15" hidden="false" customHeight="false" outlineLevel="0" collapsed="false">
      <c r="A647" s="20"/>
      <c r="B647" s="20"/>
      <c r="C647" s="20"/>
    </row>
    <row r="648" customFormat="false" ht="15" hidden="false" customHeight="false" outlineLevel="0" collapsed="false">
      <c r="A648" s="20"/>
      <c r="B648" s="20"/>
      <c r="C648" s="20"/>
    </row>
    <row r="649" customFormat="false" ht="15" hidden="false" customHeight="false" outlineLevel="0" collapsed="false">
      <c r="A649" s="20"/>
      <c r="B649" s="20"/>
      <c r="C649" s="20"/>
    </row>
    <row r="650" customFormat="false" ht="15" hidden="false" customHeight="false" outlineLevel="0" collapsed="false">
      <c r="A650" s="20"/>
      <c r="B650" s="20"/>
      <c r="C650" s="20"/>
    </row>
    <row r="651" customFormat="false" ht="15" hidden="false" customHeight="false" outlineLevel="0" collapsed="false">
      <c r="A651" s="20"/>
      <c r="B651" s="20"/>
      <c r="C651" s="20"/>
    </row>
    <row r="652" customFormat="false" ht="15" hidden="false" customHeight="false" outlineLevel="0" collapsed="false">
      <c r="A652" s="20"/>
      <c r="B652" s="20"/>
      <c r="C652" s="20"/>
    </row>
    <row r="653" customFormat="false" ht="15" hidden="false" customHeight="false" outlineLevel="0" collapsed="false">
      <c r="A653" s="20"/>
      <c r="B653" s="20"/>
      <c r="C653" s="20"/>
    </row>
    <row r="654" customFormat="false" ht="15" hidden="false" customHeight="false" outlineLevel="0" collapsed="false">
      <c r="A654" s="20"/>
      <c r="B654" s="20"/>
      <c r="C654" s="20"/>
    </row>
    <row r="655" customFormat="false" ht="15" hidden="false" customHeight="false" outlineLevel="0" collapsed="false">
      <c r="A655" s="20"/>
      <c r="B655" s="20"/>
      <c r="C655" s="20"/>
    </row>
    <row r="656" customFormat="false" ht="15" hidden="false" customHeight="false" outlineLevel="0" collapsed="false">
      <c r="A656" s="20"/>
      <c r="B656" s="20"/>
      <c r="C656" s="20"/>
    </row>
    <row r="657" customFormat="false" ht="15" hidden="false" customHeight="false" outlineLevel="0" collapsed="false">
      <c r="A657" s="20"/>
      <c r="B657" s="20"/>
      <c r="C657" s="20"/>
    </row>
    <row r="658" customFormat="false" ht="15" hidden="false" customHeight="false" outlineLevel="0" collapsed="false">
      <c r="A658" s="20"/>
      <c r="B658" s="20"/>
      <c r="C658" s="20"/>
    </row>
    <row r="659" customFormat="false" ht="15" hidden="false" customHeight="false" outlineLevel="0" collapsed="false">
      <c r="A659" s="20"/>
      <c r="B659" s="20"/>
      <c r="C659" s="20"/>
    </row>
    <row r="660" customFormat="false" ht="15" hidden="false" customHeight="false" outlineLevel="0" collapsed="false">
      <c r="A660" s="20"/>
      <c r="B660" s="20"/>
      <c r="C660" s="20"/>
    </row>
    <row r="661" customFormat="false" ht="15" hidden="false" customHeight="false" outlineLevel="0" collapsed="false">
      <c r="A661" s="20"/>
      <c r="B661" s="20"/>
      <c r="C661" s="20"/>
    </row>
    <row r="662" customFormat="false" ht="15" hidden="false" customHeight="false" outlineLevel="0" collapsed="false">
      <c r="A662" s="20"/>
      <c r="B662" s="20"/>
      <c r="C662" s="20"/>
    </row>
    <row r="663" customFormat="false" ht="15" hidden="false" customHeight="false" outlineLevel="0" collapsed="false">
      <c r="A663" s="20"/>
      <c r="B663" s="20"/>
      <c r="C663" s="20"/>
    </row>
    <row r="664" customFormat="false" ht="15" hidden="false" customHeight="false" outlineLevel="0" collapsed="false">
      <c r="A664" s="20"/>
      <c r="B664" s="20"/>
      <c r="C664" s="20"/>
    </row>
    <row r="665" customFormat="false" ht="15" hidden="false" customHeight="false" outlineLevel="0" collapsed="false">
      <c r="A665" s="20"/>
      <c r="B665" s="20"/>
      <c r="C665" s="20"/>
    </row>
    <row r="666" customFormat="false" ht="15" hidden="false" customHeight="false" outlineLevel="0" collapsed="false">
      <c r="A666" s="20"/>
      <c r="B666" s="20"/>
      <c r="C666" s="20"/>
    </row>
    <row r="667" customFormat="false" ht="15" hidden="false" customHeight="false" outlineLevel="0" collapsed="false">
      <c r="A667" s="20"/>
      <c r="B667" s="20"/>
      <c r="C667" s="20"/>
    </row>
    <row r="668" customFormat="false" ht="15" hidden="false" customHeight="false" outlineLevel="0" collapsed="false">
      <c r="A668" s="20"/>
      <c r="B668" s="20"/>
      <c r="C668" s="20"/>
    </row>
    <row r="669" customFormat="false" ht="15" hidden="false" customHeight="false" outlineLevel="0" collapsed="false">
      <c r="A669" s="20"/>
      <c r="B669" s="20"/>
      <c r="C669" s="20"/>
    </row>
    <row r="670" customFormat="false" ht="15" hidden="false" customHeight="false" outlineLevel="0" collapsed="false">
      <c r="A670" s="20"/>
      <c r="B670" s="20"/>
      <c r="C670" s="20"/>
    </row>
    <row r="671" customFormat="false" ht="15" hidden="false" customHeight="false" outlineLevel="0" collapsed="false">
      <c r="A671" s="20"/>
      <c r="B671" s="20"/>
      <c r="C671" s="20"/>
    </row>
    <row r="672" customFormat="false" ht="15" hidden="false" customHeight="false" outlineLevel="0" collapsed="false">
      <c r="A672" s="20"/>
      <c r="B672" s="20"/>
      <c r="C672" s="20"/>
    </row>
    <row r="673" customFormat="false" ht="15" hidden="false" customHeight="false" outlineLevel="0" collapsed="false">
      <c r="A673" s="20"/>
      <c r="B673" s="20"/>
      <c r="C673" s="20"/>
    </row>
    <row r="674" customFormat="false" ht="15" hidden="false" customHeight="false" outlineLevel="0" collapsed="false">
      <c r="A674" s="20"/>
      <c r="B674" s="20"/>
      <c r="C674" s="20"/>
    </row>
    <row r="675" customFormat="false" ht="15" hidden="false" customHeight="false" outlineLevel="0" collapsed="false">
      <c r="A675" s="20"/>
      <c r="B675" s="20"/>
      <c r="C675" s="20"/>
    </row>
    <row r="676" customFormat="false" ht="15" hidden="false" customHeight="false" outlineLevel="0" collapsed="false">
      <c r="A676" s="20"/>
      <c r="B676" s="20"/>
      <c r="C676" s="20"/>
    </row>
    <row r="677" customFormat="false" ht="15" hidden="false" customHeight="false" outlineLevel="0" collapsed="false">
      <c r="A677" s="20"/>
      <c r="B677" s="20"/>
      <c r="C677" s="20"/>
    </row>
    <row r="678" customFormat="false" ht="15" hidden="false" customHeight="false" outlineLevel="0" collapsed="false">
      <c r="A678" s="20"/>
      <c r="B678" s="20"/>
      <c r="C678" s="20"/>
    </row>
    <row r="679" customFormat="false" ht="15" hidden="false" customHeight="false" outlineLevel="0" collapsed="false">
      <c r="A679" s="20"/>
      <c r="B679" s="20"/>
      <c r="C679" s="20"/>
    </row>
    <row r="680" customFormat="false" ht="15" hidden="false" customHeight="false" outlineLevel="0" collapsed="false">
      <c r="A680" s="20"/>
      <c r="B680" s="20"/>
      <c r="C680" s="20"/>
    </row>
    <row r="681" customFormat="false" ht="15" hidden="false" customHeight="false" outlineLevel="0" collapsed="false">
      <c r="A681" s="20"/>
      <c r="B681" s="20"/>
      <c r="C681" s="20"/>
    </row>
    <row r="682" customFormat="false" ht="15" hidden="false" customHeight="false" outlineLevel="0" collapsed="false">
      <c r="A682" s="20"/>
      <c r="B682" s="20"/>
      <c r="C682" s="20"/>
    </row>
    <row r="683" customFormat="false" ht="15" hidden="false" customHeight="false" outlineLevel="0" collapsed="false">
      <c r="A683" s="20"/>
      <c r="B683" s="20"/>
      <c r="C683" s="20"/>
    </row>
    <row r="684" customFormat="false" ht="15" hidden="false" customHeight="false" outlineLevel="0" collapsed="false">
      <c r="A684" s="20"/>
      <c r="B684" s="20"/>
      <c r="C684" s="20"/>
    </row>
    <row r="685" customFormat="false" ht="15" hidden="false" customHeight="false" outlineLevel="0" collapsed="false">
      <c r="A685" s="20"/>
      <c r="B685" s="20"/>
      <c r="C685" s="20"/>
    </row>
    <row r="686" customFormat="false" ht="15" hidden="false" customHeight="false" outlineLevel="0" collapsed="false">
      <c r="A686" s="20"/>
      <c r="B686" s="20"/>
      <c r="C686" s="20"/>
    </row>
    <row r="687" customFormat="false" ht="15" hidden="false" customHeight="false" outlineLevel="0" collapsed="false">
      <c r="A687" s="20"/>
      <c r="B687" s="20"/>
      <c r="C687" s="20"/>
    </row>
    <row r="688" customFormat="false" ht="15" hidden="false" customHeight="false" outlineLevel="0" collapsed="false">
      <c r="A688" s="20"/>
      <c r="B688" s="20"/>
      <c r="C688" s="20"/>
    </row>
    <row r="689" customFormat="false" ht="15" hidden="false" customHeight="false" outlineLevel="0" collapsed="false">
      <c r="A689" s="20"/>
      <c r="B689" s="20"/>
      <c r="C689" s="20"/>
    </row>
    <row r="690" customFormat="false" ht="15" hidden="false" customHeight="false" outlineLevel="0" collapsed="false">
      <c r="A690" s="20"/>
      <c r="B690" s="20"/>
      <c r="C690" s="20"/>
    </row>
    <row r="691" customFormat="false" ht="15" hidden="false" customHeight="false" outlineLevel="0" collapsed="false">
      <c r="A691" s="20"/>
      <c r="B691" s="20"/>
      <c r="C691" s="20"/>
    </row>
    <row r="692" customFormat="false" ht="15" hidden="false" customHeight="false" outlineLevel="0" collapsed="false">
      <c r="A692" s="20"/>
      <c r="B692" s="20"/>
      <c r="C692" s="20"/>
    </row>
    <row r="693" customFormat="false" ht="15" hidden="false" customHeight="false" outlineLevel="0" collapsed="false">
      <c r="A693" s="20"/>
      <c r="B693" s="20"/>
      <c r="C693" s="20"/>
    </row>
    <row r="694" customFormat="false" ht="15" hidden="false" customHeight="false" outlineLevel="0" collapsed="false">
      <c r="A694" s="20"/>
      <c r="B694" s="20"/>
      <c r="C694" s="20"/>
    </row>
    <row r="695" customFormat="false" ht="15" hidden="false" customHeight="false" outlineLevel="0" collapsed="false">
      <c r="A695" s="20"/>
      <c r="B695" s="20"/>
      <c r="C695" s="20"/>
    </row>
    <row r="696" customFormat="false" ht="15" hidden="false" customHeight="false" outlineLevel="0" collapsed="false">
      <c r="A696" s="20"/>
      <c r="B696" s="20"/>
      <c r="C696" s="20"/>
    </row>
    <row r="697" customFormat="false" ht="15" hidden="false" customHeight="false" outlineLevel="0" collapsed="false">
      <c r="A697" s="20"/>
      <c r="B697" s="20"/>
      <c r="C697" s="20"/>
    </row>
    <row r="698" customFormat="false" ht="15" hidden="false" customHeight="false" outlineLevel="0" collapsed="false">
      <c r="A698" s="20"/>
      <c r="B698" s="20"/>
      <c r="C698" s="20"/>
    </row>
    <row r="699" customFormat="false" ht="15" hidden="false" customHeight="false" outlineLevel="0" collapsed="false">
      <c r="A699" s="20"/>
      <c r="B699" s="20"/>
      <c r="C699" s="20"/>
    </row>
    <row r="700" customFormat="false" ht="15" hidden="false" customHeight="false" outlineLevel="0" collapsed="false">
      <c r="A700" s="20"/>
      <c r="B700" s="20"/>
      <c r="C700" s="20"/>
    </row>
    <row r="701" customFormat="false" ht="15" hidden="false" customHeight="false" outlineLevel="0" collapsed="false">
      <c r="A701" s="20"/>
      <c r="B701" s="20"/>
      <c r="C701" s="20"/>
    </row>
    <row r="702" customFormat="false" ht="15" hidden="false" customHeight="false" outlineLevel="0" collapsed="false">
      <c r="A702" s="20"/>
      <c r="B702" s="20"/>
      <c r="C702" s="20"/>
    </row>
    <row r="703" customFormat="false" ht="15" hidden="false" customHeight="false" outlineLevel="0" collapsed="false">
      <c r="A703" s="20"/>
      <c r="B703" s="20"/>
      <c r="C703" s="20"/>
    </row>
    <row r="704" customFormat="false" ht="15" hidden="false" customHeight="false" outlineLevel="0" collapsed="false">
      <c r="A704" s="20"/>
      <c r="B704" s="20"/>
      <c r="C704" s="20"/>
    </row>
    <row r="705" customFormat="false" ht="15" hidden="false" customHeight="false" outlineLevel="0" collapsed="false">
      <c r="A705" s="20"/>
      <c r="B705" s="20"/>
      <c r="C705" s="20"/>
    </row>
    <row r="706" customFormat="false" ht="15" hidden="false" customHeight="false" outlineLevel="0" collapsed="false">
      <c r="A706" s="20"/>
      <c r="B706" s="20"/>
      <c r="C706" s="20"/>
    </row>
    <row r="707" customFormat="false" ht="15" hidden="false" customHeight="false" outlineLevel="0" collapsed="false">
      <c r="A707" s="20"/>
      <c r="B707" s="20"/>
      <c r="C707" s="20"/>
    </row>
    <row r="708" customFormat="false" ht="15" hidden="false" customHeight="false" outlineLevel="0" collapsed="false">
      <c r="A708" s="20"/>
      <c r="B708" s="20"/>
      <c r="C708" s="20"/>
    </row>
    <row r="709" customFormat="false" ht="15" hidden="false" customHeight="false" outlineLevel="0" collapsed="false">
      <c r="A709" s="20"/>
      <c r="B709" s="20"/>
      <c r="C709" s="20"/>
    </row>
    <row r="710" customFormat="false" ht="15" hidden="false" customHeight="false" outlineLevel="0" collapsed="false">
      <c r="A710" s="20"/>
      <c r="B710" s="20"/>
      <c r="C710" s="20"/>
    </row>
    <row r="711" customFormat="false" ht="15" hidden="false" customHeight="false" outlineLevel="0" collapsed="false">
      <c r="A711" s="20"/>
      <c r="B711" s="20"/>
      <c r="C711" s="20"/>
    </row>
    <row r="712" customFormat="false" ht="15" hidden="false" customHeight="false" outlineLevel="0" collapsed="false">
      <c r="A712" s="20"/>
      <c r="B712" s="20"/>
      <c r="C712" s="20"/>
    </row>
    <row r="713" customFormat="false" ht="15" hidden="false" customHeight="false" outlineLevel="0" collapsed="false">
      <c r="A713" s="20"/>
      <c r="B713" s="20"/>
      <c r="C713" s="20"/>
    </row>
    <row r="714" customFormat="false" ht="15" hidden="false" customHeight="false" outlineLevel="0" collapsed="false">
      <c r="A714" s="20"/>
      <c r="B714" s="20"/>
      <c r="C714" s="20"/>
    </row>
    <row r="715" customFormat="false" ht="15" hidden="false" customHeight="false" outlineLevel="0" collapsed="false">
      <c r="A715" s="20"/>
      <c r="B715" s="20"/>
      <c r="C715" s="20"/>
    </row>
    <row r="716" customFormat="false" ht="15" hidden="false" customHeight="false" outlineLevel="0" collapsed="false">
      <c r="A716" s="20"/>
      <c r="B716" s="20"/>
      <c r="C716" s="20"/>
    </row>
    <row r="717" customFormat="false" ht="15" hidden="false" customHeight="false" outlineLevel="0" collapsed="false">
      <c r="A717" s="20"/>
      <c r="B717" s="20"/>
      <c r="C717" s="20"/>
    </row>
    <row r="718" customFormat="false" ht="15" hidden="false" customHeight="false" outlineLevel="0" collapsed="false">
      <c r="A718" s="20"/>
      <c r="B718" s="20"/>
      <c r="C718" s="20"/>
    </row>
    <row r="719" customFormat="false" ht="15" hidden="false" customHeight="false" outlineLevel="0" collapsed="false">
      <c r="A719" s="20"/>
      <c r="B719" s="20"/>
      <c r="C719" s="20"/>
    </row>
    <row r="720" customFormat="false" ht="15" hidden="false" customHeight="false" outlineLevel="0" collapsed="false">
      <c r="A720" s="20"/>
      <c r="B720" s="20"/>
      <c r="C720" s="20"/>
    </row>
    <row r="721" customFormat="false" ht="15" hidden="false" customHeight="false" outlineLevel="0" collapsed="false">
      <c r="A721" s="20"/>
      <c r="B721" s="20"/>
      <c r="C721" s="20"/>
    </row>
    <row r="722" customFormat="false" ht="15" hidden="false" customHeight="false" outlineLevel="0" collapsed="false">
      <c r="A722" s="20"/>
      <c r="B722" s="20"/>
      <c r="C722" s="20"/>
    </row>
    <row r="723" customFormat="false" ht="15" hidden="false" customHeight="false" outlineLevel="0" collapsed="false">
      <c r="A723" s="20"/>
      <c r="B723" s="20"/>
      <c r="C723" s="20"/>
    </row>
    <row r="724" customFormat="false" ht="15" hidden="false" customHeight="false" outlineLevel="0" collapsed="false">
      <c r="A724" s="20"/>
      <c r="B724" s="20"/>
      <c r="C724" s="20"/>
    </row>
    <row r="725" customFormat="false" ht="15" hidden="false" customHeight="false" outlineLevel="0" collapsed="false">
      <c r="A725" s="20"/>
      <c r="B725" s="20"/>
      <c r="C725" s="20"/>
    </row>
    <row r="726" customFormat="false" ht="15" hidden="false" customHeight="false" outlineLevel="0" collapsed="false">
      <c r="A726" s="20"/>
      <c r="B726" s="20"/>
      <c r="C726" s="20"/>
    </row>
    <row r="727" customFormat="false" ht="15" hidden="false" customHeight="false" outlineLevel="0" collapsed="false">
      <c r="A727" s="20"/>
      <c r="B727" s="20"/>
      <c r="C727" s="20"/>
    </row>
    <row r="728" customFormat="false" ht="15" hidden="false" customHeight="false" outlineLevel="0" collapsed="false">
      <c r="A728" s="20"/>
      <c r="B728" s="20"/>
      <c r="C728" s="20"/>
    </row>
    <row r="729" customFormat="false" ht="15" hidden="false" customHeight="false" outlineLevel="0" collapsed="false">
      <c r="A729" s="20"/>
      <c r="B729" s="20"/>
      <c r="C729" s="20"/>
    </row>
    <row r="730" customFormat="false" ht="15" hidden="false" customHeight="false" outlineLevel="0" collapsed="false">
      <c r="A730" s="20"/>
      <c r="B730" s="20"/>
      <c r="C730" s="20"/>
    </row>
    <row r="731" customFormat="false" ht="15" hidden="false" customHeight="false" outlineLevel="0" collapsed="false">
      <c r="A731" s="20"/>
      <c r="B731" s="20"/>
      <c r="C731" s="20"/>
    </row>
    <row r="732" customFormat="false" ht="15" hidden="false" customHeight="false" outlineLevel="0" collapsed="false">
      <c r="A732" s="20"/>
      <c r="B732" s="20"/>
      <c r="C732" s="20"/>
    </row>
    <row r="733" customFormat="false" ht="15" hidden="false" customHeight="false" outlineLevel="0" collapsed="false">
      <c r="A733" s="20"/>
      <c r="B733" s="20"/>
      <c r="C733" s="20"/>
    </row>
    <row r="734" customFormat="false" ht="15" hidden="false" customHeight="false" outlineLevel="0" collapsed="false">
      <c r="A734" s="20"/>
      <c r="B734" s="20"/>
      <c r="C734" s="20"/>
    </row>
    <row r="735" customFormat="false" ht="15" hidden="false" customHeight="false" outlineLevel="0" collapsed="false">
      <c r="A735" s="20"/>
      <c r="B735" s="20"/>
      <c r="C735" s="20"/>
    </row>
    <row r="736" customFormat="false" ht="15" hidden="false" customHeight="false" outlineLevel="0" collapsed="false">
      <c r="A736" s="20"/>
      <c r="B736" s="20"/>
      <c r="C736" s="20"/>
    </row>
    <row r="737" customFormat="false" ht="15" hidden="false" customHeight="false" outlineLevel="0" collapsed="false">
      <c r="A737" s="20"/>
      <c r="B737" s="20"/>
      <c r="C737" s="20"/>
    </row>
    <row r="738" customFormat="false" ht="15" hidden="false" customHeight="false" outlineLevel="0" collapsed="false">
      <c r="A738" s="20"/>
      <c r="B738" s="20"/>
      <c r="C738" s="20"/>
    </row>
    <row r="739" customFormat="false" ht="15" hidden="false" customHeight="false" outlineLevel="0" collapsed="false">
      <c r="A739" s="20"/>
      <c r="B739" s="20"/>
      <c r="C739" s="20"/>
    </row>
    <row r="740" customFormat="false" ht="15" hidden="false" customHeight="false" outlineLevel="0" collapsed="false">
      <c r="A740" s="20"/>
      <c r="B740" s="20"/>
      <c r="C740" s="20"/>
    </row>
    <row r="741" customFormat="false" ht="15" hidden="false" customHeight="false" outlineLevel="0" collapsed="false">
      <c r="A741" s="20"/>
      <c r="B741" s="20"/>
      <c r="C741" s="20"/>
    </row>
    <row r="742" customFormat="false" ht="15" hidden="false" customHeight="false" outlineLevel="0" collapsed="false">
      <c r="A742" s="20"/>
      <c r="B742" s="20"/>
      <c r="C742" s="20"/>
    </row>
    <row r="743" customFormat="false" ht="15" hidden="false" customHeight="false" outlineLevel="0" collapsed="false">
      <c r="A743" s="20"/>
      <c r="B743" s="20"/>
      <c r="C743" s="20"/>
    </row>
    <row r="744" customFormat="false" ht="15" hidden="false" customHeight="false" outlineLevel="0" collapsed="false">
      <c r="A744" s="20"/>
      <c r="B744" s="20"/>
      <c r="C744" s="20"/>
    </row>
    <row r="745" customFormat="false" ht="15" hidden="false" customHeight="false" outlineLevel="0" collapsed="false">
      <c r="A745" s="20"/>
      <c r="B745" s="20"/>
      <c r="C745" s="20"/>
    </row>
    <row r="746" customFormat="false" ht="15" hidden="false" customHeight="false" outlineLevel="0" collapsed="false">
      <c r="A746" s="20"/>
      <c r="B746" s="20"/>
      <c r="C746" s="20"/>
    </row>
    <row r="747" customFormat="false" ht="15" hidden="false" customHeight="false" outlineLevel="0" collapsed="false">
      <c r="A747" s="20"/>
      <c r="B747" s="20"/>
      <c r="C747" s="20"/>
    </row>
    <row r="748" customFormat="false" ht="15" hidden="false" customHeight="false" outlineLevel="0" collapsed="false">
      <c r="A748" s="20"/>
      <c r="B748" s="20"/>
      <c r="C748" s="20"/>
    </row>
    <row r="749" customFormat="false" ht="15" hidden="false" customHeight="false" outlineLevel="0" collapsed="false">
      <c r="A749" s="20"/>
      <c r="B749" s="20"/>
      <c r="C749" s="20"/>
    </row>
    <row r="750" customFormat="false" ht="15" hidden="false" customHeight="false" outlineLevel="0" collapsed="false">
      <c r="A750" s="20"/>
      <c r="B750" s="20"/>
      <c r="C750" s="20"/>
    </row>
    <row r="751" customFormat="false" ht="15" hidden="false" customHeight="false" outlineLevel="0" collapsed="false">
      <c r="A751" s="20"/>
      <c r="B751" s="20"/>
      <c r="C751" s="20"/>
    </row>
    <row r="752" customFormat="false" ht="15" hidden="false" customHeight="false" outlineLevel="0" collapsed="false">
      <c r="A752" s="20"/>
      <c r="B752" s="20"/>
      <c r="C752" s="20"/>
    </row>
    <row r="753" customFormat="false" ht="15" hidden="false" customHeight="false" outlineLevel="0" collapsed="false">
      <c r="A753" s="20"/>
      <c r="B753" s="20"/>
      <c r="C753" s="20"/>
    </row>
    <row r="754" customFormat="false" ht="15" hidden="false" customHeight="false" outlineLevel="0" collapsed="false">
      <c r="A754" s="20"/>
      <c r="B754" s="20"/>
      <c r="C754" s="20"/>
    </row>
    <row r="755" customFormat="false" ht="15" hidden="false" customHeight="false" outlineLevel="0" collapsed="false">
      <c r="A755" s="20"/>
      <c r="B755" s="20"/>
      <c r="C755" s="20"/>
    </row>
    <row r="756" customFormat="false" ht="15" hidden="false" customHeight="false" outlineLevel="0" collapsed="false">
      <c r="A756" s="20"/>
      <c r="B756" s="20"/>
      <c r="C756" s="20"/>
    </row>
    <row r="757" customFormat="false" ht="15" hidden="false" customHeight="false" outlineLevel="0" collapsed="false">
      <c r="A757" s="20"/>
      <c r="B757" s="20"/>
      <c r="C757" s="20"/>
    </row>
    <row r="758" customFormat="false" ht="15" hidden="false" customHeight="false" outlineLevel="0" collapsed="false">
      <c r="A758" s="20"/>
      <c r="B758" s="20"/>
      <c r="C758" s="20"/>
    </row>
    <row r="759" customFormat="false" ht="15" hidden="false" customHeight="false" outlineLevel="0" collapsed="false">
      <c r="A759" s="20"/>
      <c r="B759" s="20"/>
      <c r="C759" s="20"/>
    </row>
    <row r="760" customFormat="false" ht="15" hidden="false" customHeight="false" outlineLevel="0" collapsed="false">
      <c r="A760" s="20"/>
      <c r="B760" s="20"/>
      <c r="C760" s="20"/>
    </row>
    <row r="761" customFormat="false" ht="15" hidden="false" customHeight="false" outlineLevel="0" collapsed="false">
      <c r="A761" s="20"/>
      <c r="B761" s="20"/>
      <c r="C761" s="20"/>
    </row>
    <row r="762" customFormat="false" ht="15" hidden="false" customHeight="false" outlineLevel="0" collapsed="false">
      <c r="A762" s="20"/>
      <c r="B762" s="20"/>
      <c r="C762" s="20"/>
    </row>
    <row r="763" customFormat="false" ht="15" hidden="false" customHeight="false" outlineLevel="0" collapsed="false">
      <c r="A763" s="20"/>
      <c r="B763" s="20"/>
      <c r="C763" s="20"/>
    </row>
    <row r="764" customFormat="false" ht="15" hidden="false" customHeight="false" outlineLevel="0" collapsed="false">
      <c r="A764" s="20"/>
      <c r="B764" s="20"/>
      <c r="C764" s="20"/>
    </row>
    <row r="765" customFormat="false" ht="15" hidden="false" customHeight="false" outlineLevel="0" collapsed="false">
      <c r="A765" s="20"/>
      <c r="B765" s="20"/>
      <c r="C765" s="20"/>
    </row>
    <row r="766" customFormat="false" ht="15" hidden="false" customHeight="false" outlineLevel="0" collapsed="false">
      <c r="A766" s="20"/>
      <c r="B766" s="20"/>
      <c r="C766" s="20"/>
    </row>
    <row r="767" customFormat="false" ht="15" hidden="false" customHeight="false" outlineLevel="0" collapsed="false">
      <c r="A767" s="20"/>
      <c r="B767" s="20"/>
      <c r="C767" s="20"/>
    </row>
    <row r="768" customFormat="false" ht="15" hidden="false" customHeight="false" outlineLevel="0" collapsed="false">
      <c r="A768" s="20"/>
      <c r="B768" s="20"/>
      <c r="C768" s="20"/>
    </row>
    <row r="769" customFormat="false" ht="15" hidden="false" customHeight="false" outlineLevel="0" collapsed="false">
      <c r="A769" s="20"/>
      <c r="B769" s="20"/>
      <c r="C769" s="20"/>
    </row>
    <row r="770" customFormat="false" ht="15" hidden="false" customHeight="false" outlineLevel="0" collapsed="false">
      <c r="A770" s="20"/>
      <c r="B770" s="20"/>
      <c r="C770" s="20"/>
    </row>
    <row r="771" customFormat="false" ht="15" hidden="false" customHeight="false" outlineLevel="0" collapsed="false">
      <c r="A771" s="20"/>
      <c r="B771" s="20"/>
      <c r="C771" s="20"/>
    </row>
    <row r="772" customFormat="false" ht="15" hidden="false" customHeight="false" outlineLevel="0" collapsed="false">
      <c r="A772" s="20"/>
      <c r="B772" s="20"/>
      <c r="C772" s="20"/>
    </row>
    <row r="773" customFormat="false" ht="15" hidden="false" customHeight="false" outlineLevel="0" collapsed="false">
      <c r="A773" s="20"/>
      <c r="B773" s="20"/>
      <c r="C773" s="20"/>
    </row>
    <row r="774" customFormat="false" ht="15" hidden="false" customHeight="false" outlineLevel="0" collapsed="false">
      <c r="A774" s="20"/>
      <c r="B774" s="20"/>
      <c r="C774" s="20"/>
    </row>
    <row r="775" customFormat="false" ht="15" hidden="false" customHeight="false" outlineLevel="0" collapsed="false">
      <c r="A775" s="20"/>
      <c r="B775" s="20"/>
      <c r="C775" s="20"/>
    </row>
    <row r="776" customFormat="false" ht="15" hidden="false" customHeight="false" outlineLevel="0" collapsed="false">
      <c r="A776" s="20"/>
      <c r="B776" s="20"/>
      <c r="C776" s="20"/>
    </row>
    <row r="777" customFormat="false" ht="15" hidden="false" customHeight="false" outlineLevel="0" collapsed="false">
      <c r="A777" s="20"/>
      <c r="B777" s="20"/>
      <c r="C777" s="20"/>
    </row>
    <row r="778" customFormat="false" ht="15" hidden="false" customHeight="false" outlineLevel="0" collapsed="false">
      <c r="A778" s="20"/>
      <c r="B778" s="20"/>
      <c r="C778" s="20"/>
    </row>
    <row r="779" customFormat="false" ht="15" hidden="false" customHeight="false" outlineLevel="0" collapsed="false">
      <c r="A779" s="20"/>
      <c r="B779" s="20"/>
      <c r="C779" s="20"/>
    </row>
    <row r="780" customFormat="false" ht="15" hidden="false" customHeight="false" outlineLevel="0" collapsed="false">
      <c r="A780" s="20"/>
      <c r="B780" s="20"/>
      <c r="C780" s="20"/>
    </row>
    <row r="781" customFormat="false" ht="15" hidden="false" customHeight="false" outlineLevel="0" collapsed="false">
      <c r="A781" s="20"/>
      <c r="B781" s="20"/>
      <c r="C781" s="20"/>
    </row>
    <row r="782" customFormat="false" ht="15" hidden="false" customHeight="false" outlineLevel="0" collapsed="false">
      <c r="A782" s="20"/>
      <c r="B782" s="20"/>
      <c r="C782" s="20"/>
    </row>
    <row r="783" customFormat="false" ht="15" hidden="false" customHeight="false" outlineLevel="0" collapsed="false">
      <c r="A783" s="20"/>
      <c r="B783" s="20"/>
      <c r="C783" s="20"/>
    </row>
    <row r="784" customFormat="false" ht="15" hidden="false" customHeight="false" outlineLevel="0" collapsed="false">
      <c r="A784" s="20"/>
      <c r="B784" s="20"/>
      <c r="C784" s="20"/>
    </row>
    <row r="785" customFormat="false" ht="15" hidden="false" customHeight="false" outlineLevel="0" collapsed="false">
      <c r="A785" s="20"/>
      <c r="B785" s="20"/>
      <c r="C785" s="20"/>
    </row>
    <row r="786" customFormat="false" ht="15" hidden="false" customHeight="false" outlineLevel="0" collapsed="false">
      <c r="A786" s="20"/>
      <c r="B786" s="20"/>
      <c r="C786" s="20"/>
    </row>
    <row r="787" customFormat="false" ht="15" hidden="false" customHeight="false" outlineLevel="0" collapsed="false">
      <c r="A787" s="20"/>
      <c r="B787" s="20"/>
      <c r="C787" s="20"/>
    </row>
    <row r="788" customFormat="false" ht="15" hidden="false" customHeight="false" outlineLevel="0" collapsed="false">
      <c r="A788" s="20"/>
      <c r="B788" s="20"/>
      <c r="C788" s="20"/>
    </row>
    <row r="789" customFormat="false" ht="15" hidden="false" customHeight="false" outlineLevel="0" collapsed="false">
      <c r="A789" s="20"/>
      <c r="B789" s="20"/>
      <c r="C789" s="20"/>
    </row>
    <row r="790" customFormat="false" ht="15" hidden="false" customHeight="false" outlineLevel="0" collapsed="false">
      <c r="A790" s="20"/>
      <c r="B790" s="20"/>
      <c r="C790" s="20"/>
    </row>
    <row r="791" customFormat="false" ht="15" hidden="false" customHeight="false" outlineLevel="0" collapsed="false">
      <c r="A791" s="20"/>
      <c r="B791" s="20"/>
      <c r="C791" s="20"/>
    </row>
    <row r="792" customFormat="false" ht="15" hidden="false" customHeight="false" outlineLevel="0" collapsed="false">
      <c r="A792" s="20"/>
      <c r="B792" s="20"/>
      <c r="C792" s="20"/>
    </row>
    <row r="793" customFormat="false" ht="15" hidden="false" customHeight="false" outlineLevel="0" collapsed="false">
      <c r="A793" s="20"/>
      <c r="B793" s="20"/>
      <c r="C793" s="20"/>
    </row>
    <row r="794" customFormat="false" ht="15" hidden="false" customHeight="false" outlineLevel="0" collapsed="false">
      <c r="A794" s="20"/>
      <c r="B794" s="20"/>
      <c r="C794" s="20"/>
    </row>
    <row r="795" customFormat="false" ht="15" hidden="false" customHeight="false" outlineLevel="0" collapsed="false">
      <c r="A795" s="20"/>
      <c r="B795" s="20"/>
      <c r="C795" s="20"/>
    </row>
    <row r="796" customFormat="false" ht="15" hidden="false" customHeight="false" outlineLevel="0" collapsed="false">
      <c r="A796" s="20"/>
      <c r="B796" s="20"/>
      <c r="C796" s="20"/>
    </row>
    <row r="797" customFormat="false" ht="15" hidden="false" customHeight="false" outlineLevel="0" collapsed="false">
      <c r="A797" s="20"/>
      <c r="B797" s="20"/>
      <c r="C797" s="20"/>
    </row>
    <row r="798" customFormat="false" ht="15" hidden="false" customHeight="false" outlineLevel="0" collapsed="false">
      <c r="A798" s="20"/>
      <c r="B798" s="20"/>
      <c r="C798" s="20"/>
    </row>
    <row r="799" customFormat="false" ht="15" hidden="false" customHeight="false" outlineLevel="0" collapsed="false">
      <c r="A799" s="20"/>
      <c r="B799" s="20"/>
      <c r="C799" s="20"/>
    </row>
    <row r="800" customFormat="false" ht="15" hidden="false" customHeight="false" outlineLevel="0" collapsed="false">
      <c r="A800" s="20"/>
      <c r="B800" s="20"/>
      <c r="C800" s="20"/>
    </row>
    <row r="801" customFormat="false" ht="15" hidden="false" customHeight="false" outlineLevel="0" collapsed="false">
      <c r="A801" s="20"/>
      <c r="B801" s="20"/>
      <c r="C801" s="20"/>
    </row>
    <row r="802" customFormat="false" ht="15" hidden="false" customHeight="false" outlineLevel="0" collapsed="false">
      <c r="A802" s="20"/>
      <c r="B802" s="20"/>
      <c r="C802" s="20"/>
    </row>
    <row r="803" customFormat="false" ht="15" hidden="false" customHeight="false" outlineLevel="0" collapsed="false">
      <c r="A803" s="20"/>
      <c r="B803" s="20"/>
      <c r="C803" s="20"/>
    </row>
    <row r="804" customFormat="false" ht="15" hidden="false" customHeight="false" outlineLevel="0" collapsed="false">
      <c r="A804" s="20"/>
      <c r="B804" s="20"/>
      <c r="C804" s="20"/>
    </row>
    <row r="805" customFormat="false" ht="15" hidden="false" customHeight="false" outlineLevel="0" collapsed="false">
      <c r="A805" s="20"/>
      <c r="B805" s="20"/>
      <c r="C805" s="20"/>
    </row>
    <row r="806" customFormat="false" ht="15" hidden="false" customHeight="false" outlineLevel="0" collapsed="false">
      <c r="A806" s="20"/>
      <c r="B806" s="20"/>
      <c r="C806" s="20"/>
    </row>
    <row r="807" customFormat="false" ht="15" hidden="false" customHeight="false" outlineLevel="0" collapsed="false">
      <c r="A807" s="20"/>
      <c r="B807" s="20"/>
      <c r="C807" s="20"/>
    </row>
    <row r="808" customFormat="false" ht="15" hidden="false" customHeight="false" outlineLevel="0" collapsed="false">
      <c r="A808" s="20"/>
      <c r="B808" s="20"/>
      <c r="C808" s="20"/>
    </row>
    <row r="809" customFormat="false" ht="15" hidden="false" customHeight="false" outlineLevel="0" collapsed="false">
      <c r="A809" s="20"/>
      <c r="B809" s="20"/>
      <c r="C809" s="20"/>
    </row>
    <row r="810" customFormat="false" ht="15" hidden="false" customHeight="false" outlineLevel="0" collapsed="false">
      <c r="A810" s="20"/>
      <c r="B810" s="20"/>
      <c r="C810" s="20"/>
    </row>
    <row r="811" customFormat="false" ht="15" hidden="false" customHeight="false" outlineLevel="0" collapsed="false">
      <c r="A811" s="20"/>
      <c r="B811" s="20"/>
      <c r="C811" s="20"/>
    </row>
    <row r="812" customFormat="false" ht="15" hidden="false" customHeight="false" outlineLevel="0" collapsed="false">
      <c r="A812" s="20"/>
      <c r="B812" s="20"/>
      <c r="C812" s="20"/>
    </row>
    <row r="813" customFormat="false" ht="15" hidden="false" customHeight="false" outlineLevel="0" collapsed="false">
      <c r="A813" s="20"/>
      <c r="B813" s="20"/>
      <c r="C813" s="20"/>
    </row>
    <row r="814" customFormat="false" ht="15" hidden="false" customHeight="false" outlineLevel="0" collapsed="false">
      <c r="A814" s="20"/>
      <c r="B814" s="20"/>
      <c r="C814" s="20"/>
    </row>
    <row r="815" customFormat="false" ht="15" hidden="false" customHeight="false" outlineLevel="0" collapsed="false">
      <c r="A815" s="20"/>
      <c r="B815" s="20"/>
      <c r="C815" s="20"/>
    </row>
    <row r="816" customFormat="false" ht="15" hidden="false" customHeight="false" outlineLevel="0" collapsed="false">
      <c r="A816" s="20"/>
      <c r="B816" s="20"/>
      <c r="C816" s="20"/>
    </row>
    <row r="817" customFormat="false" ht="15" hidden="false" customHeight="false" outlineLevel="0" collapsed="false">
      <c r="A817" s="20"/>
      <c r="B817" s="20"/>
      <c r="C817" s="20"/>
    </row>
    <row r="818" customFormat="false" ht="15" hidden="false" customHeight="false" outlineLevel="0" collapsed="false">
      <c r="A818" s="20"/>
      <c r="B818" s="20"/>
      <c r="C818" s="20"/>
    </row>
    <row r="819" customFormat="false" ht="15" hidden="false" customHeight="false" outlineLevel="0" collapsed="false">
      <c r="A819" s="20"/>
      <c r="B819" s="20"/>
      <c r="C819" s="20"/>
    </row>
    <row r="820" customFormat="false" ht="15" hidden="false" customHeight="false" outlineLevel="0" collapsed="false">
      <c r="A820" s="20"/>
      <c r="B820" s="20"/>
      <c r="C820" s="20"/>
    </row>
    <row r="821" customFormat="false" ht="15" hidden="false" customHeight="false" outlineLevel="0" collapsed="false">
      <c r="A821" s="20"/>
      <c r="B821" s="20"/>
      <c r="C821" s="20"/>
    </row>
    <row r="822" customFormat="false" ht="15" hidden="false" customHeight="false" outlineLevel="0" collapsed="false">
      <c r="A822" s="20"/>
      <c r="B822" s="20"/>
      <c r="C822" s="20"/>
    </row>
    <row r="823" customFormat="false" ht="15" hidden="false" customHeight="false" outlineLevel="0" collapsed="false">
      <c r="A823" s="20"/>
      <c r="B823" s="20"/>
      <c r="C823" s="20"/>
    </row>
    <row r="824" customFormat="false" ht="15" hidden="false" customHeight="false" outlineLevel="0" collapsed="false">
      <c r="A824" s="20"/>
      <c r="B824" s="20"/>
      <c r="C824" s="20"/>
    </row>
    <row r="825" customFormat="false" ht="15" hidden="false" customHeight="false" outlineLevel="0" collapsed="false">
      <c r="A825" s="20"/>
      <c r="B825" s="20"/>
      <c r="C825" s="20"/>
    </row>
    <row r="826" customFormat="false" ht="15" hidden="false" customHeight="false" outlineLevel="0" collapsed="false">
      <c r="A826" s="20"/>
      <c r="B826" s="20"/>
      <c r="C826" s="20"/>
    </row>
    <row r="827" customFormat="false" ht="15" hidden="false" customHeight="false" outlineLevel="0" collapsed="false">
      <c r="A827" s="20"/>
      <c r="B827" s="20"/>
      <c r="C827" s="20"/>
    </row>
    <row r="828" customFormat="false" ht="15" hidden="false" customHeight="false" outlineLevel="0" collapsed="false">
      <c r="A828" s="20"/>
      <c r="B828" s="20"/>
      <c r="C828" s="20"/>
    </row>
    <row r="829" customFormat="false" ht="15" hidden="false" customHeight="false" outlineLevel="0" collapsed="false">
      <c r="A829" s="20"/>
      <c r="B829" s="20"/>
      <c r="C829" s="20"/>
    </row>
    <row r="830" customFormat="false" ht="15" hidden="false" customHeight="false" outlineLevel="0" collapsed="false">
      <c r="A830" s="20"/>
      <c r="B830" s="20"/>
      <c r="C830" s="20"/>
    </row>
    <row r="831" customFormat="false" ht="15" hidden="false" customHeight="false" outlineLevel="0" collapsed="false">
      <c r="A831" s="20"/>
      <c r="B831" s="20"/>
      <c r="C831" s="20"/>
    </row>
    <row r="832" customFormat="false" ht="15" hidden="false" customHeight="false" outlineLevel="0" collapsed="false">
      <c r="A832" s="20"/>
      <c r="B832" s="20"/>
      <c r="C832" s="20"/>
    </row>
    <row r="833" customFormat="false" ht="15" hidden="false" customHeight="false" outlineLevel="0" collapsed="false">
      <c r="A833" s="20"/>
      <c r="B833" s="20"/>
      <c r="C833" s="20"/>
    </row>
    <row r="834" customFormat="false" ht="15" hidden="false" customHeight="false" outlineLevel="0" collapsed="false">
      <c r="A834" s="20"/>
      <c r="B834" s="20"/>
      <c r="C834" s="20"/>
    </row>
    <row r="835" customFormat="false" ht="15" hidden="false" customHeight="false" outlineLevel="0" collapsed="false">
      <c r="A835" s="20"/>
      <c r="B835" s="20"/>
      <c r="C835" s="20"/>
    </row>
    <row r="836" customFormat="false" ht="15" hidden="false" customHeight="false" outlineLevel="0" collapsed="false">
      <c r="A836" s="20"/>
      <c r="B836" s="20"/>
      <c r="C836" s="20"/>
    </row>
    <row r="837" customFormat="false" ht="15" hidden="false" customHeight="false" outlineLevel="0" collapsed="false">
      <c r="A837" s="20"/>
      <c r="B837" s="20"/>
      <c r="C837" s="20"/>
    </row>
    <row r="838" customFormat="false" ht="15" hidden="false" customHeight="false" outlineLevel="0" collapsed="false">
      <c r="A838" s="20"/>
      <c r="B838" s="20"/>
      <c r="C838" s="20"/>
    </row>
    <row r="839" customFormat="false" ht="15" hidden="false" customHeight="false" outlineLevel="0" collapsed="false">
      <c r="A839" s="20"/>
      <c r="B839" s="20"/>
      <c r="C839" s="20"/>
    </row>
    <row r="840" customFormat="false" ht="15" hidden="false" customHeight="false" outlineLevel="0" collapsed="false">
      <c r="A840" s="20"/>
      <c r="B840" s="20"/>
      <c r="C840" s="20"/>
    </row>
    <row r="841" customFormat="false" ht="15" hidden="false" customHeight="false" outlineLevel="0" collapsed="false">
      <c r="A841" s="20"/>
      <c r="B841" s="20"/>
      <c r="C841" s="20"/>
    </row>
    <row r="842" customFormat="false" ht="15" hidden="false" customHeight="false" outlineLevel="0" collapsed="false">
      <c r="A842" s="20"/>
      <c r="B842" s="20"/>
      <c r="C842" s="20"/>
    </row>
    <row r="843" customFormat="false" ht="15" hidden="false" customHeight="false" outlineLevel="0" collapsed="false">
      <c r="A843" s="20"/>
      <c r="B843" s="20"/>
      <c r="C843" s="20"/>
    </row>
    <row r="844" customFormat="false" ht="15" hidden="false" customHeight="false" outlineLevel="0" collapsed="false">
      <c r="A844" s="20"/>
      <c r="B844" s="20"/>
      <c r="C844" s="20"/>
    </row>
    <row r="845" customFormat="false" ht="15" hidden="false" customHeight="false" outlineLevel="0" collapsed="false">
      <c r="A845" s="20"/>
      <c r="B845" s="20"/>
      <c r="C845" s="20"/>
    </row>
    <row r="846" customFormat="false" ht="15" hidden="false" customHeight="false" outlineLevel="0" collapsed="false">
      <c r="A846" s="20"/>
      <c r="B846" s="20"/>
      <c r="C846" s="20"/>
    </row>
    <row r="847" customFormat="false" ht="15" hidden="false" customHeight="false" outlineLevel="0" collapsed="false">
      <c r="A847" s="20"/>
      <c r="B847" s="20"/>
      <c r="C847" s="20"/>
    </row>
    <row r="848" customFormat="false" ht="15" hidden="false" customHeight="false" outlineLevel="0" collapsed="false">
      <c r="A848" s="20"/>
      <c r="B848" s="20"/>
      <c r="C848" s="20"/>
    </row>
    <row r="849" customFormat="false" ht="15" hidden="false" customHeight="false" outlineLevel="0" collapsed="false">
      <c r="A849" s="20"/>
      <c r="B849" s="20"/>
      <c r="C849" s="20"/>
    </row>
    <row r="850" customFormat="false" ht="15" hidden="false" customHeight="false" outlineLevel="0" collapsed="false">
      <c r="A850" s="20"/>
      <c r="B850" s="20"/>
      <c r="C850" s="20"/>
    </row>
    <row r="851" customFormat="false" ht="15" hidden="false" customHeight="false" outlineLevel="0" collapsed="false">
      <c r="A851" s="20"/>
      <c r="B851" s="20"/>
      <c r="C851" s="20"/>
    </row>
    <row r="852" customFormat="false" ht="15" hidden="false" customHeight="false" outlineLevel="0" collapsed="false">
      <c r="A852" s="20"/>
      <c r="B852" s="20"/>
      <c r="C852" s="20"/>
    </row>
    <row r="853" customFormat="false" ht="15" hidden="false" customHeight="false" outlineLevel="0" collapsed="false">
      <c r="A853" s="20"/>
      <c r="B853" s="20"/>
      <c r="C853" s="20"/>
    </row>
    <row r="854" customFormat="false" ht="15" hidden="false" customHeight="false" outlineLevel="0" collapsed="false">
      <c r="A854" s="20"/>
      <c r="B854" s="20"/>
      <c r="C854" s="20"/>
    </row>
    <row r="855" customFormat="false" ht="15" hidden="false" customHeight="false" outlineLevel="0" collapsed="false">
      <c r="A855" s="20"/>
      <c r="B855" s="20"/>
      <c r="C855" s="20"/>
    </row>
    <row r="856" customFormat="false" ht="15" hidden="false" customHeight="false" outlineLevel="0" collapsed="false">
      <c r="A856" s="20"/>
      <c r="B856" s="20"/>
      <c r="C856" s="20"/>
    </row>
    <row r="857" customFormat="false" ht="15" hidden="false" customHeight="false" outlineLevel="0" collapsed="false">
      <c r="A857" s="20"/>
      <c r="B857" s="20"/>
      <c r="C857" s="20"/>
    </row>
    <row r="858" customFormat="false" ht="15" hidden="false" customHeight="false" outlineLevel="0" collapsed="false">
      <c r="A858" s="20"/>
      <c r="B858" s="20"/>
      <c r="C858" s="20"/>
    </row>
    <row r="859" customFormat="false" ht="15" hidden="false" customHeight="false" outlineLevel="0" collapsed="false">
      <c r="A859" s="20"/>
      <c r="B859" s="20"/>
      <c r="C859" s="20"/>
    </row>
    <row r="860" customFormat="false" ht="15" hidden="false" customHeight="false" outlineLevel="0" collapsed="false">
      <c r="A860" s="20"/>
      <c r="B860" s="20"/>
      <c r="C860" s="20"/>
    </row>
    <row r="861" customFormat="false" ht="15" hidden="false" customHeight="false" outlineLevel="0" collapsed="false">
      <c r="A861" s="20"/>
      <c r="B861" s="20"/>
      <c r="C861" s="20"/>
    </row>
    <row r="862" customFormat="false" ht="15" hidden="false" customHeight="false" outlineLevel="0" collapsed="false">
      <c r="A862" s="20"/>
      <c r="B862" s="20"/>
      <c r="C862" s="20"/>
    </row>
    <row r="863" customFormat="false" ht="15" hidden="false" customHeight="false" outlineLevel="0" collapsed="false">
      <c r="A863" s="20"/>
      <c r="B863" s="20"/>
      <c r="C863" s="20"/>
    </row>
    <row r="864" customFormat="false" ht="15" hidden="false" customHeight="false" outlineLevel="0" collapsed="false">
      <c r="A864" s="20"/>
      <c r="B864" s="20"/>
      <c r="C864" s="20"/>
    </row>
    <row r="865" customFormat="false" ht="15" hidden="false" customHeight="false" outlineLevel="0" collapsed="false">
      <c r="A865" s="20"/>
      <c r="B865" s="20"/>
      <c r="C865" s="20"/>
    </row>
    <row r="866" customFormat="false" ht="15" hidden="false" customHeight="false" outlineLevel="0" collapsed="false">
      <c r="A866" s="20"/>
      <c r="B866" s="20"/>
      <c r="C866" s="20"/>
    </row>
    <row r="867" customFormat="false" ht="15" hidden="false" customHeight="false" outlineLevel="0" collapsed="false">
      <c r="A867" s="20"/>
      <c r="B867" s="20"/>
      <c r="C867" s="20"/>
    </row>
    <row r="868" customFormat="false" ht="15" hidden="false" customHeight="false" outlineLevel="0" collapsed="false">
      <c r="A868" s="20"/>
      <c r="B868" s="20"/>
      <c r="C868" s="20"/>
    </row>
    <row r="869" customFormat="false" ht="15" hidden="false" customHeight="false" outlineLevel="0" collapsed="false">
      <c r="A869" s="20"/>
      <c r="B869" s="20"/>
      <c r="C869" s="20"/>
    </row>
    <row r="870" customFormat="false" ht="15" hidden="false" customHeight="false" outlineLevel="0" collapsed="false">
      <c r="A870" s="20"/>
      <c r="B870" s="20"/>
      <c r="C870" s="20"/>
    </row>
    <row r="871" customFormat="false" ht="15" hidden="false" customHeight="false" outlineLevel="0" collapsed="false">
      <c r="A871" s="20"/>
      <c r="B871" s="20"/>
      <c r="C871" s="20"/>
    </row>
    <row r="872" customFormat="false" ht="15" hidden="false" customHeight="false" outlineLevel="0" collapsed="false">
      <c r="A872" s="20"/>
      <c r="B872" s="20"/>
      <c r="C872" s="20"/>
    </row>
    <row r="873" customFormat="false" ht="15" hidden="false" customHeight="false" outlineLevel="0" collapsed="false">
      <c r="A873" s="20"/>
      <c r="B873" s="20"/>
      <c r="C873" s="20"/>
    </row>
    <row r="874" customFormat="false" ht="15" hidden="false" customHeight="false" outlineLevel="0" collapsed="false">
      <c r="A874" s="20"/>
      <c r="B874" s="20"/>
      <c r="C874" s="20"/>
    </row>
    <row r="875" customFormat="false" ht="15" hidden="false" customHeight="false" outlineLevel="0" collapsed="false">
      <c r="A875" s="20"/>
      <c r="B875" s="20"/>
      <c r="C875" s="20"/>
    </row>
    <row r="876" customFormat="false" ht="15" hidden="false" customHeight="false" outlineLevel="0" collapsed="false">
      <c r="A876" s="20"/>
      <c r="B876" s="20"/>
      <c r="C876" s="20"/>
    </row>
    <row r="877" customFormat="false" ht="15" hidden="false" customHeight="false" outlineLevel="0" collapsed="false">
      <c r="A877" s="20"/>
      <c r="B877" s="20"/>
      <c r="C877" s="20"/>
    </row>
    <row r="878" customFormat="false" ht="15" hidden="false" customHeight="false" outlineLevel="0" collapsed="false">
      <c r="A878" s="20"/>
      <c r="B878" s="20"/>
      <c r="C878" s="20"/>
    </row>
    <row r="879" customFormat="false" ht="15" hidden="false" customHeight="false" outlineLevel="0" collapsed="false">
      <c r="A879" s="20"/>
      <c r="B879" s="20"/>
      <c r="C879" s="20"/>
    </row>
    <row r="880" customFormat="false" ht="15" hidden="false" customHeight="false" outlineLevel="0" collapsed="false">
      <c r="A880" s="20"/>
      <c r="B880" s="20"/>
      <c r="C880" s="20"/>
    </row>
    <row r="881" customFormat="false" ht="15" hidden="false" customHeight="false" outlineLevel="0" collapsed="false">
      <c r="A881" s="20"/>
      <c r="B881" s="20"/>
      <c r="C881" s="20"/>
    </row>
    <row r="882" customFormat="false" ht="15" hidden="false" customHeight="false" outlineLevel="0" collapsed="false">
      <c r="A882" s="20"/>
      <c r="B882" s="20"/>
      <c r="C882" s="20"/>
    </row>
    <row r="883" customFormat="false" ht="15" hidden="false" customHeight="false" outlineLevel="0" collapsed="false">
      <c r="A883" s="20"/>
      <c r="B883" s="20"/>
      <c r="C883" s="20"/>
    </row>
    <row r="884" customFormat="false" ht="15" hidden="false" customHeight="false" outlineLevel="0" collapsed="false">
      <c r="A884" s="20"/>
      <c r="B884" s="20"/>
      <c r="C884" s="20"/>
    </row>
    <row r="885" customFormat="false" ht="15" hidden="false" customHeight="false" outlineLevel="0" collapsed="false">
      <c r="A885" s="20"/>
      <c r="B885" s="20"/>
      <c r="C885" s="20"/>
    </row>
    <row r="886" customFormat="false" ht="15" hidden="false" customHeight="false" outlineLevel="0" collapsed="false">
      <c r="A886" s="20"/>
      <c r="B886" s="20"/>
      <c r="C886" s="20"/>
    </row>
    <row r="887" customFormat="false" ht="15" hidden="false" customHeight="false" outlineLevel="0" collapsed="false">
      <c r="A887" s="20"/>
      <c r="B887" s="20"/>
      <c r="C887" s="20"/>
    </row>
    <row r="888" customFormat="false" ht="15" hidden="false" customHeight="false" outlineLevel="0" collapsed="false">
      <c r="A888" s="20"/>
      <c r="B888" s="20"/>
      <c r="C888" s="20"/>
    </row>
    <row r="889" customFormat="false" ht="15" hidden="false" customHeight="false" outlineLevel="0" collapsed="false">
      <c r="A889" s="20"/>
      <c r="B889" s="20"/>
      <c r="C889" s="20"/>
    </row>
    <row r="890" customFormat="false" ht="15" hidden="false" customHeight="false" outlineLevel="0" collapsed="false">
      <c r="A890" s="20"/>
      <c r="B890" s="20"/>
      <c r="C890" s="20"/>
    </row>
    <row r="891" customFormat="false" ht="15" hidden="false" customHeight="false" outlineLevel="0" collapsed="false">
      <c r="A891" s="20"/>
      <c r="B891" s="20"/>
      <c r="C891" s="20"/>
    </row>
    <row r="892" customFormat="false" ht="15" hidden="false" customHeight="false" outlineLevel="0" collapsed="false">
      <c r="A892" s="20"/>
      <c r="B892" s="20"/>
      <c r="C892" s="20"/>
    </row>
    <row r="893" customFormat="false" ht="15" hidden="false" customHeight="false" outlineLevel="0" collapsed="false">
      <c r="A893" s="20"/>
      <c r="B893" s="20"/>
      <c r="C893" s="20"/>
    </row>
    <row r="894" customFormat="false" ht="15" hidden="false" customHeight="false" outlineLevel="0" collapsed="false">
      <c r="A894" s="20"/>
      <c r="B894" s="20"/>
      <c r="C894" s="20"/>
    </row>
    <row r="895" customFormat="false" ht="15" hidden="false" customHeight="false" outlineLevel="0" collapsed="false">
      <c r="A895" s="20"/>
      <c r="B895" s="20"/>
      <c r="C895" s="20"/>
    </row>
    <row r="896" customFormat="false" ht="15" hidden="false" customHeight="false" outlineLevel="0" collapsed="false">
      <c r="A896" s="20"/>
      <c r="B896" s="20"/>
      <c r="C896" s="20"/>
    </row>
    <row r="897" customFormat="false" ht="15" hidden="false" customHeight="false" outlineLevel="0" collapsed="false">
      <c r="A897" s="20"/>
      <c r="B897" s="20"/>
      <c r="C897" s="20"/>
    </row>
    <row r="898" customFormat="false" ht="15" hidden="false" customHeight="false" outlineLevel="0" collapsed="false">
      <c r="A898" s="20"/>
      <c r="B898" s="20"/>
      <c r="C898" s="20"/>
    </row>
    <row r="899" customFormat="false" ht="15" hidden="false" customHeight="false" outlineLevel="0" collapsed="false">
      <c r="A899" s="20"/>
      <c r="B899" s="20"/>
      <c r="C899" s="20"/>
    </row>
    <row r="900" customFormat="false" ht="15" hidden="false" customHeight="false" outlineLevel="0" collapsed="false">
      <c r="A900" s="20"/>
      <c r="B900" s="20"/>
      <c r="C900" s="20"/>
    </row>
    <row r="901" customFormat="false" ht="15" hidden="false" customHeight="false" outlineLevel="0" collapsed="false">
      <c r="A901" s="20"/>
      <c r="B901" s="20"/>
      <c r="C901" s="20"/>
    </row>
    <row r="902" customFormat="false" ht="15" hidden="false" customHeight="false" outlineLevel="0" collapsed="false">
      <c r="A902" s="20"/>
      <c r="B902" s="20"/>
      <c r="C902" s="20"/>
    </row>
    <row r="903" customFormat="false" ht="15" hidden="false" customHeight="false" outlineLevel="0" collapsed="false">
      <c r="A903" s="20"/>
      <c r="B903" s="20"/>
      <c r="C903" s="20"/>
    </row>
    <row r="904" customFormat="false" ht="15" hidden="false" customHeight="false" outlineLevel="0" collapsed="false">
      <c r="A904" s="20"/>
      <c r="B904" s="20"/>
      <c r="C904" s="20"/>
    </row>
    <row r="905" customFormat="false" ht="15" hidden="false" customHeight="false" outlineLevel="0" collapsed="false">
      <c r="A905" s="20"/>
      <c r="B905" s="20"/>
      <c r="C905" s="20"/>
    </row>
    <row r="906" customFormat="false" ht="15" hidden="false" customHeight="false" outlineLevel="0" collapsed="false">
      <c r="A906" s="20"/>
      <c r="B906" s="20"/>
      <c r="C906" s="20"/>
    </row>
    <row r="907" customFormat="false" ht="15" hidden="false" customHeight="false" outlineLevel="0" collapsed="false">
      <c r="A907" s="20"/>
      <c r="B907" s="20"/>
      <c r="C907" s="20"/>
    </row>
    <row r="908" customFormat="false" ht="15" hidden="false" customHeight="false" outlineLevel="0" collapsed="false">
      <c r="A908" s="20"/>
      <c r="B908" s="20"/>
      <c r="C908" s="20"/>
    </row>
    <row r="909" customFormat="false" ht="15" hidden="false" customHeight="false" outlineLevel="0" collapsed="false">
      <c r="A909" s="20"/>
      <c r="B909" s="20"/>
      <c r="C909" s="20"/>
    </row>
    <row r="910" customFormat="false" ht="15" hidden="false" customHeight="false" outlineLevel="0" collapsed="false">
      <c r="A910" s="20"/>
      <c r="B910" s="20"/>
      <c r="C910" s="20"/>
    </row>
    <row r="911" customFormat="false" ht="15" hidden="false" customHeight="false" outlineLevel="0" collapsed="false">
      <c r="A911" s="20"/>
      <c r="B911" s="20"/>
      <c r="C911" s="20"/>
    </row>
    <row r="912" customFormat="false" ht="15" hidden="false" customHeight="false" outlineLevel="0" collapsed="false">
      <c r="A912" s="20"/>
      <c r="B912" s="20"/>
      <c r="C912" s="20"/>
    </row>
    <row r="913" customFormat="false" ht="15" hidden="false" customHeight="false" outlineLevel="0" collapsed="false">
      <c r="A913" s="20"/>
      <c r="B913" s="20"/>
      <c r="C913" s="20"/>
    </row>
    <row r="914" customFormat="false" ht="15" hidden="false" customHeight="false" outlineLevel="0" collapsed="false">
      <c r="A914" s="20"/>
      <c r="B914" s="20"/>
      <c r="C914" s="20"/>
    </row>
    <row r="915" customFormat="false" ht="15" hidden="false" customHeight="false" outlineLevel="0" collapsed="false">
      <c r="A915" s="20"/>
      <c r="B915" s="20"/>
      <c r="C915" s="20"/>
    </row>
    <row r="916" customFormat="false" ht="15" hidden="false" customHeight="false" outlineLevel="0" collapsed="false">
      <c r="A916" s="20"/>
      <c r="B916" s="20"/>
      <c r="C916" s="20"/>
    </row>
    <row r="917" customFormat="false" ht="15" hidden="false" customHeight="false" outlineLevel="0" collapsed="false">
      <c r="A917" s="20"/>
      <c r="B917" s="20"/>
      <c r="C917" s="20"/>
    </row>
    <row r="918" customFormat="false" ht="15" hidden="false" customHeight="false" outlineLevel="0" collapsed="false">
      <c r="A918" s="20"/>
      <c r="B918" s="20"/>
      <c r="C918" s="20"/>
    </row>
    <row r="919" customFormat="false" ht="15" hidden="false" customHeight="false" outlineLevel="0" collapsed="false">
      <c r="A919" s="20"/>
      <c r="B919" s="20"/>
      <c r="C919" s="20"/>
    </row>
    <row r="920" customFormat="false" ht="15" hidden="false" customHeight="false" outlineLevel="0" collapsed="false">
      <c r="A920" s="20"/>
      <c r="B920" s="20"/>
      <c r="C920" s="20"/>
    </row>
    <row r="921" customFormat="false" ht="15" hidden="false" customHeight="false" outlineLevel="0" collapsed="false">
      <c r="A921" s="20"/>
      <c r="B921" s="20"/>
      <c r="C921" s="20"/>
    </row>
    <row r="922" customFormat="false" ht="15" hidden="false" customHeight="false" outlineLevel="0" collapsed="false">
      <c r="A922" s="20"/>
      <c r="B922" s="20"/>
      <c r="C922" s="20"/>
    </row>
    <row r="923" customFormat="false" ht="15" hidden="false" customHeight="false" outlineLevel="0" collapsed="false">
      <c r="A923" s="20"/>
      <c r="B923" s="20"/>
      <c r="C923" s="20"/>
    </row>
    <row r="924" customFormat="false" ht="15" hidden="false" customHeight="false" outlineLevel="0" collapsed="false">
      <c r="A924" s="20"/>
      <c r="B924" s="20"/>
      <c r="C924" s="20"/>
    </row>
    <row r="925" customFormat="false" ht="15" hidden="false" customHeight="false" outlineLevel="0" collapsed="false">
      <c r="A925" s="20"/>
      <c r="B925" s="20"/>
      <c r="C925" s="20"/>
    </row>
    <row r="926" customFormat="false" ht="15" hidden="false" customHeight="false" outlineLevel="0" collapsed="false">
      <c r="A926" s="20"/>
      <c r="B926" s="20"/>
      <c r="C926" s="20"/>
    </row>
    <row r="927" customFormat="false" ht="15" hidden="false" customHeight="false" outlineLevel="0" collapsed="false">
      <c r="A927" s="20"/>
      <c r="B927" s="20"/>
      <c r="C927" s="20"/>
    </row>
    <row r="928" customFormat="false" ht="15" hidden="false" customHeight="false" outlineLevel="0" collapsed="false">
      <c r="A928" s="20"/>
      <c r="B928" s="20"/>
      <c r="C928" s="20"/>
    </row>
    <row r="929" customFormat="false" ht="15" hidden="false" customHeight="false" outlineLevel="0" collapsed="false">
      <c r="A929" s="20"/>
      <c r="B929" s="20"/>
      <c r="C929" s="20"/>
    </row>
    <row r="930" customFormat="false" ht="15" hidden="false" customHeight="false" outlineLevel="0" collapsed="false">
      <c r="A930" s="20"/>
      <c r="B930" s="20"/>
      <c r="C930" s="20"/>
    </row>
    <row r="931" customFormat="false" ht="15" hidden="false" customHeight="false" outlineLevel="0" collapsed="false">
      <c r="A931" s="20"/>
      <c r="B931" s="20"/>
      <c r="C931" s="20"/>
    </row>
    <row r="932" customFormat="false" ht="15" hidden="false" customHeight="false" outlineLevel="0" collapsed="false">
      <c r="A932" s="20"/>
      <c r="B932" s="20"/>
      <c r="C932" s="20"/>
    </row>
    <row r="933" customFormat="false" ht="15" hidden="false" customHeight="false" outlineLevel="0" collapsed="false">
      <c r="A933" s="20"/>
      <c r="B933" s="20"/>
      <c r="C933" s="20"/>
    </row>
    <row r="934" customFormat="false" ht="15" hidden="false" customHeight="false" outlineLevel="0" collapsed="false">
      <c r="A934" s="20"/>
      <c r="B934" s="20"/>
      <c r="C934" s="20"/>
    </row>
    <row r="935" customFormat="false" ht="15" hidden="false" customHeight="false" outlineLevel="0" collapsed="false">
      <c r="A935" s="20"/>
      <c r="B935" s="20"/>
      <c r="C935" s="20"/>
    </row>
    <row r="936" customFormat="false" ht="15" hidden="false" customHeight="false" outlineLevel="0" collapsed="false">
      <c r="A936" s="20"/>
      <c r="B936" s="20"/>
      <c r="C936" s="20"/>
    </row>
    <row r="937" customFormat="false" ht="15" hidden="false" customHeight="false" outlineLevel="0" collapsed="false">
      <c r="A937" s="20"/>
      <c r="B937" s="20"/>
      <c r="C937" s="20"/>
    </row>
    <row r="938" customFormat="false" ht="15" hidden="false" customHeight="false" outlineLevel="0" collapsed="false">
      <c r="A938" s="20"/>
      <c r="B938" s="20"/>
      <c r="C938" s="20"/>
    </row>
    <row r="939" customFormat="false" ht="15" hidden="false" customHeight="false" outlineLevel="0" collapsed="false">
      <c r="A939" s="20"/>
      <c r="B939" s="20"/>
      <c r="C939" s="20"/>
    </row>
    <row r="940" customFormat="false" ht="15" hidden="false" customHeight="false" outlineLevel="0" collapsed="false">
      <c r="A940" s="20"/>
      <c r="B940" s="20"/>
      <c r="C940" s="20"/>
    </row>
    <row r="941" customFormat="false" ht="15" hidden="false" customHeight="false" outlineLevel="0" collapsed="false">
      <c r="A941" s="20"/>
      <c r="B941" s="20"/>
      <c r="C941" s="20"/>
    </row>
    <row r="942" customFormat="false" ht="15" hidden="false" customHeight="false" outlineLevel="0" collapsed="false">
      <c r="A942" s="20"/>
      <c r="B942" s="20"/>
      <c r="C942" s="20"/>
    </row>
    <row r="943" customFormat="false" ht="15" hidden="false" customHeight="false" outlineLevel="0" collapsed="false">
      <c r="A943" s="20"/>
      <c r="B943" s="20"/>
      <c r="C943" s="20"/>
    </row>
    <row r="944" customFormat="false" ht="15" hidden="false" customHeight="false" outlineLevel="0" collapsed="false">
      <c r="A944" s="20"/>
      <c r="B944" s="20"/>
      <c r="C944" s="20"/>
    </row>
    <row r="945" customFormat="false" ht="15" hidden="false" customHeight="false" outlineLevel="0" collapsed="false">
      <c r="A945" s="20"/>
      <c r="B945" s="20"/>
      <c r="C945" s="20"/>
    </row>
    <row r="946" customFormat="false" ht="15" hidden="false" customHeight="false" outlineLevel="0" collapsed="false">
      <c r="A946" s="20"/>
      <c r="B946" s="20"/>
      <c r="C946" s="20"/>
    </row>
    <row r="947" customFormat="false" ht="15" hidden="false" customHeight="false" outlineLevel="0" collapsed="false">
      <c r="A947" s="20"/>
      <c r="B947" s="20"/>
      <c r="C947" s="20"/>
    </row>
    <row r="948" customFormat="false" ht="15" hidden="false" customHeight="false" outlineLevel="0" collapsed="false">
      <c r="A948" s="20"/>
      <c r="B948" s="20"/>
      <c r="C948" s="20"/>
    </row>
    <row r="949" customFormat="false" ht="15" hidden="false" customHeight="false" outlineLevel="0" collapsed="false">
      <c r="A949" s="20"/>
      <c r="B949" s="20"/>
      <c r="C949" s="20"/>
    </row>
    <row r="950" customFormat="false" ht="15" hidden="false" customHeight="false" outlineLevel="0" collapsed="false">
      <c r="A950" s="20"/>
      <c r="B950" s="20"/>
      <c r="C950" s="20"/>
    </row>
    <row r="951" customFormat="false" ht="15" hidden="false" customHeight="false" outlineLevel="0" collapsed="false">
      <c r="A951" s="20"/>
      <c r="B951" s="20"/>
      <c r="C951" s="20"/>
    </row>
    <row r="952" customFormat="false" ht="15" hidden="false" customHeight="false" outlineLevel="0" collapsed="false">
      <c r="A952" s="20"/>
      <c r="B952" s="20"/>
      <c r="C952" s="20"/>
    </row>
    <row r="953" customFormat="false" ht="15" hidden="false" customHeight="false" outlineLevel="0" collapsed="false">
      <c r="A953" s="20"/>
      <c r="B953" s="20"/>
      <c r="C953" s="20"/>
    </row>
    <row r="954" customFormat="false" ht="15" hidden="false" customHeight="false" outlineLevel="0" collapsed="false">
      <c r="A954" s="20"/>
      <c r="B954" s="20"/>
      <c r="C954" s="20"/>
    </row>
    <row r="955" customFormat="false" ht="15" hidden="false" customHeight="false" outlineLevel="0" collapsed="false">
      <c r="A955" s="20"/>
      <c r="B955" s="20"/>
      <c r="C955" s="20"/>
    </row>
    <row r="956" customFormat="false" ht="15" hidden="false" customHeight="false" outlineLevel="0" collapsed="false">
      <c r="A956" s="20"/>
      <c r="B956" s="20"/>
      <c r="C956" s="20"/>
    </row>
    <row r="957" customFormat="false" ht="15" hidden="false" customHeight="false" outlineLevel="0" collapsed="false">
      <c r="A957" s="20"/>
      <c r="B957" s="20"/>
      <c r="C957" s="20"/>
    </row>
    <row r="958" customFormat="false" ht="15" hidden="false" customHeight="false" outlineLevel="0" collapsed="false">
      <c r="A958" s="20"/>
      <c r="B958" s="20"/>
      <c r="C958" s="20"/>
    </row>
    <row r="959" customFormat="false" ht="15" hidden="false" customHeight="false" outlineLevel="0" collapsed="false">
      <c r="A959" s="20"/>
      <c r="B959" s="20"/>
      <c r="C959" s="20"/>
    </row>
    <row r="960" customFormat="false" ht="15" hidden="false" customHeight="false" outlineLevel="0" collapsed="false">
      <c r="A960" s="20"/>
      <c r="B960" s="20"/>
      <c r="C960" s="20"/>
    </row>
    <row r="961" customFormat="false" ht="15" hidden="false" customHeight="false" outlineLevel="0" collapsed="false">
      <c r="A961" s="20"/>
      <c r="B961" s="20"/>
      <c r="C961" s="20"/>
    </row>
    <row r="962" customFormat="false" ht="15" hidden="false" customHeight="false" outlineLevel="0" collapsed="false">
      <c r="A962" s="20"/>
      <c r="B962" s="20"/>
      <c r="C962" s="20"/>
    </row>
    <row r="963" customFormat="false" ht="15" hidden="false" customHeight="false" outlineLevel="0" collapsed="false">
      <c r="A963" s="20"/>
      <c r="B963" s="20"/>
      <c r="C963" s="20"/>
    </row>
    <row r="964" customFormat="false" ht="15" hidden="false" customHeight="false" outlineLevel="0" collapsed="false">
      <c r="A964" s="20"/>
      <c r="B964" s="20"/>
      <c r="C964" s="20"/>
    </row>
    <row r="965" customFormat="false" ht="15" hidden="false" customHeight="false" outlineLevel="0" collapsed="false">
      <c r="A965" s="20"/>
      <c r="B965" s="20"/>
      <c r="C965" s="20"/>
    </row>
    <row r="966" customFormat="false" ht="15" hidden="false" customHeight="false" outlineLevel="0" collapsed="false">
      <c r="A966" s="20"/>
      <c r="B966" s="20"/>
      <c r="C966" s="20"/>
    </row>
    <row r="967" customFormat="false" ht="15" hidden="false" customHeight="false" outlineLevel="0" collapsed="false">
      <c r="A967" s="20"/>
      <c r="B967" s="20"/>
      <c r="C967" s="20"/>
    </row>
    <row r="968" customFormat="false" ht="15" hidden="false" customHeight="false" outlineLevel="0" collapsed="false">
      <c r="A968" s="20"/>
      <c r="B968" s="20"/>
      <c r="C968" s="20"/>
    </row>
    <row r="969" customFormat="false" ht="15" hidden="false" customHeight="false" outlineLevel="0" collapsed="false">
      <c r="A969" s="20"/>
      <c r="B969" s="20"/>
      <c r="C969" s="20"/>
    </row>
    <row r="970" customFormat="false" ht="15" hidden="false" customHeight="false" outlineLevel="0" collapsed="false">
      <c r="A970" s="20"/>
      <c r="B970" s="20"/>
      <c r="C970" s="20"/>
    </row>
    <row r="971" customFormat="false" ht="15" hidden="false" customHeight="false" outlineLevel="0" collapsed="false">
      <c r="A971" s="20"/>
      <c r="B971" s="20"/>
      <c r="C971" s="20"/>
    </row>
    <row r="972" customFormat="false" ht="15" hidden="false" customHeight="false" outlineLevel="0" collapsed="false">
      <c r="A972" s="20"/>
      <c r="B972" s="20"/>
      <c r="C972" s="20"/>
    </row>
    <row r="973" customFormat="false" ht="15" hidden="false" customHeight="false" outlineLevel="0" collapsed="false">
      <c r="A973" s="20"/>
      <c r="B973" s="20"/>
      <c r="C973" s="20"/>
    </row>
    <row r="974" customFormat="false" ht="15" hidden="false" customHeight="false" outlineLevel="0" collapsed="false">
      <c r="A974" s="20"/>
      <c r="B974" s="20"/>
      <c r="C974" s="20"/>
    </row>
    <row r="975" customFormat="false" ht="15" hidden="false" customHeight="false" outlineLevel="0" collapsed="false">
      <c r="A975" s="20"/>
      <c r="B975" s="20"/>
      <c r="C975" s="20"/>
    </row>
    <row r="976" customFormat="false" ht="15" hidden="false" customHeight="false" outlineLevel="0" collapsed="false">
      <c r="A976" s="20"/>
      <c r="B976" s="20"/>
      <c r="C976" s="20"/>
    </row>
    <row r="977" customFormat="false" ht="15" hidden="false" customHeight="false" outlineLevel="0" collapsed="false">
      <c r="A977" s="20"/>
      <c r="B977" s="20"/>
      <c r="C977" s="20"/>
    </row>
    <row r="978" customFormat="false" ht="15" hidden="false" customHeight="false" outlineLevel="0" collapsed="false">
      <c r="A978" s="20"/>
      <c r="B978" s="20"/>
      <c r="C978" s="20"/>
    </row>
    <row r="979" customFormat="false" ht="15" hidden="false" customHeight="false" outlineLevel="0" collapsed="false">
      <c r="A979" s="20"/>
      <c r="B979" s="20"/>
      <c r="C979" s="20"/>
    </row>
    <row r="980" customFormat="false" ht="15" hidden="false" customHeight="false" outlineLevel="0" collapsed="false">
      <c r="A980" s="20"/>
      <c r="B980" s="20"/>
      <c r="C980" s="20"/>
    </row>
    <row r="981" customFormat="false" ht="15" hidden="false" customHeight="false" outlineLevel="0" collapsed="false">
      <c r="A981" s="20"/>
      <c r="B981" s="20"/>
      <c r="C981" s="20"/>
    </row>
    <row r="982" customFormat="false" ht="15" hidden="false" customHeight="false" outlineLevel="0" collapsed="false">
      <c r="A982" s="20"/>
      <c r="B982" s="20"/>
      <c r="C982" s="20"/>
    </row>
    <row r="983" customFormat="false" ht="15" hidden="false" customHeight="false" outlineLevel="0" collapsed="false">
      <c r="A983" s="20"/>
      <c r="B983" s="20"/>
      <c r="C983" s="20"/>
    </row>
    <row r="984" customFormat="false" ht="15" hidden="false" customHeight="false" outlineLevel="0" collapsed="false">
      <c r="A984" s="20"/>
      <c r="B984" s="20"/>
      <c r="C984" s="20"/>
    </row>
    <row r="985" customFormat="false" ht="15" hidden="false" customHeight="false" outlineLevel="0" collapsed="false">
      <c r="A985" s="20"/>
      <c r="B985" s="20"/>
      <c r="C985" s="20"/>
    </row>
    <row r="986" customFormat="false" ht="15" hidden="false" customHeight="false" outlineLevel="0" collapsed="false">
      <c r="A986" s="20"/>
      <c r="B986" s="20"/>
      <c r="C986" s="20"/>
    </row>
    <row r="987" customFormat="false" ht="15" hidden="false" customHeight="false" outlineLevel="0" collapsed="false">
      <c r="A987" s="20"/>
      <c r="B987" s="20"/>
      <c r="C987" s="20"/>
    </row>
    <row r="988" customFormat="false" ht="15" hidden="false" customHeight="false" outlineLevel="0" collapsed="false">
      <c r="A988" s="20"/>
      <c r="B988" s="20"/>
      <c r="C988" s="20"/>
    </row>
    <row r="989" customFormat="false" ht="15" hidden="false" customHeight="false" outlineLevel="0" collapsed="false">
      <c r="A989" s="20"/>
      <c r="B989" s="20"/>
      <c r="C989" s="20"/>
    </row>
    <row r="990" customFormat="false" ht="15" hidden="false" customHeight="false" outlineLevel="0" collapsed="false">
      <c r="A990" s="20"/>
      <c r="B990" s="20"/>
      <c r="C990" s="20"/>
    </row>
    <row r="991" customFormat="false" ht="15" hidden="false" customHeight="false" outlineLevel="0" collapsed="false">
      <c r="A991" s="20"/>
      <c r="B991" s="20"/>
      <c r="C991" s="20"/>
    </row>
    <row r="992" customFormat="false" ht="15" hidden="false" customHeight="false" outlineLevel="0" collapsed="false">
      <c r="A992" s="20"/>
      <c r="B992" s="20"/>
      <c r="C992" s="20"/>
    </row>
    <row r="993" customFormat="false" ht="15" hidden="false" customHeight="false" outlineLevel="0" collapsed="false">
      <c r="A993" s="20"/>
      <c r="B993" s="20"/>
      <c r="C993" s="20"/>
    </row>
    <row r="994" customFormat="false" ht="15" hidden="false" customHeight="false" outlineLevel="0" collapsed="false">
      <c r="A994" s="20"/>
      <c r="B994" s="20"/>
      <c r="C994" s="20"/>
    </row>
    <row r="995" customFormat="false" ht="15" hidden="false" customHeight="false" outlineLevel="0" collapsed="false">
      <c r="A995" s="20"/>
      <c r="B995" s="20"/>
      <c r="C995" s="20"/>
    </row>
    <row r="996" customFormat="false" ht="15" hidden="false" customHeight="false" outlineLevel="0" collapsed="false">
      <c r="A996" s="20"/>
      <c r="B996" s="20"/>
      <c r="C996" s="20"/>
    </row>
    <row r="997" customFormat="false" ht="15" hidden="false" customHeight="false" outlineLevel="0" collapsed="false">
      <c r="A997" s="20"/>
      <c r="B997" s="20"/>
      <c r="C997" s="20"/>
    </row>
    <row r="998" customFormat="false" ht="15" hidden="false" customHeight="false" outlineLevel="0" collapsed="false">
      <c r="A998" s="20"/>
      <c r="B998" s="20"/>
      <c r="C998" s="20"/>
    </row>
    <row r="999" customFormat="false" ht="15" hidden="false" customHeight="false" outlineLevel="0" collapsed="false">
      <c r="A999" s="20"/>
      <c r="B999" s="20"/>
      <c r="C999" s="20"/>
    </row>
    <row r="1000" customFormat="false" ht="15" hidden="false" customHeight="false" outlineLevel="0" collapsed="false">
      <c r="A1000" s="20"/>
      <c r="B1000" s="20"/>
      <c r="C1000" s="20"/>
    </row>
    <row r="1001" customFormat="false" ht="15" hidden="false" customHeight="false" outlineLevel="0" collapsed="false">
      <c r="A1001" s="20"/>
      <c r="B1001" s="20"/>
      <c r="C1001" s="20"/>
    </row>
    <row r="1002" customFormat="false" ht="15" hidden="false" customHeight="false" outlineLevel="0" collapsed="false">
      <c r="A1002" s="20"/>
      <c r="B1002" s="20"/>
      <c r="C1002" s="20"/>
    </row>
    <row r="1003" customFormat="false" ht="15" hidden="false" customHeight="false" outlineLevel="0" collapsed="false">
      <c r="A1003" s="20"/>
      <c r="B1003" s="20"/>
      <c r="C1003" s="20"/>
    </row>
    <row r="1004" customFormat="false" ht="15" hidden="false" customHeight="false" outlineLevel="0" collapsed="false">
      <c r="A1004" s="20"/>
      <c r="B1004" s="20"/>
      <c r="C1004" s="20"/>
    </row>
    <row r="1006" customFormat="false" ht="19.5" hidden="false" customHeight="true" outlineLevel="0" collapsed="false">
      <c r="A1006" s="11" t="s">
        <v>91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4:C4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2" t="s">
        <v>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2" t="s">
        <v>93</v>
      </c>
      <c r="B3" s="22"/>
      <c r="C3" s="22"/>
    </row>
    <row r="4" customFormat="false" ht="15" hidden="false" customHeight="true" outlineLevel="0" collapsed="false">
      <c r="A4" s="14" t="s">
        <v>94</v>
      </c>
      <c r="B4" s="14"/>
      <c r="C4" s="14"/>
    </row>
    <row r="6" customFormat="false" ht="15" hidden="false" customHeight="false" outlineLevel="0" collapsed="false">
      <c r="A6" s="23" t="s">
        <v>95</v>
      </c>
    </row>
    <row r="7" customFormat="false" ht="15" hidden="false" customHeight="false" outlineLevel="0" collapsed="false">
      <c r="A7" s="24" t="s">
        <v>96</v>
      </c>
      <c r="B7" s="25" t="n">
        <f aca="false">IFERROR(COUNTA(tblUrun[Ürün Adı]),0)</f>
        <v>12</v>
      </c>
    </row>
    <row r="8" customFormat="false" ht="15" hidden="false" customHeight="false" outlineLevel="0" collapsed="false">
      <c r="A8" s="24" t="s">
        <v>97</v>
      </c>
      <c r="B8" s="25" t="n">
        <f aca="false">IFERROR(SUM(tblUrun[Adet]),0)</f>
        <v>6037</v>
      </c>
    </row>
    <row r="9" customFormat="false" ht="15" hidden="false" customHeight="false" outlineLevel="0" collapsed="false">
      <c r="A9" s="24" t="s">
        <v>98</v>
      </c>
      <c r="B9" s="26" t="n">
        <f aca="false">IFERROR(SUM(tblUrun[FOB TL]),0)</f>
        <v>5279575</v>
      </c>
    </row>
    <row r="10" customFormat="false" ht="15" hidden="false" customHeight="false" outlineLevel="0" collapsed="false">
      <c r="A10" s="24" t="s">
        <v>99</v>
      </c>
      <c r="B10" s="26" t="n">
        <f aca="false">IFERROR(SUM(tblUrun[Navlun ve Sigorta TL]),0)</f>
        <v>263978.75</v>
      </c>
    </row>
    <row r="11" customFormat="false" ht="15" hidden="false" customHeight="false" outlineLevel="0" collapsed="false">
      <c r="A11" s="24" t="s">
        <v>100</v>
      </c>
      <c r="B11" s="26" t="n">
        <f aca="false">IFERROR(SUM(tblUrun[CIF TL]),0)</f>
        <v>5543553.75</v>
      </c>
    </row>
    <row r="12" customFormat="false" ht="15" hidden="false" customHeight="false" outlineLevel="0" collapsed="false">
      <c r="A12" s="24" t="s">
        <v>101</v>
      </c>
      <c r="B12" s="26" t="n">
        <f aca="false">IFERROR(SUM(tblUrun[Gümrük Vergisi TL]),0)</f>
        <v>277177.6875</v>
      </c>
    </row>
    <row r="13" customFormat="false" ht="15" hidden="false" customHeight="false" outlineLevel="0" collapsed="false">
      <c r="A13" s="24" t="s">
        <v>102</v>
      </c>
      <c r="B13" s="26" t="n">
        <f aca="false">IFERROR(SUM(tblUrun[ÖTV TL]),0)</f>
        <v>582073.14375</v>
      </c>
    </row>
    <row r="14" customFormat="false" ht="15" hidden="false" customHeight="false" outlineLevel="0" collapsed="false">
      <c r="A14" s="24" t="s">
        <v>103</v>
      </c>
      <c r="B14" s="26" t="n">
        <f aca="false">IFERROR(SUM(tblUrun[KDV TL]),0)</f>
        <v>1280560.91625</v>
      </c>
    </row>
    <row r="15" customFormat="false" ht="15" hidden="false" customHeight="false" outlineLevel="0" collapsed="false">
      <c r="A15" s="24" t="s">
        <v>104</v>
      </c>
      <c r="B15" s="26" t="n">
        <f aca="false">IFERROR(SUM(tblUrun[Vergi Toplam TL]),0)</f>
        <v>2139811.7475</v>
      </c>
    </row>
    <row r="16" customFormat="false" ht="15" hidden="false" customHeight="false" outlineLevel="0" collapsed="false">
      <c r="A16" s="24" t="s">
        <v>105</v>
      </c>
      <c r="B16" s="26" t="n">
        <f aca="false">IFERROR(SUM(tblMasraf[Tutar TL]),0)</f>
        <v>71200</v>
      </c>
    </row>
    <row r="17" customFormat="false" ht="15" hidden="false" customHeight="false" outlineLevel="0" collapsed="false">
      <c r="A17" s="24" t="s">
        <v>106</v>
      </c>
      <c r="B17" s="26" t="n">
        <f aca="false">IFERROR(SUM(tblUrun[Depo Teslim Toplam TL]),0)</f>
        <v>7754565.4975</v>
      </c>
    </row>
    <row r="18" customFormat="false" ht="15" hidden="false" customHeight="false" outlineLevel="0" collapsed="false">
      <c r="A18" s="24" t="s">
        <v>107</v>
      </c>
      <c r="B18" s="27" t="n">
        <f aca="false">IFERROR(AVERAGE(tblUrun[kur]),0)</f>
        <v>0</v>
      </c>
    </row>
    <row r="19" customFormat="false" ht="15" hidden="false" customHeight="false" outlineLevel="0" collapsed="false">
      <c r="A19" s="24" t="s">
        <v>108</v>
      </c>
      <c r="B19" s="26" t="n">
        <f aca="false">IFERROR(AVERAGE(tblUrun[Net Birim Maliyet TL]),0)</f>
        <v>17633.2035335719</v>
      </c>
    </row>
    <row r="20" customFormat="false" ht="15" hidden="false" customHeight="false" outlineLevel="0" collapsed="false">
      <c r="A20" s="24" t="s">
        <v>109</v>
      </c>
      <c r="B20" s="27" t="n">
        <f aca="false">IFERROR(ToplamDepoTeslimMaliyeti/MAX(BolumPaydaTaban,ToplamFOB),0)</f>
        <v>1.46878593400037</v>
      </c>
    </row>
    <row r="21" customFormat="false" ht="15" hidden="false" customHeight="false" outlineLevel="0" collapsed="false">
      <c r="A21" s="24" t="s">
        <v>110</v>
      </c>
      <c r="B21" s="28" t="n">
        <f aca="false">IFERROR(ToplamVergi/MAX(BolumPaydaTaban,ToplamCIF),0)</f>
        <v>0.386</v>
      </c>
    </row>
    <row r="22" customFormat="false" ht="15" hidden="false" customHeight="false" outlineLevel="0" collapsed="false">
      <c r="A22" s="24" t="s">
        <v>111</v>
      </c>
      <c r="B22" s="25" t="n">
        <f aca="false">IFERROR(COUNTIF(tblUrun[Net Birim Maliyet TL],"&gt;"&amp;IFERROR(AVERAGE(tblUrun[Net Birim Maliyet TL])+AnomaliZEsik*IFERROR(_xlfn.STDEV.P(tblUrun[Net Birim Maliyet TL]),0),0)),0)</f>
        <v>1</v>
      </c>
    </row>
    <row r="23" customFormat="false" ht="15" hidden="false" customHeight="false" outlineLevel="0" collapsed="false">
      <c r="A23" s="24" t="s">
        <v>112</v>
      </c>
      <c r="B23" s="28" t="n">
        <f aca="false">IFERROR(IF(COUNTA(tblUrun[Ürün Adı])=0,0,AnomaliUrunAdedi/COUNTA(tblUrun[Ürün Adı])),0)</f>
        <v>0.0833333333333333</v>
      </c>
    </row>
    <row r="25" customFormat="false" ht="15" hidden="false" customHeight="false" outlineLevel="0" collapsed="false">
      <c r="A25" s="13" t="s">
        <v>113</v>
      </c>
    </row>
    <row r="26" customFormat="false" ht="15" hidden="false" customHeight="false" outlineLevel="0" collapsed="false">
      <c r="A26" s="24" t="s">
        <v>114</v>
      </c>
      <c r="B26" s="26" t="n">
        <f aca="false">IFERROR(AVERAGE(tblUrun[Net Birim Maliyet TL]),0)</f>
        <v>17633.2035335719</v>
      </c>
    </row>
    <row r="27" customFormat="false" ht="15" hidden="false" customHeight="false" outlineLevel="0" collapsed="false">
      <c r="A27" s="24" t="s">
        <v>115</v>
      </c>
      <c r="B27" s="26" t="n">
        <f aca="false">IFERROR(SLOPE(tblUrun[Depo Teslim Toplam TL],tblUrun[Adet]),0)</f>
        <v>-44.4590819391567</v>
      </c>
    </row>
    <row r="28" customFormat="false" ht="15" hidden="false" customHeight="false" outlineLevel="0" collapsed="false">
      <c r="A28" s="24" t="s">
        <v>116</v>
      </c>
      <c r="B28" s="28" t="n">
        <f aca="false">IFERROR(IF(SUM(tblUrun[Depo Teslim Toplam TL])=0,0,MAX(tblUrun[Depo Teslim Toplam TL])/SUM(tblUrun[Depo Teslim Toplam TL])),0)</f>
        <v>0.169047697968113</v>
      </c>
    </row>
    <row r="29" customFormat="false" ht="15" hidden="false" customHeight="false" outlineLevel="0" collapsed="false">
      <c r="A29" s="24" t="s">
        <v>117</v>
      </c>
      <c r="B29" s="26" t="n">
        <f aca="false">IFERROR(ToplamDepoTeslimMaliyeti*(1-OncekiKur/MAX(BolumPaydaTaban,OrtalamaKur)),0)</f>
        <v>-2714097916370430</v>
      </c>
    </row>
    <row r="30" customFormat="false" ht="15" hidden="false" customHeight="false" outlineLevel="0" collapsed="false">
      <c r="A30" s="24" t="s">
        <v>118</v>
      </c>
      <c r="B30" s="26" t="n">
        <f aca="false">IFERROR(ToplamYurtIciMasraf-SUM(tblUrun[Yurt İçi Masraf Payı TL]),0)</f>
        <v>0</v>
      </c>
    </row>
    <row r="31" customFormat="false" ht="15" hidden="false" customHeight="false" outlineLevel="0" collapsed="false">
      <c r="A31" s="24" t="s">
        <v>119</v>
      </c>
      <c r="B31" s="28" t="n">
        <f aca="false">IFERROR(ToplamVergi/MAX(BolumPaydaTaban,ToplamCIF),0)</f>
        <v>0.386</v>
      </c>
    </row>
    <row r="32" customFormat="false" ht="15" hidden="false" customHeight="false" outlineLevel="0" collapsed="false">
      <c r="A32" s="24" t="s">
        <v>120</v>
      </c>
      <c r="B32" s="28" t="n">
        <f aca="false">IFERROR(IF(COUNTA(tblUrun[Ürün Adı])=0,0,AnomaliUrunAdedi/COUNTA(tblUrun[Ürün Adı])),0)</f>
        <v>0.0833333333333333</v>
      </c>
    </row>
    <row r="33" customFormat="false" ht="15" hidden="false" customHeight="false" outlineLevel="0" collapsed="false">
      <c r="A33" s="24" t="s">
        <v>121</v>
      </c>
      <c r="B33" s="26" t="n">
        <f aca="false">IFERROR(MAX(ABS(SenaryoMaliyetKotumser-SenaryoMaliyetIyimser),ABS(SenaryoVergiKotumser-SenaryoVergiIyimser)),0)</f>
        <v>1550913.0995</v>
      </c>
    </row>
    <row r="34" customFormat="false" ht="15" hidden="false" customHeight="false" outlineLevel="0" collapsed="false">
      <c r="A34" s="24" t="s">
        <v>122</v>
      </c>
      <c r="B34" s="26" t="n">
        <f aca="false">IFERROR(SenaryoMaliyetKotumser-SenaryoMaliyetBaz,0)</f>
        <v>775456.54975</v>
      </c>
    </row>
    <row r="35" customFormat="false" ht="15" hidden="false" customHeight="false" outlineLevel="0" collapsed="false">
      <c r="A35" s="24" t="s">
        <v>123</v>
      </c>
      <c r="B35" s="27" t="n">
        <f aca="false">IFERROR(ToplamDepoTeslimMaliyeti/MAX(BolumPaydaTaban,ToplamFOB),0)</f>
        <v>1.46878593400037</v>
      </c>
    </row>
    <row r="36" customFormat="false" ht="15" hidden="false" customHeight="false" outlineLevel="0" collapsed="false">
      <c r="A36" s="24" t="s">
        <v>124</v>
      </c>
      <c r="B36" s="25" t="n">
        <f aca="false">IFERROR(IF(SUM(tblUrun[FOB TL])=0,0,SUMPRODUCT(tblUrun[FOB TL],tblUrun[FOB TL])/MAX(BolumPaydaTaban,SUM(tblUrun[FOB TL])^2)),0)</f>
        <v>0.109119788636602</v>
      </c>
    </row>
    <row r="37" customFormat="false" ht="15" hidden="false" customHeight="false" outlineLevel="0" collapsed="false">
      <c r="A37" s="24" t="s">
        <v>125</v>
      </c>
      <c r="B37" s="25" t="n">
        <f aca="false">VeriKaliteSkoru</f>
        <v>80</v>
      </c>
    </row>
    <row r="38" customFormat="false" ht="15" hidden="false" customHeight="false" outlineLevel="0" collapsed="false">
      <c r="A38" s="24" t="s">
        <v>126</v>
      </c>
      <c r="B38" s="26" t="n">
        <f aca="false">IFERROR(_xlfn.FORECAST.LINEAR(COUNTA(tblUrun[Adet])+1,tblUrun[Depo Teslim Toplam TL],tblUrun[Adet]),0)</f>
        <v>668002.446532015</v>
      </c>
    </row>
    <row r="39" customFormat="false" ht="15" hidden="false" customHeight="false" outlineLevel="0" collapsed="false">
      <c r="A39" s="24" t="s">
        <v>127</v>
      </c>
      <c r="B39" s="26" t="n">
        <f aca="false">IFERROR(_xlfn.PERCENTILE.INC(tblUrun[Net Birim Maliyet TL],P90Kuantil),0)</f>
        <v>51263.5666684809</v>
      </c>
    </row>
    <row r="40" customFormat="false" ht="15" hidden="false" customHeight="false" outlineLevel="0" collapsed="false">
      <c r="A40" s="24" t="s">
        <v>128</v>
      </c>
      <c r="B40" s="26" t="n">
        <f aca="false">IFERROR(NPV(IskontoOrani,ToplamDepoTeslimMaliyeti),0)</f>
        <v>7049604.99772727</v>
      </c>
    </row>
    <row r="41" customFormat="false" ht="15" hidden="false" customHeight="false" outlineLevel="0" collapsed="false">
      <c r="A41" s="24" t="s">
        <v>129</v>
      </c>
      <c r="B41" s="26" t="n">
        <f aca="false">IFERROR(MAX(0,ToplamVergi-PesinOdemeTutari),0)</f>
        <v>2139811.7475</v>
      </c>
    </row>
    <row r="42" customFormat="false" ht="15" hidden="false" customHeight="false" outlineLevel="0" collapsed="false">
      <c r="A42" s="13" t="s">
        <v>130</v>
      </c>
    </row>
    <row r="43" customFormat="false" ht="15" hidden="false" customHeight="false" outlineLevel="0" collapsed="false">
      <c r="A43" s="24" t="s">
        <v>131</v>
      </c>
      <c r="B43" s="26" t="n">
        <f aca="false">modulT1BirimMaliyetOrt</f>
        <v>17633.2035335719</v>
      </c>
      <c r="C43" s="29" t="str">
        <f aca="false">_xlfn.TEXTJOIN(" | ",TRUE(),"T1: Ortalama birim maliyet "&amp;TEXT(modulT1BirimMaliyetOrt,"#,##0")&amp;" ₺",IF(modulT1BirimMaliyetOrt&gt;OrtalamaNetBirimMaliyet,"birim maliyet ortalamanın üzerinde","birim maliyet dağılımı normal"))</f>
        <v>T1: Ortalama birim maliyet 17.633 ₺ | birim maliyet dağılımı normal</v>
      </c>
    </row>
    <row r="44" customFormat="false" ht="15" hidden="false" customHeight="false" outlineLevel="0" collapsed="false">
      <c r="A44" s="24" t="s">
        <v>132</v>
      </c>
      <c r="B44" s="26" t="n">
        <f aca="false">modulT2MaliyetEgim</f>
        <v>-44.4590819391567</v>
      </c>
      <c r="C44" s="29" t="str">
        <f aca="false">_xlfn.TEXTJOIN(" | ",TRUE(),"T2: Maliyet eğimi "&amp;TEXT(modulT2MaliyetEgim,"#,##0")&amp;" ₺/adet",IF(modulT2MaliyetEgim&gt;0,"maliyet adetle artıyor","maliyet adetten bağımsız"))</f>
        <v>T2: Maliyet eğimi -44 ₺/adet | maliyet adetten bağımsız</v>
      </c>
    </row>
    <row r="45" customFormat="false" ht="15" hidden="false" customHeight="false" outlineLevel="0" collapsed="false">
      <c r="A45" s="24" t="s">
        <v>133</v>
      </c>
      <c r="B45" s="28" t="n">
        <f aca="false">modulT3ParetoPay</f>
        <v>0.169047697968113</v>
      </c>
      <c r="C45" s="29" t="str">
        <f aca="false">_xlfn.TEXTJOIN(" | ",TRUE(),"T3: En yüksek maliyetli ürün toplamın %"&amp;TEXT(modulT3ParetoPay*100,"0")&amp;"",IF(modulT3ParetoPay&gt;ParetoEsikOran,"yoğunlaşma yüksek, tek ürüne bağımlılık var","dağılım dengeli"))</f>
        <v>T3: En yüksek maliyetli ürün toplamın %17 | dağılım dengeli</v>
      </c>
    </row>
    <row r="46" customFormat="false" ht="15" hidden="false" customHeight="false" outlineLevel="0" collapsed="false">
      <c r="A46" s="24" t="s">
        <v>134</v>
      </c>
      <c r="B46" s="26" t="n">
        <f aca="false">modulT4DonemFark</f>
        <v>-2714097916370430</v>
      </c>
      <c r="C46" s="29" t="str">
        <f aca="false">_xlfn.TEXTJOIN(" | ",TRUE(),"T4: Kur dönem farkı "&amp;TEXT(modulT4DonemFark,"#,##0")&amp;" ₺",IF(ABS(modulT4DonemFark)&gt;ToplamDepoTeslimMaliyeti*MutabakatEsikOran,"kur etkisi yüksek, maliyet duyarlı","kur etkisi kabul edilebilir"))</f>
        <v>T4: Kur dönem farkı -2.714.097.916.370.435 ₺ | kur etkisi yüksek, maliyet duyarlı</v>
      </c>
    </row>
    <row r="47" customFormat="false" ht="15" hidden="false" customHeight="false" outlineLevel="0" collapsed="false">
      <c r="A47" s="24" t="s">
        <v>135</v>
      </c>
      <c r="B47" s="26" t="n">
        <f aca="false">modulT5MutabakatFark</f>
        <v>0</v>
      </c>
      <c r="C47" s="29" t="str">
        <f aca="false">_xlfn.TEXTJOIN(" | ",TRUE(),"T5: Masraf mutabakat farkı "&amp;TEXT(modulT5MutabakatFark,"#,##0")&amp;" ₺",IF(ABS(modulT5MutabakatFark)&gt;ToplamYurtIciMasraf*MutabakatEsikOran,"masraf dağıtımı tutarsız, kontrol edin","masraf dağıtımı tutarlı"))</f>
        <v>T5: Masraf mutabakat farkı 0 ₺ | masraf dağıtımı tutarlı</v>
      </c>
    </row>
    <row r="48" customFormat="false" ht="15" hidden="false" customHeight="false" outlineLevel="0" collapsed="false">
      <c r="A48" s="24" t="s">
        <v>136</v>
      </c>
      <c r="B48" s="28" t="n">
        <f aca="false">modulT6VergiYukOran</f>
        <v>0.386</v>
      </c>
      <c r="C48" s="29" t="str">
        <f aca="false">_xlfn.TEXTJOIN(" | ",TRUE(),"T6: Vergi yükü oranı %"&amp;TEXT(modulT6VergiYukOran*100,"0.0")&amp;"",IF(modulT6VergiYukOran&gt;VergiYukEsik,"vergi yükü eşiğin üzerinde","vergi yükü kabul edilebilir"))</f>
        <v>T6: Vergi yükü oranı %39 | vergi yükü eşiğin üzerinde</v>
      </c>
    </row>
    <row r="49" customFormat="false" ht="15" hidden="false" customHeight="false" outlineLevel="0" collapsed="false">
      <c r="A49" s="24" t="s">
        <v>137</v>
      </c>
      <c r="B49" s="28" t="n">
        <f aca="false">modulO1AnomaliOran</f>
        <v>0.0833333333333333</v>
      </c>
      <c r="C49" s="29" t="str">
        <f aca="false">_xlfn.TEXTJOIN(" | ",TRUE(),"O1: Uç birim maliyetli ürün oranı %"&amp;TEXT(modulO1AnomaliOran*100,"0.0")&amp;"",IF(modulO1AnomaliOran&gt;0,"anomali ürünler tespit edildi, maliyetleri denetleyin","anomali yok"))</f>
        <v>O1: Uç birim maliyetli ürün oranı %08 | anomali ürünler tespit edildi, maliyetleri denetleyin</v>
      </c>
    </row>
    <row r="50" customFormat="false" ht="15" hidden="false" customHeight="false" outlineLevel="0" collapsed="false">
      <c r="A50" s="24" t="s">
        <v>138</v>
      </c>
      <c r="B50" s="26" t="n">
        <f aca="false">modulO2TornadoZirve</f>
        <v>1550913.0995</v>
      </c>
      <c r="C50" s="29" t="str">
        <f aca="false">_xlfn.TEXTJOIN(" | ",TRUE(),"O2: Tornado zirve etki "&amp;TEXT(modulO2TornadoZirve,"#,##0")&amp;" ₺",IF(modulO2TornadoZirve&gt;ToplamDepoTeslimMaliyeti*SenaryoEtkiEsik,"maliyet duyarlılığı yüksek, kur/vergi kritik","duyarlılık düşük"))</f>
        <v>O2: Tornado zirve etki 1.550.913 ₺ | maliyet duyarlılığı yüksek, kur/vergi kritik</v>
      </c>
    </row>
    <row r="51" customFormat="false" ht="15" hidden="false" customHeight="false" outlineLevel="0" collapsed="false">
      <c r="A51" s="24" t="s">
        <v>139</v>
      </c>
      <c r="B51" s="26" t="n">
        <f aca="false">modulO3SenaryoFark</f>
        <v>775456.54975</v>
      </c>
      <c r="C51" s="29" t="str">
        <f aca="false">_xlfn.TEXTJOIN(" | ",TRUE(),"O3: Kötümser-baz fark "&amp;TEXT(modulO3SenaryoFark,"#,##0")&amp;" ₺",IF(modulO3SenaryoFark&gt;ToplamDepoTeslimMaliyeti*SenaryoEtkiEsik,"kötümser senaryoda maliyet yükseliyor","senaryo aralığı kabul edilebilir"))</f>
        <v>O3: Kötümser-baz fark 775.457 ₺ | senaryo aralığı kabul edilebilir</v>
      </c>
    </row>
    <row r="52" customFormat="false" ht="15" hidden="false" customHeight="false" outlineLevel="0" collapsed="false">
      <c r="A52" s="24" t="s">
        <v>140</v>
      </c>
      <c r="B52" s="27" t="n">
        <f aca="false">modulO4NakitEtkiOran</f>
        <v>1.46878593400037</v>
      </c>
      <c r="C52" s="29" t="str">
        <f aca="false">_xlfn.TEXTJOIN(" | ",TRUE(),"O4: Her 1 TL FOB için depo teslim maliyeti "&amp;TEXT(modulO4NakitEtkiOran,"0.00")&amp;" TL",IF(modulO4NakitEtkiOran&gt;1+VergiYukEsik,"maliyet çarpanı yüksek, nakit yükü artıyor","maliyet çarpanı kabul edilebilir"))</f>
        <v>O4: Her 1 TL FOB için depo teslim maliyeti 1,47 TL | maliyet çarpanı yüksek, nakit yükü artıyor</v>
      </c>
    </row>
    <row r="53" customFormat="false" ht="15" hidden="false" customHeight="false" outlineLevel="0" collapsed="false">
      <c r="A53" s="24" t="s">
        <v>141</v>
      </c>
      <c r="B53" s="25" t="n">
        <f aca="false">modulO6MaliyetHhi</f>
        <v>0.109119788636602</v>
      </c>
      <c r="C53" s="29" t="str">
        <f aca="false">_xlfn.TEXTJOIN(" | ",TRUE(),"O6: FOB yoğunlaşma endeksi "&amp;TEXT(modulO6MaliyetHhi,"0.00")&amp;"",IF(modulO6MaliyetHhi&gt;HhiYuksekEsik,"yoğunlaşma yüksek","dağılım dengeli"))</f>
        <v>O6: FOB yoğunlaşma endeksi 0,11 | dağılım dengeli</v>
      </c>
    </row>
    <row r="54" customFormat="false" ht="15" hidden="false" customHeight="false" outlineLevel="0" collapsed="false">
      <c r="A54" s="24" t="s">
        <v>142</v>
      </c>
      <c r="B54" s="25" t="n">
        <f aca="false">modulO8KaliteSkoru</f>
        <v>80</v>
      </c>
      <c r="C54" s="29" t="str">
        <f aca="false">_xlfn.TEXTJOIN(" | ",TRUE(),"O8: Veri kalite skoru "&amp;TEXT(modulO8KaliteSkoru,"0")&amp;"/100",IF(modulO8KaliteSkoru&gt;=VeriKaliteIyiEsik,"girdi kalitesi iyi","kalite düşük, girişleri tamamlayın"))</f>
        <v>O8: Veri kalite skoru 80/100 | kalite düşük, girişleri tamamlayın</v>
      </c>
    </row>
    <row r="55" customFormat="false" ht="15" hidden="false" customHeight="false" outlineLevel="0" collapsed="false">
      <c r="A55" s="24" t="s">
        <v>143</v>
      </c>
      <c r="B55" s="26" t="n">
        <f aca="false">modulI1MaliyetTahmin</f>
        <v>668002.446532015</v>
      </c>
      <c r="C55" s="29" t="str">
        <f aca="false">_xlfn.TEXTJOIN(" | ",TRUE(),"I1: Sonraki adet adımında beklenen maliyet "&amp;TEXT(modulI1MaliyetTahmin,"#,##0")&amp;" ₺",IF(modulI1MaliyetTahmin&gt;ToplamDepoTeslimMaliyeti*OrtalamaKur*0.2,"tahmin yüksek, ölçek etkisini gözden geçirin","tahmin sınır içinde"))</f>
        <v>I1: Sonraki adet adımında beklenen maliyet 668.002 ₺ | tahmin yüksek, ölçek etkisini gözden geçirin</v>
      </c>
    </row>
    <row r="56" customFormat="false" ht="15" hidden="false" customHeight="false" outlineLevel="0" collapsed="false">
      <c r="A56" s="24" t="s">
        <v>144</v>
      </c>
      <c r="B56" s="26" t="n">
        <f aca="false">modulI2MaliyetP90</f>
        <v>51263.5666684809</v>
      </c>
      <c r="C56" s="29" t="str">
        <f aca="false">_xlfn.TEXTJOIN(" | ",TRUE(),"I2: Birim maliyet P90 değeri "&amp;TEXT(modulI2MaliyetP90,"#,##0")&amp;" ₺",IF(modulI2MaliyetP90&gt;OrtalamaNetBirimMaliyet*2,"P90 maliyeti ortalamanın iki katı üzerinde","P90 dağılımı kabul edilebilir"))</f>
        <v>I2: Birim maliyet P90 değeri 51.264 ₺ | P90 maliyeti ortalamanın iki katı üzerinde</v>
      </c>
    </row>
    <row r="57" customFormat="false" ht="15" hidden="false" customHeight="false" outlineLevel="0" collapsed="false">
      <c r="A57" s="24" t="s">
        <v>145</v>
      </c>
      <c r="B57" s="26" t="n">
        <f aca="false">modulI3MaliyetNpv</f>
        <v>7049604.99772727</v>
      </c>
      <c r="C57" s="29" t="str">
        <f aca="false">_xlfn.TEXTJOIN(" | ",TRUE(),"I3: Depo teslim maliyetinin NPV değeri "&amp;TEXT(modulI3MaliyetNpv,"#,##0")&amp;" ₺",IF(modulI3MaliyetNpv&gt;ToplamDepoTeslimMaliyeti*NpvEsikOran,"NPV maliyeti yüksek","NPV maliyeti kabul edilebilir"))</f>
        <v>I3: Depo teslim maliyetinin NPV değeri 7.049.605 ₺ | NPV maliyeti yüksek</v>
      </c>
    </row>
    <row r="58" customFormat="false" ht="15" hidden="false" customHeight="false" outlineLevel="0" collapsed="false">
      <c r="A58" s="24" t="s">
        <v>146</v>
      </c>
      <c r="B58" s="26" t="n">
        <f aca="false">modulI7NakitAcik</f>
        <v>2139811.7475</v>
      </c>
      <c r="C58" s="29" t="str">
        <f aca="false">_xlfn.TEXTJOIN(" | ",TRUE(),"I7: Nakit açığı köprüsü "&amp;TEXT(modulI7NakitAcik,"#,##0")&amp;" ₺",IF(modulI7NakitAcik&gt;0,"peşin vergi ödemesi nakit yükü yaratıyor","nakit yükü karşılanıyor"))</f>
        <v>I7: Nakit açığı köprüsü 2.139.812 ₺ | peşin vergi ödemesi nakit yükü yaratıyor</v>
      </c>
    </row>
    <row r="59" customFormat="false" ht="19.5" hidden="false" customHeight="true" outlineLevel="0" collapsed="false">
      <c r="A59" s="11" t="s">
        <v>147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</sheetData>
  <sheetProtection sheet="true" password="cc3d" objects="true" scenarios="true" deleteColumns="false" deleteRows="false"/>
  <mergeCells count="4">
    <mergeCell ref="A1:AD1"/>
    <mergeCell ref="A3:C3"/>
    <mergeCell ref="A4:C4"/>
    <mergeCell ref="A59:AN59"/>
  </mergeCells>
  <conditionalFormatting sqref="B21">
    <cfRule type="cellIs" priority="2" operator="greaterThan" aboveAverage="0" equalAverage="0" bottom="0" percent="0" rank="0" text="" dxfId="7">
      <formula>VergiYukEsik</formula>
    </cfRule>
    <cfRule type="cellIs" priority="3" operator="lessThanOrEqual" aboveAverage="0" equalAverage="0" bottom="0" percent="0" rank="0" text="" dxfId="6">
      <formula>VergiYukEsik</formula>
    </cfRule>
  </conditionalFormatting>
  <conditionalFormatting sqref="B20">
    <cfRule type="cellIs" priority="4" operator="greaterThan" aboveAverage="0" equalAverage="0" bottom="0" percent="0" rank="0" text="" dxfId="7">
      <formula>MaliyetFaktorEsik</formula>
    </cfRule>
  </conditionalFormatting>
  <conditionalFormatting sqref="B17">
    <cfRule type="cellIs" priority="5" operator="greaterThan" aboveAverage="0" equalAverage="0" bottom="0" percent="0" rank="0" text="" dxfId="7">
      <formula>0</formula>
    </cfRule>
  </conditionalFormatting>
  <conditionalFormatting sqref="B23">
    <cfRule type="cellIs" priority="6" operator="greaterThan" aboveAverage="0" equalAverage="0" bottom="0" percent="0" rank="0" text="" dxfId="8">
      <formula>0</formula>
    </cfRule>
  </conditionalFormatting>
  <conditionalFormatting sqref="B41">
    <cfRule type="cellIs" priority="7" operator="greaterThan" aboveAverage="0" equalAverage="0" bottom="0" percent="0" rank="0" text="" dxfId="7">
      <formula>0</formula>
    </cfRule>
    <cfRule type="cellIs" priority="8" operator="lessThanOr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2" t="s">
        <v>148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2" t="s">
        <v>149</v>
      </c>
      <c r="B3" s="22"/>
      <c r="C3" s="22"/>
    </row>
    <row r="5" customFormat="false" ht="15" hidden="false" customHeight="false" outlineLevel="0" collapsed="false">
      <c r="A5" s="24" t="s">
        <v>150</v>
      </c>
      <c r="B5" s="30" t="n">
        <f aca="false">IFERROR(COUNTA(tblUrun[Ürün Adı]),0)</f>
        <v>12</v>
      </c>
    </row>
    <row r="6" customFormat="false" ht="15" hidden="false" customHeight="false" outlineLevel="0" collapsed="false">
      <c r="A6" s="24" t="s">
        <v>151</v>
      </c>
      <c r="B6" s="30" t="n">
        <f aca="false">IFERROR(COUNTA(tblMasraf[Masraf Kalemi]),0)</f>
        <v>10</v>
      </c>
    </row>
    <row r="7" customFormat="false" ht="15" hidden="false" customHeight="false" outlineLevel="0" collapsed="false">
      <c r="A7" s="24" t="s">
        <v>152</v>
      </c>
      <c r="B7" s="30" t="str">
        <f aca="false">IF(COUNTIF(tblUrun[Adet],"&lt;0")&gt;0,"FAIL","PASS")</f>
        <v>PASS</v>
      </c>
    </row>
    <row r="8" customFormat="false" ht="15" hidden="false" customHeight="false" outlineLevel="0" collapsed="false">
      <c r="A8" s="24" t="s">
        <v>153</v>
      </c>
      <c r="B8" s="30" t="str">
        <f aca="false">IF(COUNTIF(tblUrun[FOB Birim Fiyat (Döviz)],"&lt;0")&gt;0,"FAIL","PASS")</f>
        <v>PASS</v>
      </c>
    </row>
    <row r="9" customFormat="false" ht="15" hidden="false" customHeight="false" outlineLevel="0" collapsed="false">
      <c r="A9" s="24" t="s">
        <v>154</v>
      </c>
      <c r="B9" s="30" t="str">
        <f aca="false">IF(COUNTIF(tblUrun[Kur (₺)],"=0")&gt;0,"FAIL","PASS")</f>
        <v>PASS</v>
      </c>
    </row>
    <row r="10" customFormat="false" ht="15" hidden="false" customHeight="false" outlineLevel="0" collapsed="false">
      <c r="A10" s="24" t="s">
        <v>155</v>
      </c>
      <c r="B10" s="30" t="str">
        <f aca="false">IF(COUNTIF(tblUrun[Kur (₺)],"")&gt;0,"FAIL","PASS")</f>
        <v>FAIL</v>
      </c>
    </row>
    <row r="11" customFormat="false" ht="15" hidden="false" customHeight="false" outlineLevel="0" collapsed="false">
      <c r="A11" s="24" t="s">
        <v>156</v>
      </c>
      <c r="B11" s="30" t="str">
        <f aca="false">IF(SUMPRODUCT(--(tblUrun[Gümrük Vergisi Oranı]&gt;1))+SUMPRODUCT(--(tblUrun[Gümrük Vergisi Oranı]&lt;0))&gt;0,"FAIL","PASS")</f>
        <v>PASS</v>
      </c>
    </row>
    <row r="12" customFormat="false" ht="15" hidden="false" customHeight="false" outlineLevel="0" collapsed="false">
      <c r="A12" s="24" t="s">
        <v>157</v>
      </c>
      <c r="B12" s="30" t="str">
        <f aca="false">IF(COUNTIF(tblMasraf[Tutar TL],"&lt;0")&gt;0,"FAIL","PASS")</f>
        <v>PASS</v>
      </c>
    </row>
    <row r="15" customFormat="false" ht="15" hidden="false" customHeight="false" outlineLevel="0" collapsed="false">
      <c r="A15" s="23" t="s">
        <v>158</v>
      </c>
    </row>
    <row r="16" customFormat="false" ht="15" hidden="false" customHeight="false" outlineLevel="0" collapsed="false">
      <c r="A16" s="31" t="s">
        <v>159</v>
      </c>
      <c r="B16" s="32" t="n">
        <f aca="false">COUNTIF(B5:B12,"PASS")</f>
        <v>5</v>
      </c>
    </row>
    <row r="17" customFormat="false" ht="15" hidden="false" customHeight="false" outlineLevel="0" collapsed="false">
      <c r="A17" s="31" t="s">
        <v>160</v>
      </c>
      <c r="B17" s="32" t="n">
        <f aca="false">COUNTIF(B5:B12,"FAIL")</f>
        <v>1</v>
      </c>
    </row>
    <row r="18" customFormat="false" ht="15" hidden="false" customHeight="false" outlineLevel="0" collapsed="false">
      <c r="A18" s="31" t="s">
        <v>161</v>
      </c>
      <c r="B18" s="32" t="n">
        <f aca="false">COUNTIF(B5:B12,"WARN")</f>
        <v>0</v>
      </c>
    </row>
    <row r="19" customFormat="false" ht="15" hidden="false" customHeight="false" outlineLevel="0" collapsed="false">
      <c r="A19" s="24" t="s">
        <v>162</v>
      </c>
      <c r="B19" s="25" t="n">
        <f aca="false">IFERROR(IF(DoluGirisHucre=0,0,MAX(0,VeriKaliteTaban-FAIL_Sayisi*VeriKaliteFailCeza-WARN_Sayisi*VeriKaliteUyariCeza)),0)</f>
        <v>80</v>
      </c>
    </row>
    <row r="20" customFormat="false" ht="15" hidden="false" customHeight="false" outlineLevel="0" collapsed="false">
      <c r="A20" s="31" t="s">
        <v>163</v>
      </c>
      <c r="B20" s="30" t="str">
        <f aca="false">IF(VeriKaliteSkoru&gt;=VeriKaliteIyiEsik,"İYİ",IF(VeriKaliteSkoru&gt;=VeriKaliteOrtaEsik,"ORTA","DÜŞÜK"))</f>
        <v>ORTA</v>
      </c>
    </row>
    <row r="21" customFormat="false" ht="15" hidden="false" customHeight="false" outlineLevel="0" collapsed="false">
      <c r="A21" s="31" t="s">
        <v>164</v>
      </c>
      <c r="B21" s="32" t="n">
        <f aca="false">IFERROR(COUNTA(tblUrun[Ürün Adı])+COUNTA(tblMasraf[Masraf Kalemi]),0)</f>
        <v>22</v>
      </c>
    </row>
    <row r="22" customFormat="false" ht="15" hidden="false" customHeight="false" outlineLevel="0" collapsed="false">
      <c r="A22" s="31" t="s">
        <v>165</v>
      </c>
      <c r="B22" s="32" t="n">
        <f aca="false">IFERROR(ROWS(tblUrun)+ROWS(tblMasraf),0)</f>
        <v>3000</v>
      </c>
    </row>
    <row r="23" customFormat="false" ht="15" hidden="false" customHeight="false" outlineLevel="0" collapsed="false">
      <c r="A23" s="31" t="s">
        <v>166</v>
      </c>
      <c r="B23" s="33" t="n">
        <f aca="false">IFERROR(DoluGirisHucre/KayitKapasite,0)</f>
        <v>0.00731382978723404</v>
      </c>
    </row>
    <row r="24" customFormat="false" ht="15" hidden="false" customHeight="false" outlineLevel="0" collapsed="false">
      <c r="A24" s="24" t="s">
        <v>167</v>
      </c>
      <c r="B24" s="31" t="str">
        <f aca="false">IF(FAIL_Sayisi=0,"SAĞLIKLI","İNCELE")</f>
        <v>İNCELE</v>
      </c>
    </row>
    <row r="26" customFormat="false" ht="19.5" hidden="false" customHeight="true" outlineLevel="0" collapsed="false">
      <c r="A26" s="11" t="s">
        <v>168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3">
    <mergeCell ref="A1:AD1"/>
    <mergeCell ref="A3:C3"/>
    <mergeCell ref="A26:AN26"/>
  </mergeCells>
  <conditionalFormatting sqref="B5:B12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"WARN"</formula>
    </cfRule>
  </conditionalFormatting>
  <conditionalFormatting sqref="B19">
    <cfRule type="cellIs" priority="5" operator="greaterThanOrEqual" aboveAverage="0" equalAverage="0" bottom="0" percent="0" rank="0" text="" dxfId="6">
      <formula>VeriKaliteIyiEsik</formula>
    </cfRule>
    <cfRule type="cellIs" priority="6" operator="lessThan" aboveAverage="0" equalAverage="0" bottom="0" percent="0" rank="0" text="" dxfId="7">
      <formula>VeriKaliteOrtaEsik</formula>
    </cfRule>
  </conditionalFormatting>
  <conditionalFormatting sqref="B17">
    <cfRule type="cellIs" priority="7" operator="greaterThan" aboveAverage="0" equalAverage="0" bottom="0" percent="0" rank="0" text="" dxfId="7">
      <formula>0</formula>
    </cfRule>
  </conditionalFormatting>
  <conditionalFormatting sqref="B18">
    <cfRule type="cellIs" priority="8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170</v>
      </c>
    </row>
    <row r="5" customFormat="false" ht="15" hidden="false" customHeight="false" outlineLevel="0" collapsed="false">
      <c r="A5" s="23" t="s">
        <v>171</v>
      </c>
    </row>
    <row r="6" customFormat="false" ht="15" hidden="false" customHeight="false" outlineLevel="0" collapsed="false">
      <c r="A6" s="31" t="s">
        <v>172</v>
      </c>
      <c r="B6" s="26" t="n">
        <f aca="false">ToplamDepoTeslimMaliyeti</f>
        <v>7754565.4975</v>
      </c>
    </row>
    <row r="7" customFormat="false" ht="15" hidden="false" customHeight="false" outlineLevel="0" collapsed="false">
      <c r="A7" s="31" t="s">
        <v>109</v>
      </c>
      <c r="B7" s="27" t="n">
        <f aca="false">MaliyetFaktoru</f>
        <v>1.46878593400037</v>
      </c>
    </row>
    <row r="8" customFormat="false" ht="15" hidden="false" customHeight="false" outlineLevel="0" collapsed="false">
      <c r="A8" s="31" t="s">
        <v>110</v>
      </c>
      <c r="B8" s="28" t="n">
        <f aca="false">VergiYukOrani</f>
        <v>0.386</v>
      </c>
    </row>
    <row r="9" customFormat="false" ht="15" hidden="false" customHeight="false" outlineLevel="0" collapsed="false">
      <c r="A9" s="31" t="s">
        <v>173</v>
      </c>
      <c r="B9" s="26" t="n">
        <f aca="false">modulT5MutabakatFark</f>
        <v>0</v>
      </c>
    </row>
    <row r="11" customFormat="false" ht="19.4" hidden="false" customHeight="false" outlineLevel="0" collapsed="false">
      <c r="A11" s="13" t="s">
        <v>174</v>
      </c>
      <c r="B11" s="34" t="str">
        <f aca="false">IF(VeriKaliteSkoru=0,"VERİ YOK",IF(OR(MaliyetFaktoru&lt;1,ToplamFOB&lt;0),"DURDUR",IF(OR(VergiYukOrani&gt;VergiYukEsik,MaliyetFaktoru&gt;MaliyetFaktorEsik),"DURDUR",IF(OR(ABS(modulT5MutabakatFark)&gt;ToplamYurtIciMasraf*MutabakatEsikOran,AnomaliUrunAdedi&gt;0,modulI7NakitAcik&gt;0),"İNCELE","UYGUN"))))</f>
        <v>DURDUR</v>
      </c>
    </row>
    <row r="12" customFormat="false" ht="41.75" hidden="false" customHeight="false" outlineLevel="0" collapsed="false">
      <c r="A12" s="31" t="s">
        <v>175</v>
      </c>
      <c r="B12" s="35" t="str">
        <f aca="false">IF(VeriKaliteSkoru=0,"Girdi eksik; lütfen sarı hücreleri doldurun.",IF(MaliyetFaktoru&lt;1,"Maliyet faktörü 1 altında: FOB ve kur girişlerini kontrol edin.",IF(VergiYukOrani&gt;VergiYukEsik,"Vergi yükü oranı %"&amp;TEXT(VergiYukOrani,"0.0%")&amp;" eşiği aşıyor; vergi matrahı ve oranları gözden geçirin.",IF(MaliyetFaktoru&gt;MaliyetFaktorEsik,"Maliyet faktörü "&amp;TEXT(MaliyetFaktoru,"0.00")&amp;" eşiği aşıyor; yüksek kaldıraçlı ithalat.",IF(ABS(modulT5MutabakatFark)&gt;ToplamYurtIciMasraf*MutabakatEsikOran,"Yurt içi masraf dağıtımı ile masraf tablosu farklı; dağıtımı denetleyin.","Depo teslim maliyeti eşikler içinde; maliyet ürünlere dağıtıldı.")))))</f>
        <v>Vergi yükü oranı %39% eşiği aşıyor; vergi matrahı ve oranları gözden geçirin.</v>
      </c>
    </row>
    <row r="14" customFormat="false" ht="15" hidden="false" customHeight="false" outlineLevel="0" collapsed="false">
      <c r="A14" s="23" t="s">
        <v>176</v>
      </c>
    </row>
    <row r="15" customFormat="false" ht="15" hidden="false" customHeight="false" outlineLevel="0" collapsed="false">
      <c r="A15" s="36" t="str">
        <f aca="false">IF(OR(KararSonuc="VERİ YOK",KararSonuc="DURDUR"),"Ürün ve masraf girişlerini tamamlayın; vergi matrahı ve kur değerlerini gözden geçirin",IF(VergiYukOrani&gt;VergiYukEsik,"Vergi yükü eşik üstünde; tedarikçi/rota değerlendirmesi yapın","Depo teslim maliyet hedefini sürdürün"))</f>
        <v>Ürün ve masraf girişlerini tamamlayın; vergi matrahı ve kur değerlerini gözden geçirin</v>
      </c>
      <c r="B15" s="36"/>
      <c r="C15" s="36"/>
    </row>
    <row r="16" customFormat="false" ht="15" hidden="false" customHeight="false" outlineLevel="0" collapsed="false">
      <c r="A16" s="36" t="str">
        <f aca="false">IF(ABS(modulT5MutabakatFark)&gt;ToplamYurtIciMasraf*MutabakatEsikOran,"Masraf dağıtımı ile tablo farkı "&amp;TEXT(modulT5MutabakatFark,"#,##0")&amp;" ₺; dağıtımı denetleyin","Masraf mutabakatı tutarlı")</f>
        <v>Masraf mutabakatı tutarlı</v>
      </c>
      <c r="B16" s="36"/>
      <c r="C16" s="36"/>
    </row>
    <row r="17" customFormat="false" ht="15" hidden="false" customHeight="false" outlineLevel="0" collapsed="false">
      <c r="A17" s="36" t="str">
        <f aca="false">IF(AnomaliUrunAdedi&gt;0,"Uç birim maliyetli ürünlerin FOB ve oran girişlerini inceleyin","Birim maliyet dağılımı tutarlı")</f>
        <v>Uç birim maliyetli ürünlerin FOB ve oran girişlerini inceleyin</v>
      </c>
      <c r="B17" s="36"/>
      <c r="C17" s="36"/>
    </row>
    <row r="18" customFormat="false" ht="15" hidden="false" customHeight="false" outlineLevel="0" collapsed="false">
      <c r="A18" s="36" t="str">
        <f aca="false">IF(modulI7NakitAcik&gt;0,"Peşin ödenen ithal vergileri nakit açığı "&amp;TEXT(modulI7NakitAcik,"#,##0")&amp;" ₺; kısa vadeli nakit planı yapın","İthal vergileri nakit yükü karşılanıyor")</f>
        <v>Peşin ödenen ithal vergileri nakit açığı 2.139.812 ₺; kısa vadeli nakit planı yapın</v>
      </c>
      <c r="B18" s="36"/>
      <c r="C18" s="36"/>
    </row>
    <row r="21" customFormat="false" ht="19.5" hidden="false" customHeight="true" outlineLevel="0" collapsed="false">
      <c r="A21" s="11" t="s">
        <v>177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6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  <cfRule type="cellIs" priority="5" operator="equal" aboveAverage="0" equalAverage="0" bottom="0" percent="0" rank="0" text="" dxfId="9">
      <formula>"VERİ YOK"</formula>
    </cfRule>
  </conditionalFormatting>
  <conditionalFormatting sqref="B8">
    <cfRule type="cellIs" priority="6" operator="greaterThan" aboveAverage="0" equalAverage="0" bottom="0" percent="0" rank="0" text="" dxfId="7">
      <formula>VergiYukEsik</formula>
    </cfRule>
    <cfRule type="cellIs" priority="7" operator="lessThanOrEqual" aboveAverage="0" equalAverage="0" bottom="0" percent="0" rank="0" text="" dxfId="6">
      <formula>VergiYukEsik</formula>
    </cfRule>
  </conditionalFormatting>
  <conditionalFormatting sqref="B7">
    <cfRule type="cellIs" priority="8" operator="greaterThan" aboveAverage="0" equalAverage="0" bottom="0" percent="0" rank="0" text="" dxfId="7">
      <formula>MaliyetFaktorEsik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37" t="s">
        <v>179</v>
      </c>
    </row>
    <row r="5" customFormat="false" ht="15" hidden="false" customHeight="false" outlineLevel="0" collapsed="false">
      <c r="A5" s="38" t="s">
        <v>180</v>
      </c>
      <c r="B5" s="38"/>
      <c r="D5" s="39" t="s">
        <v>181</v>
      </c>
      <c r="E5" s="39"/>
      <c r="G5" s="40" t="s">
        <v>182</v>
      </c>
      <c r="H5" s="40"/>
      <c r="J5" s="41" t="s">
        <v>174</v>
      </c>
      <c r="K5" s="41"/>
    </row>
    <row r="6" customFormat="false" ht="19.4" hidden="false" customHeight="false" outlineLevel="0" collapsed="false">
      <c r="A6" s="42" t="n">
        <f aca="false">ToplamDepoTeslimMaliyeti</f>
        <v>7754565.4975</v>
      </c>
      <c r="B6" s="42"/>
      <c r="D6" s="43" t="n">
        <f aca="false">MaliyetFaktoru</f>
        <v>1.46878593400037</v>
      </c>
      <c r="E6" s="43"/>
      <c r="G6" s="44" t="n">
        <f aca="false">VergiYukOrani</f>
        <v>0.386</v>
      </c>
      <c r="H6" s="44"/>
      <c r="J6" s="45" t="str">
        <f aca="false">KararSonuc</f>
        <v>DURDUR</v>
      </c>
      <c r="K6" s="45"/>
    </row>
    <row r="8" customFormat="false" ht="15" hidden="false" customHeight="false" outlineLevel="0" collapsed="false">
      <c r="A8" s="46" t="s">
        <v>98</v>
      </c>
      <c r="B8" s="26" t="n">
        <f aca="false">ToplamFOB</f>
        <v>5279575</v>
      </c>
    </row>
    <row r="9" customFormat="false" ht="15" hidden="false" customHeight="false" outlineLevel="0" collapsed="false">
      <c r="A9" s="46" t="s">
        <v>100</v>
      </c>
      <c r="B9" s="26" t="n">
        <f aca="false">ToplamCIF</f>
        <v>5543553.75</v>
      </c>
    </row>
    <row r="10" customFormat="false" ht="15" hidden="false" customHeight="false" outlineLevel="0" collapsed="false">
      <c r="A10" s="46" t="s">
        <v>104</v>
      </c>
      <c r="B10" s="26" t="n">
        <f aca="false">ToplamVergi</f>
        <v>2139811.7475</v>
      </c>
    </row>
    <row r="11" customFormat="false" ht="15" hidden="false" customHeight="false" outlineLevel="0" collapsed="false">
      <c r="A11" s="46" t="s">
        <v>105</v>
      </c>
      <c r="B11" s="26" t="n">
        <f aca="false">ToplamYurtIciMasraf</f>
        <v>71200</v>
      </c>
    </row>
    <row r="12" customFormat="false" ht="15" hidden="false" customHeight="false" outlineLevel="0" collapsed="false">
      <c r="A12" s="46" t="s">
        <v>97</v>
      </c>
      <c r="B12" s="25" t="n">
        <f aca="false">ToplamAdet</f>
        <v>6037</v>
      </c>
    </row>
    <row r="13" customFormat="false" ht="15" hidden="false" customHeight="false" outlineLevel="0" collapsed="false">
      <c r="A13" s="46" t="s">
        <v>183</v>
      </c>
      <c r="B13" s="26" t="n">
        <f aca="false">OrtalamaNetBirimMaliyet</f>
        <v>17633.2035335719</v>
      </c>
    </row>
    <row r="14" customFormat="false" ht="15" hidden="false" customHeight="false" outlineLevel="0" collapsed="false">
      <c r="A14" s="46" t="s">
        <v>162</v>
      </c>
      <c r="B14" s="25" t="n">
        <f aca="false">VeriKaliteSkoru</f>
        <v>80</v>
      </c>
    </row>
    <row r="16" customFormat="false" ht="15" hidden="false" customHeight="false" outlineLevel="0" collapsed="false">
      <c r="A16" s="47" t="s">
        <v>184</v>
      </c>
      <c r="B16" s="47"/>
      <c r="C16" s="47"/>
    </row>
    <row r="17" customFormat="false" ht="15" hidden="false" customHeight="false" outlineLevel="0" collapsed="false">
      <c r="A17" s="31" t="s">
        <v>185</v>
      </c>
      <c r="B17" s="46" t="str">
        <f aca="false">KararSonuc</f>
        <v>DURDUR</v>
      </c>
    </row>
    <row r="18" customFormat="false" ht="15" hidden="false" customHeight="false" outlineLevel="0" collapsed="false">
      <c r="A18" s="14" t="str">
        <f aca="false">KararGerekce</f>
        <v>Vergi yükü oranı %39% eşiği aşıyor; vergi matrahı ve oranları gözden geçirin.</v>
      </c>
      <c r="B18" s="14"/>
      <c r="C18" s="14"/>
    </row>
    <row r="19" customFormat="false" ht="15" hidden="false" customHeight="false" outlineLevel="0" collapsed="false">
      <c r="A19" s="47" t="s">
        <v>186</v>
      </c>
      <c r="B19" s="47"/>
      <c r="C19" s="47"/>
    </row>
    <row r="20" customFormat="false" ht="15" hidden="false" customHeight="false" outlineLevel="0" collapsed="false">
      <c r="A20" s="36" t="str">
        <f aca="false">IF(VeriKaliteSkoru=0,"Veri yok","1. Maliyet faktörü "&amp;TEXT(MaliyetFaktoru,"0.00")&amp;" — her 1 TL FOB için depoya teslimde "&amp;TEXT(MaliyetFaktoru,"0.00")&amp;" TL")</f>
        <v>1. Maliyet faktörü 1,47 — her 1 TL FOB için depoya teslimde 1,47 TL</v>
      </c>
      <c r="B20" s="36"/>
      <c r="C20" s="36"/>
    </row>
    <row r="21" customFormat="false" ht="15" hidden="false" customHeight="false" outlineLevel="0" collapsed="false">
      <c r="A21" s="36" t="str">
        <f aca="false">IF(VeriKaliteSkoru=0,"Veri yok","2. Vergi yükü oranı %"&amp;TEXT(VergiYukOrani*100,"0.0")&amp;" — en yüksek vergi kalemi KDV'dir; matrah zincirini kontrol edin.")</f>
        <v>2. Vergi yükü oranı %39 — en yüksek vergi kalemi KDV'dir; matrah zincirini kontrol edin.</v>
      </c>
      <c r="B21" s="36"/>
      <c r="C21" s="36"/>
    </row>
    <row r="22" customFormat="false" ht="15" hidden="false" customHeight="false" outlineLevel="0" collapsed="false">
      <c r="A22" s="36" t="str">
        <f aca="false">IF(VeriKaliteSkoru=0,"Veri yok","3. Veri kalitesi "&amp;VeriKaliteSkoru&amp;" puan; düşükse karar güveni sınırlıdır.")</f>
        <v>3. Veri kalitesi 80 puan; düşükse karar güveni sınırlıdır.</v>
      </c>
      <c r="B22" s="36"/>
      <c r="C22" s="36"/>
    </row>
    <row r="24" customFormat="false" ht="15" hidden="false" customHeight="false" outlineLevel="0" collapsed="false">
      <c r="A24" s="46" t="s">
        <v>187</v>
      </c>
    </row>
    <row r="25" customFormat="false" ht="15" hidden="false" customHeight="false" outlineLevel="0" collapsed="false">
      <c r="A25" s="31" t="s">
        <v>37</v>
      </c>
      <c r="B25" s="48" t="n">
        <f aca="false">ToplamFOB</f>
        <v>5279575</v>
      </c>
    </row>
    <row r="26" customFormat="false" ht="15" hidden="false" customHeight="false" outlineLevel="0" collapsed="false">
      <c r="A26" s="31" t="s">
        <v>188</v>
      </c>
      <c r="B26" s="48" t="n">
        <f aca="false">ToplamVergi</f>
        <v>2139811.7475</v>
      </c>
    </row>
    <row r="27" customFormat="false" ht="15" hidden="false" customHeight="false" outlineLevel="0" collapsed="false">
      <c r="A27" s="31" t="s">
        <v>189</v>
      </c>
      <c r="B27" s="48" t="n">
        <f aca="false">ToplamYurtIciMasraf</f>
        <v>71200</v>
      </c>
    </row>
    <row r="29" customFormat="false" ht="15" hidden="false" customHeight="false" outlineLevel="0" collapsed="false">
      <c r="A29" s="46" t="s">
        <v>190</v>
      </c>
    </row>
    <row r="30" customFormat="false" ht="15" hidden="false" customHeight="false" outlineLevel="0" collapsed="false">
      <c r="A30" s="31" t="s">
        <v>191</v>
      </c>
      <c r="B30" s="33" t="n">
        <f aca="false">IFERROR(ToplamGumrukVergisi/MAX(BolumPaydaTaban,ToplamVergi),0)</f>
        <v>0.129533678756477</v>
      </c>
    </row>
    <row r="31" customFormat="false" ht="15" hidden="false" customHeight="false" outlineLevel="0" collapsed="false">
      <c r="A31" s="31" t="s">
        <v>192</v>
      </c>
      <c r="B31" s="33" t="n">
        <f aca="false">IFERROR(ToplamOtv/MAX(BolumPaydaTaban,ToplamVergi),0)</f>
        <v>0.272020725388601</v>
      </c>
    </row>
    <row r="32" customFormat="false" ht="15" hidden="false" customHeight="false" outlineLevel="0" collapsed="false">
      <c r="A32" s="31" t="s">
        <v>193</v>
      </c>
      <c r="B32" s="33" t="n">
        <f aca="false">IFERROR(ToplamKdv/MAX(BolumPaydaTaban,ToplamVergi),0)</f>
        <v>0.598445595854922</v>
      </c>
    </row>
    <row r="34" customFormat="false" ht="15" hidden="false" customHeight="false" outlineLevel="0" collapsed="false">
      <c r="A34" s="46" t="s">
        <v>194</v>
      </c>
    </row>
    <row r="35" customFormat="false" ht="15" hidden="false" customHeight="false" outlineLevel="0" collapsed="false">
      <c r="A35" s="0" t="str">
        <f aca="false">IFERROR(INDEX(tblUrun[Ürün Adı],ROW()-ROW($A$34))&amp;" (faktör)","")</f>
        <v>Hidrolik Pompa (faktör)</v>
      </c>
      <c r="B35" s="49" t="n">
        <f aca="false">IFERROR(INDEX(tblUrun[Maliyet Faktörü],ROW()-ROW($A$34)),0)</f>
        <v>1.46878593400037</v>
      </c>
    </row>
    <row r="36" customFormat="false" ht="15" hidden="false" customHeight="false" outlineLevel="0" collapsed="false">
      <c r="A36" s="0" t="str">
        <f aca="false">IFERROR(INDEX(tblUrun[Ürün Adı],ROW()-ROW($A$34))&amp;" (faktör)","")</f>
        <v>Vana Seti (faktör)</v>
      </c>
      <c r="B36" s="49" t="n">
        <f aca="false">IFERROR(INDEX(tblUrun[Maliyet Faktörü],ROW()-ROW($A$34)),0)</f>
        <v>1.46878593400037</v>
      </c>
    </row>
    <row r="37" customFormat="false" ht="15" hidden="false" customHeight="false" outlineLevel="0" collapsed="false">
      <c r="A37" s="0" t="str">
        <f aca="false">IFERROR(INDEX(tblUrun[Ürün Adı],ROW()-ROW($A$34))&amp;" (faktör)","")</f>
        <v>Boru Bağlantı Elemanı (faktör)</v>
      </c>
      <c r="B37" s="49" t="n">
        <f aca="false">IFERROR(INDEX(tblUrun[Maliyet Faktörü],ROW()-ROW($A$34)),0)</f>
        <v>1.46878593400037</v>
      </c>
    </row>
    <row r="38" customFormat="false" ht="15" hidden="false" customHeight="false" outlineLevel="0" collapsed="false">
      <c r="A38" s="0" t="str">
        <f aca="false">IFERROR(INDEX(tblUrun[Ürün Adı],ROW()-ROW($A$34))&amp;" (faktör)","")</f>
        <v>Endüstriyel Motor (faktör)</v>
      </c>
      <c r="B38" s="49" t="n">
        <f aca="false">IFERROR(INDEX(tblUrun[Maliyet Faktörü],ROW()-ROW($A$34)),0)</f>
        <v>1.46878593400037</v>
      </c>
    </row>
    <row r="40" customFormat="false" ht="15" hidden="false" customHeight="false" outlineLevel="0" collapsed="false">
      <c r="A40" s="46" t="s">
        <v>195</v>
      </c>
    </row>
    <row r="41" customFormat="false" ht="15" hidden="false" customHeight="false" outlineLevel="0" collapsed="false">
      <c r="A41" s="31" t="s">
        <v>196</v>
      </c>
      <c r="B41" s="48" t="n">
        <f aca="false">OrtalamaNetBirimMaliyet</f>
        <v>17633.2035335719</v>
      </c>
    </row>
    <row r="42" customFormat="false" ht="15" hidden="false" customHeight="false" outlineLevel="0" collapsed="false">
      <c r="A42" s="31" t="s">
        <v>197</v>
      </c>
      <c r="B42" s="48" t="n">
        <f aca="false">modulI2MaliyetP90</f>
        <v>51263.5666684809</v>
      </c>
    </row>
    <row r="44" customFormat="false" ht="15" hidden="false" customHeight="false" outlineLevel="0" collapsed="false">
      <c r="A44" s="46" t="s">
        <v>198</v>
      </c>
    </row>
    <row r="45" customFormat="false" ht="15" hidden="false" customHeight="false" outlineLevel="0" collapsed="false">
      <c r="A45" s="31" t="s">
        <v>199</v>
      </c>
      <c r="B45" s="48" t="n">
        <f aca="false">IFERROR(SenaryoMaliyetKotumser-ToplamDepoTeslimMaliyeti,0)</f>
        <v>775456.54975</v>
      </c>
    </row>
    <row r="46" customFormat="false" ht="15" hidden="false" customHeight="false" outlineLevel="0" collapsed="false">
      <c r="A46" s="31" t="s">
        <v>200</v>
      </c>
      <c r="B46" s="48" t="n">
        <f aca="false">IFERROR(ToplamDepoTeslimMaliyeti-SenaryoMaliyetIyimser,0)</f>
        <v>775456.54975</v>
      </c>
    </row>
    <row r="48" customFormat="false" ht="15" hidden="false" customHeight="false" outlineLevel="0" collapsed="false">
      <c r="A48" s="46" t="s">
        <v>201</v>
      </c>
    </row>
    <row r="49" customFormat="false" ht="15" hidden="false" customHeight="false" outlineLevel="0" collapsed="false">
      <c r="A49" s="31" t="s">
        <v>202</v>
      </c>
      <c r="B49" s="33" t="n">
        <f aca="false">IFERROR(ToplamVergi/MAX(BolumPaydaTaban,ToplamFOB),0)</f>
        <v>0.4053</v>
      </c>
    </row>
    <row r="50" customFormat="false" ht="15" hidden="false" customHeight="false" outlineLevel="0" collapsed="false">
      <c r="A50" s="31" t="s">
        <v>203</v>
      </c>
      <c r="B50" s="48" t="n">
        <f aca="false">modulI7NakitAcik</f>
        <v>2139811.7475</v>
      </c>
    </row>
    <row r="52" customFormat="false" ht="19.5" hidden="false" customHeight="true" outlineLevel="0" collapsed="false">
      <c r="A52" s="11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</sheetData>
  <sheetProtection sheet="true" password="cc3d" objects="true" scenarios="true" deleteColumns="false" deleteRows="false"/>
  <mergeCells count="16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C16"/>
    <mergeCell ref="A18:C18"/>
    <mergeCell ref="A19:C19"/>
    <mergeCell ref="A20:C20"/>
    <mergeCell ref="A21:C21"/>
    <mergeCell ref="A22:C22"/>
    <mergeCell ref="A52:AN52"/>
  </mergeCells>
  <conditionalFormatting sqref="D6">
    <cfRule type="cellIs" priority="2" operator="equal" aboveAverage="0" equalAverage="0" bottom="0" percent="0" rank="0" text="" dxfId="6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</conditionalFormatting>
  <conditionalFormatting sqref="B14">
    <cfRule type="cellIs" priority="5" operator="lessThan" aboveAverage="0" equalAverage="0" bottom="0" percent="0" rank="0" text="" dxfId="7">
      <formula>VeriKaliteOrtaEsik</formula>
    </cfRule>
    <cfRule type="cellIs" priority="6" operator="greaterThanOrEqual" aboveAverage="0" equalAverage="0" bottom="0" percent="0" rank="0" text="" dxfId="6">
      <formula>VeriKaliteIyiEsik</formula>
    </cfRule>
  </conditionalFormatting>
  <conditionalFormatting sqref="C10">
    <cfRule type="cellIs" priority="7" operator="greaterThan" aboveAverage="0" equalAverage="0" bottom="0" percent="0" rank="0" text="" dxfId="7">
      <formula>C9</formula>
    </cfRule>
  </conditionalFormatting>
  <conditionalFormatting sqref="B50">
    <cfRule type="cellIs" priority="8" operator="greaterThan" aboveAverage="0" equalAverage="0" bottom="0" percent="0" rank="0" text="" dxfId="7">
      <formula>0</formula>
    </cfRule>
  </conditionalFormatting>
  <conditionalFormatting sqref="B45">
    <cfRule type="cellIs" priority="9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&amp;LİTHALAT DEPO TESLİM (RAFA GELEN) NET BİRİM MALİYET&amp;CExcelArşiv&amp;RSayfa &amp;P / &amp;N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25.5" hidden="false" customHeight="true" outlineLevel="0" collapsed="false">
      <c r="A1" s="12" t="s">
        <v>205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206</v>
      </c>
    </row>
    <row r="6" customFormat="false" ht="30" hidden="false" customHeight="true" outlineLevel="0" collapsed="false">
      <c r="A6" s="15" t="s">
        <v>207</v>
      </c>
      <c r="B6" s="15" t="s">
        <v>208</v>
      </c>
      <c r="C6" s="15" t="s">
        <v>209</v>
      </c>
      <c r="D6" s="15" t="s">
        <v>210</v>
      </c>
    </row>
    <row r="7" customFormat="false" ht="15" hidden="false" customHeight="false" outlineLevel="0" collapsed="false">
      <c r="A7" s="24" t="s">
        <v>211</v>
      </c>
      <c r="B7" s="26" t="n">
        <f aca="false">IFERROR(ToplamDepoTeslimMaliyeti*(1+SenaryoKotumserKat),0)</f>
        <v>8530022.04725</v>
      </c>
      <c r="C7" s="26" t="n">
        <f aca="false">ToplamDepoTeslimMaliyeti</f>
        <v>7754565.4975</v>
      </c>
      <c r="D7" s="26" t="n">
        <f aca="false">IFERROR(ToplamDepoTeslimMaliyeti*(1-SenaryoIyimserKat),0)</f>
        <v>6979108.94775</v>
      </c>
    </row>
    <row r="8" customFormat="false" ht="15" hidden="false" customHeight="false" outlineLevel="0" collapsed="false">
      <c r="A8" s="24" t="s">
        <v>212</v>
      </c>
      <c r="B8" s="28" t="n">
        <f aca="false">IFERROR(VergiYukOrani*(1+SenaryoKotumserKat),0)</f>
        <v>0.4246</v>
      </c>
      <c r="C8" s="28" t="n">
        <f aca="false">VergiYukOrani</f>
        <v>0.386</v>
      </c>
      <c r="D8" s="28" t="n">
        <f aca="false">IFERROR(VergiYukOrani*(1-SenaryoIyimserKat),0)</f>
        <v>0.3474</v>
      </c>
    </row>
    <row r="9" customFormat="false" ht="15" hidden="false" customHeight="false" outlineLevel="0" collapsed="false">
      <c r="A9" s="24" t="s">
        <v>213</v>
      </c>
      <c r="B9" s="27" t="n">
        <f aca="false">IFERROR(MaliyetFaktoru*(1+SenaryoKotumserKat),0)</f>
        <v>1.61566452740041</v>
      </c>
      <c r="C9" s="27" t="n">
        <f aca="false">MaliyetFaktoru</f>
        <v>1.46878593400037</v>
      </c>
      <c r="D9" s="27" t="n">
        <f aca="false">IFERROR(MaliyetFaktoru*(1-SenaryoIyimserKat),0)</f>
        <v>1.32190734060033</v>
      </c>
    </row>
    <row r="10" customFormat="false" ht="15" hidden="false" customHeight="false" outlineLevel="0" collapsed="false">
      <c r="A10" s="24" t="s">
        <v>214</v>
      </c>
      <c r="B10" s="26" t="n">
        <f aca="false">IFERROR(MAX(0,ToplamVergi*(1+SenaryoKotumserKat)-PesinOdemeTutari),0)</f>
        <v>2353792.92225</v>
      </c>
      <c r="C10" s="26" t="n">
        <f aca="false">IFERROR(MAX(0,ToplamVergi-PesinOdemeTutari),0)</f>
        <v>2139811.7475</v>
      </c>
      <c r="D10" s="26" t="n">
        <f aca="false">IFERROR(MAX(0,ToplamVergi*(1-SenaryoIyimserKat)-PesinOdemeTutari),0)</f>
        <v>1925830.57275</v>
      </c>
    </row>
    <row r="11" customFormat="false" ht="15" hidden="false" customHeight="false" outlineLevel="0" collapsed="false">
      <c r="A11" s="24" t="s">
        <v>215</v>
      </c>
      <c r="B11" s="30" t="str">
        <f aca="false">IF(VeriKaliteSkoru=0,"VERİ YOK",IF(B8&gt;VergiYukEsik,"DURDUR",IF(OR(B10&gt;0,B9&gt;MaliyetFaktorEsik),"İNCELE","UYGUN")))</f>
        <v>DURDUR</v>
      </c>
      <c r="C11" s="30" t="str">
        <f aca="false">IF(VeriKaliteSkoru=0,"VERİ YOK",IF(C8&gt;VergiYukEsik,"DURDUR",IF(OR(C10&gt;0,C9&gt;MaliyetFaktorEsik),"İNCELE","UYGUN")))</f>
        <v>DURDUR</v>
      </c>
      <c r="D11" s="30" t="str">
        <f aca="false">IF(VeriKaliteSkoru=0,"VERİ YOK",IF(D8&gt;VergiYukEsik,"DURDUR",IF(OR(D10&gt;0,D9&gt;MaliyetFaktorEsik),"İNCELE","UYGUN")))</f>
        <v>DURDUR</v>
      </c>
    </row>
    <row r="13" customFormat="false" ht="15" hidden="false" customHeight="false" outlineLevel="0" collapsed="false">
      <c r="A13" s="23" t="s">
        <v>216</v>
      </c>
    </row>
    <row r="14" customFormat="false" ht="15" hidden="false" customHeight="false" outlineLevel="0" collapsed="false">
      <c r="A14" s="31" t="s">
        <v>217</v>
      </c>
      <c r="B14" s="50" t="n">
        <f aca="false">IFERROR(OrtalamaKur*(1-DuyarliDegisim),0)</f>
        <v>0</v>
      </c>
      <c r="C14" s="50" t="n">
        <f aca="false">OrtalamaKur</f>
        <v>0</v>
      </c>
      <c r="D14" s="50" t="n">
        <f aca="false">IFERROR(OrtalamaKur*(1+DuyarliDegisim),0)</f>
        <v>0</v>
      </c>
    </row>
    <row r="15" customFormat="false" ht="15" hidden="false" customHeight="false" outlineLevel="0" collapsed="false">
      <c r="A15" s="31" t="s">
        <v>218</v>
      </c>
      <c r="B15" s="48" t="n">
        <f aca="false">IFERROR(MAX(0,ToplamFOB*(1+DuyarliDegisim)*MaliyetFaktoru-ToplamDepoTeslimMaliyeti),0)</f>
        <v>387728.274875</v>
      </c>
      <c r="C15" s="48" t="n">
        <f aca="false">IFERROR(MAX(0,ToplamFOB*MaliyetFaktoru-ToplamDepoTeslimMaliyeti),0)</f>
        <v>0</v>
      </c>
      <c r="D15" s="48" t="n">
        <f aca="false">IFERROR(MAX(0,ToplamFOB*(1-DuyarliDegisim)*MaliyetFaktoru-ToplamDepoTeslimMaliyeti),0)</f>
        <v>0</v>
      </c>
    </row>
    <row r="17" customFormat="false" ht="15" hidden="false" customHeight="false" outlineLevel="0" collapsed="false">
      <c r="A17" s="31" t="s">
        <v>219</v>
      </c>
      <c r="B17" s="31" t="str">
        <f aca="false">IF(VeriKaliteSkoru=0,"VERİ YOK",IF(MAX(B10,C10,D10)&gt;0,"NAKİT AÇIĞI VAR","NAKİT DENGELİ"))</f>
        <v>NAKİT AÇIĞI VAR</v>
      </c>
    </row>
    <row r="19" customFormat="false" ht="19.5" hidden="false" customHeight="true" outlineLevel="0" collapsed="false">
      <c r="A19" s="11" t="s">
        <v>220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B7:D10">
    <cfRule type="cellIs" priority="2" operator="greaterThan" aboveAverage="0" equalAverage="0" bottom="0" percent="0" rank="0" text="" dxfId="6">
      <formula>0</formula>
    </cfRule>
  </conditionalFormatting>
  <conditionalFormatting sqref="B10:D10">
    <cfRule type="cellIs" priority="3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12" t="s">
        <v>221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4.75" hidden="false" customHeight="true" outlineLevel="0" collapsed="false">
      <c r="A2" s="51" t="s">
        <v>0</v>
      </c>
      <c r="B2" s="51"/>
      <c r="C2" s="51"/>
      <c r="D2" s="51"/>
      <c r="E2" s="51"/>
      <c r="F2" s="51"/>
    </row>
    <row r="3" customFormat="false" ht="15" hidden="false" customHeight="false" outlineLevel="0" collapsed="false">
      <c r="A3" s="13" t="s">
        <v>222</v>
      </c>
    </row>
    <row r="4" customFormat="false" ht="15" hidden="false" customHeight="false" outlineLevel="0" collapsed="false">
      <c r="A4" s="31" t="s">
        <v>223</v>
      </c>
      <c r="B4" s="30" t="str">
        <f aca="false">firmaUnvani</f>
        <v>Örnek Şirket A.Ş.</v>
      </c>
    </row>
    <row r="5" customFormat="false" ht="15" hidden="false" customHeight="false" outlineLevel="0" collapsed="false">
      <c r="A5" s="31" t="s">
        <v>224</v>
      </c>
      <c r="B5" s="52" t="n">
        <f aca="false">raporTarihi</f>
        <v>46244</v>
      </c>
    </row>
    <row r="6" customFormat="false" ht="19.4" hidden="false" customHeight="false" outlineLevel="0" collapsed="false">
      <c r="A6" s="53" t="s">
        <v>225</v>
      </c>
      <c r="B6" s="54" t="str">
        <f aca="false">KararSonuc</f>
        <v>DURDUR</v>
      </c>
    </row>
    <row r="8" customFormat="false" ht="15" hidden="false" customHeight="false" outlineLevel="0" collapsed="false">
      <c r="A8" s="23" t="s">
        <v>226</v>
      </c>
    </row>
    <row r="9" customFormat="false" ht="15" hidden="false" customHeight="false" outlineLevel="0" collapsed="false">
      <c r="A9" s="24" t="s">
        <v>227</v>
      </c>
      <c r="B9" s="26" t="n">
        <f aca="false">ToplamDepoTeslimMaliyeti</f>
        <v>7754565.4975</v>
      </c>
    </row>
    <row r="10" customFormat="false" ht="15" hidden="false" customHeight="false" outlineLevel="0" collapsed="false">
      <c r="A10" s="24" t="s">
        <v>109</v>
      </c>
      <c r="B10" s="27" t="n">
        <f aca="false">MaliyetFaktoru</f>
        <v>1.46878593400037</v>
      </c>
    </row>
    <row r="11" customFormat="false" ht="15" hidden="false" customHeight="false" outlineLevel="0" collapsed="false">
      <c r="A11" s="24" t="s">
        <v>110</v>
      </c>
      <c r="B11" s="28" t="n">
        <f aca="false">VergiYukOrani</f>
        <v>0.386</v>
      </c>
    </row>
    <row r="12" customFormat="false" ht="15" hidden="false" customHeight="false" outlineLevel="0" collapsed="false">
      <c r="A12" s="24" t="s">
        <v>228</v>
      </c>
      <c r="B12" s="26" t="n">
        <f aca="false">ToplamFOB</f>
        <v>5279575</v>
      </c>
    </row>
    <row r="13" customFormat="false" ht="15" hidden="false" customHeight="false" outlineLevel="0" collapsed="false">
      <c r="A13" s="24" t="s">
        <v>229</v>
      </c>
      <c r="B13" s="26" t="n">
        <f aca="false">ToplamVergi</f>
        <v>2139811.7475</v>
      </c>
    </row>
    <row r="14" customFormat="false" ht="15" hidden="false" customHeight="false" outlineLevel="0" collapsed="false">
      <c r="A14" s="24" t="s">
        <v>230</v>
      </c>
      <c r="B14" s="26" t="n">
        <f aca="false">ToplamYurtIciMasraf</f>
        <v>71200</v>
      </c>
    </row>
    <row r="15" customFormat="false" ht="15" hidden="false" customHeight="false" outlineLevel="0" collapsed="false">
      <c r="A15" s="24" t="s">
        <v>162</v>
      </c>
      <c r="B15" s="25" t="n">
        <f aca="false">VeriKaliteSkoru</f>
        <v>80</v>
      </c>
    </row>
    <row r="16" customFormat="false" ht="15" hidden="false" customHeight="false" outlineLevel="0" collapsed="false">
      <c r="A16" s="24" t="s">
        <v>97</v>
      </c>
      <c r="B16" s="25" t="n">
        <f aca="false">ToplamAdet</f>
        <v>6037</v>
      </c>
    </row>
    <row r="18" customFormat="false" ht="15" hidden="false" customHeight="false" outlineLevel="0" collapsed="false">
      <c r="A18" s="55" t="str">
        <f aca="false">KararGerekce</f>
        <v>Vergi yükü oranı %39% eşiği aşıyor; vergi matrahı ve oranları gözden geçirin.</v>
      </c>
      <c r="B18" s="55"/>
      <c r="C18" s="55"/>
    </row>
    <row r="19" customFormat="false" ht="15" hidden="false" customHeight="false" outlineLevel="0" collapsed="false">
      <c r="A19" s="55"/>
      <c r="B19" s="55"/>
      <c r="C19" s="55"/>
    </row>
    <row r="20" customFormat="false" ht="15" hidden="false" customHeight="false" outlineLevel="0" collapsed="false">
      <c r="A20" s="23" t="s">
        <v>231</v>
      </c>
    </row>
    <row r="21" customFormat="false" ht="15" hidden="false" customHeight="true" outlineLevel="0" collapsed="false">
      <c r="A21" s="14" t="s">
        <v>232</v>
      </c>
      <c r="B21" s="14"/>
      <c r="C21" s="14"/>
    </row>
    <row r="22" customFormat="false" ht="15" hidden="false" customHeight="true" outlineLevel="0" collapsed="false">
      <c r="A22" s="14" t="s">
        <v>233</v>
      </c>
      <c r="B22" s="14"/>
      <c r="C22" s="14"/>
    </row>
    <row r="23" customFormat="false" ht="15" hidden="false" customHeight="true" outlineLevel="0" collapsed="false">
      <c r="A23" s="14" t="s">
        <v>234</v>
      </c>
      <c r="B23" s="14"/>
      <c r="C23" s="14"/>
    </row>
    <row r="25" customFormat="false" ht="15" hidden="false" customHeight="false" outlineLevel="0" collapsed="false">
      <c r="A25" s="23" t="s">
        <v>235</v>
      </c>
    </row>
    <row r="26" customFormat="false" ht="15" hidden="false" customHeight="true" outlineLevel="0" collapsed="false">
      <c r="A26" s="5" t="s">
        <v>236</v>
      </c>
      <c r="B26" s="5"/>
      <c r="C26" s="5"/>
    </row>
    <row r="27" customFormat="false" ht="15" hidden="false" customHeight="true" outlineLevel="0" collapsed="false">
      <c r="A27" s="5" t="s">
        <v>237</v>
      </c>
      <c r="B27" s="5"/>
      <c r="C27" s="5"/>
    </row>
    <row r="28" customFormat="false" ht="15" hidden="false" customHeight="true" outlineLevel="0" collapsed="false">
      <c r="A28" s="5" t="s">
        <v>238</v>
      </c>
      <c r="B28" s="5"/>
      <c r="C28" s="5"/>
    </row>
    <row r="30" customFormat="false" ht="15" hidden="false" customHeight="false" outlineLevel="0" collapsed="false">
      <c r="A30" s="23" t="s">
        <v>239</v>
      </c>
    </row>
    <row r="31" customFormat="false" ht="15" hidden="false" customHeight="true" outlineLevel="0" collapsed="false">
      <c r="A31" s="36" t="s">
        <v>240</v>
      </c>
      <c r="B31" s="36"/>
      <c r="C31" s="36"/>
    </row>
    <row r="32" customFormat="false" ht="15" hidden="false" customHeight="true" outlineLevel="0" collapsed="false">
      <c r="A32" s="36" t="s">
        <v>241</v>
      </c>
      <c r="B32" s="36"/>
      <c r="C32" s="36"/>
    </row>
    <row r="33" customFormat="false" ht="15" hidden="false" customHeight="true" outlineLevel="0" collapsed="false">
      <c r="A33" s="36" t="s">
        <v>242</v>
      </c>
      <c r="B33" s="36"/>
      <c r="C33" s="36"/>
    </row>
    <row r="36" customFormat="false" ht="15" hidden="false" customHeight="false" outlineLevel="0" collapsed="false">
      <c r="A36" s="7" t="s">
        <v>243</v>
      </c>
      <c r="B36" s="7"/>
      <c r="C36" s="7"/>
      <c r="D36" s="7"/>
      <c r="E36" s="7"/>
      <c r="F36" s="7"/>
    </row>
    <row r="37" customFormat="false" ht="15" hidden="false" customHeight="false" outlineLevel="0" collapsed="false">
      <c r="A37" s="7" t="s">
        <v>244</v>
      </c>
      <c r="B37" s="7"/>
      <c r="C37" s="7"/>
      <c r="D37" s="7"/>
      <c r="E37" s="7"/>
      <c r="F37" s="7"/>
    </row>
  </sheetData>
  <sheetProtection sheet="true" password="cc3d" objects="true" scenarios="true" deleteColumns="false" deleteRows="false"/>
  <mergeCells count="14">
    <mergeCell ref="A1:AD1"/>
    <mergeCell ref="A2:F2"/>
    <mergeCell ref="A18:C19"/>
    <mergeCell ref="A21:C21"/>
    <mergeCell ref="A22:C22"/>
    <mergeCell ref="A23:C23"/>
    <mergeCell ref="A26:C26"/>
    <mergeCell ref="A27:C27"/>
    <mergeCell ref="A28:C28"/>
    <mergeCell ref="A31:C31"/>
    <mergeCell ref="A32:C32"/>
    <mergeCell ref="A33:C33"/>
    <mergeCell ref="A36:F36"/>
    <mergeCell ref="A37:F37"/>
  </mergeCells>
  <conditionalFormatting sqref="B6">
    <cfRule type="cellIs" priority="2" operator="equal" aboveAverage="0" equalAverage="0" bottom="0" percent="0" rank="0" text="" dxfId="6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</conditionalFormatting>
  <conditionalFormatting sqref="B11">
    <cfRule type="cellIs" priority="5" operator="greaterThan" aboveAverage="0" equalAverage="0" bottom="0" percent="0" rank="0" text="" dxfId="7">
      <formula>VergiYukEsik</formula>
    </cfRule>
    <cfRule type="cellIs" priority="6" operator="lessThanOrEqual" aboveAverage="0" equalAverage="0" bottom="0" percent="0" rank="0" text="" dxfId="6">
      <formula>VergiYukEsik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&amp;LİTHALAT DEPO TESLİM (RAFA GELEN) NET BİRİM MALİYET&amp;CExcelArşiv&amp;RSayfa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10" min="7" style="0" width="16"/>
  </cols>
  <sheetData>
    <row r="1" customFormat="false" ht="25.5" hidden="false" customHeight="true" outlineLevel="0" collapsed="false">
      <c r="A1" s="12" t="s">
        <v>245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246</v>
      </c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</row>
    <row r="6" customFormat="false" ht="15" hidden="false" customHeight="false" outlineLevel="0" collapsed="false">
      <c r="A6" s="56" t="s">
        <v>48</v>
      </c>
      <c r="B6" s="56" t="s">
        <v>29</v>
      </c>
      <c r="C6" s="32" t="n">
        <v>50</v>
      </c>
      <c r="D6" s="50" t="n">
        <v>120</v>
      </c>
      <c r="E6" s="56" t="s">
        <v>49</v>
      </c>
      <c r="F6" s="50" t="n">
        <v>38.5</v>
      </c>
      <c r="G6" s="33" t="n">
        <v>0.05</v>
      </c>
      <c r="H6" s="33" t="n">
        <v>0.05</v>
      </c>
      <c r="I6" s="33" t="n">
        <v>0.1</v>
      </c>
      <c r="J6" s="33" t="n">
        <v>0.2</v>
      </c>
    </row>
    <row r="7" customFormat="false" ht="15" hidden="false" customHeight="false" outlineLevel="0" collapsed="false">
      <c r="A7" s="56" t="s">
        <v>50</v>
      </c>
      <c r="B7" s="56" t="s">
        <v>29</v>
      </c>
      <c r="C7" s="32" t="n">
        <v>200</v>
      </c>
      <c r="D7" s="50" t="n">
        <v>15</v>
      </c>
      <c r="E7" s="56" t="s">
        <v>49</v>
      </c>
      <c r="F7" s="50" t="n">
        <v>38.5</v>
      </c>
      <c r="G7" s="33" t="n">
        <v>0.05</v>
      </c>
      <c r="H7" s="33" t="n">
        <v>0.05</v>
      </c>
      <c r="I7" s="33" t="n">
        <v>0.1</v>
      </c>
      <c r="J7" s="33" t="n">
        <v>0.2</v>
      </c>
    </row>
    <row r="8" customFormat="false" ht="15" hidden="false" customHeight="false" outlineLevel="0" collapsed="false">
      <c r="A8" s="56" t="s">
        <v>51</v>
      </c>
      <c r="B8" s="56" t="s">
        <v>52</v>
      </c>
      <c r="C8" s="32" t="n">
        <v>3000</v>
      </c>
      <c r="D8" s="50" t="n">
        <v>4</v>
      </c>
      <c r="E8" s="56" t="s">
        <v>53</v>
      </c>
      <c r="F8" s="50" t="n">
        <v>42</v>
      </c>
      <c r="G8" s="33" t="n">
        <v>0.05</v>
      </c>
      <c r="H8" s="33" t="n">
        <v>0.05</v>
      </c>
      <c r="I8" s="33" t="n">
        <v>0.1</v>
      </c>
      <c r="J8" s="33" t="n">
        <v>0.2</v>
      </c>
    </row>
    <row r="9" customFormat="false" ht="15" hidden="false" customHeight="false" outlineLevel="0" collapsed="false">
      <c r="A9" s="56" t="s">
        <v>54</v>
      </c>
      <c r="B9" s="56" t="s">
        <v>29</v>
      </c>
      <c r="C9" s="32" t="n">
        <v>25</v>
      </c>
      <c r="D9" s="50" t="n">
        <v>850</v>
      </c>
      <c r="E9" s="56" t="s">
        <v>53</v>
      </c>
      <c r="F9" s="50" t="n">
        <v>42</v>
      </c>
      <c r="G9" s="33" t="n">
        <v>0.05</v>
      </c>
      <c r="H9" s="33" t="n">
        <v>0.05</v>
      </c>
      <c r="I9" s="33" t="n">
        <v>0.1</v>
      </c>
      <c r="J9" s="33" t="n">
        <v>0.2</v>
      </c>
    </row>
    <row r="13" customFormat="false" ht="15" hidden="false" customHeight="false" outlineLevel="0" collapsed="false">
      <c r="A13" s="13" t="s">
        <v>247</v>
      </c>
    </row>
    <row r="15" customFormat="false" ht="30" hidden="false" customHeight="true" outlineLevel="0" collapsed="false">
      <c r="A15" s="15" t="s">
        <v>68</v>
      </c>
      <c r="B15" s="15" t="s">
        <v>69</v>
      </c>
      <c r="C15" s="15" t="s">
        <v>70</v>
      </c>
    </row>
    <row r="16" customFormat="false" ht="15" hidden="false" customHeight="false" outlineLevel="0" collapsed="false">
      <c r="A16" s="56" t="s">
        <v>71</v>
      </c>
      <c r="B16" s="48" t="n">
        <v>25000</v>
      </c>
      <c r="C16" s="56" t="s">
        <v>72</v>
      </c>
    </row>
    <row r="17" customFormat="false" ht="15" hidden="false" customHeight="false" outlineLevel="0" collapsed="false">
      <c r="A17" s="56" t="s">
        <v>73</v>
      </c>
      <c r="B17" s="48" t="n">
        <v>8000</v>
      </c>
      <c r="C17" s="56" t="s">
        <v>74</v>
      </c>
    </row>
    <row r="18" customFormat="false" ht="15" hidden="false" customHeight="false" outlineLevel="0" collapsed="false">
      <c r="A18" s="56" t="s">
        <v>75</v>
      </c>
      <c r="B18" s="48" t="n">
        <v>15000</v>
      </c>
      <c r="C18" s="56" t="s">
        <v>76</v>
      </c>
    </row>
    <row r="19" customFormat="false" ht="15" hidden="false" customHeight="false" outlineLevel="0" collapsed="false">
      <c r="A19" s="56" t="s">
        <v>77</v>
      </c>
      <c r="B19" s="48" t="n">
        <v>3000</v>
      </c>
      <c r="C19" s="56" t="s">
        <v>78</v>
      </c>
    </row>
    <row r="21" customFormat="false" ht="19.5" hidden="false" customHeight="true" outlineLevel="0" collapsed="false">
      <c r="A21" s="11" t="s">
        <v>248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2">
    <mergeCell ref="A1:AD1"/>
    <mergeCell ref="A21:A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2" t="s">
        <v>249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250</v>
      </c>
    </row>
    <row r="5" customFormat="false" ht="30" hidden="false" customHeight="true" outlineLevel="0" collapsed="false">
      <c r="A5" s="15" t="s">
        <v>251</v>
      </c>
      <c r="B5" s="15" t="s">
        <v>252</v>
      </c>
      <c r="C5" s="15" t="s">
        <v>70</v>
      </c>
    </row>
    <row r="6" customFormat="false" ht="28.35" hidden="false" customHeight="false" outlineLevel="0" collapsed="false">
      <c r="A6" s="56" t="s">
        <v>253</v>
      </c>
      <c r="B6" s="56" t="s">
        <v>254</v>
      </c>
      <c r="C6" s="35" t="s">
        <v>255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0"/>
  </cols>
  <sheetData>
    <row r="1" customFormat="false" ht="25.5" hidden="false" customHeight="true" outlineLevel="0" collapsed="false">
      <c r="A1" s="12" t="s">
        <v>256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257</v>
      </c>
    </row>
    <row r="4" customFormat="false" ht="15" hidden="false" customHeight="false" outlineLevel="0" collapsed="false">
      <c r="A4" s="24" t="s">
        <v>258</v>
      </c>
      <c r="B4" s="24" t="s">
        <v>259</v>
      </c>
    </row>
    <row r="6" customFormat="false" ht="15" hidden="false" customHeight="false" outlineLevel="0" collapsed="false">
      <c r="A6" s="57" t="s">
        <v>49</v>
      </c>
      <c r="B6" s="57" t="s">
        <v>29</v>
      </c>
    </row>
    <row r="7" customFormat="false" ht="15" hidden="false" customHeight="false" outlineLevel="0" collapsed="false">
      <c r="A7" s="57" t="s">
        <v>53</v>
      </c>
      <c r="B7" s="57" t="s">
        <v>52</v>
      </c>
    </row>
    <row r="8" customFormat="false" ht="15" hidden="false" customHeight="false" outlineLevel="0" collapsed="false">
      <c r="A8" s="57" t="s">
        <v>260</v>
      </c>
      <c r="B8" s="57" t="s">
        <v>261</v>
      </c>
    </row>
    <row r="9" customFormat="false" ht="15" hidden="false" customHeight="false" outlineLevel="0" collapsed="false">
      <c r="B9" s="57" t="s">
        <v>262</v>
      </c>
    </row>
    <row r="10" customFormat="false" ht="15" hidden="false" customHeight="false" outlineLevel="0" collapsed="false">
      <c r="B10" s="57" t="s">
        <v>263</v>
      </c>
    </row>
    <row r="13" customFormat="false" ht="19.5" hidden="false" customHeight="true" outlineLevel="0" collapsed="false">
      <c r="A13" s="11" t="s">
        <v>264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</sheetData>
  <sheetProtection sheet="true" password="cc3d" objects="true" scenarios="true" deleteColumns="false" deleteRows="false"/>
  <mergeCells count="2">
    <mergeCell ref="A1:AD1"/>
    <mergeCell ref="A13:A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2" t="s">
        <v>266</v>
      </c>
      <c r="B3" s="22"/>
      <c r="C3" s="22"/>
      <c r="D3" s="22"/>
      <c r="E3" s="22"/>
      <c r="F3" s="22"/>
      <c r="G3" s="22"/>
      <c r="H3" s="22"/>
    </row>
    <row r="4" customFormat="false" ht="15" hidden="false" customHeight="true" outlineLevel="0" collapsed="false">
      <c r="A4" s="14" t="s">
        <v>267</v>
      </c>
      <c r="B4" s="14"/>
      <c r="C4" s="14"/>
      <c r="D4" s="14"/>
      <c r="E4" s="14"/>
      <c r="F4" s="14"/>
      <c r="G4" s="14"/>
      <c r="H4" s="14"/>
    </row>
    <row r="5" customFormat="false" ht="30" hidden="false" customHeight="true" outlineLevel="0" collapsed="false">
      <c r="A5" s="15" t="s">
        <v>268</v>
      </c>
      <c r="B5" s="15" t="s">
        <v>269</v>
      </c>
      <c r="C5" s="15" t="s">
        <v>270</v>
      </c>
      <c r="D5" s="15" t="s">
        <v>28</v>
      </c>
      <c r="E5" s="15" t="s">
        <v>70</v>
      </c>
      <c r="F5" s="15" t="s">
        <v>271</v>
      </c>
      <c r="G5" s="15" t="s">
        <v>272</v>
      </c>
      <c r="H5" s="15" t="s">
        <v>273</v>
      </c>
    </row>
    <row r="6" customFormat="false" ht="15" hidden="false" customHeight="false" outlineLevel="0" collapsed="false">
      <c r="A6" s="58" t="s">
        <v>274</v>
      </c>
      <c r="B6" s="58" t="s">
        <v>275</v>
      </c>
      <c r="C6" s="59" t="s">
        <v>276</v>
      </c>
      <c r="D6" s="58" t="s">
        <v>277</v>
      </c>
      <c r="E6" s="60" t="s">
        <v>278</v>
      </c>
      <c r="F6" s="60" t="s">
        <v>279</v>
      </c>
      <c r="G6" s="61" t="s">
        <v>254</v>
      </c>
      <c r="H6" s="61" t="s">
        <v>254</v>
      </c>
    </row>
    <row r="7" customFormat="false" ht="15" hidden="false" customHeight="false" outlineLevel="0" collapsed="false">
      <c r="A7" s="58" t="s">
        <v>274</v>
      </c>
      <c r="B7" s="58" t="s">
        <v>280</v>
      </c>
      <c r="C7" s="62" t="n">
        <f aca="true">TODAY()</f>
        <v>46244</v>
      </c>
      <c r="D7" s="58" t="s">
        <v>281</v>
      </c>
      <c r="E7" s="60" t="s">
        <v>282</v>
      </c>
      <c r="F7" s="60" t="s">
        <v>279</v>
      </c>
      <c r="G7" s="61" t="s">
        <v>254</v>
      </c>
      <c r="H7" s="61" t="s">
        <v>254</v>
      </c>
    </row>
    <row r="8" customFormat="false" ht="25.35" hidden="false" customHeight="false" outlineLevel="0" collapsed="false">
      <c r="A8" s="58" t="s">
        <v>283</v>
      </c>
      <c r="B8" s="58" t="s">
        <v>284</v>
      </c>
      <c r="C8" s="63" t="n">
        <v>38.5</v>
      </c>
      <c r="D8" s="58" t="s">
        <v>285</v>
      </c>
      <c r="E8" s="60" t="s">
        <v>286</v>
      </c>
      <c r="F8" s="60" t="s">
        <v>287</v>
      </c>
      <c r="G8" s="61" t="s">
        <v>254</v>
      </c>
      <c r="H8" s="61" t="s">
        <v>254</v>
      </c>
    </row>
    <row r="9" customFormat="false" ht="25.35" hidden="false" customHeight="false" outlineLevel="0" collapsed="false">
      <c r="A9" s="58" t="s">
        <v>283</v>
      </c>
      <c r="B9" s="58" t="s">
        <v>288</v>
      </c>
      <c r="C9" s="63" t="n">
        <v>35</v>
      </c>
      <c r="D9" s="58" t="s">
        <v>285</v>
      </c>
      <c r="E9" s="60" t="s">
        <v>289</v>
      </c>
      <c r="F9" s="60" t="s">
        <v>287</v>
      </c>
      <c r="G9" s="61" t="s">
        <v>254</v>
      </c>
      <c r="H9" s="61" t="s">
        <v>254</v>
      </c>
    </row>
    <row r="10" customFormat="false" ht="15" hidden="false" customHeight="false" outlineLevel="0" collapsed="false">
      <c r="A10" s="58" t="s">
        <v>290</v>
      </c>
      <c r="B10" s="58" t="s">
        <v>291</v>
      </c>
      <c r="C10" s="64" t="n">
        <v>0.05</v>
      </c>
      <c r="D10" s="58" t="s">
        <v>292</v>
      </c>
      <c r="E10" s="60" t="s">
        <v>293</v>
      </c>
      <c r="F10" s="60" t="s">
        <v>294</v>
      </c>
      <c r="G10" s="61" t="s">
        <v>254</v>
      </c>
      <c r="H10" s="61" t="s">
        <v>254</v>
      </c>
    </row>
    <row r="11" customFormat="false" ht="25.35" hidden="false" customHeight="false" outlineLevel="0" collapsed="false">
      <c r="A11" s="58" t="s">
        <v>290</v>
      </c>
      <c r="B11" s="58" t="s">
        <v>295</v>
      </c>
      <c r="C11" s="64" t="n">
        <v>0.1</v>
      </c>
      <c r="D11" s="58" t="s">
        <v>292</v>
      </c>
      <c r="E11" s="60" t="s">
        <v>296</v>
      </c>
      <c r="F11" s="60" t="s">
        <v>297</v>
      </c>
      <c r="G11" s="61" t="s">
        <v>254</v>
      </c>
      <c r="H11" s="61" t="s">
        <v>254</v>
      </c>
    </row>
    <row r="12" customFormat="false" ht="15" hidden="false" customHeight="false" outlineLevel="0" collapsed="false">
      <c r="A12" s="58" t="s">
        <v>290</v>
      </c>
      <c r="B12" s="58" t="s">
        <v>298</v>
      </c>
      <c r="C12" s="64" t="n">
        <v>0.2</v>
      </c>
      <c r="D12" s="58" t="s">
        <v>292</v>
      </c>
      <c r="E12" s="60" t="s">
        <v>299</v>
      </c>
      <c r="F12" s="60" t="s">
        <v>300</v>
      </c>
      <c r="G12" s="61" t="s">
        <v>254</v>
      </c>
      <c r="H12" s="61" t="s">
        <v>254</v>
      </c>
    </row>
    <row r="13" customFormat="false" ht="25.35" hidden="false" customHeight="false" outlineLevel="0" collapsed="false">
      <c r="A13" s="58" t="s">
        <v>290</v>
      </c>
      <c r="B13" s="58" t="s">
        <v>301</v>
      </c>
      <c r="C13" s="64" t="n">
        <v>0.05</v>
      </c>
      <c r="D13" s="58" t="s">
        <v>292</v>
      </c>
      <c r="E13" s="60" t="s">
        <v>302</v>
      </c>
      <c r="F13" s="60" t="s">
        <v>303</v>
      </c>
      <c r="G13" s="61" t="s">
        <v>254</v>
      </c>
      <c r="H13" s="61" t="s">
        <v>254</v>
      </c>
    </row>
    <row r="14" customFormat="false" ht="15" hidden="false" customHeight="false" outlineLevel="0" collapsed="false">
      <c r="A14" s="58" t="s">
        <v>274</v>
      </c>
      <c r="B14" s="58" t="s">
        <v>304</v>
      </c>
      <c r="C14" s="64" t="n">
        <v>1E-007</v>
      </c>
      <c r="D14" s="58" t="s">
        <v>305</v>
      </c>
      <c r="E14" s="60" t="s">
        <v>306</v>
      </c>
      <c r="F14" s="60" t="s">
        <v>307</v>
      </c>
      <c r="G14" s="61" t="s">
        <v>254</v>
      </c>
      <c r="H14" s="61" t="s">
        <v>254</v>
      </c>
    </row>
    <row r="15" customFormat="false" ht="15" hidden="false" customHeight="false" outlineLevel="0" collapsed="false">
      <c r="A15" s="58" t="s">
        <v>308</v>
      </c>
      <c r="B15" s="58" t="s">
        <v>309</v>
      </c>
      <c r="C15" s="64" t="n">
        <v>0.25</v>
      </c>
      <c r="D15" s="58" t="s">
        <v>292</v>
      </c>
      <c r="E15" s="60" t="s">
        <v>310</v>
      </c>
      <c r="F15" s="60" t="s">
        <v>307</v>
      </c>
      <c r="G15" s="61" t="s">
        <v>254</v>
      </c>
      <c r="H15" s="61" t="s">
        <v>254</v>
      </c>
    </row>
    <row r="16" customFormat="false" ht="15" hidden="false" customHeight="false" outlineLevel="0" collapsed="false">
      <c r="A16" s="58" t="s">
        <v>308</v>
      </c>
      <c r="B16" s="58" t="s">
        <v>311</v>
      </c>
      <c r="C16" s="63" t="n">
        <v>1.8</v>
      </c>
      <c r="D16" s="58" t="s">
        <v>305</v>
      </c>
      <c r="E16" s="60" t="s">
        <v>312</v>
      </c>
      <c r="F16" s="60" t="s">
        <v>307</v>
      </c>
      <c r="G16" s="61" t="s">
        <v>254</v>
      </c>
      <c r="H16" s="61" t="s">
        <v>254</v>
      </c>
    </row>
    <row r="17" customFormat="false" ht="15" hidden="false" customHeight="false" outlineLevel="0" collapsed="false">
      <c r="A17" s="58" t="s">
        <v>308</v>
      </c>
      <c r="B17" s="58" t="s">
        <v>313</v>
      </c>
      <c r="C17" s="63" t="n">
        <v>2</v>
      </c>
      <c r="D17" s="58" t="s">
        <v>292</v>
      </c>
      <c r="E17" s="60" t="s">
        <v>314</v>
      </c>
      <c r="F17" s="60" t="s">
        <v>307</v>
      </c>
      <c r="G17" s="61" t="s">
        <v>254</v>
      </c>
      <c r="H17" s="61" t="s">
        <v>254</v>
      </c>
    </row>
    <row r="18" customFormat="false" ht="15" hidden="false" customHeight="false" outlineLevel="0" collapsed="false">
      <c r="A18" s="58" t="s">
        <v>308</v>
      </c>
      <c r="B18" s="58" t="s">
        <v>315</v>
      </c>
      <c r="C18" s="64" t="n">
        <v>0.05</v>
      </c>
      <c r="D18" s="58" t="s">
        <v>292</v>
      </c>
      <c r="E18" s="60" t="s">
        <v>316</v>
      </c>
      <c r="F18" s="60" t="s">
        <v>307</v>
      </c>
      <c r="G18" s="61" t="s">
        <v>254</v>
      </c>
      <c r="H18" s="61" t="s">
        <v>254</v>
      </c>
    </row>
    <row r="19" customFormat="false" ht="15" hidden="false" customHeight="false" outlineLevel="0" collapsed="false">
      <c r="A19" s="58" t="s">
        <v>317</v>
      </c>
      <c r="B19" s="58" t="s">
        <v>318</v>
      </c>
      <c r="C19" s="63" t="n">
        <v>90</v>
      </c>
      <c r="D19" s="58" t="s">
        <v>319</v>
      </c>
      <c r="E19" s="60" t="s">
        <v>320</v>
      </c>
      <c r="F19" s="60" t="s">
        <v>307</v>
      </c>
      <c r="G19" s="61" t="s">
        <v>254</v>
      </c>
      <c r="H19" s="61" t="s">
        <v>254</v>
      </c>
    </row>
    <row r="20" customFormat="false" ht="15" hidden="false" customHeight="false" outlineLevel="0" collapsed="false">
      <c r="A20" s="58" t="s">
        <v>317</v>
      </c>
      <c r="B20" s="58" t="s">
        <v>321</v>
      </c>
      <c r="C20" s="63" t="n">
        <v>70</v>
      </c>
      <c r="D20" s="58" t="s">
        <v>319</v>
      </c>
      <c r="E20" s="60" t="s">
        <v>322</v>
      </c>
      <c r="F20" s="60" t="s">
        <v>307</v>
      </c>
      <c r="G20" s="61" t="s">
        <v>254</v>
      </c>
      <c r="H20" s="61" t="s">
        <v>254</v>
      </c>
    </row>
    <row r="21" customFormat="false" ht="15" hidden="false" customHeight="false" outlineLevel="0" collapsed="false">
      <c r="A21" s="58" t="s">
        <v>317</v>
      </c>
      <c r="B21" s="58" t="s">
        <v>323</v>
      </c>
      <c r="C21" s="63" t="n">
        <v>100</v>
      </c>
      <c r="D21" s="58" t="s">
        <v>319</v>
      </c>
      <c r="E21" s="60" t="s">
        <v>324</v>
      </c>
      <c r="F21" s="60" t="s">
        <v>307</v>
      </c>
      <c r="G21" s="61" t="s">
        <v>254</v>
      </c>
      <c r="H21" s="61" t="s">
        <v>254</v>
      </c>
    </row>
    <row r="22" customFormat="false" ht="15" hidden="false" customHeight="false" outlineLevel="0" collapsed="false">
      <c r="A22" s="58" t="s">
        <v>317</v>
      </c>
      <c r="B22" s="58" t="s">
        <v>325</v>
      </c>
      <c r="C22" s="63" t="n">
        <v>20</v>
      </c>
      <c r="D22" s="58" t="s">
        <v>319</v>
      </c>
      <c r="E22" s="60" t="s">
        <v>326</v>
      </c>
      <c r="F22" s="60" t="s">
        <v>307</v>
      </c>
      <c r="G22" s="61" t="s">
        <v>254</v>
      </c>
      <c r="H22" s="61" t="s">
        <v>254</v>
      </c>
    </row>
    <row r="23" customFormat="false" ht="15" hidden="false" customHeight="false" outlineLevel="0" collapsed="false">
      <c r="A23" s="58" t="s">
        <v>317</v>
      </c>
      <c r="B23" s="58" t="s">
        <v>327</v>
      </c>
      <c r="C23" s="63" t="n">
        <v>10</v>
      </c>
      <c r="D23" s="58" t="s">
        <v>319</v>
      </c>
      <c r="E23" s="60" t="s">
        <v>328</v>
      </c>
      <c r="F23" s="60" t="s">
        <v>307</v>
      </c>
      <c r="G23" s="61" t="s">
        <v>254</v>
      </c>
      <c r="H23" s="61" t="s">
        <v>254</v>
      </c>
    </row>
    <row r="24" customFormat="false" ht="15" hidden="false" customHeight="false" outlineLevel="0" collapsed="false">
      <c r="A24" s="58" t="s">
        <v>317</v>
      </c>
      <c r="B24" s="58" t="s">
        <v>329</v>
      </c>
      <c r="C24" s="63" t="n">
        <v>3008</v>
      </c>
      <c r="D24" s="58" t="s">
        <v>330</v>
      </c>
      <c r="E24" s="60" t="s">
        <v>331</v>
      </c>
      <c r="F24" s="60" t="s">
        <v>332</v>
      </c>
      <c r="G24" s="61" t="s">
        <v>254</v>
      </c>
      <c r="H24" s="61" t="s">
        <v>254</v>
      </c>
    </row>
    <row r="25" customFormat="false" ht="15" hidden="false" customHeight="false" outlineLevel="0" collapsed="false">
      <c r="A25" s="58" t="s">
        <v>333</v>
      </c>
      <c r="B25" s="58" t="s">
        <v>334</v>
      </c>
      <c r="C25" s="64" t="n">
        <v>0.1</v>
      </c>
      <c r="D25" s="58" t="s">
        <v>292</v>
      </c>
      <c r="E25" s="60" t="s">
        <v>335</v>
      </c>
      <c r="F25" s="60" t="s">
        <v>307</v>
      </c>
      <c r="G25" s="61" t="s">
        <v>254</v>
      </c>
      <c r="H25" s="61" t="s">
        <v>254</v>
      </c>
    </row>
    <row r="26" customFormat="false" ht="15" hidden="false" customHeight="false" outlineLevel="0" collapsed="false">
      <c r="A26" s="58" t="s">
        <v>333</v>
      </c>
      <c r="B26" s="58" t="s">
        <v>336</v>
      </c>
      <c r="C26" s="64" t="n">
        <v>0.1</v>
      </c>
      <c r="D26" s="58" t="s">
        <v>292</v>
      </c>
      <c r="E26" s="60" t="s">
        <v>337</v>
      </c>
      <c r="F26" s="60" t="s">
        <v>307</v>
      </c>
      <c r="G26" s="61" t="s">
        <v>254</v>
      </c>
      <c r="H26" s="61" t="s">
        <v>254</v>
      </c>
    </row>
    <row r="27" customFormat="false" ht="15" hidden="false" customHeight="false" outlineLevel="0" collapsed="false">
      <c r="A27" s="58" t="s">
        <v>338</v>
      </c>
      <c r="B27" s="58" t="s">
        <v>339</v>
      </c>
      <c r="C27" s="64" t="n">
        <v>0.05</v>
      </c>
      <c r="D27" s="58" t="s">
        <v>292</v>
      </c>
      <c r="E27" s="60" t="s">
        <v>340</v>
      </c>
      <c r="F27" s="60" t="s">
        <v>307</v>
      </c>
      <c r="G27" s="61" t="s">
        <v>254</v>
      </c>
      <c r="H27" s="61" t="s">
        <v>254</v>
      </c>
    </row>
    <row r="28" customFormat="false" ht="15" hidden="false" customHeight="false" outlineLevel="0" collapsed="false">
      <c r="A28" s="58" t="s">
        <v>338</v>
      </c>
      <c r="B28" s="58" t="s">
        <v>341</v>
      </c>
      <c r="C28" s="64" t="n">
        <v>0.3</v>
      </c>
      <c r="D28" s="58" t="s">
        <v>292</v>
      </c>
      <c r="E28" s="60" t="s">
        <v>342</v>
      </c>
      <c r="F28" s="60" t="s">
        <v>307</v>
      </c>
      <c r="G28" s="61" t="s">
        <v>254</v>
      </c>
      <c r="H28" s="61" t="s">
        <v>254</v>
      </c>
    </row>
    <row r="29" customFormat="false" ht="15" hidden="false" customHeight="false" outlineLevel="0" collapsed="false">
      <c r="A29" s="58" t="s">
        <v>338</v>
      </c>
      <c r="B29" s="58" t="s">
        <v>343</v>
      </c>
      <c r="C29" s="64" t="n">
        <v>0.15</v>
      </c>
      <c r="D29" s="58" t="s">
        <v>292</v>
      </c>
      <c r="E29" s="60" t="s">
        <v>344</v>
      </c>
      <c r="F29" s="60" t="s">
        <v>307</v>
      </c>
      <c r="G29" s="61" t="s">
        <v>254</v>
      </c>
      <c r="H29" s="61" t="s">
        <v>254</v>
      </c>
    </row>
    <row r="30" customFormat="false" ht="15" hidden="false" customHeight="false" outlineLevel="0" collapsed="false">
      <c r="A30" s="58" t="s">
        <v>345</v>
      </c>
      <c r="B30" s="58" t="s">
        <v>346</v>
      </c>
      <c r="C30" s="64" t="n">
        <v>0.9</v>
      </c>
      <c r="D30" s="58" t="s">
        <v>292</v>
      </c>
      <c r="E30" s="60" t="s">
        <v>347</v>
      </c>
      <c r="F30" s="60" t="s">
        <v>307</v>
      </c>
      <c r="G30" s="61" t="s">
        <v>254</v>
      </c>
      <c r="H30" s="61" t="s">
        <v>254</v>
      </c>
    </row>
    <row r="31" customFormat="false" ht="15" hidden="false" customHeight="false" outlineLevel="0" collapsed="false">
      <c r="A31" s="58" t="s">
        <v>348</v>
      </c>
      <c r="B31" s="58" t="s">
        <v>349</v>
      </c>
      <c r="C31" s="64" t="n">
        <v>0.1</v>
      </c>
      <c r="D31" s="58" t="s">
        <v>292</v>
      </c>
      <c r="E31" s="60" t="s">
        <v>350</v>
      </c>
      <c r="F31" s="60" t="s">
        <v>307</v>
      </c>
      <c r="G31" s="61" t="s">
        <v>254</v>
      </c>
      <c r="H31" s="61" t="s">
        <v>254</v>
      </c>
    </row>
    <row r="32" customFormat="false" ht="15" hidden="false" customHeight="false" outlineLevel="0" collapsed="false">
      <c r="A32" s="58" t="s">
        <v>348</v>
      </c>
      <c r="B32" s="58" t="s">
        <v>351</v>
      </c>
      <c r="C32" s="65" t="n">
        <v>0</v>
      </c>
      <c r="D32" s="58" t="s">
        <v>352</v>
      </c>
      <c r="E32" s="60" t="s">
        <v>353</v>
      </c>
      <c r="F32" s="60" t="s">
        <v>307</v>
      </c>
      <c r="G32" s="61" t="s">
        <v>254</v>
      </c>
      <c r="H32" s="61" t="s">
        <v>254</v>
      </c>
    </row>
    <row r="33" customFormat="false" ht="15" hidden="false" customHeight="false" outlineLevel="0" collapsed="false">
      <c r="A33" s="58" t="s">
        <v>308</v>
      </c>
      <c r="B33" s="58" t="s">
        <v>354</v>
      </c>
      <c r="C33" s="64" t="n">
        <v>0.5</v>
      </c>
      <c r="D33" s="58" t="s">
        <v>292</v>
      </c>
      <c r="E33" s="60" t="s">
        <v>355</v>
      </c>
      <c r="F33" s="60" t="s">
        <v>307</v>
      </c>
      <c r="G33" s="61" t="s">
        <v>254</v>
      </c>
      <c r="H33" s="61" t="s">
        <v>254</v>
      </c>
    </row>
    <row r="34" customFormat="false" ht="15" hidden="false" customHeight="false" outlineLevel="0" collapsed="false">
      <c r="A34" s="58" t="s">
        <v>308</v>
      </c>
      <c r="B34" s="58" t="s">
        <v>356</v>
      </c>
      <c r="C34" s="64" t="n">
        <v>0.5</v>
      </c>
      <c r="D34" s="58" t="s">
        <v>292</v>
      </c>
      <c r="E34" s="60" t="s">
        <v>357</v>
      </c>
      <c r="F34" s="60" t="s">
        <v>307</v>
      </c>
      <c r="G34" s="61" t="s">
        <v>254</v>
      </c>
      <c r="H34" s="61" t="s">
        <v>254</v>
      </c>
    </row>
    <row r="36" customFormat="false" ht="19.5" hidden="false" customHeight="true" outlineLevel="0" collapsed="false">
      <c r="A36" s="11" t="s">
        <v>358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</sheetData>
  <sheetProtection sheet="true" password="cc3d" objects="true" scenarios="true" deleteColumns="false" deleteRows="false"/>
  <mergeCells count="4">
    <mergeCell ref="A1:AD1"/>
    <mergeCell ref="A3:H3"/>
    <mergeCell ref="A4:H4"/>
    <mergeCell ref="A36:A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5.5" hidden="false" customHeight="true" outlineLevel="0" collapsed="false">
      <c r="A1" s="12" t="s">
        <v>359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360</v>
      </c>
    </row>
    <row r="5" customFormat="false" ht="15" hidden="false" customHeight="true" outlineLevel="0" collapsed="false">
      <c r="A5" s="9" t="s">
        <v>361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customFormat="false" ht="15" hidden="false" customHeight="true" outlineLevel="0" collapsed="false">
      <c r="A6" s="9" t="s">
        <v>362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customFormat="false" ht="15" hidden="false" customHeight="true" outlineLevel="0" collapsed="false">
      <c r="A7" s="9" t="s">
        <v>363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5" hidden="false" customHeight="true" outlineLevel="0" collapsed="false">
      <c r="A8" s="9" t="s">
        <v>364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</row>
    <row r="9" customFormat="false" ht="15" hidden="false" customHeight="true" outlineLevel="0" collapsed="false">
      <c r="A9" s="9" t="s">
        <v>365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</row>
    <row r="10" customFormat="false" ht="15" hidden="false" customHeight="true" outlineLevel="0" collapsed="false">
      <c r="A10" s="9" t="s">
        <v>366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</row>
    <row r="11" customFormat="false" ht="15" hidden="false" customHeight="true" outlineLevel="0" collapsed="false">
      <c r="A11" s="9" t="s">
        <v>367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customFormat="false" ht="15" hidden="false" customHeight="true" outlineLevel="0" collapsed="false">
      <c r="A12" s="9" t="s">
        <v>368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</row>
    <row r="13" customFormat="false" ht="15" hidden="false" customHeight="true" outlineLevel="0" collapsed="false">
      <c r="A13" s="9" t="s">
        <v>369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customFormat="false" ht="15" hidden="false" customHeight="true" outlineLevel="0" collapsed="false">
      <c r="A14" s="9" t="s">
        <v>370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customFormat="false" ht="15" hidden="false" customHeight="true" outlineLevel="0" collapsed="false">
      <c r="A15" s="9" t="s">
        <v>371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8" customFormat="false" ht="19.5" hidden="false" customHeight="true" outlineLevel="0" collapsed="false">
      <c r="A18" s="11" t="s">
        <v>372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13">
    <mergeCell ref="A1:AD1"/>
    <mergeCell ref="A5:BH5"/>
    <mergeCell ref="A6:BH6"/>
    <mergeCell ref="A7:BH7"/>
    <mergeCell ref="A8:BH8"/>
    <mergeCell ref="A9:BH9"/>
    <mergeCell ref="A10:BH10"/>
    <mergeCell ref="A11:BH11"/>
    <mergeCell ref="A12:BH12"/>
    <mergeCell ref="A13:BH13"/>
    <mergeCell ref="A14:BH14"/>
    <mergeCell ref="A15:BH15"/>
    <mergeCell ref="A18:A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2026-08-09T21:01:24Z</dcterms:created>
  <dc:creator>openpyxl</dc:creator>
  <dc:description/>
  <dc:language>tr-TR</dc:language>
  <cp:lastModifiedBy/>
  <dcterms:modified xsi:type="dcterms:W3CDTF">2026-08-09T21:01:25Z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