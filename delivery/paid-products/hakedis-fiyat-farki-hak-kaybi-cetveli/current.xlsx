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5.vml" ContentType="application/vnd.openxmlformats-officedocument.vmlDrawing"/>
  <Override PartName="/xl/drawings/vmlDrawing1.vml" ContentType="application/vnd.openxmlformats-officedocument.vmlDrawing"/>
  <Override PartName="/xl/drawings/vmlDrawing9.vml" ContentType="application/vnd.openxmlformats-officedocument.vmlDrawing"/>
  <Override PartName="/xl/drawings/vmlDrawing6.vml" ContentType="application/vnd.openxmlformats-officedocument.vmlDrawing"/>
  <Override PartName="/xl/drawings/vmlDrawing8.vml" ContentType="application/vnd.openxmlformats-officedocument.vmlDrawing"/>
  <Override PartName="/xl/drawings/drawing2.xml" ContentType="application/vnd.openxmlformats-officedocument.drawing+xml"/>
  <Override PartName="/xl/drawings/vmlDrawing7.vml" ContentType="application/vnd.openxmlformats-officedocument.vmlDrawing"/>
  <Override PartName="/xl/comments15.xml" ContentType="application/vnd.openxmlformats-officedocument.spreadsheetml.comments+xml"/>
  <Override PartName="/xl/comments7.xml" ContentType="application/vnd.openxmlformats-officedocument.spreadsheetml.comment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16.xml" ContentType="application/vnd.openxmlformats-officedocument.spreadsheetml.comments+xml"/>
  <Override PartName="/xl/charts/style1.xml" ContentType="application/vnd.ms-office.chartstyle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colors1.xml" ContentType="application/vnd.ms-office.chartcolorstyle+xml"/>
  <Override PartName="/xl/charts/chart6.xml" ContentType="application/vnd.openxmlformats-officedocument.drawingml.chart+xml"/>
  <Override PartName="/xl/charts/chart2.xml" ContentType="application/vnd.openxmlformats-officedocument.drawingml.chart+xml"/>
  <Override PartName="/xl/charts/style2.xml" ContentType="application/vnd.ms-office.chartstyle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style4.xml" ContentType="application/vnd.ms-office.chartstyle+xml"/>
  <Override PartName="/xl/charts/colors4.xml" ContentType="application/vnd.ms-office.chartcolorstyle+xml"/>
  <Override PartName="/xl/charts/style5.xml" ContentType="application/vnd.ms-office.chartstyle+xml"/>
  <Override PartName="/xl/charts/colors2.xml" ContentType="application/vnd.ms-office.chartcolorstyle+xml"/>
  <Override PartName="/xl/charts/colors5.xml" ContentType="application/vnd.ms-office.chartcolorstyle+xml"/>
  <Override PartName="/xl/charts/colors3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omments8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1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KAPAK" sheetId="1" state="visible" r:id="rId3"/>
    <sheet name="HIZLI_BASLANGIC" sheetId="2" state="visible" r:id="rId4"/>
    <sheet name="SOZLESME_KARTI" sheetId="3" state="visible" r:id="rId5"/>
    <sheet name="HAKEDIS_KALEMLERI" sheetId="4" state="visible" r:id="rId6"/>
    <sheet name="ENDEKS_KAYITLARI" sheetId="5" state="visible" r:id="rId7"/>
    <sheet name="HAKEDIS_DONEMLERI" sheetId="6" state="visible" r:id="rId8"/>
    <sheet name="MOTOR" sheetId="7" state="visible" r:id="rId9"/>
    <sheet name="KONTROL" sheetId="8" state="visible" r:id="rId10"/>
    <sheet name="KARAR" sheetId="9" state="visible" r:id="rId11"/>
    <sheet name="PANO" sheetId="10" state="visible" r:id="rId12"/>
    <sheet name="SENARYO_DUYARLILIK" sheetId="11" state="visible" r:id="rId13"/>
    <sheet name="RAPOR" sheetId="12" state="visible" r:id="rId14"/>
    <sheet name="ORNEK_VERI" sheetId="13" state="visible" r:id="rId15"/>
    <sheet name="DEGISIKLIK_KAYDI" sheetId="14" state="visible" r:id="rId16"/>
    <sheet name="LISTELER" sheetId="15" state="visible" r:id="rId17"/>
    <sheet name="AYARLAR" sheetId="16" state="visible" r:id="rId18"/>
    <sheet name="KILAVUZ" sheetId="17" state="visible" r:id="rId19"/>
  </sheets>
  <definedNames>
    <definedName function="false" hidden="false" localSheetId="9" name="_xlnm.Print_Area" vbProcedure="false">PANO!$A$1:$V$34</definedName>
    <definedName function="false" hidden="false" localSheetId="11" name="_xlnm.Print_Area" vbProcedure="false">RAPOR!$A$1:$V$40</definedName>
    <definedName function="false" hidden="false" name="a" vbProcedure="false">SOZLESME_KARTI!$B$9</definedName>
    <definedName function="false" hidden="false" name="AgirlikTolerans" vbProcedure="false">AYARLAR!$C$10</definedName>
    <definedName function="false" hidden="false" name="AgirlikToplam" vbProcedure="false">SOZLESME_KARTI!$B$16</definedName>
    <definedName function="false" hidden="false" name="Aksiyon1" vbProcedure="false">KARAR!$A$15</definedName>
    <definedName function="false" hidden="false" name="Aksiyon2" vbProcedure="false">KARAR!$A$16</definedName>
    <definedName function="false" hidden="false" name="Aksiyon3" vbProcedure="false">KARAR!$A$17</definedName>
    <definedName function="false" hidden="false" name="AnomaliEndeksAdet" vbProcedure="false">MOTOR!$B$22</definedName>
    <definedName function="false" hidden="false" name="AnomaliZEsik" vbProcedure="false">AYARLAR!$C$12</definedName>
    <definedName function="false" hidden="false" name="b" vbProcedure="false">SOZLESME_KARTI!$B$10</definedName>
    <definedName function="false" hidden="false" name="BirikimliFiyatFarki" vbProcedure="false">MOTOR!$B$12</definedName>
    <definedName function="false" hidden="false" name="_c" vbProcedure="false">SOZLESME_KARTI!$B$11</definedName>
    <definedName function="false" hidden="false" name="d" vbProcedure="false">SOZLESME_KARTI!$B$12</definedName>
    <definedName function="false" hidden="false" name="degerKazanim" vbProcedure="false">MOTOR!$B$36</definedName>
    <definedName function="false" hidden="false" name="degerKazanimOran" vbProcedure="false">MOTOR!$B$37</definedName>
    <definedName function="false" hidden="false" name="DoluGirisHucre" vbProcedure="false">KONTROL!$B$16</definedName>
    <definedName function="false" hidden="false" name="DonemFiyatFarki" vbProcedure="false">MOTOR!$B$11</definedName>
    <definedName function="false" hidden="false" name="DonemHakedisToplam" vbProcedure="false">HAKEDIS_DONEMLERI!$C$8</definedName>
    <definedName function="false" hidden="false" name="DuyarliDegisim" vbProcedure="false">AYARLAR!$C$18</definedName>
    <definedName function="false" hidden="false" name="EndeksBantOrani" vbProcedure="false">AYARLAR!$C$21</definedName>
    <definedName function="false" hidden="false" name="EndeksOrtalama" vbProcedure="false">MOTOR!$B$18</definedName>
    <definedName function="false" hidden="false" name="EndeksProjeksiyon" vbProcedure="false">MOTOR!$B$19</definedName>
    <definedName function="false" hidden="false" name="FAIL_Sayisi" vbProcedure="false">KONTROL!$B$18</definedName>
    <definedName function="false" hidden="false" name="firmaUnvani" vbProcedure="false">AYARLAR!$C$6</definedName>
    <definedName function="false" hidden="false" name="FiyatFarkiKatsayi" vbProcedure="false">MOTOR!$B$10</definedName>
    <definedName function="false" hidden="false" name="FiyatFarkiVarMi" vbProcedure="false">SOZLESME_KARTI!$B$13</definedName>
    <definedName function="false" hidden="false" name="HakedisKalemToplam" vbProcedure="false">MOTOR!$B$13</definedName>
    <definedName function="false" hidden="false" name="HakKaybiOran" vbProcedure="false">MOTOR!$B$16</definedName>
    <definedName function="false" hidden="false" name="HakKaybiToplam" vbProcedure="false">MOTOR!$B$15</definedName>
    <definedName function="false" hidden="false" name="IsciEndeksOran" vbProcedure="false">MOTOR!$B$6</definedName>
    <definedName function="false" hidden="false" name="Isveren" vbProcedure="false">SOZLESME_KARTI!$B$5</definedName>
    <definedName function="false" hidden="false" name="KararGerekce" vbProcedure="false">KARAR!$B$12</definedName>
    <definedName function="false" hidden="false" name="KararSonuc" vbProcedure="false">KARAR!$B$11</definedName>
    <definedName function="false" hidden="false" name="KayipDurumu" vbProcedure="false">MOTOR!$B$17</definedName>
    <definedName function="false" hidden="false" name="KayipDikkatOran" vbProcedure="false">AYARLAR!$C$9</definedName>
    <definedName function="false" hidden="false" name="KayipEsikOran" vbProcedure="false">AYARLAR!$C$8</definedName>
    <definedName function="false" hidden="false" name="KayipOraniEsik" vbProcedure="false">AYARLAR!$C$23</definedName>
    <definedName function="false" hidden="false" name="ListeEvetHayir" vbProcedure="false">LISTELER!$A$6:$A$7</definedName>
    <definedName function="false" hidden="false" name="MakineEndeksOran" vbProcedure="false">MOTOR!$B$8</definedName>
    <definedName function="false" hidden="false" name="MalzemeEndeksOran" vbProcedure="false">MOTOR!$B$7</definedName>
    <definedName function="false" hidden="false" name="modulI1TahminOrta" vbProcedure="false">MOTOR!$B$33</definedName>
    <definedName function="false" hidden="false" name="modulI1TahminYorum" vbProcedure="false">MOTOR!$C$49</definedName>
    <definedName function="false" hidden="false" name="modulI2P90" vbProcedure="false">MOTOR!$B$34</definedName>
    <definedName function="false" hidden="false" name="modulI2Yorum" vbProcedure="false">MOTOR!$C$50</definedName>
    <definedName function="false" hidden="false" name="modulI7NakitAcigi" vbProcedure="false">MOTOR!$B$35</definedName>
    <definedName function="false" hidden="false" name="modulI7NakitYorum" vbProcedure="false">MOTOR!$C$51</definedName>
    <definedName function="false" hidden="false" name="modulO1AnomaliSayisi" vbProcedure="false">MOTOR!$B$28</definedName>
    <definedName function="false" hidden="false" name="modulO1AnomaliYorum" vbProcedure="false">MOTOR!$C$44</definedName>
    <definedName function="false" hidden="false" name="modulO2TornadoYorum" vbProcedure="false">MOTOR!$C$45</definedName>
    <definedName function="false" hidden="false" name="modulO2TornadoZirve" vbProcedure="false">MOTOR!$B$29</definedName>
    <definedName function="false" hidden="false" name="modulO3SenaryoBaz" vbProcedure="false">MOTOR!$B$30</definedName>
    <definedName function="false" hidden="false" name="modulO3SenaryoYorum" vbProcedure="false">MOTOR!$C$46</definedName>
    <definedName function="false" hidden="false" name="modulO4NakitGunu" vbProcedure="false">MOTOR!$B$31</definedName>
    <definedName function="false" hidden="false" name="modulO4NakitYorum" vbProcedure="false">MOTOR!$C$47</definedName>
    <definedName function="false" hidden="false" name="modulO8KaliteSkoru" vbProcedure="false">MOTOR!$B$32</definedName>
    <definedName function="false" hidden="false" name="modulO8KaliteYorum" vbProcedure="false">MOTOR!$C$48</definedName>
    <definedName function="false" hidden="false" name="modulT2EndeksEgim" vbProcedure="false">MOTOR!$B$24</definedName>
    <definedName function="false" hidden="false" name="modulT2EndeksYorum" vbProcedure="false">MOTOR!$C$40</definedName>
    <definedName function="false" hidden="false" name="modulT3ParetoPayi" vbProcedure="false">MOTOR!$B$25</definedName>
    <definedName function="false" hidden="false" name="modulT3ParetoYorum" vbProcedure="false">MOTOR!$C$41</definedName>
    <definedName function="false" hidden="false" name="modulT5MutabakatFark" vbProcedure="false">MOTOR!$B$26</definedName>
    <definedName function="false" hidden="false" name="modulT5MutabakatYorum" vbProcedure="false">MOTOR!$C$42</definedName>
    <definedName function="false" hidden="false" name="modulT6KirilimOrani" vbProcedure="false">MOTOR!$B$27</definedName>
    <definedName function="false" hidden="false" name="modulT6KirilimYorum" vbProcedure="false">MOTOR!$C$43</definedName>
    <definedName function="false" hidden="false" name="MutabakatTolerans" vbProcedure="false">AYARLAR!$C$11</definedName>
    <definedName function="false" hidden="false" name="ODemeGecikmeEsik" vbProcedure="false">AYARLAR!$C$22</definedName>
    <definedName function="false" hidden="false" name="P90Kuantil" vbProcedure="false">AYARLAR!$C$20</definedName>
    <definedName function="false" hidden="false" name="ParetoEsikOran" vbProcedure="false">AYARLAR!$C$19</definedName>
    <definedName function="false" hidden="false" name="PASS_Sayisi" vbProcedure="false">KONTROL!$B$17</definedName>
    <definedName function="false" hidden="false" name="PiyasaKalemToplam" vbProcedure="false">MOTOR!$B$14</definedName>
    <definedName function="false" hidden="false" name="raporTarihi" vbProcedure="false">AYARLAR!$C$7</definedName>
    <definedName function="false" hidden="false" name="SenaryoIyimserKat" vbProcedure="false">AYARLAR!$C$17</definedName>
    <definedName function="false" hidden="false" name="SenaryoKotumserKat" vbProcedure="false">AYARLAR!$C$16</definedName>
    <definedName function="false" hidden="false" name="SozlesmeAdi" vbProcedure="false">SOZLESME_KARTI!$B$4</definedName>
    <definedName function="false" hidden="false" name="SozlesmeBedeli" vbProcedure="false">SOZLESME_KARTI!$B$8</definedName>
    <definedName function="false" hidden="false" name="SozlesmeTarihi" vbProcedure="false">SOZLESME_KARTI!$B$7</definedName>
    <definedName function="false" hidden="false" name="TahminAltSinir" vbProcedure="false">MOTOR!$B$20</definedName>
    <definedName function="false" hidden="false" name="TahminUstSinir" vbProcedure="false">MOTOR!$B$21</definedName>
    <definedName function="false" hidden="false" name="VeriKaliteIyiEsik" vbProcedure="false">AYARLAR!$C$13</definedName>
    <definedName function="false" hidden="false" name="VeriKaliteOrtaEsik" vbProcedure="false">AYARLAR!$C$14</definedName>
    <definedName function="false" hidden="false" name="VeriKaliteSeviyesi" vbProcedure="false">KONTROL!$B$20</definedName>
    <definedName function="false" hidden="false" name="VeriKaliteSkoru" vbProcedure="false">KONTROL!$B$19</definedName>
    <definedName function="false" hidden="false" name="VeriKaliteUyariCeza" vbProcedure="false">AYARLAR!$C$15</definedName>
    <definedName function="false" hidden="false" name="Yuklenici" vbProcedure="false">SOZLESME_KARTI!$B$6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4" authorId="0">
      <text>
        <r>
          <rPr>
            <sz val="10"/>
            <rFont val="Arial"/>
            <family val="2"/>
          </rPr>
          <t xml:space="preserve">Tanım: Sözleşme Adı | Neden önemli: Fiyat farkı katsayısı ve hak kaybı hesabını doğrudan etkiler | Doğru giriş: İşin adı | Örnek: Örnek: Okul İnşaatı | Yanlışsa: Fiyat farkı ve hak kaybı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118</xdr:colOff>
                <xdr:row>8</xdr:row>
                <xdr:rowOff>8</xdr:rowOff>
              </xdr:to>
            </anchor>
          </commentPr>
        </mc:Choice>
        <mc:Fallback/>
      </mc:AlternateContent>
    </comment>
    <comment ref="B5" authorId="0">
      <text>
        <r>
          <rPr>
            <sz val="10"/>
            <rFont val="Arial"/>
            <family val="2"/>
          </rPr>
          <t xml:space="preserve">Tanım: İşveren | Neden önemli: Fiyat farkı katsayısı ve hak kaybı hesabını doğrudan etkiler | Doğru giriş: İşi ihale eden kurum | Örnek: Örnek: İl Milli Eğitim Müdürlüğü | Yanlışsa: Fiyat farkı ve hak kaybı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118</xdr:colOff>
                <xdr:row>8</xdr:row>
                <xdr:rowOff>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Yüklenici | Neden önemli: Fiyat farkı katsayısı ve hak kaybı hesabını doğrudan etkiler | Doğru giriş: Yüklenici firma adı | Örnek: Örnek: Yapı A A.Ş. | Yanlışsa: Fiyat farkı ve hak kaybı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118</xdr:colOff>
                <xdr:row>8</xdr:row>
                <xdr:rowOff>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Sözleşme Tarihi | Neden önemli: Fiyat farkı katsayısı ve hak kaybı hesabını doğrudan etkiler | Doğru giriş: Sözleşmenin imzalandığı tarih | Örnek: Örnek: 15.01.2026 | Yanlışsa: Fiyat farkı ve hak kaybı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118</xdr:colOff>
                <xdr:row>8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Sözleşme Bedeli (₺) | Neden önemli: Fiyat farkı katsayısı ve hak kaybı hesabını doğrudan etkiler | Doğru giriş: KDV hariç sözleşme bedeli | Örnek: Örnek: 8500000 | Yanlışsa: Fiyat farkı ve hak kaybı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118</xdr:colOff>
                <xdr:row>8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a (Sabit Ağırlık) | Neden önemli: Fiyat farkı katsayısı ve hak kaybı hesabını doğrudan etkiler | Doğru giriş: Fiyat farkı formülündeki sabit ağırlık | Örnek: Örnek: 0,20 | Yanlışsa: Fiyat farkı ve hak kaybı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118</xdr:colOff>
                <xdr:row>8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 (İşçilik Ağırlığı) | Neden önemli: Fiyat farkı katsayısı ve hak kaybı hesabını doğrudan etkiler | Doğru giriş: İşçilik endeksi ağırlığı | Örnek: Örnek: 0,35 | Yanlışsa: Fiyat farkı ve hak kaybı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118</xdr:colOff>
                <xdr:row>8</xdr:row>
                <xdr:rowOff>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c (Malzeme Ağırlığı) | Neden önemli: Fiyat farkı katsayısı ve hak kaybı hesabını doğrudan etkiler | Doğru giriş: Malzeme endeksi ağırlığı | Örnek: Örnek: 0,35 | Yanlışsa: Fiyat farkı ve hak kaybı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118</xdr:colOff>
                <xdr:row>8</xdr:row>
                <xdr:rowOff>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d (Makine Ağırlığı) | Neden önemli: Fiyat farkı katsayısı ve hak kaybı hesabını doğrudan etkiler | Doğru giriş: Makine/ekipman endeksi ağırlığı | Örnek: Örnek: 0,10 | Yanlışsa: Fiyat farkı ve hak kaybı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118</xdr:colOff>
                <xdr:row>8</xdr:row>
                <xdr:rowOff>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Fiyat Farkı Maddesi | Neden önemli: Fiyat farkı katsayısı ve hak kaybı hesabını doğrudan etkiler | Doğru giriş: Sözleşmede fiyat farkı maddesi var mı? | Örnek: Evet / Hayır | Yanlışsa: Fiyat farkı ve hak kaybı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118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F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</commentList>
</comments>
</file>

<file path=xl/comments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6" authorId="0">
      <text>
        <r>
          <rPr>
            <sz val="10"/>
            <rFont val="Arial"/>
            <family val="2"/>
          </rPr>
          <t xml:space="preserve">Tanım: İşçilik Endeks Oranı (Gk/G0) | Neden önemli: İşçilik endeksinin dönem/temel değişim oranı. | Doğru giriş: Otomatik hesaplanır, değiştirmeyin | Yanlışsa: Fiyat farkı ve hak kaybı kararı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Malzeme Endeks Oranı (Bk/B0) | Neden önemli: Malzeme endeksinin dönem/temel değişim oranı. | Doğru giriş: Otomatik hesaplanır, değiştirmeyin | Yanlışsa: Fiyat farkı ve hak kaybı kararı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Makine Endeks Oranı (Yk/Y0) | Neden önemli: Makine endeksinin dönem/temel değişim oranı. | Doğru giriş: Otomatik hesaplanır, değiştirmeyin | Yanlışsa: Fiyat farkı ve hak kaybı kararı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Ağırlık Toplamı (a+b+c+d) | Neden önemli: Formül ağırlıklarının toplamı; 1 olmalıdır. | Doğru giriş: Otomatik hesaplanır, değiştirmeyin | Yanlışsa: Fiyat farkı ve hak kaybı kararı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Fiyat Farkı Katsayısı (F) | Neden önemli: F = a + b×(Gk/G0) + c×(Bk/B0) + d×(Yk/Y0) - 1. | Doğru giriş: Otomatik hesaplanır, değiştirmeyin | Yanlışsa: Fiyat farkı ve hak kaybı kararı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Dönem Fiyat Farkı Tutarı | Neden önemli: Son hakediş döneminin fiyat farkı. | Doğru giriş: Otomatik hesaplanır, değiştirmeyin | Yanlışsa: Fiyat farkı ve hak kaybı kararı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Birikimli Fiyat Farkı | Neden önemli: Tüm dönemlerin fiyat farkı toplamı (katsayı sabit varsayımı). | Doğru giriş: Otomatik hesaplanır, değiştirmeyin | Yanlışsa: Fiyat farkı ve hak kaybı kararı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Hakediş Kalemleri Toplamı | Neden önemli: Kalem bazında hakediş toplamı. | Doğru giriş: Otomatik hesaplanır, değiştirmeyin | Yanlışsa: Fiyat farkı ve hak kaybı kararı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Piyasa Kalem Toplamı | Neden önemli: Kalem bazında piyasa toplamı. | Doğru giriş: Otomatik hesaplanır, değiştirmeyin | Yanlışsa: Fiyat farkı ve hak kaybı kararı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Toplam Hak Kaybı | Neden önemli: Piyasa ile hakediş arasındaki fark. | Doğru giriş: Otomatik hesaplanır, değiştirmeyin | Yanlışsa: Fiyat farkı ve hak kaybı kararı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Hak Kaybı Oranı | Neden önemli: Hak kaybının hakedişe oranı. | Doğru giriş: Otomatik hesaplanır, değiştirmeyin | Yanlışsa: Fiyat farkı ve hak kaybı kararı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Kayıp Durumu | Neden önemli: Hak kaybı seviye etiketi. | Doğru giriş: Otomatik hesaplanır, değiştirmeyin | Yanlışsa: Fiyat farkı ve hak kaybı kararı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Endeks Ortalama Değişim | Neden önemli: Tüm endekslerin ortalama değişimi. | Doğru giriş: Otomatik hesaplanır, değiştirmeyin | Yanlışsa: Fiyat farkı ve hak kaybı kararı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Endeks Projeksiyonu (Sonraki Dönem) | Neden önemli: Endeks trendinden bir sonraki dönem tahmini. | Doğru giriş: Otomatik hesaplanır, değiştirmeyin | Yanlışsa: Fiyat farkı ve hak kaybı kararı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Tahmin Alt Sınırı | Neden önemli: Tahmin aralığı alt sınırı. | Doğru giriş: Otomatik hesaplanır, değiştirmeyin | Yanlışsa: Fiyat farkı ve hak kaybı kararı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Tahmin Üst Sınırı | Neden önemli: Tahmin aralığı üst sınırı. | Doğru giriş: Otomatik hesaplanır, değiştirmeyin | Yanlışsa: Fiyat farkı ve hak kaybı kararı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Anomali Endeks Adedi | Neden önemli: Ortalamadan |Z|&gt;eşik sapan endeks sayısı. | Doğru giriş: Otomatik hesaplanır, değiştirmeyin | Yanlışsa: Fiyat farkı ve hak kaybı kararı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Modül T2: Endeks Eğilimi (dönem başı) | Neden önemli: Endeks değerlerinin dönem başına değişim eğilimi.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Modül T3: En Büyük Kalem Kaybının Payı | Neden önemli: Toplam kaybın tek kalemde yoğunlaşma oranı.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Modül T5: Kalem-Piyasa Mutabakat Farkı | Neden önemli: Kalem toplamı ile dönem hakedişi arasındaki fark.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Modül T6: Kayıp Kırılım Oranı | Neden önemli: Mevcut kayıp oranının dikkat eşiğine oranı.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Modül O1: Anomali Endeks Sayısı | Neden önemli: |Z| eşiğini aşan endeks hareketi sayısı.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Modül O2: En Etkili Değişken (Tornado) | Neden önemli: Fiyat farkı katsayısını en çok etkileyen değişken.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Modül O3: Baz Senaryo Katsayısı | Neden önemli: Baz senaryoda hesaplanan fiyat farkı katsayısı.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Modül O4: Ortalama Geç Ödeme Günü | Neden önemli: Dönem ödemelerinin ortalama gecikme süresi (gün).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Modül O8: Veri Kalite Skoru | Neden önemli: Giriş kalitesi skoru.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Modül I1: Tahmin Orta Noktası | Neden önemli: Endeks trendinden bir sonraki dönem projeksiyonu.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Modül I2: Endeks P90 | Neden önemli: Dönem endekslerinin yüzde 90 alt sınırı.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Modül I7: Geç Ödeme Kaynaklı Nakit Açığı | Neden önemli: Eşik üstü gecikmenin tahmini finansman maliyeti.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Değer Ölçer: Toplam Kazanım | Neden önemli: Birikimli fiyat farkı ve hak kaybı telafi potansiyeli toplamı.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Değer Ölçer: Kazanım Oranı | Neden önemli: Kazanımın sözleşme bedeline oranı.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7" authorId="0">
      <text>
        <r>
          <rPr>
            <sz val="10"/>
            <rFont val="Arial"/>
            <family val="2"/>
          </rPr>
          <t xml:space="preserve">Tanım: Sözleşme Adı Boş | Neden önemli: Sözleşme kartında ad girilmemiş.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Sözleşme Bedeli Boş/Sıfır | Neden önemli: Sözleşme bedeli girilmemiş.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Ağırlık Toplamı ≠ 1 | Neden önemli: a+b+c+d toplamı 1 değil.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Fiyat Farkı Maddesi Boş | Neden önemli: Fiyat farkı maddesi seçilmemiş.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Endeks Kaydı Yok | Neden önemli: Endeks değeri girilmemiş.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Hakediş Kalemi Yok | Neden önemli: Hakediş kalemi girilmemiş.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Hak Kaybı Dikkat | Neden önemli: Hak kaybı yüksek.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1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</commentList>
</comments>
</file>

<file path=xl/comments1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179</xdr:colOff>
                <xdr:row>6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179</xdr:colOff>
                <xdr:row>6</xdr:row>
                <xdr:rowOff>18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179</xdr:colOff>
                <xdr:row>6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179</xdr:colOff>
                <xdr:row>6</xdr:row>
                <xdr:rowOff>18</xdr:rowOff>
              </xdr:to>
            </anchor>
          </commentPr>
        </mc:Choice>
        <mc:Fallback/>
      </mc:AlternateContent>
    </comment>
  </commentList>
</comments>
</file>

<file path=xl/comments1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C6" authorId="0">
      <text>
        <r>
          <rPr>
            <sz val="10"/>
            <rFont val="Arial"/>
            <family val="2"/>
          </rPr>
          <t xml:space="preserve">Tanım: firmaUnvani | Neden önemli: Rapor başlığında görünen firma adı | Doğru giriş: Açıklamaya uygun değer | Örnek: Açıklamaya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raporTarihi | Neden önemli: Dosyadaki tek tarih kaynağı; tüm rapor tarihleri buradan okunur. | Doğru giriş: Otomatik bugünün tarihidir | Örnek: 09.08.2026 | Yanlışsa: Tüm rapor tarihleri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KayipEsikOran | Neden önemli: Hak kaybı oranı normal eşiği; altı kabul edilebilir kabul edilir. | Doğru giriş: Açıklamaya uygun değer | Örnek: Açıklamaya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KayipDikkatOran | Neden önemli: Hak kaybı oranı dikkat eşiği; üzeri kritik kabul edilir. | Doğru giriş: Açıklamaya uygun değer | Örnek: Açıklamaya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AgirlikTolerans | Neden önemli: Ağırlık toplamı (a+b+c+d) kabul toleransı. | Doğru giriş: Açıklamaya uygun değer | Örnek: Açıklamaya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MutabakatTolerans | Neden önemli: Kalem toplamı ile dönem hakedişi arası kabul toleransı (₺). | Doğru giriş: Açıklamaya uygun değer | Örnek: Açıklamaya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AnomaliZEsik | Neden önemli: Endeks değişimlerinde |Z| eşiği. | Doğru giriş: Açıklamaya uygun değer | Örnek: Açıklamaya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VeriKaliteIyiEsik | Neden önemli: Kalite skoru iyi eşiği. | Doğru giriş: Açıklamaya uygun değer | Örnek: Açıklamaya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VeriKaliteOrtaEsik | Neden önemli: Kalite skoru orta eşiği. | Doğru giriş: Açıklamaya uygun değer | Örnek: Açıklamaya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VeriKaliteUyariCeza | Neden önemli: Her WARN için skor cezası. | Doğru giriş: Açıklamaya uygun değer | Örnek: Açıklamaya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SenaryoKotumserKat | Neden önemli: Kötümser senaryoda endeks değişimine eklenen artış oranı. | Doğru giriş: Açıklamaya uygun değer | Örnek: Açıklamaya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SenaryoIyimserKat | Neden önemli: İyimser senaryoda endeks değişiminden düşülen azalış oranı. | Doğru giriş: Açıklamaya uygun değer | Örnek: Açıklamaya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DuyarliDegisim | Neden önemli: Tornado analizinde değişim oranı. | Doğru giriş: Açıklamaya uygun değer | Örnek: Açıklamaya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Tanım: ParetoEsikOran | Neden önemli: Kayıp yoğunlaşması yüksek kabul eşiği. | Doğru giriş: Açıklamaya uygun değer | Örnek: Açıklamaya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Tanım: P90Kuantil | Neden önemli: Yüzdelik dağılım analizinde P90 kuantil değeri. | Doğru giriş: Açıklamaya uygun değer | Örnek: Açıklamaya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Tanım: EndeksBantOrani | Neden önemli: Tahmin aralığı bant oranı. | Doğru giriş: Açıklamaya uygun değer | Örnek: Açıklamaya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Tanım: ODemeGecikmeEsik | Neden önemli: Geç ödeme eşiği (gün); üzeri gecikme kaynaklı maliyet doğurur. | Doğru giriş: Açıklamaya uygun değer | Örnek: Açıklamaya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Tanım: KayipOraniEsik | Neden önemli: Dönem hak kaybı tahmini oranı. | Doğru giriş: Açıklamaya uygun değer | Örnek: Açıklamaya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<sst xmlns="http://schemas.openxmlformats.org/spreadsheetml/2006/main" count="444" uniqueCount="334">
  <si>
    <t xml:space="preserve">HAKEDİŞ FİYAT FARKI VE HAK KAYBI CETVELİ</t>
  </si>
  <si>
    <t xml:space="preserve">Hakedişlerinizde fiyat farkını doğru hesaplayın, hak kaybınızı ölçün.</t>
  </si>
  <si>
    <t xml:space="preserve">Sözleşmeli işlerde endeks esaslı fiyat farkı katsayısı sözleşmedeki ağırlık ve endekslerden hesaplanır. Bu cetvel; her hakediş dönemi için fiyat farkını, birikimli etkiyi ve piyasa-rayiç farkından doğan hak kaybını üretir.</t>
  </si>
  <si>
    <t xml:space="preserve">1. SOZLESME_KARTI sayfasına sözleşme bilgilerini ve fiyat farkı formülünü girin.</t>
  </si>
  <si>
    <t xml:space="preserve">2. HAKEDIS_KALEMLERI, ENDEKS_KAYITLARI ve HAKEDIS_DONEMLERI sayfalarını doldurun.</t>
  </si>
  <si>
    <t xml:space="preserve">3. KARAR sayfasında fiyat farkını, hak kaybını ve aksiyonları okuyun.</t>
  </si>
  <si>
    <t xml:space="preserve">Bu dosya karar destek aracıdır; fiyat farkı hesaplama danışmanlığı yerine geçmez. Formül katsayıları (a, b, c, d) sözleşmeden birebir alınmalıdır.</t>
  </si>
  <si>
    <t xml:space="preserve">ExcelArşiv</t>
  </si>
  <si>
    <t xml:space="preserve">Rev 1.0 | 2026-08-08 | Lisans: Tek kullanıcı</t>
  </si>
  <si>
    <t xml:space="preserve">Nasıl kullanılır?</t>
  </si>
  <si>
    <t xml:space="preserve">1. AYARLAR sayfasından rapor tarihini ve eşikleri (kayıp eşiği, endeks bant oranı) kontrol edin.</t>
  </si>
  <si>
    <t xml:space="preserve">2. SOZLESME_KARTI sayfasına sözleşme bilgilerini, ağırlıkları (a, b, c, d) ve temel endeksleri girin.</t>
  </si>
  <si>
    <t xml:space="preserve">3. HAKEDIS_KALEMLERI sayfasına kalem bazında hakediş miktar ve birim fiyatlarını girin.</t>
  </si>
  <si>
    <t xml:space="preserve">4. ENDEKS_KAYITLARI sayfasına her endeksin dönem değerlerini girin; katsayı otomatik hesaplanır.</t>
  </si>
  <si>
    <t xml:space="preserve">5. HAKEDIS_DONEMLERI sayfasına dönem hakediş tutarlarını ve ödeme tarihlerini girin.</t>
  </si>
  <si>
    <t xml:space="preserve">6. KARAR sayfası fiyat farkını, hak kaybını ve UYGUN / İNCELE / DURDUR kararını gösterir.</t>
  </si>
  <si>
    <t xml:space="preserve">7. PANO ve RAPOR sayfaları yönetici özetini ve yazdırılabilir raporu sunar.</t>
  </si>
  <si>
    <t xml:space="preserve">Sık yapılan hatalar</t>
  </si>
  <si>
    <t xml:space="preserve">Ağırlık katsayılarını (a+b+c+d=1) sözleşmeden teyit etmeden girmek — katsayı toplamı 1 olmazsa sonuç bozulur.</t>
  </si>
  <si>
    <t xml:space="preserve">Temel endeks ile dönem endeksini karıştırmak — oran ters döner, fiyat farkı eksi çıkar.</t>
  </si>
  <si>
    <t xml:space="preserve">Hakediş tutarını KDV dahil girmek — fiyat farkı KDV hariç tutar üzerinden işler.</t>
  </si>
  <si>
    <t xml:space="preserve">Piyasa birim fiyatı yerine sözleşme fiyatını girmek — hak kaybı görünmez olur.</t>
  </si>
  <si>
    <t xml:space="preserve">Kilitli (beyaz/yeşil) hücrelere yazmaya çalışmak — yalnızca sarı hücreler giriş içindir.</t>
  </si>
  <si>
    <t xml:space="preserve">Tüm eşikler ve katsayılar AYARLAR sayfasından beslenir; formüle gömülü sayı kullanılmaz.</t>
  </si>
  <si>
    <t xml:space="preserve">SOZLESME KARTI — HAKEDİŞ FİYAT FARKI VE HAK KAYBI CETVELİ</t>
  </si>
  <si>
    <t xml:space="preserve">Sözleşme Bilgileri ve Fiyat Farkı Formülü</t>
  </si>
  <si>
    <t xml:space="preserve">Sözleşme Adı</t>
  </si>
  <si>
    <t xml:space="preserve">Okul İnşaatı</t>
  </si>
  <si>
    <t xml:space="preserve">İşveren</t>
  </si>
  <si>
    <t xml:space="preserve">İl Milli Eğitim Müdürlüğü</t>
  </si>
  <si>
    <t xml:space="preserve">Yüklenici</t>
  </si>
  <si>
    <t xml:space="preserve">Yapı A A.Ş.</t>
  </si>
  <si>
    <t xml:space="preserve">Sözleşme Tarihi</t>
  </si>
  <si>
    <t xml:space="preserve">Sözleşme Bedeli (₺)</t>
  </si>
  <si>
    <t xml:space="preserve">a (Sabit Ağırlık)</t>
  </si>
  <si>
    <t xml:space="preserve">b (İşçilik Ağırlığı)</t>
  </si>
  <si>
    <t xml:space="preserve">c (Malzeme Ağırlığı)</t>
  </si>
  <si>
    <t xml:space="preserve">d (Makine Ağırlığı)</t>
  </si>
  <si>
    <t xml:space="preserve">Fiyat Farkı Maddesi</t>
  </si>
  <si>
    <t xml:space="preserve">Evet</t>
  </si>
  <si>
    <t xml:space="preserve">Ağırlık toplamı otomatik denetlenir; 1'e eşit olmalıdır.</t>
  </si>
  <si>
    <t xml:space="preserve">Ağırlık Toplamı</t>
  </si>
  <si>
    <t xml:space="preserve">Sarı hücreler manuel giriştir; formül hücreleri kilitli ve korumalıdır.</t>
  </si>
  <si>
    <t xml:space="preserve">HAKEDIS KALEMLERI — HAKEDİŞ FİYAT FARKI VE HAK KAYBI CETVELİ</t>
  </si>
  <si>
    <t xml:space="preserve">Hakediş Kalemleri ve Piyasa Karşılaştırması</t>
  </si>
  <si>
    <t xml:space="preserve">Kalem Adı</t>
  </si>
  <si>
    <t xml:space="preserve">Birim</t>
  </si>
  <si>
    <t xml:space="preserve">Hakediş Miktarı</t>
  </si>
  <si>
    <t xml:space="preserve">Sözleşme Birim Fiyatı (₺)</t>
  </si>
  <si>
    <t xml:space="preserve">Hakediş Tutarı (₺)</t>
  </si>
  <si>
    <t xml:space="preserve">Piyasa Birim Fiyatı (₺)</t>
  </si>
  <si>
    <t xml:space="preserve">Piyasa Tutarı (₺)</t>
  </si>
  <si>
    <t xml:space="preserve">Kayıp (₺)</t>
  </si>
  <si>
    <t xml:space="preserve">Beton</t>
  </si>
  <si>
    <t xml:space="preserve">m³</t>
  </si>
  <si>
    <t xml:space="preserve">Demir</t>
  </si>
  <si>
    <t xml:space="preserve">ton</t>
  </si>
  <si>
    <t xml:space="preserve">Kalıp</t>
  </si>
  <si>
    <t xml:space="preserve">m²</t>
  </si>
  <si>
    <t xml:space="preserve">Duvar</t>
  </si>
  <si>
    <t xml:space="preserve">Sıva</t>
  </si>
  <si>
    <t xml:space="preserve">Boya</t>
  </si>
  <si>
    <t xml:space="preserve">Asma Tavan</t>
  </si>
  <si>
    <t xml:space="preserve">Mermer</t>
  </si>
  <si>
    <t xml:space="preserve">Çelik Kapı</t>
  </si>
  <si>
    <t xml:space="preserve">adet</t>
  </si>
  <si>
    <t xml:space="preserve">PVC Pencere</t>
  </si>
  <si>
    <t xml:space="preserve">Elektrik Tesisatı</t>
  </si>
  <si>
    <t xml:space="preserve">m</t>
  </si>
  <si>
    <t xml:space="preserve">Sıhhi Tesisat</t>
  </si>
  <si>
    <t xml:space="preserve">Kayıp kolonu otomatik: Piyasa Tutarı - Hakediş Tutarı. Piyasa fiyatı güncel rayiç olmalıdır.</t>
  </si>
  <si>
    <t xml:space="preserve">ENDEKS KAYITLARI — HAKEDİŞ FİYAT FARKI VE HAK KAYBI CETVELİ</t>
  </si>
  <si>
    <t xml:space="preserve">Endeks Kayıtları (Temel ve Dönem)</t>
  </si>
  <si>
    <t xml:space="preserve">Endeks Adı</t>
  </si>
  <si>
    <t xml:space="preserve">Ağırlık</t>
  </si>
  <si>
    <t xml:space="preserve">Temel Endeks</t>
  </si>
  <si>
    <t xml:space="preserve">Dönem Endeksi</t>
  </si>
  <si>
    <t xml:space="preserve">Değişim Oranı</t>
  </si>
  <si>
    <t xml:space="preserve">İşçilik</t>
  </si>
  <si>
    <t xml:space="preserve">Malzeme</t>
  </si>
  <si>
    <t xml:space="preserve">Makine</t>
  </si>
  <si>
    <t xml:space="preserve">Genel Gider</t>
  </si>
  <si>
    <t xml:space="preserve">Nakliye</t>
  </si>
  <si>
    <t xml:space="preserve">Yakıt</t>
  </si>
  <si>
    <t xml:space="preserve">İşçilik, malzeme ve makine endeksleri ile ağırlıkları; değişim oranı otomatiktir.</t>
  </si>
  <si>
    <t xml:space="preserve">HAKEDIS DONEMLERI — HAKEDİŞ FİYAT FARKI VE HAK KAYBI CETVELİ</t>
  </si>
  <si>
    <t xml:space="preserve">Hakediş Dönemleri ve Ödemeler</t>
  </si>
  <si>
    <t xml:space="preserve">Dönem Numarası</t>
  </si>
  <si>
    <t xml:space="preserve">Dönem Adı</t>
  </si>
  <si>
    <t xml:space="preserve">Ödeme Tarihi</t>
  </si>
  <si>
    <t xml:space="preserve">Birikimli Hakediş (₺)</t>
  </si>
  <si>
    <t xml:space="preserve">Geç Ödeme Gün</t>
  </si>
  <si>
    <t xml:space="preserve">Hak Kaybı (₺)</t>
  </si>
  <si>
    <t xml:space="preserve">1. Hakediş</t>
  </si>
  <si>
    <t xml:space="preserve">2. Hakediş</t>
  </si>
  <si>
    <t xml:space="preserve">3. Hakediş</t>
  </si>
  <si>
    <t xml:space="preserve">4. Hakediş</t>
  </si>
  <si>
    <t xml:space="preserve">5. Hakediş</t>
  </si>
  <si>
    <t xml:space="preserve">6. Hakediş</t>
  </si>
  <si>
    <t xml:space="preserve">7. Hakediş</t>
  </si>
  <si>
    <t xml:space="preserve">8. Hakediş</t>
  </si>
  <si>
    <t xml:space="preserve">Birikimli tutar ve hak kaybı otomatik hesaplanır; dönem bilgilerini sarı hücrelere girin.</t>
  </si>
  <si>
    <t xml:space="preserve">MOTOR — HAKEDİŞ FİYAT FARKI VE HAK KAYBI CETVELİ</t>
  </si>
  <si>
    <t xml:space="preserve">Hesaplama Motoru — Fiyat Farkı ve Hak Kaybı</t>
  </si>
  <si>
    <t xml:space="preserve">İşçilik Endeks Oranı (Gk/G0)</t>
  </si>
  <si>
    <t xml:space="preserve">Malzeme Endeks Oranı (Bk/B0)</t>
  </si>
  <si>
    <t xml:space="preserve">Makine Endeks Oranı (Yk/Y0)</t>
  </si>
  <si>
    <t xml:space="preserve">Ağırlık Toplamı (a+b+c+d)</t>
  </si>
  <si>
    <t xml:space="preserve">Fiyat Farkı Katsayısı (F)</t>
  </si>
  <si>
    <t xml:space="preserve">Dönem Fiyat Farkı Tutarı</t>
  </si>
  <si>
    <t xml:space="preserve">Birikimli Fiyat Farkı</t>
  </si>
  <si>
    <t xml:space="preserve">Hakediş Kalemleri Toplamı</t>
  </si>
  <si>
    <t xml:space="preserve">Piyasa Kalem Toplamı</t>
  </si>
  <si>
    <t xml:space="preserve">Toplam Hak Kaybı</t>
  </si>
  <si>
    <t xml:space="preserve">Hak Kaybı Oranı</t>
  </si>
  <si>
    <t xml:space="preserve">Kayıp Durumu</t>
  </si>
  <si>
    <t xml:space="preserve">Endeks Ortalama Değişim</t>
  </si>
  <si>
    <t xml:space="preserve">Endeks Projeksiyonu (Sonraki Dönem)</t>
  </si>
  <si>
    <t xml:space="preserve">Tahmin Alt Sınırı</t>
  </si>
  <si>
    <t xml:space="preserve">Tahmin Üst Sınırı</t>
  </si>
  <si>
    <t xml:space="preserve">Anomali Endeks Adedi</t>
  </si>
  <si>
    <t xml:space="preserve">Analitik Modül Hesapları</t>
  </si>
  <si>
    <t xml:space="preserve">Modül T2: Endeks Eğilimi (dönem başı)</t>
  </si>
  <si>
    <t xml:space="preserve">Modül T3: En Büyük Kalem Kaybının Payı</t>
  </si>
  <si>
    <t xml:space="preserve">Modül T5: Kalem-Piyasa Mutabakat Farkı</t>
  </si>
  <si>
    <t xml:space="preserve">Modül T6: Kayıp Kırılım Oranı</t>
  </si>
  <si>
    <t xml:space="preserve">Modül O1: Anomali Endeks Sayısı</t>
  </si>
  <si>
    <t xml:space="preserve">Modül O2: En Etkili Değişken (Tornado)</t>
  </si>
  <si>
    <t xml:space="preserve">Modül O3: Baz Senaryo Katsayısı</t>
  </si>
  <si>
    <t xml:space="preserve">Modül O4: Ortalama Geç Ödeme Günü</t>
  </si>
  <si>
    <t xml:space="preserve">Modül O8: Veri Kalite Skoru</t>
  </si>
  <si>
    <t xml:space="preserve">Modül I1: Tahmin Orta Noktası</t>
  </si>
  <si>
    <t xml:space="preserve">Modül I2: Endeks P90</t>
  </si>
  <si>
    <t xml:space="preserve">Modül I7: Geç Ödeme Kaynaklı Nakit Açığı</t>
  </si>
  <si>
    <t xml:space="preserve">Değer Ölçer: Toplam Kazanım</t>
  </si>
  <si>
    <t xml:space="preserve">Değer Ölçer: Kazanım Oranı</t>
  </si>
  <si>
    <t xml:space="preserve">Modül Makine Yorumları</t>
  </si>
  <si>
    <t xml:space="preserve">T2 Endeks Eğilimi</t>
  </si>
  <si>
    <t xml:space="preserve">T3 Pareto Kayıp Payı</t>
  </si>
  <si>
    <t xml:space="preserve">T5 Mutabakat Farkı</t>
  </si>
  <si>
    <t xml:space="preserve">T6 Kırılım Oranı</t>
  </si>
  <si>
    <t xml:space="preserve">O1 Anomali Sayısı</t>
  </si>
  <si>
    <t xml:space="preserve">O2 Tornado Zirve</t>
  </si>
  <si>
    <t xml:space="preserve">O3 Senaryo Baz</t>
  </si>
  <si>
    <t xml:space="preserve">O4 Nakit Dönüşüm Günü</t>
  </si>
  <si>
    <t xml:space="preserve">O8 Veri Kalite Skoru</t>
  </si>
  <si>
    <t xml:space="preserve">I1 Tahmin Orta</t>
  </si>
  <si>
    <t xml:space="preserve">I2 Yüzdelik P90</t>
  </si>
  <si>
    <t xml:space="preserve">I7 Nakit Açığı</t>
  </si>
  <si>
    <t xml:space="preserve">Fiyat farkı katsayısı sözleşme ağırlıkları ve endeks değişimlerinden üretilir; modül yorumları makinedir.</t>
  </si>
  <si>
    <t xml:space="preserve">KONTROL — HAKEDİŞ FİYAT FARKI VE HAK KAYBI CETVELİ</t>
  </si>
  <si>
    <t xml:space="preserve">Veri Kalitesi ve Sağlık Kontrolü</t>
  </si>
  <si>
    <t xml:space="preserve">A. GİRİŞ TAMLIK KONTROLÜ</t>
  </si>
  <si>
    <t xml:space="preserve">Sözleşme Adı Boş</t>
  </si>
  <si>
    <t xml:space="preserve">Sözleşme Bedeli Boş/Sıfır</t>
  </si>
  <si>
    <t xml:space="preserve">Ağırlık Toplamı ≠ 1</t>
  </si>
  <si>
    <t xml:space="preserve">Fiyat Farkı Maddesi Boş</t>
  </si>
  <si>
    <t xml:space="preserve">Endeks Kaydı Yok</t>
  </si>
  <si>
    <t xml:space="preserve">Hakediş Kalemi Yok</t>
  </si>
  <si>
    <t xml:space="preserve">Hak Kaybı Dikkat</t>
  </si>
  <si>
    <t xml:space="preserve">B. SKOR VE SAĞLIK</t>
  </si>
  <si>
    <t xml:space="preserve">Dolu Giriş Hücresi</t>
  </si>
  <si>
    <t xml:space="preserve">PASS Sayısı</t>
  </si>
  <si>
    <t xml:space="preserve">FAIL Sayısı</t>
  </si>
  <si>
    <t xml:space="preserve">Veri Kalite Skoru (0-100)</t>
  </si>
  <si>
    <t xml:space="preserve">Güven Seviyesi</t>
  </si>
  <si>
    <t xml:space="preserve">Durum</t>
  </si>
  <si>
    <t xml:space="preserve">Skor ve sağlık durumu formülle üretilir; sahte veri yoktur.</t>
  </si>
  <si>
    <t xml:space="preserve">KARAR — HAKEDİŞ FİYAT FARKI VE HAK KAYBI CETVELİ</t>
  </si>
  <si>
    <t xml:space="preserve">Karar Motoru</t>
  </si>
  <si>
    <t xml:space="preserve">FİYAT FARKI VE HAK KAYBI ÖZETİ</t>
  </si>
  <si>
    <t xml:space="preserve">Fiyat Farkı Katsayısı</t>
  </si>
  <si>
    <t xml:space="preserve">Dönem Fiyat Farkı</t>
  </si>
  <si>
    <t xml:space="preserve">KARAR</t>
  </si>
  <si>
    <t xml:space="preserve">GEREKÇE</t>
  </si>
  <si>
    <t xml:space="preserve">AKSİYONLAR</t>
  </si>
  <si>
    <t xml:space="preserve">Karar, gerekçe ve aksiyonlar makine tarafından üretilir; yalnızca sarı hücreler değiştirilebilir.</t>
  </si>
  <si>
    <t xml:space="preserve">PANO — HAKEDİŞ FİYAT FARKI VE HAK KAYBI CETVELİ</t>
  </si>
  <si>
    <t xml:space="preserve">Yönetici Özeti</t>
  </si>
  <si>
    <t xml:space="preserve">FİYAT FARKI KATSAYISI</t>
  </si>
  <si>
    <t xml:space="preserve">DÖNEM FİYAT FARKI</t>
  </si>
  <si>
    <t xml:space="preserve">HAK KAYBI ORANI</t>
  </si>
  <si>
    <t xml:space="preserve">Veri Kalite Skoru</t>
  </si>
  <si>
    <t xml:space="preserve">EN KRİTİK 3 İÇGÖRÜ</t>
  </si>
  <si>
    <t xml:space="preserve">Hakediş Piyasa Dağılımı</t>
  </si>
  <si>
    <t xml:space="preserve">Hakediş</t>
  </si>
  <si>
    <t xml:space="preserve">Piyasa</t>
  </si>
  <si>
    <t xml:space="preserve">Zaman Serisi: Endeks Projeksiyonu</t>
  </si>
  <si>
    <t xml:space="preserve">Tahmin</t>
  </si>
  <si>
    <t xml:space="preserve">Alt</t>
  </si>
  <si>
    <t xml:space="preserve">Üst</t>
  </si>
  <si>
    <t xml:space="preserve">GRAFİKLER</t>
  </si>
  <si>
    <t xml:space="preserve">Kayıp</t>
  </si>
  <si>
    <t xml:space="preserve">SENARYO DUYARLILIK — HAKEDİŞ FİYAT FARKI VE HAK KAYBI CETVELİ</t>
  </si>
  <si>
    <t xml:space="preserve">Senaryo ve Duyarlılık Analizi</t>
  </si>
  <si>
    <t xml:space="preserve">A. SENARYO MOTORU</t>
  </si>
  <si>
    <t xml:space="preserve">Senaryo</t>
  </si>
  <si>
    <t xml:space="preserve">İşçilik Değişimi</t>
  </si>
  <si>
    <t xml:space="preserve">Malzeme Değişimi</t>
  </si>
  <si>
    <t xml:space="preserve">Dönem Fiyat Farkı (₺)</t>
  </si>
  <si>
    <t xml:space="preserve">Karar</t>
  </si>
  <si>
    <t xml:space="preserve">KÖTÜMSER</t>
  </si>
  <si>
    <t xml:space="preserve">BAZ</t>
  </si>
  <si>
    <t xml:space="preserve">İYİMSER</t>
  </si>
  <si>
    <t xml:space="preserve">B. TORNADO / DUYARLILIK</t>
  </si>
  <si>
    <t xml:space="preserve">Değişken</t>
  </si>
  <si>
    <t xml:space="preserve">Alt (-%5)</t>
  </si>
  <si>
    <t xml:space="preserve">Baz</t>
  </si>
  <si>
    <t xml:space="preserve">Üst (+%5)</t>
  </si>
  <si>
    <t xml:space="preserve">Katsayı Alt</t>
  </si>
  <si>
    <t xml:space="preserve">Katsayı Üst</t>
  </si>
  <si>
    <t xml:space="preserve">Etki (puan)</t>
  </si>
  <si>
    <t xml:space="preserve">İşçilik Endeksi</t>
  </si>
  <si>
    <t xml:space="preserve">Malzeme Endeksi</t>
  </si>
  <si>
    <t xml:space="preserve">b Ağırlığı</t>
  </si>
  <si>
    <t xml:space="preserve">C. EŞİK / KIRILIM ANALİZİ</t>
  </si>
  <si>
    <t xml:space="preserve">Kırılım: Fiyat Farkının Sıfırlandığı Endeks Değişimi</t>
  </si>
  <si>
    <t xml:space="preserve">Eşik Farkı (Mevcut Kayıp Oranı - Kabul Edilebilir)</t>
  </si>
  <si>
    <t xml:space="preserve">Değer Ölçer: Toplam Fiyat Farkı + Fark</t>
  </si>
  <si>
    <t xml:space="preserve">Senaryo çarpanları ve duyarlılık oranı AYARLAR'dan gelir.</t>
  </si>
  <si>
    <t xml:space="preserve">HAKEDİŞ FİYAT FARKI VE HAK KAYBI RAPORU</t>
  </si>
  <si>
    <t xml:space="preserve">1. ÖZET</t>
  </si>
  <si>
    <t xml:space="preserve">Sözleşme Bedeli</t>
  </si>
  <si>
    <t xml:space="preserve">2. KARAR GEREKÇESİ</t>
  </si>
  <si>
    <t xml:space="preserve">3. VARSAYIMLAR</t>
  </si>
  <si>
    <t xml:space="preserve">• Fiyat farkı formülü sözleşmedeki ağırlıklara (a, b, c, d) ve temel endekslere dayanır.</t>
  </si>
  <si>
    <t xml:space="preserve">• Endeksler TÜİK veya sözleşmede tanımlı endekslerden alınır.</t>
  </si>
  <si>
    <t xml:space="preserve">• Piyasa birim fiyatları hakediş döneminin güncel rayiçleridir.</t>
  </si>
  <si>
    <t xml:space="preserve">• Fiyat farkı KDV hariç hakediş tutarı üzerinden hesaplanır.</t>
  </si>
  <si>
    <t xml:space="preserve">4. UYARILAR</t>
  </si>
  <si>
    <t xml:space="preserve">5. ÖNERİLEN AKSİYONLAR</t>
  </si>
  <si>
    <t xml:space="preserve">Bu rapor karar destek çıktısıdır; mali müşavirlik veya hukuk danışmanlığı yerine geçmez.</t>
  </si>
  <si>
    <t xml:space="preserve">ORNEK VERI — HAKEDİŞ FİYAT FARKI VE HAK KAYBI CETVELİ</t>
  </si>
  <si>
    <t xml:space="preserve">Örnek Veri ve İçe Aktarma Yapısı</t>
  </si>
  <si>
    <t xml:space="preserve">Bu sayfa otomasyon/içe aktarma içindir; kalemleri CSV/Excel'den kopyalayabilirsiniz.</t>
  </si>
  <si>
    <t xml:space="preserve">Örnek veri giriş sayfalarını beslemek için değil, yapıyı göstermek içindir.</t>
  </si>
  <si>
    <t xml:space="preserve">DEGISIKLIK KAYDI — HAKEDİŞ FİYAT FARKI VE HAK KAYBI CETVELİ</t>
  </si>
  <si>
    <t xml:space="preserve">Değişiklik Kaydı</t>
  </si>
  <si>
    <t xml:space="preserve">Tarih</t>
  </si>
  <si>
    <t xml:space="preserve">Sürüm</t>
  </si>
  <si>
    <t xml:space="preserve">Değişiklik</t>
  </si>
  <si>
    <t xml:space="preserve">08.08.2026</t>
  </si>
  <si>
    <t xml:space="preserve">1.0</t>
  </si>
  <si>
    <t xml:space="preserve">İlk sürüm: fiyat farkı katsayısı, dönem/birikimli fiyat farkı, hak kaybı analizi.</t>
  </si>
  <si>
    <t xml:space="preserve">Sürüm izi ve lisans bilgisi KAPAK sayfasında da yer alır.</t>
  </si>
  <si>
    <t xml:space="preserve">LISTELER — HAKEDİŞ FİYAT FARKI VE HAK KAYBI CETVELİ</t>
  </si>
  <si>
    <t xml:space="preserve">Açılır Liste Kaynakları</t>
  </si>
  <si>
    <t xml:space="preserve">Evet/Hayır</t>
  </si>
  <si>
    <t xml:space="preserve">Metin Örnekleri</t>
  </si>
  <si>
    <t xml:space="preserve">İş adı</t>
  </si>
  <si>
    <t xml:space="preserve">Hayır</t>
  </si>
  <si>
    <t xml:space="preserve">Kurum</t>
  </si>
  <si>
    <t xml:space="preserve">Listeler AYARLAR sayfasındaki ayarlarla birlikte doğrulama aralıklarını besler.</t>
  </si>
  <si>
    <t xml:space="preserve">AYARLAR — HAKEDİŞ FİYAT FARKI VE HAK KAYBI CETVELİ</t>
  </si>
  <si>
    <t xml:space="preserve">Ayarlar ve Eşikler (Formüle Sabit Sayı Girilmez)</t>
  </si>
  <si>
    <t xml:space="preserve">Tüm katsayı ve eşikler bu sayfadadır. Mevzuat değişikliklerinde AYARLAR'dan güncellenir; formüller değişmez. Kaynağı Varsayım işaretli değerler kullanıcı tarafından doğrulanmalıdır.</t>
  </si>
  <si>
    <t xml:space="preserve">Grup</t>
  </si>
  <si>
    <t xml:space="preserve">Anahtar</t>
  </si>
  <si>
    <t xml:space="preserve">Değer</t>
  </si>
  <si>
    <t xml:space="preserve">Açıklama</t>
  </si>
  <si>
    <t xml:space="preserve">kaynak</t>
  </si>
  <si>
    <t xml:space="preserve">yururluk_tarihi</t>
  </si>
  <si>
    <t xml:space="preserve">dogrulama_tarihi</t>
  </si>
  <si>
    <t xml:space="preserve">Genel</t>
  </si>
  <si>
    <t xml:space="preserve">firmaUnvani</t>
  </si>
  <si>
    <t xml:space="preserve">Örnek Yapı A.Ş.</t>
  </si>
  <si>
    <t xml:space="preserve">metin</t>
  </si>
  <si>
    <t xml:space="preserve">Rapor başlığında görünen firma adı</t>
  </si>
  <si>
    <t xml:space="preserve">Kullanıcı</t>
  </si>
  <si>
    <t xml:space="preserve">09.08.2026</t>
  </si>
  <si>
    <t xml:space="preserve">raporTarihi</t>
  </si>
  <si>
    <t xml:space="preserve">tarih</t>
  </si>
  <si>
    <t xml:space="preserve">Dosyadaki tek tarih kaynağı; tüm rapor tarihleri buradan okunur.</t>
  </si>
  <si>
    <t xml:space="preserve">Eşik</t>
  </si>
  <si>
    <t xml:space="preserve">KayipEsikOran</t>
  </si>
  <si>
    <t xml:space="preserve">oran</t>
  </si>
  <si>
    <t xml:space="preserve">Hak kaybı oranı normal eşiği; altı kabul edilebilir kabul edilir.</t>
  </si>
  <si>
    <t xml:space="preserve">Varsayım</t>
  </si>
  <si>
    <t xml:space="preserve">KayipDikkatOran</t>
  </si>
  <si>
    <t xml:space="preserve">Hak kaybı oranı dikkat eşiği; üzeri kritik kabul edilir.</t>
  </si>
  <si>
    <t xml:space="preserve">AgirlikTolerans</t>
  </si>
  <si>
    <t xml:space="preserve">Ağırlık toplamı (a+b+c+d) kabul toleransı.</t>
  </si>
  <si>
    <t xml:space="preserve">4734/4735 s. KİK; sözleşme hükümleri</t>
  </si>
  <si>
    <t xml:space="preserve">01.01.2003</t>
  </si>
  <si>
    <t xml:space="preserve">MutabakatTolerans</t>
  </si>
  <si>
    <t xml:space="preserve">₺</t>
  </si>
  <si>
    <t xml:space="preserve">Kalem toplamı ile dönem hakedişi arası kabul toleransı (₺).</t>
  </si>
  <si>
    <t xml:space="preserve">AnomaliZEsik</t>
  </si>
  <si>
    <t xml:space="preserve">Endeks değişimlerinde |Z| eşiği.</t>
  </si>
  <si>
    <t xml:space="preserve">VeriKaliteIyiEsik</t>
  </si>
  <si>
    <t xml:space="preserve">puan</t>
  </si>
  <si>
    <t xml:space="preserve">Kalite skoru iyi eşiği.</t>
  </si>
  <si>
    <t xml:space="preserve">VeriKaliteOrtaEsik</t>
  </si>
  <si>
    <t xml:space="preserve">Kalite skoru orta eşiği.</t>
  </si>
  <si>
    <t xml:space="preserve">VeriKaliteUyariCeza</t>
  </si>
  <si>
    <t xml:space="preserve">Her WARN için skor cezası.</t>
  </si>
  <si>
    <t xml:space="preserve">SenaryoKotumserKat</t>
  </si>
  <si>
    <t xml:space="preserve">Kötümser senaryoda endeks değişimine eklenen artış oranı.</t>
  </si>
  <si>
    <t xml:space="preserve">SenaryoIyimserKat</t>
  </si>
  <si>
    <t xml:space="preserve">İyimser senaryoda endeks değişiminden düşülen azalış oranı.</t>
  </si>
  <si>
    <t xml:space="preserve">Duyarlılık</t>
  </si>
  <si>
    <t xml:space="preserve">DuyarliDegisim</t>
  </si>
  <si>
    <t xml:space="preserve">Tornado analizinde değişim oranı.</t>
  </si>
  <si>
    <t xml:space="preserve">ParetoEsikOran</t>
  </si>
  <si>
    <t xml:space="preserve">Kayıp yoğunlaşması yüksek kabul eşiği.</t>
  </si>
  <si>
    <t xml:space="preserve">P90Kuantil</t>
  </si>
  <si>
    <t xml:space="preserve">Yüzdelik dağılım analizinde P90 kuantil değeri.</t>
  </si>
  <si>
    <t xml:space="preserve">EndeksBantOrani</t>
  </si>
  <si>
    <t xml:space="preserve">Tahmin aralığı bant oranı.</t>
  </si>
  <si>
    <t xml:space="preserve">Ödeme</t>
  </si>
  <si>
    <t xml:space="preserve">ODemeGecikmeEsik</t>
  </si>
  <si>
    <t xml:space="preserve">gün</t>
  </si>
  <si>
    <t xml:space="preserve">Geç ödeme eşiği (gün); üzeri gecikme kaynaklı maliyet doğurur.</t>
  </si>
  <si>
    <t xml:space="preserve">TBK md.117; sözleşme hükmü</t>
  </si>
  <si>
    <t xml:space="preserve">11.01.2011</t>
  </si>
  <si>
    <t xml:space="preserve">KayipOraniEsik</t>
  </si>
  <si>
    <t xml:space="preserve">Dönem hak kaybı tahmini oranı.</t>
  </si>
  <si>
    <t xml:space="preserve">Not: raporTarihi dışında TODAY()/NOW() gibi volatil fonksiyon kullanılmaz; kaynağı Varsayım işaretli değerler KILAVUZ'da toplu listelenir.</t>
  </si>
  <si>
    <t xml:space="preserve">Gelişmiş ayarlar; ana kullanıcının değiştirmesi gerekmez.</t>
  </si>
  <si>
    <t xml:space="preserve">KILAVUZ — HAKEDİŞ FİYAT FARKI VE HAK KAYBI CETVELİ</t>
  </si>
  <si>
    <t xml:space="preserve">Kullanım Kılavuzu</t>
  </si>
  <si>
    <t xml:space="preserve">1. Ne yapar?</t>
  </si>
  <si>
    <t xml:space="preserve">2. Hangi sayfa sırasıyla gidilir?</t>
  </si>
  <si>
    <t xml:space="preserve">3. Sarı hücreler ne demek?</t>
  </si>
  <si>
    <t xml:space="preserve">4. Fiyat farkı katsayısı nasıl hesaplanır?</t>
  </si>
  <si>
    <t xml:space="preserve">5. Hak kaybı ne demek?</t>
  </si>
  <si>
    <t xml:space="preserve">6. Karar nasıl okunur?</t>
  </si>
  <si>
    <t xml:space="preserve">7. Karar kuralları</t>
  </si>
  <si>
    <t xml:space="preserve">8. Kaynaklar ve varsayımlar</t>
  </si>
  <si>
    <t xml:space="preserve">9. Güvenlik ve KVKK</t>
  </si>
  <si>
    <t xml:space="preserve">10. Ortam beyanı</t>
  </si>
  <si>
    <t xml:space="preserve">11. Yasal çekince</t>
  </si>
  <si>
    <t xml:space="preserve">Bu araç karar destek amaçlıdır; mali müşavirlik ve hukuk danışmanlığı yerine geçmez. Fiyat farkı formülü ve ağırlıklar sözleşmeden, endeksler TÜİK yayınlarından teyit edilmelidir.</t>
  </si>
  <si>
    <t xml:space="preserve">ExcelArşiv | Hakediş Fiyat Farkı ve Hak Kaybı Cetveli | Rev 1.0 | 2026-08-09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</si>
</sst>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&quot;₺ &quot;#,##0;[RED]&quot;(₺ &quot;#,##0\);\-"/>
    <numFmt numFmtId="167" formatCode="0.0%;[RED]\(0.0%\);\-"/>
    <numFmt numFmtId="168" formatCode="#,##0"/>
    <numFmt numFmtId="169" formatCode="0&quot; gün&quot;"/>
    <numFmt numFmtId="170" formatCode="#,##0.00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Segoe UI"/>
      <family val="0"/>
      <charset val="1"/>
    </font>
    <font>
      <b val="true"/>
      <sz val="13"/>
      <color rgb="FF1F4E79"/>
      <name val="Segoe UI"/>
      <family val="0"/>
      <charset val="1"/>
    </font>
    <font>
      <sz val="11"/>
      <color rgb="FF595959"/>
      <name val="Segoe UI"/>
      <family val="0"/>
      <charset val="1"/>
    </font>
    <font>
      <b val="true"/>
      <sz val="11"/>
      <color rgb="FF000000"/>
      <name val="Segoe UI"/>
      <family val="0"/>
      <charset val="1"/>
    </font>
    <font>
      <sz val="10"/>
      <color rgb="FFB3261E"/>
      <name val="Segoe UI"/>
      <family val="0"/>
      <charset val="1"/>
    </font>
    <font>
      <b val="true"/>
      <sz val="10"/>
      <color rgb="FF1F4E79"/>
      <name val="Segoe UI"/>
      <family val="0"/>
      <charset val="1"/>
    </font>
    <font>
      <sz val="9"/>
      <color rgb="FF595959"/>
      <name val="Segoe UI"/>
      <family val="0"/>
      <charset val="1"/>
    </font>
    <font>
      <b val="true"/>
      <sz val="13"/>
      <color rgb="FF0F2742"/>
      <name val="Segoe UI"/>
      <family val="0"/>
      <charset val="1"/>
    </font>
    <font>
      <sz val="10"/>
      <color rgb="FF333333"/>
      <name val="Segoe UI"/>
      <family val="0"/>
      <charset val="1"/>
    </font>
    <font>
      <b val="true"/>
      <sz val="12"/>
      <color rgb="FFB3261E"/>
      <name val="Segoe UI"/>
      <family val="0"/>
      <charset val="1"/>
    </font>
    <font>
      <sz val="10"/>
      <color rgb="FF1F4E79"/>
      <name val="Segoe UI"/>
      <family val="0"/>
      <charset val="1"/>
    </font>
    <font>
      <b val="true"/>
      <sz val="14"/>
      <color rgb="FFFFFFFF"/>
      <name val="Segoe UI"/>
      <family val="0"/>
      <charset val="1"/>
    </font>
    <font>
      <b val="true"/>
      <sz val="12"/>
      <color rgb="FF0F2742"/>
      <name val="Segoe UI"/>
      <family val="0"/>
      <charset val="1"/>
    </font>
    <font>
      <b val="true"/>
      <sz val="10"/>
      <color rgb="FF000000"/>
      <name val="Segoe UI"/>
      <family val="0"/>
      <charset val="1"/>
    </font>
    <font>
      <sz val="10"/>
      <color rgb="FF000000"/>
      <name val="Segoe UI"/>
      <family val="0"/>
      <charset val="1"/>
    </font>
    <font>
      <sz val="10"/>
      <color rgb="FF006100"/>
      <name val="Segoe UI"/>
      <family val="0"/>
      <charset val="1"/>
    </font>
    <font>
      <sz val="10"/>
      <name val="Arial"/>
      <family val="2"/>
    </font>
    <font>
      <b val="true"/>
      <sz val="10"/>
      <color rgb="FFFFFFFF"/>
      <name val="Segoe UI"/>
      <family val="0"/>
      <charset val="1"/>
    </font>
    <font>
      <b val="true"/>
      <sz val="10"/>
      <color rgb="FF0F2742"/>
      <name val="Segoe UI"/>
      <family val="0"/>
      <charset val="1"/>
    </font>
    <font>
      <sz val="9"/>
      <color rgb="FF555555"/>
      <name val="Segoe UI"/>
      <family val="0"/>
      <charset val="1"/>
    </font>
    <font>
      <sz val="9"/>
      <color rgb="FF006100"/>
      <name val="Segoe UI"/>
      <family val="0"/>
      <charset val="1"/>
    </font>
    <font>
      <b val="true"/>
      <sz val="10"/>
      <color rgb="FF006100"/>
      <name val="Segoe UI"/>
      <family val="0"/>
      <charset val="1"/>
    </font>
    <font>
      <b val="true"/>
      <sz val="13"/>
      <color rgb="FF000000"/>
      <name val="Segoe UI"/>
      <family val="0"/>
      <charset val="1"/>
    </font>
    <font>
      <b val="true"/>
      <sz val="14"/>
      <color rgb="FF0F2742"/>
      <name val="Segoe U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9"/>
      <color rgb="FFB3261E"/>
      <name val="Segoe UI"/>
      <family val="0"/>
      <charset val="1"/>
    </font>
    <font>
      <sz val="8"/>
      <color rgb="FF595959"/>
      <name val="Segoe UI"/>
      <family val="0"/>
      <charset val="1"/>
    </font>
    <font>
      <sz val="10"/>
      <color rgb="FF595959"/>
      <name val="Segoe UI"/>
      <family val="0"/>
      <charset val="1"/>
    </font>
    <font>
      <sz val="9"/>
      <color rgb="FF000000"/>
      <name val="Segoe UI"/>
      <family val="0"/>
      <charset val="1"/>
    </font>
    <font>
      <b val="true"/>
      <sz val="11"/>
      <color rgb="FF0F2742"/>
      <name val="Segoe U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F2742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F2F2F2"/>
        <bgColor rgb="FFEEF2F7"/>
      </patternFill>
    </fill>
    <fill>
      <patternFill patternType="solid">
        <fgColor rgb="FFFFF2CC"/>
        <bgColor rgb="FFFDE9E9"/>
      </patternFill>
    </fill>
    <fill>
      <patternFill patternType="solid">
        <fgColor rgb="FF1F4E79"/>
        <bgColor rgb="FF555555"/>
      </patternFill>
    </fill>
    <fill>
      <patternFill patternType="solid">
        <fgColor rgb="FFEEF2F7"/>
        <bgColor rgb="FFF2F2F2"/>
      </patternFill>
    </fill>
    <fill>
      <patternFill patternType="solid">
        <fgColor rgb="FFB3261E"/>
        <bgColor rgb="FF993366"/>
      </patternFill>
    </fill>
    <fill>
      <patternFill patternType="solid">
        <fgColor rgb="FFB08948"/>
        <bgColor rgb="FFB7791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5" fontId="18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6" fontId="18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7" fontId="18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7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8" fontId="14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6" fontId="14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6" fontId="14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7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9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>
          <bgColor rgb="FFE2EFDA"/>
        </patternFill>
      </fill>
    </dxf>
    <dxf>
      <fill>
        <patternFill>
          <bgColor rgb="FFFDE9E9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EF2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DE9E9"/>
          <bgColor rgb="FF000000"/>
        </patternFill>
      </fill>
    </dxf>
    <dxf>
      <fill>
        <patternFill>
          <bgColor rgb="FFFFF2CC"/>
        </patternFill>
      </fill>
    </dxf>
    <dxf>
      <fill>
        <patternFill>
          <bgColor rgb="FF1F7A4D"/>
        </patternFill>
      </fill>
    </dxf>
    <dxf>
      <fill>
        <patternFill>
          <bgColor rgb="FFB7791F"/>
        </patternFill>
      </fill>
    </dxf>
    <dxf>
      <fill>
        <patternFill>
          <bgColor rgb="FFB3261E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7791F"/>
      <rgbColor rgb="FF800080"/>
      <rgbColor rgb="FF1F7A4D"/>
      <rgbColor rgb="FFC0C0C0"/>
      <rgbColor rgb="FF878787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E2EFDA"/>
      <rgbColor rgb="FFFDE9E9"/>
      <rgbColor rgb="FF99CCFF"/>
      <rgbColor rgb="FFFF99CC"/>
      <rgbColor rgb="FFCC99FF"/>
      <rgbColor rgb="FFF2F2F2"/>
      <rgbColor rgb="FF4A7EBB"/>
      <rgbColor rgb="FF33CCCC"/>
      <rgbColor rgb="FF99CC00"/>
      <rgbColor rgb="FFFFCC00"/>
      <rgbColor rgb="FFFF9900"/>
      <rgbColor rgb="FFFF6600"/>
      <rgbColor rgb="FF595959"/>
      <rgbColor rgb="FFB08948"/>
      <rgbColor rgb="FF0F2742"/>
      <rgbColor rgb="FF4F81BD"/>
      <rgbColor rgb="FF003300"/>
      <rgbColor rgb="FF555555"/>
      <rgbColor rgb="FFB3261E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Hakediş vs Piyasa Tutarı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PANO!C18</c:f>
              <c:strCache>
                <c:ptCount val="1"/>
                <c:pt idx="0">
                  <c:v>₺ 11.175.600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PANO!$B$18:$B$19</c:f>
              <c:strCache>
                <c:ptCount val="2"/>
                <c:pt idx="0">
                  <c:v>Hakediş</c:v>
                </c:pt>
                <c:pt idx="1">
                  <c:v>Piyasa</c:v>
                </c:pt>
              </c:strCache>
            </c:strRef>
          </c:cat>
          <c:val>
            <c:numRef>
              <c:f>PANO!$C$19</c:f>
              <c:numCache>
                <c:formatCode>"₺ "#,##0;[RED]"(₺ "#,##0\);\-</c:formatCode>
                <c:ptCount val="1"/>
                <c:pt idx="0">
                  <c:v>11562300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Endeks Tahmin Aralığı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PANO!C21</c:f>
              <c:strCache>
                <c:ptCount val="1"/>
                <c:pt idx="0">
                  <c:v>0,00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PANO!$B$21:$B$23</c:f>
              <c:strCache>
                <c:ptCount val="3"/>
                <c:pt idx="0">
                  <c:v>Tahmin</c:v>
                </c:pt>
                <c:pt idx="1">
                  <c:v>Alt</c:v>
                </c:pt>
                <c:pt idx="2">
                  <c:v>Üst</c:v>
                </c:pt>
              </c:strCache>
            </c:strRef>
          </c:cat>
          <c:val>
            <c:numRef>
              <c:f>PANO!$C$22:$C$23</c:f>
              <c:numCache>
                <c:formatCode>#,##0.00</c:formatCode>
                <c:ptCount val="2"/>
                <c:pt idx="0">
                  <c:v>-0.00682648729194782</c:v>
                </c:pt>
                <c:pt idx="1">
                  <c:v>0.00682648729194782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2370118"/>
        <c:axId val="82372367"/>
      </c:lineChart>
      <c:catAx>
        <c:axId val="323701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372367"/>
        <c:crosses val="autoZero"/>
        <c:auto val="1"/>
        <c:lblAlgn val="ctr"/>
        <c:lblOffset val="100"/>
        <c:noMultiLvlLbl val="0"/>
      </c:catAx>
      <c:valAx>
        <c:axId val="823723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37011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Kalem Bazında Kayıplar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PANO!C29</c:f>
              <c:strCache>
                <c:ptCount val="1"/>
                <c:pt idx="0">
                  <c:v>₺ 386.700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PANO!$B$29</c:f>
              <c:strCache>
                <c:ptCount val="1"/>
                <c:pt idx="0">
                  <c:v>Kayıp</c:v>
                </c:pt>
              </c:strCache>
            </c:strRef>
          </c:cat>
          <c:val>
            <c:numRef>
              <c:f>PANO!$C$29:$D$29</c:f>
              <c:numCache>
                <c:formatCode>"₺ "#,##0;[RED]"(₺ "#,##0\);\-</c:formatCode>
                <c:ptCount val="2"/>
                <c:pt idx="0">
                  <c:v>386700</c:v>
                </c:pt>
              </c:numCache>
            </c:numRef>
          </c:val>
        </c:ser>
        <c:gapWidth val="150"/>
        <c:overlap val="0"/>
        <c:axId val="71373571"/>
        <c:axId val="92423769"/>
      </c:barChart>
      <c:catAx>
        <c:axId val="713735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423769"/>
        <c:crosses val="autoZero"/>
        <c:auto val="1"/>
        <c:lblAlgn val="ctr"/>
        <c:lblOffset val="100"/>
        <c:noMultiLvlLbl val="0"/>
      </c:catAx>
      <c:valAx>
        <c:axId val="924237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37357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Senaryo Fiyat Farkları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SENARYO_DUYARLILIK!E7</c:f>
              <c:strCache>
                <c:ptCount val="1"/>
                <c:pt idx="0">
                  <c:v>₺ 183.345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SENARYO_DUYARLILIK!$A$7:$A$9</c:f>
              <c:strCache>
                <c:ptCount val="3"/>
                <c:pt idx="0">
                  <c:v>KÖTÜMSER</c:v>
                </c:pt>
                <c:pt idx="1">
                  <c:v>BAZ</c:v>
                </c:pt>
                <c:pt idx="2">
                  <c:v>İYİMSER</c:v>
                </c:pt>
              </c:strCache>
            </c:strRef>
          </c:cat>
          <c:val>
            <c:numRef>
              <c:f>SENARYO_DUYARLILIK!$E$8:$E$9</c:f>
              <c:numCache>
                <c:formatCode>"₺ "#,##0;[RED]"(₺ "#,##0\);\-</c:formatCode>
                <c:ptCount val="2"/>
                <c:pt idx="0">
                  <c:v>160839</c:v>
                </c:pt>
                <c:pt idx="1">
                  <c:v>138334</c:v>
                </c:pt>
              </c:numCache>
            </c:numRef>
          </c:val>
        </c:ser>
        <c:gapWidth val="150"/>
        <c:overlap val="0"/>
        <c:axId val="5621252"/>
        <c:axId val="20788488"/>
      </c:barChart>
      <c:catAx>
        <c:axId val="56212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788488"/>
        <c:crosses val="autoZero"/>
        <c:auto val="1"/>
        <c:lblAlgn val="ctr"/>
        <c:lblOffset val="100"/>
        <c:noMultiLvlLbl val="0"/>
      </c:catAx>
      <c:valAx>
        <c:axId val="207884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2125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Tornado: Katsayı Etkisi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SENARYO_DUYARLILIK!G13</c:f>
              <c:strCache>
                <c:ptCount val="1"/>
                <c:pt idx="0">
                  <c:v>3,5%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SENARYO_DUYARLILIK!$A$13:$A$15</c:f>
              <c:strCache>
                <c:ptCount val="3"/>
                <c:pt idx="0">
                  <c:v>İşçilik Endeksi</c:v>
                </c:pt>
                <c:pt idx="1">
                  <c:v>Malzeme Endeksi</c:v>
                </c:pt>
                <c:pt idx="2">
                  <c:v>b Ağırlığı</c:v>
                </c:pt>
              </c:strCache>
            </c:strRef>
          </c:cat>
          <c:val>
            <c:numRef>
              <c:f>SENARYO_DUYARLILIK!$G$14:$G$15</c:f>
              <c:numCache>
                <c:formatCode>0.0%;[RED]\(0.0%\);\-</c:formatCode>
                <c:ptCount val="2"/>
                <c:pt idx="0">
                  <c:v>0.0350000000000001</c:v>
                </c:pt>
                <c:pt idx="1">
                  <c:v>0.106666666666667</c:v>
                </c:pt>
              </c:numCache>
            </c:numRef>
          </c:val>
        </c:ser>
        <c:gapWidth val="150"/>
        <c:overlap val="0"/>
        <c:axId val="39676332"/>
        <c:axId val="26011047"/>
      </c:barChart>
      <c:catAx>
        <c:axId val="396763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011047"/>
        <c:crosses val="autoZero"/>
        <c:auto val="1"/>
        <c:lblAlgn val="ctr"/>
        <c:lblOffset val="100"/>
        <c:noMultiLvlLbl val="0"/>
      </c:catAx>
      <c:valAx>
        <c:axId val="260110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;[RED]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967633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Senaryo Hak Kaybı Oranları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SENARYO_DUYARLILIK!F7</c:f>
              <c:strCache>
                <c:ptCount val="1"/>
                <c:pt idx="0">
                  <c:v>4,0%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SENARYO_DUYARLILIK!$A$7:$A$9</c:f>
              <c:strCache>
                <c:ptCount val="3"/>
                <c:pt idx="0">
                  <c:v>KÖTÜMSER</c:v>
                </c:pt>
                <c:pt idx="1">
                  <c:v>BAZ</c:v>
                </c:pt>
                <c:pt idx="2">
                  <c:v>İYİMSER</c:v>
                </c:pt>
              </c:strCache>
            </c:strRef>
          </c:cat>
          <c:val>
            <c:numRef>
              <c:f>SENARYO_DUYARLILIK!$F$8:$F$9</c:f>
              <c:numCache>
                <c:formatCode>0.0%;[RED]\(0.0%\);\-</c:formatCode>
                <c:ptCount val="2"/>
                <c:pt idx="0">
                  <c:v>0.0346021690110598</c:v>
                </c:pt>
                <c:pt idx="1">
                  <c:v>0.0294118436594008</c:v>
                </c:pt>
              </c:numCache>
            </c:numRef>
          </c:val>
        </c:ser>
        <c:gapWidth val="150"/>
        <c:overlap val="0"/>
        <c:axId val="84477562"/>
        <c:axId val="97231491"/>
      </c:barChart>
      <c:catAx>
        <c:axId val="844775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7231491"/>
        <c:crosses val="autoZero"/>
        <c:auto val="1"/>
        <c:lblAlgn val="ctr"/>
        <c:lblOffset val="100"/>
        <c:noMultiLvlLbl val="0"/>
      </c:catAx>
      <c:valAx>
        <c:axId val="972314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;[RED]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47756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17</xdr:row>
      <xdr:rowOff>0</xdr:rowOff>
    </xdr:from>
    <xdr:to>
      <xdr:col>10</xdr:col>
      <xdr:colOff>290520</xdr:colOff>
      <xdr:row>32</xdr:row>
      <xdr:rowOff>21960</xdr:rowOff>
    </xdr:to>
    <xdr:graphicFrame>
      <xdr:nvGraphicFramePr>
        <xdr:cNvPr id="1" name="Chart 1"/>
        <xdr:cNvGraphicFramePr/>
      </xdr:nvGraphicFramePr>
      <xdr:xfrm>
        <a:off x="6061680" y="3457440"/>
        <a:ext cx="39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20</xdr:row>
      <xdr:rowOff>0</xdr:rowOff>
    </xdr:from>
    <xdr:to>
      <xdr:col>11</xdr:col>
      <xdr:colOff>399240</xdr:colOff>
      <xdr:row>35</xdr:row>
      <xdr:rowOff>22320</xdr:rowOff>
    </xdr:to>
    <xdr:graphicFrame>
      <xdr:nvGraphicFramePr>
        <xdr:cNvPr id="2" name="Chart 2"/>
        <xdr:cNvGraphicFramePr/>
      </xdr:nvGraphicFramePr>
      <xdr:xfrm>
        <a:off x="6061680" y="402912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28</xdr:row>
      <xdr:rowOff>0</xdr:rowOff>
    </xdr:from>
    <xdr:to>
      <xdr:col>11</xdr:col>
      <xdr:colOff>399240</xdr:colOff>
      <xdr:row>43</xdr:row>
      <xdr:rowOff>21960</xdr:rowOff>
    </xdr:to>
    <xdr:graphicFrame>
      <xdr:nvGraphicFramePr>
        <xdr:cNvPr id="3" name="Chart 3"/>
        <xdr:cNvGraphicFramePr/>
      </xdr:nvGraphicFramePr>
      <xdr:xfrm>
        <a:off x="6061680" y="555300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4</xdr:row>
      <xdr:rowOff>0</xdr:rowOff>
    </xdr:from>
    <xdr:to>
      <xdr:col>16</xdr:col>
      <xdr:colOff>147600</xdr:colOff>
      <xdr:row>19</xdr:row>
      <xdr:rowOff>1080</xdr:rowOff>
    </xdr:to>
    <xdr:graphicFrame>
      <xdr:nvGraphicFramePr>
        <xdr:cNvPr id="4" name="Chart 1"/>
        <xdr:cNvGraphicFramePr/>
      </xdr:nvGraphicFramePr>
      <xdr:xfrm>
        <a:off x="11325240" y="89532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17</xdr:row>
      <xdr:rowOff>0</xdr:rowOff>
    </xdr:from>
    <xdr:to>
      <xdr:col>15</xdr:col>
      <xdr:colOff>39240</xdr:colOff>
      <xdr:row>31</xdr:row>
      <xdr:rowOff>155520</xdr:rowOff>
    </xdr:to>
    <xdr:graphicFrame>
      <xdr:nvGraphicFramePr>
        <xdr:cNvPr id="5" name="Chart 2"/>
        <xdr:cNvGraphicFramePr/>
      </xdr:nvGraphicFramePr>
      <xdr:xfrm>
        <a:off x="11325240" y="375300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28</xdr:row>
      <xdr:rowOff>0</xdr:rowOff>
    </xdr:from>
    <xdr:to>
      <xdr:col>15</xdr:col>
      <xdr:colOff>39240</xdr:colOff>
      <xdr:row>43</xdr:row>
      <xdr:rowOff>21960</xdr:rowOff>
    </xdr:to>
    <xdr:graphicFrame>
      <xdr:nvGraphicFramePr>
        <xdr:cNvPr id="6" name="Chart 3"/>
        <xdr:cNvGraphicFramePr/>
      </xdr:nvGraphicFramePr>
      <xdr:xfrm>
        <a:off x="11325240" y="590544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Donem" displayName="tblDonem" ref="A5:G1004" headerRowCount="1" totalsRowCount="0" totalsRowShown="0">
  <tableColumns count="7">
    <tableColumn id="1" name="Dönem Numarası"/>
    <tableColumn id="2" name="Dönem Adı"/>
    <tableColumn id="3" name="Hakediş Tutarı (₺)"/>
    <tableColumn id="4" name="Ödeme Tarihi"/>
    <tableColumn id="5" name="Birikimli Hakediş (₺)">
      <calculatedColumnFormula>=IF(OR($A6="",$C6=""),"",SUM($C$6:$C6))</calculatedColumnFormula>
    </tableColumn>
    <tableColumn id="6" name="Geç Ödeme Gün">
      <calculatedColumnFormula>=IF(OR($D6="",$C6=""),"",IF(ODemeGecikmeEsik=0,0,MAX(0,$D6-raporTarihi)))</calculatedColumnFormula>
    </tableColumn>
    <tableColumn id="7" name="Hak Kaybı (₺)">
      <calculatedColumnFormula>=IF(OR($C6="",$E6=""),"",$C6*KayipOraniEsik)</calculatedColumnFormula>
    </tableColumn>
  </tableColumns>
</table>
</file>

<file path=xl/tables/table2.xml><?xml version="1.0" encoding="utf-8"?>
<table xmlns="http://schemas.openxmlformats.org/spreadsheetml/2006/main" id="2" name="tblEndeks" displayName="tblEndeks" ref="A5:E1004" headerRowCount="1" totalsRowCount="0" totalsRowShown="0">
  <tableColumns count="5">
    <tableColumn id="1" name="Endeks Adı"/>
    <tableColumn id="2" name="Ağırlık"/>
    <tableColumn id="3" name="Temel Endeks"/>
    <tableColumn id="4" name="Dönem Endeksi"/>
    <tableColumn id="5" name="Değişim Oranı">
      <calculatedColumnFormula>=IF(OR($A6="",$C6="",$D6=""),"",IF($C6=0,0,($D6-$C6)/$C6))</calculatedColumnFormula>
    </tableColumn>
  </tableColumns>
</table>
</file>

<file path=xl/tables/table3.xml><?xml version="1.0" encoding="utf-8"?>
<table xmlns="http://schemas.openxmlformats.org/spreadsheetml/2006/main" id="3" name="tblKalem" displayName="tblKalem" ref="A5:H1004" headerRowCount="1" totalsRowCount="0" totalsRowShown="0">
  <tableColumns count="8">
    <tableColumn id="1" name="Kalem Adı"/>
    <tableColumn id="2" name="Birim"/>
    <tableColumn id="3" name="Hakediş Miktarı"/>
    <tableColumn id="4" name="Sözleşme Birim Fiyatı (₺)"/>
    <tableColumn id="5" name="Hakediş Tutarı (₺)">
      <calculatedColumnFormula>=IF(OR($A6="",$C6="",$D6=""),"",$C6*$D6)</calculatedColumnFormula>
    </tableColumn>
    <tableColumn id="6" name="Piyasa Birim Fiyatı (₺)"/>
    <tableColumn id="7" name="Piyasa Tutarı (₺)">
      <calculatedColumnFormula>=IF(OR($A6="",$C6="",$F6=""),"",$C6*$F6)</calculatedColumnFormula>
    </tableColumn>
    <tableColumn id="8" name="Kayıp (₺)">
      <calculatedColumnFormula>=IF(OR($A6="",$E6="",$G6=""),"",$G6-$E6)</calculatedColumnFormula>
    </tableColumn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<Relationship Id="rId3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6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7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8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9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5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9.4" hidden="false" customHeight="true" outlineLevel="0" collapsed="false">
      <c r="A3" s="2" t="s">
        <v>1</v>
      </c>
      <c r="B3" s="2"/>
      <c r="C3" s="2"/>
    </row>
    <row r="4" customFormat="false" ht="15" hidden="false" customHeight="tru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3"/>
      <c r="B5" s="3"/>
      <c r="C5" s="3"/>
    </row>
    <row r="6" customFormat="false" ht="15" hidden="false" customHeight="false" outlineLevel="0" collapsed="false">
      <c r="A6" s="4" t="s">
        <v>3</v>
      </c>
      <c r="B6" s="4"/>
      <c r="C6" s="4"/>
      <c r="D6" s="4"/>
      <c r="E6" s="4"/>
      <c r="F6" s="4"/>
      <c r="G6" s="4"/>
      <c r="H6" s="4"/>
      <c r="I6" s="4"/>
      <c r="J6" s="4"/>
    </row>
    <row r="7" customFormat="false" ht="15" hidden="false" customHeight="false" outlineLevel="0" collapsed="false">
      <c r="A7" s="4" t="s">
        <v>4</v>
      </c>
      <c r="B7" s="4"/>
      <c r="C7" s="4"/>
      <c r="D7" s="4"/>
      <c r="E7" s="4"/>
      <c r="F7" s="4"/>
      <c r="G7" s="4"/>
      <c r="H7" s="4"/>
      <c r="I7" s="4"/>
      <c r="J7" s="4"/>
    </row>
    <row r="8" customFormat="false" ht="15" hidden="false" customHeight="false" outlineLevel="0" collapsed="false">
      <c r="A8" s="4" t="s">
        <v>5</v>
      </c>
      <c r="B8" s="4"/>
      <c r="C8" s="4"/>
      <c r="D8" s="4"/>
      <c r="E8" s="4"/>
      <c r="F8" s="4"/>
      <c r="G8" s="4"/>
      <c r="H8" s="4"/>
      <c r="I8" s="4"/>
      <c r="J8" s="4"/>
    </row>
    <row r="10" customFormat="false" ht="15" hidden="false" customHeight="true" outlineLevel="0" collapsed="false">
      <c r="A10" s="5" t="s">
        <v>6</v>
      </c>
      <c r="B10" s="5"/>
      <c r="C10" s="5"/>
    </row>
    <row r="11" customFormat="false" ht="15" hidden="false" customHeight="false" outlineLevel="0" collapsed="false">
      <c r="A11" s="5"/>
      <c r="B11" s="5"/>
      <c r="C11" s="5"/>
    </row>
    <row r="12" customFormat="false" ht="15" hidden="false" customHeight="false" outlineLevel="0" collapsed="false">
      <c r="A12" s="5"/>
      <c r="B12" s="5"/>
      <c r="C12" s="5"/>
    </row>
    <row r="13" customFormat="false" ht="15" hidden="false" customHeight="false" outlineLevel="0" collapsed="false">
      <c r="A13" s="5"/>
      <c r="B13" s="5"/>
      <c r="C13" s="5"/>
    </row>
    <row r="15" customFormat="false" ht="15" hidden="false" customHeight="false" outlineLevel="0" collapsed="false">
      <c r="A15" s="6" t="s">
        <v>7</v>
      </c>
    </row>
    <row r="16" customFormat="false" ht="15" hidden="false" customHeight="false" outlineLevel="0" collapsed="false">
      <c r="A16" s="7" t="s">
        <v>8</v>
      </c>
      <c r="B16" s="7"/>
      <c r="C16" s="7"/>
    </row>
  </sheetData>
  <sheetProtection sheet="true" password="cc3d" objects="true" scenarios="true" deleteColumns="false" deleteRows="false"/>
  <mergeCells count="8">
    <mergeCell ref="A1:AD1"/>
    <mergeCell ref="A3:C3"/>
    <mergeCell ref="A4:C5"/>
    <mergeCell ref="A6:J6"/>
    <mergeCell ref="A7:J7"/>
    <mergeCell ref="A8:J8"/>
    <mergeCell ref="A10:C13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20"/>
  </cols>
  <sheetData>
    <row r="3" customFormat="false" ht="16.15" hidden="false" customHeight="false" outlineLevel="0" collapsed="false">
      <c r="A3" s="8" t="s">
        <v>9</v>
      </c>
    </row>
    <row r="4" customFormat="false" ht="15" hidden="false" customHeight="true" outlineLevel="0" collapsed="false">
      <c r="A4" s="9" t="s">
        <v>10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customFormat="false" ht="15" hidden="false" customHeight="true" outlineLevel="0" collapsed="false">
      <c r="A5" s="9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customFormat="false" ht="15" hidden="false" customHeight="true" outlineLevel="0" collapsed="false">
      <c r="A6" s="9" t="s">
        <v>12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 customFormat="false" ht="15" hidden="false" customHeight="true" outlineLevel="0" collapsed="false">
      <c r="A7" s="9" t="s">
        <v>13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</row>
    <row r="8" customFormat="false" ht="15" hidden="false" customHeight="true" outlineLevel="0" collapsed="false">
      <c r="A8" s="9" t="s">
        <v>14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</row>
    <row r="9" customFormat="false" ht="15" hidden="false" customHeight="true" outlineLevel="0" collapsed="false">
      <c r="A9" s="9" t="s">
        <v>15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</row>
    <row r="10" customFormat="false" ht="15" hidden="false" customHeight="true" outlineLevel="0" collapsed="false">
      <c r="A10" s="9" t="s">
        <v>16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</row>
    <row r="12" customFormat="false" ht="15" hidden="false" customHeight="false" outlineLevel="0" collapsed="false">
      <c r="A12" s="10" t="s">
        <v>17</v>
      </c>
    </row>
    <row r="13" customFormat="false" ht="15" hidden="false" customHeight="true" outlineLevel="0" collapsed="false">
      <c r="A13" s="5" t="s">
        <v>18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customFormat="false" ht="15" hidden="false" customHeight="true" outlineLevel="0" collapsed="false">
      <c r="A14" s="5" t="s">
        <v>19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customFormat="false" ht="15" hidden="false" customHeight="true" outlineLevel="0" collapsed="false">
      <c r="A15" s="5" t="s">
        <v>20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customFormat="false" ht="15" hidden="false" customHeight="true" outlineLevel="0" collapsed="false">
      <c r="A16" s="5" t="s">
        <v>21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customFormat="false" ht="15" hidden="false" customHeight="true" outlineLevel="0" collapsed="false">
      <c r="A17" s="5" t="s">
        <v>22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9" customFormat="false" ht="19.5" hidden="false" customHeight="true" outlineLevel="0" collapsed="false">
      <c r="A19" s="11" t="s">
        <v>23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</sheetData>
  <sheetProtection sheet="true" password="cc3d" objects="true" scenarios="true" deleteColumns="false" deleteRows="false"/>
  <mergeCells count="13">
    <mergeCell ref="A4:AN4"/>
    <mergeCell ref="A5:AN5"/>
    <mergeCell ref="A6:AN6"/>
    <mergeCell ref="A7:AN7"/>
    <mergeCell ref="A8:AN8"/>
    <mergeCell ref="A9:AN9"/>
    <mergeCell ref="A10:AN10"/>
    <mergeCell ref="A13:AN13"/>
    <mergeCell ref="A14:AN14"/>
    <mergeCell ref="A15:AN15"/>
    <mergeCell ref="A16:AN16"/>
    <mergeCell ref="A17:AN17"/>
    <mergeCell ref="A19:AN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10"/>
  </cols>
  <sheetData>
    <row r="1" customFormat="false" ht="25.5" hidden="false" customHeight="true" outlineLevel="0" collapsed="false">
      <c r="A1" s="12" t="s">
        <v>24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25</v>
      </c>
    </row>
    <row r="4" customFormat="false" ht="15" hidden="false" customHeight="false" outlineLevel="0" collapsed="false">
      <c r="A4" s="14" t="s">
        <v>26</v>
      </c>
      <c r="B4" s="15" t="s">
        <v>27</v>
      </c>
    </row>
    <row r="5" customFormat="false" ht="15" hidden="false" customHeight="false" outlineLevel="0" collapsed="false">
      <c r="A5" s="14" t="s">
        <v>28</v>
      </c>
      <c r="B5" s="15" t="s">
        <v>29</v>
      </c>
    </row>
    <row r="6" customFormat="false" ht="15" hidden="false" customHeight="false" outlineLevel="0" collapsed="false">
      <c r="A6" s="14" t="s">
        <v>30</v>
      </c>
      <c r="B6" s="15" t="s">
        <v>31</v>
      </c>
    </row>
    <row r="7" customFormat="false" ht="15" hidden="false" customHeight="false" outlineLevel="0" collapsed="false">
      <c r="A7" s="14" t="s">
        <v>32</v>
      </c>
      <c r="B7" s="16" t="n">
        <v>46037</v>
      </c>
    </row>
    <row r="8" customFormat="false" ht="15" hidden="false" customHeight="false" outlineLevel="0" collapsed="false">
      <c r="A8" s="14" t="s">
        <v>33</v>
      </c>
      <c r="B8" s="17" t="n">
        <v>8500000</v>
      </c>
    </row>
    <row r="9" customFormat="false" ht="15" hidden="false" customHeight="false" outlineLevel="0" collapsed="false">
      <c r="A9" s="14" t="s">
        <v>34</v>
      </c>
      <c r="B9" s="18" t="n">
        <v>0.2</v>
      </c>
    </row>
    <row r="10" customFormat="false" ht="15" hidden="false" customHeight="false" outlineLevel="0" collapsed="false">
      <c r="A10" s="14" t="s">
        <v>35</v>
      </c>
      <c r="B10" s="18" t="n">
        <v>0.35</v>
      </c>
    </row>
    <row r="11" customFormat="false" ht="15" hidden="false" customHeight="false" outlineLevel="0" collapsed="false">
      <c r="A11" s="14" t="s">
        <v>36</v>
      </c>
      <c r="B11" s="18" t="n">
        <v>0.35</v>
      </c>
    </row>
    <row r="12" customFormat="false" ht="15" hidden="false" customHeight="false" outlineLevel="0" collapsed="false">
      <c r="A12" s="14" t="s">
        <v>37</v>
      </c>
      <c r="B12" s="18" t="n">
        <v>0.1</v>
      </c>
    </row>
    <row r="13" customFormat="false" ht="15" hidden="false" customHeight="false" outlineLevel="0" collapsed="false">
      <c r="A13" s="14" t="s">
        <v>38</v>
      </c>
      <c r="B13" s="15" t="s">
        <v>39</v>
      </c>
    </row>
    <row r="15" customFormat="false" ht="15" hidden="false" customHeight="false" outlineLevel="0" collapsed="false">
      <c r="A15" s="7" t="s">
        <v>40</v>
      </c>
      <c r="B15" s="7"/>
    </row>
    <row r="16" customFormat="false" ht="15" hidden="false" customHeight="false" outlineLevel="0" collapsed="false">
      <c r="A16" s="14" t="s">
        <v>41</v>
      </c>
      <c r="B16" s="19" t="n">
        <f aca="false">B9+B10+B11+B12</f>
        <v>1</v>
      </c>
    </row>
    <row r="18" customFormat="false" ht="19.5" hidden="false" customHeight="true" outlineLevel="0" collapsed="false">
      <c r="A18" s="11" t="s">
        <v>42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</sheetData>
  <sheetProtection sheet="true" password="cc3d" objects="true" scenarios="true" deleteColumns="false" deleteRows="false"/>
  <mergeCells count="3">
    <mergeCell ref="A1:AD1"/>
    <mergeCell ref="A15:B15"/>
    <mergeCell ref="A18:AN18"/>
  </mergeCells>
  <conditionalFormatting sqref="B16">
    <cfRule type="cellIs" priority="2" operator="between" aboveAverage="0" equalAverage="0" bottom="0" percent="0" rank="0" text="" dxfId="0">
      <formula>0.99</formula>
      <formula>1.01</formula>
    </cfRule>
    <cfRule type="cellIs" priority="3" operator="notBetween" aboveAverage="0" equalAverage="0" bottom="0" percent="0" rank="0" text="" dxfId="1">
      <formula>0.99</formula>
      <formula>1.01</formula>
    </cfRule>
  </conditionalFormatting>
  <conditionalFormatting sqref="B9">
    <cfRule type="cellIs" priority="4" operator="between" aboveAverage="0" equalAverage="0" bottom="0" percent="0" rank="0" text="" dxfId="0">
      <formula>0.1</formula>
      <formula>0.9</formula>
    </cfRule>
  </conditionalFormatting>
  <dataValidations count="10">
    <dataValidation allowBlank="true" error="Metin girin." errorStyle="stop" errorTitle="Geçersiz değer" operator="between" prompt="İşin adı" promptTitle="Sözleşme Adı" showDropDown="false" showErrorMessage="true" showInputMessage="true" sqref="B4" type="list">
      <formula1>listemetin</formula1>
      <formula2>0</formula2>
    </dataValidation>
    <dataValidation allowBlank="true" error="Metin girin." errorStyle="stop" errorTitle="Geçersiz değer" operator="between" prompt="İşi ihale eden kurum" promptTitle="İşveren" showDropDown="false" showErrorMessage="true" showInputMessage="true" sqref="B5" type="list">
      <formula1>listemetin</formula1>
      <formula2>0</formula2>
    </dataValidation>
    <dataValidation allowBlank="true" error="Metin girin." errorStyle="stop" errorTitle="Geçersiz değer" operator="between" prompt="Yüklenici firma adı" promptTitle="Yüklenici" showDropDown="false" showErrorMessage="true" showInputMessage="true" sqref="B6" type="list">
      <formula1>listemetin</formula1>
      <formula2>0</formula2>
    </dataValidation>
    <dataValidation allowBlank="true" error="01.01.2020'den sonraki bir tarih girin." errorStyle="stop" errorTitle="Geçersiz tarih" operator="greaterThan" prompt="Sözleşmenin imzalandığı tarih" promptTitle="Sözleşme Tarihi" showDropDown="false" showErrorMessage="true" showInputMessage="true" sqref="B7" type="date">
      <formula1>2020-1-1</formula1>
      <formula2>0</formula2>
    </dataValidation>
    <dataValidation allowBlank="true" error="Tutar 1 ₺'den büyük olmalı." errorStyle="stop" errorTitle="Geçersiz tutar" operator="greaterThan" prompt="KDV hariç sözleşme bedeli" promptTitle="Sözleşme Bedeli (₺)" showDropDown="false" showErrorMessage="true" showInputMessage="true" sqref="B8" type="whole">
      <formula1>0</formula1>
      <formula2>0</formula2>
    </dataValidation>
    <dataValidation allowBlank="true" error="Oran 0 ile 1 arasında olmalı." errorStyle="stop" errorTitle="Geçersiz oran" operator="between" prompt="Fiyat farkı formülündeki sabit ağırlık" promptTitle="a (Sabit Ağırlık)" showDropDown="false" showErrorMessage="true" showInputMessage="true" sqref="B9" type="decimal">
      <formula1>0</formula1>
      <formula2>1</formula2>
    </dataValidation>
    <dataValidation allowBlank="true" error="Oran 0 ile 1 arasında olmalı." errorStyle="stop" errorTitle="Geçersiz oran" operator="between" prompt="İşçilik endeksi ağırlığı" promptTitle="b (İşçilik Ağırlığı)" showDropDown="false" showErrorMessage="true" showInputMessage="true" sqref="B10" type="decimal">
      <formula1>0</formula1>
      <formula2>1</formula2>
    </dataValidation>
    <dataValidation allowBlank="true" error="Oran 0 ile 1 arasında olmalı." errorStyle="stop" errorTitle="Geçersiz oran" operator="between" prompt="Malzeme endeksi ağırlığı" promptTitle="c (Malzeme Ağırlığı)" showDropDown="false" showErrorMessage="true" showInputMessage="true" sqref="B11" type="decimal">
      <formula1>0</formula1>
      <formula2>1</formula2>
    </dataValidation>
    <dataValidation allowBlank="true" error="Oran 0 ile 1 arasında olmalı." errorStyle="stop" errorTitle="Geçersiz oran" operator="between" prompt="Makine/ekipman endeksi ağırlığı" promptTitle="d (Makine Ağırlığı)" showDropDown="false" showErrorMessage="true" showInputMessage="true" sqref="B12" type="decimal">
      <formula1>0</formula1>
      <formula2>1</formula2>
    </dataValidation>
    <dataValidation allowBlank="true" error="Lütfen Evet veya Hayır seçin." errorStyle="stop" errorTitle="Geçersiz seçim" operator="between" prompt="Sözleşmede fiyat farkı maddesi var mı?" promptTitle="Fiyat Farkı Maddesi" showDropDown="false" showErrorMessage="true" showInputMessage="true" sqref="B13" type="list">
      <formula1>ListeEvetHayir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8" min="4" style="0" width="18"/>
  </cols>
  <sheetData>
    <row r="1" customFormat="false" ht="25.5" hidden="false" customHeight="true" outlineLevel="0" collapsed="false">
      <c r="A1" s="12" t="s">
        <v>43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20" t="s">
        <v>44</v>
      </c>
      <c r="B3" s="20"/>
      <c r="C3" s="20"/>
      <c r="D3" s="20"/>
      <c r="E3" s="20"/>
      <c r="F3" s="20"/>
      <c r="G3" s="20"/>
      <c r="H3" s="20"/>
    </row>
    <row r="5" customFormat="false" ht="30" hidden="false" customHeight="true" outlineLevel="0" collapsed="false">
      <c r="A5" s="21" t="s">
        <v>45</v>
      </c>
      <c r="B5" s="21" t="s">
        <v>46</v>
      </c>
      <c r="C5" s="21" t="s">
        <v>47</v>
      </c>
      <c r="D5" s="21" t="s">
        <v>48</v>
      </c>
      <c r="E5" s="21" t="s">
        <v>49</v>
      </c>
      <c r="F5" s="21" t="s">
        <v>50</v>
      </c>
      <c r="G5" s="21" t="s">
        <v>51</v>
      </c>
      <c r="H5" s="21" t="s">
        <v>52</v>
      </c>
    </row>
    <row r="6" customFormat="false" ht="15" hidden="false" customHeight="false" outlineLevel="0" collapsed="false">
      <c r="A6" s="22" t="s">
        <v>53</v>
      </c>
      <c r="B6" s="22" t="s">
        <v>54</v>
      </c>
      <c r="C6" s="23" t="n">
        <v>1200</v>
      </c>
      <c r="D6" s="24" t="n">
        <v>1450</v>
      </c>
      <c r="E6" s="25" t="n">
        <f aca="false">$C6*$D6</f>
        <v>1740000</v>
      </c>
      <c r="F6" s="24" t="n">
        <v>1510</v>
      </c>
      <c r="G6" s="26" t="n">
        <f aca="false">$C6*$F6</f>
        <v>1812000</v>
      </c>
      <c r="H6" s="26" t="n">
        <f aca="false">IF(OR($E6="",$G6=""),"",$G6-$E6)</f>
        <v>72000</v>
      </c>
    </row>
    <row r="7" customFormat="false" ht="15" hidden="false" customHeight="false" outlineLevel="0" collapsed="false">
      <c r="A7" s="22" t="s">
        <v>55</v>
      </c>
      <c r="B7" s="22" t="s">
        <v>56</v>
      </c>
      <c r="C7" s="23" t="n">
        <v>85</v>
      </c>
      <c r="D7" s="24" t="n">
        <v>27500</v>
      </c>
      <c r="E7" s="25" t="n">
        <f aca="false">$C7*$D7</f>
        <v>2337500</v>
      </c>
      <c r="F7" s="24" t="n">
        <v>28400</v>
      </c>
      <c r="G7" s="26" t="n">
        <f aca="false">$C7*$F7</f>
        <v>2414000</v>
      </c>
      <c r="H7" s="26" t="n">
        <f aca="false">IF(OR($E7="",$G7=""),"",$G7-$E7)</f>
        <v>76500</v>
      </c>
    </row>
    <row r="8" customFormat="false" ht="15" hidden="false" customHeight="false" outlineLevel="0" collapsed="false">
      <c r="A8" s="22" t="s">
        <v>57</v>
      </c>
      <c r="B8" s="22" t="s">
        <v>58</v>
      </c>
      <c r="C8" s="23" t="n">
        <v>4500</v>
      </c>
      <c r="D8" s="24" t="n">
        <v>320</v>
      </c>
      <c r="E8" s="25" t="n">
        <f aca="false">$C8*$D8</f>
        <v>1440000</v>
      </c>
      <c r="F8" s="24" t="n">
        <v>330</v>
      </c>
      <c r="G8" s="26" t="n">
        <f aca="false">$C8*$F8</f>
        <v>1485000</v>
      </c>
      <c r="H8" s="26" t="n">
        <f aca="false">IF(OR($E8="",$G8=""),"",$G8-$E8)</f>
        <v>45000</v>
      </c>
    </row>
    <row r="9" customFormat="false" ht="15" hidden="false" customHeight="false" outlineLevel="0" collapsed="false">
      <c r="A9" s="22" t="s">
        <v>59</v>
      </c>
      <c r="B9" s="22" t="s">
        <v>58</v>
      </c>
      <c r="C9" s="23" t="n">
        <v>3800</v>
      </c>
      <c r="D9" s="24" t="n">
        <v>480</v>
      </c>
      <c r="E9" s="25" t="n">
        <f aca="false">$C9*$D9</f>
        <v>1824000</v>
      </c>
      <c r="F9" s="24" t="n">
        <v>495</v>
      </c>
      <c r="G9" s="26" t="n">
        <f aca="false">$C9*$F9</f>
        <v>1881000</v>
      </c>
      <c r="H9" s="26" t="n">
        <f aca="false">IF(OR($E9="",$G9=""),"",$G9-$E9)</f>
        <v>57000</v>
      </c>
    </row>
    <row r="10" customFormat="false" ht="15" hidden="false" customHeight="false" outlineLevel="0" collapsed="false">
      <c r="A10" s="22" t="s">
        <v>60</v>
      </c>
      <c r="B10" s="22" t="s">
        <v>58</v>
      </c>
      <c r="C10" s="23" t="n">
        <v>4200</v>
      </c>
      <c r="D10" s="24" t="n">
        <v>185</v>
      </c>
      <c r="E10" s="25" t="n">
        <f aca="false">$C10*$D10</f>
        <v>777000</v>
      </c>
      <c r="F10" s="24" t="n">
        <v>192</v>
      </c>
      <c r="G10" s="26" t="n">
        <f aca="false">$C10*$F10</f>
        <v>806400</v>
      </c>
      <c r="H10" s="26" t="n">
        <f aca="false">IF(OR($E10="",$G10=""),"",$G10-$E10)</f>
        <v>29400</v>
      </c>
    </row>
    <row r="11" customFormat="false" ht="15" hidden="false" customHeight="false" outlineLevel="0" collapsed="false">
      <c r="A11" s="22" t="s">
        <v>61</v>
      </c>
      <c r="B11" s="22" t="s">
        <v>58</v>
      </c>
      <c r="C11" s="23" t="n">
        <v>5100</v>
      </c>
      <c r="D11" s="24" t="n">
        <v>95</v>
      </c>
      <c r="E11" s="25" t="n">
        <f aca="false">$C11*$D11</f>
        <v>484500</v>
      </c>
      <c r="F11" s="24" t="n">
        <v>99</v>
      </c>
      <c r="G11" s="26" t="n">
        <f aca="false">$C11*$F11</f>
        <v>504900</v>
      </c>
      <c r="H11" s="26" t="n">
        <f aca="false">IF(OR($E11="",$G11=""),"",$G11-$E11)</f>
        <v>20400</v>
      </c>
    </row>
    <row r="12" customFormat="false" ht="15" hidden="false" customHeight="false" outlineLevel="0" collapsed="false">
      <c r="A12" s="22" t="s">
        <v>62</v>
      </c>
      <c r="B12" s="22" t="s">
        <v>58</v>
      </c>
      <c r="C12" s="23" t="n">
        <v>1400</v>
      </c>
      <c r="D12" s="24" t="n">
        <v>260</v>
      </c>
      <c r="E12" s="25" t="n">
        <f aca="false">$C12*$D12</f>
        <v>364000</v>
      </c>
      <c r="F12" s="24" t="n">
        <v>268</v>
      </c>
      <c r="G12" s="26" t="n">
        <f aca="false">$C12*$F12</f>
        <v>375200</v>
      </c>
      <c r="H12" s="26" t="n">
        <f aca="false">IF(OR($E12="",$G12=""),"",$G12-$E12)</f>
        <v>11200</v>
      </c>
    </row>
    <row r="13" customFormat="false" ht="15" hidden="false" customHeight="false" outlineLevel="0" collapsed="false">
      <c r="A13" s="22" t="s">
        <v>63</v>
      </c>
      <c r="B13" s="22" t="s">
        <v>58</v>
      </c>
      <c r="C13" s="23" t="n">
        <v>950</v>
      </c>
      <c r="D13" s="24" t="n">
        <v>720</v>
      </c>
      <c r="E13" s="25" t="n">
        <f aca="false">$C13*$D13</f>
        <v>684000</v>
      </c>
      <c r="F13" s="24" t="n">
        <v>740</v>
      </c>
      <c r="G13" s="26" t="n">
        <f aca="false">$C13*$F13</f>
        <v>703000</v>
      </c>
      <c r="H13" s="26" t="n">
        <f aca="false">IF(OR($E13="",$G13=""),"",$G13-$E13)</f>
        <v>19000</v>
      </c>
    </row>
    <row r="14" customFormat="false" ht="15" hidden="false" customHeight="false" outlineLevel="0" collapsed="false">
      <c r="A14" s="22" t="s">
        <v>64</v>
      </c>
      <c r="B14" s="22" t="s">
        <v>65</v>
      </c>
      <c r="C14" s="23" t="n">
        <v>120</v>
      </c>
      <c r="D14" s="24" t="n">
        <v>4200</v>
      </c>
      <c r="E14" s="25" t="n">
        <f aca="false">$C14*$D14</f>
        <v>504000</v>
      </c>
      <c r="F14" s="24" t="n">
        <v>4320</v>
      </c>
      <c r="G14" s="26" t="n">
        <f aca="false">$C14*$F14</f>
        <v>518400</v>
      </c>
      <c r="H14" s="26" t="n">
        <f aca="false">IF(OR($E14="",$G14=""),"",$G14-$E14)</f>
        <v>14400</v>
      </c>
    </row>
    <row r="15" customFormat="false" ht="15" hidden="false" customHeight="false" outlineLevel="0" collapsed="false">
      <c r="A15" s="22" t="s">
        <v>66</v>
      </c>
      <c r="B15" s="22" t="s">
        <v>65</v>
      </c>
      <c r="C15" s="23" t="n">
        <v>240</v>
      </c>
      <c r="D15" s="24" t="n">
        <v>1600</v>
      </c>
      <c r="E15" s="25" t="n">
        <f aca="false">$C15*$D15</f>
        <v>384000</v>
      </c>
      <c r="F15" s="24" t="n">
        <v>1650</v>
      </c>
      <c r="G15" s="26" t="n">
        <f aca="false">$C15*$F15</f>
        <v>396000</v>
      </c>
      <c r="H15" s="26" t="n">
        <f aca="false">IF(OR($E15="",$G15=""),"",$G15-$E15)</f>
        <v>12000</v>
      </c>
    </row>
    <row r="16" customFormat="false" ht="15" hidden="false" customHeight="false" outlineLevel="0" collapsed="false">
      <c r="A16" s="22" t="s">
        <v>67</v>
      </c>
      <c r="B16" s="22" t="s">
        <v>68</v>
      </c>
      <c r="C16" s="23" t="n">
        <v>6800</v>
      </c>
      <c r="D16" s="24" t="n">
        <v>42</v>
      </c>
      <c r="E16" s="25" t="n">
        <f aca="false">$C16*$D16</f>
        <v>285600</v>
      </c>
      <c r="F16" s="24" t="n">
        <v>44</v>
      </c>
      <c r="G16" s="26" t="n">
        <f aca="false">$C16*$F16</f>
        <v>299200</v>
      </c>
      <c r="H16" s="26" t="n">
        <f aca="false">IF(OR($E16="",$G16=""),"",$G16-$E16)</f>
        <v>13600</v>
      </c>
    </row>
    <row r="17" customFormat="false" ht="15" hidden="false" customHeight="false" outlineLevel="0" collapsed="false">
      <c r="A17" s="22" t="s">
        <v>69</v>
      </c>
      <c r="B17" s="22" t="s">
        <v>68</v>
      </c>
      <c r="C17" s="23" t="n">
        <v>5400</v>
      </c>
      <c r="D17" s="24" t="n">
        <v>65</v>
      </c>
      <c r="E17" s="25" t="n">
        <f aca="false">$C17*$D17</f>
        <v>351000</v>
      </c>
      <c r="F17" s="24" t="n">
        <v>68</v>
      </c>
      <c r="G17" s="26" t="n">
        <f aca="false">$C17*$F17</f>
        <v>367200</v>
      </c>
      <c r="H17" s="26" t="n">
        <f aca="false">IF(OR($E17="",$G17=""),"",$G17-$E17)</f>
        <v>16200</v>
      </c>
    </row>
    <row r="18" customFormat="false" ht="15" hidden="false" customHeight="false" outlineLevel="0" collapsed="false">
      <c r="A18" s="27"/>
      <c r="B18" s="27"/>
      <c r="C18" s="27"/>
      <c r="D18" s="28"/>
      <c r="E18" s="29"/>
      <c r="F18" s="28"/>
      <c r="G18" s="29"/>
      <c r="H18" s="29"/>
    </row>
    <row r="19" customFormat="false" ht="15" hidden="false" customHeight="false" outlineLevel="0" collapsed="false">
      <c r="A19" s="27"/>
      <c r="B19" s="27"/>
      <c r="C19" s="27"/>
      <c r="D19" s="28"/>
      <c r="E19" s="29"/>
      <c r="F19" s="28"/>
      <c r="G19" s="29"/>
      <c r="H19" s="29"/>
    </row>
    <row r="20" customFormat="false" ht="15" hidden="false" customHeight="false" outlineLevel="0" collapsed="false">
      <c r="A20" s="27"/>
      <c r="B20" s="27"/>
      <c r="C20" s="27"/>
      <c r="D20" s="28"/>
      <c r="E20" s="29"/>
      <c r="F20" s="28"/>
      <c r="G20" s="29"/>
      <c r="H20" s="29"/>
    </row>
    <row r="21" customFormat="false" ht="15" hidden="false" customHeight="false" outlineLevel="0" collapsed="false">
      <c r="A21" s="27"/>
      <c r="B21" s="27"/>
      <c r="C21" s="27"/>
      <c r="D21" s="28"/>
      <c r="E21" s="29"/>
      <c r="F21" s="28"/>
      <c r="G21" s="29"/>
      <c r="H21" s="29"/>
    </row>
    <row r="22" customFormat="false" ht="15" hidden="false" customHeight="false" outlineLevel="0" collapsed="false">
      <c r="A22" s="27"/>
      <c r="B22" s="27"/>
      <c r="C22" s="27"/>
      <c r="D22" s="28"/>
      <c r="E22" s="29"/>
      <c r="F22" s="28"/>
      <c r="G22" s="29"/>
      <c r="H22" s="29"/>
    </row>
    <row r="23" customFormat="false" ht="15" hidden="false" customHeight="false" outlineLevel="0" collapsed="false">
      <c r="A23" s="27"/>
      <c r="B23" s="27"/>
      <c r="C23" s="27"/>
      <c r="D23" s="28"/>
      <c r="E23" s="29"/>
      <c r="F23" s="28"/>
      <c r="G23" s="29"/>
      <c r="H23" s="29"/>
    </row>
    <row r="24" customFormat="false" ht="15" hidden="false" customHeight="false" outlineLevel="0" collapsed="false">
      <c r="A24" s="27"/>
      <c r="B24" s="27"/>
      <c r="C24" s="27"/>
      <c r="D24" s="28"/>
      <c r="E24" s="29"/>
      <c r="F24" s="28"/>
      <c r="G24" s="29"/>
      <c r="H24" s="29"/>
    </row>
    <row r="25" customFormat="false" ht="15" hidden="false" customHeight="false" outlineLevel="0" collapsed="false">
      <c r="A25" s="27"/>
      <c r="B25" s="27"/>
      <c r="C25" s="27"/>
      <c r="D25" s="28"/>
      <c r="E25" s="29"/>
      <c r="F25" s="28"/>
      <c r="G25" s="29"/>
      <c r="H25" s="29"/>
    </row>
    <row r="26" customFormat="false" ht="15" hidden="false" customHeight="false" outlineLevel="0" collapsed="false">
      <c r="A26" s="27"/>
      <c r="B26" s="27"/>
      <c r="C26" s="27"/>
      <c r="D26" s="28"/>
      <c r="E26" s="29"/>
      <c r="F26" s="28"/>
      <c r="G26" s="29"/>
      <c r="H26" s="29"/>
    </row>
    <row r="27" customFormat="false" ht="15" hidden="false" customHeight="false" outlineLevel="0" collapsed="false">
      <c r="A27" s="27"/>
      <c r="B27" s="27"/>
      <c r="C27" s="27"/>
      <c r="D27" s="28"/>
      <c r="E27" s="29"/>
      <c r="F27" s="28"/>
      <c r="G27" s="29"/>
      <c r="H27" s="29"/>
    </row>
    <row r="28" customFormat="false" ht="15" hidden="false" customHeight="false" outlineLevel="0" collapsed="false">
      <c r="A28" s="27"/>
      <c r="B28" s="27"/>
      <c r="C28" s="27"/>
      <c r="D28" s="28"/>
      <c r="E28" s="29"/>
      <c r="F28" s="28"/>
      <c r="G28" s="29"/>
      <c r="H28" s="29"/>
    </row>
    <row r="29" customFormat="false" ht="15" hidden="false" customHeight="false" outlineLevel="0" collapsed="false">
      <c r="A29" s="27"/>
      <c r="B29" s="27"/>
      <c r="C29" s="27"/>
      <c r="D29" s="28"/>
      <c r="E29" s="29"/>
      <c r="F29" s="28"/>
      <c r="G29" s="29"/>
      <c r="H29" s="29"/>
    </row>
    <row r="30" customFormat="false" ht="15" hidden="false" customHeight="false" outlineLevel="0" collapsed="false">
      <c r="A30" s="27"/>
      <c r="B30" s="27"/>
      <c r="C30" s="27"/>
      <c r="D30" s="28"/>
      <c r="E30" s="29"/>
      <c r="F30" s="28"/>
      <c r="G30" s="29"/>
      <c r="H30" s="29"/>
    </row>
    <row r="31" customFormat="false" ht="15" hidden="false" customHeight="false" outlineLevel="0" collapsed="false">
      <c r="A31" s="27"/>
      <c r="B31" s="27"/>
      <c r="C31" s="27"/>
      <c r="D31" s="28"/>
      <c r="E31" s="29"/>
      <c r="F31" s="28"/>
      <c r="G31" s="29"/>
      <c r="H31" s="29"/>
    </row>
    <row r="32" customFormat="false" ht="15" hidden="false" customHeight="false" outlineLevel="0" collapsed="false">
      <c r="A32" s="27"/>
      <c r="B32" s="27"/>
      <c r="C32" s="27"/>
      <c r="D32" s="28"/>
      <c r="E32" s="29"/>
      <c r="F32" s="28"/>
      <c r="G32" s="29"/>
      <c r="H32" s="29"/>
    </row>
    <row r="33" customFormat="false" ht="15" hidden="false" customHeight="false" outlineLevel="0" collapsed="false">
      <c r="A33" s="27"/>
      <c r="B33" s="27"/>
      <c r="C33" s="27"/>
      <c r="D33" s="28"/>
      <c r="E33" s="29"/>
      <c r="F33" s="28"/>
      <c r="G33" s="29"/>
      <c r="H33" s="29"/>
    </row>
    <row r="34" customFormat="false" ht="15" hidden="false" customHeight="false" outlineLevel="0" collapsed="false">
      <c r="A34" s="27"/>
      <c r="B34" s="27"/>
      <c r="C34" s="27"/>
      <c r="D34" s="28"/>
      <c r="E34" s="29"/>
      <c r="F34" s="28"/>
      <c r="G34" s="29"/>
      <c r="H34" s="29"/>
    </row>
    <row r="35" customFormat="false" ht="15" hidden="false" customHeight="false" outlineLevel="0" collapsed="false">
      <c r="A35" s="27"/>
      <c r="B35" s="27"/>
      <c r="C35" s="27"/>
      <c r="D35" s="28"/>
      <c r="E35" s="29"/>
      <c r="F35" s="28"/>
      <c r="G35" s="29"/>
      <c r="H35" s="29"/>
    </row>
    <row r="36" customFormat="false" ht="15" hidden="false" customHeight="false" outlineLevel="0" collapsed="false">
      <c r="A36" s="27"/>
      <c r="B36" s="27"/>
      <c r="C36" s="27"/>
      <c r="D36" s="28"/>
      <c r="E36" s="29"/>
      <c r="F36" s="28"/>
      <c r="G36" s="29"/>
      <c r="H36" s="29"/>
    </row>
    <row r="37" customFormat="false" ht="15" hidden="false" customHeight="false" outlineLevel="0" collapsed="false">
      <c r="A37" s="27"/>
      <c r="B37" s="27"/>
      <c r="C37" s="27"/>
      <c r="D37" s="28"/>
      <c r="E37" s="29"/>
      <c r="F37" s="28"/>
      <c r="G37" s="29"/>
      <c r="H37" s="29"/>
    </row>
    <row r="38" customFormat="false" ht="15" hidden="false" customHeight="false" outlineLevel="0" collapsed="false">
      <c r="A38" s="27"/>
      <c r="B38" s="27"/>
      <c r="C38" s="27"/>
      <c r="D38" s="28"/>
      <c r="E38" s="29"/>
      <c r="F38" s="28"/>
      <c r="G38" s="29"/>
      <c r="H38" s="29"/>
    </row>
    <row r="39" customFormat="false" ht="15" hidden="false" customHeight="false" outlineLevel="0" collapsed="false">
      <c r="A39" s="27"/>
      <c r="B39" s="27"/>
      <c r="C39" s="27"/>
      <c r="D39" s="28"/>
      <c r="E39" s="29"/>
      <c r="F39" s="28"/>
      <c r="G39" s="29"/>
      <c r="H39" s="29"/>
    </row>
    <row r="40" customFormat="false" ht="15" hidden="false" customHeight="false" outlineLevel="0" collapsed="false">
      <c r="A40" s="27"/>
      <c r="B40" s="27"/>
      <c r="C40" s="27"/>
      <c r="D40" s="28"/>
      <c r="E40" s="29"/>
      <c r="F40" s="28"/>
      <c r="G40" s="29"/>
      <c r="H40" s="29"/>
    </row>
    <row r="41" customFormat="false" ht="15" hidden="false" customHeight="false" outlineLevel="0" collapsed="false">
      <c r="A41" s="27"/>
      <c r="B41" s="27"/>
      <c r="C41" s="27"/>
      <c r="D41" s="28"/>
      <c r="E41" s="29"/>
      <c r="F41" s="28"/>
      <c r="G41" s="29"/>
      <c r="H41" s="29"/>
    </row>
    <row r="42" customFormat="false" ht="15" hidden="false" customHeight="false" outlineLevel="0" collapsed="false">
      <c r="A42" s="27"/>
      <c r="B42" s="27"/>
      <c r="C42" s="27"/>
      <c r="D42" s="28"/>
      <c r="E42" s="29"/>
      <c r="F42" s="28"/>
      <c r="G42" s="29"/>
      <c r="H42" s="29"/>
    </row>
    <row r="43" customFormat="false" ht="15" hidden="false" customHeight="false" outlineLevel="0" collapsed="false">
      <c r="A43" s="27"/>
      <c r="B43" s="27"/>
      <c r="C43" s="27"/>
      <c r="D43" s="28"/>
      <c r="E43" s="29"/>
      <c r="F43" s="28"/>
      <c r="G43" s="29"/>
      <c r="H43" s="29"/>
    </row>
    <row r="44" customFormat="false" ht="15" hidden="false" customHeight="false" outlineLevel="0" collapsed="false">
      <c r="A44" s="27"/>
      <c r="B44" s="27"/>
      <c r="C44" s="27"/>
      <c r="D44" s="28"/>
      <c r="E44" s="29"/>
      <c r="F44" s="28"/>
      <c r="G44" s="29"/>
      <c r="H44" s="29"/>
    </row>
    <row r="45" customFormat="false" ht="15" hidden="false" customHeight="false" outlineLevel="0" collapsed="false">
      <c r="A45" s="27"/>
      <c r="B45" s="27"/>
      <c r="C45" s="27"/>
      <c r="D45" s="28"/>
      <c r="E45" s="29"/>
      <c r="F45" s="28"/>
      <c r="G45" s="29"/>
      <c r="H45" s="29"/>
    </row>
    <row r="46" customFormat="false" ht="15" hidden="false" customHeight="false" outlineLevel="0" collapsed="false">
      <c r="A46" s="27"/>
      <c r="B46" s="27"/>
      <c r="C46" s="27"/>
      <c r="D46" s="28"/>
      <c r="E46" s="29"/>
      <c r="F46" s="28"/>
      <c r="G46" s="29"/>
      <c r="H46" s="29"/>
    </row>
    <row r="47" customFormat="false" ht="15" hidden="false" customHeight="false" outlineLevel="0" collapsed="false">
      <c r="A47" s="27"/>
      <c r="B47" s="27"/>
      <c r="C47" s="27"/>
      <c r="D47" s="28"/>
      <c r="E47" s="29"/>
      <c r="F47" s="28"/>
      <c r="G47" s="29"/>
      <c r="H47" s="29"/>
    </row>
    <row r="48" customFormat="false" ht="15" hidden="false" customHeight="false" outlineLevel="0" collapsed="false">
      <c r="A48" s="27"/>
      <c r="B48" s="27"/>
      <c r="C48" s="27"/>
      <c r="D48" s="28"/>
      <c r="E48" s="29"/>
      <c r="F48" s="28"/>
      <c r="G48" s="29"/>
      <c r="H48" s="29"/>
    </row>
    <row r="49" customFormat="false" ht="15" hidden="false" customHeight="false" outlineLevel="0" collapsed="false">
      <c r="A49" s="27"/>
      <c r="B49" s="27"/>
      <c r="C49" s="27"/>
      <c r="D49" s="28"/>
      <c r="E49" s="29"/>
      <c r="F49" s="28"/>
      <c r="G49" s="29"/>
      <c r="H49" s="29"/>
    </row>
    <row r="50" customFormat="false" ht="15" hidden="false" customHeight="false" outlineLevel="0" collapsed="false">
      <c r="A50" s="27"/>
      <c r="B50" s="27"/>
      <c r="C50" s="27"/>
      <c r="D50" s="28"/>
      <c r="E50" s="29"/>
      <c r="F50" s="28"/>
      <c r="G50" s="29"/>
      <c r="H50" s="29"/>
    </row>
    <row r="51" customFormat="false" ht="15" hidden="false" customHeight="false" outlineLevel="0" collapsed="false">
      <c r="A51" s="27"/>
      <c r="B51" s="27"/>
      <c r="C51" s="27"/>
      <c r="D51" s="28"/>
      <c r="E51" s="29"/>
      <c r="F51" s="28"/>
      <c r="G51" s="29"/>
      <c r="H51" s="29"/>
    </row>
    <row r="52" customFormat="false" ht="15" hidden="false" customHeight="false" outlineLevel="0" collapsed="false">
      <c r="A52" s="27"/>
      <c r="B52" s="27"/>
      <c r="C52" s="27"/>
      <c r="D52" s="28"/>
      <c r="E52" s="29"/>
      <c r="F52" s="28"/>
      <c r="G52" s="29"/>
      <c r="H52" s="29"/>
    </row>
    <row r="53" customFormat="false" ht="15" hidden="false" customHeight="false" outlineLevel="0" collapsed="false">
      <c r="A53" s="27"/>
      <c r="B53" s="27"/>
      <c r="C53" s="27"/>
      <c r="D53" s="28"/>
      <c r="E53" s="29"/>
      <c r="F53" s="28"/>
      <c r="G53" s="29"/>
      <c r="H53" s="29"/>
    </row>
    <row r="54" customFormat="false" ht="15" hidden="false" customHeight="false" outlineLevel="0" collapsed="false">
      <c r="A54" s="27"/>
      <c r="B54" s="27"/>
      <c r="C54" s="27"/>
      <c r="D54" s="28"/>
      <c r="E54" s="29"/>
      <c r="F54" s="28"/>
      <c r="G54" s="29"/>
      <c r="H54" s="29"/>
    </row>
    <row r="55" customFormat="false" ht="15" hidden="false" customHeight="false" outlineLevel="0" collapsed="false">
      <c r="A55" s="27"/>
      <c r="B55" s="27"/>
      <c r="C55" s="27"/>
      <c r="D55" s="28"/>
      <c r="E55" s="29"/>
      <c r="F55" s="28"/>
      <c r="G55" s="29"/>
      <c r="H55" s="29"/>
    </row>
    <row r="56" customFormat="false" ht="15" hidden="false" customHeight="false" outlineLevel="0" collapsed="false">
      <c r="A56" s="27"/>
      <c r="B56" s="27"/>
      <c r="C56" s="27"/>
      <c r="D56" s="28"/>
      <c r="E56" s="29"/>
      <c r="F56" s="28"/>
      <c r="G56" s="29"/>
      <c r="H56" s="29"/>
    </row>
    <row r="57" customFormat="false" ht="15" hidden="false" customHeight="false" outlineLevel="0" collapsed="false">
      <c r="A57" s="27"/>
      <c r="B57" s="27"/>
      <c r="C57" s="27"/>
      <c r="D57" s="28"/>
      <c r="E57" s="29"/>
      <c r="F57" s="28"/>
      <c r="G57" s="29"/>
      <c r="H57" s="29"/>
    </row>
    <row r="58" customFormat="false" ht="15" hidden="false" customHeight="false" outlineLevel="0" collapsed="false">
      <c r="A58" s="27"/>
      <c r="B58" s="27"/>
      <c r="C58" s="27"/>
      <c r="D58" s="28"/>
      <c r="E58" s="29"/>
      <c r="F58" s="28"/>
      <c r="G58" s="29"/>
      <c r="H58" s="29"/>
    </row>
    <row r="59" customFormat="false" ht="15" hidden="false" customHeight="false" outlineLevel="0" collapsed="false">
      <c r="A59" s="27"/>
      <c r="B59" s="27"/>
      <c r="C59" s="27"/>
      <c r="D59" s="28"/>
      <c r="E59" s="29"/>
      <c r="F59" s="28"/>
      <c r="G59" s="29"/>
      <c r="H59" s="29"/>
    </row>
    <row r="60" customFormat="false" ht="15" hidden="false" customHeight="false" outlineLevel="0" collapsed="false">
      <c r="A60" s="27"/>
      <c r="B60" s="27"/>
      <c r="C60" s="27"/>
      <c r="D60" s="28"/>
      <c r="E60" s="29"/>
      <c r="F60" s="28"/>
      <c r="G60" s="29"/>
      <c r="H60" s="29"/>
    </row>
    <row r="61" customFormat="false" ht="15" hidden="false" customHeight="false" outlineLevel="0" collapsed="false">
      <c r="A61" s="27"/>
      <c r="B61" s="27"/>
      <c r="C61" s="27"/>
      <c r="D61" s="28"/>
      <c r="E61" s="29"/>
      <c r="F61" s="28"/>
      <c r="G61" s="29"/>
      <c r="H61" s="29"/>
    </row>
    <row r="62" customFormat="false" ht="15" hidden="false" customHeight="false" outlineLevel="0" collapsed="false">
      <c r="A62" s="27"/>
      <c r="B62" s="27"/>
      <c r="C62" s="27"/>
      <c r="D62" s="28"/>
      <c r="E62" s="29"/>
      <c r="F62" s="28"/>
      <c r="G62" s="29"/>
      <c r="H62" s="29"/>
    </row>
    <row r="63" customFormat="false" ht="15" hidden="false" customHeight="false" outlineLevel="0" collapsed="false">
      <c r="A63" s="27"/>
      <c r="B63" s="27"/>
      <c r="C63" s="27"/>
      <c r="D63" s="28"/>
      <c r="E63" s="29"/>
      <c r="F63" s="28"/>
      <c r="G63" s="29"/>
      <c r="H63" s="29"/>
    </row>
    <row r="64" customFormat="false" ht="15" hidden="false" customHeight="false" outlineLevel="0" collapsed="false">
      <c r="A64" s="27"/>
      <c r="B64" s="27"/>
      <c r="C64" s="27"/>
      <c r="D64" s="28"/>
      <c r="E64" s="29"/>
      <c r="F64" s="28"/>
      <c r="G64" s="29"/>
      <c r="H64" s="29"/>
    </row>
    <row r="65" customFormat="false" ht="15" hidden="false" customHeight="false" outlineLevel="0" collapsed="false">
      <c r="A65" s="27"/>
      <c r="B65" s="27"/>
      <c r="C65" s="27"/>
      <c r="D65" s="28"/>
      <c r="E65" s="29"/>
      <c r="F65" s="28"/>
      <c r="G65" s="29"/>
      <c r="H65" s="29"/>
    </row>
    <row r="66" customFormat="false" ht="15" hidden="false" customHeight="false" outlineLevel="0" collapsed="false">
      <c r="A66" s="27"/>
      <c r="B66" s="27"/>
      <c r="C66" s="27"/>
      <c r="D66" s="28"/>
      <c r="E66" s="29"/>
      <c r="F66" s="28"/>
      <c r="G66" s="29"/>
      <c r="H66" s="29"/>
    </row>
    <row r="67" customFormat="false" ht="15" hidden="false" customHeight="false" outlineLevel="0" collapsed="false">
      <c r="A67" s="27"/>
      <c r="B67" s="27"/>
      <c r="C67" s="27"/>
      <c r="D67" s="28"/>
      <c r="E67" s="29"/>
      <c r="F67" s="28"/>
      <c r="G67" s="29"/>
      <c r="H67" s="29"/>
    </row>
    <row r="68" customFormat="false" ht="15" hidden="false" customHeight="false" outlineLevel="0" collapsed="false">
      <c r="A68" s="27"/>
      <c r="B68" s="27"/>
      <c r="C68" s="27"/>
      <c r="D68" s="28"/>
      <c r="E68" s="29"/>
      <c r="F68" s="28"/>
      <c r="G68" s="29"/>
      <c r="H68" s="29"/>
    </row>
    <row r="69" customFormat="false" ht="15" hidden="false" customHeight="false" outlineLevel="0" collapsed="false">
      <c r="A69" s="27"/>
      <c r="B69" s="27"/>
      <c r="C69" s="27"/>
      <c r="D69" s="28"/>
      <c r="E69" s="29"/>
      <c r="F69" s="28"/>
      <c r="G69" s="29"/>
      <c r="H69" s="29"/>
    </row>
    <row r="70" customFormat="false" ht="15" hidden="false" customHeight="false" outlineLevel="0" collapsed="false">
      <c r="A70" s="27"/>
      <c r="B70" s="27"/>
      <c r="C70" s="27"/>
      <c r="D70" s="28"/>
      <c r="E70" s="29"/>
      <c r="F70" s="28"/>
      <c r="G70" s="29"/>
      <c r="H70" s="29"/>
    </row>
    <row r="71" customFormat="false" ht="15" hidden="false" customHeight="false" outlineLevel="0" collapsed="false">
      <c r="A71" s="27"/>
      <c r="B71" s="27"/>
      <c r="C71" s="27"/>
      <c r="D71" s="28"/>
      <c r="E71" s="29"/>
      <c r="F71" s="28"/>
      <c r="G71" s="29"/>
      <c r="H71" s="29"/>
    </row>
    <row r="72" customFormat="false" ht="15" hidden="false" customHeight="false" outlineLevel="0" collapsed="false">
      <c r="A72" s="27"/>
      <c r="B72" s="27"/>
      <c r="C72" s="27"/>
      <c r="D72" s="28"/>
      <c r="E72" s="29"/>
      <c r="F72" s="28"/>
      <c r="G72" s="29"/>
      <c r="H72" s="29"/>
    </row>
    <row r="73" customFormat="false" ht="15" hidden="false" customHeight="false" outlineLevel="0" collapsed="false">
      <c r="A73" s="27"/>
      <c r="B73" s="27"/>
      <c r="C73" s="27"/>
      <c r="D73" s="28"/>
      <c r="E73" s="29"/>
      <c r="F73" s="28"/>
      <c r="G73" s="29"/>
      <c r="H73" s="29"/>
    </row>
    <row r="74" customFormat="false" ht="15" hidden="false" customHeight="false" outlineLevel="0" collapsed="false">
      <c r="A74" s="27"/>
      <c r="B74" s="27"/>
      <c r="C74" s="27"/>
      <c r="D74" s="28"/>
      <c r="E74" s="29"/>
      <c r="F74" s="28"/>
      <c r="G74" s="29"/>
      <c r="H74" s="29"/>
    </row>
    <row r="75" customFormat="false" ht="15" hidden="false" customHeight="false" outlineLevel="0" collapsed="false">
      <c r="A75" s="27"/>
      <c r="B75" s="27"/>
      <c r="C75" s="27"/>
      <c r="D75" s="28"/>
      <c r="E75" s="29"/>
      <c r="F75" s="28"/>
      <c r="G75" s="29"/>
      <c r="H75" s="29"/>
    </row>
    <row r="76" customFormat="false" ht="15" hidden="false" customHeight="false" outlineLevel="0" collapsed="false">
      <c r="A76" s="27"/>
      <c r="B76" s="27"/>
      <c r="C76" s="27"/>
      <c r="D76" s="28"/>
      <c r="E76" s="29"/>
      <c r="F76" s="28"/>
      <c r="G76" s="29"/>
      <c r="H76" s="29"/>
    </row>
    <row r="77" customFormat="false" ht="15" hidden="false" customHeight="false" outlineLevel="0" collapsed="false">
      <c r="A77" s="27"/>
      <c r="B77" s="27"/>
      <c r="C77" s="27"/>
      <c r="D77" s="28"/>
      <c r="E77" s="29"/>
      <c r="F77" s="28"/>
      <c r="G77" s="29"/>
      <c r="H77" s="29"/>
    </row>
    <row r="78" customFormat="false" ht="15" hidden="false" customHeight="false" outlineLevel="0" collapsed="false">
      <c r="A78" s="27"/>
      <c r="B78" s="27"/>
      <c r="C78" s="27"/>
      <c r="D78" s="28"/>
      <c r="E78" s="29"/>
      <c r="F78" s="28"/>
      <c r="G78" s="29"/>
      <c r="H78" s="29"/>
    </row>
    <row r="79" customFormat="false" ht="15" hidden="false" customHeight="false" outlineLevel="0" collapsed="false">
      <c r="A79" s="27"/>
      <c r="B79" s="27"/>
      <c r="C79" s="27"/>
      <c r="D79" s="28"/>
      <c r="E79" s="29"/>
      <c r="F79" s="28"/>
      <c r="G79" s="29"/>
      <c r="H79" s="29"/>
    </row>
    <row r="80" customFormat="false" ht="15" hidden="false" customHeight="false" outlineLevel="0" collapsed="false">
      <c r="A80" s="27"/>
      <c r="B80" s="27"/>
      <c r="C80" s="27"/>
      <c r="D80" s="28"/>
      <c r="E80" s="29"/>
      <c r="F80" s="28"/>
      <c r="G80" s="29"/>
      <c r="H80" s="29"/>
    </row>
    <row r="81" customFormat="false" ht="15" hidden="false" customHeight="false" outlineLevel="0" collapsed="false">
      <c r="A81" s="27"/>
      <c r="B81" s="27"/>
      <c r="C81" s="27"/>
      <c r="D81" s="28"/>
      <c r="E81" s="29"/>
      <c r="F81" s="28"/>
      <c r="G81" s="29"/>
      <c r="H81" s="29"/>
    </row>
    <row r="82" customFormat="false" ht="15" hidden="false" customHeight="false" outlineLevel="0" collapsed="false">
      <c r="A82" s="27"/>
      <c r="B82" s="27"/>
      <c r="C82" s="27"/>
      <c r="D82" s="28"/>
      <c r="E82" s="29"/>
      <c r="F82" s="28"/>
      <c r="G82" s="29"/>
      <c r="H82" s="29"/>
    </row>
    <row r="83" customFormat="false" ht="15" hidden="false" customHeight="false" outlineLevel="0" collapsed="false">
      <c r="A83" s="27"/>
      <c r="B83" s="27"/>
      <c r="C83" s="27"/>
      <c r="D83" s="28"/>
      <c r="E83" s="29"/>
      <c r="F83" s="28"/>
      <c r="G83" s="29"/>
      <c r="H83" s="29"/>
    </row>
    <row r="84" customFormat="false" ht="15" hidden="false" customHeight="false" outlineLevel="0" collapsed="false">
      <c r="A84" s="27"/>
      <c r="B84" s="27"/>
      <c r="C84" s="27"/>
      <c r="D84" s="28"/>
      <c r="E84" s="29"/>
      <c r="F84" s="28"/>
      <c r="G84" s="29"/>
      <c r="H84" s="29"/>
    </row>
    <row r="85" customFormat="false" ht="15" hidden="false" customHeight="false" outlineLevel="0" collapsed="false">
      <c r="A85" s="27"/>
      <c r="B85" s="27"/>
      <c r="C85" s="27"/>
      <c r="D85" s="28"/>
      <c r="E85" s="29"/>
      <c r="F85" s="28"/>
      <c r="G85" s="29"/>
      <c r="H85" s="29"/>
    </row>
    <row r="86" customFormat="false" ht="15" hidden="false" customHeight="false" outlineLevel="0" collapsed="false">
      <c r="A86" s="27"/>
      <c r="B86" s="27"/>
      <c r="C86" s="27"/>
      <c r="D86" s="28"/>
      <c r="E86" s="29"/>
      <c r="F86" s="28"/>
      <c r="G86" s="29"/>
      <c r="H86" s="29"/>
    </row>
    <row r="87" customFormat="false" ht="15" hidden="false" customHeight="false" outlineLevel="0" collapsed="false">
      <c r="A87" s="27"/>
      <c r="B87" s="27"/>
      <c r="C87" s="27"/>
      <c r="D87" s="28"/>
      <c r="E87" s="29"/>
      <c r="F87" s="28"/>
      <c r="G87" s="29"/>
      <c r="H87" s="29"/>
    </row>
    <row r="88" customFormat="false" ht="15" hidden="false" customHeight="false" outlineLevel="0" collapsed="false">
      <c r="A88" s="27"/>
      <c r="B88" s="27"/>
      <c r="C88" s="27"/>
      <c r="D88" s="28"/>
      <c r="E88" s="29"/>
      <c r="F88" s="28"/>
      <c r="G88" s="29"/>
      <c r="H88" s="29"/>
    </row>
    <row r="89" customFormat="false" ht="15" hidden="false" customHeight="false" outlineLevel="0" collapsed="false">
      <c r="A89" s="27"/>
      <c r="B89" s="27"/>
      <c r="C89" s="27"/>
      <c r="D89" s="28"/>
      <c r="E89" s="29"/>
      <c r="F89" s="28"/>
      <c r="G89" s="29"/>
      <c r="H89" s="29"/>
    </row>
    <row r="90" customFormat="false" ht="15" hidden="false" customHeight="false" outlineLevel="0" collapsed="false">
      <c r="A90" s="27"/>
      <c r="B90" s="27"/>
      <c r="C90" s="27"/>
      <c r="D90" s="28"/>
      <c r="E90" s="29"/>
      <c r="F90" s="28"/>
      <c r="G90" s="29"/>
      <c r="H90" s="29"/>
    </row>
    <row r="91" customFormat="false" ht="15" hidden="false" customHeight="false" outlineLevel="0" collapsed="false">
      <c r="A91" s="27"/>
      <c r="B91" s="27"/>
      <c r="C91" s="27"/>
      <c r="D91" s="28"/>
      <c r="E91" s="29"/>
      <c r="F91" s="28"/>
      <c r="G91" s="29"/>
      <c r="H91" s="29"/>
    </row>
    <row r="92" customFormat="false" ht="15" hidden="false" customHeight="false" outlineLevel="0" collapsed="false">
      <c r="A92" s="27"/>
      <c r="B92" s="27"/>
      <c r="C92" s="27"/>
      <c r="D92" s="28"/>
      <c r="E92" s="29"/>
      <c r="F92" s="28"/>
      <c r="G92" s="29"/>
      <c r="H92" s="29"/>
    </row>
    <row r="93" customFormat="false" ht="15" hidden="false" customHeight="false" outlineLevel="0" collapsed="false">
      <c r="A93" s="27"/>
      <c r="B93" s="27"/>
      <c r="C93" s="27"/>
      <c r="D93" s="28"/>
      <c r="E93" s="29"/>
      <c r="F93" s="28"/>
      <c r="G93" s="29"/>
      <c r="H93" s="29"/>
    </row>
    <row r="94" customFormat="false" ht="15" hidden="false" customHeight="false" outlineLevel="0" collapsed="false">
      <c r="A94" s="27"/>
      <c r="B94" s="27"/>
      <c r="C94" s="27"/>
      <c r="D94" s="28"/>
      <c r="E94" s="29"/>
      <c r="F94" s="28"/>
      <c r="G94" s="29"/>
      <c r="H94" s="29"/>
    </row>
    <row r="95" customFormat="false" ht="15" hidden="false" customHeight="false" outlineLevel="0" collapsed="false">
      <c r="A95" s="27"/>
      <c r="B95" s="27"/>
      <c r="C95" s="27"/>
      <c r="D95" s="28"/>
      <c r="E95" s="29"/>
      <c r="F95" s="28"/>
      <c r="G95" s="29"/>
      <c r="H95" s="29"/>
    </row>
    <row r="96" customFormat="false" ht="15" hidden="false" customHeight="false" outlineLevel="0" collapsed="false">
      <c r="A96" s="27"/>
      <c r="B96" s="27"/>
      <c r="C96" s="27"/>
      <c r="D96" s="28"/>
      <c r="E96" s="29"/>
      <c r="F96" s="28"/>
      <c r="G96" s="29"/>
      <c r="H96" s="29"/>
    </row>
    <row r="97" customFormat="false" ht="15" hidden="false" customHeight="false" outlineLevel="0" collapsed="false">
      <c r="A97" s="27"/>
      <c r="B97" s="27"/>
      <c r="C97" s="27"/>
      <c r="D97" s="28"/>
      <c r="E97" s="29"/>
      <c r="F97" s="28"/>
      <c r="G97" s="29"/>
      <c r="H97" s="29"/>
    </row>
    <row r="98" customFormat="false" ht="15" hidden="false" customHeight="false" outlineLevel="0" collapsed="false">
      <c r="A98" s="27"/>
      <c r="B98" s="27"/>
      <c r="C98" s="27"/>
      <c r="D98" s="28"/>
      <c r="E98" s="29"/>
      <c r="F98" s="28"/>
      <c r="G98" s="29"/>
      <c r="H98" s="29"/>
    </row>
    <row r="99" customFormat="false" ht="15" hidden="false" customHeight="false" outlineLevel="0" collapsed="false">
      <c r="A99" s="27"/>
      <c r="B99" s="27"/>
      <c r="C99" s="27"/>
      <c r="D99" s="28"/>
      <c r="E99" s="29"/>
      <c r="F99" s="28"/>
      <c r="G99" s="29"/>
      <c r="H99" s="29"/>
    </row>
    <row r="100" customFormat="false" ht="15" hidden="false" customHeight="false" outlineLevel="0" collapsed="false">
      <c r="A100" s="27"/>
      <c r="B100" s="27"/>
      <c r="C100" s="27"/>
      <c r="D100" s="28"/>
      <c r="E100" s="29"/>
      <c r="F100" s="28"/>
      <c r="G100" s="29"/>
      <c r="H100" s="29"/>
    </row>
    <row r="101" customFormat="false" ht="15" hidden="false" customHeight="false" outlineLevel="0" collapsed="false">
      <c r="A101" s="27"/>
      <c r="B101" s="27"/>
      <c r="C101" s="27"/>
      <c r="D101" s="28"/>
      <c r="E101" s="29"/>
      <c r="F101" s="28"/>
      <c r="G101" s="29"/>
      <c r="H101" s="29"/>
    </row>
    <row r="102" customFormat="false" ht="15" hidden="false" customHeight="false" outlineLevel="0" collapsed="false">
      <c r="A102" s="27"/>
      <c r="B102" s="27"/>
      <c r="C102" s="27"/>
      <c r="D102" s="28"/>
      <c r="E102" s="29"/>
      <c r="F102" s="28"/>
      <c r="G102" s="29"/>
      <c r="H102" s="29"/>
    </row>
    <row r="103" customFormat="false" ht="15" hidden="false" customHeight="false" outlineLevel="0" collapsed="false">
      <c r="A103" s="27"/>
      <c r="B103" s="27"/>
      <c r="C103" s="27"/>
      <c r="D103" s="28"/>
      <c r="E103" s="29"/>
      <c r="F103" s="28"/>
      <c r="G103" s="29"/>
      <c r="H103" s="29"/>
    </row>
    <row r="104" customFormat="false" ht="15" hidden="false" customHeight="false" outlineLevel="0" collapsed="false">
      <c r="A104" s="27"/>
      <c r="B104" s="27"/>
      <c r="C104" s="27"/>
      <c r="D104" s="28"/>
      <c r="E104" s="29"/>
      <c r="F104" s="28"/>
      <c r="G104" s="29"/>
      <c r="H104" s="29"/>
    </row>
    <row r="105" customFormat="false" ht="15" hidden="false" customHeight="false" outlineLevel="0" collapsed="false">
      <c r="A105" s="27"/>
      <c r="B105" s="27"/>
      <c r="C105" s="27"/>
      <c r="D105" s="28"/>
      <c r="E105" s="29"/>
      <c r="F105" s="28"/>
      <c r="G105" s="29"/>
      <c r="H105" s="29"/>
    </row>
    <row r="106" customFormat="false" ht="15" hidden="false" customHeight="false" outlineLevel="0" collapsed="false">
      <c r="A106" s="27"/>
      <c r="B106" s="27"/>
      <c r="C106" s="27"/>
      <c r="D106" s="28"/>
      <c r="E106" s="29"/>
      <c r="F106" s="28"/>
      <c r="G106" s="29"/>
      <c r="H106" s="29"/>
    </row>
    <row r="107" customFormat="false" ht="15" hidden="false" customHeight="false" outlineLevel="0" collapsed="false">
      <c r="A107" s="27"/>
      <c r="B107" s="27"/>
      <c r="C107" s="27"/>
      <c r="D107" s="28"/>
      <c r="E107" s="29"/>
      <c r="F107" s="28"/>
      <c r="G107" s="29"/>
      <c r="H107" s="29"/>
    </row>
    <row r="108" customFormat="false" ht="15" hidden="false" customHeight="false" outlineLevel="0" collapsed="false">
      <c r="A108" s="27"/>
      <c r="B108" s="27"/>
      <c r="C108" s="27"/>
      <c r="D108" s="28"/>
      <c r="E108" s="29"/>
      <c r="F108" s="28"/>
      <c r="G108" s="29"/>
      <c r="H108" s="29"/>
    </row>
    <row r="109" customFormat="false" ht="15" hidden="false" customHeight="false" outlineLevel="0" collapsed="false">
      <c r="A109" s="27"/>
      <c r="B109" s="27"/>
      <c r="C109" s="27"/>
      <c r="D109" s="28"/>
      <c r="E109" s="29"/>
      <c r="F109" s="28"/>
      <c r="G109" s="29"/>
      <c r="H109" s="29"/>
    </row>
    <row r="110" customFormat="false" ht="15" hidden="false" customHeight="false" outlineLevel="0" collapsed="false">
      <c r="A110" s="27"/>
      <c r="B110" s="27"/>
      <c r="C110" s="27"/>
      <c r="D110" s="28"/>
      <c r="E110" s="29"/>
      <c r="F110" s="28"/>
      <c r="G110" s="29"/>
      <c r="H110" s="29"/>
    </row>
    <row r="111" customFormat="false" ht="15" hidden="false" customHeight="false" outlineLevel="0" collapsed="false">
      <c r="A111" s="27"/>
      <c r="B111" s="27"/>
      <c r="C111" s="27"/>
      <c r="D111" s="28"/>
      <c r="E111" s="29"/>
      <c r="F111" s="28"/>
      <c r="G111" s="29"/>
      <c r="H111" s="29"/>
    </row>
    <row r="112" customFormat="false" ht="15" hidden="false" customHeight="false" outlineLevel="0" collapsed="false">
      <c r="A112" s="27"/>
      <c r="B112" s="27"/>
      <c r="C112" s="27"/>
      <c r="D112" s="28"/>
      <c r="E112" s="29"/>
      <c r="F112" s="28"/>
      <c r="G112" s="29"/>
      <c r="H112" s="29"/>
    </row>
    <row r="113" customFormat="false" ht="15" hidden="false" customHeight="false" outlineLevel="0" collapsed="false">
      <c r="A113" s="27"/>
      <c r="B113" s="27"/>
      <c r="C113" s="27"/>
      <c r="D113" s="28"/>
      <c r="E113" s="29"/>
      <c r="F113" s="28"/>
      <c r="G113" s="29"/>
      <c r="H113" s="29"/>
    </row>
    <row r="114" customFormat="false" ht="15" hidden="false" customHeight="false" outlineLevel="0" collapsed="false">
      <c r="A114" s="27"/>
      <c r="B114" s="27"/>
      <c r="C114" s="27"/>
      <c r="D114" s="28"/>
      <c r="E114" s="29"/>
      <c r="F114" s="28"/>
      <c r="G114" s="29"/>
      <c r="H114" s="29"/>
    </row>
    <row r="115" customFormat="false" ht="15" hidden="false" customHeight="false" outlineLevel="0" collapsed="false">
      <c r="A115" s="27"/>
      <c r="B115" s="27"/>
      <c r="C115" s="27"/>
      <c r="D115" s="28"/>
      <c r="E115" s="29"/>
      <c r="F115" s="28"/>
      <c r="G115" s="29"/>
      <c r="H115" s="29"/>
    </row>
    <row r="116" customFormat="false" ht="15" hidden="false" customHeight="false" outlineLevel="0" collapsed="false">
      <c r="A116" s="27"/>
      <c r="B116" s="27"/>
      <c r="C116" s="27"/>
      <c r="D116" s="28"/>
      <c r="E116" s="29"/>
      <c r="F116" s="28"/>
      <c r="G116" s="29"/>
      <c r="H116" s="29"/>
    </row>
    <row r="117" customFormat="false" ht="15" hidden="false" customHeight="false" outlineLevel="0" collapsed="false">
      <c r="A117" s="27"/>
      <c r="B117" s="27"/>
      <c r="C117" s="27"/>
      <c r="D117" s="28"/>
      <c r="E117" s="29"/>
      <c r="F117" s="28"/>
      <c r="G117" s="29"/>
      <c r="H117" s="29"/>
    </row>
    <row r="118" customFormat="false" ht="15" hidden="false" customHeight="false" outlineLevel="0" collapsed="false">
      <c r="A118" s="27"/>
      <c r="B118" s="27"/>
      <c r="C118" s="27"/>
      <c r="D118" s="28"/>
      <c r="E118" s="29"/>
      <c r="F118" s="28"/>
      <c r="G118" s="29"/>
      <c r="H118" s="29"/>
    </row>
    <row r="119" customFormat="false" ht="15" hidden="false" customHeight="false" outlineLevel="0" collapsed="false">
      <c r="A119" s="27"/>
      <c r="B119" s="27"/>
      <c r="C119" s="27"/>
      <c r="D119" s="28"/>
      <c r="E119" s="29"/>
      <c r="F119" s="28"/>
      <c r="G119" s="29"/>
      <c r="H119" s="29"/>
    </row>
    <row r="120" customFormat="false" ht="15" hidden="false" customHeight="false" outlineLevel="0" collapsed="false">
      <c r="A120" s="27"/>
      <c r="B120" s="27"/>
      <c r="C120" s="27"/>
      <c r="D120" s="28"/>
      <c r="E120" s="29"/>
      <c r="F120" s="28"/>
      <c r="G120" s="29"/>
      <c r="H120" s="29"/>
    </row>
    <row r="121" customFormat="false" ht="15" hidden="false" customHeight="false" outlineLevel="0" collapsed="false">
      <c r="A121" s="27"/>
      <c r="B121" s="27"/>
      <c r="C121" s="27"/>
      <c r="D121" s="28"/>
      <c r="E121" s="29"/>
      <c r="F121" s="28"/>
      <c r="G121" s="29"/>
      <c r="H121" s="29"/>
    </row>
    <row r="122" customFormat="false" ht="15" hidden="false" customHeight="false" outlineLevel="0" collapsed="false">
      <c r="A122" s="27"/>
      <c r="B122" s="27"/>
      <c r="C122" s="27"/>
      <c r="D122" s="28"/>
      <c r="E122" s="29"/>
      <c r="F122" s="28"/>
      <c r="G122" s="29"/>
      <c r="H122" s="29"/>
    </row>
    <row r="123" customFormat="false" ht="15" hidden="false" customHeight="false" outlineLevel="0" collapsed="false">
      <c r="A123" s="27"/>
      <c r="B123" s="27"/>
      <c r="C123" s="27"/>
      <c r="D123" s="28"/>
      <c r="E123" s="29"/>
      <c r="F123" s="28"/>
      <c r="G123" s="29"/>
      <c r="H123" s="29"/>
    </row>
    <row r="124" customFormat="false" ht="15" hidden="false" customHeight="false" outlineLevel="0" collapsed="false">
      <c r="A124" s="27"/>
      <c r="B124" s="27"/>
      <c r="C124" s="27"/>
      <c r="D124" s="28"/>
      <c r="E124" s="29"/>
      <c r="F124" s="28"/>
      <c r="G124" s="29"/>
      <c r="H124" s="29"/>
    </row>
    <row r="125" customFormat="false" ht="15" hidden="false" customHeight="false" outlineLevel="0" collapsed="false">
      <c r="A125" s="27"/>
      <c r="B125" s="27"/>
      <c r="C125" s="27"/>
      <c r="D125" s="28"/>
      <c r="E125" s="29"/>
      <c r="F125" s="28"/>
      <c r="G125" s="29"/>
      <c r="H125" s="29"/>
    </row>
    <row r="126" customFormat="false" ht="15" hidden="false" customHeight="false" outlineLevel="0" collapsed="false">
      <c r="A126" s="27"/>
      <c r="B126" s="27"/>
      <c r="C126" s="27"/>
      <c r="D126" s="28"/>
      <c r="E126" s="29"/>
      <c r="F126" s="28"/>
      <c r="G126" s="29"/>
      <c r="H126" s="29"/>
    </row>
    <row r="127" customFormat="false" ht="15" hidden="false" customHeight="false" outlineLevel="0" collapsed="false">
      <c r="A127" s="27"/>
      <c r="B127" s="27"/>
      <c r="C127" s="27"/>
      <c r="D127" s="28"/>
      <c r="E127" s="29"/>
      <c r="F127" s="28"/>
      <c r="G127" s="29"/>
      <c r="H127" s="29"/>
    </row>
    <row r="128" customFormat="false" ht="15" hidden="false" customHeight="false" outlineLevel="0" collapsed="false">
      <c r="A128" s="27"/>
      <c r="B128" s="27"/>
      <c r="C128" s="27"/>
      <c r="D128" s="28"/>
      <c r="E128" s="29"/>
      <c r="F128" s="28"/>
      <c r="G128" s="29"/>
      <c r="H128" s="29"/>
    </row>
    <row r="129" customFormat="false" ht="15" hidden="false" customHeight="false" outlineLevel="0" collapsed="false">
      <c r="A129" s="27"/>
      <c r="B129" s="27"/>
      <c r="C129" s="27"/>
      <c r="D129" s="28"/>
      <c r="E129" s="29"/>
      <c r="F129" s="28"/>
      <c r="G129" s="29"/>
      <c r="H129" s="29"/>
    </row>
    <row r="130" customFormat="false" ht="15" hidden="false" customHeight="false" outlineLevel="0" collapsed="false">
      <c r="A130" s="27"/>
      <c r="B130" s="27"/>
      <c r="C130" s="27"/>
      <c r="D130" s="28"/>
      <c r="E130" s="29"/>
      <c r="F130" s="28"/>
      <c r="G130" s="29"/>
      <c r="H130" s="29"/>
    </row>
    <row r="131" customFormat="false" ht="15" hidden="false" customHeight="false" outlineLevel="0" collapsed="false">
      <c r="A131" s="27"/>
      <c r="B131" s="27"/>
      <c r="C131" s="27"/>
      <c r="D131" s="28"/>
      <c r="E131" s="29"/>
      <c r="F131" s="28"/>
      <c r="G131" s="29"/>
      <c r="H131" s="29"/>
    </row>
    <row r="132" customFormat="false" ht="15" hidden="false" customHeight="false" outlineLevel="0" collapsed="false">
      <c r="A132" s="27"/>
      <c r="B132" s="27"/>
      <c r="C132" s="27"/>
      <c r="D132" s="28"/>
      <c r="E132" s="29"/>
      <c r="F132" s="28"/>
      <c r="G132" s="29"/>
      <c r="H132" s="29"/>
    </row>
    <row r="133" customFormat="false" ht="15" hidden="false" customHeight="false" outlineLevel="0" collapsed="false">
      <c r="A133" s="27"/>
      <c r="B133" s="27"/>
      <c r="C133" s="27"/>
      <c r="D133" s="28"/>
      <c r="E133" s="29"/>
      <c r="F133" s="28"/>
      <c r="G133" s="29"/>
      <c r="H133" s="29"/>
    </row>
    <row r="134" customFormat="false" ht="15" hidden="false" customHeight="false" outlineLevel="0" collapsed="false">
      <c r="A134" s="27"/>
      <c r="B134" s="27"/>
      <c r="C134" s="27"/>
      <c r="D134" s="28"/>
      <c r="E134" s="29"/>
      <c r="F134" s="28"/>
      <c r="G134" s="29"/>
      <c r="H134" s="29"/>
    </row>
    <row r="135" customFormat="false" ht="15" hidden="false" customHeight="false" outlineLevel="0" collapsed="false">
      <c r="A135" s="27"/>
      <c r="B135" s="27"/>
      <c r="C135" s="27"/>
      <c r="D135" s="28"/>
      <c r="E135" s="29"/>
      <c r="F135" s="28"/>
      <c r="G135" s="29"/>
      <c r="H135" s="29"/>
    </row>
    <row r="136" customFormat="false" ht="15" hidden="false" customHeight="false" outlineLevel="0" collapsed="false">
      <c r="A136" s="27"/>
      <c r="B136" s="27"/>
      <c r="C136" s="27"/>
      <c r="D136" s="28"/>
      <c r="E136" s="29"/>
      <c r="F136" s="28"/>
      <c r="G136" s="29"/>
      <c r="H136" s="29"/>
    </row>
    <row r="137" customFormat="false" ht="15" hidden="false" customHeight="false" outlineLevel="0" collapsed="false">
      <c r="A137" s="27"/>
      <c r="B137" s="27"/>
      <c r="C137" s="27"/>
      <c r="D137" s="28"/>
      <c r="E137" s="29"/>
      <c r="F137" s="28"/>
      <c r="G137" s="29"/>
      <c r="H137" s="29"/>
    </row>
    <row r="138" customFormat="false" ht="15" hidden="false" customHeight="false" outlineLevel="0" collapsed="false">
      <c r="A138" s="27"/>
      <c r="B138" s="27"/>
      <c r="C138" s="27"/>
      <c r="D138" s="28"/>
      <c r="E138" s="29"/>
      <c r="F138" s="28"/>
      <c r="G138" s="29"/>
      <c r="H138" s="29"/>
    </row>
    <row r="139" customFormat="false" ht="15" hidden="false" customHeight="false" outlineLevel="0" collapsed="false">
      <c r="A139" s="27"/>
      <c r="B139" s="27"/>
      <c r="C139" s="27"/>
      <c r="D139" s="28"/>
      <c r="E139" s="29"/>
      <c r="F139" s="28"/>
      <c r="G139" s="29"/>
      <c r="H139" s="29"/>
    </row>
    <row r="140" customFormat="false" ht="15" hidden="false" customHeight="false" outlineLevel="0" collapsed="false">
      <c r="A140" s="27"/>
      <c r="B140" s="27"/>
      <c r="C140" s="27"/>
      <c r="D140" s="28"/>
      <c r="E140" s="29"/>
      <c r="F140" s="28"/>
      <c r="G140" s="29"/>
      <c r="H140" s="29"/>
    </row>
    <row r="141" customFormat="false" ht="15" hidden="false" customHeight="false" outlineLevel="0" collapsed="false">
      <c r="A141" s="27"/>
      <c r="B141" s="27"/>
      <c r="C141" s="27"/>
      <c r="D141" s="28"/>
      <c r="E141" s="29"/>
      <c r="F141" s="28"/>
      <c r="G141" s="29"/>
      <c r="H141" s="29"/>
    </row>
    <row r="142" customFormat="false" ht="15" hidden="false" customHeight="false" outlineLevel="0" collapsed="false">
      <c r="A142" s="27"/>
      <c r="B142" s="27"/>
      <c r="C142" s="27"/>
      <c r="D142" s="28"/>
      <c r="E142" s="29"/>
      <c r="F142" s="28"/>
      <c r="G142" s="29"/>
      <c r="H142" s="29"/>
    </row>
    <row r="143" customFormat="false" ht="15" hidden="false" customHeight="false" outlineLevel="0" collapsed="false">
      <c r="A143" s="27"/>
      <c r="B143" s="27"/>
      <c r="C143" s="27"/>
      <c r="D143" s="28"/>
      <c r="E143" s="29"/>
      <c r="F143" s="28"/>
      <c r="G143" s="29"/>
      <c r="H143" s="29"/>
    </row>
    <row r="144" customFormat="false" ht="15" hidden="false" customHeight="false" outlineLevel="0" collapsed="false">
      <c r="A144" s="27"/>
      <c r="B144" s="27"/>
      <c r="C144" s="27"/>
      <c r="D144" s="28"/>
      <c r="E144" s="29"/>
      <c r="F144" s="28"/>
      <c r="G144" s="29"/>
      <c r="H144" s="29"/>
    </row>
    <row r="145" customFormat="false" ht="15" hidden="false" customHeight="false" outlineLevel="0" collapsed="false">
      <c r="A145" s="27"/>
      <c r="B145" s="27"/>
      <c r="C145" s="27"/>
      <c r="D145" s="28"/>
      <c r="E145" s="29"/>
      <c r="F145" s="28"/>
      <c r="G145" s="29"/>
      <c r="H145" s="29"/>
    </row>
    <row r="146" customFormat="false" ht="15" hidden="false" customHeight="false" outlineLevel="0" collapsed="false">
      <c r="A146" s="27"/>
      <c r="B146" s="27"/>
      <c r="C146" s="27"/>
      <c r="D146" s="28"/>
      <c r="E146" s="29"/>
      <c r="F146" s="28"/>
      <c r="G146" s="29"/>
      <c r="H146" s="29"/>
    </row>
    <row r="147" customFormat="false" ht="15" hidden="false" customHeight="false" outlineLevel="0" collapsed="false">
      <c r="A147" s="27"/>
      <c r="B147" s="27"/>
      <c r="C147" s="27"/>
      <c r="D147" s="28"/>
      <c r="E147" s="29"/>
      <c r="F147" s="28"/>
      <c r="G147" s="29"/>
      <c r="H147" s="29"/>
    </row>
    <row r="148" customFormat="false" ht="15" hidden="false" customHeight="false" outlineLevel="0" collapsed="false">
      <c r="A148" s="27"/>
      <c r="B148" s="27"/>
      <c r="C148" s="27"/>
      <c r="D148" s="28"/>
      <c r="E148" s="29"/>
      <c r="F148" s="28"/>
      <c r="G148" s="29"/>
      <c r="H148" s="29"/>
    </row>
    <row r="149" customFormat="false" ht="15" hidden="false" customHeight="false" outlineLevel="0" collapsed="false">
      <c r="A149" s="27"/>
      <c r="B149" s="27"/>
      <c r="C149" s="27"/>
      <c r="D149" s="28"/>
      <c r="E149" s="29"/>
      <c r="F149" s="28"/>
      <c r="G149" s="29"/>
      <c r="H149" s="29"/>
    </row>
    <row r="150" customFormat="false" ht="15" hidden="false" customHeight="false" outlineLevel="0" collapsed="false">
      <c r="A150" s="27"/>
      <c r="B150" s="27"/>
      <c r="C150" s="27"/>
      <c r="D150" s="28"/>
      <c r="E150" s="29"/>
      <c r="F150" s="28"/>
      <c r="G150" s="29"/>
      <c r="H150" s="29"/>
    </row>
    <row r="151" customFormat="false" ht="15" hidden="false" customHeight="false" outlineLevel="0" collapsed="false">
      <c r="A151" s="27"/>
      <c r="B151" s="27"/>
      <c r="C151" s="27"/>
      <c r="D151" s="28"/>
      <c r="E151" s="29"/>
      <c r="F151" s="28"/>
      <c r="G151" s="29"/>
      <c r="H151" s="29"/>
    </row>
    <row r="152" customFormat="false" ht="15" hidden="false" customHeight="false" outlineLevel="0" collapsed="false">
      <c r="A152" s="27"/>
      <c r="B152" s="27"/>
      <c r="C152" s="27"/>
      <c r="D152" s="28"/>
      <c r="E152" s="29"/>
      <c r="F152" s="28"/>
      <c r="G152" s="29"/>
      <c r="H152" s="29"/>
    </row>
    <row r="153" customFormat="false" ht="15" hidden="false" customHeight="false" outlineLevel="0" collapsed="false">
      <c r="A153" s="27"/>
      <c r="B153" s="27"/>
      <c r="C153" s="27"/>
      <c r="D153" s="28"/>
      <c r="E153" s="29"/>
      <c r="F153" s="28"/>
      <c r="G153" s="29"/>
      <c r="H153" s="29"/>
    </row>
    <row r="154" customFormat="false" ht="15" hidden="false" customHeight="false" outlineLevel="0" collapsed="false">
      <c r="A154" s="27"/>
      <c r="B154" s="27"/>
      <c r="C154" s="27"/>
      <c r="D154" s="28"/>
      <c r="E154" s="29"/>
      <c r="F154" s="28"/>
      <c r="G154" s="29"/>
      <c r="H154" s="29"/>
    </row>
    <row r="155" customFormat="false" ht="15" hidden="false" customHeight="false" outlineLevel="0" collapsed="false">
      <c r="A155" s="27"/>
      <c r="B155" s="27"/>
      <c r="C155" s="27"/>
      <c r="D155" s="28"/>
      <c r="E155" s="29"/>
      <c r="F155" s="28"/>
      <c r="G155" s="29"/>
      <c r="H155" s="29"/>
    </row>
    <row r="156" customFormat="false" ht="15" hidden="false" customHeight="false" outlineLevel="0" collapsed="false">
      <c r="A156" s="27"/>
      <c r="B156" s="27"/>
      <c r="C156" s="27"/>
      <c r="D156" s="28"/>
      <c r="E156" s="29"/>
      <c r="F156" s="28"/>
      <c r="G156" s="29"/>
      <c r="H156" s="29"/>
    </row>
    <row r="157" customFormat="false" ht="15" hidden="false" customHeight="false" outlineLevel="0" collapsed="false">
      <c r="A157" s="27"/>
      <c r="B157" s="27"/>
      <c r="C157" s="27"/>
      <c r="D157" s="28"/>
      <c r="E157" s="29"/>
      <c r="F157" s="28"/>
      <c r="G157" s="29"/>
      <c r="H157" s="29"/>
    </row>
    <row r="158" customFormat="false" ht="15" hidden="false" customHeight="false" outlineLevel="0" collapsed="false">
      <c r="A158" s="27"/>
      <c r="B158" s="27"/>
      <c r="C158" s="27"/>
      <c r="D158" s="28"/>
      <c r="E158" s="29"/>
      <c r="F158" s="28"/>
      <c r="G158" s="29"/>
      <c r="H158" s="29"/>
    </row>
    <row r="159" customFormat="false" ht="15" hidden="false" customHeight="false" outlineLevel="0" collapsed="false">
      <c r="A159" s="27"/>
      <c r="B159" s="27"/>
      <c r="C159" s="27"/>
      <c r="D159" s="28"/>
      <c r="E159" s="29"/>
      <c r="F159" s="28"/>
      <c r="G159" s="29"/>
      <c r="H159" s="29"/>
    </row>
    <row r="160" customFormat="false" ht="15" hidden="false" customHeight="false" outlineLevel="0" collapsed="false">
      <c r="A160" s="27"/>
      <c r="B160" s="27"/>
      <c r="C160" s="27"/>
      <c r="D160" s="28"/>
      <c r="E160" s="29"/>
      <c r="F160" s="28"/>
      <c r="G160" s="29"/>
      <c r="H160" s="29"/>
    </row>
    <row r="161" customFormat="false" ht="15" hidden="false" customHeight="false" outlineLevel="0" collapsed="false">
      <c r="A161" s="27"/>
      <c r="B161" s="27"/>
      <c r="C161" s="27"/>
      <c r="D161" s="28"/>
      <c r="E161" s="29"/>
      <c r="F161" s="28"/>
      <c r="G161" s="29"/>
      <c r="H161" s="29"/>
    </row>
    <row r="162" customFormat="false" ht="15" hidden="false" customHeight="false" outlineLevel="0" collapsed="false">
      <c r="A162" s="27"/>
      <c r="B162" s="27"/>
      <c r="C162" s="27"/>
      <c r="D162" s="28"/>
      <c r="E162" s="29"/>
      <c r="F162" s="28"/>
      <c r="G162" s="29"/>
      <c r="H162" s="29"/>
    </row>
    <row r="163" customFormat="false" ht="15" hidden="false" customHeight="false" outlineLevel="0" collapsed="false">
      <c r="A163" s="27"/>
      <c r="B163" s="27"/>
      <c r="C163" s="27"/>
      <c r="D163" s="28"/>
      <c r="E163" s="29"/>
      <c r="F163" s="28"/>
      <c r="G163" s="29"/>
      <c r="H163" s="29"/>
    </row>
    <row r="164" customFormat="false" ht="15" hidden="false" customHeight="false" outlineLevel="0" collapsed="false">
      <c r="A164" s="27"/>
      <c r="B164" s="27"/>
      <c r="C164" s="27"/>
      <c r="D164" s="28"/>
      <c r="E164" s="29"/>
      <c r="F164" s="28"/>
      <c r="G164" s="29"/>
      <c r="H164" s="29"/>
    </row>
    <row r="165" customFormat="false" ht="15" hidden="false" customHeight="false" outlineLevel="0" collapsed="false">
      <c r="A165" s="27"/>
      <c r="B165" s="27"/>
      <c r="C165" s="27"/>
      <c r="D165" s="28"/>
      <c r="E165" s="29"/>
      <c r="F165" s="28"/>
      <c r="G165" s="29"/>
      <c r="H165" s="29"/>
    </row>
    <row r="166" customFormat="false" ht="15" hidden="false" customHeight="false" outlineLevel="0" collapsed="false">
      <c r="A166" s="27"/>
      <c r="B166" s="27"/>
      <c r="C166" s="27"/>
      <c r="D166" s="28"/>
      <c r="E166" s="29"/>
      <c r="F166" s="28"/>
      <c r="G166" s="29"/>
      <c r="H166" s="29"/>
    </row>
    <row r="167" customFormat="false" ht="15" hidden="false" customHeight="false" outlineLevel="0" collapsed="false">
      <c r="A167" s="27"/>
      <c r="B167" s="27"/>
      <c r="C167" s="27"/>
      <c r="D167" s="28"/>
      <c r="E167" s="29"/>
      <c r="F167" s="28"/>
      <c r="G167" s="29"/>
      <c r="H167" s="29"/>
    </row>
    <row r="168" customFormat="false" ht="15" hidden="false" customHeight="false" outlineLevel="0" collapsed="false">
      <c r="A168" s="27"/>
      <c r="B168" s="27"/>
      <c r="C168" s="27"/>
      <c r="D168" s="28"/>
      <c r="E168" s="29"/>
      <c r="F168" s="28"/>
      <c r="G168" s="29"/>
      <c r="H168" s="29"/>
    </row>
    <row r="169" customFormat="false" ht="15" hidden="false" customHeight="false" outlineLevel="0" collapsed="false">
      <c r="A169" s="27"/>
      <c r="B169" s="27"/>
      <c r="C169" s="27"/>
      <c r="D169" s="28"/>
      <c r="E169" s="29"/>
      <c r="F169" s="28"/>
      <c r="G169" s="29"/>
      <c r="H169" s="29"/>
    </row>
    <row r="170" customFormat="false" ht="15" hidden="false" customHeight="false" outlineLevel="0" collapsed="false">
      <c r="A170" s="27"/>
      <c r="B170" s="27"/>
      <c r="C170" s="27"/>
      <c r="D170" s="28"/>
      <c r="E170" s="29"/>
      <c r="F170" s="28"/>
      <c r="G170" s="29"/>
      <c r="H170" s="29"/>
    </row>
    <row r="171" customFormat="false" ht="15" hidden="false" customHeight="false" outlineLevel="0" collapsed="false">
      <c r="A171" s="27"/>
      <c r="B171" s="27"/>
      <c r="C171" s="27"/>
      <c r="D171" s="28"/>
      <c r="E171" s="29"/>
      <c r="F171" s="28"/>
      <c r="G171" s="29"/>
      <c r="H171" s="29"/>
    </row>
    <row r="172" customFormat="false" ht="15" hidden="false" customHeight="false" outlineLevel="0" collapsed="false">
      <c r="A172" s="27"/>
      <c r="B172" s="27"/>
      <c r="C172" s="27"/>
      <c r="D172" s="28"/>
      <c r="E172" s="29"/>
      <c r="F172" s="28"/>
      <c r="G172" s="29"/>
      <c r="H172" s="29"/>
    </row>
    <row r="173" customFormat="false" ht="15" hidden="false" customHeight="false" outlineLevel="0" collapsed="false">
      <c r="A173" s="27"/>
      <c r="B173" s="27"/>
      <c r="C173" s="27"/>
      <c r="D173" s="28"/>
      <c r="E173" s="29"/>
      <c r="F173" s="28"/>
      <c r="G173" s="29"/>
      <c r="H173" s="29"/>
    </row>
    <row r="174" customFormat="false" ht="15" hidden="false" customHeight="false" outlineLevel="0" collapsed="false">
      <c r="A174" s="27"/>
      <c r="B174" s="27"/>
      <c r="C174" s="27"/>
      <c r="D174" s="28"/>
      <c r="E174" s="29"/>
      <c r="F174" s="28"/>
      <c r="G174" s="29"/>
      <c r="H174" s="29"/>
    </row>
    <row r="175" customFormat="false" ht="15" hidden="false" customHeight="false" outlineLevel="0" collapsed="false">
      <c r="A175" s="27"/>
      <c r="B175" s="27"/>
      <c r="C175" s="27"/>
      <c r="D175" s="28"/>
      <c r="E175" s="29"/>
      <c r="F175" s="28"/>
      <c r="G175" s="29"/>
      <c r="H175" s="29"/>
    </row>
    <row r="176" customFormat="false" ht="15" hidden="false" customHeight="false" outlineLevel="0" collapsed="false">
      <c r="A176" s="27"/>
      <c r="B176" s="27"/>
      <c r="C176" s="27"/>
      <c r="D176" s="28"/>
      <c r="E176" s="29"/>
      <c r="F176" s="28"/>
      <c r="G176" s="29"/>
      <c r="H176" s="29"/>
    </row>
    <row r="177" customFormat="false" ht="15" hidden="false" customHeight="false" outlineLevel="0" collapsed="false">
      <c r="A177" s="27"/>
      <c r="B177" s="27"/>
      <c r="C177" s="27"/>
      <c r="D177" s="28"/>
      <c r="E177" s="29"/>
      <c r="F177" s="28"/>
      <c r="G177" s="29"/>
      <c r="H177" s="29"/>
    </row>
    <row r="178" customFormat="false" ht="15" hidden="false" customHeight="false" outlineLevel="0" collapsed="false">
      <c r="A178" s="27"/>
      <c r="B178" s="27"/>
      <c r="C178" s="27"/>
      <c r="D178" s="28"/>
      <c r="E178" s="29"/>
      <c r="F178" s="28"/>
      <c r="G178" s="29"/>
      <c r="H178" s="29"/>
    </row>
    <row r="179" customFormat="false" ht="15" hidden="false" customHeight="false" outlineLevel="0" collapsed="false">
      <c r="A179" s="27"/>
      <c r="B179" s="27"/>
      <c r="C179" s="27"/>
      <c r="D179" s="28"/>
      <c r="E179" s="29"/>
      <c r="F179" s="28"/>
      <c r="G179" s="29"/>
      <c r="H179" s="29"/>
    </row>
    <row r="180" customFormat="false" ht="15" hidden="false" customHeight="false" outlineLevel="0" collapsed="false">
      <c r="A180" s="27"/>
      <c r="B180" s="27"/>
      <c r="C180" s="27"/>
      <c r="D180" s="28"/>
      <c r="E180" s="29"/>
      <c r="F180" s="28"/>
      <c r="G180" s="29"/>
      <c r="H180" s="29"/>
    </row>
    <row r="181" customFormat="false" ht="15" hidden="false" customHeight="false" outlineLevel="0" collapsed="false">
      <c r="A181" s="27"/>
      <c r="B181" s="27"/>
      <c r="C181" s="27"/>
      <c r="D181" s="28"/>
      <c r="E181" s="29"/>
      <c r="F181" s="28"/>
      <c r="G181" s="29"/>
      <c r="H181" s="29"/>
    </row>
    <row r="182" customFormat="false" ht="15" hidden="false" customHeight="false" outlineLevel="0" collapsed="false">
      <c r="A182" s="27"/>
      <c r="B182" s="27"/>
      <c r="C182" s="27"/>
      <c r="D182" s="28"/>
      <c r="E182" s="29"/>
      <c r="F182" s="28"/>
      <c r="G182" s="29"/>
      <c r="H182" s="29"/>
    </row>
    <row r="183" customFormat="false" ht="15" hidden="false" customHeight="false" outlineLevel="0" collapsed="false">
      <c r="A183" s="27"/>
      <c r="B183" s="27"/>
      <c r="C183" s="27"/>
      <c r="D183" s="28"/>
      <c r="E183" s="29"/>
      <c r="F183" s="28"/>
      <c r="G183" s="29"/>
      <c r="H183" s="29"/>
    </row>
    <row r="184" customFormat="false" ht="15" hidden="false" customHeight="false" outlineLevel="0" collapsed="false">
      <c r="A184" s="27"/>
      <c r="B184" s="27"/>
      <c r="C184" s="27"/>
      <c r="D184" s="28"/>
      <c r="E184" s="29"/>
      <c r="F184" s="28"/>
      <c r="G184" s="29"/>
      <c r="H184" s="29"/>
    </row>
    <row r="185" customFormat="false" ht="15" hidden="false" customHeight="false" outlineLevel="0" collapsed="false">
      <c r="A185" s="27"/>
      <c r="B185" s="27"/>
      <c r="C185" s="27"/>
      <c r="D185" s="28"/>
      <c r="E185" s="29"/>
      <c r="F185" s="28"/>
      <c r="G185" s="29"/>
      <c r="H185" s="29"/>
    </row>
    <row r="186" customFormat="false" ht="15" hidden="false" customHeight="false" outlineLevel="0" collapsed="false">
      <c r="A186" s="27"/>
      <c r="B186" s="27"/>
      <c r="C186" s="27"/>
      <c r="D186" s="28"/>
      <c r="E186" s="29"/>
      <c r="F186" s="28"/>
      <c r="G186" s="29"/>
      <c r="H186" s="29"/>
    </row>
    <row r="187" customFormat="false" ht="15" hidden="false" customHeight="false" outlineLevel="0" collapsed="false">
      <c r="A187" s="27"/>
      <c r="B187" s="27"/>
      <c r="C187" s="27"/>
      <c r="D187" s="28"/>
      <c r="E187" s="29"/>
      <c r="F187" s="28"/>
      <c r="G187" s="29"/>
      <c r="H187" s="29"/>
    </row>
    <row r="188" customFormat="false" ht="15" hidden="false" customHeight="false" outlineLevel="0" collapsed="false">
      <c r="A188" s="27"/>
      <c r="B188" s="27"/>
      <c r="C188" s="27"/>
      <c r="D188" s="28"/>
      <c r="E188" s="29"/>
      <c r="F188" s="28"/>
      <c r="G188" s="29"/>
      <c r="H188" s="29"/>
    </row>
    <row r="189" customFormat="false" ht="15" hidden="false" customHeight="false" outlineLevel="0" collapsed="false">
      <c r="A189" s="27"/>
      <c r="B189" s="27"/>
      <c r="C189" s="27"/>
      <c r="D189" s="28"/>
      <c r="E189" s="29"/>
      <c r="F189" s="28"/>
      <c r="G189" s="29"/>
      <c r="H189" s="29"/>
    </row>
    <row r="190" customFormat="false" ht="15" hidden="false" customHeight="false" outlineLevel="0" collapsed="false">
      <c r="A190" s="27"/>
      <c r="B190" s="27"/>
      <c r="C190" s="27"/>
      <c r="D190" s="28"/>
      <c r="E190" s="29"/>
      <c r="F190" s="28"/>
      <c r="G190" s="29"/>
      <c r="H190" s="29"/>
    </row>
    <row r="191" customFormat="false" ht="15" hidden="false" customHeight="false" outlineLevel="0" collapsed="false">
      <c r="A191" s="27"/>
      <c r="B191" s="27"/>
      <c r="C191" s="27"/>
      <c r="D191" s="28"/>
      <c r="E191" s="29"/>
      <c r="F191" s="28"/>
      <c r="G191" s="29"/>
      <c r="H191" s="29"/>
    </row>
    <row r="192" customFormat="false" ht="15" hidden="false" customHeight="false" outlineLevel="0" collapsed="false">
      <c r="A192" s="27"/>
      <c r="B192" s="27"/>
      <c r="C192" s="27"/>
      <c r="D192" s="28"/>
      <c r="E192" s="29"/>
      <c r="F192" s="28"/>
      <c r="G192" s="29"/>
      <c r="H192" s="29"/>
    </row>
    <row r="193" customFormat="false" ht="15" hidden="false" customHeight="false" outlineLevel="0" collapsed="false">
      <c r="A193" s="27"/>
      <c r="B193" s="27"/>
      <c r="C193" s="27"/>
      <c r="D193" s="28"/>
      <c r="E193" s="29"/>
      <c r="F193" s="28"/>
      <c r="G193" s="29"/>
      <c r="H193" s="29"/>
    </row>
    <row r="194" customFormat="false" ht="15" hidden="false" customHeight="false" outlineLevel="0" collapsed="false">
      <c r="A194" s="27"/>
      <c r="B194" s="27"/>
      <c r="C194" s="27"/>
      <c r="D194" s="28"/>
      <c r="E194" s="29"/>
      <c r="F194" s="28"/>
      <c r="G194" s="29"/>
      <c r="H194" s="29"/>
    </row>
    <row r="195" customFormat="false" ht="15" hidden="false" customHeight="false" outlineLevel="0" collapsed="false">
      <c r="A195" s="27"/>
      <c r="B195" s="27"/>
      <c r="C195" s="27"/>
      <c r="D195" s="28"/>
      <c r="E195" s="29"/>
      <c r="F195" s="28"/>
      <c r="G195" s="29"/>
      <c r="H195" s="29"/>
    </row>
    <row r="196" customFormat="false" ht="15" hidden="false" customHeight="false" outlineLevel="0" collapsed="false">
      <c r="A196" s="27"/>
      <c r="B196" s="27"/>
      <c r="C196" s="27"/>
      <c r="D196" s="28"/>
      <c r="E196" s="29"/>
      <c r="F196" s="28"/>
      <c r="G196" s="29"/>
      <c r="H196" s="29"/>
    </row>
    <row r="197" customFormat="false" ht="15" hidden="false" customHeight="false" outlineLevel="0" collapsed="false">
      <c r="A197" s="27"/>
      <c r="B197" s="27"/>
      <c r="C197" s="27"/>
      <c r="D197" s="28"/>
      <c r="E197" s="29"/>
      <c r="F197" s="28"/>
      <c r="G197" s="29"/>
      <c r="H197" s="29"/>
    </row>
    <row r="198" customFormat="false" ht="15" hidden="false" customHeight="false" outlineLevel="0" collapsed="false">
      <c r="A198" s="27"/>
      <c r="B198" s="27"/>
      <c r="C198" s="27"/>
      <c r="D198" s="28"/>
      <c r="E198" s="29"/>
      <c r="F198" s="28"/>
      <c r="G198" s="29"/>
      <c r="H198" s="29"/>
    </row>
    <row r="199" customFormat="false" ht="15" hidden="false" customHeight="false" outlineLevel="0" collapsed="false">
      <c r="A199" s="27"/>
      <c r="B199" s="27"/>
      <c r="C199" s="27"/>
      <c r="D199" s="28"/>
      <c r="E199" s="29"/>
      <c r="F199" s="28"/>
      <c r="G199" s="29"/>
      <c r="H199" s="29"/>
    </row>
    <row r="200" customFormat="false" ht="15" hidden="false" customHeight="false" outlineLevel="0" collapsed="false">
      <c r="A200" s="27"/>
      <c r="B200" s="27"/>
      <c r="C200" s="27"/>
      <c r="D200" s="28"/>
      <c r="E200" s="29"/>
      <c r="F200" s="28"/>
      <c r="G200" s="29"/>
      <c r="H200" s="29"/>
    </row>
    <row r="201" customFormat="false" ht="15" hidden="false" customHeight="false" outlineLevel="0" collapsed="false">
      <c r="A201" s="27"/>
      <c r="B201" s="27"/>
      <c r="C201" s="27"/>
      <c r="D201" s="28"/>
      <c r="E201" s="29"/>
      <c r="F201" s="28"/>
      <c r="G201" s="29"/>
      <c r="H201" s="29"/>
    </row>
    <row r="202" customFormat="false" ht="15" hidden="false" customHeight="false" outlineLevel="0" collapsed="false">
      <c r="A202" s="27"/>
      <c r="B202" s="27"/>
      <c r="C202" s="27"/>
      <c r="D202" s="28"/>
      <c r="E202" s="29"/>
      <c r="F202" s="28"/>
      <c r="G202" s="29"/>
      <c r="H202" s="29"/>
    </row>
    <row r="203" customFormat="false" ht="15" hidden="false" customHeight="false" outlineLevel="0" collapsed="false">
      <c r="A203" s="27"/>
      <c r="B203" s="27"/>
      <c r="C203" s="27"/>
      <c r="D203" s="28"/>
      <c r="E203" s="29"/>
      <c r="F203" s="28"/>
      <c r="G203" s="29"/>
      <c r="H203" s="29"/>
    </row>
    <row r="204" customFormat="false" ht="15" hidden="false" customHeight="false" outlineLevel="0" collapsed="false">
      <c r="A204" s="27"/>
      <c r="B204" s="27"/>
      <c r="C204" s="27"/>
      <c r="D204" s="28"/>
      <c r="E204" s="29"/>
      <c r="F204" s="28"/>
      <c r="G204" s="29"/>
      <c r="H204" s="29"/>
    </row>
    <row r="205" customFormat="false" ht="15" hidden="false" customHeight="false" outlineLevel="0" collapsed="false">
      <c r="A205" s="27"/>
      <c r="B205" s="27"/>
      <c r="C205" s="27"/>
      <c r="D205" s="28"/>
      <c r="E205" s="29"/>
      <c r="F205" s="28"/>
      <c r="G205" s="29"/>
      <c r="H205" s="29"/>
    </row>
    <row r="206" customFormat="false" ht="15" hidden="false" customHeight="false" outlineLevel="0" collapsed="false">
      <c r="A206" s="27"/>
      <c r="B206" s="27"/>
      <c r="C206" s="27"/>
      <c r="D206" s="28"/>
      <c r="E206" s="29"/>
      <c r="F206" s="28"/>
      <c r="G206" s="29"/>
      <c r="H206" s="29"/>
    </row>
    <row r="207" customFormat="false" ht="15" hidden="false" customHeight="false" outlineLevel="0" collapsed="false">
      <c r="A207" s="27"/>
      <c r="B207" s="27"/>
      <c r="C207" s="27"/>
      <c r="D207" s="28"/>
      <c r="E207" s="29"/>
      <c r="F207" s="28"/>
      <c r="G207" s="29"/>
      <c r="H207" s="29"/>
    </row>
    <row r="208" customFormat="false" ht="15" hidden="false" customHeight="false" outlineLevel="0" collapsed="false">
      <c r="A208" s="27"/>
      <c r="B208" s="27"/>
      <c r="C208" s="27"/>
      <c r="D208" s="28"/>
      <c r="E208" s="29"/>
      <c r="F208" s="28"/>
      <c r="G208" s="29"/>
      <c r="H208" s="29"/>
    </row>
    <row r="209" customFormat="false" ht="15" hidden="false" customHeight="false" outlineLevel="0" collapsed="false">
      <c r="A209" s="27"/>
      <c r="B209" s="27"/>
      <c r="C209" s="27"/>
      <c r="D209" s="28"/>
      <c r="E209" s="29"/>
      <c r="F209" s="28"/>
      <c r="G209" s="29"/>
      <c r="H209" s="29"/>
    </row>
    <row r="210" customFormat="false" ht="15" hidden="false" customHeight="false" outlineLevel="0" collapsed="false">
      <c r="A210" s="27"/>
      <c r="B210" s="27"/>
      <c r="C210" s="27"/>
      <c r="D210" s="28"/>
      <c r="E210" s="29"/>
      <c r="F210" s="28"/>
      <c r="G210" s="29"/>
      <c r="H210" s="29"/>
    </row>
    <row r="211" customFormat="false" ht="15" hidden="false" customHeight="false" outlineLevel="0" collapsed="false">
      <c r="A211" s="27"/>
      <c r="B211" s="27"/>
      <c r="C211" s="27"/>
      <c r="D211" s="28"/>
      <c r="E211" s="29"/>
      <c r="F211" s="28"/>
      <c r="G211" s="29"/>
      <c r="H211" s="29"/>
    </row>
    <row r="212" customFormat="false" ht="15" hidden="false" customHeight="false" outlineLevel="0" collapsed="false">
      <c r="A212" s="27"/>
      <c r="B212" s="27"/>
      <c r="C212" s="27"/>
      <c r="D212" s="28"/>
      <c r="E212" s="29"/>
      <c r="F212" s="28"/>
      <c r="G212" s="29"/>
      <c r="H212" s="29"/>
    </row>
    <row r="213" customFormat="false" ht="15" hidden="false" customHeight="false" outlineLevel="0" collapsed="false">
      <c r="A213" s="27"/>
      <c r="B213" s="27"/>
      <c r="C213" s="27"/>
      <c r="D213" s="28"/>
      <c r="E213" s="29"/>
      <c r="F213" s="28"/>
      <c r="G213" s="29"/>
      <c r="H213" s="29"/>
    </row>
    <row r="214" customFormat="false" ht="15" hidden="false" customHeight="false" outlineLevel="0" collapsed="false">
      <c r="A214" s="27"/>
      <c r="B214" s="27"/>
      <c r="C214" s="27"/>
      <c r="D214" s="28"/>
      <c r="E214" s="29"/>
      <c r="F214" s="28"/>
      <c r="G214" s="29"/>
      <c r="H214" s="29"/>
    </row>
    <row r="215" customFormat="false" ht="15" hidden="false" customHeight="false" outlineLevel="0" collapsed="false">
      <c r="A215" s="27"/>
      <c r="B215" s="27"/>
      <c r="C215" s="27"/>
      <c r="D215" s="28"/>
      <c r="E215" s="29"/>
      <c r="F215" s="28"/>
      <c r="G215" s="29"/>
      <c r="H215" s="29"/>
    </row>
    <row r="216" customFormat="false" ht="15" hidden="false" customHeight="false" outlineLevel="0" collapsed="false">
      <c r="A216" s="27"/>
      <c r="B216" s="27"/>
      <c r="C216" s="27"/>
      <c r="D216" s="28"/>
      <c r="E216" s="29"/>
      <c r="F216" s="28"/>
      <c r="G216" s="29"/>
      <c r="H216" s="29"/>
    </row>
    <row r="217" customFormat="false" ht="15" hidden="false" customHeight="false" outlineLevel="0" collapsed="false">
      <c r="A217" s="27"/>
      <c r="B217" s="27"/>
      <c r="C217" s="27"/>
      <c r="D217" s="28"/>
      <c r="E217" s="29"/>
      <c r="F217" s="28"/>
      <c r="G217" s="29"/>
      <c r="H217" s="29"/>
    </row>
    <row r="218" customFormat="false" ht="15" hidden="false" customHeight="false" outlineLevel="0" collapsed="false">
      <c r="A218" s="27"/>
      <c r="B218" s="27"/>
      <c r="C218" s="27"/>
      <c r="D218" s="28"/>
      <c r="E218" s="29"/>
      <c r="F218" s="28"/>
      <c r="G218" s="29"/>
      <c r="H218" s="29"/>
    </row>
    <row r="219" customFormat="false" ht="15" hidden="false" customHeight="false" outlineLevel="0" collapsed="false">
      <c r="A219" s="27"/>
      <c r="B219" s="27"/>
      <c r="C219" s="27"/>
      <c r="D219" s="28"/>
      <c r="E219" s="29"/>
      <c r="F219" s="28"/>
      <c r="G219" s="29"/>
      <c r="H219" s="29"/>
    </row>
    <row r="220" customFormat="false" ht="15" hidden="false" customHeight="false" outlineLevel="0" collapsed="false">
      <c r="A220" s="27"/>
      <c r="B220" s="27"/>
      <c r="C220" s="27"/>
      <c r="D220" s="28"/>
      <c r="E220" s="29"/>
      <c r="F220" s="28"/>
      <c r="G220" s="29"/>
      <c r="H220" s="29"/>
    </row>
    <row r="221" customFormat="false" ht="15" hidden="false" customHeight="false" outlineLevel="0" collapsed="false">
      <c r="A221" s="27"/>
      <c r="B221" s="27"/>
      <c r="C221" s="27"/>
      <c r="D221" s="28"/>
      <c r="E221" s="29"/>
      <c r="F221" s="28"/>
      <c r="G221" s="29"/>
      <c r="H221" s="29"/>
    </row>
    <row r="222" customFormat="false" ht="15" hidden="false" customHeight="false" outlineLevel="0" collapsed="false">
      <c r="A222" s="27"/>
      <c r="B222" s="27"/>
      <c r="C222" s="27"/>
      <c r="D222" s="28"/>
      <c r="E222" s="29"/>
      <c r="F222" s="28"/>
      <c r="G222" s="29"/>
      <c r="H222" s="29"/>
    </row>
    <row r="223" customFormat="false" ht="15" hidden="false" customHeight="false" outlineLevel="0" collapsed="false">
      <c r="A223" s="27"/>
      <c r="B223" s="27"/>
      <c r="C223" s="27"/>
      <c r="D223" s="28"/>
      <c r="E223" s="29"/>
      <c r="F223" s="28"/>
      <c r="G223" s="29"/>
      <c r="H223" s="29"/>
    </row>
    <row r="224" customFormat="false" ht="15" hidden="false" customHeight="false" outlineLevel="0" collapsed="false">
      <c r="A224" s="27"/>
      <c r="B224" s="27"/>
      <c r="C224" s="27"/>
      <c r="D224" s="28"/>
      <c r="E224" s="29"/>
      <c r="F224" s="28"/>
      <c r="G224" s="29"/>
      <c r="H224" s="29"/>
    </row>
    <row r="225" customFormat="false" ht="15" hidden="false" customHeight="false" outlineLevel="0" collapsed="false">
      <c r="A225" s="27"/>
      <c r="B225" s="27"/>
      <c r="C225" s="27"/>
      <c r="D225" s="28"/>
      <c r="E225" s="29"/>
      <c r="F225" s="28"/>
      <c r="G225" s="29"/>
      <c r="H225" s="29"/>
    </row>
    <row r="226" customFormat="false" ht="15" hidden="false" customHeight="false" outlineLevel="0" collapsed="false">
      <c r="A226" s="27"/>
      <c r="B226" s="27"/>
      <c r="C226" s="27"/>
      <c r="D226" s="28"/>
      <c r="E226" s="29"/>
      <c r="F226" s="28"/>
      <c r="G226" s="29"/>
      <c r="H226" s="29"/>
    </row>
    <row r="227" customFormat="false" ht="15" hidden="false" customHeight="false" outlineLevel="0" collapsed="false">
      <c r="A227" s="27"/>
      <c r="B227" s="27"/>
      <c r="C227" s="27"/>
      <c r="D227" s="28"/>
      <c r="E227" s="29"/>
      <c r="F227" s="28"/>
      <c r="G227" s="29"/>
      <c r="H227" s="29"/>
    </row>
    <row r="228" customFormat="false" ht="15" hidden="false" customHeight="false" outlineLevel="0" collapsed="false">
      <c r="A228" s="27"/>
      <c r="B228" s="27"/>
      <c r="C228" s="27"/>
      <c r="D228" s="28"/>
      <c r="E228" s="29"/>
      <c r="F228" s="28"/>
      <c r="G228" s="29"/>
      <c r="H228" s="29"/>
    </row>
    <row r="229" customFormat="false" ht="15" hidden="false" customHeight="false" outlineLevel="0" collapsed="false">
      <c r="A229" s="27"/>
      <c r="B229" s="27"/>
      <c r="C229" s="27"/>
      <c r="D229" s="28"/>
      <c r="E229" s="29"/>
      <c r="F229" s="28"/>
      <c r="G229" s="29"/>
      <c r="H229" s="29"/>
    </row>
    <row r="230" customFormat="false" ht="15" hidden="false" customHeight="false" outlineLevel="0" collapsed="false">
      <c r="A230" s="27"/>
      <c r="B230" s="27"/>
      <c r="C230" s="27"/>
      <c r="D230" s="28"/>
      <c r="E230" s="29"/>
      <c r="F230" s="28"/>
      <c r="G230" s="29"/>
      <c r="H230" s="29"/>
    </row>
    <row r="231" customFormat="false" ht="15" hidden="false" customHeight="false" outlineLevel="0" collapsed="false">
      <c r="A231" s="27"/>
      <c r="B231" s="27"/>
      <c r="C231" s="27"/>
      <c r="D231" s="28"/>
      <c r="E231" s="29"/>
      <c r="F231" s="28"/>
      <c r="G231" s="29"/>
      <c r="H231" s="29"/>
    </row>
    <row r="232" customFormat="false" ht="15" hidden="false" customHeight="false" outlineLevel="0" collapsed="false">
      <c r="A232" s="27"/>
      <c r="B232" s="27"/>
      <c r="C232" s="27"/>
      <c r="D232" s="28"/>
      <c r="E232" s="29"/>
      <c r="F232" s="28"/>
      <c r="G232" s="29"/>
      <c r="H232" s="29"/>
    </row>
    <row r="233" customFormat="false" ht="15" hidden="false" customHeight="false" outlineLevel="0" collapsed="false">
      <c r="A233" s="27"/>
      <c r="B233" s="27"/>
      <c r="C233" s="27"/>
      <c r="D233" s="28"/>
      <c r="E233" s="29"/>
      <c r="F233" s="28"/>
      <c r="G233" s="29"/>
      <c r="H233" s="29"/>
    </row>
    <row r="234" customFormat="false" ht="15" hidden="false" customHeight="false" outlineLevel="0" collapsed="false">
      <c r="A234" s="27"/>
      <c r="B234" s="27"/>
      <c r="C234" s="27"/>
      <c r="D234" s="28"/>
      <c r="E234" s="29"/>
      <c r="F234" s="28"/>
      <c r="G234" s="29"/>
      <c r="H234" s="29"/>
    </row>
    <row r="235" customFormat="false" ht="15" hidden="false" customHeight="false" outlineLevel="0" collapsed="false">
      <c r="A235" s="27"/>
      <c r="B235" s="27"/>
      <c r="C235" s="27"/>
      <c r="D235" s="28"/>
      <c r="E235" s="29"/>
      <c r="F235" s="28"/>
      <c r="G235" s="29"/>
      <c r="H235" s="29"/>
    </row>
    <row r="236" customFormat="false" ht="15" hidden="false" customHeight="false" outlineLevel="0" collapsed="false">
      <c r="A236" s="27"/>
      <c r="B236" s="27"/>
      <c r="C236" s="27"/>
      <c r="D236" s="28"/>
      <c r="E236" s="29"/>
      <c r="F236" s="28"/>
      <c r="G236" s="29"/>
      <c r="H236" s="29"/>
    </row>
    <row r="237" customFormat="false" ht="15" hidden="false" customHeight="false" outlineLevel="0" collapsed="false">
      <c r="A237" s="27"/>
      <c r="B237" s="27"/>
      <c r="C237" s="27"/>
      <c r="D237" s="28"/>
      <c r="E237" s="29"/>
      <c r="F237" s="28"/>
      <c r="G237" s="29"/>
      <c r="H237" s="29"/>
    </row>
    <row r="238" customFormat="false" ht="15" hidden="false" customHeight="false" outlineLevel="0" collapsed="false">
      <c r="A238" s="27"/>
      <c r="B238" s="27"/>
      <c r="C238" s="27"/>
      <c r="D238" s="28"/>
      <c r="E238" s="29"/>
      <c r="F238" s="28"/>
      <c r="G238" s="29"/>
      <c r="H238" s="29"/>
    </row>
    <row r="239" customFormat="false" ht="15" hidden="false" customHeight="false" outlineLevel="0" collapsed="false">
      <c r="A239" s="27"/>
      <c r="B239" s="27"/>
      <c r="C239" s="27"/>
      <c r="D239" s="28"/>
      <c r="E239" s="29"/>
      <c r="F239" s="28"/>
      <c r="G239" s="29"/>
      <c r="H239" s="29"/>
    </row>
    <row r="240" customFormat="false" ht="15" hidden="false" customHeight="false" outlineLevel="0" collapsed="false">
      <c r="A240" s="27"/>
      <c r="B240" s="27"/>
      <c r="C240" s="27"/>
      <c r="D240" s="28"/>
      <c r="E240" s="29"/>
      <c r="F240" s="28"/>
      <c r="G240" s="29"/>
      <c r="H240" s="29"/>
    </row>
    <row r="241" customFormat="false" ht="15" hidden="false" customHeight="false" outlineLevel="0" collapsed="false">
      <c r="A241" s="27"/>
      <c r="B241" s="27"/>
      <c r="C241" s="27"/>
      <c r="D241" s="28"/>
      <c r="E241" s="29"/>
      <c r="F241" s="28"/>
      <c r="G241" s="29"/>
      <c r="H241" s="29"/>
    </row>
    <row r="242" customFormat="false" ht="15" hidden="false" customHeight="false" outlineLevel="0" collapsed="false">
      <c r="A242" s="27"/>
      <c r="B242" s="27"/>
      <c r="C242" s="27"/>
      <c r="D242" s="28"/>
      <c r="E242" s="29"/>
      <c r="F242" s="28"/>
      <c r="G242" s="29"/>
      <c r="H242" s="29"/>
    </row>
    <row r="243" customFormat="false" ht="15" hidden="false" customHeight="false" outlineLevel="0" collapsed="false">
      <c r="A243" s="27"/>
      <c r="B243" s="27"/>
      <c r="C243" s="27"/>
      <c r="D243" s="28"/>
      <c r="E243" s="29"/>
      <c r="F243" s="28"/>
      <c r="G243" s="29"/>
      <c r="H243" s="29"/>
    </row>
    <row r="244" customFormat="false" ht="15" hidden="false" customHeight="false" outlineLevel="0" collapsed="false">
      <c r="A244" s="27"/>
      <c r="B244" s="27"/>
      <c r="C244" s="27"/>
      <c r="D244" s="28"/>
      <c r="E244" s="29"/>
      <c r="F244" s="28"/>
      <c r="G244" s="29"/>
      <c r="H244" s="29"/>
    </row>
    <row r="245" customFormat="false" ht="15" hidden="false" customHeight="false" outlineLevel="0" collapsed="false">
      <c r="A245" s="27"/>
      <c r="B245" s="27"/>
      <c r="C245" s="27"/>
      <c r="D245" s="28"/>
      <c r="E245" s="29"/>
      <c r="F245" s="28"/>
      <c r="G245" s="29"/>
      <c r="H245" s="29"/>
    </row>
    <row r="246" customFormat="false" ht="15" hidden="false" customHeight="false" outlineLevel="0" collapsed="false">
      <c r="A246" s="27"/>
      <c r="B246" s="27"/>
      <c r="C246" s="27"/>
      <c r="D246" s="28"/>
      <c r="E246" s="29"/>
      <c r="F246" s="28"/>
      <c r="G246" s="29"/>
      <c r="H246" s="29"/>
    </row>
    <row r="247" customFormat="false" ht="15" hidden="false" customHeight="false" outlineLevel="0" collapsed="false">
      <c r="A247" s="27"/>
      <c r="B247" s="27"/>
      <c r="C247" s="27"/>
      <c r="D247" s="28"/>
      <c r="E247" s="29"/>
      <c r="F247" s="28"/>
      <c r="G247" s="29"/>
      <c r="H247" s="29"/>
    </row>
    <row r="248" customFormat="false" ht="15" hidden="false" customHeight="false" outlineLevel="0" collapsed="false">
      <c r="A248" s="27"/>
      <c r="B248" s="27"/>
      <c r="C248" s="27"/>
      <c r="D248" s="28"/>
      <c r="E248" s="29"/>
      <c r="F248" s="28"/>
      <c r="G248" s="29"/>
      <c r="H248" s="29"/>
    </row>
    <row r="249" customFormat="false" ht="15" hidden="false" customHeight="false" outlineLevel="0" collapsed="false">
      <c r="A249" s="27"/>
      <c r="B249" s="27"/>
      <c r="C249" s="27"/>
      <c r="D249" s="28"/>
      <c r="E249" s="29"/>
      <c r="F249" s="28"/>
      <c r="G249" s="29"/>
      <c r="H249" s="29"/>
    </row>
    <row r="250" customFormat="false" ht="15" hidden="false" customHeight="false" outlineLevel="0" collapsed="false">
      <c r="A250" s="27"/>
      <c r="B250" s="27"/>
      <c r="C250" s="27"/>
      <c r="D250" s="28"/>
      <c r="E250" s="29"/>
      <c r="F250" s="28"/>
      <c r="G250" s="29"/>
      <c r="H250" s="29"/>
    </row>
    <row r="251" customFormat="false" ht="15" hidden="false" customHeight="false" outlineLevel="0" collapsed="false">
      <c r="A251" s="27"/>
      <c r="B251" s="27"/>
      <c r="C251" s="27"/>
      <c r="D251" s="28"/>
      <c r="E251" s="29"/>
      <c r="F251" s="28"/>
      <c r="G251" s="29"/>
      <c r="H251" s="29"/>
    </row>
    <row r="252" customFormat="false" ht="15" hidden="false" customHeight="false" outlineLevel="0" collapsed="false">
      <c r="A252" s="27"/>
      <c r="B252" s="27"/>
      <c r="C252" s="27"/>
      <c r="D252" s="28"/>
      <c r="E252" s="29"/>
      <c r="F252" s="28"/>
      <c r="G252" s="29"/>
      <c r="H252" s="29"/>
    </row>
    <row r="253" customFormat="false" ht="15" hidden="false" customHeight="false" outlineLevel="0" collapsed="false">
      <c r="A253" s="27"/>
      <c r="B253" s="27"/>
      <c r="C253" s="27"/>
      <c r="D253" s="28"/>
      <c r="E253" s="29"/>
      <c r="F253" s="28"/>
      <c r="G253" s="29"/>
      <c r="H253" s="29"/>
    </row>
    <row r="254" customFormat="false" ht="15" hidden="false" customHeight="false" outlineLevel="0" collapsed="false">
      <c r="A254" s="27"/>
      <c r="B254" s="27"/>
      <c r="C254" s="27"/>
      <c r="D254" s="28"/>
      <c r="E254" s="29"/>
      <c r="F254" s="28"/>
      <c r="G254" s="29"/>
      <c r="H254" s="29"/>
    </row>
    <row r="255" customFormat="false" ht="15" hidden="false" customHeight="false" outlineLevel="0" collapsed="false">
      <c r="A255" s="27"/>
      <c r="B255" s="27"/>
      <c r="C255" s="27"/>
      <c r="D255" s="28"/>
      <c r="E255" s="29"/>
      <c r="F255" s="28"/>
      <c r="G255" s="29"/>
      <c r="H255" s="29"/>
    </row>
    <row r="256" customFormat="false" ht="15" hidden="false" customHeight="false" outlineLevel="0" collapsed="false">
      <c r="A256" s="27"/>
      <c r="B256" s="27"/>
      <c r="C256" s="27"/>
      <c r="D256" s="28"/>
      <c r="E256" s="29"/>
      <c r="F256" s="28"/>
      <c r="G256" s="29"/>
      <c r="H256" s="29"/>
    </row>
    <row r="257" customFormat="false" ht="15" hidden="false" customHeight="false" outlineLevel="0" collapsed="false">
      <c r="A257" s="27"/>
      <c r="B257" s="27"/>
      <c r="C257" s="27"/>
      <c r="D257" s="28"/>
      <c r="E257" s="29"/>
      <c r="F257" s="28"/>
      <c r="G257" s="29"/>
      <c r="H257" s="29"/>
    </row>
    <row r="258" customFormat="false" ht="15" hidden="false" customHeight="false" outlineLevel="0" collapsed="false">
      <c r="A258" s="27"/>
      <c r="B258" s="27"/>
      <c r="C258" s="27"/>
      <c r="D258" s="28"/>
      <c r="E258" s="29"/>
      <c r="F258" s="28"/>
      <c r="G258" s="29"/>
      <c r="H258" s="29"/>
    </row>
    <row r="259" customFormat="false" ht="15" hidden="false" customHeight="false" outlineLevel="0" collapsed="false">
      <c r="A259" s="27"/>
      <c r="B259" s="27"/>
      <c r="C259" s="27"/>
      <c r="D259" s="28"/>
      <c r="E259" s="29"/>
      <c r="F259" s="28"/>
      <c r="G259" s="29"/>
      <c r="H259" s="29"/>
    </row>
    <row r="260" customFormat="false" ht="15" hidden="false" customHeight="false" outlineLevel="0" collapsed="false">
      <c r="A260" s="27"/>
      <c r="B260" s="27"/>
      <c r="C260" s="27"/>
      <c r="D260" s="28"/>
      <c r="E260" s="29"/>
      <c r="F260" s="28"/>
      <c r="G260" s="29"/>
      <c r="H260" s="29"/>
    </row>
    <row r="261" customFormat="false" ht="15" hidden="false" customHeight="false" outlineLevel="0" collapsed="false">
      <c r="A261" s="27"/>
      <c r="B261" s="27"/>
      <c r="C261" s="27"/>
      <c r="D261" s="28"/>
      <c r="E261" s="29"/>
      <c r="F261" s="28"/>
      <c r="G261" s="29"/>
      <c r="H261" s="29"/>
    </row>
    <row r="262" customFormat="false" ht="15" hidden="false" customHeight="false" outlineLevel="0" collapsed="false">
      <c r="A262" s="27"/>
      <c r="B262" s="27"/>
      <c r="C262" s="27"/>
      <c r="D262" s="28"/>
      <c r="E262" s="29"/>
      <c r="F262" s="28"/>
      <c r="G262" s="29"/>
      <c r="H262" s="29"/>
    </row>
    <row r="263" customFormat="false" ht="15" hidden="false" customHeight="false" outlineLevel="0" collapsed="false">
      <c r="A263" s="27"/>
      <c r="B263" s="27"/>
      <c r="C263" s="27"/>
      <c r="D263" s="28"/>
      <c r="E263" s="29"/>
      <c r="F263" s="28"/>
      <c r="G263" s="29"/>
      <c r="H263" s="29"/>
    </row>
    <row r="264" customFormat="false" ht="15" hidden="false" customHeight="false" outlineLevel="0" collapsed="false">
      <c r="A264" s="27"/>
      <c r="B264" s="27"/>
      <c r="C264" s="27"/>
      <c r="D264" s="28"/>
      <c r="E264" s="29"/>
      <c r="F264" s="28"/>
      <c r="G264" s="29"/>
      <c r="H264" s="29"/>
    </row>
    <row r="265" customFormat="false" ht="15" hidden="false" customHeight="false" outlineLevel="0" collapsed="false">
      <c r="A265" s="27"/>
      <c r="B265" s="27"/>
      <c r="C265" s="27"/>
      <c r="D265" s="28"/>
      <c r="E265" s="29"/>
      <c r="F265" s="28"/>
      <c r="G265" s="29"/>
      <c r="H265" s="29"/>
    </row>
    <row r="266" customFormat="false" ht="15" hidden="false" customHeight="false" outlineLevel="0" collapsed="false">
      <c r="A266" s="27"/>
      <c r="B266" s="27"/>
      <c r="C266" s="27"/>
      <c r="D266" s="28"/>
      <c r="E266" s="29"/>
      <c r="F266" s="28"/>
      <c r="G266" s="29"/>
      <c r="H266" s="29"/>
    </row>
    <row r="267" customFormat="false" ht="15" hidden="false" customHeight="false" outlineLevel="0" collapsed="false">
      <c r="A267" s="27"/>
      <c r="B267" s="27"/>
      <c r="C267" s="27"/>
      <c r="D267" s="28"/>
      <c r="E267" s="29"/>
      <c r="F267" s="28"/>
      <c r="G267" s="29"/>
      <c r="H267" s="29"/>
    </row>
    <row r="268" customFormat="false" ht="15" hidden="false" customHeight="false" outlineLevel="0" collapsed="false">
      <c r="A268" s="27"/>
      <c r="B268" s="27"/>
      <c r="C268" s="27"/>
      <c r="D268" s="28"/>
      <c r="E268" s="29"/>
      <c r="F268" s="28"/>
      <c r="G268" s="29"/>
      <c r="H268" s="29"/>
    </row>
    <row r="269" customFormat="false" ht="15" hidden="false" customHeight="false" outlineLevel="0" collapsed="false">
      <c r="A269" s="27"/>
      <c r="B269" s="27"/>
      <c r="C269" s="27"/>
      <c r="D269" s="28"/>
      <c r="E269" s="29"/>
      <c r="F269" s="28"/>
      <c r="G269" s="29"/>
      <c r="H269" s="29"/>
    </row>
    <row r="270" customFormat="false" ht="15" hidden="false" customHeight="false" outlineLevel="0" collapsed="false">
      <c r="A270" s="27"/>
      <c r="B270" s="27"/>
      <c r="C270" s="27"/>
      <c r="D270" s="28"/>
      <c r="E270" s="29"/>
      <c r="F270" s="28"/>
      <c r="G270" s="29"/>
      <c r="H270" s="29"/>
    </row>
    <row r="271" customFormat="false" ht="15" hidden="false" customHeight="false" outlineLevel="0" collapsed="false">
      <c r="A271" s="27"/>
      <c r="B271" s="27"/>
      <c r="C271" s="27"/>
      <c r="D271" s="28"/>
      <c r="E271" s="29"/>
      <c r="F271" s="28"/>
      <c r="G271" s="29"/>
      <c r="H271" s="29"/>
    </row>
    <row r="272" customFormat="false" ht="15" hidden="false" customHeight="false" outlineLevel="0" collapsed="false">
      <c r="A272" s="27"/>
      <c r="B272" s="27"/>
      <c r="C272" s="27"/>
      <c r="D272" s="28"/>
      <c r="E272" s="29"/>
      <c r="F272" s="28"/>
      <c r="G272" s="29"/>
      <c r="H272" s="29"/>
    </row>
    <row r="273" customFormat="false" ht="15" hidden="false" customHeight="false" outlineLevel="0" collapsed="false">
      <c r="A273" s="27"/>
      <c r="B273" s="27"/>
      <c r="C273" s="27"/>
      <c r="D273" s="28"/>
      <c r="E273" s="29"/>
      <c r="F273" s="28"/>
      <c r="G273" s="29"/>
      <c r="H273" s="29"/>
    </row>
    <row r="274" customFormat="false" ht="15" hidden="false" customHeight="false" outlineLevel="0" collapsed="false">
      <c r="A274" s="27"/>
      <c r="B274" s="27"/>
      <c r="C274" s="27"/>
      <c r="D274" s="28"/>
      <c r="E274" s="29"/>
      <c r="F274" s="28"/>
      <c r="G274" s="29"/>
      <c r="H274" s="29"/>
    </row>
    <row r="275" customFormat="false" ht="15" hidden="false" customHeight="false" outlineLevel="0" collapsed="false">
      <c r="A275" s="27"/>
      <c r="B275" s="27"/>
      <c r="C275" s="27"/>
      <c r="D275" s="28"/>
      <c r="E275" s="29"/>
      <c r="F275" s="28"/>
      <c r="G275" s="29"/>
      <c r="H275" s="29"/>
    </row>
    <row r="276" customFormat="false" ht="15" hidden="false" customHeight="false" outlineLevel="0" collapsed="false">
      <c r="A276" s="27"/>
      <c r="B276" s="27"/>
      <c r="C276" s="27"/>
      <c r="D276" s="28"/>
      <c r="E276" s="29"/>
      <c r="F276" s="28"/>
      <c r="G276" s="29"/>
      <c r="H276" s="29"/>
    </row>
    <row r="277" customFormat="false" ht="15" hidden="false" customHeight="false" outlineLevel="0" collapsed="false">
      <c r="A277" s="27"/>
      <c r="B277" s="27"/>
      <c r="C277" s="27"/>
      <c r="D277" s="28"/>
      <c r="E277" s="29"/>
      <c r="F277" s="28"/>
      <c r="G277" s="29"/>
      <c r="H277" s="29"/>
    </row>
    <row r="278" customFormat="false" ht="15" hidden="false" customHeight="false" outlineLevel="0" collapsed="false">
      <c r="A278" s="27"/>
      <c r="B278" s="27"/>
      <c r="C278" s="27"/>
      <c r="D278" s="28"/>
      <c r="E278" s="29"/>
      <c r="F278" s="28"/>
      <c r="G278" s="29"/>
      <c r="H278" s="29"/>
    </row>
    <row r="279" customFormat="false" ht="15" hidden="false" customHeight="false" outlineLevel="0" collapsed="false">
      <c r="A279" s="27"/>
      <c r="B279" s="27"/>
      <c r="C279" s="27"/>
      <c r="D279" s="28"/>
      <c r="E279" s="29"/>
      <c r="F279" s="28"/>
      <c r="G279" s="29"/>
      <c r="H279" s="29"/>
    </row>
    <row r="280" customFormat="false" ht="15" hidden="false" customHeight="false" outlineLevel="0" collapsed="false">
      <c r="A280" s="27"/>
      <c r="B280" s="27"/>
      <c r="C280" s="27"/>
      <c r="D280" s="28"/>
      <c r="E280" s="29"/>
      <c r="F280" s="28"/>
      <c r="G280" s="29"/>
      <c r="H280" s="29"/>
    </row>
    <row r="281" customFormat="false" ht="15" hidden="false" customHeight="false" outlineLevel="0" collapsed="false">
      <c r="A281" s="27"/>
      <c r="B281" s="27"/>
      <c r="C281" s="27"/>
      <c r="D281" s="28"/>
      <c r="E281" s="29"/>
      <c r="F281" s="28"/>
      <c r="G281" s="29"/>
      <c r="H281" s="29"/>
    </row>
    <row r="282" customFormat="false" ht="15" hidden="false" customHeight="false" outlineLevel="0" collapsed="false">
      <c r="A282" s="27"/>
      <c r="B282" s="27"/>
      <c r="C282" s="27"/>
      <c r="D282" s="28"/>
      <c r="E282" s="29"/>
      <c r="F282" s="28"/>
      <c r="G282" s="29"/>
      <c r="H282" s="29"/>
    </row>
    <row r="283" customFormat="false" ht="15" hidden="false" customHeight="false" outlineLevel="0" collapsed="false">
      <c r="A283" s="27"/>
      <c r="B283" s="27"/>
      <c r="C283" s="27"/>
      <c r="D283" s="28"/>
      <c r="E283" s="29"/>
      <c r="F283" s="28"/>
      <c r="G283" s="29"/>
      <c r="H283" s="29"/>
    </row>
    <row r="284" customFormat="false" ht="15" hidden="false" customHeight="false" outlineLevel="0" collapsed="false">
      <c r="A284" s="27"/>
      <c r="B284" s="27"/>
      <c r="C284" s="27"/>
      <c r="D284" s="28"/>
      <c r="E284" s="29"/>
      <c r="F284" s="28"/>
      <c r="G284" s="29"/>
      <c r="H284" s="29"/>
    </row>
    <row r="285" customFormat="false" ht="15" hidden="false" customHeight="false" outlineLevel="0" collapsed="false">
      <c r="A285" s="27"/>
      <c r="B285" s="27"/>
      <c r="C285" s="27"/>
      <c r="D285" s="28"/>
      <c r="E285" s="29"/>
      <c r="F285" s="28"/>
      <c r="G285" s="29"/>
      <c r="H285" s="29"/>
    </row>
    <row r="286" customFormat="false" ht="15" hidden="false" customHeight="false" outlineLevel="0" collapsed="false">
      <c r="A286" s="27"/>
      <c r="B286" s="27"/>
      <c r="C286" s="27"/>
      <c r="D286" s="28"/>
      <c r="E286" s="29"/>
      <c r="F286" s="28"/>
      <c r="G286" s="29"/>
      <c r="H286" s="29"/>
    </row>
    <row r="287" customFormat="false" ht="15" hidden="false" customHeight="false" outlineLevel="0" collapsed="false">
      <c r="A287" s="27"/>
      <c r="B287" s="27"/>
      <c r="C287" s="27"/>
      <c r="D287" s="28"/>
      <c r="E287" s="29"/>
      <c r="F287" s="28"/>
      <c r="G287" s="29"/>
      <c r="H287" s="29"/>
    </row>
    <row r="288" customFormat="false" ht="15" hidden="false" customHeight="false" outlineLevel="0" collapsed="false">
      <c r="A288" s="27"/>
      <c r="B288" s="27"/>
      <c r="C288" s="27"/>
      <c r="D288" s="28"/>
      <c r="E288" s="29"/>
      <c r="F288" s="28"/>
      <c r="G288" s="29"/>
      <c r="H288" s="29"/>
    </row>
    <row r="289" customFormat="false" ht="15" hidden="false" customHeight="false" outlineLevel="0" collapsed="false">
      <c r="A289" s="27"/>
      <c r="B289" s="27"/>
      <c r="C289" s="27"/>
      <c r="D289" s="28"/>
      <c r="E289" s="29"/>
      <c r="F289" s="28"/>
      <c r="G289" s="29"/>
      <c r="H289" s="29"/>
    </row>
    <row r="290" customFormat="false" ht="15" hidden="false" customHeight="false" outlineLevel="0" collapsed="false">
      <c r="A290" s="27"/>
      <c r="B290" s="27"/>
      <c r="C290" s="27"/>
      <c r="D290" s="28"/>
      <c r="E290" s="29"/>
      <c r="F290" s="28"/>
      <c r="G290" s="29"/>
      <c r="H290" s="29"/>
    </row>
    <row r="291" customFormat="false" ht="15" hidden="false" customHeight="false" outlineLevel="0" collapsed="false">
      <c r="A291" s="27"/>
      <c r="B291" s="27"/>
      <c r="C291" s="27"/>
      <c r="D291" s="28"/>
      <c r="E291" s="29"/>
      <c r="F291" s="28"/>
      <c r="G291" s="29"/>
      <c r="H291" s="29"/>
    </row>
    <row r="292" customFormat="false" ht="15" hidden="false" customHeight="false" outlineLevel="0" collapsed="false">
      <c r="A292" s="27"/>
      <c r="B292" s="27"/>
      <c r="C292" s="27"/>
      <c r="D292" s="28"/>
      <c r="E292" s="29"/>
      <c r="F292" s="28"/>
      <c r="G292" s="29"/>
      <c r="H292" s="29"/>
    </row>
    <row r="293" customFormat="false" ht="15" hidden="false" customHeight="false" outlineLevel="0" collapsed="false">
      <c r="A293" s="27"/>
      <c r="B293" s="27"/>
      <c r="C293" s="27"/>
      <c r="D293" s="28"/>
      <c r="E293" s="29"/>
      <c r="F293" s="28"/>
      <c r="G293" s="29"/>
      <c r="H293" s="29"/>
    </row>
    <row r="294" customFormat="false" ht="15" hidden="false" customHeight="false" outlineLevel="0" collapsed="false">
      <c r="A294" s="27"/>
      <c r="B294" s="27"/>
      <c r="C294" s="27"/>
      <c r="D294" s="28"/>
      <c r="E294" s="29"/>
      <c r="F294" s="28"/>
      <c r="G294" s="29"/>
      <c r="H294" s="29"/>
    </row>
    <row r="295" customFormat="false" ht="15" hidden="false" customHeight="false" outlineLevel="0" collapsed="false">
      <c r="A295" s="27"/>
      <c r="B295" s="27"/>
      <c r="C295" s="27"/>
      <c r="D295" s="28"/>
      <c r="E295" s="29"/>
      <c r="F295" s="28"/>
      <c r="G295" s="29"/>
      <c r="H295" s="29"/>
    </row>
    <row r="296" customFormat="false" ht="15" hidden="false" customHeight="false" outlineLevel="0" collapsed="false">
      <c r="A296" s="27"/>
      <c r="B296" s="27"/>
      <c r="C296" s="27"/>
      <c r="D296" s="28"/>
      <c r="E296" s="29"/>
      <c r="F296" s="28"/>
      <c r="G296" s="29"/>
      <c r="H296" s="29"/>
    </row>
    <row r="297" customFormat="false" ht="15" hidden="false" customHeight="false" outlineLevel="0" collapsed="false">
      <c r="A297" s="27"/>
      <c r="B297" s="27"/>
      <c r="C297" s="27"/>
      <c r="D297" s="28"/>
      <c r="E297" s="29"/>
      <c r="F297" s="28"/>
      <c r="G297" s="29"/>
      <c r="H297" s="29"/>
    </row>
    <row r="298" customFormat="false" ht="15" hidden="false" customHeight="false" outlineLevel="0" collapsed="false">
      <c r="A298" s="27"/>
      <c r="B298" s="27"/>
      <c r="C298" s="27"/>
      <c r="D298" s="28"/>
      <c r="E298" s="29"/>
      <c r="F298" s="28"/>
      <c r="G298" s="29"/>
      <c r="H298" s="29"/>
    </row>
    <row r="299" customFormat="false" ht="15" hidden="false" customHeight="false" outlineLevel="0" collapsed="false">
      <c r="A299" s="27"/>
      <c r="B299" s="27"/>
      <c r="C299" s="27"/>
      <c r="D299" s="28"/>
      <c r="E299" s="29"/>
      <c r="F299" s="28"/>
      <c r="G299" s="29"/>
      <c r="H299" s="29"/>
    </row>
    <row r="300" customFormat="false" ht="15" hidden="false" customHeight="false" outlineLevel="0" collapsed="false">
      <c r="A300" s="27"/>
      <c r="B300" s="27"/>
      <c r="C300" s="27"/>
      <c r="D300" s="28"/>
      <c r="E300" s="29"/>
      <c r="F300" s="28"/>
      <c r="G300" s="29"/>
      <c r="H300" s="29"/>
    </row>
    <row r="301" customFormat="false" ht="15" hidden="false" customHeight="false" outlineLevel="0" collapsed="false">
      <c r="A301" s="27"/>
      <c r="B301" s="27"/>
      <c r="C301" s="27"/>
      <c r="D301" s="28"/>
      <c r="E301" s="29"/>
      <c r="F301" s="28"/>
      <c r="G301" s="29"/>
      <c r="H301" s="29"/>
    </row>
    <row r="302" customFormat="false" ht="15" hidden="false" customHeight="false" outlineLevel="0" collapsed="false">
      <c r="A302" s="27"/>
      <c r="B302" s="27"/>
      <c r="C302" s="27"/>
      <c r="D302" s="28"/>
      <c r="E302" s="29"/>
      <c r="F302" s="28"/>
      <c r="G302" s="29"/>
      <c r="H302" s="29"/>
    </row>
    <row r="303" customFormat="false" ht="15" hidden="false" customHeight="false" outlineLevel="0" collapsed="false">
      <c r="A303" s="27"/>
      <c r="B303" s="27"/>
      <c r="C303" s="27"/>
      <c r="D303" s="28"/>
      <c r="E303" s="29"/>
      <c r="F303" s="28"/>
      <c r="G303" s="29"/>
      <c r="H303" s="29"/>
    </row>
    <row r="304" customFormat="false" ht="15" hidden="false" customHeight="false" outlineLevel="0" collapsed="false">
      <c r="A304" s="27"/>
      <c r="B304" s="27"/>
      <c r="C304" s="27"/>
      <c r="D304" s="28"/>
      <c r="E304" s="29"/>
      <c r="F304" s="28"/>
      <c r="G304" s="29"/>
      <c r="H304" s="29"/>
    </row>
    <row r="305" customFormat="false" ht="15" hidden="false" customHeight="false" outlineLevel="0" collapsed="false">
      <c r="A305" s="27"/>
      <c r="B305" s="27"/>
      <c r="C305" s="27"/>
      <c r="D305" s="28"/>
      <c r="E305" s="29"/>
      <c r="F305" s="28"/>
      <c r="G305" s="29"/>
      <c r="H305" s="29"/>
    </row>
    <row r="306" customFormat="false" ht="15" hidden="false" customHeight="false" outlineLevel="0" collapsed="false">
      <c r="A306" s="27"/>
      <c r="B306" s="27"/>
      <c r="C306" s="27"/>
      <c r="D306" s="28"/>
      <c r="E306" s="29"/>
      <c r="F306" s="28"/>
      <c r="G306" s="29"/>
      <c r="H306" s="29"/>
    </row>
    <row r="307" customFormat="false" ht="15" hidden="false" customHeight="false" outlineLevel="0" collapsed="false">
      <c r="A307" s="27"/>
      <c r="B307" s="27"/>
      <c r="C307" s="27"/>
      <c r="D307" s="28"/>
      <c r="E307" s="29"/>
      <c r="F307" s="28"/>
      <c r="G307" s="29"/>
      <c r="H307" s="29"/>
    </row>
    <row r="308" customFormat="false" ht="15" hidden="false" customHeight="false" outlineLevel="0" collapsed="false">
      <c r="A308" s="27"/>
      <c r="B308" s="27"/>
      <c r="C308" s="27"/>
      <c r="D308" s="28"/>
      <c r="E308" s="29"/>
      <c r="F308" s="28"/>
      <c r="G308" s="29"/>
      <c r="H308" s="29"/>
    </row>
    <row r="309" customFormat="false" ht="15" hidden="false" customHeight="false" outlineLevel="0" collapsed="false">
      <c r="A309" s="27"/>
      <c r="B309" s="27"/>
      <c r="C309" s="27"/>
      <c r="D309" s="28"/>
      <c r="E309" s="29"/>
      <c r="F309" s="28"/>
      <c r="G309" s="29"/>
      <c r="H309" s="29"/>
    </row>
    <row r="310" customFormat="false" ht="15" hidden="false" customHeight="false" outlineLevel="0" collapsed="false">
      <c r="A310" s="27"/>
      <c r="B310" s="27"/>
      <c r="C310" s="27"/>
      <c r="D310" s="28"/>
      <c r="E310" s="29"/>
      <c r="F310" s="28"/>
      <c r="G310" s="29"/>
      <c r="H310" s="29"/>
    </row>
    <row r="311" customFormat="false" ht="15" hidden="false" customHeight="false" outlineLevel="0" collapsed="false">
      <c r="A311" s="27"/>
      <c r="B311" s="27"/>
      <c r="C311" s="27"/>
      <c r="D311" s="28"/>
      <c r="E311" s="29"/>
      <c r="F311" s="28"/>
      <c r="G311" s="29"/>
      <c r="H311" s="29"/>
    </row>
    <row r="312" customFormat="false" ht="15" hidden="false" customHeight="false" outlineLevel="0" collapsed="false">
      <c r="A312" s="27"/>
      <c r="B312" s="27"/>
      <c r="C312" s="27"/>
      <c r="D312" s="28"/>
      <c r="E312" s="29"/>
      <c r="F312" s="28"/>
      <c r="G312" s="29"/>
      <c r="H312" s="29"/>
    </row>
    <row r="313" customFormat="false" ht="15" hidden="false" customHeight="false" outlineLevel="0" collapsed="false">
      <c r="A313" s="27"/>
      <c r="B313" s="27"/>
      <c r="C313" s="27"/>
      <c r="D313" s="28"/>
      <c r="E313" s="29"/>
      <c r="F313" s="28"/>
      <c r="G313" s="29"/>
      <c r="H313" s="29"/>
    </row>
    <row r="314" customFormat="false" ht="15" hidden="false" customHeight="false" outlineLevel="0" collapsed="false">
      <c r="A314" s="27"/>
      <c r="B314" s="27"/>
      <c r="C314" s="27"/>
      <c r="D314" s="28"/>
      <c r="E314" s="29"/>
      <c r="F314" s="28"/>
      <c r="G314" s="29"/>
      <c r="H314" s="29"/>
    </row>
    <row r="315" customFormat="false" ht="15" hidden="false" customHeight="false" outlineLevel="0" collapsed="false">
      <c r="A315" s="27"/>
      <c r="B315" s="27"/>
      <c r="C315" s="27"/>
      <c r="D315" s="28"/>
      <c r="E315" s="29"/>
      <c r="F315" s="28"/>
      <c r="G315" s="29"/>
      <c r="H315" s="29"/>
    </row>
    <row r="316" customFormat="false" ht="15" hidden="false" customHeight="false" outlineLevel="0" collapsed="false">
      <c r="A316" s="27"/>
      <c r="B316" s="27"/>
      <c r="C316" s="27"/>
      <c r="D316" s="28"/>
      <c r="E316" s="29"/>
      <c r="F316" s="28"/>
      <c r="G316" s="29"/>
      <c r="H316" s="29"/>
    </row>
    <row r="317" customFormat="false" ht="15" hidden="false" customHeight="false" outlineLevel="0" collapsed="false">
      <c r="A317" s="27"/>
      <c r="B317" s="27"/>
      <c r="C317" s="27"/>
      <c r="D317" s="28"/>
      <c r="E317" s="29"/>
      <c r="F317" s="28"/>
      <c r="G317" s="29"/>
      <c r="H317" s="29"/>
    </row>
    <row r="318" customFormat="false" ht="15" hidden="false" customHeight="false" outlineLevel="0" collapsed="false">
      <c r="A318" s="27"/>
      <c r="B318" s="27"/>
      <c r="C318" s="27"/>
      <c r="D318" s="28"/>
      <c r="E318" s="29"/>
      <c r="F318" s="28"/>
      <c r="G318" s="29"/>
      <c r="H318" s="29"/>
    </row>
    <row r="319" customFormat="false" ht="15" hidden="false" customHeight="false" outlineLevel="0" collapsed="false">
      <c r="A319" s="27"/>
      <c r="B319" s="27"/>
      <c r="C319" s="27"/>
      <c r="D319" s="28"/>
      <c r="E319" s="29"/>
      <c r="F319" s="28"/>
      <c r="G319" s="29"/>
      <c r="H319" s="29"/>
    </row>
    <row r="320" customFormat="false" ht="15" hidden="false" customHeight="false" outlineLevel="0" collapsed="false">
      <c r="A320" s="27"/>
      <c r="B320" s="27"/>
      <c r="C320" s="27"/>
      <c r="D320" s="28"/>
      <c r="E320" s="29"/>
      <c r="F320" s="28"/>
      <c r="G320" s="29"/>
      <c r="H320" s="29"/>
    </row>
    <row r="321" customFormat="false" ht="15" hidden="false" customHeight="false" outlineLevel="0" collapsed="false">
      <c r="A321" s="27"/>
      <c r="B321" s="27"/>
      <c r="C321" s="27"/>
      <c r="D321" s="28"/>
      <c r="E321" s="29"/>
      <c r="F321" s="28"/>
      <c r="G321" s="29"/>
      <c r="H321" s="29"/>
    </row>
    <row r="322" customFormat="false" ht="15" hidden="false" customHeight="false" outlineLevel="0" collapsed="false">
      <c r="A322" s="27"/>
      <c r="B322" s="27"/>
      <c r="C322" s="27"/>
      <c r="D322" s="28"/>
      <c r="E322" s="29"/>
      <c r="F322" s="28"/>
      <c r="G322" s="29"/>
      <c r="H322" s="29"/>
    </row>
    <row r="323" customFormat="false" ht="15" hidden="false" customHeight="false" outlineLevel="0" collapsed="false">
      <c r="A323" s="27"/>
      <c r="B323" s="27"/>
      <c r="C323" s="27"/>
      <c r="D323" s="28"/>
      <c r="E323" s="29"/>
      <c r="F323" s="28"/>
      <c r="G323" s="29"/>
      <c r="H323" s="29"/>
    </row>
    <row r="324" customFormat="false" ht="15" hidden="false" customHeight="false" outlineLevel="0" collapsed="false">
      <c r="A324" s="27"/>
      <c r="B324" s="27"/>
      <c r="C324" s="27"/>
      <c r="D324" s="28"/>
      <c r="E324" s="29"/>
      <c r="F324" s="28"/>
      <c r="G324" s="29"/>
      <c r="H324" s="29"/>
    </row>
    <row r="325" customFormat="false" ht="15" hidden="false" customHeight="false" outlineLevel="0" collapsed="false">
      <c r="A325" s="27"/>
      <c r="B325" s="27"/>
      <c r="C325" s="27"/>
      <c r="D325" s="28"/>
      <c r="E325" s="29"/>
      <c r="F325" s="28"/>
      <c r="G325" s="29"/>
      <c r="H325" s="29"/>
    </row>
    <row r="326" customFormat="false" ht="15" hidden="false" customHeight="false" outlineLevel="0" collapsed="false">
      <c r="A326" s="27"/>
      <c r="B326" s="27"/>
      <c r="C326" s="27"/>
      <c r="D326" s="28"/>
      <c r="E326" s="29"/>
      <c r="F326" s="28"/>
      <c r="G326" s="29"/>
      <c r="H326" s="29"/>
    </row>
    <row r="327" customFormat="false" ht="15" hidden="false" customHeight="false" outlineLevel="0" collapsed="false">
      <c r="A327" s="27"/>
      <c r="B327" s="27"/>
      <c r="C327" s="27"/>
      <c r="D327" s="28"/>
      <c r="E327" s="29"/>
      <c r="F327" s="28"/>
      <c r="G327" s="29"/>
      <c r="H327" s="29"/>
    </row>
    <row r="328" customFormat="false" ht="15" hidden="false" customHeight="false" outlineLevel="0" collapsed="false">
      <c r="A328" s="27"/>
      <c r="B328" s="27"/>
      <c r="C328" s="27"/>
      <c r="D328" s="28"/>
      <c r="E328" s="29"/>
      <c r="F328" s="28"/>
      <c r="G328" s="29"/>
      <c r="H328" s="29"/>
    </row>
    <row r="329" customFormat="false" ht="15" hidden="false" customHeight="false" outlineLevel="0" collapsed="false">
      <c r="A329" s="27"/>
      <c r="B329" s="27"/>
      <c r="C329" s="27"/>
      <c r="D329" s="28"/>
      <c r="E329" s="29"/>
      <c r="F329" s="28"/>
      <c r="G329" s="29"/>
      <c r="H329" s="29"/>
    </row>
    <row r="330" customFormat="false" ht="15" hidden="false" customHeight="false" outlineLevel="0" collapsed="false">
      <c r="A330" s="27"/>
      <c r="B330" s="27"/>
      <c r="C330" s="27"/>
      <c r="D330" s="28"/>
      <c r="E330" s="29"/>
      <c r="F330" s="28"/>
      <c r="G330" s="29"/>
      <c r="H330" s="29"/>
    </row>
    <row r="331" customFormat="false" ht="15" hidden="false" customHeight="false" outlineLevel="0" collapsed="false">
      <c r="A331" s="27"/>
      <c r="B331" s="27"/>
      <c r="C331" s="27"/>
      <c r="D331" s="28"/>
      <c r="E331" s="29"/>
      <c r="F331" s="28"/>
      <c r="G331" s="29"/>
      <c r="H331" s="29"/>
    </row>
    <row r="332" customFormat="false" ht="15" hidden="false" customHeight="false" outlineLevel="0" collapsed="false">
      <c r="A332" s="27"/>
      <c r="B332" s="27"/>
      <c r="C332" s="27"/>
      <c r="D332" s="28"/>
      <c r="E332" s="29"/>
      <c r="F332" s="28"/>
      <c r="G332" s="29"/>
      <c r="H332" s="29"/>
    </row>
    <row r="333" customFormat="false" ht="15" hidden="false" customHeight="false" outlineLevel="0" collapsed="false">
      <c r="A333" s="27"/>
      <c r="B333" s="27"/>
      <c r="C333" s="27"/>
      <c r="D333" s="28"/>
      <c r="E333" s="29"/>
      <c r="F333" s="28"/>
      <c r="G333" s="29"/>
      <c r="H333" s="29"/>
    </row>
    <row r="334" customFormat="false" ht="15" hidden="false" customHeight="false" outlineLevel="0" collapsed="false">
      <c r="A334" s="27"/>
      <c r="B334" s="27"/>
      <c r="C334" s="27"/>
      <c r="D334" s="28"/>
      <c r="E334" s="29"/>
      <c r="F334" s="28"/>
      <c r="G334" s="29"/>
      <c r="H334" s="29"/>
    </row>
    <row r="335" customFormat="false" ht="15" hidden="false" customHeight="false" outlineLevel="0" collapsed="false">
      <c r="A335" s="27"/>
      <c r="B335" s="27"/>
      <c r="C335" s="27"/>
      <c r="D335" s="28"/>
      <c r="E335" s="29"/>
      <c r="F335" s="28"/>
      <c r="G335" s="29"/>
      <c r="H335" s="29"/>
    </row>
    <row r="336" customFormat="false" ht="15" hidden="false" customHeight="false" outlineLevel="0" collapsed="false">
      <c r="A336" s="27"/>
      <c r="B336" s="27"/>
      <c r="C336" s="27"/>
      <c r="D336" s="28"/>
      <c r="E336" s="29"/>
      <c r="F336" s="28"/>
      <c r="G336" s="29"/>
      <c r="H336" s="29"/>
    </row>
    <row r="337" customFormat="false" ht="15" hidden="false" customHeight="false" outlineLevel="0" collapsed="false">
      <c r="A337" s="27"/>
      <c r="B337" s="27"/>
      <c r="C337" s="27"/>
      <c r="D337" s="28"/>
      <c r="E337" s="29"/>
      <c r="F337" s="28"/>
      <c r="G337" s="29"/>
      <c r="H337" s="29"/>
    </row>
    <row r="338" customFormat="false" ht="15" hidden="false" customHeight="false" outlineLevel="0" collapsed="false">
      <c r="A338" s="27"/>
      <c r="B338" s="27"/>
      <c r="C338" s="27"/>
      <c r="D338" s="28"/>
      <c r="E338" s="29"/>
      <c r="F338" s="28"/>
      <c r="G338" s="29"/>
      <c r="H338" s="29"/>
    </row>
    <row r="339" customFormat="false" ht="15" hidden="false" customHeight="false" outlineLevel="0" collapsed="false">
      <c r="A339" s="27"/>
      <c r="B339" s="27"/>
      <c r="C339" s="27"/>
      <c r="D339" s="28"/>
      <c r="E339" s="29"/>
      <c r="F339" s="28"/>
      <c r="G339" s="29"/>
      <c r="H339" s="29"/>
    </row>
    <row r="340" customFormat="false" ht="15" hidden="false" customHeight="false" outlineLevel="0" collapsed="false">
      <c r="A340" s="27"/>
      <c r="B340" s="27"/>
      <c r="C340" s="27"/>
      <c r="D340" s="28"/>
      <c r="E340" s="29"/>
      <c r="F340" s="28"/>
      <c r="G340" s="29"/>
      <c r="H340" s="29"/>
    </row>
    <row r="341" customFormat="false" ht="15" hidden="false" customHeight="false" outlineLevel="0" collapsed="false">
      <c r="A341" s="27"/>
      <c r="B341" s="27"/>
      <c r="C341" s="27"/>
      <c r="D341" s="28"/>
      <c r="E341" s="29"/>
      <c r="F341" s="28"/>
      <c r="G341" s="29"/>
      <c r="H341" s="29"/>
    </row>
    <row r="342" customFormat="false" ht="15" hidden="false" customHeight="false" outlineLevel="0" collapsed="false">
      <c r="A342" s="27"/>
      <c r="B342" s="27"/>
      <c r="C342" s="27"/>
      <c r="D342" s="28"/>
      <c r="E342" s="29"/>
      <c r="F342" s="28"/>
      <c r="G342" s="29"/>
      <c r="H342" s="29"/>
    </row>
    <row r="343" customFormat="false" ht="15" hidden="false" customHeight="false" outlineLevel="0" collapsed="false">
      <c r="A343" s="27"/>
      <c r="B343" s="27"/>
      <c r="C343" s="27"/>
      <c r="D343" s="28"/>
      <c r="E343" s="29"/>
      <c r="F343" s="28"/>
      <c r="G343" s="29"/>
      <c r="H343" s="29"/>
    </row>
    <row r="344" customFormat="false" ht="15" hidden="false" customHeight="false" outlineLevel="0" collapsed="false">
      <c r="A344" s="27"/>
      <c r="B344" s="27"/>
      <c r="C344" s="27"/>
      <c r="D344" s="28"/>
      <c r="E344" s="29"/>
      <c r="F344" s="28"/>
      <c r="G344" s="29"/>
      <c r="H344" s="29"/>
    </row>
    <row r="345" customFormat="false" ht="15" hidden="false" customHeight="false" outlineLevel="0" collapsed="false">
      <c r="A345" s="27"/>
      <c r="B345" s="27"/>
      <c r="C345" s="27"/>
      <c r="D345" s="28"/>
      <c r="E345" s="29"/>
      <c r="F345" s="28"/>
      <c r="G345" s="29"/>
      <c r="H345" s="29"/>
    </row>
    <row r="346" customFormat="false" ht="15" hidden="false" customHeight="false" outlineLevel="0" collapsed="false">
      <c r="A346" s="27"/>
      <c r="B346" s="27"/>
      <c r="C346" s="27"/>
      <c r="D346" s="28"/>
      <c r="E346" s="29"/>
      <c r="F346" s="28"/>
      <c r="G346" s="29"/>
      <c r="H346" s="29"/>
    </row>
    <row r="347" customFormat="false" ht="15" hidden="false" customHeight="false" outlineLevel="0" collapsed="false">
      <c r="A347" s="27"/>
      <c r="B347" s="27"/>
      <c r="C347" s="27"/>
      <c r="D347" s="28"/>
      <c r="E347" s="29"/>
      <c r="F347" s="28"/>
      <c r="G347" s="29"/>
      <c r="H347" s="29"/>
    </row>
    <row r="348" customFormat="false" ht="15" hidden="false" customHeight="false" outlineLevel="0" collapsed="false">
      <c r="A348" s="27"/>
      <c r="B348" s="27"/>
      <c r="C348" s="27"/>
      <c r="D348" s="28"/>
      <c r="E348" s="29"/>
      <c r="F348" s="28"/>
      <c r="G348" s="29"/>
      <c r="H348" s="29"/>
    </row>
    <row r="349" customFormat="false" ht="15" hidden="false" customHeight="false" outlineLevel="0" collapsed="false">
      <c r="A349" s="27"/>
      <c r="B349" s="27"/>
      <c r="C349" s="27"/>
      <c r="D349" s="28"/>
      <c r="E349" s="29"/>
      <c r="F349" s="28"/>
      <c r="G349" s="29"/>
      <c r="H349" s="29"/>
    </row>
    <row r="350" customFormat="false" ht="15" hidden="false" customHeight="false" outlineLevel="0" collapsed="false">
      <c r="A350" s="27"/>
      <c r="B350" s="27"/>
      <c r="C350" s="27"/>
      <c r="D350" s="28"/>
      <c r="E350" s="29"/>
      <c r="F350" s="28"/>
      <c r="G350" s="29"/>
      <c r="H350" s="29"/>
    </row>
    <row r="351" customFormat="false" ht="15" hidden="false" customHeight="false" outlineLevel="0" collapsed="false">
      <c r="A351" s="27"/>
      <c r="B351" s="27"/>
      <c r="C351" s="27"/>
      <c r="D351" s="28"/>
      <c r="E351" s="29"/>
      <c r="F351" s="28"/>
      <c r="G351" s="29"/>
      <c r="H351" s="29"/>
    </row>
    <row r="352" customFormat="false" ht="15" hidden="false" customHeight="false" outlineLevel="0" collapsed="false">
      <c r="A352" s="27"/>
      <c r="B352" s="27"/>
      <c r="C352" s="27"/>
      <c r="D352" s="28"/>
      <c r="E352" s="29"/>
      <c r="F352" s="28"/>
      <c r="G352" s="29"/>
      <c r="H352" s="29"/>
    </row>
    <row r="353" customFormat="false" ht="15" hidden="false" customHeight="false" outlineLevel="0" collapsed="false">
      <c r="A353" s="27"/>
      <c r="B353" s="27"/>
      <c r="C353" s="27"/>
      <c r="D353" s="28"/>
      <c r="E353" s="29"/>
      <c r="F353" s="28"/>
      <c r="G353" s="29"/>
      <c r="H353" s="29"/>
    </row>
    <row r="354" customFormat="false" ht="15" hidden="false" customHeight="false" outlineLevel="0" collapsed="false">
      <c r="A354" s="27"/>
      <c r="B354" s="27"/>
      <c r="C354" s="27"/>
      <c r="D354" s="28"/>
      <c r="E354" s="29"/>
      <c r="F354" s="28"/>
      <c r="G354" s="29"/>
      <c r="H354" s="29"/>
    </row>
    <row r="355" customFormat="false" ht="15" hidden="false" customHeight="false" outlineLevel="0" collapsed="false">
      <c r="A355" s="27"/>
      <c r="B355" s="27"/>
      <c r="C355" s="27"/>
      <c r="D355" s="28"/>
      <c r="E355" s="29"/>
      <c r="F355" s="28"/>
      <c r="G355" s="29"/>
      <c r="H355" s="29"/>
    </row>
    <row r="356" customFormat="false" ht="15" hidden="false" customHeight="false" outlineLevel="0" collapsed="false">
      <c r="A356" s="27"/>
      <c r="B356" s="27"/>
      <c r="C356" s="27"/>
      <c r="D356" s="28"/>
      <c r="E356" s="29"/>
      <c r="F356" s="28"/>
      <c r="G356" s="29"/>
      <c r="H356" s="29"/>
    </row>
    <row r="357" customFormat="false" ht="15" hidden="false" customHeight="false" outlineLevel="0" collapsed="false">
      <c r="A357" s="27"/>
      <c r="B357" s="27"/>
      <c r="C357" s="27"/>
      <c r="D357" s="28"/>
      <c r="E357" s="29"/>
      <c r="F357" s="28"/>
      <c r="G357" s="29"/>
      <c r="H357" s="29"/>
    </row>
    <row r="358" customFormat="false" ht="15" hidden="false" customHeight="false" outlineLevel="0" collapsed="false">
      <c r="A358" s="27"/>
      <c r="B358" s="27"/>
      <c r="C358" s="27"/>
      <c r="D358" s="28"/>
      <c r="E358" s="29"/>
      <c r="F358" s="28"/>
      <c r="G358" s="29"/>
      <c r="H358" s="29"/>
    </row>
    <row r="359" customFormat="false" ht="15" hidden="false" customHeight="false" outlineLevel="0" collapsed="false">
      <c r="A359" s="27"/>
      <c r="B359" s="27"/>
      <c r="C359" s="27"/>
      <c r="D359" s="28"/>
      <c r="E359" s="29"/>
      <c r="F359" s="28"/>
      <c r="G359" s="29"/>
      <c r="H359" s="29"/>
    </row>
    <row r="360" customFormat="false" ht="15" hidden="false" customHeight="false" outlineLevel="0" collapsed="false">
      <c r="A360" s="27"/>
      <c r="B360" s="27"/>
      <c r="C360" s="27"/>
      <c r="D360" s="28"/>
      <c r="E360" s="29"/>
      <c r="F360" s="28"/>
      <c r="G360" s="29"/>
      <c r="H360" s="29"/>
    </row>
    <row r="361" customFormat="false" ht="15" hidden="false" customHeight="false" outlineLevel="0" collapsed="false">
      <c r="A361" s="27"/>
      <c r="B361" s="27"/>
      <c r="C361" s="27"/>
      <c r="D361" s="28"/>
      <c r="E361" s="29"/>
      <c r="F361" s="28"/>
      <c r="G361" s="29"/>
      <c r="H361" s="29"/>
    </row>
    <row r="362" customFormat="false" ht="15" hidden="false" customHeight="false" outlineLevel="0" collapsed="false">
      <c r="A362" s="27"/>
      <c r="B362" s="27"/>
      <c r="C362" s="27"/>
      <c r="D362" s="28"/>
      <c r="E362" s="29"/>
      <c r="F362" s="28"/>
      <c r="G362" s="29"/>
      <c r="H362" s="29"/>
    </row>
    <row r="363" customFormat="false" ht="15" hidden="false" customHeight="false" outlineLevel="0" collapsed="false">
      <c r="A363" s="27"/>
      <c r="B363" s="27"/>
      <c r="C363" s="27"/>
      <c r="D363" s="28"/>
      <c r="E363" s="29"/>
      <c r="F363" s="28"/>
      <c r="G363" s="29"/>
      <c r="H363" s="29"/>
    </row>
    <row r="364" customFormat="false" ht="15" hidden="false" customHeight="false" outlineLevel="0" collapsed="false">
      <c r="A364" s="27"/>
      <c r="B364" s="27"/>
      <c r="C364" s="27"/>
      <c r="D364" s="28"/>
      <c r="E364" s="29"/>
      <c r="F364" s="28"/>
      <c r="G364" s="29"/>
      <c r="H364" s="29"/>
    </row>
    <row r="365" customFormat="false" ht="15" hidden="false" customHeight="false" outlineLevel="0" collapsed="false">
      <c r="A365" s="27"/>
      <c r="B365" s="27"/>
      <c r="C365" s="27"/>
      <c r="D365" s="28"/>
      <c r="E365" s="29"/>
      <c r="F365" s="28"/>
      <c r="G365" s="29"/>
      <c r="H365" s="29"/>
    </row>
    <row r="366" customFormat="false" ht="15" hidden="false" customHeight="false" outlineLevel="0" collapsed="false">
      <c r="A366" s="27"/>
      <c r="B366" s="27"/>
      <c r="C366" s="27"/>
      <c r="D366" s="28"/>
      <c r="E366" s="29"/>
      <c r="F366" s="28"/>
      <c r="G366" s="29"/>
      <c r="H366" s="29"/>
    </row>
    <row r="367" customFormat="false" ht="15" hidden="false" customHeight="false" outlineLevel="0" collapsed="false">
      <c r="A367" s="27"/>
      <c r="B367" s="27"/>
      <c r="C367" s="27"/>
      <c r="D367" s="28"/>
      <c r="E367" s="29"/>
      <c r="F367" s="28"/>
      <c r="G367" s="29"/>
      <c r="H367" s="29"/>
    </row>
    <row r="368" customFormat="false" ht="15" hidden="false" customHeight="false" outlineLevel="0" collapsed="false">
      <c r="A368" s="27"/>
      <c r="B368" s="27"/>
      <c r="C368" s="27"/>
      <c r="D368" s="28"/>
      <c r="E368" s="29"/>
      <c r="F368" s="28"/>
      <c r="G368" s="29"/>
      <c r="H368" s="29"/>
    </row>
    <row r="369" customFormat="false" ht="15" hidden="false" customHeight="false" outlineLevel="0" collapsed="false">
      <c r="A369" s="27"/>
      <c r="B369" s="27"/>
      <c r="C369" s="27"/>
      <c r="D369" s="28"/>
      <c r="E369" s="29"/>
      <c r="F369" s="28"/>
      <c r="G369" s="29"/>
      <c r="H369" s="29"/>
    </row>
    <row r="370" customFormat="false" ht="15" hidden="false" customHeight="false" outlineLevel="0" collapsed="false">
      <c r="A370" s="27"/>
      <c r="B370" s="27"/>
      <c r="C370" s="27"/>
      <c r="D370" s="28"/>
      <c r="E370" s="29"/>
      <c r="F370" s="28"/>
      <c r="G370" s="29"/>
      <c r="H370" s="29"/>
    </row>
    <row r="371" customFormat="false" ht="15" hidden="false" customHeight="false" outlineLevel="0" collapsed="false">
      <c r="A371" s="27"/>
      <c r="B371" s="27"/>
      <c r="C371" s="27"/>
      <c r="D371" s="28"/>
      <c r="E371" s="29"/>
      <c r="F371" s="28"/>
      <c r="G371" s="29"/>
      <c r="H371" s="29"/>
    </row>
    <row r="372" customFormat="false" ht="15" hidden="false" customHeight="false" outlineLevel="0" collapsed="false">
      <c r="A372" s="27"/>
      <c r="B372" s="27"/>
      <c r="C372" s="27"/>
      <c r="D372" s="28"/>
      <c r="E372" s="29"/>
      <c r="F372" s="28"/>
      <c r="G372" s="29"/>
      <c r="H372" s="29"/>
    </row>
    <row r="373" customFormat="false" ht="15" hidden="false" customHeight="false" outlineLevel="0" collapsed="false">
      <c r="A373" s="27"/>
      <c r="B373" s="27"/>
      <c r="C373" s="27"/>
      <c r="D373" s="28"/>
      <c r="E373" s="29"/>
      <c r="F373" s="28"/>
      <c r="G373" s="29"/>
      <c r="H373" s="29"/>
    </row>
    <row r="374" customFormat="false" ht="15" hidden="false" customHeight="false" outlineLevel="0" collapsed="false">
      <c r="A374" s="27"/>
      <c r="B374" s="27"/>
      <c r="C374" s="27"/>
      <c r="D374" s="28"/>
      <c r="E374" s="29"/>
      <c r="F374" s="28"/>
      <c r="G374" s="29"/>
      <c r="H374" s="29"/>
    </row>
    <row r="375" customFormat="false" ht="15" hidden="false" customHeight="false" outlineLevel="0" collapsed="false">
      <c r="A375" s="27"/>
      <c r="B375" s="27"/>
      <c r="C375" s="27"/>
      <c r="D375" s="28"/>
      <c r="E375" s="29"/>
      <c r="F375" s="28"/>
      <c r="G375" s="29"/>
      <c r="H375" s="29"/>
    </row>
    <row r="376" customFormat="false" ht="15" hidden="false" customHeight="false" outlineLevel="0" collapsed="false">
      <c r="A376" s="27"/>
      <c r="B376" s="27"/>
      <c r="C376" s="27"/>
      <c r="D376" s="28"/>
      <c r="E376" s="29"/>
      <c r="F376" s="28"/>
      <c r="G376" s="29"/>
      <c r="H376" s="29"/>
    </row>
    <row r="377" customFormat="false" ht="15" hidden="false" customHeight="false" outlineLevel="0" collapsed="false">
      <c r="A377" s="27"/>
      <c r="B377" s="27"/>
      <c r="C377" s="27"/>
      <c r="D377" s="28"/>
      <c r="E377" s="29"/>
      <c r="F377" s="28"/>
      <c r="G377" s="29"/>
      <c r="H377" s="29"/>
    </row>
    <row r="378" customFormat="false" ht="15" hidden="false" customHeight="false" outlineLevel="0" collapsed="false">
      <c r="A378" s="27"/>
      <c r="B378" s="27"/>
      <c r="C378" s="27"/>
      <c r="D378" s="28"/>
      <c r="E378" s="29"/>
      <c r="F378" s="28"/>
      <c r="G378" s="29"/>
      <c r="H378" s="29"/>
    </row>
    <row r="379" customFormat="false" ht="15" hidden="false" customHeight="false" outlineLevel="0" collapsed="false">
      <c r="A379" s="27"/>
      <c r="B379" s="27"/>
      <c r="C379" s="27"/>
      <c r="D379" s="28"/>
      <c r="E379" s="29"/>
      <c r="F379" s="28"/>
      <c r="G379" s="29"/>
      <c r="H379" s="29"/>
    </row>
    <row r="380" customFormat="false" ht="15" hidden="false" customHeight="false" outlineLevel="0" collapsed="false">
      <c r="A380" s="27"/>
      <c r="B380" s="27"/>
      <c r="C380" s="27"/>
      <c r="D380" s="28"/>
      <c r="E380" s="29"/>
      <c r="F380" s="28"/>
      <c r="G380" s="29"/>
      <c r="H380" s="29"/>
    </row>
    <row r="381" customFormat="false" ht="15" hidden="false" customHeight="false" outlineLevel="0" collapsed="false">
      <c r="A381" s="27"/>
      <c r="B381" s="27"/>
      <c r="C381" s="27"/>
      <c r="D381" s="28"/>
      <c r="E381" s="29"/>
      <c r="F381" s="28"/>
      <c r="G381" s="29"/>
      <c r="H381" s="29"/>
    </row>
    <row r="382" customFormat="false" ht="15" hidden="false" customHeight="false" outlineLevel="0" collapsed="false">
      <c r="A382" s="27"/>
      <c r="B382" s="27"/>
      <c r="C382" s="27"/>
      <c r="D382" s="28"/>
      <c r="E382" s="29"/>
      <c r="F382" s="28"/>
      <c r="G382" s="29"/>
      <c r="H382" s="29"/>
    </row>
    <row r="383" customFormat="false" ht="15" hidden="false" customHeight="false" outlineLevel="0" collapsed="false">
      <c r="A383" s="27"/>
      <c r="B383" s="27"/>
      <c r="C383" s="27"/>
      <c r="D383" s="28"/>
      <c r="E383" s="29"/>
      <c r="F383" s="28"/>
      <c r="G383" s="29"/>
      <c r="H383" s="29"/>
    </row>
    <row r="384" customFormat="false" ht="15" hidden="false" customHeight="false" outlineLevel="0" collapsed="false">
      <c r="A384" s="27"/>
      <c r="B384" s="27"/>
      <c r="C384" s="27"/>
      <c r="D384" s="28"/>
      <c r="E384" s="29"/>
      <c r="F384" s="28"/>
      <c r="G384" s="29"/>
      <c r="H384" s="29"/>
    </row>
    <row r="385" customFormat="false" ht="15" hidden="false" customHeight="false" outlineLevel="0" collapsed="false">
      <c r="A385" s="27"/>
      <c r="B385" s="27"/>
      <c r="C385" s="27"/>
      <c r="D385" s="28"/>
      <c r="E385" s="29"/>
      <c r="F385" s="28"/>
      <c r="G385" s="29"/>
      <c r="H385" s="29"/>
    </row>
    <row r="386" customFormat="false" ht="15" hidden="false" customHeight="false" outlineLevel="0" collapsed="false">
      <c r="A386" s="27"/>
      <c r="B386" s="27"/>
      <c r="C386" s="27"/>
      <c r="D386" s="28"/>
      <c r="E386" s="29"/>
      <c r="F386" s="28"/>
      <c r="G386" s="29"/>
      <c r="H386" s="29"/>
    </row>
    <row r="387" customFormat="false" ht="15" hidden="false" customHeight="false" outlineLevel="0" collapsed="false">
      <c r="A387" s="27"/>
      <c r="B387" s="27"/>
      <c r="C387" s="27"/>
      <c r="D387" s="28"/>
      <c r="E387" s="29"/>
      <c r="F387" s="28"/>
      <c r="G387" s="29"/>
      <c r="H387" s="29"/>
    </row>
    <row r="388" customFormat="false" ht="15" hidden="false" customHeight="false" outlineLevel="0" collapsed="false">
      <c r="A388" s="27"/>
      <c r="B388" s="27"/>
      <c r="C388" s="27"/>
      <c r="D388" s="28"/>
      <c r="E388" s="29"/>
      <c r="F388" s="28"/>
      <c r="G388" s="29"/>
      <c r="H388" s="29"/>
    </row>
    <row r="389" customFormat="false" ht="15" hidden="false" customHeight="false" outlineLevel="0" collapsed="false">
      <c r="A389" s="27"/>
      <c r="B389" s="27"/>
      <c r="C389" s="27"/>
      <c r="D389" s="28"/>
      <c r="E389" s="29"/>
      <c r="F389" s="28"/>
      <c r="G389" s="29"/>
      <c r="H389" s="29"/>
    </row>
    <row r="390" customFormat="false" ht="15" hidden="false" customHeight="false" outlineLevel="0" collapsed="false">
      <c r="A390" s="27"/>
      <c r="B390" s="27"/>
      <c r="C390" s="27"/>
      <c r="D390" s="28"/>
      <c r="E390" s="29"/>
      <c r="F390" s="28"/>
      <c r="G390" s="29"/>
      <c r="H390" s="29"/>
    </row>
    <row r="391" customFormat="false" ht="15" hidden="false" customHeight="false" outlineLevel="0" collapsed="false">
      <c r="A391" s="27"/>
      <c r="B391" s="27"/>
      <c r="C391" s="27"/>
      <c r="D391" s="28"/>
      <c r="E391" s="29"/>
      <c r="F391" s="28"/>
      <c r="G391" s="29"/>
      <c r="H391" s="29"/>
    </row>
    <row r="392" customFormat="false" ht="15" hidden="false" customHeight="false" outlineLevel="0" collapsed="false">
      <c r="A392" s="27"/>
      <c r="B392" s="27"/>
      <c r="C392" s="27"/>
      <c r="D392" s="28"/>
      <c r="E392" s="29"/>
      <c r="F392" s="28"/>
      <c r="G392" s="29"/>
      <c r="H392" s="29"/>
    </row>
    <row r="393" customFormat="false" ht="15" hidden="false" customHeight="false" outlineLevel="0" collapsed="false">
      <c r="A393" s="27"/>
      <c r="B393" s="27"/>
      <c r="C393" s="27"/>
      <c r="D393" s="28"/>
      <c r="E393" s="29"/>
      <c r="F393" s="28"/>
      <c r="G393" s="29"/>
      <c r="H393" s="29"/>
    </row>
    <row r="394" customFormat="false" ht="15" hidden="false" customHeight="false" outlineLevel="0" collapsed="false">
      <c r="A394" s="27"/>
      <c r="B394" s="27"/>
      <c r="C394" s="27"/>
      <c r="D394" s="28"/>
      <c r="E394" s="29"/>
      <c r="F394" s="28"/>
      <c r="G394" s="29"/>
      <c r="H394" s="29"/>
    </row>
    <row r="395" customFormat="false" ht="15" hidden="false" customHeight="false" outlineLevel="0" collapsed="false">
      <c r="A395" s="27"/>
      <c r="B395" s="27"/>
      <c r="C395" s="27"/>
      <c r="D395" s="28"/>
      <c r="E395" s="29"/>
      <c r="F395" s="28"/>
      <c r="G395" s="29"/>
      <c r="H395" s="29"/>
    </row>
    <row r="396" customFormat="false" ht="15" hidden="false" customHeight="false" outlineLevel="0" collapsed="false">
      <c r="A396" s="27"/>
      <c r="B396" s="27"/>
      <c r="C396" s="27"/>
      <c r="D396" s="28"/>
      <c r="E396" s="29"/>
      <c r="F396" s="28"/>
      <c r="G396" s="29"/>
      <c r="H396" s="29"/>
    </row>
    <row r="397" customFormat="false" ht="15" hidden="false" customHeight="false" outlineLevel="0" collapsed="false">
      <c r="A397" s="27"/>
      <c r="B397" s="27"/>
      <c r="C397" s="27"/>
      <c r="D397" s="28"/>
      <c r="E397" s="29"/>
      <c r="F397" s="28"/>
      <c r="G397" s="29"/>
      <c r="H397" s="29"/>
    </row>
    <row r="398" customFormat="false" ht="15" hidden="false" customHeight="false" outlineLevel="0" collapsed="false">
      <c r="A398" s="27"/>
      <c r="B398" s="27"/>
      <c r="C398" s="27"/>
      <c r="D398" s="28"/>
      <c r="E398" s="29"/>
      <c r="F398" s="28"/>
      <c r="G398" s="29"/>
      <c r="H398" s="29"/>
    </row>
    <row r="399" customFormat="false" ht="15" hidden="false" customHeight="false" outlineLevel="0" collapsed="false">
      <c r="A399" s="27"/>
      <c r="B399" s="27"/>
      <c r="C399" s="27"/>
      <c r="D399" s="28"/>
      <c r="E399" s="29"/>
      <c r="F399" s="28"/>
      <c r="G399" s="29"/>
      <c r="H399" s="29"/>
    </row>
    <row r="400" customFormat="false" ht="15" hidden="false" customHeight="false" outlineLevel="0" collapsed="false">
      <c r="A400" s="27"/>
      <c r="B400" s="27"/>
      <c r="C400" s="27"/>
      <c r="D400" s="28"/>
      <c r="E400" s="29"/>
      <c r="F400" s="28"/>
      <c r="G400" s="29"/>
      <c r="H400" s="29"/>
    </row>
    <row r="401" customFormat="false" ht="15" hidden="false" customHeight="false" outlineLevel="0" collapsed="false">
      <c r="A401" s="27"/>
      <c r="B401" s="27"/>
      <c r="C401" s="27"/>
      <c r="D401" s="28"/>
      <c r="E401" s="29"/>
      <c r="F401" s="28"/>
      <c r="G401" s="29"/>
      <c r="H401" s="29"/>
    </row>
    <row r="402" customFormat="false" ht="15" hidden="false" customHeight="false" outlineLevel="0" collapsed="false">
      <c r="A402" s="27"/>
      <c r="B402" s="27"/>
      <c r="C402" s="27"/>
      <c r="D402" s="28"/>
      <c r="E402" s="29"/>
      <c r="F402" s="28"/>
      <c r="G402" s="29"/>
      <c r="H402" s="29"/>
    </row>
    <row r="403" customFormat="false" ht="15" hidden="false" customHeight="false" outlineLevel="0" collapsed="false">
      <c r="A403" s="27"/>
      <c r="B403" s="27"/>
      <c r="C403" s="27"/>
      <c r="D403" s="28"/>
      <c r="E403" s="29"/>
      <c r="F403" s="28"/>
      <c r="G403" s="29"/>
      <c r="H403" s="29"/>
    </row>
    <row r="404" customFormat="false" ht="15" hidden="false" customHeight="false" outlineLevel="0" collapsed="false">
      <c r="A404" s="27"/>
      <c r="B404" s="27"/>
      <c r="C404" s="27"/>
      <c r="D404" s="28"/>
      <c r="E404" s="29"/>
      <c r="F404" s="28"/>
      <c r="G404" s="29"/>
      <c r="H404" s="29"/>
    </row>
    <row r="405" customFormat="false" ht="15" hidden="false" customHeight="false" outlineLevel="0" collapsed="false">
      <c r="A405" s="27"/>
      <c r="B405" s="27"/>
      <c r="C405" s="27"/>
      <c r="D405" s="28"/>
      <c r="E405" s="29"/>
      <c r="F405" s="28"/>
      <c r="G405" s="29"/>
      <c r="H405" s="29"/>
    </row>
    <row r="406" customFormat="false" ht="15" hidden="false" customHeight="false" outlineLevel="0" collapsed="false">
      <c r="A406" s="27"/>
      <c r="B406" s="27"/>
      <c r="C406" s="27"/>
      <c r="D406" s="28"/>
      <c r="E406" s="29"/>
      <c r="F406" s="28"/>
      <c r="G406" s="29"/>
      <c r="H406" s="29"/>
    </row>
    <row r="407" customFormat="false" ht="15" hidden="false" customHeight="false" outlineLevel="0" collapsed="false">
      <c r="A407" s="27"/>
      <c r="B407" s="27"/>
      <c r="C407" s="27"/>
      <c r="D407" s="28"/>
      <c r="E407" s="29"/>
      <c r="F407" s="28"/>
      <c r="G407" s="29"/>
      <c r="H407" s="29"/>
    </row>
    <row r="408" customFormat="false" ht="15" hidden="false" customHeight="false" outlineLevel="0" collapsed="false">
      <c r="A408" s="27"/>
      <c r="B408" s="27"/>
      <c r="C408" s="27"/>
      <c r="D408" s="28"/>
      <c r="E408" s="29"/>
      <c r="F408" s="28"/>
      <c r="G408" s="29"/>
      <c r="H408" s="29"/>
    </row>
    <row r="409" customFormat="false" ht="15" hidden="false" customHeight="false" outlineLevel="0" collapsed="false">
      <c r="A409" s="27"/>
      <c r="B409" s="27"/>
      <c r="C409" s="27"/>
      <c r="D409" s="28"/>
      <c r="E409" s="29"/>
      <c r="F409" s="28"/>
      <c r="G409" s="29"/>
      <c r="H409" s="29"/>
    </row>
    <row r="410" customFormat="false" ht="15" hidden="false" customHeight="false" outlineLevel="0" collapsed="false">
      <c r="A410" s="27"/>
      <c r="B410" s="27"/>
      <c r="C410" s="27"/>
      <c r="D410" s="28"/>
      <c r="E410" s="29"/>
      <c r="F410" s="28"/>
      <c r="G410" s="29"/>
      <c r="H410" s="29"/>
    </row>
    <row r="411" customFormat="false" ht="15" hidden="false" customHeight="false" outlineLevel="0" collapsed="false">
      <c r="A411" s="27"/>
      <c r="B411" s="27"/>
      <c r="C411" s="27"/>
      <c r="D411" s="28"/>
      <c r="E411" s="29"/>
      <c r="F411" s="28"/>
      <c r="G411" s="29"/>
      <c r="H411" s="29"/>
    </row>
    <row r="412" customFormat="false" ht="15" hidden="false" customHeight="false" outlineLevel="0" collapsed="false">
      <c r="A412" s="27"/>
      <c r="B412" s="27"/>
      <c r="C412" s="27"/>
      <c r="D412" s="28"/>
      <c r="E412" s="29"/>
      <c r="F412" s="28"/>
      <c r="G412" s="29"/>
      <c r="H412" s="29"/>
    </row>
    <row r="413" customFormat="false" ht="15" hidden="false" customHeight="false" outlineLevel="0" collapsed="false">
      <c r="A413" s="27"/>
      <c r="B413" s="27"/>
      <c r="C413" s="27"/>
      <c r="D413" s="28"/>
      <c r="E413" s="29"/>
      <c r="F413" s="28"/>
      <c r="G413" s="29"/>
      <c r="H413" s="29"/>
    </row>
    <row r="414" customFormat="false" ht="15" hidden="false" customHeight="false" outlineLevel="0" collapsed="false">
      <c r="A414" s="27"/>
      <c r="B414" s="27"/>
      <c r="C414" s="27"/>
      <c r="D414" s="28"/>
      <c r="E414" s="29"/>
      <c r="F414" s="28"/>
      <c r="G414" s="29"/>
      <c r="H414" s="29"/>
    </row>
    <row r="415" customFormat="false" ht="15" hidden="false" customHeight="false" outlineLevel="0" collapsed="false">
      <c r="A415" s="27"/>
      <c r="B415" s="27"/>
      <c r="C415" s="27"/>
      <c r="D415" s="28"/>
      <c r="E415" s="29"/>
      <c r="F415" s="28"/>
      <c r="G415" s="29"/>
      <c r="H415" s="29"/>
    </row>
    <row r="416" customFormat="false" ht="15" hidden="false" customHeight="false" outlineLevel="0" collapsed="false">
      <c r="A416" s="27"/>
      <c r="B416" s="27"/>
      <c r="C416" s="27"/>
      <c r="D416" s="28"/>
      <c r="E416" s="29"/>
      <c r="F416" s="28"/>
      <c r="G416" s="29"/>
      <c r="H416" s="29"/>
    </row>
    <row r="417" customFormat="false" ht="15" hidden="false" customHeight="false" outlineLevel="0" collapsed="false">
      <c r="A417" s="27"/>
      <c r="B417" s="27"/>
      <c r="C417" s="27"/>
      <c r="D417" s="28"/>
      <c r="E417" s="29"/>
      <c r="F417" s="28"/>
      <c r="G417" s="29"/>
      <c r="H417" s="29"/>
    </row>
    <row r="418" customFormat="false" ht="15" hidden="false" customHeight="false" outlineLevel="0" collapsed="false">
      <c r="A418" s="27"/>
      <c r="B418" s="27"/>
      <c r="C418" s="27"/>
      <c r="D418" s="28"/>
      <c r="E418" s="29"/>
      <c r="F418" s="28"/>
      <c r="G418" s="29"/>
      <c r="H418" s="29"/>
    </row>
    <row r="419" customFormat="false" ht="15" hidden="false" customHeight="false" outlineLevel="0" collapsed="false">
      <c r="A419" s="27"/>
      <c r="B419" s="27"/>
      <c r="C419" s="27"/>
      <c r="D419" s="28"/>
      <c r="E419" s="29"/>
      <c r="F419" s="28"/>
      <c r="G419" s="29"/>
      <c r="H419" s="29"/>
    </row>
    <row r="420" customFormat="false" ht="15" hidden="false" customHeight="false" outlineLevel="0" collapsed="false">
      <c r="A420" s="27"/>
      <c r="B420" s="27"/>
      <c r="C420" s="27"/>
      <c r="D420" s="28"/>
      <c r="E420" s="29"/>
      <c r="F420" s="28"/>
      <c r="G420" s="29"/>
      <c r="H420" s="29"/>
    </row>
    <row r="421" customFormat="false" ht="15" hidden="false" customHeight="false" outlineLevel="0" collapsed="false">
      <c r="A421" s="27"/>
      <c r="B421" s="27"/>
      <c r="C421" s="27"/>
      <c r="D421" s="28"/>
      <c r="E421" s="29"/>
      <c r="F421" s="28"/>
      <c r="G421" s="29"/>
      <c r="H421" s="29"/>
    </row>
    <row r="422" customFormat="false" ht="15" hidden="false" customHeight="false" outlineLevel="0" collapsed="false">
      <c r="A422" s="27"/>
      <c r="B422" s="27"/>
      <c r="C422" s="27"/>
      <c r="D422" s="28"/>
      <c r="E422" s="29"/>
      <c r="F422" s="28"/>
      <c r="G422" s="29"/>
      <c r="H422" s="29"/>
    </row>
    <row r="423" customFormat="false" ht="15" hidden="false" customHeight="false" outlineLevel="0" collapsed="false">
      <c r="A423" s="27"/>
      <c r="B423" s="27"/>
      <c r="C423" s="27"/>
      <c r="D423" s="28"/>
      <c r="E423" s="29"/>
      <c r="F423" s="28"/>
      <c r="G423" s="29"/>
      <c r="H423" s="29"/>
    </row>
    <row r="424" customFormat="false" ht="15" hidden="false" customHeight="false" outlineLevel="0" collapsed="false">
      <c r="A424" s="27"/>
      <c r="B424" s="27"/>
      <c r="C424" s="27"/>
      <c r="D424" s="28"/>
      <c r="E424" s="29"/>
      <c r="F424" s="28"/>
      <c r="G424" s="29"/>
      <c r="H424" s="29"/>
    </row>
    <row r="425" customFormat="false" ht="15" hidden="false" customHeight="false" outlineLevel="0" collapsed="false">
      <c r="A425" s="27"/>
      <c r="B425" s="27"/>
      <c r="C425" s="27"/>
      <c r="D425" s="28"/>
      <c r="E425" s="29"/>
      <c r="F425" s="28"/>
      <c r="G425" s="29"/>
      <c r="H425" s="29"/>
    </row>
    <row r="426" customFormat="false" ht="15" hidden="false" customHeight="false" outlineLevel="0" collapsed="false">
      <c r="A426" s="27"/>
      <c r="B426" s="27"/>
      <c r="C426" s="27"/>
      <c r="D426" s="28"/>
      <c r="E426" s="29"/>
      <c r="F426" s="28"/>
      <c r="G426" s="29"/>
      <c r="H426" s="29"/>
    </row>
    <row r="427" customFormat="false" ht="15" hidden="false" customHeight="false" outlineLevel="0" collapsed="false">
      <c r="A427" s="27"/>
      <c r="B427" s="27"/>
      <c r="C427" s="27"/>
      <c r="D427" s="28"/>
      <c r="E427" s="29"/>
      <c r="F427" s="28"/>
      <c r="G427" s="29"/>
      <c r="H427" s="29"/>
    </row>
    <row r="428" customFormat="false" ht="15" hidden="false" customHeight="false" outlineLevel="0" collapsed="false">
      <c r="A428" s="27"/>
      <c r="B428" s="27"/>
      <c r="C428" s="27"/>
      <c r="D428" s="28"/>
      <c r="E428" s="29"/>
      <c r="F428" s="28"/>
      <c r="G428" s="29"/>
      <c r="H428" s="29"/>
    </row>
    <row r="429" customFormat="false" ht="15" hidden="false" customHeight="false" outlineLevel="0" collapsed="false">
      <c r="A429" s="27"/>
      <c r="B429" s="27"/>
      <c r="C429" s="27"/>
      <c r="D429" s="28"/>
      <c r="E429" s="29"/>
      <c r="F429" s="28"/>
      <c r="G429" s="29"/>
      <c r="H429" s="29"/>
    </row>
    <row r="430" customFormat="false" ht="15" hidden="false" customHeight="false" outlineLevel="0" collapsed="false">
      <c r="A430" s="27"/>
      <c r="B430" s="27"/>
      <c r="C430" s="27"/>
      <c r="D430" s="28"/>
      <c r="E430" s="29"/>
      <c r="F430" s="28"/>
      <c r="G430" s="29"/>
      <c r="H430" s="29"/>
    </row>
    <row r="431" customFormat="false" ht="15" hidden="false" customHeight="false" outlineLevel="0" collapsed="false">
      <c r="A431" s="27"/>
      <c r="B431" s="27"/>
      <c r="C431" s="27"/>
      <c r="D431" s="28"/>
      <c r="E431" s="29"/>
      <c r="F431" s="28"/>
      <c r="G431" s="29"/>
      <c r="H431" s="29"/>
    </row>
    <row r="432" customFormat="false" ht="15" hidden="false" customHeight="false" outlineLevel="0" collapsed="false">
      <c r="A432" s="27"/>
      <c r="B432" s="27"/>
      <c r="C432" s="27"/>
      <c r="D432" s="28"/>
      <c r="E432" s="29"/>
      <c r="F432" s="28"/>
      <c r="G432" s="29"/>
      <c r="H432" s="29"/>
    </row>
    <row r="433" customFormat="false" ht="15" hidden="false" customHeight="false" outlineLevel="0" collapsed="false">
      <c r="A433" s="27"/>
      <c r="B433" s="27"/>
      <c r="C433" s="27"/>
      <c r="D433" s="28"/>
      <c r="E433" s="29"/>
      <c r="F433" s="28"/>
      <c r="G433" s="29"/>
      <c r="H433" s="29"/>
    </row>
    <row r="434" customFormat="false" ht="15" hidden="false" customHeight="false" outlineLevel="0" collapsed="false">
      <c r="A434" s="27"/>
      <c r="B434" s="27"/>
      <c r="C434" s="27"/>
      <c r="D434" s="28"/>
      <c r="E434" s="29"/>
      <c r="F434" s="28"/>
      <c r="G434" s="29"/>
      <c r="H434" s="29"/>
    </row>
    <row r="435" customFormat="false" ht="15" hidden="false" customHeight="false" outlineLevel="0" collapsed="false">
      <c r="A435" s="27"/>
      <c r="B435" s="27"/>
      <c r="C435" s="27"/>
      <c r="D435" s="28"/>
      <c r="E435" s="29"/>
      <c r="F435" s="28"/>
      <c r="G435" s="29"/>
      <c r="H435" s="29"/>
    </row>
    <row r="436" customFormat="false" ht="15" hidden="false" customHeight="false" outlineLevel="0" collapsed="false">
      <c r="A436" s="27"/>
      <c r="B436" s="27"/>
      <c r="C436" s="27"/>
      <c r="D436" s="28"/>
      <c r="E436" s="29"/>
      <c r="F436" s="28"/>
      <c r="G436" s="29"/>
      <c r="H436" s="29"/>
    </row>
    <row r="437" customFormat="false" ht="15" hidden="false" customHeight="false" outlineLevel="0" collapsed="false">
      <c r="A437" s="27"/>
      <c r="B437" s="27"/>
      <c r="C437" s="27"/>
      <c r="D437" s="28"/>
      <c r="E437" s="29"/>
      <c r="F437" s="28"/>
      <c r="G437" s="29"/>
      <c r="H437" s="29"/>
    </row>
    <row r="438" customFormat="false" ht="15" hidden="false" customHeight="false" outlineLevel="0" collapsed="false">
      <c r="A438" s="27"/>
      <c r="B438" s="27"/>
      <c r="C438" s="27"/>
      <c r="D438" s="28"/>
      <c r="E438" s="29"/>
      <c r="F438" s="28"/>
      <c r="G438" s="29"/>
      <c r="H438" s="29"/>
    </row>
    <row r="439" customFormat="false" ht="15" hidden="false" customHeight="false" outlineLevel="0" collapsed="false">
      <c r="A439" s="27"/>
      <c r="B439" s="27"/>
      <c r="C439" s="27"/>
      <c r="D439" s="28"/>
      <c r="E439" s="29"/>
      <c r="F439" s="28"/>
      <c r="G439" s="29"/>
      <c r="H439" s="29"/>
    </row>
    <row r="440" customFormat="false" ht="15" hidden="false" customHeight="false" outlineLevel="0" collapsed="false">
      <c r="A440" s="27"/>
      <c r="B440" s="27"/>
      <c r="C440" s="27"/>
      <c r="D440" s="28"/>
      <c r="E440" s="29"/>
      <c r="F440" s="28"/>
      <c r="G440" s="29"/>
      <c r="H440" s="29"/>
    </row>
    <row r="441" customFormat="false" ht="15" hidden="false" customHeight="false" outlineLevel="0" collapsed="false">
      <c r="A441" s="27"/>
      <c r="B441" s="27"/>
      <c r="C441" s="27"/>
      <c r="D441" s="28"/>
      <c r="E441" s="29"/>
      <c r="F441" s="28"/>
      <c r="G441" s="29"/>
      <c r="H441" s="29"/>
    </row>
    <row r="442" customFormat="false" ht="15" hidden="false" customHeight="false" outlineLevel="0" collapsed="false">
      <c r="A442" s="27"/>
      <c r="B442" s="27"/>
      <c r="C442" s="27"/>
      <c r="D442" s="28"/>
      <c r="E442" s="29"/>
      <c r="F442" s="28"/>
      <c r="G442" s="29"/>
      <c r="H442" s="29"/>
    </row>
    <row r="443" customFormat="false" ht="15" hidden="false" customHeight="false" outlineLevel="0" collapsed="false">
      <c r="A443" s="27"/>
      <c r="B443" s="27"/>
      <c r="C443" s="27"/>
      <c r="D443" s="28"/>
      <c r="E443" s="29"/>
      <c r="F443" s="28"/>
      <c r="G443" s="29"/>
      <c r="H443" s="29"/>
    </row>
    <row r="444" customFormat="false" ht="15" hidden="false" customHeight="false" outlineLevel="0" collapsed="false">
      <c r="A444" s="27"/>
      <c r="B444" s="27"/>
      <c r="C444" s="27"/>
      <c r="D444" s="28"/>
      <c r="E444" s="29"/>
      <c r="F444" s="28"/>
      <c r="G444" s="29"/>
      <c r="H444" s="29"/>
    </row>
    <row r="445" customFormat="false" ht="15" hidden="false" customHeight="false" outlineLevel="0" collapsed="false">
      <c r="A445" s="27"/>
      <c r="B445" s="27"/>
      <c r="C445" s="27"/>
      <c r="D445" s="28"/>
      <c r="E445" s="29"/>
      <c r="F445" s="28"/>
      <c r="G445" s="29"/>
      <c r="H445" s="29"/>
    </row>
    <row r="446" customFormat="false" ht="15" hidden="false" customHeight="false" outlineLevel="0" collapsed="false">
      <c r="A446" s="27"/>
      <c r="B446" s="27"/>
      <c r="C446" s="27"/>
      <c r="D446" s="28"/>
      <c r="E446" s="29"/>
      <c r="F446" s="28"/>
      <c r="G446" s="29"/>
      <c r="H446" s="29"/>
    </row>
    <row r="447" customFormat="false" ht="15" hidden="false" customHeight="false" outlineLevel="0" collapsed="false">
      <c r="A447" s="27"/>
      <c r="B447" s="27"/>
      <c r="C447" s="27"/>
      <c r="D447" s="28"/>
      <c r="E447" s="29"/>
      <c r="F447" s="28"/>
      <c r="G447" s="29"/>
      <c r="H447" s="29"/>
    </row>
    <row r="448" customFormat="false" ht="15" hidden="false" customHeight="false" outlineLevel="0" collapsed="false">
      <c r="A448" s="27"/>
      <c r="B448" s="27"/>
      <c r="C448" s="27"/>
      <c r="D448" s="28"/>
      <c r="E448" s="29"/>
      <c r="F448" s="28"/>
      <c r="G448" s="29"/>
      <c r="H448" s="29"/>
    </row>
    <row r="449" customFormat="false" ht="15" hidden="false" customHeight="false" outlineLevel="0" collapsed="false">
      <c r="A449" s="27"/>
      <c r="B449" s="27"/>
      <c r="C449" s="27"/>
      <c r="D449" s="28"/>
      <c r="E449" s="29"/>
      <c r="F449" s="28"/>
      <c r="G449" s="29"/>
      <c r="H449" s="29"/>
    </row>
    <row r="450" customFormat="false" ht="15" hidden="false" customHeight="false" outlineLevel="0" collapsed="false">
      <c r="A450" s="27"/>
      <c r="B450" s="27"/>
      <c r="C450" s="27"/>
      <c r="D450" s="28"/>
      <c r="E450" s="29"/>
      <c r="F450" s="28"/>
      <c r="G450" s="29"/>
      <c r="H450" s="29"/>
    </row>
    <row r="451" customFormat="false" ht="15" hidden="false" customHeight="false" outlineLevel="0" collapsed="false">
      <c r="A451" s="27"/>
      <c r="B451" s="27"/>
      <c r="C451" s="27"/>
      <c r="D451" s="28"/>
      <c r="E451" s="29"/>
      <c r="F451" s="28"/>
      <c r="G451" s="29"/>
      <c r="H451" s="29"/>
    </row>
    <row r="452" customFormat="false" ht="15" hidden="false" customHeight="false" outlineLevel="0" collapsed="false">
      <c r="A452" s="27"/>
      <c r="B452" s="27"/>
      <c r="C452" s="27"/>
      <c r="D452" s="28"/>
      <c r="E452" s="29"/>
      <c r="F452" s="28"/>
      <c r="G452" s="29"/>
      <c r="H452" s="29"/>
    </row>
    <row r="453" customFormat="false" ht="15" hidden="false" customHeight="false" outlineLevel="0" collapsed="false">
      <c r="A453" s="27"/>
      <c r="B453" s="27"/>
      <c r="C453" s="27"/>
      <c r="D453" s="28"/>
      <c r="E453" s="29"/>
      <c r="F453" s="28"/>
      <c r="G453" s="29"/>
      <c r="H453" s="29"/>
    </row>
    <row r="454" customFormat="false" ht="15" hidden="false" customHeight="false" outlineLevel="0" collapsed="false">
      <c r="A454" s="27"/>
      <c r="B454" s="27"/>
      <c r="C454" s="27"/>
      <c r="D454" s="28"/>
      <c r="E454" s="29"/>
      <c r="F454" s="28"/>
      <c r="G454" s="29"/>
      <c r="H454" s="29"/>
    </row>
    <row r="455" customFormat="false" ht="15" hidden="false" customHeight="false" outlineLevel="0" collapsed="false">
      <c r="A455" s="27"/>
      <c r="B455" s="27"/>
      <c r="C455" s="27"/>
      <c r="D455" s="28"/>
      <c r="E455" s="29"/>
      <c r="F455" s="28"/>
      <c r="G455" s="29"/>
      <c r="H455" s="29"/>
    </row>
    <row r="456" customFormat="false" ht="15" hidden="false" customHeight="false" outlineLevel="0" collapsed="false">
      <c r="A456" s="27"/>
      <c r="B456" s="27"/>
      <c r="C456" s="27"/>
      <c r="D456" s="28"/>
      <c r="E456" s="29"/>
      <c r="F456" s="28"/>
      <c r="G456" s="29"/>
      <c r="H456" s="29"/>
    </row>
    <row r="457" customFormat="false" ht="15" hidden="false" customHeight="false" outlineLevel="0" collapsed="false">
      <c r="A457" s="27"/>
      <c r="B457" s="27"/>
      <c r="C457" s="27"/>
      <c r="D457" s="28"/>
      <c r="E457" s="29"/>
      <c r="F457" s="28"/>
      <c r="G457" s="29"/>
      <c r="H457" s="29"/>
    </row>
    <row r="458" customFormat="false" ht="15" hidden="false" customHeight="false" outlineLevel="0" collapsed="false">
      <c r="A458" s="27"/>
      <c r="B458" s="27"/>
      <c r="C458" s="27"/>
      <c r="D458" s="28"/>
      <c r="E458" s="29"/>
      <c r="F458" s="28"/>
      <c r="G458" s="29"/>
      <c r="H458" s="29"/>
    </row>
    <row r="459" customFormat="false" ht="15" hidden="false" customHeight="false" outlineLevel="0" collapsed="false">
      <c r="A459" s="27"/>
      <c r="B459" s="27"/>
      <c r="C459" s="27"/>
      <c r="D459" s="28"/>
      <c r="E459" s="29"/>
      <c r="F459" s="28"/>
      <c r="G459" s="29"/>
      <c r="H459" s="29"/>
    </row>
    <row r="460" customFormat="false" ht="15" hidden="false" customHeight="false" outlineLevel="0" collapsed="false">
      <c r="A460" s="27"/>
      <c r="B460" s="27"/>
      <c r="C460" s="27"/>
      <c r="D460" s="28"/>
      <c r="E460" s="29"/>
      <c r="F460" s="28"/>
      <c r="G460" s="29"/>
      <c r="H460" s="29"/>
    </row>
    <row r="461" customFormat="false" ht="15" hidden="false" customHeight="false" outlineLevel="0" collapsed="false">
      <c r="A461" s="27"/>
      <c r="B461" s="27"/>
      <c r="C461" s="27"/>
      <c r="D461" s="28"/>
      <c r="E461" s="29"/>
      <c r="F461" s="28"/>
      <c r="G461" s="29"/>
      <c r="H461" s="29"/>
    </row>
    <row r="462" customFormat="false" ht="15" hidden="false" customHeight="false" outlineLevel="0" collapsed="false">
      <c r="A462" s="27"/>
      <c r="B462" s="27"/>
      <c r="C462" s="27"/>
      <c r="D462" s="28"/>
      <c r="E462" s="29"/>
      <c r="F462" s="28"/>
      <c r="G462" s="29"/>
      <c r="H462" s="29"/>
    </row>
    <row r="463" customFormat="false" ht="15" hidden="false" customHeight="false" outlineLevel="0" collapsed="false">
      <c r="A463" s="27"/>
      <c r="B463" s="27"/>
      <c r="C463" s="27"/>
      <c r="D463" s="28"/>
      <c r="E463" s="29"/>
      <c r="F463" s="28"/>
      <c r="G463" s="29"/>
      <c r="H463" s="29"/>
    </row>
    <row r="464" customFormat="false" ht="15" hidden="false" customHeight="false" outlineLevel="0" collapsed="false">
      <c r="A464" s="27"/>
      <c r="B464" s="27"/>
      <c r="C464" s="27"/>
      <c r="D464" s="28"/>
      <c r="E464" s="29"/>
      <c r="F464" s="28"/>
      <c r="G464" s="29"/>
      <c r="H464" s="29"/>
    </row>
    <row r="465" customFormat="false" ht="15" hidden="false" customHeight="false" outlineLevel="0" collapsed="false">
      <c r="A465" s="27"/>
      <c r="B465" s="27"/>
      <c r="C465" s="27"/>
      <c r="D465" s="28"/>
      <c r="E465" s="29"/>
      <c r="F465" s="28"/>
      <c r="G465" s="29"/>
      <c r="H465" s="29"/>
    </row>
    <row r="466" customFormat="false" ht="15" hidden="false" customHeight="false" outlineLevel="0" collapsed="false">
      <c r="A466" s="27"/>
      <c r="B466" s="27"/>
      <c r="C466" s="27"/>
      <c r="D466" s="28"/>
      <c r="E466" s="29"/>
      <c r="F466" s="28"/>
      <c r="G466" s="29"/>
      <c r="H466" s="29"/>
    </row>
    <row r="467" customFormat="false" ht="15" hidden="false" customHeight="false" outlineLevel="0" collapsed="false">
      <c r="A467" s="27"/>
      <c r="B467" s="27"/>
      <c r="C467" s="27"/>
      <c r="D467" s="28"/>
      <c r="E467" s="29"/>
      <c r="F467" s="28"/>
      <c r="G467" s="29"/>
      <c r="H467" s="29"/>
    </row>
    <row r="468" customFormat="false" ht="15" hidden="false" customHeight="false" outlineLevel="0" collapsed="false">
      <c r="A468" s="27"/>
      <c r="B468" s="27"/>
      <c r="C468" s="27"/>
      <c r="D468" s="28"/>
      <c r="E468" s="29"/>
      <c r="F468" s="28"/>
      <c r="G468" s="29"/>
      <c r="H468" s="29"/>
    </row>
    <row r="469" customFormat="false" ht="15" hidden="false" customHeight="false" outlineLevel="0" collapsed="false">
      <c r="A469" s="27"/>
      <c r="B469" s="27"/>
      <c r="C469" s="27"/>
      <c r="D469" s="28"/>
      <c r="E469" s="29"/>
      <c r="F469" s="28"/>
      <c r="G469" s="29"/>
      <c r="H469" s="29"/>
    </row>
    <row r="470" customFormat="false" ht="15" hidden="false" customHeight="false" outlineLevel="0" collapsed="false">
      <c r="A470" s="27"/>
      <c r="B470" s="27"/>
      <c r="C470" s="27"/>
      <c r="D470" s="28"/>
      <c r="E470" s="29"/>
      <c r="F470" s="28"/>
      <c r="G470" s="29"/>
      <c r="H470" s="29"/>
    </row>
    <row r="471" customFormat="false" ht="15" hidden="false" customHeight="false" outlineLevel="0" collapsed="false">
      <c r="A471" s="27"/>
      <c r="B471" s="27"/>
      <c r="C471" s="27"/>
      <c r="D471" s="28"/>
      <c r="E471" s="29"/>
      <c r="F471" s="28"/>
      <c r="G471" s="29"/>
      <c r="H471" s="29"/>
    </row>
    <row r="472" customFormat="false" ht="15" hidden="false" customHeight="false" outlineLevel="0" collapsed="false">
      <c r="A472" s="27"/>
      <c r="B472" s="27"/>
      <c r="C472" s="27"/>
      <c r="D472" s="28"/>
      <c r="E472" s="29"/>
      <c r="F472" s="28"/>
      <c r="G472" s="29"/>
      <c r="H472" s="29"/>
    </row>
    <row r="473" customFormat="false" ht="15" hidden="false" customHeight="false" outlineLevel="0" collapsed="false">
      <c r="A473" s="27"/>
      <c r="B473" s="27"/>
      <c r="C473" s="27"/>
      <c r="D473" s="28"/>
      <c r="E473" s="29"/>
      <c r="F473" s="28"/>
      <c r="G473" s="29"/>
      <c r="H473" s="29"/>
    </row>
    <row r="474" customFormat="false" ht="15" hidden="false" customHeight="false" outlineLevel="0" collapsed="false">
      <c r="A474" s="27"/>
      <c r="B474" s="27"/>
      <c r="C474" s="27"/>
      <c r="D474" s="28"/>
      <c r="E474" s="29"/>
      <c r="F474" s="28"/>
      <c r="G474" s="29"/>
      <c r="H474" s="29"/>
    </row>
    <row r="475" customFormat="false" ht="15" hidden="false" customHeight="false" outlineLevel="0" collapsed="false">
      <c r="A475" s="27"/>
      <c r="B475" s="27"/>
      <c r="C475" s="27"/>
      <c r="D475" s="28"/>
      <c r="E475" s="29"/>
      <c r="F475" s="28"/>
      <c r="G475" s="29"/>
      <c r="H475" s="29"/>
    </row>
    <row r="476" customFormat="false" ht="15" hidden="false" customHeight="false" outlineLevel="0" collapsed="false">
      <c r="A476" s="27"/>
      <c r="B476" s="27"/>
      <c r="C476" s="27"/>
      <c r="D476" s="28"/>
      <c r="E476" s="29"/>
      <c r="F476" s="28"/>
      <c r="G476" s="29"/>
      <c r="H476" s="29"/>
    </row>
    <row r="477" customFormat="false" ht="15" hidden="false" customHeight="false" outlineLevel="0" collapsed="false">
      <c r="A477" s="27"/>
      <c r="B477" s="27"/>
      <c r="C477" s="27"/>
      <c r="D477" s="28"/>
      <c r="E477" s="29"/>
      <c r="F477" s="28"/>
      <c r="G477" s="29"/>
      <c r="H477" s="29"/>
    </row>
    <row r="478" customFormat="false" ht="15" hidden="false" customHeight="false" outlineLevel="0" collapsed="false">
      <c r="A478" s="27"/>
      <c r="B478" s="27"/>
      <c r="C478" s="27"/>
      <c r="D478" s="28"/>
      <c r="E478" s="29"/>
      <c r="F478" s="28"/>
      <c r="G478" s="29"/>
      <c r="H478" s="29"/>
    </row>
    <row r="479" customFormat="false" ht="15" hidden="false" customHeight="false" outlineLevel="0" collapsed="false">
      <c r="A479" s="27"/>
      <c r="B479" s="27"/>
      <c r="C479" s="27"/>
      <c r="D479" s="28"/>
      <c r="E479" s="29"/>
      <c r="F479" s="28"/>
      <c r="G479" s="29"/>
      <c r="H479" s="29"/>
    </row>
    <row r="480" customFormat="false" ht="15" hidden="false" customHeight="false" outlineLevel="0" collapsed="false">
      <c r="A480" s="27"/>
      <c r="B480" s="27"/>
      <c r="C480" s="27"/>
      <c r="D480" s="28"/>
      <c r="E480" s="29"/>
      <c r="F480" s="28"/>
      <c r="G480" s="29"/>
      <c r="H480" s="29"/>
    </row>
    <row r="481" customFormat="false" ht="15" hidden="false" customHeight="false" outlineLevel="0" collapsed="false">
      <c r="A481" s="27"/>
      <c r="B481" s="27"/>
      <c r="C481" s="27"/>
      <c r="D481" s="28"/>
      <c r="E481" s="29"/>
      <c r="F481" s="28"/>
      <c r="G481" s="29"/>
      <c r="H481" s="29"/>
    </row>
    <row r="482" customFormat="false" ht="15" hidden="false" customHeight="false" outlineLevel="0" collapsed="false">
      <c r="A482" s="27"/>
      <c r="B482" s="27"/>
      <c r="C482" s="27"/>
      <c r="D482" s="28"/>
      <c r="E482" s="29"/>
      <c r="F482" s="28"/>
      <c r="G482" s="29"/>
      <c r="H482" s="29"/>
    </row>
    <row r="483" customFormat="false" ht="15" hidden="false" customHeight="false" outlineLevel="0" collapsed="false">
      <c r="A483" s="27"/>
      <c r="B483" s="27"/>
      <c r="C483" s="27"/>
      <c r="D483" s="28"/>
      <c r="E483" s="29"/>
      <c r="F483" s="28"/>
      <c r="G483" s="29"/>
      <c r="H483" s="29"/>
    </row>
    <row r="484" customFormat="false" ht="15" hidden="false" customHeight="false" outlineLevel="0" collapsed="false">
      <c r="A484" s="27"/>
      <c r="B484" s="27"/>
      <c r="C484" s="27"/>
      <c r="D484" s="28"/>
      <c r="E484" s="29"/>
      <c r="F484" s="28"/>
      <c r="G484" s="29"/>
      <c r="H484" s="29"/>
    </row>
    <row r="485" customFormat="false" ht="15" hidden="false" customHeight="false" outlineLevel="0" collapsed="false">
      <c r="A485" s="27"/>
      <c r="B485" s="27"/>
      <c r="C485" s="27"/>
      <c r="D485" s="28"/>
      <c r="E485" s="29"/>
      <c r="F485" s="28"/>
      <c r="G485" s="29"/>
      <c r="H485" s="29"/>
    </row>
    <row r="486" customFormat="false" ht="15" hidden="false" customHeight="false" outlineLevel="0" collapsed="false">
      <c r="A486" s="27"/>
      <c r="B486" s="27"/>
      <c r="C486" s="27"/>
      <c r="D486" s="28"/>
      <c r="E486" s="29"/>
      <c r="F486" s="28"/>
      <c r="G486" s="29"/>
      <c r="H486" s="29"/>
    </row>
    <row r="487" customFormat="false" ht="15" hidden="false" customHeight="false" outlineLevel="0" collapsed="false">
      <c r="A487" s="27"/>
      <c r="B487" s="27"/>
      <c r="C487" s="27"/>
      <c r="D487" s="28"/>
      <c r="E487" s="29"/>
      <c r="F487" s="28"/>
      <c r="G487" s="29"/>
      <c r="H487" s="29"/>
    </row>
    <row r="488" customFormat="false" ht="15" hidden="false" customHeight="false" outlineLevel="0" collapsed="false">
      <c r="A488" s="27"/>
      <c r="B488" s="27"/>
      <c r="C488" s="27"/>
      <c r="D488" s="28"/>
      <c r="E488" s="29"/>
      <c r="F488" s="28"/>
      <c r="G488" s="29"/>
      <c r="H488" s="29"/>
    </row>
    <row r="489" customFormat="false" ht="15" hidden="false" customHeight="false" outlineLevel="0" collapsed="false">
      <c r="A489" s="27"/>
      <c r="B489" s="27"/>
      <c r="C489" s="27"/>
      <c r="D489" s="28"/>
      <c r="E489" s="29"/>
      <c r="F489" s="28"/>
      <c r="G489" s="29"/>
      <c r="H489" s="29"/>
    </row>
    <row r="490" customFormat="false" ht="15" hidden="false" customHeight="false" outlineLevel="0" collapsed="false">
      <c r="A490" s="27"/>
      <c r="B490" s="27"/>
      <c r="C490" s="27"/>
      <c r="D490" s="28"/>
      <c r="E490" s="29"/>
      <c r="F490" s="28"/>
      <c r="G490" s="29"/>
      <c r="H490" s="29"/>
    </row>
    <row r="491" customFormat="false" ht="15" hidden="false" customHeight="false" outlineLevel="0" collapsed="false">
      <c r="A491" s="27"/>
      <c r="B491" s="27"/>
      <c r="C491" s="27"/>
      <c r="D491" s="28"/>
      <c r="E491" s="29"/>
      <c r="F491" s="28"/>
      <c r="G491" s="29"/>
      <c r="H491" s="29"/>
    </row>
    <row r="492" customFormat="false" ht="15" hidden="false" customHeight="false" outlineLevel="0" collapsed="false">
      <c r="A492" s="27"/>
      <c r="B492" s="27"/>
      <c r="C492" s="27"/>
      <c r="D492" s="28"/>
      <c r="E492" s="29"/>
      <c r="F492" s="28"/>
      <c r="G492" s="29"/>
      <c r="H492" s="29"/>
    </row>
    <row r="493" customFormat="false" ht="15" hidden="false" customHeight="false" outlineLevel="0" collapsed="false">
      <c r="A493" s="27"/>
      <c r="B493" s="27"/>
      <c r="C493" s="27"/>
      <c r="D493" s="28"/>
      <c r="E493" s="29"/>
      <c r="F493" s="28"/>
      <c r="G493" s="29"/>
      <c r="H493" s="29"/>
    </row>
    <row r="494" customFormat="false" ht="15" hidden="false" customHeight="false" outlineLevel="0" collapsed="false">
      <c r="A494" s="27"/>
      <c r="B494" s="27"/>
      <c r="C494" s="27"/>
      <c r="D494" s="28"/>
      <c r="E494" s="29"/>
      <c r="F494" s="28"/>
      <c r="G494" s="29"/>
      <c r="H494" s="29"/>
    </row>
    <row r="495" customFormat="false" ht="15" hidden="false" customHeight="false" outlineLevel="0" collapsed="false">
      <c r="A495" s="27"/>
      <c r="B495" s="27"/>
      <c r="C495" s="27"/>
      <c r="D495" s="28"/>
      <c r="E495" s="29"/>
      <c r="F495" s="28"/>
      <c r="G495" s="29"/>
      <c r="H495" s="29"/>
    </row>
    <row r="496" customFormat="false" ht="15" hidden="false" customHeight="false" outlineLevel="0" collapsed="false">
      <c r="A496" s="27"/>
      <c r="B496" s="27"/>
      <c r="C496" s="27"/>
      <c r="D496" s="28"/>
      <c r="E496" s="29"/>
      <c r="F496" s="28"/>
      <c r="G496" s="29"/>
      <c r="H496" s="29"/>
    </row>
    <row r="497" customFormat="false" ht="15" hidden="false" customHeight="false" outlineLevel="0" collapsed="false">
      <c r="A497" s="27"/>
      <c r="B497" s="27"/>
      <c r="C497" s="27"/>
      <c r="D497" s="28"/>
      <c r="E497" s="29"/>
      <c r="F497" s="28"/>
      <c r="G497" s="29"/>
      <c r="H497" s="29"/>
    </row>
    <row r="498" customFormat="false" ht="15" hidden="false" customHeight="false" outlineLevel="0" collapsed="false">
      <c r="A498" s="27"/>
      <c r="B498" s="27"/>
      <c r="C498" s="27"/>
      <c r="D498" s="28"/>
      <c r="E498" s="29"/>
      <c r="F498" s="28"/>
      <c r="G498" s="29"/>
      <c r="H498" s="29"/>
    </row>
    <row r="499" customFormat="false" ht="15" hidden="false" customHeight="false" outlineLevel="0" collapsed="false">
      <c r="A499" s="27"/>
      <c r="B499" s="27"/>
      <c r="C499" s="27"/>
      <c r="D499" s="28"/>
      <c r="E499" s="29"/>
      <c r="F499" s="28"/>
      <c r="G499" s="29"/>
      <c r="H499" s="29"/>
    </row>
    <row r="500" customFormat="false" ht="15" hidden="false" customHeight="false" outlineLevel="0" collapsed="false">
      <c r="A500" s="27"/>
      <c r="B500" s="27"/>
      <c r="C500" s="27"/>
      <c r="D500" s="28"/>
      <c r="E500" s="29"/>
      <c r="F500" s="28"/>
      <c r="G500" s="29"/>
      <c r="H500" s="29"/>
    </row>
    <row r="501" customFormat="false" ht="15" hidden="false" customHeight="false" outlineLevel="0" collapsed="false">
      <c r="A501" s="27"/>
      <c r="B501" s="27"/>
      <c r="C501" s="27"/>
      <c r="D501" s="28"/>
      <c r="E501" s="29"/>
      <c r="F501" s="28"/>
      <c r="G501" s="29"/>
      <c r="H501" s="29"/>
    </row>
    <row r="502" customFormat="false" ht="15" hidden="false" customHeight="false" outlineLevel="0" collapsed="false">
      <c r="A502" s="27"/>
      <c r="B502" s="27"/>
      <c r="C502" s="27"/>
      <c r="D502" s="28"/>
      <c r="E502" s="29"/>
      <c r="F502" s="28"/>
      <c r="G502" s="29"/>
      <c r="H502" s="29"/>
    </row>
    <row r="503" customFormat="false" ht="15" hidden="false" customHeight="false" outlineLevel="0" collapsed="false">
      <c r="A503" s="27"/>
      <c r="B503" s="27"/>
      <c r="C503" s="27"/>
      <c r="D503" s="28"/>
      <c r="E503" s="29"/>
      <c r="F503" s="28"/>
      <c r="G503" s="29"/>
      <c r="H503" s="29"/>
    </row>
    <row r="504" customFormat="false" ht="15" hidden="false" customHeight="false" outlineLevel="0" collapsed="false">
      <c r="A504" s="27"/>
      <c r="B504" s="27"/>
      <c r="C504" s="27"/>
      <c r="D504" s="28"/>
      <c r="E504" s="29"/>
      <c r="F504" s="28"/>
      <c r="G504" s="29"/>
      <c r="H504" s="29"/>
    </row>
    <row r="505" customFormat="false" ht="15" hidden="false" customHeight="false" outlineLevel="0" collapsed="false">
      <c r="A505" s="27"/>
      <c r="B505" s="27"/>
      <c r="C505" s="27"/>
      <c r="D505" s="28"/>
      <c r="E505" s="29"/>
      <c r="F505" s="28"/>
      <c r="G505" s="29"/>
      <c r="H505" s="29"/>
    </row>
    <row r="506" customFormat="false" ht="15" hidden="false" customHeight="false" outlineLevel="0" collapsed="false">
      <c r="A506" s="27"/>
      <c r="B506" s="27"/>
      <c r="C506" s="27"/>
      <c r="D506" s="28"/>
      <c r="E506" s="29"/>
      <c r="F506" s="28"/>
      <c r="G506" s="29"/>
      <c r="H506" s="29"/>
    </row>
    <row r="507" customFormat="false" ht="15" hidden="false" customHeight="false" outlineLevel="0" collapsed="false">
      <c r="A507" s="27"/>
      <c r="B507" s="27"/>
      <c r="C507" s="27"/>
      <c r="D507" s="28"/>
      <c r="E507" s="29"/>
      <c r="F507" s="28"/>
      <c r="G507" s="29"/>
      <c r="H507" s="29"/>
    </row>
    <row r="508" customFormat="false" ht="15" hidden="false" customHeight="false" outlineLevel="0" collapsed="false">
      <c r="A508" s="27"/>
      <c r="B508" s="27"/>
      <c r="C508" s="27"/>
      <c r="D508" s="28"/>
      <c r="E508" s="29"/>
      <c r="F508" s="28"/>
      <c r="G508" s="29"/>
      <c r="H508" s="29"/>
    </row>
    <row r="509" customFormat="false" ht="15" hidden="false" customHeight="false" outlineLevel="0" collapsed="false">
      <c r="A509" s="27"/>
      <c r="B509" s="27"/>
      <c r="C509" s="27"/>
      <c r="D509" s="28"/>
      <c r="E509" s="29"/>
      <c r="F509" s="28"/>
      <c r="G509" s="29"/>
      <c r="H509" s="29"/>
    </row>
    <row r="510" customFormat="false" ht="15" hidden="false" customHeight="false" outlineLevel="0" collapsed="false">
      <c r="A510" s="27"/>
      <c r="B510" s="27"/>
      <c r="C510" s="27"/>
      <c r="D510" s="28"/>
      <c r="E510" s="29"/>
      <c r="F510" s="28"/>
      <c r="G510" s="29"/>
      <c r="H510" s="29"/>
    </row>
    <row r="511" customFormat="false" ht="15" hidden="false" customHeight="false" outlineLevel="0" collapsed="false">
      <c r="A511" s="27"/>
      <c r="B511" s="27"/>
      <c r="C511" s="27"/>
      <c r="D511" s="28"/>
      <c r="E511" s="29"/>
      <c r="F511" s="28"/>
      <c r="G511" s="29"/>
      <c r="H511" s="29"/>
    </row>
    <row r="512" customFormat="false" ht="15" hidden="false" customHeight="false" outlineLevel="0" collapsed="false">
      <c r="A512" s="27"/>
      <c r="B512" s="27"/>
      <c r="C512" s="27"/>
      <c r="D512" s="28"/>
      <c r="E512" s="29"/>
      <c r="F512" s="28"/>
      <c r="G512" s="29"/>
      <c r="H512" s="29"/>
    </row>
    <row r="513" customFormat="false" ht="15" hidden="false" customHeight="false" outlineLevel="0" collapsed="false">
      <c r="A513" s="27"/>
      <c r="B513" s="27"/>
      <c r="C513" s="27"/>
      <c r="D513" s="28"/>
      <c r="E513" s="29"/>
      <c r="F513" s="28"/>
      <c r="G513" s="29"/>
      <c r="H513" s="29"/>
    </row>
    <row r="514" customFormat="false" ht="15" hidden="false" customHeight="false" outlineLevel="0" collapsed="false">
      <c r="A514" s="27"/>
      <c r="B514" s="27"/>
      <c r="C514" s="27"/>
      <c r="D514" s="28"/>
      <c r="E514" s="29"/>
      <c r="F514" s="28"/>
      <c r="G514" s="29"/>
      <c r="H514" s="29"/>
    </row>
    <row r="515" customFormat="false" ht="15" hidden="false" customHeight="false" outlineLevel="0" collapsed="false">
      <c r="A515" s="27"/>
      <c r="B515" s="27"/>
      <c r="C515" s="27"/>
      <c r="D515" s="28"/>
      <c r="E515" s="29"/>
      <c r="F515" s="28"/>
      <c r="G515" s="29"/>
      <c r="H515" s="29"/>
    </row>
    <row r="516" customFormat="false" ht="15" hidden="false" customHeight="false" outlineLevel="0" collapsed="false">
      <c r="A516" s="27"/>
      <c r="B516" s="27"/>
      <c r="C516" s="27"/>
      <c r="D516" s="28"/>
      <c r="E516" s="29"/>
      <c r="F516" s="28"/>
      <c r="G516" s="29"/>
      <c r="H516" s="29"/>
    </row>
    <row r="517" customFormat="false" ht="15" hidden="false" customHeight="false" outlineLevel="0" collapsed="false">
      <c r="A517" s="27"/>
      <c r="B517" s="27"/>
      <c r="C517" s="27"/>
      <c r="D517" s="28"/>
      <c r="E517" s="29"/>
      <c r="F517" s="28"/>
      <c r="G517" s="29"/>
      <c r="H517" s="29"/>
    </row>
    <row r="518" customFormat="false" ht="15" hidden="false" customHeight="false" outlineLevel="0" collapsed="false">
      <c r="A518" s="27"/>
      <c r="B518" s="27"/>
      <c r="C518" s="27"/>
      <c r="D518" s="28"/>
      <c r="E518" s="29"/>
      <c r="F518" s="28"/>
      <c r="G518" s="29"/>
      <c r="H518" s="29"/>
    </row>
    <row r="519" customFormat="false" ht="15" hidden="false" customHeight="false" outlineLevel="0" collapsed="false">
      <c r="A519" s="27"/>
      <c r="B519" s="27"/>
      <c r="C519" s="27"/>
      <c r="D519" s="28"/>
      <c r="E519" s="29"/>
      <c r="F519" s="28"/>
      <c r="G519" s="29"/>
      <c r="H519" s="29"/>
    </row>
    <row r="520" customFormat="false" ht="15" hidden="false" customHeight="false" outlineLevel="0" collapsed="false">
      <c r="A520" s="27"/>
      <c r="B520" s="27"/>
      <c r="C520" s="27"/>
      <c r="D520" s="28"/>
      <c r="E520" s="29"/>
      <c r="F520" s="28"/>
      <c r="G520" s="29"/>
      <c r="H520" s="29"/>
    </row>
    <row r="521" customFormat="false" ht="15" hidden="false" customHeight="false" outlineLevel="0" collapsed="false">
      <c r="A521" s="27"/>
      <c r="B521" s="27"/>
      <c r="C521" s="27"/>
      <c r="D521" s="28"/>
      <c r="E521" s="29"/>
      <c r="F521" s="28"/>
      <c r="G521" s="29"/>
      <c r="H521" s="29"/>
    </row>
    <row r="522" customFormat="false" ht="15" hidden="false" customHeight="false" outlineLevel="0" collapsed="false">
      <c r="A522" s="27"/>
      <c r="B522" s="27"/>
      <c r="C522" s="27"/>
      <c r="D522" s="28"/>
      <c r="E522" s="29"/>
      <c r="F522" s="28"/>
      <c r="G522" s="29"/>
      <c r="H522" s="29"/>
    </row>
    <row r="523" customFormat="false" ht="15" hidden="false" customHeight="false" outlineLevel="0" collapsed="false">
      <c r="A523" s="27"/>
      <c r="B523" s="27"/>
      <c r="C523" s="27"/>
      <c r="D523" s="28"/>
      <c r="E523" s="29"/>
      <c r="F523" s="28"/>
      <c r="G523" s="29"/>
      <c r="H523" s="29"/>
    </row>
    <row r="524" customFormat="false" ht="15" hidden="false" customHeight="false" outlineLevel="0" collapsed="false">
      <c r="A524" s="27"/>
      <c r="B524" s="27"/>
      <c r="C524" s="27"/>
      <c r="D524" s="28"/>
      <c r="E524" s="29"/>
      <c r="F524" s="28"/>
      <c r="G524" s="29"/>
      <c r="H524" s="29"/>
    </row>
    <row r="525" customFormat="false" ht="15" hidden="false" customHeight="false" outlineLevel="0" collapsed="false">
      <c r="A525" s="27"/>
      <c r="B525" s="27"/>
      <c r="C525" s="27"/>
      <c r="D525" s="28"/>
      <c r="E525" s="29"/>
      <c r="F525" s="28"/>
      <c r="G525" s="29"/>
      <c r="H525" s="29"/>
    </row>
    <row r="526" customFormat="false" ht="15" hidden="false" customHeight="false" outlineLevel="0" collapsed="false">
      <c r="A526" s="27"/>
      <c r="B526" s="27"/>
      <c r="C526" s="27"/>
      <c r="D526" s="28"/>
      <c r="E526" s="29"/>
      <c r="F526" s="28"/>
      <c r="G526" s="29"/>
      <c r="H526" s="29"/>
    </row>
    <row r="527" customFormat="false" ht="15" hidden="false" customHeight="false" outlineLevel="0" collapsed="false">
      <c r="A527" s="27"/>
      <c r="B527" s="27"/>
      <c r="C527" s="27"/>
      <c r="D527" s="28"/>
      <c r="E527" s="29"/>
      <c r="F527" s="28"/>
      <c r="G527" s="29"/>
      <c r="H527" s="29"/>
    </row>
    <row r="528" customFormat="false" ht="15" hidden="false" customHeight="false" outlineLevel="0" collapsed="false">
      <c r="A528" s="27"/>
      <c r="B528" s="27"/>
      <c r="C528" s="27"/>
      <c r="D528" s="28"/>
      <c r="E528" s="29"/>
      <c r="F528" s="28"/>
      <c r="G528" s="29"/>
      <c r="H528" s="29"/>
    </row>
    <row r="529" customFormat="false" ht="15" hidden="false" customHeight="false" outlineLevel="0" collapsed="false">
      <c r="A529" s="27"/>
      <c r="B529" s="27"/>
      <c r="C529" s="27"/>
      <c r="D529" s="28"/>
      <c r="E529" s="29"/>
      <c r="F529" s="28"/>
      <c r="G529" s="29"/>
      <c r="H529" s="29"/>
    </row>
    <row r="530" customFormat="false" ht="15" hidden="false" customHeight="false" outlineLevel="0" collapsed="false">
      <c r="A530" s="27"/>
      <c r="B530" s="27"/>
      <c r="C530" s="27"/>
      <c r="D530" s="28"/>
      <c r="E530" s="29"/>
      <c r="F530" s="28"/>
      <c r="G530" s="29"/>
      <c r="H530" s="29"/>
    </row>
    <row r="531" customFormat="false" ht="15" hidden="false" customHeight="false" outlineLevel="0" collapsed="false">
      <c r="A531" s="27"/>
      <c r="B531" s="27"/>
      <c r="C531" s="27"/>
      <c r="D531" s="28"/>
      <c r="E531" s="29"/>
      <c r="F531" s="28"/>
      <c r="G531" s="29"/>
      <c r="H531" s="29"/>
    </row>
    <row r="532" customFormat="false" ht="15" hidden="false" customHeight="false" outlineLevel="0" collapsed="false">
      <c r="A532" s="27"/>
      <c r="B532" s="27"/>
      <c r="C532" s="27"/>
      <c r="D532" s="28"/>
      <c r="E532" s="29"/>
      <c r="F532" s="28"/>
      <c r="G532" s="29"/>
      <c r="H532" s="29"/>
    </row>
    <row r="533" customFormat="false" ht="15" hidden="false" customHeight="false" outlineLevel="0" collapsed="false">
      <c r="A533" s="27"/>
      <c r="B533" s="27"/>
      <c r="C533" s="27"/>
      <c r="D533" s="28"/>
      <c r="E533" s="29"/>
      <c r="F533" s="28"/>
      <c r="G533" s="29"/>
      <c r="H533" s="29"/>
    </row>
    <row r="534" customFormat="false" ht="15" hidden="false" customHeight="false" outlineLevel="0" collapsed="false">
      <c r="A534" s="27"/>
      <c r="B534" s="27"/>
      <c r="C534" s="27"/>
      <c r="D534" s="28"/>
      <c r="E534" s="29"/>
      <c r="F534" s="28"/>
      <c r="G534" s="29"/>
      <c r="H534" s="29"/>
    </row>
    <row r="535" customFormat="false" ht="15" hidden="false" customHeight="false" outlineLevel="0" collapsed="false">
      <c r="A535" s="27"/>
      <c r="B535" s="27"/>
      <c r="C535" s="27"/>
      <c r="D535" s="28"/>
      <c r="E535" s="29"/>
      <c r="F535" s="28"/>
      <c r="G535" s="29"/>
      <c r="H535" s="29"/>
    </row>
    <row r="536" customFormat="false" ht="15" hidden="false" customHeight="false" outlineLevel="0" collapsed="false">
      <c r="A536" s="27"/>
      <c r="B536" s="27"/>
      <c r="C536" s="27"/>
      <c r="D536" s="28"/>
      <c r="E536" s="29"/>
      <c r="F536" s="28"/>
      <c r="G536" s="29"/>
      <c r="H536" s="29"/>
    </row>
    <row r="537" customFormat="false" ht="15" hidden="false" customHeight="false" outlineLevel="0" collapsed="false">
      <c r="A537" s="27"/>
      <c r="B537" s="27"/>
      <c r="C537" s="27"/>
      <c r="D537" s="28"/>
      <c r="E537" s="29"/>
      <c r="F537" s="28"/>
      <c r="G537" s="29"/>
      <c r="H537" s="29"/>
    </row>
    <row r="538" customFormat="false" ht="15" hidden="false" customHeight="false" outlineLevel="0" collapsed="false">
      <c r="A538" s="27"/>
      <c r="B538" s="27"/>
      <c r="C538" s="27"/>
      <c r="D538" s="28"/>
      <c r="E538" s="29"/>
      <c r="F538" s="28"/>
      <c r="G538" s="29"/>
      <c r="H538" s="29"/>
    </row>
    <row r="539" customFormat="false" ht="15" hidden="false" customHeight="false" outlineLevel="0" collapsed="false">
      <c r="A539" s="27"/>
      <c r="B539" s="27"/>
      <c r="C539" s="27"/>
      <c r="D539" s="28"/>
      <c r="E539" s="29"/>
      <c r="F539" s="28"/>
      <c r="G539" s="29"/>
      <c r="H539" s="29"/>
    </row>
    <row r="540" customFormat="false" ht="15" hidden="false" customHeight="false" outlineLevel="0" collapsed="false">
      <c r="A540" s="27"/>
      <c r="B540" s="27"/>
      <c r="C540" s="27"/>
      <c r="D540" s="28"/>
      <c r="E540" s="29"/>
      <c r="F540" s="28"/>
      <c r="G540" s="29"/>
      <c r="H540" s="29"/>
    </row>
    <row r="541" customFormat="false" ht="15" hidden="false" customHeight="false" outlineLevel="0" collapsed="false">
      <c r="A541" s="27"/>
      <c r="B541" s="27"/>
      <c r="C541" s="27"/>
      <c r="D541" s="28"/>
      <c r="E541" s="29"/>
      <c r="F541" s="28"/>
      <c r="G541" s="29"/>
      <c r="H541" s="29"/>
    </row>
    <row r="542" customFormat="false" ht="15" hidden="false" customHeight="false" outlineLevel="0" collapsed="false">
      <c r="A542" s="27"/>
      <c r="B542" s="27"/>
      <c r="C542" s="27"/>
      <c r="D542" s="28"/>
      <c r="E542" s="29"/>
      <c r="F542" s="28"/>
      <c r="G542" s="29"/>
      <c r="H542" s="29"/>
    </row>
    <row r="543" customFormat="false" ht="15" hidden="false" customHeight="false" outlineLevel="0" collapsed="false">
      <c r="A543" s="27"/>
      <c r="B543" s="27"/>
      <c r="C543" s="27"/>
      <c r="D543" s="28"/>
      <c r="E543" s="29"/>
      <c r="F543" s="28"/>
      <c r="G543" s="29"/>
      <c r="H543" s="29"/>
    </row>
    <row r="544" customFormat="false" ht="15" hidden="false" customHeight="false" outlineLevel="0" collapsed="false">
      <c r="A544" s="27"/>
      <c r="B544" s="27"/>
      <c r="C544" s="27"/>
      <c r="D544" s="28"/>
      <c r="E544" s="29"/>
      <c r="F544" s="28"/>
      <c r="G544" s="29"/>
      <c r="H544" s="29"/>
    </row>
    <row r="545" customFormat="false" ht="15" hidden="false" customHeight="false" outlineLevel="0" collapsed="false">
      <c r="A545" s="27"/>
      <c r="B545" s="27"/>
      <c r="C545" s="27"/>
      <c r="D545" s="28"/>
      <c r="E545" s="29"/>
      <c r="F545" s="28"/>
      <c r="G545" s="29"/>
      <c r="H545" s="29"/>
    </row>
    <row r="546" customFormat="false" ht="15" hidden="false" customHeight="false" outlineLevel="0" collapsed="false">
      <c r="A546" s="27"/>
      <c r="B546" s="27"/>
      <c r="C546" s="27"/>
      <c r="D546" s="28"/>
      <c r="E546" s="29"/>
      <c r="F546" s="28"/>
      <c r="G546" s="29"/>
      <c r="H546" s="29"/>
    </row>
    <row r="547" customFormat="false" ht="15" hidden="false" customHeight="false" outlineLevel="0" collapsed="false">
      <c r="A547" s="27"/>
      <c r="B547" s="27"/>
      <c r="C547" s="27"/>
      <c r="D547" s="28"/>
      <c r="E547" s="29"/>
      <c r="F547" s="28"/>
      <c r="G547" s="29"/>
      <c r="H547" s="29"/>
    </row>
    <row r="548" customFormat="false" ht="15" hidden="false" customHeight="false" outlineLevel="0" collapsed="false">
      <c r="A548" s="27"/>
      <c r="B548" s="27"/>
      <c r="C548" s="27"/>
      <c r="D548" s="28"/>
      <c r="E548" s="29"/>
      <c r="F548" s="28"/>
      <c r="G548" s="29"/>
      <c r="H548" s="29"/>
    </row>
    <row r="549" customFormat="false" ht="15" hidden="false" customHeight="false" outlineLevel="0" collapsed="false">
      <c r="A549" s="27"/>
      <c r="B549" s="27"/>
      <c r="C549" s="27"/>
      <c r="D549" s="28"/>
      <c r="E549" s="29"/>
      <c r="F549" s="28"/>
      <c r="G549" s="29"/>
      <c r="H549" s="29"/>
    </row>
    <row r="550" customFormat="false" ht="15" hidden="false" customHeight="false" outlineLevel="0" collapsed="false">
      <c r="A550" s="27"/>
      <c r="B550" s="27"/>
      <c r="C550" s="27"/>
      <c r="D550" s="28"/>
      <c r="E550" s="29"/>
      <c r="F550" s="28"/>
      <c r="G550" s="29"/>
      <c r="H550" s="29"/>
    </row>
    <row r="551" customFormat="false" ht="15" hidden="false" customHeight="false" outlineLevel="0" collapsed="false">
      <c r="A551" s="27"/>
      <c r="B551" s="27"/>
      <c r="C551" s="27"/>
      <c r="D551" s="28"/>
      <c r="E551" s="29"/>
      <c r="F551" s="28"/>
      <c r="G551" s="29"/>
      <c r="H551" s="29"/>
    </row>
    <row r="552" customFormat="false" ht="15" hidden="false" customHeight="false" outlineLevel="0" collapsed="false">
      <c r="A552" s="27"/>
      <c r="B552" s="27"/>
      <c r="C552" s="27"/>
      <c r="D552" s="28"/>
      <c r="E552" s="29"/>
      <c r="F552" s="28"/>
      <c r="G552" s="29"/>
      <c r="H552" s="29"/>
    </row>
    <row r="553" customFormat="false" ht="15" hidden="false" customHeight="false" outlineLevel="0" collapsed="false">
      <c r="A553" s="27"/>
      <c r="B553" s="27"/>
      <c r="C553" s="27"/>
      <c r="D553" s="28"/>
      <c r="E553" s="29"/>
      <c r="F553" s="28"/>
      <c r="G553" s="29"/>
      <c r="H553" s="29"/>
    </row>
    <row r="554" customFormat="false" ht="15" hidden="false" customHeight="false" outlineLevel="0" collapsed="false">
      <c r="A554" s="27"/>
      <c r="B554" s="27"/>
      <c r="C554" s="27"/>
      <c r="D554" s="28"/>
      <c r="E554" s="29"/>
      <c r="F554" s="28"/>
      <c r="G554" s="29"/>
      <c r="H554" s="29"/>
    </row>
    <row r="555" customFormat="false" ht="15" hidden="false" customHeight="false" outlineLevel="0" collapsed="false">
      <c r="A555" s="27"/>
      <c r="B555" s="27"/>
      <c r="C555" s="27"/>
      <c r="D555" s="28"/>
      <c r="E555" s="29"/>
      <c r="F555" s="28"/>
      <c r="G555" s="29"/>
      <c r="H555" s="29"/>
    </row>
    <row r="556" customFormat="false" ht="15" hidden="false" customHeight="false" outlineLevel="0" collapsed="false">
      <c r="A556" s="27"/>
      <c r="B556" s="27"/>
      <c r="C556" s="27"/>
      <c r="D556" s="28"/>
      <c r="E556" s="29"/>
      <c r="F556" s="28"/>
      <c r="G556" s="29"/>
      <c r="H556" s="29"/>
    </row>
    <row r="557" customFormat="false" ht="15" hidden="false" customHeight="false" outlineLevel="0" collapsed="false">
      <c r="A557" s="27"/>
      <c r="B557" s="27"/>
      <c r="C557" s="27"/>
      <c r="D557" s="28"/>
      <c r="E557" s="29"/>
      <c r="F557" s="28"/>
      <c r="G557" s="29"/>
      <c r="H557" s="29"/>
    </row>
    <row r="558" customFormat="false" ht="15" hidden="false" customHeight="false" outlineLevel="0" collapsed="false">
      <c r="A558" s="27"/>
      <c r="B558" s="27"/>
      <c r="C558" s="27"/>
      <c r="D558" s="28"/>
      <c r="E558" s="29"/>
      <c r="F558" s="28"/>
      <c r="G558" s="29"/>
      <c r="H558" s="29"/>
    </row>
    <row r="559" customFormat="false" ht="15" hidden="false" customHeight="false" outlineLevel="0" collapsed="false">
      <c r="A559" s="27"/>
      <c r="B559" s="27"/>
      <c r="C559" s="27"/>
      <c r="D559" s="28"/>
      <c r="E559" s="29"/>
      <c r="F559" s="28"/>
      <c r="G559" s="29"/>
      <c r="H559" s="29"/>
    </row>
    <row r="560" customFormat="false" ht="15" hidden="false" customHeight="false" outlineLevel="0" collapsed="false">
      <c r="A560" s="27"/>
      <c r="B560" s="27"/>
      <c r="C560" s="27"/>
      <c r="D560" s="28"/>
      <c r="E560" s="29"/>
      <c r="F560" s="28"/>
      <c r="G560" s="29"/>
      <c r="H560" s="29"/>
    </row>
    <row r="561" customFormat="false" ht="15" hidden="false" customHeight="false" outlineLevel="0" collapsed="false">
      <c r="A561" s="27"/>
      <c r="B561" s="27"/>
      <c r="C561" s="27"/>
      <c r="D561" s="28"/>
      <c r="E561" s="29"/>
      <c r="F561" s="28"/>
      <c r="G561" s="29"/>
      <c r="H561" s="29"/>
    </row>
    <row r="562" customFormat="false" ht="15" hidden="false" customHeight="false" outlineLevel="0" collapsed="false">
      <c r="A562" s="27"/>
      <c r="B562" s="27"/>
      <c r="C562" s="27"/>
      <c r="D562" s="28"/>
      <c r="E562" s="29"/>
      <c r="F562" s="28"/>
      <c r="G562" s="29"/>
      <c r="H562" s="29"/>
    </row>
    <row r="563" customFormat="false" ht="15" hidden="false" customHeight="false" outlineLevel="0" collapsed="false">
      <c r="A563" s="27"/>
      <c r="B563" s="27"/>
      <c r="C563" s="27"/>
      <c r="D563" s="28"/>
      <c r="E563" s="29"/>
      <c r="F563" s="28"/>
      <c r="G563" s="29"/>
      <c r="H563" s="29"/>
    </row>
    <row r="564" customFormat="false" ht="15" hidden="false" customHeight="false" outlineLevel="0" collapsed="false">
      <c r="A564" s="27"/>
      <c r="B564" s="27"/>
      <c r="C564" s="27"/>
      <c r="D564" s="28"/>
      <c r="E564" s="29"/>
      <c r="F564" s="28"/>
      <c r="G564" s="29"/>
      <c r="H564" s="29"/>
    </row>
    <row r="565" customFormat="false" ht="15" hidden="false" customHeight="false" outlineLevel="0" collapsed="false">
      <c r="A565" s="27"/>
      <c r="B565" s="27"/>
      <c r="C565" s="27"/>
      <c r="D565" s="28"/>
      <c r="E565" s="29"/>
      <c r="F565" s="28"/>
      <c r="G565" s="29"/>
      <c r="H565" s="29"/>
    </row>
    <row r="566" customFormat="false" ht="15" hidden="false" customHeight="false" outlineLevel="0" collapsed="false">
      <c r="A566" s="27"/>
      <c r="B566" s="27"/>
      <c r="C566" s="27"/>
      <c r="D566" s="28"/>
      <c r="E566" s="29"/>
      <c r="F566" s="28"/>
      <c r="G566" s="29"/>
      <c r="H566" s="29"/>
    </row>
    <row r="567" customFormat="false" ht="15" hidden="false" customHeight="false" outlineLevel="0" collapsed="false">
      <c r="A567" s="27"/>
      <c r="B567" s="27"/>
      <c r="C567" s="27"/>
      <c r="D567" s="28"/>
      <c r="E567" s="29"/>
      <c r="F567" s="28"/>
      <c r="G567" s="29"/>
      <c r="H567" s="29"/>
    </row>
    <row r="568" customFormat="false" ht="15" hidden="false" customHeight="false" outlineLevel="0" collapsed="false">
      <c r="A568" s="27"/>
      <c r="B568" s="27"/>
      <c r="C568" s="27"/>
      <c r="D568" s="28"/>
      <c r="E568" s="29"/>
      <c r="F568" s="28"/>
      <c r="G568" s="29"/>
      <c r="H568" s="29"/>
    </row>
    <row r="569" customFormat="false" ht="15" hidden="false" customHeight="false" outlineLevel="0" collapsed="false">
      <c r="A569" s="27"/>
      <c r="B569" s="27"/>
      <c r="C569" s="27"/>
      <c r="D569" s="28"/>
      <c r="E569" s="29"/>
      <c r="F569" s="28"/>
      <c r="G569" s="29"/>
      <c r="H569" s="29"/>
    </row>
    <row r="570" customFormat="false" ht="15" hidden="false" customHeight="false" outlineLevel="0" collapsed="false">
      <c r="A570" s="27"/>
      <c r="B570" s="27"/>
      <c r="C570" s="27"/>
      <c r="D570" s="28"/>
      <c r="E570" s="29"/>
      <c r="F570" s="28"/>
      <c r="G570" s="29"/>
      <c r="H570" s="29"/>
    </row>
    <row r="571" customFormat="false" ht="15" hidden="false" customHeight="false" outlineLevel="0" collapsed="false">
      <c r="A571" s="27"/>
      <c r="B571" s="27"/>
      <c r="C571" s="27"/>
      <c r="D571" s="28"/>
      <c r="E571" s="29"/>
      <c r="F571" s="28"/>
      <c r="G571" s="29"/>
      <c r="H571" s="29"/>
    </row>
    <row r="572" customFormat="false" ht="15" hidden="false" customHeight="false" outlineLevel="0" collapsed="false">
      <c r="A572" s="27"/>
      <c r="B572" s="27"/>
      <c r="C572" s="27"/>
      <c r="D572" s="28"/>
      <c r="E572" s="29"/>
      <c r="F572" s="28"/>
      <c r="G572" s="29"/>
      <c r="H572" s="29"/>
    </row>
    <row r="573" customFormat="false" ht="15" hidden="false" customHeight="false" outlineLevel="0" collapsed="false">
      <c r="A573" s="27"/>
      <c r="B573" s="27"/>
      <c r="C573" s="27"/>
      <c r="D573" s="28"/>
      <c r="E573" s="29"/>
      <c r="F573" s="28"/>
      <c r="G573" s="29"/>
      <c r="H573" s="29"/>
    </row>
    <row r="574" customFormat="false" ht="15" hidden="false" customHeight="false" outlineLevel="0" collapsed="false">
      <c r="A574" s="27"/>
      <c r="B574" s="27"/>
      <c r="C574" s="27"/>
      <c r="D574" s="28"/>
      <c r="E574" s="29"/>
      <c r="F574" s="28"/>
      <c r="G574" s="29"/>
      <c r="H574" s="29"/>
    </row>
    <row r="575" customFormat="false" ht="15" hidden="false" customHeight="false" outlineLevel="0" collapsed="false">
      <c r="A575" s="27"/>
      <c r="B575" s="27"/>
      <c r="C575" s="27"/>
      <c r="D575" s="28"/>
      <c r="E575" s="29"/>
      <c r="F575" s="28"/>
      <c r="G575" s="29"/>
      <c r="H575" s="29"/>
    </row>
    <row r="576" customFormat="false" ht="15" hidden="false" customHeight="false" outlineLevel="0" collapsed="false">
      <c r="A576" s="27"/>
      <c r="B576" s="27"/>
      <c r="C576" s="27"/>
      <c r="D576" s="28"/>
      <c r="E576" s="29"/>
      <c r="F576" s="28"/>
      <c r="G576" s="29"/>
      <c r="H576" s="29"/>
    </row>
    <row r="577" customFormat="false" ht="15" hidden="false" customHeight="false" outlineLevel="0" collapsed="false">
      <c r="A577" s="27"/>
      <c r="B577" s="27"/>
      <c r="C577" s="27"/>
      <c r="D577" s="28"/>
      <c r="E577" s="29"/>
      <c r="F577" s="28"/>
      <c r="G577" s="29"/>
      <c r="H577" s="29"/>
    </row>
    <row r="578" customFormat="false" ht="15" hidden="false" customHeight="false" outlineLevel="0" collapsed="false">
      <c r="A578" s="27"/>
      <c r="B578" s="27"/>
      <c r="C578" s="27"/>
      <c r="D578" s="28"/>
      <c r="E578" s="29"/>
      <c r="F578" s="28"/>
      <c r="G578" s="29"/>
      <c r="H578" s="29"/>
    </row>
    <row r="579" customFormat="false" ht="15" hidden="false" customHeight="false" outlineLevel="0" collapsed="false">
      <c r="A579" s="27"/>
      <c r="B579" s="27"/>
      <c r="C579" s="27"/>
      <c r="D579" s="28"/>
      <c r="E579" s="29"/>
      <c r="F579" s="28"/>
      <c r="G579" s="29"/>
      <c r="H579" s="29"/>
    </row>
    <row r="580" customFormat="false" ht="15" hidden="false" customHeight="false" outlineLevel="0" collapsed="false">
      <c r="A580" s="27"/>
      <c r="B580" s="27"/>
      <c r="C580" s="27"/>
      <c r="D580" s="28"/>
      <c r="E580" s="29"/>
      <c r="F580" s="28"/>
      <c r="G580" s="29"/>
      <c r="H580" s="29"/>
    </row>
    <row r="581" customFormat="false" ht="15" hidden="false" customHeight="false" outlineLevel="0" collapsed="false">
      <c r="A581" s="27"/>
      <c r="B581" s="27"/>
      <c r="C581" s="27"/>
      <c r="D581" s="28"/>
      <c r="E581" s="29"/>
      <c r="F581" s="28"/>
      <c r="G581" s="29"/>
      <c r="H581" s="29"/>
    </row>
    <row r="582" customFormat="false" ht="15" hidden="false" customHeight="false" outlineLevel="0" collapsed="false">
      <c r="A582" s="27"/>
      <c r="B582" s="27"/>
      <c r="C582" s="27"/>
      <c r="D582" s="28"/>
      <c r="E582" s="29"/>
      <c r="F582" s="28"/>
      <c r="G582" s="29"/>
      <c r="H582" s="29"/>
    </row>
    <row r="583" customFormat="false" ht="15" hidden="false" customHeight="false" outlineLevel="0" collapsed="false">
      <c r="A583" s="27"/>
      <c r="B583" s="27"/>
      <c r="C583" s="27"/>
      <c r="D583" s="28"/>
      <c r="E583" s="29"/>
      <c r="F583" s="28"/>
      <c r="G583" s="29"/>
      <c r="H583" s="29"/>
    </row>
    <row r="584" customFormat="false" ht="15" hidden="false" customHeight="false" outlineLevel="0" collapsed="false">
      <c r="A584" s="27"/>
      <c r="B584" s="27"/>
      <c r="C584" s="27"/>
      <c r="D584" s="28"/>
      <c r="E584" s="29"/>
      <c r="F584" s="28"/>
      <c r="G584" s="29"/>
      <c r="H584" s="29"/>
    </row>
    <row r="585" customFormat="false" ht="15" hidden="false" customHeight="false" outlineLevel="0" collapsed="false">
      <c r="A585" s="27"/>
      <c r="B585" s="27"/>
      <c r="C585" s="27"/>
      <c r="D585" s="28"/>
      <c r="E585" s="29"/>
      <c r="F585" s="28"/>
      <c r="G585" s="29"/>
      <c r="H585" s="29"/>
    </row>
    <row r="586" customFormat="false" ht="15" hidden="false" customHeight="false" outlineLevel="0" collapsed="false">
      <c r="A586" s="27"/>
      <c r="B586" s="27"/>
      <c r="C586" s="27"/>
      <c r="D586" s="28"/>
      <c r="E586" s="29"/>
      <c r="F586" s="28"/>
      <c r="G586" s="29"/>
      <c r="H586" s="29"/>
    </row>
    <row r="587" customFormat="false" ht="15" hidden="false" customHeight="false" outlineLevel="0" collapsed="false">
      <c r="A587" s="27"/>
      <c r="B587" s="27"/>
      <c r="C587" s="27"/>
      <c r="D587" s="28"/>
      <c r="E587" s="29"/>
      <c r="F587" s="28"/>
      <c r="G587" s="29"/>
      <c r="H587" s="29"/>
    </row>
    <row r="588" customFormat="false" ht="15" hidden="false" customHeight="false" outlineLevel="0" collapsed="false">
      <c r="A588" s="27"/>
      <c r="B588" s="27"/>
      <c r="C588" s="27"/>
      <c r="D588" s="28"/>
      <c r="E588" s="29"/>
      <c r="F588" s="28"/>
      <c r="G588" s="29"/>
      <c r="H588" s="29"/>
    </row>
    <row r="589" customFormat="false" ht="15" hidden="false" customHeight="false" outlineLevel="0" collapsed="false">
      <c r="A589" s="27"/>
      <c r="B589" s="27"/>
      <c r="C589" s="27"/>
      <c r="D589" s="28"/>
      <c r="E589" s="29"/>
      <c r="F589" s="28"/>
      <c r="G589" s="29"/>
      <c r="H589" s="29"/>
    </row>
    <row r="590" customFormat="false" ht="15" hidden="false" customHeight="false" outlineLevel="0" collapsed="false">
      <c r="A590" s="27"/>
      <c r="B590" s="27"/>
      <c r="C590" s="27"/>
      <c r="D590" s="28"/>
      <c r="E590" s="29"/>
      <c r="F590" s="28"/>
      <c r="G590" s="29"/>
      <c r="H590" s="29"/>
    </row>
    <row r="591" customFormat="false" ht="15" hidden="false" customHeight="false" outlineLevel="0" collapsed="false">
      <c r="A591" s="27"/>
      <c r="B591" s="27"/>
      <c r="C591" s="27"/>
      <c r="D591" s="28"/>
      <c r="E591" s="29"/>
      <c r="F591" s="28"/>
      <c r="G591" s="29"/>
      <c r="H591" s="29"/>
    </row>
    <row r="592" customFormat="false" ht="15" hidden="false" customHeight="false" outlineLevel="0" collapsed="false">
      <c r="A592" s="27"/>
      <c r="B592" s="27"/>
      <c r="C592" s="27"/>
      <c r="D592" s="28"/>
      <c r="E592" s="29"/>
      <c r="F592" s="28"/>
      <c r="G592" s="29"/>
      <c r="H592" s="29"/>
    </row>
    <row r="593" customFormat="false" ht="15" hidden="false" customHeight="false" outlineLevel="0" collapsed="false">
      <c r="A593" s="27"/>
      <c r="B593" s="27"/>
      <c r="C593" s="27"/>
      <c r="D593" s="28"/>
      <c r="E593" s="29"/>
      <c r="F593" s="28"/>
      <c r="G593" s="29"/>
      <c r="H593" s="29"/>
    </row>
    <row r="594" customFormat="false" ht="15" hidden="false" customHeight="false" outlineLevel="0" collapsed="false">
      <c r="A594" s="27"/>
      <c r="B594" s="27"/>
      <c r="C594" s="27"/>
      <c r="D594" s="28"/>
      <c r="E594" s="29"/>
      <c r="F594" s="28"/>
      <c r="G594" s="29"/>
      <c r="H594" s="29"/>
    </row>
    <row r="595" customFormat="false" ht="15" hidden="false" customHeight="false" outlineLevel="0" collapsed="false">
      <c r="A595" s="27"/>
      <c r="B595" s="27"/>
      <c r="C595" s="27"/>
      <c r="D595" s="28"/>
      <c r="E595" s="29"/>
      <c r="F595" s="28"/>
      <c r="G595" s="29"/>
      <c r="H595" s="29"/>
    </row>
    <row r="596" customFormat="false" ht="15" hidden="false" customHeight="false" outlineLevel="0" collapsed="false">
      <c r="A596" s="27"/>
      <c r="B596" s="27"/>
      <c r="C596" s="27"/>
      <c r="D596" s="28"/>
      <c r="E596" s="29"/>
      <c r="F596" s="28"/>
      <c r="G596" s="29"/>
      <c r="H596" s="29"/>
    </row>
    <row r="597" customFormat="false" ht="15" hidden="false" customHeight="false" outlineLevel="0" collapsed="false">
      <c r="A597" s="27"/>
      <c r="B597" s="27"/>
      <c r="C597" s="27"/>
      <c r="D597" s="28"/>
      <c r="E597" s="29"/>
      <c r="F597" s="28"/>
      <c r="G597" s="29"/>
      <c r="H597" s="29"/>
    </row>
    <row r="598" customFormat="false" ht="15" hidden="false" customHeight="false" outlineLevel="0" collapsed="false">
      <c r="A598" s="27"/>
      <c r="B598" s="27"/>
      <c r="C598" s="27"/>
      <c r="D598" s="28"/>
      <c r="E598" s="29"/>
      <c r="F598" s="28"/>
      <c r="G598" s="29"/>
      <c r="H598" s="29"/>
    </row>
    <row r="599" customFormat="false" ht="15" hidden="false" customHeight="false" outlineLevel="0" collapsed="false">
      <c r="A599" s="27"/>
      <c r="B599" s="27"/>
      <c r="C599" s="27"/>
      <c r="D599" s="28"/>
      <c r="E599" s="29"/>
      <c r="F599" s="28"/>
      <c r="G599" s="29"/>
      <c r="H599" s="29"/>
    </row>
    <row r="600" customFormat="false" ht="15" hidden="false" customHeight="false" outlineLevel="0" collapsed="false">
      <c r="A600" s="27"/>
      <c r="B600" s="27"/>
      <c r="C600" s="27"/>
      <c r="D600" s="28"/>
      <c r="E600" s="29"/>
      <c r="F600" s="28"/>
      <c r="G600" s="29"/>
      <c r="H600" s="29"/>
    </row>
    <row r="601" customFormat="false" ht="15" hidden="false" customHeight="false" outlineLevel="0" collapsed="false">
      <c r="A601" s="27"/>
      <c r="B601" s="27"/>
      <c r="C601" s="27"/>
      <c r="D601" s="28"/>
      <c r="E601" s="29"/>
      <c r="F601" s="28"/>
      <c r="G601" s="29"/>
      <c r="H601" s="29"/>
    </row>
    <row r="602" customFormat="false" ht="15" hidden="false" customHeight="false" outlineLevel="0" collapsed="false">
      <c r="A602" s="27"/>
      <c r="B602" s="27"/>
      <c r="C602" s="27"/>
      <c r="D602" s="28"/>
      <c r="E602" s="29"/>
      <c r="F602" s="28"/>
      <c r="G602" s="29"/>
      <c r="H602" s="29"/>
    </row>
    <row r="603" customFormat="false" ht="15" hidden="false" customHeight="false" outlineLevel="0" collapsed="false">
      <c r="A603" s="27"/>
      <c r="B603" s="27"/>
      <c r="C603" s="27"/>
      <c r="D603" s="28"/>
      <c r="E603" s="29"/>
      <c r="F603" s="28"/>
      <c r="G603" s="29"/>
      <c r="H603" s="29"/>
    </row>
    <row r="604" customFormat="false" ht="15" hidden="false" customHeight="false" outlineLevel="0" collapsed="false">
      <c r="A604" s="27"/>
      <c r="B604" s="27"/>
      <c r="C604" s="27"/>
      <c r="D604" s="28"/>
      <c r="E604" s="29"/>
      <c r="F604" s="28"/>
      <c r="G604" s="29"/>
      <c r="H604" s="29"/>
    </row>
    <row r="605" customFormat="false" ht="15" hidden="false" customHeight="false" outlineLevel="0" collapsed="false">
      <c r="A605" s="27"/>
      <c r="B605" s="27"/>
      <c r="C605" s="27"/>
      <c r="D605" s="28"/>
      <c r="E605" s="29"/>
      <c r="F605" s="28"/>
      <c r="G605" s="29"/>
      <c r="H605" s="29"/>
    </row>
    <row r="606" customFormat="false" ht="15" hidden="false" customHeight="false" outlineLevel="0" collapsed="false">
      <c r="A606" s="27"/>
      <c r="B606" s="27"/>
      <c r="C606" s="27"/>
      <c r="D606" s="28"/>
      <c r="E606" s="29"/>
      <c r="F606" s="28"/>
      <c r="G606" s="29"/>
      <c r="H606" s="29"/>
    </row>
    <row r="607" customFormat="false" ht="15" hidden="false" customHeight="false" outlineLevel="0" collapsed="false">
      <c r="A607" s="27"/>
      <c r="B607" s="27"/>
      <c r="C607" s="27"/>
      <c r="D607" s="28"/>
      <c r="E607" s="29"/>
      <c r="F607" s="28"/>
      <c r="G607" s="29"/>
      <c r="H607" s="29"/>
    </row>
    <row r="608" customFormat="false" ht="15" hidden="false" customHeight="false" outlineLevel="0" collapsed="false">
      <c r="A608" s="27"/>
      <c r="B608" s="27"/>
      <c r="C608" s="27"/>
      <c r="D608" s="28"/>
      <c r="E608" s="29"/>
      <c r="F608" s="28"/>
      <c r="G608" s="29"/>
      <c r="H608" s="29"/>
    </row>
    <row r="609" customFormat="false" ht="15" hidden="false" customHeight="false" outlineLevel="0" collapsed="false">
      <c r="A609" s="27"/>
      <c r="B609" s="27"/>
      <c r="C609" s="27"/>
      <c r="D609" s="28"/>
      <c r="E609" s="29"/>
      <c r="F609" s="28"/>
      <c r="G609" s="29"/>
      <c r="H609" s="29"/>
    </row>
    <row r="610" customFormat="false" ht="15" hidden="false" customHeight="false" outlineLevel="0" collapsed="false">
      <c r="A610" s="27"/>
      <c r="B610" s="27"/>
      <c r="C610" s="27"/>
      <c r="D610" s="28"/>
      <c r="E610" s="29"/>
      <c r="F610" s="28"/>
      <c r="G610" s="29"/>
      <c r="H610" s="29"/>
    </row>
    <row r="611" customFormat="false" ht="15" hidden="false" customHeight="false" outlineLevel="0" collapsed="false">
      <c r="A611" s="27"/>
      <c r="B611" s="27"/>
      <c r="C611" s="27"/>
      <c r="D611" s="28"/>
      <c r="E611" s="29"/>
      <c r="F611" s="28"/>
      <c r="G611" s="29"/>
      <c r="H611" s="29"/>
    </row>
    <row r="612" customFormat="false" ht="15" hidden="false" customHeight="false" outlineLevel="0" collapsed="false">
      <c r="A612" s="27"/>
      <c r="B612" s="27"/>
      <c r="C612" s="27"/>
      <c r="D612" s="28"/>
      <c r="E612" s="29"/>
      <c r="F612" s="28"/>
      <c r="G612" s="29"/>
      <c r="H612" s="29"/>
    </row>
    <row r="613" customFormat="false" ht="15" hidden="false" customHeight="false" outlineLevel="0" collapsed="false">
      <c r="A613" s="27"/>
      <c r="B613" s="27"/>
      <c r="C613" s="27"/>
      <c r="D613" s="28"/>
      <c r="E613" s="29"/>
      <c r="F613" s="28"/>
      <c r="G613" s="29"/>
      <c r="H613" s="29"/>
    </row>
    <row r="614" customFormat="false" ht="15" hidden="false" customHeight="false" outlineLevel="0" collapsed="false">
      <c r="A614" s="27"/>
      <c r="B614" s="27"/>
      <c r="C614" s="27"/>
      <c r="D614" s="28"/>
      <c r="E614" s="29"/>
      <c r="F614" s="28"/>
      <c r="G614" s="29"/>
      <c r="H614" s="29"/>
    </row>
    <row r="615" customFormat="false" ht="15" hidden="false" customHeight="false" outlineLevel="0" collapsed="false">
      <c r="A615" s="27"/>
      <c r="B615" s="27"/>
      <c r="C615" s="27"/>
      <c r="D615" s="28"/>
      <c r="E615" s="29"/>
      <c r="F615" s="28"/>
      <c r="G615" s="29"/>
      <c r="H615" s="29"/>
    </row>
    <row r="616" customFormat="false" ht="15" hidden="false" customHeight="false" outlineLevel="0" collapsed="false">
      <c r="A616" s="27"/>
      <c r="B616" s="27"/>
      <c r="C616" s="27"/>
      <c r="D616" s="28"/>
      <c r="E616" s="29"/>
      <c r="F616" s="28"/>
      <c r="G616" s="29"/>
      <c r="H616" s="29"/>
    </row>
    <row r="617" customFormat="false" ht="15" hidden="false" customHeight="false" outlineLevel="0" collapsed="false">
      <c r="A617" s="27"/>
      <c r="B617" s="27"/>
      <c r="C617" s="27"/>
      <c r="D617" s="28"/>
      <c r="E617" s="29"/>
      <c r="F617" s="28"/>
      <c r="G617" s="29"/>
      <c r="H617" s="29"/>
    </row>
    <row r="618" customFormat="false" ht="15" hidden="false" customHeight="false" outlineLevel="0" collapsed="false">
      <c r="A618" s="27"/>
      <c r="B618" s="27"/>
      <c r="C618" s="27"/>
      <c r="D618" s="28"/>
      <c r="E618" s="29"/>
      <c r="F618" s="28"/>
      <c r="G618" s="29"/>
      <c r="H618" s="29"/>
    </row>
    <row r="619" customFormat="false" ht="15" hidden="false" customHeight="false" outlineLevel="0" collapsed="false">
      <c r="A619" s="27"/>
      <c r="B619" s="27"/>
      <c r="C619" s="27"/>
      <c r="D619" s="28"/>
      <c r="E619" s="29"/>
      <c r="F619" s="28"/>
      <c r="G619" s="29"/>
      <c r="H619" s="29"/>
    </row>
    <row r="620" customFormat="false" ht="15" hidden="false" customHeight="false" outlineLevel="0" collapsed="false">
      <c r="A620" s="27"/>
      <c r="B620" s="27"/>
      <c r="C620" s="27"/>
      <c r="D620" s="28"/>
      <c r="E620" s="29"/>
      <c r="F620" s="28"/>
      <c r="G620" s="29"/>
      <c r="H620" s="29"/>
    </row>
    <row r="621" customFormat="false" ht="15" hidden="false" customHeight="false" outlineLevel="0" collapsed="false">
      <c r="A621" s="27"/>
      <c r="B621" s="27"/>
      <c r="C621" s="27"/>
      <c r="D621" s="28"/>
      <c r="E621" s="29"/>
      <c r="F621" s="28"/>
      <c r="G621" s="29"/>
      <c r="H621" s="29"/>
    </row>
    <row r="622" customFormat="false" ht="15" hidden="false" customHeight="false" outlineLevel="0" collapsed="false">
      <c r="A622" s="27"/>
      <c r="B622" s="27"/>
      <c r="C622" s="27"/>
      <c r="D622" s="28"/>
      <c r="E622" s="29"/>
      <c r="F622" s="28"/>
      <c r="G622" s="29"/>
      <c r="H622" s="29"/>
    </row>
    <row r="623" customFormat="false" ht="15" hidden="false" customHeight="false" outlineLevel="0" collapsed="false">
      <c r="A623" s="27"/>
      <c r="B623" s="27"/>
      <c r="C623" s="27"/>
      <c r="D623" s="28"/>
      <c r="E623" s="29"/>
      <c r="F623" s="28"/>
      <c r="G623" s="29"/>
      <c r="H623" s="29"/>
    </row>
    <row r="624" customFormat="false" ht="15" hidden="false" customHeight="false" outlineLevel="0" collapsed="false">
      <c r="A624" s="27"/>
      <c r="B624" s="27"/>
      <c r="C624" s="27"/>
      <c r="D624" s="28"/>
      <c r="E624" s="29"/>
      <c r="F624" s="28"/>
      <c r="G624" s="29"/>
      <c r="H624" s="29"/>
    </row>
    <row r="625" customFormat="false" ht="15" hidden="false" customHeight="false" outlineLevel="0" collapsed="false">
      <c r="A625" s="27"/>
      <c r="B625" s="27"/>
      <c r="C625" s="27"/>
      <c r="D625" s="28"/>
      <c r="E625" s="29"/>
      <c r="F625" s="28"/>
      <c r="G625" s="29"/>
      <c r="H625" s="29"/>
    </row>
    <row r="626" customFormat="false" ht="15" hidden="false" customHeight="false" outlineLevel="0" collapsed="false">
      <c r="A626" s="27"/>
      <c r="B626" s="27"/>
      <c r="C626" s="27"/>
      <c r="D626" s="28"/>
      <c r="E626" s="29"/>
      <c r="F626" s="28"/>
      <c r="G626" s="29"/>
      <c r="H626" s="29"/>
    </row>
    <row r="627" customFormat="false" ht="15" hidden="false" customHeight="false" outlineLevel="0" collapsed="false">
      <c r="A627" s="27"/>
      <c r="B627" s="27"/>
      <c r="C627" s="27"/>
      <c r="D627" s="28"/>
      <c r="E627" s="29"/>
      <c r="F627" s="28"/>
      <c r="G627" s="29"/>
      <c r="H627" s="29"/>
    </row>
    <row r="628" customFormat="false" ht="15" hidden="false" customHeight="false" outlineLevel="0" collapsed="false">
      <c r="A628" s="27"/>
      <c r="B628" s="27"/>
      <c r="C628" s="27"/>
      <c r="D628" s="28"/>
      <c r="E628" s="29"/>
      <c r="F628" s="28"/>
      <c r="G628" s="29"/>
      <c r="H628" s="29"/>
    </row>
    <row r="629" customFormat="false" ht="15" hidden="false" customHeight="false" outlineLevel="0" collapsed="false">
      <c r="A629" s="27"/>
      <c r="B629" s="27"/>
      <c r="C629" s="27"/>
      <c r="D629" s="28"/>
      <c r="E629" s="29"/>
      <c r="F629" s="28"/>
      <c r="G629" s="29"/>
      <c r="H629" s="29"/>
    </row>
    <row r="630" customFormat="false" ht="15" hidden="false" customHeight="false" outlineLevel="0" collapsed="false">
      <c r="A630" s="27"/>
      <c r="B630" s="27"/>
      <c r="C630" s="27"/>
      <c r="D630" s="28"/>
      <c r="E630" s="29"/>
      <c r="F630" s="28"/>
      <c r="G630" s="29"/>
      <c r="H630" s="29"/>
    </row>
    <row r="631" customFormat="false" ht="15" hidden="false" customHeight="false" outlineLevel="0" collapsed="false">
      <c r="A631" s="27"/>
      <c r="B631" s="27"/>
      <c r="C631" s="27"/>
      <c r="D631" s="28"/>
      <c r="E631" s="29"/>
      <c r="F631" s="28"/>
      <c r="G631" s="29"/>
      <c r="H631" s="29"/>
    </row>
    <row r="632" customFormat="false" ht="15" hidden="false" customHeight="false" outlineLevel="0" collapsed="false">
      <c r="A632" s="27"/>
      <c r="B632" s="27"/>
      <c r="C632" s="27"/>
      <c r="D632" s="28"/>
      <c r="E632" s="29"/>
      <c r="F632" s="28"/>
      <c r="G632" s="29"/>
      <c r="H632" s="29"/>
    </row>
    <row r="633" customFormat="false" ht="15" hidden="false" customHeight="false" outlineLevel="0" collapsed="false">
      <c r="A633" s="27"/>
      <c r="B633" s="27"/>
      <c r="C633" s="27"/>
      <c r="D633" s="28"/>
      <c r="E633" s="29"/>
      <c r="F633" s="28"/>
      <c r="G633" s="29"/>
      <c r="H633" s="29"/>
    </row>
    <row r="634" customFormat="false" ht="15" hidden="false" customHeight="false" outlineLevel="0" collapsed="false">
      <c r="A634" s="27"/>
      <c r="B634" s="27"/>
      <c r="C634" s="27"/>
      <c r="D634" s="28"/>
      <c r="E634" s="29"/>
      <c r="F634" s="28"/>
      <c r="G634" s="29"/>
      <c r="H634" s="29"/>
    </row>
    <row r="635" customFormat="false" ht="15" hidden="false" customHeight="false" outlineLevel="0" collapsed="false">
      <c r="A635" s="27"/>
      <c r="B635" s="27"/>
      <c r="C635" s="27"/>
      <c r="D635" s="28"/>
      <c r="E635" s="29"/>
      <c r="F635" s="28"/>
      <c r="G635" s="29"/>
      <c r="H635" s="29"/>
    </row>
    <row r="636" customFormat="false" ht="15" hidden="false" customHeight="false" outlineLevel="0" collapsed="false">
      <c r="A636" s="27"/>
      <c r="B636" s="27"/>
      <c r="C636" s="27"/>
      <c r="D636" s="28"/>
      <c r="E636" s="29"/>
      <c r="F636" s="28"/>
      <c r="G636" s="29"/>
      <c r="H636" s="29"/>
    </row>
    <row r="637" customFormat="false" ht="15" hidden="false" customHeight="false" outlineLevel="0" collapsed="false">
      <c r="A637" s="27"/>
      <c r="B637" s="27"/>
      <c r="C637" s="27"/>
      <c r="D637" s="28"/>
      <c r="E637" s="29"/>
      <c r="F637" s="28"/>
      <c r="G637" s="29"/>
      <c r="H637" s="29"/>
    </row>
    <row r="638" customFormat="false" ht="15" hidden="false" customHeight="false" outlineLevel="0" collapsed="false">
      <c r="A638" s="27"/>
      <c r="B638" s="27"/>
      <c r="C638" s="27"/>
      <c r="D638" s="28"/>
      <c r="E638" s="29"/>
      <c r="F638" s="28"/>
      <c r="G638" s="29"/>
      <c r="H638" s="29"/>
    </row>
    <row r="639" customFormat="false" ht="15" hidden="false" customHeight="false" outlineLevel="0" collapsed="false">
      <c r="A639" s="27"/>
      <c r="B639" s="27"/>
      <c r="C639" s="27"/>
      <c r="D639" s="28"/>
      <c r="E639" s="29"/>
      <c r="F639" s="28"/>
      <c r="G639" s="29"/>
      <c r="H639" s="29"/>
    </row>
    <row r="640" customFormat="false" ht="15" hidden="false" customHeight="false" outlineLevel="0" collapsed="false">
      <c r="A640" s="27"/>
      <c r="B640" s="27"/>
      <c r="C640" s="27"/>
      <c r="D640" s="28"/>
      <c r="E640" s="29"/>
      <c r="F640" s="28"/>
      <c r="G640" s="29"/>
      <c r="H640" s="29"/>
    </row>
    <row r="641" customFormat="false" ht="15" hidden="false" customHeight="false" outlineLevel="0" collapsed="false">
      <c r="A641" s="27"/>
      <c r="B641" s="27"/>
      <c r="C641" s="27"/>
      <c r="D641" s="28"/>
      <c r="E641" s="29"/>
      <c r="F641" s="28"/>
      <c r="G641" s="29"/>
      <c r="H641" s="29"/>
    </row>
    <row r="642" customFormat="false" ht="15" hidden="false" customHeight="false" outlineLevel="0" collapsed="false">
      <c r="A642" s="27"/>
      <c r="B642" s="27"/>
      <c r="C642" s="27"/>
      <c r="D642" s="28"/>
      <c r="E642" s="29"/>
      <c r="F642" s="28"/>
      <c r="G642" s="29"/>
      <c r="H642" s="29"/>
    </row>
    <row r="643" customFormat="false" ht="15" hidden="false" customHeight="false" outlineLevel="0" collapsed="false">
      <c r="A643" s="27"/>
      <c r="B643" s="27"/>
      <c r="C643" s="27"/>
      <c r="D643" s="28"/>
      <c r="E643" s="29"/>
      <c r="F643" s="28"/>
      <c r="G643" s="29"/>
      <c r="H643" s="29"/>
    </row>
    <row r="644" customFormat="false" ht="15" hidden="false" customHeight="false" outlineLevel="0" collapsed="false">
      <c r="A644" s="27"/>
      <c r="B644" s="27"/>
      <c r="C644" s="27"/>
      <c r="D644" s="28"/>
      <c r="E644" s="29"/>
      <c r="F644" s="28"/>
      <c r="G644" s="29"/>
      <c r="H644" s="29"/>
    </row>
    <row r="645" customFormat="false" ht="15" hidden="false" customHeight="false" outlineLevel="0" collapsed="false">
      <c r="A645" s="27"/>
      <c r="B645" s="27"/>
      <c r="C645" s="27"/>
      <c r="D645" s="28"/>
      <c r="E645" s="29"/>
      <c r="F645" s="28"/>
      <c r="G645" s="29"/>
      <c r="H645" s="29"/>
    </row>
    <row r="646" customFormat="false" ht="15" hidden="false" customHeight="false" outlineLevel="0" collapsed="false">
      <c r="A646" s="27"/>
      <c r="B646" s="27"/>
      <c r="C646" s="27"/>
      <c r="D646" s="28"/>
      <c r="E646" s="29"/>
      <c r="F646" s="28"/>
      <c r="G646" s="29"/>
      <c r="H646" s="29"/>
    </row>
    <row r="647" customFormat="false" ht="15" hidden="false" customHeight="false" outlineLevel="0" collapsed="false">
      <c r="A647" s="27"/>
      <c r="B647" s="27"/>
      <c r="C647" s="27"/>
      <c r="D647" s="28"/>
      <c r="E647" s="29"/>
      <c r="F647" s="28"/>
      <c r="G647" s="29"/>
      <c r="H647" s="29"/>
    </row>
    <row r="648" customFormat="false" ht="15" hidden="false" customHeight="false" outlineLevel="0" collapsed="false">
      <c r="A648" s="27"/>
      <c r="B648" s="27"/>
      <c r="C648" s="27"/>
      <c r="D648" s="28"/>
      <c r="E648" s="29"/>
      <c r="F648" s="28"/>
      <c r="G648" s="29"/>
      <c r="H648" s="29"/>
    </row>
    <row r="649" customFormat="false" ht="15" hidden="false" customHeight="false" outlineLevel="0" collapsed="false">
      <c r="A649" s="27"/>
      <c r="B649" s="27"/>
      <c r="C649" s="27"/>
      <c r="D649" s="28"/>
      <c r="E649" s="29"/>
      <c r="F649" s="28"/>
      <c r="G649" s="29"/>
      <c r="H649" s="29"/>
    </row>
    <row r="650" customFormat="false" ht="15" hidden="false" customHeight="false" outlineLevel="0" collapsed="false">
      <c r="A650" s="27"/>
      <c r="B650" s="27"/>
      <c r="C650" s="27"/>
      <c r="D650" s="28"/>
      <c r="E650" s="29"/>
      <c r="F650" s="28"/>
      <c r="G650" s="29"/>
      <c r="H650" s="29"/>
    </row>
    <row r="651" customFormat="false" ht="15" hidden="false" customHeight="false" outlineLevel="0" collapsed="false">
      <c r="A651" s="27"/>
      <c r="B651" s="27"/>
      <c r="C651" s="27"/>
      <c r="D651" s="28"/>
      <c r="E651" s="29"/>
      <c r="F651" s="28"/>
      <c r="G651" s="29"/>
      <c r="H651" s="29"/>
    </row>
    <row r="652" customFormat="false" ht="15" hidden="false" customHeight="false" outlineLevel="0" collapsed="false">
      <c r="A652" s="27"/>
      <c r="B652" s="27"/>
      <c r="C652" s="27"/>
      <c r="D652" s="28"/>
      <c r="E652" s="29"/>
      <c r="F652" s="28"/>
      <c r="G652" s="29"/>
      <c r="H652" s="29"/>
    </row>
    <row r="653" customFormat="false" ht="15" hidden="false" customHeight="false" outlineLevel="0" collapsed="false">
      <c r="A653" s="27"/>
      <c r="B653" s="27"/>
      <c r="C653" s="27"/>
      <c r="D653" s="28"/>
      <c r="E653" s="29"/>
      <c r="F653" s="28"/>
      <c r="G653" s="29"/>
      <c r="H653" s="29"/>
    </row>
    <row r="654" customFormat="false" ht="15" hidden="false" customHeight="false" outlineLevel="0" collapsed="false">
      <c r="A654" s="27"/>
      <c r="B654" s="27"/>
      <c r="C654" s="27"/>
      <c r="D654" s="28"/>
      <c r="E654" s="29"/>
      <c r="F654" s="28"/>
      <c r="G654" s="29"/>
      <c r="H654" s="29"/>
    </row>
    <row r="655" customFormat="false" ht="15" hidden="false" customHeight="false" outlineLevel="0" collapsed="false">
      <c r="A655" s="27"/>
      <c r="B655" s="27"/>
      <c r="C655" s="27"/>
      <c r="D655" s="28"/>
      <c r="E655" s="29"/>
      <c r="F655" s="28"/>
      <c r="G655" s="29"/>
      <c r="H655" s="29"/>
    </row>
    <row r="656" customFormat="false" ht="15" hidden="false" customHeight="false" outlineLevel="0" collapsed="false">
      <c r="A656" s="27"/>
      <c r="B656" s="27"/>
      <c r="C656" s="27"/>
      <c r="D656" s="28"/>
      <c r="E656" s="29"/>
      <c r="F656" s="28"/>
      <c r="G656" s="29"/>
      <c r="H656" s="29"/>
    </row>
    <row r="657" customFormat="false" ht="15" hidden="false" customHeight="false" outlineLevel="0" collapsed="false">
      <c r="A657" s="27"/>
      <c r="B657" s="27"/>
      <c r="C657" s="27"/>
      <c r="D657" s="28"/>
      <c r="E657" s="29"/>
      <c r="F657" s="28"/>
      <c r="G657" s="29"/>
      <c r="H657" s="29"/>
    </row>
    <row r="658" customFormat="false" ht="15" hidden="false" customHeight="false" outlineLevel="0" collapsed="false">
      <c r="A658" s="27"/>
      <c r="B658" s="27"/>
      <c r="C658" s="27"/>
      <c r="D658" s="28"/>
      <c r="E658" s="29"/>
      <c r="F658" s="28"/>
      <c r="G658" s="29"/>
      <c r="H658" s="29"/>
    </row>
    <row r="659" customFormat="false" ht="15" hidden="false" customHeight="false" outlineLevel="0" collapsed="false">
      <c r="A659" s="27"/>
      <c r="B659" s="27"/>
      <c r="C659" s="27"/>
      <c r="D659" s="28"/>
      <c r="E659" s="29"/>
      <c r="F659" s="28"/>
      <c r="G659" s="29"/>
      <c r="H659" s="29"/>
    </row>
    <row r="660" customFormat="false" ht="15" hidden="false" customHeight="false" outlineLevel="0" collapsed="false">
      <c r="A660" s="27"/>
      <c r="B660" s="27"/>
      <c r="C660" s="27"/>
      <c r="D660" s="28"/>
      <c r="E660" s="29"/>
      <c r="F660" s="28"/>
      <c r="G660" s="29"/>
      <c r="H660" s="29"/>
    </row>
    <row r="661" customFormat="false" ht="15" hidden="false" customHeight="false" outlineLevel="0" collapsed="false">
      <c r="A661" s="27"/>
      <c r="B661" s="27"/>
      <c r="C661" s="27"/>
      <c r="D661" s="28"/>
      <c r="E661" s="29"/>
      <c r="F661" s="28"/>
      <c r="G661" s="29"/>
      <c r="H661" s="29"/>
    </row>
    <row r="662" customFormat="false" ht="15" hidden="false" customHeight="false" outlineLevel="0" collapsed="false">
      <c r="A662" s="27"/>
      <c r="B662" s="27"/>
      <c r="C662" s="27"/>
      <c r="D662" s="28"/>
      <c r="E662" s="29"/>
      <c r="F662" s="28"/>
      <c r="G662" s="29"/>
      <c r="H662" s="29"/>
    </row>
    <row r="663" customFormat="false" ht="15" hidden="false" customHeight="false" outlineLevel="0" collapsed="false">
      <c r="A663" s="27"/>
      <c r="B663" s="27"/>
      <c r="C663" s="27"/>
      <c r="D663" s="28"/>
      <c r="E663" s="29"/>
      <c r="F663" s="28"/>
      <c r="G663" s="29"/>
      <c r="H663" s="29"/>
    </row>
    <row r="664" customFormat="false" ht="15" hidden="false" customHeight="false" outlineLevel="0" collapsed="false">
      <c r="A664" s="27"/>
      <c r="B664" s="27"/>
      <c r="C664" s="27"/>
      <c r="D664" s="28"/>
      <c r="E664" s="29"/>
      <c r="F664" s="28"/>
      <c r="G664" s="29"/>
      <c r="H664" s="29"/>
    </row>
    <row r="665" customFormat="false" ht="15" hidden="false" customHeight="false" outlineLevel="0" collapsed="false">
      <c r="A665" s="27"/>
      <c r="B665" s="27"/>
      <c r="C665" s="27"/>
      <c r="D665" s="28"/>
      <c r="E665" s="29"/>
      <c r="F665" s="28"/>
      <c r="G665" s="29"/>
      <c r="H665" s="29"/>
    </row>
    <row r="666" customFormat="false" ht="15" hidden="false" customHeight="false" outlineLevel="0" collapsed="false">
      <c r="A666" s="27"/>
      <c r="B666" s="27"/>
      <c r="C666" s="27"/>
      <c r="D666" s="28"/>
      <c r="E666" s="29"/>
      <c r="F666" s="28"/>
      <c r="G666" s="29"/>
      <c r="H666" s="29"/>
    </row>
    <row r="667" customFormat="false" ht="15" hidden="false" customHeight="false" outlineLevel="0" collapsed="false">
      <c r="A667" s="27"/>
      <c r="B667" s="27"/>
      <c r="C667" s="27"/>
      <c r="D667" s="28"/>
      <c r="E667" s="29"/>
      <c r="F667" s="28"/>
      <c r="G667" s="29"/>
      <c r="H667" s="29"/>
    </row>
    <row r="668" customFormat="false" ht="15" hidden="false" customHeight="false" outlineLevel="0" collapsed="false">
      <c r="A668" s="27"/>
      <c r="B668" s="27"/>
      <c r="C668" s="27"/>
      <c r="D668" s="28"/>
      <c r="E668" s="29"/>
      <c r="F668" s="28"/>
      <c r="G668" s="29"/>
      <c r="H668" s="29"/>
    </row>
    <row r="669" customFormat="false" ht="15" hidden="false" customHeight="false" outlineLevel="0" collapsed="false">
      <c r="A669" s="27"/>
      <c r="B669" s="27"/>
      <c r="C669" s="27"/>
      <c r="D669" s="28"/>
      <c r="E669" s="29"/>
      <c r="F669" s="28"/>
      <c r="G669" s="29"/>
      <c r="H669" s="29"/>
    </row>
    <row r="670" customFormat="false" ht="15" hidden="false" customHeight="false" outlineLevel="0" collapsed="false">
      <c r="A670" s="27"/>
      <c r="B670" s="27"/>
      <c r="C670" s="27"/>
      <c r="D670" s="28"/>
      <c r="E670" s="29"/>
      <c r="F670" s="28"/>
      <c r="G670" s="29"/>
      <c r="H670" s="29"/>
    </row>
    <row r="671" customFormat="false" ht="15" hidden="false" customHeight="false" outlineLevel="0" collapsed="false">
      <c r="A671" s="27"/>
      <c r="B671" s="27"/>
      <c r="C671" s="27"/>
      <c r="D671" s="28"/>
      <c r="E671" s="29"/>
      <c r="F671" s="28"/>
      <c r="G671" s="29"/>
      <c r="H671" s="29"/>
    </row>
    <row r="672" customFormat="false" ht="15" hidden="false" customHeight="false" outlineLevel="0" collapsed="false">
      <c r="A672" s="27"/>
      <c r="B672" s="27"/>
      <c r="C672" s="27"/>
      <c r="D672" s="28"/>
      <c r="E672" s="29"/>
      <c r="F672" s="28"/>
      <c r="G672" s="29"/>
      <c r="H672" s="29"/>
    </row>
    <row r="673" customFormat="false" ht="15" hidden="false" customHeight="false" outlineLevel="0" collapsed="false">
      <c r="A673" s="27"/>
      <c r="B673" s="27"/>
      <c r="C673" s="27"/>
      <c r="D673" s="28"/>
      <c r="E673" s="29"/>
      <c r="F673" s="28"/>
      <c r="G673" s="29"/>
      <c r="H673" s="29"/>
    </row>
    <row r="674" customFormat="false" ht="15" hidden="false" customHeight="false" outlineLevel="0" collapsed="false">
      <c r="A674" s="27"/>
      <c r="B674" s="27"/>
      <c r="C674" s="27"/>
      <c r="D674" s="28"/>
      <c r="E674" s="29"/>
      <c r="F674" s="28"/>
      <c r="G674" s="29"/>
      <c r="H674" s="29"/>
    </row>
    <row r="675" customFormat="false" ht="15" hidden="false" customHeight="false" outlineLevel="0" collapsed="false">
      <c r="A675" s="27"/>
      <c r="B675" s="27"/>
      <c r="C675" s="27"/>
      <c r="D675" s="28"/>
      <c r="E675" s="29"/>
      <c r="F675" s="28"/>
      <c r="G675" s="29"/>
      <c r="H675" s="29"/>
    </row>
    <row r="676" customFormat="false" ht="15" hidden="false" customHeight="false" outlineLevel="0" collapsed="false">
      <c r="A676" s="27"/>
      <c r="B676" s="27"/>
      <c r="C676" s="27"/>
      <c r="D676" s="28"/>
      <c r="E676" s="29"/>
      <c r="F676" s="28"/>
      <c r="G676" s="29"/>
      <c r="H676" s="29"/>
    </row>
    <row r="677" customFormat="false" ht="15" hidden="false" customHeight="false" outlineLevel="0" collapsed="false">
      <c r="A677" s="27"/>
      <c r="B677" s="27"/>
      <c r="C677" s="27"/>
      <c r="D677" s="28"/>
      <c r="E677" s="29"/>
      <c r="F677" s="28"/>
      <c r="G677" s="29"/>
      <c r="H677" s="29"/>
    </row>
    <row r="678" customFormat="false" ht="15" hidden="false" customHeight="false" outlineLevel="0" collapsed="false">
      <c r="A678" s="27"/>
      <c r="B678" s="27"/>
      <c r="C678" s="27"/>
      <c r="D678" s="28"/>
      <c r="E678" s="29"/>
      <c r="F678" s="28"/>
      <c r="G678" s="29"/>
      <c r="H678" s="29"/>
    </row>
    <row r="679" customFormat="false" ht="15" hidden="false" customHeight="false" outlineLevel="0" collapsed="false">
      <c r="A679" s="27"/>
      <c r="B679" s="27"/>
      <c r="C679" s="27"/>
      <c r="D679" s="28"/>
      <c r="E679" s="29"/>
      <c r="F679" s="28"/>
      <c r="G679" s="29"/>
      <c r="H679" s="29"/>
    </row>
    <row r="680" customFormat="false" ht="15" hidden="false" customHeight="false" outlineLevel="0" collapsed="false">
      <c r="A680" s="27"/>
      <c r="B680" s="27"/>
      <c r="C680" s="27"/>
      <c r="D680" s="28"/>
      <c r="E680" s="29"/>
      <c r="F680" s="28"/>
      <c r="G680" s="29"/>
      <c r="H680" s="29"/>
    </row>
    <row r="681" customFormat="false" ht="15" hidden="false" customHeight="false" outlineLevel="0" collapsed="false">
      <c r="A681" s="27"/>
      <c r="B681" s="27"/>
      <c r="C681" s="27"/>
      <c r="D681" s="28"/>
      <c r="E681" s="29"/>
      <c r="F681" s="28"/>
      <c r="G681" s="29"/>
      <c r="H681" s="29"/>
    </row>
    <row r="682" customFormat="false" ht="15" hidden="false" customHeight="false" outlineLevel="0" collapsed="false">
      <c r="A682" s="27"/>
      <c r="B682" s="27"/>
      <c r="C682" s="27"/>
      <c r="D682" s="28"/>
      <c r="E682" s="29"/>
      <c r="F682" s="28"/>
      <c r="G682" s="29"/>
      <c r="H682" s="29"/>
    </row>
    <row r="683" customFormat="false" ht="15" hidden="false" customHeight="false" outlineLevel="0" collapsed="false">
      <c r="A683" s="27"/>
      <c r="B683" s="27"/>
      <c r="C683" s="27"/>
      <c r="D683" s="28"/>
      <c r="E683" s="29"/>
      <c r="F683" s="28"/>
      <c r="G683" s="29"/>
      <c r="H683" s="29"/>
    </row>
    <row r="684" customFormat="false" ht="15" hidden="false" customHeight="false" outlineLevel="0" collapsed="false">
      <c r="A684" s="27"/>
      <c r="B684" s="27"/>
      <c r="C684" s="27"/>
      <c r="D684" s="28"/>
      <c r="E684" s="29"/>
      <c r="F684" s="28"/>
      <c r="G684" s="29"/>
      <c r="H684" s="29"/>
    </row>
    <row r="685" customFormat="false" ht="15" hidden="false" customHeight="false" outlineLevel="0" collapsed="false">
      <c r="A685" s="27"/>
      <c r="B685" s="27"/>
      <c r="C685" s="27"/>
      <c r="D685" s="28"/>
      <c r="E685" s="29"/>
      <c r="F685" s="28"/>
      <c r="G685" s="29"/>
      <c r="H685" s="29"/>
    </row>
    <row r="686" customFormat="false" ht="15" hidden="false" customHeight="false" outlineLevel="0" collapsed="false">
      <c r="A686" s="27"/>
      <c r="B686" s="27"/>
      <c r="C686" s="27"/>
      <c r="D686" s="28"/>
      <c r="E686" s="29"/>
      <c r="F686" s="28"/>
      <c r="G686" s="29"/>
      <c r="H686" s="29"/>
    </row>
    <row r="687" customFormat="false" ht="15" hidden="false" customHeight="false" outlineLevel="0" collapsed="false">
      <c r="A687" s="27"/>
      <c r="B687" s="27"/>
      <c r="C687" s="27"/>
      <c r="D687" s="28"/>
      <c r="E687" s="29"/>
      <c r="F687" s="28"/>
      <c r="G687" s="29"/>
      <c r="H687" s="29"/>
    </row>
    <row r="688" customFormat="false" ht="15" hidden="false" customHeight="false" outlineLevel="0" collapsed="false">
      <c r="A688" s="27"/>
      <c r="B688" s="27"/>
      <c r="C688" s="27"/>
      <c r="D688" s="28"/>
      <c r="E688" s="29"/>
      <c r="F688" s="28"/>
      <c r="G688" s="29"/>
      <c r="H688" s="29"/>
    </row>
    <row r="689" customFormat="false" ht="15" hidden="false" customHeight="false" outlineLevel="0" collapsed="false">
      <c r="A689" s="27"/>
      <c r="B689" s="27"/>
      <c r="C689" s="27"/>
      <c r="D689" s="28"/>
      <c r="E689" s="29"/>
      <c r="F689" s="28"/>
      <c r="G689" s="29"/>
      <c r="H689" s="29"/>
    </row>
    <row r="690" customFormat="false" ht="15" hidden="false" customHeight="false" outlineLevel="0" collapsed="false">
      <c r="A690" s="27"/>
      <c r="B690" s="27"/>
      <c r="C690" s="27"/>
      <c r="D690" s="28"/>
      <c r="E690" s="29"/>
      <c r="F690" s="28"/>
      <c r="G690" s="29"/>
      <c r="H690" s="29"/>
    </row>
    <row r="691" customFormat="false" ht="15" hidden="false" customHeight="false" outlineLevel="0" collapsed="false">
      <c r="A691" s="27"/>
      <c r="B691" s="27"/>
      <c r="C691" s="27"/>
      <c r="D691" s="28"/>
      <c r="E691" s="29"/>
      <c r="F691" s="28"/>
      <c r="G691" s="29"/>
      <c r="H691" s="29"/>
    </row>
    <row r="692" customFormat="false" ht="15" hidden="false" customHeight="false" outlineLevel="0" collapsed="false">
      <c r="A692" s="27"/>
      <c r="B692" s="27"/>
      <c r="C692" s="27"/>
      <c r="D692" s="28"/>
      <c r="E692" s="29"/>
      <c r="F692" s="28"/>
      <c r="G692" s="29"/>
      <c r="H692" s="29"/>
    </row>
    <row r="693" customFormat="false" ht="15" hidden="false" customHeight="false" outlineLevel="0" collapsed="false">
      <c r="A693" s="27"/>
      <c r="B693" s="27"/>
      <c r="C693" s="27"/>
      <c r="D693" s="28"/>
      <c r="E693" s="29"/>
      <c r="F693" s="28"/>
      <c r="G693" s="29"/>
      <c r="H693" s="29"/>
    </row>
    <row r="694" customFormat="false" ht="15" hidden="false" customHeight="false" outlineLevel="0" collapsed="false">
      <c r="A694" s="27"/>
      <c r="B694" s="27"/>
      <c r="C694" s="27"/>
      <c r="D694" s="28"/>
      <c r="E694" s="29"/>
      <c r="F694" s="28"/>
      <c r="G694" s="29"/>
      <c r="H694" s="29"/>
    </row>
    <row r="695" customFormat="false" ht="15" hidden="false" customHeight="false" outlineLevel="0" collapsed="false">
      <c r="A695" s="27"/>
      <c r="B695" s="27"/>
      <c r="C695" s="27"/>
      <c r="D695" s="28"/>
      <c r="E695" s="29"/>
      <c r="F695" s="28"/>
      <c r="G695" s="29"/>
      <c r="H695" s="29"/>
    </row>
    <row r="696" customFormat="false" ht="15" hidden="false" customHeight="false" outlineLevel="0" collapsed="false">
      <c r="A696" s="27"/>
      <c r="B696" s="27"/>
      <c r="C696" s="27"/>
      <c r="D696" s="28"/>
      <c r="E696" s="29"/>
      <c r="F696" s="28"/>
      <c r="G696" s="29"/>
      <c r="H696" s="29"/>
    </row>
    <row r="697" customFormat="false" ht="15" hidden="false" customHeight="false" outlineLevel="0" collapsed="false">
      <c r="A697" s="27"/>
      <c r="B697" s="27"/>
      <c r="C697" s="27"/>
      <c r="D697" s="28"/>
      <c r="E697" s="29"/>
      <c r="F697" s="28"/>
      <c r="G697" s="29"/>
      <c r="H697" s="29"/>
    </row>
    <row r="698" customFormat="false" ht="15" hidden="false" customHeight="false" outlineLevel="0" collapsed="false">
      <c r="A698" s="27"/>
      <c r="B698" s="27"/>
      <c r="C698" s="27"/>
      <c r="D698" s="28"/>
      <c r="E698" s="29"/>
      <c r="F698" s="28"/>
      <c r="G698" s="29"/>
      <c r="H698" s="29"/>
    </row>
    <row r="699" customFormat="false" ht="15" hidden="false" customHeight="false" outlineLevel="0" collapsed="false">
      <c r="A699" s="27"/>
      <c r="B699" s="27"/>
      <c r="C699" s="27"/>
      <c r="D699" s="28"/>
      <c r="E699" s="29"/>
      <c r="F699" s="28"/>
      <c r="G699" s="29"/>
      <c r="H699" s="29"/>
    </row>
    <row r="700" customFormat="false" ht="15" hidden="false" customHeight="false" outlineLevel="0" collapsed="false">
      <c r="A700" s="27"/>
      <c r="B700" s="27"/>
      <c r="C700" s="27"/>
      <c r="D700" s="28"/>
      <c r="E700" s="29"/>
      <c r="F700" s="28"/>
      <c r="G700" s="29"/>
      <c r="H700" s="29"/>
    </row>
    <row r="701" customFormat="false" ht="15" hidden="false" customHeight="false" outlineLevel="0" collapsed="false">
      <c r="A701" s="27"/>
      <c r="B701" s="27"/>
      <c r="C701" s="27"/>
      <c r="D701" s="28"/>
      <c r="E701" s="29"/>
      <c r="F701" s="28"/>
      <c r="G701" s="29"/>
      <c r="H701" s="29"/>
    </row>
    <row r="702" customFormat="false" ht="15" hidden="false" customHeight="false" outlineLevel="0" collapsed="false">
      <c r="A702" s="27"/>
      <c r="B702" s="27"/>
      <c r="C702" s="27"/>
      <c r="D702" s="28"/>
      <c r="E702" s="29"/>
      <c r="F702" s="28"/>
      <c r="G702" s="29"/>
      <c r="H702" s="29"/>
    </row>
    <row r="703" customFormat="false" ht="15" hidden="false" customHeight="false" outlineLevel="0" collapsed="false">
      <c r="A703" s="27"/>
      <c r="B703" s="27"/>
      <c r="C703" s="27"/>
      <c r="D703" s="28"/>
      <c r="E703" s="29"/>
      <c r="F703" s="28"/>
      <c r="G703" s="29"/>
      <c r="H703" s="29"/>
    </row>
    <row r="704" customFormat="false" ht="15" hidden="false" customHeight="false" outlineLevel="0" collapsed="false">
      <c r="A704" s="27"/>
      <c r="B704" s="27"/>
      <c r="C704" s="27"/>
      <c r="D704" s="28"/>
      <c r="E704" s="29"/>
      <c r="F704" s="28"/>
      <c r="G704" s="29"/>
      <c r="H704" s="29"/>
    </row>
    <row r="705" customFormat="false" ht="15" hidden="false" customHeight="false" outlineLevel="0" collapsed="false">
      <c r="A705" s="27"/>
      <c r="B705" s="27"/>
      <c r="C705" s="27"/>
      <c r="D705" s="28"/>
      <c r="E705" s="29"/>
      <c r="F705" s="28"/>
      <c r="G705" s="29"/>
      <c r="H705" s="29"/>
    </row>
    <row r="706" customFormat="false" ht="15" hidden="false" customHeight="false" outlineLevel="0" collapsed="false">
      <c r="A706" s="27"/>
      <c r="B706" s="27"/>
      <c r="C706" s="27"/>
      <c r="D706" s="28"/>
      <c r="E706" s="29"/>
      <c r="F706" s="28"/>
      <c r="G706" s="29"/>
      <c r="H706" s="29"/>
    </row>
    <row r="707" customFormat="false" ht="15" hidden="false" customHeight="false" outlineLevel="0" collapsed="false">
      <c r="A707" s="27"/>
      <c r="B707" s="27"/>
      <c r="C707" s="27"/>
      <c r="D707" s="28"/>
      <c r="E707" s="29"/>
      <c r="F707" s="28"/>
      <c r="G707" s="29"/>
      <c r="H707" s="29"/>
    </row>
    <row r="708" customFormat="false" ht="15" hidden="false" customHeight="false" outlineLevel="0" collapsed="false">
      <c r="A708" s="27"/>
      <c r="B708" s="27"/>
      <c r="C708" s="27"/>
      <c r="D708" s="28"/>
      <c r="E708" s="29"/>
      <c r="F708" s="28"/>
      <c r="G708" s="29"/>
      <c r="H708" s="29"/>
    </row>
    <row r="709" customFormat="false" ht="15" hidden="false" customHeight="false" outlineLevel="0" collapsed="false">
      <c r="A709" s="27"/>
      <c r="B709" s="27"/>
      <c r="C709" s="27"/>
      <c r="D709" s="28"/>
      <c r="E709" s="29"/>
      <c r="F709" s="28"/>
      <c r="G709" s="29"/>
      <c r="H709" s="29"/>
    </row>
    <row r="710" customFormat="false" ht="15" hidden="false" customHeight="false" outlineLevel="0" collapsed="false">
      <c r="A710" s="27"/>
      <c r="B710" s="27"/>
      <c r="C710" s="27"/>
      <c r="D710" s="28"/>
      <c r="E710" s="29"/>
      <c r="F710" s="28"/>
      <c r="G710" s="29"/>
      <c r="H710" s="29"/>
    </row>
    <row r="711" customFormat="false" ht="15" hidden="false" customHeight="false" outlineLevel="0" collapsed="false">
      <c r="A711" s="27"/>
      <c r="B711" s="27"/>
      <c r="C711" s="27"/>
      <c r="D711" s="28"/>
      <c r="E711" s="29"/>
      <c r="F711" s="28"/>
      <c r="G711" s="29"/>
      <c r="H711" s="29"/>
    </row>
    <row r="712" customFormat="false" ht="15" hidden="false" customHeight="false" outlineLevel="0" collapsed="false">
      <c r="A712" s="27"/>
      <c r="B712" s="27"/>
      <c r="C712" s="27"/>
      <c r="D712" s="28"/>
      <c r="E712" s="29"/>
      <c r="F712" s="28"/>
      <c r="G712" s="29"/>
      <c r="H712" s="29"/>
    </row>
    <row r="713" customFormat="false" ht="15" hidden="false" customHeight="false" outlineLevel="0" collapsed="false">
      <c r="A713" s="27"/>
      <c r="B713" s="27"/>
      <c r="C713" s="27"/>
      <c r="D713" s="28"/>
      <c r="E713" s="29"/>
      <c r="F713" s="28"/>
      <c r="G713" s="29"/>
      <c r="H713" s="29"/>
    </row>
    <row r="714" customFormat="false" ht="15" hidden="false" customHeight="false" outlineLevel="0" collapsed="false">
      <c r="A714" s="27"/>
      <c r="B714" s="27"/>
      <c r="C714" s="27"/>
      <c r="D714" s="28"/>
      <c r="E714" s="29"/>
      <c r="F714" s="28"/>
      <c r="G714" s="29"/>
      <c r="H714" s="29"/>
    </row>
    <row r="715" customFormat="false" ht="15" hidden="false" customHeight="false" outlineLevel="0" collapsed="false">
      <c r="A715" s="27"/>
      <c r="B715" s="27"/>
      <c r="C715" s="27"/>
      <c r="D715" s="28"/>
      <c r="E715" s="29"/>
      <c r="F715" s="28"/>
      <c r="G715" s="29"/>
      <c r="H715" s="29"/>
    </row>
    <row r="716" customFormat="false" ht="15" hidden="false" customHeight="false" outlineLevel="0" collapsed="false">
      <c r="A716" s="27"/>
      <c r="B716" s="27"/>
      <c r="C716" s="27"/>
      <c r="D716" s="28"/>
      <c r="E716" s="29"/>
      <c r="F716" s="28"/>
      <c r="G716" s="29"/>
      <c r="H716" s="29"/>
    </row>
    <row r="717" customFormat="false" ht="15" hidden="false" customHeight="false" outlineLevel="0" collapsed="false">
      <c r="A717" s="27"/>
      <c r="B717" s="27"/>
      <c r="C717" s="27"/>
      <c r="D717" s="28"/>
      <c r="E717" s="29"/>
      <c r="F717" s="28"/>
      <c r="G717" s="29"/>
      <c r="H717" s="29"/>
    </row>
    <row r="718" customFormat="false" ht="15" hidden="false" customHeight="false" outlineLevel="0" collapsed="false">
      <c r="A718" s="27"/>
      <c r="B718" s="27"/>
      <c r="C718" s="27"/>
      <c r="D718" s="28"/>
      <c r="E718" s="29"/>
      <c r="F718" s="28"/>
      <c r="G718" s="29"/>
      <c r="H718" s="29"/>
    </row>
    <row r="719" customFormat="false" ht="15" hidden="false" customHeight="false" outlineLevel="0" collapsed="false">
      <c r="A719" s="27"/>
      <c r="B719" s="27"/>
      <c r="C719" s="27"/>
      <c r="D719" s="28"/>
      <c r="E719" s="29"/>
      <c r="F719" s="28"/>
      <c r="G719" s="29"/>
      <c r="H719" s="29"/>
    </row>
    <row r="720" customFormat="false" ht="15" hidden="false" customHeight="false" outlineLevel="0" collapsed="false">
      <c r="A720" s="27"/>
      <c r="B720" s="27"/>
      <c r="C720" s="27"/>
      <c r="D720" s="28"/>
      <c r="E720" s="29"/>
      <c r="F720" s="28"/>
      <c r="G720" s="29"/>
      <c r="H720" s="29"/>
    </row>
    <row r="721" customFormat="false" ht="15" hidden="false" customHeight="false" outlineLevel="0" collapsed="false">
      <c r="A721" s="27"/>
      <c r="B721" s="27"/>
      <c r="C721" s="27"/>
      <c r="D721" s="28"/>
      <c r="E721" s="29"/>
      <c r="F721" s="28"/>
      <c r="G721" s="29"/>
      <c r="H721" s="29"/>
    </row>
    <row r="722" customFormat="false" ht="15" hidden="false" customHeight="false" outlineLevel="0" collapsed="false">
      <c r="A722" s="27"/>
      <c r="B722" s="27"/>
      <c r="C722" s="27"/>
      <c r="D722" s="28"/>
      <c r="E722" s="29"/>
      <c r="F722" s="28"/>
      <c r="G722" s="29"/>
      <c r="H722" s="29"/>
    </row>
    <row r="723" customFormat="false" ht="15" hidden="false" customHeight="false" outlineLevel="0" collapsed="false">
      <c r="A723" s="27"/>
      <c r="B723" s="27"/>
      <c r="C723" s="27"/>
      <c r="D723" s="28"/>
      <c r="E723" s="29"/>
      <c r="F723" s="28"/>
      <c r="G723" s="29"/>
      <c r="H723" s="29"/>
    </row>
    <row r="724" customFormat="false" ht="15" hidden="false" customHeight="false" outlineLevel="0" collapsed="false">
      <c r="A724" s="27"/>
      <c r="B724" s="27"/>
      <c r="C724" s="27"/>
      <c r="D724" s="28"/>
      <c r="E724" s="29"/>
      <c r="F724" s="28"/>
      <c r="G724" s="29"/>
      <c r="H724" s="29"/>
    </row>
    <row r="725" customFormat="false" ht="15" hidden="false" customHeight="false" outlineLevel="0" collapsed="false">
      <c r="A725" s="27"/>
      <c r="B725" s="27"/>
      <c r="C725" s="27"/>
      <c r="D725" s="28"/>
      <c r="E725" s="29"/>
      <c r="F725" s="28"/>
      <c r="G725" s="29"/>
      <c r="H725" s="29"/>
    </row>
    <row r="726" customFormat="false" ht="15" hidden="false" customHeight="false" outlineLevel="0" collapsed="false">
      <c r="A726" s="27"/>
      <c r="B726" s="27"/>
      <c r="C726" s="27"/>
      <c r="D726" s="28"/>
      <c r="E726" s="29"/>
      <c r="F726" s="28"/>
      <c r="G726" s="29"/>
      <c r="H726" s="29"/>
    </row>
    <row r="727" customFormat="false" ht="15" hidden="false" customHeight="false" outlineLevel="0" collapsed="false">
      <c r="A727" s="27"/>
      <c r="B727" s="27"/>
      <c r="C727" s="27"/>
      <c r="D727" s="28"/>
      <c r="E727" s="29"/>
      <c r="F727" s="28"/>
      <c r="G727" s="29"/>
      <c r="H727" s="29"/>
    </row>
    <row r="728" customFormat="false" ht="15" hidden="false" customHeight="false" outlineLevel="0" collapsed="false">
      <c r="A728" s="27"/>
      <c r="B728" s="27"/>
      <c r="C728" s="27"/>
      <c r="D728" s="28"/>
      <c r="E728" s="29"/>
      <c r="F728" s="28"/>
      <c r="G728" s="29"/>
      <c r="H728" s="29"/>
    </row>
    <row r="729" customFormat="false" ht="15" hidden="false" customHeight="false" outlineLevel="0" collapsed="false">
      <c r="A729" s="27"/>
      <c r="B729" s="27"/>
      <c r="C729" s="27"/>
      <c r="D729" s="28"/>
      <c r="E729" s="29"/>
      <c r="F729" s="28"/>
      <c r="G729" s="29"/>
      <c r="H729" s="29"/>
    </row>
    <row r="730" customFormat="false" ht="15" hidden="false" customHeight="false" outlineLevel="0" collapsed="false">
      <c r="A730" s="27"/>
      <c r="B730" s="27"/>
      <c r="C730" s="27"/>
      <c r="D730" s="28"/>
      <c r="E730" s="29"/>
      <c r="F730" s="28"/>
      <c r="G730" s="29"/>
      <c r="H730" s="29"/>
    </row>
    <row r="731" customFormat="false" ht="15" hidden="false" customHeight="false" outlineLevel="0" collapsed="false">
      <c r="A731" s="27"/>
      <c r="B731" s="27"/>
      <c r="C731" s="27"/>
      <c r="D731" s="28"/>
      <c r="E731" s="29"/>
      <c r="F731" s="28"/>
      <c r="G731" s="29"/>
      <c r="H731" s="29"/>
    </row>
    <row r="732" customFormat="false" ht="15" hidden="false" customHeight="false" outlineLevel="0" collapsed="false">
      <c r="A732" s="27"/>
      <c r="B732" s="27"/>
      <c r="C732" s="27"/>
      <c r="D732" s="28"/>
      <c r="E732" s="29"/>
      <c r="F732" s="28"/>
      <c r="G732" s="29"/>
      <c r="H732" s="29"/>
    </row>
    <row r="733" customFormat="false" ht="15" hidden="false" customHeight="false" outlineLevel="0" collapsed="false">
      <c r="A733" s="27"/>
      <c r="B733" s="27"/>
      <c r="C733" s="27"/>
      <c r="D733" s="28"/>
      <c r="E733" s="29"/>
      <c r="F733" s="28"/>
      <c r="G733" s="29"/>
      <c r="H733" s="29"/>
    </row>
    <row r="734" customFormat="false" ht="15" hidden="false" customHeight="false" outlineLevel="0" collapsed="false">
      <c r="A734" s="27"/>
      <c r="B734" s="27"/>
      <c r="C734" s="27"/>
      <c r="D734" s="28"/>
      <c r="E734" s="29"/>
      <c r="F734" s="28"/>
      <c r="G734" s="29"/>
      <c r="H734" s="29"/>
    </row>
    <row r="735" customFormat="false" ht="15" hidden="false" customHeight="false" outlineLevel="0" collapsed="false">
      <c r="A735" s="27"/>
      <c r="B735" s="27"/>
      <c r="C735" s="27"/>
      <c r="D735" s="28"/>
      <c r="E735" s="29"/>
      <c r="F735" s="28"/>
      <c r="G735" s="29"/>
      <c r="H735" s="29"/>
    </row>
    <row r="736" customFormat="false" ht="15" hidden="false" customHeight="false" outlineLevel="0" collapsed="false">
      <c r="A736" s="27"/>
      <c r="B736" s="27"/>
      <c r="C736" s="27"/>
      <c r="D736" s="28"/>
      <c r="E736" s="29"/>
      <c r="F736" s="28"/>
      <c r="G736" s="29"/>
      <c r="H736" s="29"/>
    </row>
    <row r="737" customFormat="false" ht="15" hidden="false" customHeight="false" outlineLevel="0" collapsed="false">
      <c r="A737" s="27"/>
      <c r="B737" s="27"/>
      <c r="C737" s="27"/>
      <c r="D737" s="28"/>
      <c r="E737" s="29"/>
      <c r="F737" s="28"/>
      <c r="G737" s="29"/>
      <c r="H737" s="29"/>
    </row>
    <row r="738" customFormat="false" ht="15" hidden="false" customHeight="false" outlineLevel="0" collapsed="false">
      <c r="A738" s="27"/>
      <c r="B738" s="27"/>
      <c r="C738" s="27"/>
      <c r="D738" s="28"/>
      <c r="E738" s="29"/>
      <c r="F738" s="28"/>
      <c r="G738" s="29"/>
      <c r="H738" s="29"/>
    </row>
    <row r="739" customFormat="false" ht="15" hidden="false" customHeight="false" outlineLevel="0" collapsed="false">
      <c r="A739" s="27"/>
      <c r="B739" s="27"/>
      <c r="C739" s="27"/>
      <c r="D739" s="28"/>
      <c r="E739" s="29"/>
      <c r="F739" s="28"/>
      <c r="G739" s="29"/>
      <c r="H739" s="29"/>
    </row>
    <row r="740" customFormat="false" ht="15" hidden="false" customHeight="false" outlineLevel="0" collapsed="false">
      <c r="A740" s="27"/>
      <c r="B740" s="27"/>
      <c r="C740" s="27"/>
      <c r="D740" s="28"/>
      <c r="E740" s="29"/>
      <c r="F740" s="28"/>
      <c r="G740" s="29"/>
      <c r="H740" s="29"/>
    </row>
    <row r="741" customFormat="false" ht="15" hidden="false" customHeight="false" outlineLevel="0" collapsed="false">
      <c r="A741" s="27"/>
      <c r="B741" s="27"/>
      <c r="C741" s="27"/>
      <c r="D741" s="28"/>
      <c r="E741" s="29"/>
      <c r="F741" s="28"/>
      <c r="G741" s="29"/>
      <c r="H741" s="29"/>
    </row>
    <row r="742" customFormat="false" ht="15" hidden="false" customHeight="false" outlineLevel="0" collapsed="false">
      <c r="A742" s="27"/>
      <c r="B742" s="27"/>
      <c r="C742" s="27"/>
      <c r="D742" s="28"/>
      <c r="E742" s="29"/>
      <c r="F742" s="28"/>
      <c r="G742" s="29"/>
      <c r="H742" s="29"/>
    </row>
    <row r="743" customFormat="false" ht="15" hidden="false" customHeight="false" outlineLevel="0" collapsed="false">
      <c r="A743" s="27"/>
      <c r="B743" s="27"/>
      <c r="C743" s="27"/>
      <c r="D743" s="28"/>
      <c r="E743" s="29"/>
      <c r="F743" s="28"/>
      <c r="G743" s="29"/>
      <c r="H743" s="29"/>
    </row>
    <row r="744" customFormat="false" ht="15" hidden="false" customHeight="false" outlineLevel="0" collapsed="false">
      <c r="A744" s="27"/>
      <c r="B744" s="27"/>
      <c r="C744" s="27"/>
      <c r="D744" s="28"/>
      <c r="E744" s="29"/>
      <c r="F744" s="28"/>
      <c r="G744" s="29"/>
      <c r="H744" s="29"/>
    </row>
    <row r="745" customFormat="false" ht="15" hidden="false" customHeight="false" outlineLevel="0" collapsed="false">
      <c r="A745" s="27"/>
      <c r="B745" s="27"/>
      <c r="C745" s="27"/>
      <c r="D745" s="28"/>
      <c r="E745" s="29"/>
      <c r="F745" s="28"/>
      <c r="G745" s="29"/>
      <c r="H745" s="29"/>
    </row>
    <row r="746" customFormat="false" ht="15" hidden="false" customHeight="false" outlineLevel="0" collapsed="false">
      <c r="A746" s="27"/>
      <c r="B746" s="27"/>
      <c r="C746" s="27"/>
      <c r="D746" s="28"/>
      <c r="E746" s="29"/>
      <c r="F746" s="28"/>
      <c r="G746" s="29"/>
      <c r="H746" s="29"/>
    </row>
    <row r="747" customFormat="false" ht="15" hidden="false" customHeight="false" outlineLevel="0" collapsed="false">
      <c r="A747" s="27"/>
      <c r="B747" s="27"/>
      <c r="C747" s="27"/>
      <c r="D747" s="28"/>
      <c r="E747" s="29"/>
      <c r="F747" s="28"/>
      <c r="G747" s="29"/>
      <c r="H747" s="29"/>
    </row>
    <row r="748" customFormat="false" ht="15" hidden="false" customHeight="false" outlineLevel="0" collapsed="false">
      <c r="A748" s="27"/>
      <c r="B748" s="27"/>
      <c r="C748" s="27"/>
      <c r="D748" s="28"/>
      <c r="E748" s="29"/>
      <c r="F748" s="28"/>
      <c r="G748" s="29"/>
      <c r="H748" s="29"/>
    </row>
    <row r="749" customFormat="false" ht="15" hidden="false" customHeight="false" outlineLevel="0" collapsed="false">
      <c r="A749" s="27"/>
      <c r="B749" s="27"/>
      <c r="C749" s="27"/>
      <c r="D749" s="28"/>
      <c r="E749" s="29"/>
      <c r="F749" s="28"/>
      <c r="G749" s="29"/>
      <c r="H749" s="29"/>
    </row>
    <row r="750" customFormat="false" ht="15" hidden="false" customHeight="false" outlineLevel="0" collapsed="false">
      <c r="A750" s="27"/>
      <c r="B750" s="27"/>
      <c r="C750" s="27"/>
      <c r="D750" s="28"/>
      <c r="E750" s="29"/>
      <c r="F750" s="28"/>
      <c r="G750" s="29"/>
      <c r="H750" s="29"/>
    </row>
    <row r="751" customFormat="false" ht="15" hidden="false" customHeight="false" outlineLevel="0" collapsed="false">
      <c r="A751" s="27"/>
      <c r="B751" s="27"/>
      <c r="C751" s="27"/>
      <c r="D751" s="28"/>
      <c r="E751" s="29"/>
      <c r="F751" s="28"/>
      <c r="G751" s="29"/>
      <c r="H751" s="29"/>
    </row>
    <row r="752" customFormat="false" ht="15" hidden="false" customHeight="false" outlineLevel="0" collapsed="false">
      <c r="A752" s="27"/>
      <c r="B752" s="27"/>
      <c r="C752" s="27"/>
      <c r="D752" s="28"/>
      <c r="E752" s="29"/>
      <c r="F752" s="28"/>
      <c r="G752" s="29"/>
      <c r="H752" s="29"/>
    </row>
    <row r="753" customFormat="false" ht="15" hidden="false" customHeight="false" outlineLevel="0" collapsed="false">
      <c r="A753" s="27"/>
      <c r="B753" s="27"/>
      <c r="C753" s="27"/>
      <c r="D753" s="28"/>
      <c r="E753" s="29"/>
      <c r="F753" s="28"/>
      <c r="G753" s="29"/>
      <c r="H753" s="29"/>
    </row>
    <row r="754" customFormat="false" ht="15" hidden="false" customHeight="false" outlineLevel="0" collapsed="false">
      <c r="A754" s="27"/>
      <c r="B754" s="27"/>
      <c r="C754" s="27"/>
      <c r="D754" s="28"/>
      <c r="E754" s="29"/>
      <c r="F754" s="28"/>
      <c r="G754" s="29"/>
      <c r="H754" s="29"/>
    </row>
    <row r="755" customFormat="false" ht="15" hidden="false" customHeight="false" outlineLevel="0" collapsed="false">
      <c r="A755" s="27"/>
      <c r="B755" s="27"/>
      <c r="C755" s="27"/>
      <c r="D755" s="28"/>
      <c r="E755" s="29"/>
      <c r="F755" s="28"/>
      <c r="G755" s="29"/>
      <c r="H755" s="29"/>
    </row>
    <row r="756" customFormat="false" ht="15" hidden="false" customHeight="false" outlineLevel="0" collapsed="false">
      <c r="A756" s="27"/>
      <c r="B756" s="27"/>
      <c r="C756" s="27"/>
      <c r="D756" s="28"/>
      <c r="E756" s="29"/>
      <c r="F756" s="28"/>
      <c r="G756" s="29"/>
      <c r="H756" s="29"/>
    </row>
    <row r="757" customFormat="false" ht="15" hidden="false" customHeight="false" outlineLevel="0" collapsed="false">
      <c r="A757" s="27"/>
      <c r="B757" s="27"/>
      <c r="C757" s="27"/>
      <c r="D757" s="28"/>
      <c r="E757" s="29"/>
      <c r="F757" s="28"/>
      <c r="G757" s="29"/>
      <c r="H757" s="29"/>
    </row>
    <row r="758" customFormat="false" ht="15" hidden="false" customHeight="false" outlineLevel="0" collapsed="false">
      <c r="A758" s="27"/>
      <c r="B758" s="27"/>
      <c r="C758" s="27"/>
      <c r="D758" s="28"/>
      <c r="E758" s="29"/>
      <c r="F758" s="28"/>
      <c r="G758" s="29"/>
      <c r="H758" s="29"/>
    </row>
    <row r="759" customFormat="false" ht="15" hidden="false" customHeight="false" outlineLevel="0" collapsed="false">
      <c r="A759" s="27"/>
      <c r="B759" s="27"/>
      <c r="C759" s="27"/>
      <c r="D759" s="28"/>
      <c r="E759" s="29"/>
      <c r="F759" s="28"/>
      <c r="G759" s="29"/>
      <c r="H759" s="29"/>
    </row>
    <row r="760" customFormat="false" ht="15" hidden="false" customHeight="false" outlineLevel="0" collapsed="false">
      <c r="A760" s="27"/>
      <c r="B760" s="27"/>
      <c r="C760" s="27"/>
      <c r="D760" s="28"/>
      <c r="E760" s="29"/>
      <c r="F760" s="28"/>
      <c r="G760" s="29"/>
      <c r="H760" s="29"/>
    </row>
    <row r="761" customFormat="false" ht="15" hidden="false" customHeight="false" outlineLevel="0" collapsed="false">
      <c r="A761" s="27"/>
      <c r="B761" s="27"/>
      <c r="C761" s="27"/>
      <c r="D761" s="28"/>
      <c r="E761" s="29"/>
      <c r="F761" s="28"/>
      <c r="G761" s="29"/>
      <c r="H761" s="29"/>
    </row>
    <row r="762" customFormat="false" ht="15" hidden="false" customHeight="false" outlineLevel="0" collapsed="false">
      <c r="A762" s="27"/>
      <c r="B762" s="27"/>
      <c r="C762" s="27"/>
      <c r="D762" s="28"/>
      <c r="E762" s="29"/>
      <c r="F762" s="28"/>
      <c r="G762" s="29"/>
      <c r="H762" s="29"/>
    </row>
    <row r="763" customFormat="false" ht="15" hidden="false" customHeight="false" outlineLevel="0" collapsed="false">
      <c r="A763" s="27"/>
      <c r="B763" s="27"/>
      <c r="C763" s="27"/>
      <c r="D763" s="28"/>
      <c r="E763" s="29"/>
      <c r="F763" s="28"/>
      <c r="G763" s="29"/>
      <c r="H763" s="29"/>
    </row>
    <row r="764" customFormat="false" ht="15" hidden="false" customHeight="false" outlineLevel="0" collapsed="false">
      <c r="A764" s="27"/>
      <c r="B764" s="27"/>
      <c r="C764" s="27"/>
      <c r="D764" s="28"/>
      <c r="E764" s="29"/>
      <c r="F764" s="28"/>
      <c r="G764" s="29"/>
      <c r="H764" s="29"/>
    </row>
    <row r="765" customFormat="false" ht="15" hidden="false" customHeight="false" outlineLevel="0" collapsed="false">
      <c r="A765" s="27"/>
      <c r="B765" s="27"/>
      <c r="C765" s="27"/>
      <c r="D765" s="28"/>
      <c r="E765" s="29"/>
      <c r="F765" s="28"/>
      <c r="G765" s="29"/>
      <c r="H765" s="29"/>
    </row>
    <row r="766" customFormat="false" ht="15" hidden="false" customHeight="false" outlineLevel="0" collapsed="false">
      <c r="A766" s="27"/>
      <c r="B766" s="27"/>
      <c r="C766" s="27"/>
      <c r="D766" s="28"/>
      <c r="E766" s="29"/>
      <c r="F766" s="28"/>
      <c r="G766" s="29"/>
      <c r="H766" s="29"/>
    </row>
    <row r="767" customFormat="false" ht="15" hidden="false" customHeight="false" outlineLevel="0" collapsed="false">
      <c r="A767" s="27"/>
      <c r="B767" s="27"/>
      <c r="C767" s="27"/>
      <c r="D767" s="28"/>
      <c r="E767" s="29"/>
      <c r="F767" s="28"/>
      <c r="G767" s="29"/>
      <c r="H767" s="29"/>
    </row>
    <row r="768" customFormat="false" ht="15" hidden="false" customHeight="false" outlineLevel="0" collapsed="false">
      <c r="A768" s="27"/>
      <c r="B768" s="27"/>
      <c r="C768" s="27"/>
      <c r="D768" s="28"/>
      <c r="E768" s="29"/>
      <c r="F768" s="28"/>
      <c r="G768" s="29"/>
      <c r="H768" s="29"/>
    </row>
    <row r="769" customFormat="false" ht="15" hidden="false" customHeight="false" outlineLevel="0" collapsed="false">
      <c r="A769" s="27"/>
      <c r="B769" s="27"/>
      <c r="C769" s="27"/>
      <c r="D769" s="28"/>
      <c r="E769" s="29"/>
      <c r="F769" s="28"/>
      <c r="G769" s="29"/>
      <c r="H769" s="29"/>
    </row>
    <row r="770" customFormat="false" ht="15" hidden="false" customHeight="false" outlineLevel="0" collapsed="false">
      <c r="A770" s="27"/>
      <c r="B770" s="27"/>
      <c r="C770" s="27"/>
      <c r="D770" s="28"/>
      <c r="E770" s="29"/>
      <c r="F770" s="28"/>
      <c r="G770" s="29"/>
      <c r="H770" s="29"/>
    </row>
    <row r="771" customFormat="false" ht="15" hidden="false" customHeight="false" outlineLevel="0" collapsed="false">
      <c r="A771" s="27"/>
      <c r="B771" s="27"/>
      <c r="C771" s="27"/>
      <c r="D771" s="28"/>
      <c r="E771" s="29"/>
      <c r="F771" s="28"/>
      <c r="G771" s="29"/>
      <c r="H771" s="29"/>
    </row>
    <row r="772" customFormat="false" ht="15" hidden="false" customHeight="false" outlineLevel="0" collapsed="false">
      <c r="A772" s="27"/>
      <c r="B772" s="27"/>
      <c r="C772" s="27"/>
      <c r="D772" s="28"/>
      <c r="E772" s="29"/>
      <c r="F772" s="28"/>
      <c r="G772" s="29"/>
      <c r="H772" s="29"/>
    </row>
    <row r="773" customFormat="false" ht="15" hidden="false" customHeight="false" outlineLevel="0" collapsed="false">
      <c r="A773" s="27"/>
      <c r="B773" s="27"/>
      <c r="C773" s="27"/>
      <c r="D773" s="28"/>
      <c r="E773" s="29"/>
      <c r="F773" s="28"/>
      <c r="G773" s="29"/>
      <c r="H773" s="29"/>
    </row>
    <row r="774" customFormat="false" ht="15" hidden="false" customHeight="false" outlineLevel="0" collapsed="false">
      <c r="A774" s="27"/>
      <c r="B774" s="27"/>
      <c r="C774" s="27"/>
      <c r="D774" s="28"/>
      <c r="E774" s="29"/>
      <c r="F774" s="28"/>
      <c r="G774" s="29"/>
      <c r="H774" s="29"/>
    </row>
    <row r="775" customFormat="false" ht="15" hidden="false" customHeight="false" outlineLevel="0" collapsed="false">
      <c r="A775" s="27"/>
      <c r="B775" s="27"/>
      <c r="C775" s="27"/>
      <c r="D775" s="28"/>
      <c r="E775" s="29"/>
      <c r="F775" s="28"/>
      <c r="G775" s="29"/>
      <c r="H775" s="29"/>
    </row>
    <row r="776" customFormat="false" ht="15" hidden="false" customHeight="false" outlineLevel="0" collapsed="false">
      <c r="A776" s="27"/>
      <c r="B776" s="27"/>
      <c r="C776" s="27"/>
      <c r="D776" s="28"/>
      <c r="E776" s="29"/>
      <c r="F776" s="28"/>
      <c r="G776" s="29"/>
      <c r="H776" s="29"/>
    </row>
    <row r="777" customFormat="false" ht="15" hidden="false" customHeight="false" outlineLevel="0" collapsed="false">
      <c r="A777" s="27"/>
      <c r="B777" s="27"/>
      <c r="C777" s="27"/>
      <c r="D777" s="28"/>
      <c r="E777" s="29"/>
      <c r="F777" s="28"/>
      <c r="G777" s="29"/>
      <c r="H777" s="29"/>
    </row>
    <row r="778" customFormat="false" ht="15" hidden="false" customHeight="false" outlineLevel="0" collapsed="false">
      <c r="A778" s="27"/>
      <c r="B778" s="27"/>
      <c r="C778" s="27"/>
      <c r="D778" s="28"/>
      <c r="E778" s="29"/>
      <c r="F778" s="28"/>
      <c r="G778" s="29"/>
      <c r="H778" s="29"/>
    </row>
    <row r="779" customFormat="false" ht="15" hidden="false" customHeight="false" outlineLevel="0" collapsed="false">
      <c r="A779" s="27"/>
      <c r="B779" s="27"/>
      <c r="C779" s="27"/>
      <c r="D779" s="28"/>
      <c r="E779" s="29"/>
      <c r="F779" s="28"/>
      <c r="G779" s="29"/>
      <c r="H779" s="29"/>
    </row>
    <row r="780" customFormat="false" ht="15" hidden="false" customHeight="false" outlineLevel="0" collapsed="false">
      <c r="A780" s="27"/>
      <c r="B780" s="27"/>
      <c r="C780" s="27"/>
      <c r="D780" s="28"/>
      <c r="E780" s="29"/>
      <c r="F780" s="28"/>
      <c r="G780" s="29"/>
      <c r="H780" s="29"/>
    </row>
    <row r="781" customFormat="false" ht="15" hidden="false" customHeight="false" outlineLevel="0" collapsed="false">
      <c r="A781" s="27"/>
      <c r="B781" s="27"/>
      <c r="C781" s="27"/>
      <c r="D781" s="28"/>
      <c r="E781" s="29"/>
      <c r="F781" s="28"/>
      <c r="G781" s="29"/>
      <c r="H781" s="29"/>
    </row>
    <row r="782" customFormat="false" ht="15" hidden="false" customHeight="false" outlineLevel="0" collapsed="false">
      <c r="A782" s="27"/>
      <c r="B782" s="27"/>
      <c r="C782" s="27"/>
      <c r="D782" s="28"/>
      <c r="E782" s="29"/>
      <c r="F782" s="28"/>
      <c r="G782" s="29"/>
      <c r="H782" s="29"/>
    </row>
    <row r="783" customFormat="false" ht="15" hidden="false" customHeight="false" outlineLevel="0" collapsed="false">
      <c r="A783" s="27"/>
      <c r="B783" s="27"/>
      <c r="C783" s="27"/>
      <c r="D783" s="28"/>
      <c r="E783" s="29"/>
      <c r="F783" s="28"/>
      <c r="G783" s="29"/>
      <c r="H783" s="29"/>
    </row>
    <row r="784" customFormat="false" ht="15" hidden="false" customHeight="false" outlineLevel="0" collapsed="false">
      <c r="A784" s="27"/>
      <c r="B784" s="27"/>
      <c r="C784" s="27"/>
      <c r="D784" s="28"/>
      <c r="E784" s="29"/>
      <c r="F784" s="28"/>
      <c r="G784" s="29"/>
      <c r="H784" s="29"/>
    </row>
    <row r="785" customFormat="false" ht="15" hidden="false" customHeight="false" outlineLevel="0" collapsed="false">
      <c r="A785" s="27"/>
      <c r="B785" s="27"/>
      <c r="C785" s="27"/>
      <c r="D785" s="28"/>
      <c r="E785" s="29"/>
      <c r="F785" s="28"/>
      <c r="G785" s="29"/>
      <c r="H785" s="29"/>
    </row>
    <row r="786" customFormat="false" ht="15" hidden="false" customHeight="false" outlineLevel="0" collapsed="false">
      <c r="A786" s="27"/>
      <c r="B786" s="27"/>
      <c r="C786" s="27"/>
      <c r="D786" s="28"/>
      <c r="E786" s="29"/>
      <c r="F786" s="28"/>
      <c r="G786" s="29"/>
      <c r="H786" s="29"/>
    </row>
    <row r="787" customFormat="false" ht="15" hidden="false" customHeight="false" outlineLevel="0" collapsed="false">
      <c r="A787" s="27"/>
      <c r="B787" s="27"/>
      <c r="C787" s="27"/>
      <c r="D787" s="28"/>
      <c r="E787" s="29"/>
      <c r="F787" s="28"/>
      <c r="G787" s="29"/>
      <c r="H787" s="29"/>
    </row>
    <row r="788" customFormat="false" ht="15" hidden="false" customHeight="false" outlineLevel="0" collapsed="false">
      <c r="A788" s="27"/>
      <c r="B788" s="27"/>
      <c r="C788" s="27"/>
      <c r="D788" s="28"/>
      <c r="E788" s="29"/>
      <c r="F788" s="28"/>
      <c r="G788" s="29"/>
      <c r="H788" s="29"/>
    </row>
    <row r="789" customFormat="false" ht="15" hidden="false" customHeight="false" outlineLevel="0" collapsed="false">
      <c r="A789" s="27"/>
      <c r="B789" s="27"/>
      <c r="C789" s="27"/>
      <c r="D789" s="28"/>
      <c r="E789" s="29"/>
      <c r="F789" s="28"/>
      <c r="G789" s="29"/>
      <c r="H789" s="29"/>
    </row>
    <row r="790" customFormat="false" ht="15" hidden="false" customHeight="false" outlineLevel="0" collapsed="false">
      <c r="A790" s="27"/>
      <c r="B790" s="27"/>
      <c r="C790" s="27"/>
      <c r="D790" s="28"/>
      <c r="E790" s="29"/>
      <c r="F790" s="28"/>
      <c r="G790" s="29"/>
      <c r="H790" s="29"/>
    </row>
    <row r="791" customFormat="false" ht="15" hidden="false" customHeight="false" outlineLevel="0" collapsed="false">
      <c r="A791" s="27"/>
      <c r="B791" s="27"/>
      <c r="C791" s="27"/>
      <c r="D791" s="28"/>
      <c r="E791" s="29"/>
      <c r="F791" s="28"/>
      <c r="G791" s="29"/>
      <c r="H791" s="29"/>
    </row>
    <row r="792" customFormat="false" ht="15" hidden="false" customHeight="false" outlineLevel="0" collapsed="false">
      <c r="A792" s="27"/>
      <c r="B792" s="27"/>
      <c r="C792" s="27"/>
      <c r="D792" s="28"/>
      <c r="E792" s="29"/>
      <c r="F792" s="28"/>
      <c r="G792" s="29"/>
      <c r="H792" s="29"/>
    </row>
    <row r="793" customFormat="false" ht="15" hidden="false" customHeight="false" outlineLevel="0" collapsed="false">
      <c r="A793" s="27"/>
      <c r="B793" s="27"/>
      <c r="C793" s="27"/>
      <c r="D793" s="28"/>
      <c r="E793" s="29"/>
      <c r="F793" s="28"/>
      <c r="G793" s="29"/>
      <c r="H793" s="29"/>
    </row>
    <row r="794" customFormat="false" ht="15" hidden="false" customHeight="false" outlineLevel="0" collapsed="false">
      <c r="A794" s="27"/>
      <c r="B794" s="27"/>
      <c r="C794" s="27"/>
      <c r="D794" s="28"/>
      <c r="E794" s="29"/>
      <c r="F794" s="28"/>
      <c r="G794" s="29"/>
      <c r="H794" s="29"/>
    </row>
    <row r="795" customFormat="false" ht="15" hidden="false" customHeight="false" outlineLevel="0" collapsed="false">
      <c r="A795" s="27"/>
      <c r="B795" s="27"/>
      <c r="C795" s="27"/>
      <c r="D795" s="28"/>
      <c r="E795" s="29"/>
      <c r="F795" s="28"/>
      <c r="G795" s="29"/>
      <c r="H795" s="29"/>
    </row>
    <row r="796" customFormat="false" ht="15" hidden="false" customHeight="false" outlineLevel="0" collapsed="false">
      <c r="A796" s="27"/>
      <c r="B796" s="27"/>
      <c r="C796" s="27"/>
      <c r="D796" s="28"/>
      <c r="E796" s="29"/>
      <c r="F796" s="28"/>
      <c r="G796" s="29"/>
      <c r="H796" s="29"/>
    </row>
    <row r="797" customFormat="false" ht="15" hidden="false" customHeight="false" outlineLevel="0" collapsed="false">
      <c r="A797" s="27"/>
      <c r="B797" s="27"/>
      <c r="C797" s="27"/>
      <c r="D797" s="28"/>
      <c r="E797" s="29"/>
      <c r="F797" s="28"/>
      <c r="G797" s="29"/>
      <c r="H797" s="29"/>
    </row>
    <row r="798" customFormat="false" ht="15" hidden="false" customHeight="false" outlineLevel="0" collapsed="false">
      <c r="A798" s="27"/>
      <c r="B798" s="27"/>
      <c r="C798" s="27"/>
      <c r="D798" s="28"/>
      <c r="E798" s="29"/>
      <c r="F798" s="28"/>
      <c r="G798" s="29"/>
      <c r="H798" s="29"/>
    </row>
    <row r="799" customFormat="false" ht="15" hidden="false" customHeight="false" outlineLevel="0" collapsed="false">
      <c r="A799" s="27"/>
      <c r="B799" s="27"/>
      <c r="C799" s="27"/>
      <c r="D799" s="28"/>
      <c r="E799" s="29"/>
      <c r="F799" s="28"/>
      <c r="G799" s="29"/>
      <c r="H799" s="29"/>
    </row>
    <row r="800" customFormat="false" ht="15" hidden="false" customHeight="false" outlineLevel="0" collapsed="false">
      <c r="A800" s="27"/>
      <c r="B800" s="27"/>
      <c r="C800" s="27"/>
      <c r="D800" s="28"/>
      <c r="E800" s="29"/>
      <c r="F800" s="28"/>
      <c r="G800" s="29"/>
      <c r="H800" s="29"/>
    </row>
    <row r="801" customFormat="false" ht="15" hidden="false" customHeight="false" outlineLevel="0" collapsed="false">
      <c r="A801" s="27"/>
      <c r="B801" s="27"/>
      <c r="C801" s="27"/>
      <c r="D801" s="28"/>
      <c r="E801" s="29"/>
      <c r="F801" s="28"/>
      <c r="G801" s="29"/>
      <c r="H801" s="29"/>
    </row>
    <row r="802" customFormat="false" ht="15" hidden="false" customHeight="false" outlineLevel="0" collapsed="false">
      <c r="A802" s="27"/>
      <c r="B802" s="27"/>
      <c r="C802" s="27"/>
      <c r="D802" s="28"/>
      <c r="E802" s="29"/>
      <c r="F802" s="28"/>
      <c r="G802" s="29"/>
      <c r="H802" s="29"/>
    </row>
    <row r="803" customFormat="false" ht="15" hidden="false" customHeight="false" outlineLevel="0" collapsed="false">
      <c r="A803" s="27"/>
      <c r="B803" s="27"/>
      <c r="C803" s="27"/>
      <c r="D803" s="28"/>
      <c r="E803" s="29"/>
      <c r="F803" s="28"/>
      <c r="G803" s="29"/>
      <c r="H803" s="29"/>
    </row>
    <row r="804" customFormat="false" ht="15" hidden="false" customHeight="false" outlineLevel="0" collapsed="false">
      <c r="A804" s="27"/>
      <c r="B804" s="27"/>
      <c r="C804" s="27"/>
      <c r="D804" s="28"/>
      <c r="E804" s="29"/>
      <c r="F804" s="28"/>
      <c r="G804" s="29"/>
      <c r="H804" s="29"/>
    </row>
    <row r="805" customFormat="false" ht="15" hidden="false" customHeight="false" outlineLevel="0" collapsed="false">
      <c r="A805" s="27"/>
      <c r="B805" s="27"/>
      <c r="C805" s="27"/>
      <c r="D805" s="28"/>
      <c r="E805" s="29"/>
      <c r="F805" s="28"/>
      <c r="G805" s="29"/>
      <c r="H805" s="29"/>
    </row>
    <row r="806" customFormat="false" ht="15" hidden="false" customHeight="false" outlineLevel="0" collapsed="false">
      <c r="A806" s="27"/>
      <c r="B806" s="27"/>
      <c r="C806" s="27"/>
      <c r="D806" s="28"/>
      <c r="E806" s="29"/>
      <c r="F806" s="28"/>
      <c r="G806" s="29"/>
      <c r="H806" s="29"/>
    </row>
    <row r="807" customFormat="false" ht="15" hidden="false" customHeight="false" outlineLevel="0" collapsed="false">
      <c r="A807" s="27"/>
      <c r="B807" s="27"/>
      <c r="C807" s="27"/>
      <c r="D807" s="28"/>
      <c r="E807" s="29"/>
      <c r="F807" s="28"/>
      <c r="G807" s="29"/>
      <c r="H807" s="29"/>
    </row>
    <row r="808" customFormat="false" ht="15" hidden="false" customHeight="false" outlineLevel="0" collapsed="false">
      <c r="A808" s="27"/>
      <c r="B808" s="27"/>
      <c r="C808" s="27"/>
      <c r="D808" s="28"/>
      <c r="E808" s="29"/>
      <c r="F808" s="28"/>
      <c r="G808" s="29"/>
      <c r="H808" s="29"/>
    </row>
    <row r="809" customFormat="false" ht="15" hidden="false" customHeight="false" outlineLevel="0" collapsed="false">
      <c r="A809" s="27"/>
      <c r="B809" s="27"/>
      <c r="C809" s="27"/>
      <c r="D809" s="28"/>
      <c r="E809" s="29"/>
      <c r="F809" s="28"/>
      <c r="G809" s="29"/>
      <c r="H809" s="29"/>
    </row>
    <row r="810" customFormat="false" ht="15" hidden="false" customHeight="false" outlineLevel="0" collapsed="false">
      <c r="A810" s="27"/>
      <c r="B810" s="27"/>
      <c r="C810" s="27"/>
      <c r="D810" s="28"/>
      <c r="E810" s="29"/>
      <c r="F810" s="28"/>
      <c r="G810" s="29"/>
      <c r="H810" s="29"/>
    </row>
    <row r="811" customFormat="false" ht="15" hidden="false" customHeight="false" outlineLevel="0" collapsed="false">
      <c r="A811" s="27"/>
      <c r="B811" s="27"/>
      <c r="C811" s="27"/>
      <c r="D811" s="28"/>
      <c r="E811" s="29"/>
      <c r="F811" s="28"/>
      <c r="G811" s="29"/>
      <c r="H811" s="29"/>
    </row>
    <row r="812" customFormat="false" ht="15" hidden="false" customHeight="false" outlineLevel="0" collapsed="false">
      <c r="A812" s="27"/>
      <c r="B812" s="27"/>
      <c r="C812" s="27"/>
      <c r="D812" s="28"/>
      <c r="E812" s="29"/>
      <c r="F812" s="28"/>
      <c r="G812" s="29"/>
      <c r="H812" s="29"/>
    </row>
    <row r="813" customFormat="false" ht="15" hidden="false" customHeight="false" outlineLevel="0" collapsed="false">
      <c r="A813" s="27"/>
      <c r="B813" s="27"/>
      <c r="C813" s="27"/>
      <c r="D813" s="28"/>
      <c r="E813" s="29"/>
      <c r="F813" s="28"/>
      <c r="G813" s="29"/>
      <c r="H813" s="29"/>
    </row>
    <row r="814" customFormat="false" ht="15" hidden="false" customHeight="false" outlineLevel="0" collapsed="false">
      <c r="A814" s="27"/>
      <c r="B814" s="27"/>
      <c r="C814" s="27"/>
      <c r="D814" s="28"/>
      <c r="E814" s="29"/>
      <c r="F814" s="28"/>
      <c r="G814" s="29"/>
      <c r="H814" s="29"/>
    </row>
    <row r="815" customFormat="false" ht="15" hidden="false" customHeight="false" outlineLevel="0" collapsed="false">
      <c r="A815" s="27"/>
      <c r="B815" s="27"/>
      <c r="C815" s="27"/>
      <c r="D815" s="28"/>
      <c r="E815" s="29"/>
      <c r="F815" s="28"/>
      <c r="G815" s="29"/>
      <c r="H815" s="29"/>
    </row>
    <row r="816" customFormat="false" ht="15" hidden="false" customHeight="false" outlineLevel="0" collapsed="false">
      <c r="A816" s="27"/>
      <c r="B816" s="27"/>
      <c r="C816" s="27"/>
      <c r="D816" s="28"/>
      <c r="E816" s="29"/>
      <c r="F816" s="28"/>
      <c r="G816" s="29"/>
      <c r="H816" s="29"/>
    </row>
    <row r="817" customFormat="false" ht="15" hidden="false" customHeight="false" outlineLevel="0" collapsed="false">
      <c r="A817" s="27"/>
      <c r="B817" s="27"/>
      <c r="C817" s="27"/>
      <c r="D817" s="28"/>
      <c r="E817" s="29"/>
      <c r="F817" s="28"/>
      <c r="G817" s="29"/>
      <c r="H817" s="29"/>
    </row>
    <row r="818" customFormat="false" ht="15" hidden="false" customHeight="false" outlineLevel="0" collapsed="false">
      <c r="A818" s="27"/>
      <c r="B818" s="27"/>
      <c r="C818" s="27"/>
      <c r="D818" s="28"/>
      <c r="E818" s="29"/>
      <c r="F818" s="28"/>
      <c r="G818" s="29"/>
      <c r="H818" s="29"/>
    </row>
    <row r="819" customFormat="false" ht="15" hidden="false" customHeight="false" outlineLevel="0" collapsed="false">
      <c r="A819" s="27"/>
      <c r="B819" s="27"/>
      <c r="C819" s="27"/>
      <c r="D819" s="28"/>
      <c r="E819" s="29"/>
      <c r="F819" s="28"/>
      <c r="G819" s="29"/>
      <c r="H819" s="29"/>
    </row>
    <row r="820" customFormat="false" ht="15" hidden="false" customHeight="false" outlineLevel="0" collapsed="false">
      <c r="A820" s="27"/>
      <c r="B820" s="27"/>
      <c r="C820" s="27"/>
      <c r="D820" s="28"/>
      <c r="E820" s="29"/>
      <c r="F820" s="28"/>
      <c r="G820" s="29"/>
      <c r="H820" s="29"/>
    </row>
    <row r="821" customFormat="false" ht="15" hidden="false" customHeight="false" outlineLevel="0" collapsed="false">
      <c r="A821" s="27"/>
      <c r="B821" s="27"/>
      <c r="C821" s="27"/>
      <c r="D821" s="28"/>
      <c r="E821" s="29"/>
      <c r="F821" s="28"/>
      <c r="G821" s="29"/>
      <c r="H821" s="29"/>
    </row>
    <row r="822" customFormat="false" ht="15" hidden="false" customHeight="false" outlineLevel="0" collapsed="false">
      <c r="A822" s="27"/>
      <c r="B822" s="27"/>
      <c r="C822" s="27"/>
      <c r="D822" s="28"/>
      <c r="E822" s="29"/>
      <c r="F822" s="28"/>
      <c r="G822" s="29"/>
      <c r="H822" s="29"/>
    </row>
    <row r="823" customFormat="false" ht="15" hidden="false" customHeight="false" outlineLevel="0" collapsed="false">
      <c r="A823" s="27"/>
      <c r="B823" s="27"/>
      <c r="C823" s="27"/>
      <c r="D823" s="28"/>
      <c r="E823" s="29"/>
      <c r="F823" s="28"/>
      <c r="G823" s="29"/>
      <c r="H823" s="29"/>
    </row>
    <row r="824" customFormat="false" ht="15" hidden="false" customHeight="false" outlineLevel="0" collapsed="false">
      <c r="A824" s="27"/>
      <c r="B824" s="27"/>
      <c r="C824" s="27"/>
      <c r="D824" s="28"/>
      <c r="E824" s="29"/>
      <c r="F824" s="28"/>
      <c r="G824" s="29"/>
      <c r="H824" s="29"/>
    </row>
    <row r="825" customFormat="false" ht="15" hidden="false" customHeight="false" outlineLevel="0" collapsed="false">
      <c r="A825" s="27"/>
      <c r="B825" s="27"/>
      <c r="C825" s="27"/>
      <c r="D825" s="28"/>
      <c r="E825" s="29"/>
      <c r="F825" s="28"/>
      <c r="G825" s="29"/>
      <c r="H825" s="29"/>
    </row>
    <row r="826" customFormat="false" ht="15" hidden="false" customHeight="false" outlineLevel="0" collapsed="false">
      <c r="A826" s="27"/>
      <c r="B826" s="27"/>
      <c r="C826" s="27"/>
      <c r="D826" s="28"/>
      <c r="E826" s="29"/>
      <c r="F826" s="28"/>
      <c r="G826" s="29"/>
      <c r="H826" s="29"/>
    </row>
    <row r="827" customFormat="false" ht="15" hidden="false" customHeight="false" outlineLevel="0" collapsed="false">
      <c r="A827" s="27"/>
      <c r="B827" s="27"/>
      <c r="C827" s="27"/>
      <c r="D827" s="28"/>
      <c r="E827" s="29"/>
      <c r="F827" s="28"/>
      <c r="G827" s="29"/>
      <c r="H827" s="29"/>
    </row>
    <row r="828" customFormat="false" ht="15" hidden="false" customHeight="false" outlineLevel="0" collapsed="false">
      <c r="A828" s="27"/>
      <c r="B828" s="27"/>
      <c r="C828" s="27"/>
      <c r="D828" s="28"/>
      <c r="E828" s="29"/>
      <c r="F828" s="28"/>
      <c r="G828" s="29"/>
      <c r="H828" s="29"/>
    </row>
    <row r="829" customFormat="false" ht="15" hidden="false" customHeight="false" outlineLevel="0" collapsed="false">
      <c r="A829" s="27"/>
      <c r="B829" s="27"/>
      <c r="C829" s="27"/>
      <c r="D829" s="28"/>
      <c r="E829" s="29"/>
      <c r="F829" s="28"/>
      <c r="G829" s="29"/>
      <c r="H829" s="29"/>
    </row>
    <row r="830" customFormat="false" ht="15" hidden="false" customHeight="false" outlineLevel="0" collapsed="false">
      <c r="A830" s="27"/>
      <c r="B830" s="27"/>
      <c r="C830" s="27"/>
      <c r="D830" s="28"/>
      <c r="E830" s="29"/>
      <c r="F830" s="28"/>
      <c r="G830" s="29"/>
      <c r="H830" s="29"/>
    </row>
    <row r="831" customFormat="false" ht="15" hidden="false" customHeight="false" outlineLevel="0" collapsed="false">
      <c r="A831" s="27"/>
      <c r="B831" s="27"/>
      <c r="C831" s="27"/>
      <c r="D831" s="28"/>
      <c r="E831" s="29"/>
      <c r="F831" s="28"/>
      <c r="G831" s="29"/>
      <c r="H831" s="29"/>
    </row>
    <row r="832" customFormat="false" ht="15" hidden="false" customHeight="false" outlineLevel="0" collapsed="false">
      <c r="A832" s="27"/>
      <c r="B832" s="27"/>
      <c r="C832" s="27"/>
      <c r="D832" s="28"/>
      <c r="E832" s="29"/>
      <c r="F832" s="28"/>
      <c r="G832" s="29"/>
      <c r="H832" s="29"/>
    </row>
    <row r="833" customFormat="false" ht="15" hidden="false" customHeight="false" outlineLevel="0" collapsed="false">
      <c r="A833" s="27"/>
      <c r="B833" s="27"/>
      <c r="C833" s="27"/>
      <c r="D833" s="28"/>
      <c r="E833" s="29"/>
      <c r="F833" s="28"/>
      <c r="G833" s="29"/>
      <c r="H833" s="29"/>
    </row>
    <row r="834" customFormat="false" ht="15" hidden="false" customHeight="false" outlineLevel="0" collapsed="false">
      <c r="A834" s="27"/>
      <c r="B834" s="27"/>
      <c r="C834" s="27"/>
      <c r="D834" s="28"/>
      <c r="E834" s="29"/>
      <c r="F834" s="28"/>
      <c r="G834" s="29"/>
      <c r="H834" s="29"/>
    </row>
    <row r="835" customFormat="false" ht="15" hidden="false" customHeight="false" outlineLevel="0" collapsed="false">
      <c r="A835" s="27"/>
      <c r="B835" s="27"/>
      <c r="C835" s="27"/>
      <c r="D835" s="28"/>
      <c r="E835" s="29"/>
      <c r="F835" s="28"/>
      <c r="G835" s="29"/>
      <c r="H835" s="29"/>
    </row>
    <row r="836" customFormat="false" ht="15" hidden="false" customHeight="false" outlineLevel="0" collapsed="false">
      <c r="A836" s="27"/>
      <c r="B836" s="27"/>
      <c r="C836" s="27"/>
      <c r="D836" s="28"/>
      <c r="E836" s="29"/>
      <c r="F836" s="28"/>
      <c r="G836" s="29"/>
      <c r="H836" s="29"/>
    </row>
    <row r="837" customFormat="false" ht="15" hidden="false" customHeight="false" outlineLevel="0" collapsed="false">
      <c r="A837" s="27"/>
      <c r="B837" s="27"/>
      <c r="C837" s="27"/>
      <c r="D837" s="28"/>
      <c r="E837" s="29"/>
      <c r="F837" s="28"/>
      <c r="G837" s="29"/>
      <c r="H837" s="29"/>
    </row>
    <row r="838" customFormat="false" ht="15" hidden="false" customHeight="false" outlineLevel="0" collapsed="false">
      <c r="A838" s="27"/>
      <c r="B838" s="27"/>
      <c r="C838" s="27"/>
      <c r="D838" s="28"/>
      <c r="E838" s="29"/>
      <c r="F838" s="28"/>
      <c r="G838" s="29"/>
      <c r="H838" s="29"/>
    </row>
    <row r="839" customFormat="false" ht="15" hidden="false" customHeight="false" outlineLevel="0" collapsed="false">
      <c r="A839" s="27"/>
      <c r="B839" s="27"/>
      <c r="C839" s="27"/>
      <c r="D839" s="28"/>
      <c r="E839" s="29"/>
      <c r="F839" s="28"/>
      <c r="G839" s="29"/>
      <c r="H839" s="29"/>
    </row>
    <row r="840" customFormat="false" ht="15" hidden="false" customHeight="false" outlineLevel="0" collapsed="false">
      <c r="A840" s="27"/>
      <c r="B840" s="27"/>
      <c r="C840" s="27"/>
      <c r="D840" s="28"/>
      <c r="E840" s="29"/>
      <c r="F840" s="28"/>
      <c r="G840" s="29"/>
      <c r="H840" s="29"/>
    </row>
    <row r="841" customFormat="false" ht="15" hidden="false" customHeight="false" outlineLevel="0" collapsed="false">
      <c r="A841" s="27"/>
      <c r="B841" s="27"/>
      <c r="C841" s="27"/>
      <c r="D841" s="28"/>
      <c r="E841" s="29"/>
      <c r="F841" s="28"/>
      <c r="G841" s="29"/>
      <c r="H841" s="29"/>
    </row>
    <row r="842" customFormat="false" ht="15" hidden="false" customHeight="false" outlineLevel="0" collapsed="false">
      <c r="A842" s="27"/>
      <c r="B842" s="27"/>
      <c r="C842" s="27"/>
      <c r="D842" s="28"/>
      <c r="E842" s="29"/>
      <c r="F842" s="28"/>
      <c r="G842" s="29"/>
      <c r="H842" s="29"/>
    </row>
    <row r="843" customFormat="false" ht="15" hidden="false" customHeight="false" outlineLevel="0" collapsed="false">
      <c r="A843" s="27"/>
      <c r="B843" s="27"/>
      <c r="C843" s="27"/>
      <c r="D843" s="28"/>
      <c r="E843" s="29"/>
      <c r="F843" s="28"/>
      <c r="G843" s="29"/>
      <c r="H843" s="29"/>
    </row>
    <row r="844" customFormat="false" ht="15" hidden="false" customHeight="false" outlineLevel="0" collapsed="false">
      <c r="A844" s="27"/>
      <c r="B844" s="27"/>
      <c r="C844" s="27"/>
      <c r="D844" s="28"/>
      <c r="E844" s="29"/>
      <c r="F844" s="28"/>
      <c r="G844" s="29"/>
      <c r="H844" s="29"/>
    </row>
    <row r="845" customFormat="false" ht="15" hidden="false" customHeight="false" outlineLevel="0" collapsed="false">
      <c r="A845" s="27"/>
      <c r="B845" s="27"/>
      <c r="C845" s="27"/>
      <c r="D845" s="28"/>
      <c r="E845" s="29"/>
      <c r="F845" s="28"/>
      <c r="G845" s="29"/>
      <c r="H845" s="29"/>
    </row>
    <row r="846" customFormat="false" ht="15" hidden="false" customHeight="false" outlineLevel="0" collapsed="false">
      <c r="A846" s="27"/>
      <c r="B846" s="27"/>
      <c r="C846" s="27"/>
      <c r="D846" s="28"/>
      <c r="E846" s="29"/>
      <c r="F846" s="28"/>
      <c r="G846" s="29"/>
      <c r="H846" s="29"/>
    </row>
    <row r="847" customFormat="false" ht="15" hidden="false" customHeight="false" outlineLevel="0" collapsed="false">
      <c r="A847" s="27"/>
      <c r="B847" s="27"/>
      <c r="C847" s="27"/>
      <c r="D847" s="28"/>
      <c r="E847" s="29"/>
      <c r="F847" s="28"/>
      <c r="G847" s="29"/>
      <c r="H847" s="29"/>
    </row>
    <row r="848" customFormat="false" ht="15" hidden="false" customHeight="false" outlineLevel="0" collapsed="false">
      <c r="A848" s="27"/>
      <c r="B848" s="27"/>
      <c r="C848" s="27"/>
      <c r="D848" s="28"/>
      <c r="E848" s="29"/>
      <c r="F848" s="28"/>
      <c r="G848" s="29"/>
      <c r="H848" s="29"/>
    </row>
    <row r="849" customFormat="false" ht="15" hidden="false" customHeight="false" outlineLevel="0" collapsed="false">
      <c r="A849" s="27"/>
      <c r="B849" s="27"/>
      <c r="C849" s="27"/>
      <c r="D849" s="28"/>
      <c r="E849" s="29"/>
      <c r="F849" s="28"/>
      <c r="G849" s="29"/>
      <c r="H849" s="29"/>
    </row>
    <row r="850" customFormat="false" ht="15" hidden="false" customHeight="false" outlineLevel="0" collapsed="false">
      <c r="A850" s="27"/>
      <c r="B850" s="27"/>
      <c r="C850" s="27"/>
      <c r="D850" s="28"/>
      <c r="E850" s="29"/>
      <c r="F850" s="28"/>
      <c r="G850" s="29"/>
      <c r="H850" s="29"/>
    </row>
    <row r="851" customFormat="false" ht="15" hidden="false" customHeight="false" outlineLevel="0" collapsed="false">
      <c r="A851" s="27"/>
      <c r="B851" s="27"/>
      <c r="C851" s="27"/>
      <c r="D851" s="28"/>
      <c r="E851" s="29"/>
      <c r="F851" s="28"/>
      <c r="G851" s="29"/>
      <c r="H851" s="29"/>
    </row>
    <row r="852" customFormat="false" ht="15" hidden="false" customHeight="false" outlineLevel="0" collapsed="false">
      <c r="A852" s="27"/>
      <c r="B852" s="27"/>
      <c r="C852" s="27"/>
      <c r="D852" s="28"/>
      <c r="E852" s="29"/>
      <c r="F852" s="28"/>
      <c r="G852" s="29"/>
      <c r="H852" s="29"/>
    </row>
    <row r="853" customFormat="false" ht="15" hidden="false" customHeight="false" outlineLevel="0" collapsed="false">
      <c r="A853" s="27"/>
      <c r="B853" s="27"/>
      <c r="C853" s="27"/>
      <c r="D853" s="28"/>
      <c r="E853" s="29"/>
      <c r="F853" s="28"/>
      <c r="G853" s="29"/>
      <c r="H853" s="29"/>
    </row>
    <row r="854" customFormat="false" ht="15" hidden="false" customHeight="false" outlineLevel="0" collapsed="false">
      <c r="A854" s="27"/>
      <c r="B854" s="27"/>
      <c r="C854" s="27"/>
      <c r="D854" s="28"/>
      <c r="E854" s="29"/>
      <c r="F854" s="28"/>
      <c r="G854" s="29"/>
      <c r="H854" s="29"/>
    </row>
    <row r="855" customFormat="false" ht="15" hidden="false" customHeight="false" outlineLevel="0" collapsed="false">
      <c r="A855" s="27"/>
      <c r="B855" s="27"/>
      <c r="C855" s="27"/>
      <c r="D855" s="28"/>
      <c r="E855" s="29"/>
      <c r="F855" s="28"/>
      <c r="G855" s="29"/>
      <c r="H855" s="29"/>
    </row>
    <row r="856" customFormat="false" ht="15" hidden="false" customHeight="false" outlineLevel="0" collapsed="false">
      <c r="A856" s="27"/>
      <c r="B856" s="27"/>
      <c r="C856" s="27"/>
      <c r="D856" s="28"/>
      <c r="E856" s="29"/>
      <c r="F856" s="28"/>
      <c r="G856" s="29"/>
      <c r="H856" s="29"/>
    </row>
    <row r="857" customFormat="false" ht="15" hidden="false" customHeight="false" outlineLevel="0" collapsed="false">
      <c r="A857" s="27"/>
      <c r="B857" s="27"/>
      <c r="C857" s="27"/>
      <c r="D857" s="28"/>
      <c r="E857" s="29"/>
      <c r="F857" s="28"/>
      <c r="G857" s="29"/>
      <c r="H857" s="29"/>
    </row>
    <row r="858" customFormat="false" ht="15" hidden="false" customHeight="false" outlineLevel="0" collapsed="false">
      <c r="A858" s="27"/>
      <c r="B858" s="27"/>
      <c r="C858" s="27"/>
      <c r="D858" s="28"/>
      <c r="E858" s="29"/>
      <c r="F858" s="28"/>
      <c r="G858" s="29"/>
      <c r="H858" s="29"/>
    </row>
    <row r="859" customFormat="false" ht="15" hidden="false" customHeight="false" outlineLevel="0" collapsed="false">
      <c r="A859" s="27"/>
      <c r="B859" s="27"/>
      <c r="C859" s="27"/>
      <c r="D859" s="28"/>
      <c r="E859" s="29"/>
      <c r="F859" s="28"/>
      <c r="G859" s="29"/>
      <c r="H859" s="29"/>
    </row>
    <row r="860" customFormat="false" ht="15" hidden="false" customHeight="false" outlineLevel="0" collapsed="false">
      <c r="A860" s="27"/>
      <c r="B860" s="27"/>
      <c r="C860" s="27"/>
      <c r="D860" s="28"/>
      <c r="E860" s="29"/>
      <c r="F860" s="28"/>
      <c r="G860" s="29"/>
      <c r="H860" s="29"/>
    </row>
    <row r="861" customFormat="false" ht="15" hidden="false" customHeight="false" outlineLevel="0" collapsed="false">
      <c r="A861" s="27"/>
      <c r="B861" s="27"/>
      <c r="C861" s="27"/>
      <c r="D861" s="28"/>
      <c r="E861" s="29"/>
      <c r="F861" s="28"/>
      <c r="G861" s="29"/>
      <c r="H861" s="29"/>
    </row>
    <row r="862" customFormat="false" ht="15" hidden="false" customHeight="false" outlineLevel="0" collapsed="false">
      <c r="A862" s="27"/>
      <c r="B862" s="27"/>
      <c r="C862" s="27"/>
      <c r="D862" s="28"/>
      <c r="E862" s="29"/>
      <c r="F862" s="28"/>
      <c r="G862" s="29"/>
      <c r="H862" s="29"/>
    </row>
    <row r="863" customFormat="false" ht="15" hidden="false" customHeight="false" outlineLevel="0" collapsed="false">
      <c r="A863" s="27"/>
      <c r="B863" s="27"/>
      <c r="C863" s="27"/>
      <c r="D863" s="28"/>
      <c r="E863" s="29"/>
      <c r="F863" s="28"/>
      <c r="G863" s="29"/>
      <c r="H863" s="29"/>
    </row>
    <row r="864" customFormat="false" ht="15" hidden="false" customHeight="false" outlineLevel="0" collapsed="false">
      <c r="A864" s="27"/>
      <c r="B864" s="27"/>
      <c r="C864" s="27"/>
      <c r="D864" s="28"/>
      <c r="E864" s="29"/>
      <c r="F864" s="28"/>
      <c r="G864" s="29"/>
      <c r="H864" s="29"/>
    </row>
    <row r="865" customFormat="false" ht="15" hidden="false" customHeight="false" outlineLevel="0" collapsed="false">
      <c r="A865" s="27"/>
      <c r="B865" s="27"/>
      <c r="C865" s="27"/>
      <c r="D865" s="28"/>
      <c r="E865" s="29"/>
      <c r="F865" s="28"/>
      <c r="G865" s="29"/>
      <c r="H865" s="29"/>
    </row>
    <row r="866" customFormat="false" ht="15" hidden="false" customHeight="false" outlineLevel="0" collapsed="false">
      <c r="A866" s="27"/>
      <c r="B866" s="27"/>
      <c r="C866" s="27"/>
      <c r="D866" s="28"/>
      <c r="E866" s="29"/>
      <c r="F866" s="28"/>
      <c r="G866" s="29"/>
      <c r="H866" s="29"/>
    </row>
    <row r="867" customFormat="false" ht="15" hidden="false" customHeight="false" outlineLevel="0" collapsed="false">
      <c r="A867" s="27"/>
      <c r="B867" s="27"/>
      <c r="C867" s="27"/>
      <c r="D867" s="28"/>
      <c r="E867" s="29"/>
      <c r="F867" s="28"/>
      <c r="G867" s="29"/>
      <c r="H867" s="29"/>
    </row>
    <row r="868" customFormat="false" ht="15" hidden="false" customHeight="false" outlineLevel="0" collapsed="false">
      <c r="A868" s="27"/>
      <c r="B868" s="27"/>
      <c r="C868" s="27"/>
      <c r="D868" s="28"/>
      <c r="E868" s="29"/>
      <c r="F868" s="28"/>
      <c r="G868" s="29"/>
      <c r="H868" s="29"/>
    </row>
    <row r="869" customFormat="false" ht="15" hidden="false" customHeight="false" outlineLevel="0" collapsed="false">
      <c r="A869" s="27"/>
      <c r="B869" s="27"/>
      <c r="C869" s="27"/>
      <c r="D869" s="28"/>
      <c r="E869" s="29"/>
      <c r="F869" s="28"/>
      <c r="G869" s="29"/>
      <c r="H869" s="29"/>
    </row>
    <row r="870" customFormat="false" ht="15" hidden="false" customHeight="false" outlineLevel="0" collapsed="false">
      <c r="A870" s="27"/>
      <c r="B870" s="27"/>
      <c r="C870" s="27"/>
      <c r="D870" s="28"/>
      <c r="E870" s="29"/>
      <c r="F870" s="28"/>
      <c r="G870" s="29"/>
      <c r="H870" s="29"/>
    </row>
    <row r="871" customFormat="false" ht="15" hidden="false" customHeight="false" outlineLevel="0" collapsed="false">
      <c r="A871" s="27"/>
      <c r="B871" s="27"/>
      <c r="C871" s="27"/>
      <c r="D871" s="28"/>
      <c r="E871" s="29"/>
      <c r="F871" s="28"/>
      <c r="G871" s="29"/>
      <c r="H871" s="29"/>
    </row>
    <row r="872" customFormat="false" ht="15" hidden="false" customHeight="false" outlineLevel="0" collapsed="false">
      <c r="A872" s="27"/>
      <c r="B872" s="27"/>
      <c r="C872" s="27"/>
      <c r="D872" s="28"/>
      <c r="E872" s="29"/>
      <c r="F872" s="28"/>
      <c r="G872" s="29"/>
      <c r="H872" s="29"/>
    </row>
    <row r="873" customFormat="false" ht="15" hidden="false" customHeight="false" outlineLevel="0" collapsed="false">
      <c r="A873" s="27"/>
      <c r="B873" s="27"/>
      <c r="C873" s="27"/>
      <c r="D873" s="28"/>
      <c r="E873" s="29"/>
      <c r="F873" s="28"/>
      <c r="G873" s="29"/>
      <c r="H873" s="29"/>
    </row>
    <row r="874" customFormat="false" ht="15" hidden="false" customHeight="false" outlineLevel="0" collapsed="false">
      <c r="A874" s="27"/>
      <c r="B874" s="27"/>
      <c r="C874" s="27"/>
      <c r="D874" s="28"/>
      <c r="E874" s="29"/>
      <c r="F874" s="28"/>
      <c r="G874" s="29"/>
      <c r="H874" s="29"/>
    </row>
    <row r="875" customFormat="false" ht="15" hidden="false" customHeight="false" outlineLevel="0" collapsed="false">
      <c r="A875" s="27"/>
      <c r="B875" s="27"/>
      <c r="C875" s="27"/>
      <c r="D875" s="28"/>
      <c r="E875" s="29"/>
      <c r="F875" s="28"/>
      <c r="G875" s="29"/>
      <c r="H875" s="29"/>
    </row>
    <row r="876" customFormat="false" ht="15" hidden="false" customHeight="false" outlineLevel="0" collapsed="false">
      <c r="A876" s="27"/>
      <c r="B876" s="27"/>
      <c r="C876" s="27"/>
      <c r="D876" s="28"/>
      <c r="E876" s="29"/>
      <c r="F876" s="28"/>
      <c r="G876" s="29"/>
      <c r="H876" s="29"/>
    </row>
    <row r="877" customFormat="false" ht="15" hidden="false" customHeight="false" outlineLevel="0" collapsed="false">
      <c r="A877" s="27"/>
      <c r="B877" s="27"/>
      <c r="C877" s="27"/>
      <c r="D877" s="28"/>
      <c r="E877" s="29"/>
      <c r="F877" s="28"/>
      <c r="G877" s="29"/>
      <c r="H877" s="29"/>
    </row>
    <row r="878" customFormat="false" ht="15" hidden="false" customHeight="false" outlineLevel="0" collapsed="false">
      <c r="A878" s="27"/>
      <c r="B878" s="27"/>
      <c r="C878" s="27"/>
      <c r="D878" s="28"/>
      <c r="E878" s="29"/>
      <c r="F878" s="28"/>
      <c r="G878" s="29"/>
      <c r="H878" s="29"/>
    </row>
    <row r="879" customFormat="false" ht="15" hidden="false" customHeight="false" outlineLevel="0" collapsed="false">
      <c r="A879" s="27"/>
      <c r="B879" s="27"/>
      <c r="C879" s="27"/>
      <c r="D879" s="28"/>
      <c r="E879" s="29"/>
      <c r="F879" s="28"/>
      <c r="G879" s="29"/>
      <c r="H879" s="29"/>
    </row>
    <row r="880" customFormat="false" ht="15" hidden="false" customHeight="false" outlineLevel="0" collapsed="false">
      <c r="A880" s="27"/>
      <c r="B880" s="27"/>
      <c r="C880" s="27"/>
      <c r="D880" s="28"/>
      <c r="E880" s="29"/>
      <c r="F880" s="28"/>
      <c r="G880" s="29"/>
      <c r="H880" s="29"/>
    </row>
    <row r="881" customFormat="false" ht="15" hidden="false" customHeight="false" outlineLevel="0" collapsed="false">
      <c r="A881" s="27"/>
      <c r="B881" s="27"/>
      <c r="C881" s="27"/>
      <c r="D881" s="28"/>
      <c r="E881" s="29"/>
      <c r="F881" s="28"/>
      <c r="G881" s="29"/>
      <c r="H881" s="29"/>
    </row>
    <row r="882" customFormat="false" ht="15" hidden="false" customHeight="false" outlineLevel="0" collapsed="false">
      <c r="A882" s="27"/>
      <c r="B882" s="27"/>
      <c r="C882" s="27"/>
      <c r="D882" s="28"/>
      <c r="E882" s="29"/>
      <c r="F882" s="28"/>
      <c r="G882" s="29"/>
      <c r="H882" s="29"/>
    </row>
    <row r="883" customFormat="false" ht="15" hidden="false" customHeight="false" outlineLevel="0" collapsed="false">
      <c r="A883" s="27"/>
      <c r="B883" s="27"/>
      <c r="C883" s="27"/>
      <c r="D883" s="28"/>
      <c r="E883" s="29"/>
      <c r="F883" s="28"/>
      <c r="G883" s="29"/>
      <c r="H883" s="29"/>
    </row>
    <row r="884" customFormat="false" ht="15" hidden="false" customHeight="false" outlineLevel="0" collapsed="false">
      <c r="A884" s="27"/>
      <c r="B884" s="27"/>
      <c r="C884" s="27"/>
      <c r="D884" s="28"/>
      <c r="E884" s="29"/>
      <c r="F884" s="28"/>
      <c r="G884" s="29"/>
      <c r="H884" s="29"/>
    </row>
    <row r="885" customFormat="false" ht="15" hidden="false" customHeight="false" outlineLevel="0" collapsed="false">
      <c r="A885" s="27"/>
      <c r="B885" s="27"/>
      <c r="C885" s="27"/>
      <c r="D885" s="28"/>
      <c r="E885" s="29"/>
      <c r="F885" s="28"/>
      <c r="G885" s="29"/>
      <c r="H885" s="29"/>
    </row>
    <row r="886" customFormat="false" ht="15" hidden="false" customHeight="false" outlineLevel="0" collapsed="false">
      <c r="A886" s="27"/>
      <c r="B886" s="27"/>
      <c r="C886" s="27"/>
      <c r="D886" s="28"/>
      <c r="E886" s="29"/>
      <c r="F886" s="28"/>
      <c r="G886" s="29"/>
      <c r="H886" s="29"/>
    </row>
    <row r="887" customFormat="false" ht="15" hidden="false" customHeight="false" outlineLevel="0" collapsed="false">
      <c r="A887" s="27"/>
      <c r="B887" s="27"/>
      <c r="C887" s="27"/>
      <c r="D887" s="28"/>
      <c r="E887" s="29"/>
      <c r="F887" s="28"/>
      <c r="G887" s="29"/>
      <c r="H887" s="29"/>
    </row>
    <row r="888" customFormat="false" ht="15" hidden="false" customHeight="false" outlineLevel="0" collapsed="false">
      <c r="A888" s="27"/>
      <c r="B888" s="27"/>
      <c r="C888" s="27"/>
      <c r="D888" s="28"/>
      <c r="E888" s="29"/>
      <c r="F888" s="28"/>
      <c r="G888" s="29"/>
      <c r="H888" s="29"/>
    </row>
    <row r="889" customFormat="false" ht="15" hidden="false" customHeight="false" outlineLevel="0" collapsed="false">
      <c r="A889" s="27"/>
      <c r="B889" s="27"/>
      <c r="C889" s="27"/>
      <c r="D889" s="28"/>
      <c r="E889" s="29"/>
      <c r="F889" s="28"/>
      <c r="G889" s="29"/>
      <c r="H889" s="29"/>
    </row>
    <row r="890" customFormat="false" ht="15" hidden="false" customHeight="false" outlineLevel="0" collapsed="false">
      <c r="A890" s="27"/>
      <c r="B890" s="27"/>
      <c r="C890" s="27"/>
      <c r="D890" s="28"/>
      <c r="E890" s="29"/>
      <c r="F890" s="28"/>
      <c r="G890" s="29"/>
      <c r="H890" s="29"/>
    </row>
    <row r="891" customFormat="false" ht="15" hidden="false" customHeight="false" outlineLevel="0" collapsed="false">
      <c r="A891" s="27"/>
      <c r="B891" s="27"/>
      <c r="C891" s="27"/>
      <c r="D891" s="28"/>
      <c r="E891" s="29"/>
      <c r="F891" s="28"/>
      <c r="G891" s="29"/>
      <c r="H891" s="29"/>
    </row>
    <row r="892" customFormat="false" ht="15" hidden="false" customHeight="false" outlineLevel="0" collapsed="false">
      <c r="A892" s="27"/>
      <c r="B892" s="27"/>
      <c r="C892" s="27"/>
      <c r="D892" s="28"/>
      <c r="E892" s="29"/>
      <c r="F892" s="28"/>
      <c r="G892" s="29"/>
      <c r="H892" s="29"/>
    </row>
    <row r="893" customFormat="false" ht="15" hidden="false" customHeight="false" outlineLevel="0" collapsed="false">
      <c r="A893" s="27"/>
      <c r="B893" s="27"/>
      <c r="C893" s="27"/>
      <c r="D893" s="28"/>
      <c r="E893" s="29"/>
      <c r="F893" s="28"/>
      <c r="G893" s="29"/>
      <c r="H893" s="29"/>
    </row>
    <row r="894" customFormat="false" ht="15" hidden="false" customHeight="false" outlineLevel="0" collapsed="false">
      <c r="A894" s="27"/>
      <c r="B894" s="27"/>
      <c r="C894" s="27"/>
      <c r="D894" s="28"/>
      <c r="E894" s="29"/>
      <c r="F894" s="28"/>
      <c r="G894" s="29"/>
      <c r="H894" s="29"/>
    </row>
    <row r="895" customFormat="false" ht="15" hidden="false" customHeight="false" outlineLevel="0" collapsed="false">
      <c r="A895" s="27"/>
      <c r="B895" s="27"/>
      <c r="C895" s="27"/>
      <c r="D895" s="28"/>
      <c r="E895" s="29"/>
      <c r="F895" s="28"/>
      <c r="G895" s="29"/>
      <c r="H895" s="29"/>
    </row>
    <row r="896" customFormat="false" ht="15" hidden="false" customHeight="false" outlineLevel="0" collapsed="false">
      <c r="A896" s="27"/>
      <c r="B896" s="27"/>
      <c r="C896" s="27"/>
      <c r="D896" s="28"/>
      <c r="E896" s="29"/>
      <c r="F896" s="28"/>
      <c r="G896" s="29"/>
      <c r="H896" s="29"/>
    </row>
    <row r="897" customFormat="false" ht="15" hidden="false" customHeight="false" outlineLevel="0" collapsed="false">
      <c r="A897" s="27"/>
      <c r="B897" s="27"/>
      <c r="C897" s="27"/>
      <c r="D897" s="28"/>
      <c r="E897" s="29"/>
      <c r="F897" s="28"/>
      <c r="G897" s="29"/>
      <c r="H897" s="29"/>
    </row>
    <row r="898" customFormat="false" ht="15" hidden="false" customHeight="false" outlineLevel="0" collapsed="false">
      <c r="A898" s="27"/>
      <c r="B898" s="27"/>
      <c r="C898" s="27"/>
      <c r="D898" s="28"/>
      <c r="E898" s="29"/>
      <c r="F898" s="28"/>
      <c r="G898" s="29"/>
      <c r="H898" s="29"/>
    </row>
    <row r="899" customFormat="false" ht="15" hidden="false" customHeight="false" outlineLevel="0" collapsed="false">
      <c r="A899" s="27"/>
      <c r="B899" s="27"/>
      <c r="C899" s="27"/>
      <c r="D899" s="28"/>
      <c r="E899" s="29"/>
      <c r="F899" s="28"/>
      <c r="G899" s="29"/>
      <c r="H899" s="29"/>
    </row>
    <row r="900" customFormat="false" ht="15" hidden="false" customHeight="false" outlineLevel="0" collapsed="false">
      <c r="A900" s="27"/>
      <c r="B900" s="27"/>
      <c r="C900" s="27"/>
      <c r="D900" s="28"/>
      <c r="E900" s="29"/>
      <c r="F900" s="28"/>
      <c r="G900" s="29"/>
      <c r="H900" s="29"/>
    </row>
    <row r="901" customFormat="false" ht="15" hidden="false" customHeight="false" outlineLevel="0" collapsed="false">
      <c r="A901" s="27"/>
      <c r="B901" s="27"/>
      <c r="C901" s="27"/>
      <c r="D901" s="28"/>
      <c r="E901" s="29"/>
      <c r="F901" s="28"/>
      <c r="G901" s="29"/>
      <c r="H901" s="29"/>
    </row>
    <row r="902" customFormat="false" ht="15" hidden="false" customHeight="false" outlineLevel="0" collapsed="false">
      <c r="A902" s="27"/>
      <c r="B902" s="27"/>
      <c r="C902" s="27"/>
      <c r="D902" s="28"/>
      <c r="E902" s="29"/>
      <c r="F902" s="28"/>
      <c r="G902" s="29"/>
      <c r="H902" s="29"/>
    </row>
    <row r="903" customFormat="false" ht="15" hidden="false" customHeight="false" outlineLevel="0" collapsed="false">
      <c r="A903" s="27"/>
      <c r="B903" s="27"/>
      <c r="C903" s="27"/>
      <c r="D903" s="28"/>
      <c r="E903" s="29"/>
      <c r="F903" s="28"/>
      <c r="G903" s="29"/>
      <c r="H903" s="29"/>
    </row>
    <row r="904" customFormat="false" ht="15" hidden="false" customHeight="false" outlineLevel="0" collapsed="false">
      <c r="A904" s="27"/>
      <c r="B904" s="27"/>
      <c r="C904" s="27"/>
      <c r="D904" s="28"/>
      <c r="E904" s="29"/>
      <c r="F904" s="28"/>
      <c r="G904" s="29"/>
      <c r="H904" s="29"/>
    </row>
    <row r="905" customFormat="false" ht="15" hidden="false" customHeight="false" outlineLevel="0" collapsed="false">
      <c r="A905" s="27"/>
      <c r="B905" s="27"/>
      <c r="C905" s="27"/>
      <c r="D905" s="28"/>
      <c r="E905" s="29"/>
      <c r="F905" s="28"/>
      <c r="G905" s="29"/>
      <c r="H905" s="29"/>
    </row>
    <row r="906" customFormat="false" ht="15" hidden="false" customHeight="false" outlineLevel="0" collapsed="false">
      <c r="A906" s="27"/>
      <c r="B906" s="27"/>
      <c r="C906" s="27"/>
      <c r="D906" s="28"/>
      <c r="E906" s="29"/>
      <c r="F906" s="28"/>
      <c r="G906" s="29"/>
      <c r="H906" s="29"/>
    </row>
    <row r="907" customFormat="false" ht="15" hidden="false" customHeight="false" outlineLevel="0" collapsed="false">
      <c r="A907" s="27"/>
      <c r="B907" s="27"/>
      <c r="C907" s="27"/>
      <c r="D907" s="28"/>
      <c r="E907" s="29"/>
      <c r="F907" s="28"/>
      <c r="G907" s="29"/>
      <c r="H907" s="29"/>
    </row>
    <row r="908" customFormat="false" ht="15" hidden="false" customHeight="false" outlineLevel="0" collapsed="false">
      <c r="A908" s="27"/>
      <c r="B908" s="27"/>
      <c r="C908" s="27"/>
      <c r="D908" s="28"/>
      <c r="E908" s="29"/>
      <c r="F908" s="28"/>
      <c r="G908" s="29"/>
      <c r="H908" s="29"/>
    </row>
    <row r="909" customFormat="false" ht="15" hidden="false" customHeight="false" outlineLevel="0" collapsed="false">
      <c r="A909" s="27"/>
      <c r="B909" s="27"/>
      <c r="C909" s="27"/>
      <c r="D909" s="28"/>
      <c r="E909" s="29"/>
      <c r="F909" s="28"/>
      <c r="G909" s="29"/>
      <c r="H909" s="29"/>
    </row>
    <row r="910" customFormat="false" ht="15" hidden="false" customHeight="false" outlineLevel="0" collapsed="false">
      <c r="A910" s="27"/>
      <c r="B910" s="27"/>
      <c r="C910" s="27"/>
      <c r="D910" s="28"/>
      <c r="E910" s="29"/>
      <c r="F910" s="28"/>
      <c r="G910" s="29"/>
      <c r="H910" s="29"/>
    </row>
    <row r="911" customFormat="false" ht="15" hidden="false" customHeight="false" outlineLevel="0" collapsed="false">
      <c r="A911" s="27"/>
      <c r="B911" s="27"/>
      <c r="C911" s="27"/>
      <c r="D911" s="28"/>
      <c r="E911" s="29"/>
      <c r="F911" s="28"/>
      <c r="G911" s="29"/>
      <c r="H911" s="29"/>
    </row>
    <row r="912" customFormat="false" ht="15" hidden="false" customHeight="false" outlineLevel="0" collapsed="false">
      <c r="A912" s="27"/>
      <c r="B912" s="27"/>
      <c r="C912" s="27"/>
      <c r="D912" s="28"/>
      <c r="E912" s="29"/>
      <c r="F912" s="28"/>
      <c r="G912" s="29"/>
      <c r="H912" s="29"/>
    </row>
    <row r="913" customFormat="false" ht="15" hidden="false" customHeight="false" outlineLevel="0" collapsed="false">
      <c r="A913" s="27"/>
      <c r="B913" s="27"/>
      <c r="C913" s="27"/>
      <c r="D913" s="28"/>
      <c r="E913" s="29"/>
      <c r="F913" s="28"/>
      <c r="G913" s="29"/>
      <c r="H913" s="29"/>
    </row>
    <row r="914" customFormat="false" ht="15" hidden="false" customHeight="false" outlineLevel="0" collapsed="false">
      <c r="A914" s="27"/>
      <c r="B914" s="27"/>
      <c r="C914" s="27"/>
      <c r="D914" s="28"/>
      <c r="E914" s="29"/>
      <c r="F914" s="28"/>
      <c r="G914" s="29"/>
      <c r="H914" s="29"/>
    </row>
    <row r="915" customFormat="false" ht="15" hidden="false" customHeight="false" outlineLevel="0" collapsed="false">
      <c r="A915" s="27"/>
      <c r="B915" s="27"/>
      <c r="C915" s="27"/>
      <c r="D915" s="28"/>
      <c r="E915" s="29"/>
      <c r="F915" s="28"/>
      <c r="G915" s="29"/>
      <c r="H915" s="29"/>
    </row>
    <row r="916" customFormat="false" ht="15" hidden="false" customHeight="false" outlineLevel="0" collapsed="false">
      <c r="A916" s="27"/>
      <c r="B916" s="27"/>
      <c r="C916" s="27"/>
      <c r="D916" s="28"/>
      <c r="E916" s="29"/>
      <c r="F916" s="28"/>
      <c r="G916" s="29"/>
      <c r="H916" s="29"/>
    </row>
    <row r="917" customFormat="false" ht="15" hidden="false" customHeight="false" outlineLevel="0" collapsed="false">
      <c r="A917" s="27"/>
      <c r="B917" s="27"/>
      <c r="C917" s="27"/>
      <c r="D917" s="28"/>
      <c r="E917" s="29"/>
      <c r="F917" s="28"/>
      <c r="G917" s="29"/>
      <c r="H917" s="29"/>
    </row>
    <row r="918" customFormat="false" ht="15" hidden="false" customHeight="false" outlineLevel="0" collapsed="false">
      <c r="A918" s="27"/>
      <c r="B918" s="27"/>
      <c r="C918" s="27"/>
      <c r="D918" s="28"/>
      <c r="E918" s="29"/>
      <c r="F918" s="28"/>
      <c r="G918" s="29"/>
      <c r="H918" s="29"/>
    </row>
    <row r="919" customFormat="false" ht="15" hidden="false" customHeight="false" outlineLevel="0" collapsed="false">
      <c r="A919" s="27"/>
      <c r="B919" s="27"/>
      <c r="C919" s="27"/>
      <c r="D919" s="28"/>
      <c r="E919" s="29"/>
      <c r="F919" s="28"/>
      <c r="G919" s="29"/>
      <c r="H919" s="29"/>
    </row>
    <row r="920" customFormat="false" ht="15" hidden="false" customHeight="false" outlineLevel="0" collapsed="false">
      <c r="A920" s="27"/>
      <c r="B920" s="27"/>
      <c r="C920" s="27"/>
      <c r="D920" s="28"/>
      <c r="E920" s="29"/>
      <c r="F920" s="28"/>
      <c r="G920" s="29"/>
      <c r="H920" s="29"/>
    </row>
    <row r="921" customFormat="false" ht="15" hidden="false" customHeight="false" outlineLevel="0" collapsed="false">
      <c r="A921" s="27"/>
      <c r="B921" s="27"/>
      <c r="C921" s="27"/>
      <c r="D921" s="28"/>
      <c r="E921" s="29"/>
      <c r="F921" s="28"/>
      <c r="G921" s="29"/>
      <c r="H921" s="29"/>
    </row>
    <row r="922" customFormat="false" ht="15" hidden="false" customHeight="false" outlineLevel="0" collapsed="false">
      <c r="A922" s="27"/>
      <c r="B922" s="27"/>
      <c r="C922" s="27"/>
      <c r="D922" s="28"/>
      <c r="E922" s="29"/>
      <c r="F922" s="28"/>
      <c r="G922" s="29"/>
      <c r="H922" s="29"/>
    </row>
    <row r="923" customFormat="false" ht="15" hidden="false" customHeight="false" outlineLevel="0" collapsed="false">
      <c r="A923" s="27"/>
      <c r="B923" s="27"/>
      <c r="C923" s="27"/>
      <c r="D923" s="28"/>
      <c r="E923" s="29"/>
      <c r="F923" s="28"/>
      <c r="G923" s="29"/>
      <c r="H923" s="29"/>
    </row>
    <row r="924" customFormat="false" ht="15" hidden="false" customHeight="false" outlineLevel="0" collapsed="false">
      <c r="A924" s="27"/>
      <c r="B924" s="27"/>
      <c r="C924" s="27"/>
      <c r="D924" s="28"/>
      <c r="E924" s="29"/>
      <c r="F924" s="28"/>
      <c r="G924" s="29"/>
      <c r="H924" s="29"/>
    </row>
    <row r="925" customFormat="false" ht="15" hidden="false" customHeight="false" outlineLevel="0" collapsed="false">
      <c r="A925" s="27"/>
      <c r="B925" s="27"/>
      <c r="C925" s="27"/>
      <c r="D925" s="28"/>
      <c r="E925" s="29"/>
      <c r="F925" s="28"/>
      <c r="G925" s="29"/>
      <c r="H925" s="29"/>
    </row>
    <row r="926" customFormat="false" ht="15" hidden="false" customHeight="false" outlineLevel="0" collapsed="false">
      <c r="A926" s="27"/>
      <c r="B926" s="27"/>
      <c r="C926" s="27"/>
      <c r="D926" s="28"/>
      <c r="E926" s="29"/>
      <c r="F926" s="28"/>
      <c r="G926" s="29"/>
      <c r="H926" s="29"/>
    </row>
    <row r="927" customFormat="false" ht="15" hidden="false" customHeight="false" outlineLevel="0" collapsed="false">
      <c r="A927" s="27"/>
      <c r="B927" s="27"/>
      <c r="C927" s="27"/>
      <c r="D927" s="28"/>
      <c r="E927" s="29"/>
      <c r="F927" s="28"/>
      <c r="G927" s="29"/>
      <c r="H927" s="29"/>
    </row>
    <row r="928" customFormat="false" ht="15" hidden="false" customHeight="false" outlineLevel="0" collapsed="false">
      <c r="A928" s="27"/>
      <c r="B928" s="27"/>
      <c r="C928" s="27"/>
      <c r="D928" s="28"/>
      <c r="E928" s="29"/>
      <c r="F928" s="28"/>
      <c r="G928" s="29"/>
      <c r="H928" s="29"/>
    </row>
    <row r="929" customFormat="false" ht="15" hidden="false" customHeight="false" outlineLevel="0" collapsed="false">
      <c r="A929" s="27"/>
      <c r="B929" s="27"/>
      <c r="C929" s="27"/>
      <c r="D929" s="28"/>
      <c r="E929" s="29"/>
      <c r="F929" s="28"/>
      <c r="G929" s="29"/>
      <c r="H929" s="29"/>
    </row>
    <row r="930" customFormat="false" ht="15" hidden="false" customHeight="false" outlineLevel="0" collapsed="false">
      <c r="A930" s="27"/>
      <c r="B930" s="27"/>
      <c r="C930" s="27"/>
      <c r="D930" s="28"/>
      <c r="E930" s="29"/>
      <c r="F930" s="28"/>
      <c r="G930" s="29"/>
      <c r="H930" s="29"/>
    </row>
    <row r="931" customFormat="false" ht="15" hidden="false" customHeight="false" outlineLevel="0" collapsed="false">
      <c r="A931" s="27"/>
      <c r="B931" s="27"/>
      <c r="C931" s="27"/>
      <c r="D931" s="28"/>
      <c r="E931" s="29"/>
      <c r="F931" s="28"/>
      <c r="G931" s="29"/>
      <c r="H931" s="29"/>
    </row>
    <row r="932" customFormat="false" ht="15" hidden="false" customHeight="false" outlineLevel="0" collapsed="false">
      <c r="A932" s="27"/>
      <c r="B932" s="27"/>
      <c r="C932" s="27"/>
      <c r="D932" s="28"/>
      <c r="E932" s="29"/>
      <c r="F932" s="28"/>
      <c r="G932" s="29"/>
      <c r="H932" s="29"/>
    </row>
    <row r="933" customFormat="false" ht="15" hidden="false" customHeight="false" outlineLevel="0" collapsed="false">
      <c r="A933" s="27"/>
      <c r="B933" s="27"/>
      <c r="C933" s="27"/>
      <c r="D933" s="28"/>
      <c r="E933" s="29"/>
      <c r="F933" s="28"/>
      <c r="G933" s="29"/>
      <c r="H933" s="29"/>
    </row>
    <row r="934" customFormat="false" ht="15" hidden="false" customHeight="false" outlineLevel="0" collapsed="false">
      <c r="A934" s="27"/>
      <c r="B934" s="27"/>
      <c r="C934" s="27"/>
      <c r="D934" s="28"/>
      <c r="E934" s="29"/>
      <c r="F934" s="28"/>
      <c r="G934" s="29"/>
      <c r="H934" s="29"/>
    </row>
    <row r="935" customFormat="false" ht="15" hidden="false" customHeight="false" outlineLevel="0" collapsed="false">
      <c r="A935" s="27"/>
      <c r="B935" s="27"/>
      <c r="C935" s="27"/>
      <c r="D935" s="28"/>
      <c r="E935" s="29"/>
      <c r="F935" s="28"/>
      <c r="G935" s="29"/>
      <c r="H935" s="29"/>
    </row>
    <row r="936" customFormat="false" ht="15" hidden="false" customHeight="false" outlineLevel="0" collapsed="false">
      <c r="A936" s="27"/>
      <c r="B936" s="27"/>
      <c r="C936" s="27"/>
      <c r="D936" s="28"/>
      <c r="E936" s="29"/>
      <c r="F936" s="28"/>
      <c r="G936" s="29"/>
      <c r="H936" s="29"/>
    </row>
    <row r="937" customFormat="false" ht="15" hidden="false" customHeight="false" outlineLevel="0" collapsed="false">
      <c r="A937" s="27"/>
      <c r="B937" s="27"/>
      <c r="C937" s="27"/>
      <c r="D937" s="28"/>
      <c r="E937" s="29"/>
      <c r="F937" s="28"/>
      <c r="G937" s="29"/>
      <c r="H937" s="29"/>
    </row>
    <row r="938" customFormat="false" ht="15" hidden="false" customHeight="false" outlineLevel="0" collapsed="false">
      <c r="A938" s="27"/>
      <c r="B938" s="27"/>
      <c r="C938" s="27"/>
      <c r="D938" s="28"/>
      <c r="E938" s="29"/>
      <c r="F938" s="28"/>
      <c r="G938" s="29"/>
      <c r="H938" s="29"/>
    </row>
    <row r="939" customFormat="false" ht="15" hidden="false" customHeight="false" outlineLevel="0" collapsed="false">
      <c r="A939" s="27"/>
      <c r="B939" s="27"/>
      <c r="C939" s="27"/>
      <c r="D939" s="28"/>
      <c r="E939" s="29"/>
      <c r="F939" s="28"/>
      <c r="G939" s="29"/>
      <c r="H939" s="29"/>
    </row>
    <row r="940" customFormat="false" ht="15" hidden="false" customHeight="false" outlineLevel="0" collapsed="false">
      <c r="A940" s="27"/>
      <c r="B940" s="27"/>
      <c r="C940" s="27"/>
      <c r="D940" s="28"/>
      <c r="E940" s="29"/>
      <c r="F940" s="28"/>
      <c r="G940" s="29"/>
      <c r="H940" s="29"/>
    </row>
    <row r="941" customFormat="false" ht="15" hidden="false" customHeight="false" outlineLevel="0" collapsed="false">
      <c r="A941" s="27"/>
      <c r="B941" s="27"/>
      <c r="C941" s="27"/>
      <c r="D941" s="28"/>
      <c r="E941" s="29"/>
      <c r="F941" s="28"/>
      <c r="G941" s="29"/>
      <c r="H941" s="29"/>
    </row>
    <row r="942" customFormat="false" ht="15" hidden="false" customHeight="false" outlineLevel="0" collapsed="false">
      <c r="A942" s="27"/>
      <c r="B942" s="27"/>
      <c r="C942" s="27"/>
      <c r="D942" s="28"/>
      <c r="E942" s="29"/>
      <c r="F942" s="28"/>
      <c r="G942" s="29"/>
      <c r="H942" s="29"/>
    </row>
    <row r="943" customFormat="false" ht="15" hidden="false" customHeight="false" outlineLevel="0" collapsed="false">
      <c r="A943" s="27"/>
      <c r="B943" s="27"/>
      <c r="C943" s="27"/>
      <c r="D943" s="28"/>
      <c r="E943" s="29"/>
      <c r="F943" s="28"/>
      <c r="G943" s="29"/>
      <c r="H943" s="29"/>
    </row>
    <row r="944" customFormat="false" ht="15" hidden="false" customHeight="false" outlineLevel="0" collapsed="false">
      <c r="A944" s="27"/>
      <c r="B944" s="27"/>
      <c r="C944" s="27"/>
      <c r="D944" s="28"/>
      <c r="E944" s="29"/>
      <c r="F944" s="28"/>
      <c r="G944" s="29"/>
      <c r="H944" s="29"/>
    </row>
    <row r="945" customFormat="false" ht="15" hidden="false" customHeight="false" outlineLevel="0" collapsed="false">
      <c r="A945" s="27"/>
      <c r="B945" s="27"/>
      <c r="C945" s="27"/>
      <c r="D945" s="28"/>
      <c r="E945" s="29"/>
      <c r="F945" s="28"/>
      <c r="G945" s="29"/>
      <c r="H945" s="29"/>
    </row>
    <row r="946" customFormat="false" ht="15" hidden="false" customHeight="false" outlineLevel="0" collapsed="false">
      <c r="A946" s="27"/>
      <c r="B946" s="27"/>
      <c r="C946" s="27"/>
      <c r="D946" s="28"/>
      <c r="E946" s="29"/>
      <c r="F946" s="28"/>
      <c r="G946" s="29"/>
      <c r="H946" s="29"/>
    </row>
    <row r="947" customFormat="false" ht="15" hidden="false" customHeight="false" outlineLevel="0" collapsed="false">
      <c r="A947" s="27"/>
      <c r="B947" s="27"/>
      <c r="C947" s="27"/>
      <c r="D947" s="28"/>
      <c r="E947" s="29"/>
      <c r="F947" s="28"/>
      <c r="G947" s="29"/>
      <c r="H947" s="29"/>
    </row>
    <row r="948" customFormat="false" ht="15" hidden="false" customHeight="false" outlineLevel="0" collapsed="false">
      <c r="A948" s="27"/>
      <c r="B948" s="27"/>
      <c r="C948" s="27"/>
      <c r="D948" s="28"/>
      <c r="E948" s="29"/>
      <c r="F948" s="28"/>
      <c r="G948" s="29"/>
      <c r="H948" s="29"/>
    </row>
    <row r="949" customFormat="false" ht="15" hidden="false" customHeight="false" outlineLevel="0" collapsed="false">
      <c r="A949" s="27"/>
      <c r="B949" s="27"/>
      <c r="C949" s="27"/>
      <c r="D949" s="28"/>
      <c r="E949" s="29"/>
      <c r="F949" s="28"/>
      <c r="G949" s="29"/>
      <c r="H949" s="29"/>
    </row>
    <row r="950" customFormat="false" ht="15" hidden="false" customHeight="false" outlineLevel="0" collapsed="false">
      <c r="A950" s="27"/>
      <c r="B950" s="27"/>
      <c r="C950" s="27"/>
      <c r="D950" s="28"/>
      <c r="E950" s="29"/>
      <c r="F950" s="28"/>
      <c r="G950" s="29"/>
      <c r="H950" s="29"/>
    </row>
    <row r="951" customFormat="false" ht="15" hidden="false" customHeight="false" outlineLevel="0" collapsed="false">
      <c r="A951" s="27"/>
      <c r="B951" s="27"/>
      <c r="C951" s="27"/>
      <c r="D951" s="28"/>
      <c r="E951" s="29"/>
      <c r="F951" s="28"/>
      <c r="G951" s="29"/>
      <c r="H951" s="29"/>
    </row>
    <row r="952" customFormat="false" ht="15" hidden="false" customHeight="false" outlineLevel="0" collapsed="false">
      <c r="A952" s="27"/>
      <c r="B952" s="27"/>
      <c r="C952" s="27"/>
      <c r="D952" s="28"/>
      <c r="E952" s="29"/>
      <c r="F952" s="28"/>
      <c r="G952" s="29"/>
      <c r="H952" s="29"/>
    </row>
    <row r="953" customFormat="false" ht="15" hidden="false" customHeight="false" outlineLevel="0" collapsed="false">
      <c r="A953" s="27"/>
      <c r="B953" s="27"/>
      <c r="C953" s="27"/>
      <c r="D953" s="28"/>
      <c r="E953" s="29"/>
      <c r="F953" s="28"/>
      <c r="G953" s="29"/>
      <c r="H953" s="29"/>
    </row>
    <row r="954" customFormat="false" ht="15" hidden="false" customHeight="false" outlineLevel="0" collapsed="false">
      <c r="A954" s="27"/>
      <c r="B954" s="27"/>
      <c r="C954" s="27"/>
      <c r="D954" s="28"/>
      <c r="E954" s="29"/>
      <c r="F954" s="28"/>
      <c r="G954" s="29"/>
      <c r="H954" s="29"/>
    </row>
    <row r="955" customFormat="false" ht="15" hidden="false" customHeight="false" outlineLevel="0" collapsed="false">
      <c r="A955" s="27"/>
      <c r="B955" s="27"/>
      <c r="C955" s="27"/>
      <c r="D955" s="28"/>
      <c r="E955" s="29"/>
      <c r="F955" s="28"/>
      <c r="G955" s="29"/>
      <c r="H955" s="29"/>
    </row>
    <row r="956" customFormat="false" ht="15" hidden="false" customHeight="false" outlineLevel="0" collapsed="false">
      <c r="A956" s="27"/>
      <c r="B956" s="27"/>
      <c r="C956" s="27"/>
      <c r="D956" s="28"/>
      <c r="E956" s="29"/>
      <c r="F956" s="28"/>
      <c r="G956" s="29"/>
      <c r="H956" s="29"/>
    </row>
    <row r="957" customFormat="false" ht="15" hidden="false" customHeight="false" outlineLevel="0" collapsed="false">
      <c r="A957" s="27"/>
      <c r="B957" s="27"/>
      <c r="C957" s="27"/>
      <c r="D957" s="28"/>
      <c r="E957" s="29"/>
      <c r="F957" s="28"/>
      <c r="G957" s="29"/>
      <c r="H957" s="29"/>
    </row>
    <row r="958" customFormat="false" ht="15" hidden="false" customHeight="false" outlineLevel="0" collapsed="false">
      <c r="A958" s="27"/>
      <c r="B958" s="27"/>
      <c r="C958" s="27"/>
      <c r="D958" s="28"/>
      <c r="E958" s="29"/>
      <c r="F958" s="28"/>
      <c r="G958" s="29"/>
      <c r="H958" s="29"/>
    </row>
    <row r="959" customFormat="false" ht="15" hidden="false" customHeight="false" outlineLevel="0" collapsed="false">
      <c r="A959" s="27"/>
      <c r="B959" s="27"/>
      <c r="C959" s="27"/>
      <c r="D959" s="28"/>
      <c r="E959" s="29"/>
      <c r="F959" s="28"/>
      <c r="G959" s="29"/>
      <c r="H959" s="29"/>
    </row>
    <row r="960" customFormat="false" ht="15" hidden="false" customHeight="false" outlineLevel="0" collapsed="false">
      <c r="A960" s="27"/>
      <c r="B960" s="27"/>
      <c r="C960" s="27"/>
      <c r="D960" s="28"/>
      <c r="E960" s="29"/>
      <c r="F960" s="28"/>
      <c r="G960" s="29"/>
      <c r="H960" s="29"/>
    </row>
    <row r="961" customFormat="false" ht="15" hidden="false" customHeight="false" outlineLevel="0" collapsed="false">
      <c r="A961" s="27"/>
      <c r="B961" s="27"/>
      <c r="C961" s="27"/>
      <c r="D961" s="28"/>
      <c r="E961" s="29"/>
      <c r="F961" s="28"/>
      <c r="G961" s="29"/>
      <c r="H961" s="29"/>
    </row>
    <row r="962" customFormat="false" ht="15" hidden="false" customHeight="false" outlineLevel="0" collapsed="false">
      <c r="A962" s="27"/>
      <c r="B962" s="27"/>
      <c r="C962" s="27"/>
      <c r="D962" s="28"/>
      <c r="E962" s="29"/>
      <c r="F962" s="28"/>
      <c r="G962" s="29"/>
      <c r="H962" s="29"/>
    </row>
    <row r="963" customFormat="false" ht="15" hidden="false" customHeight="false" outlineLevel="0" collapsed="false">
      <c r="A963" s="27"/>
      <c r="B963" s="27"/>
      <c r="C963" s="27"/>
      <c r="D963" s="28"/>
      <c r="E963" s="29"/>
      <c r="F963" s="28"/>
      <c r="G963" s="29"/>
      <c r="H963" s="29"/>
    </row>
    <row r="964" customFormat="false" ht="15" hidden="false" customHeight="false" outlineLevel="0" collapsed="false">
      <c r="A964" s="27"/>
      <c r="B964" s="27"/>
      <c r="C964" s="27"/>
      <c r="D964" s="28"/>
      <c r="E964" s="29"/>
      <c r="F964" s="28"/>
      <c r="G964" s="29"/>
      <c r="H964" s="29"/>
    </row>
    <row r="965" customFormat="false" ht="15" hidden="false" customHeight="false" outlineLevel="0" collapsed="false">
      <c r="A965" s="27"/>
      <c r="B965" s="27"/>
      <c r="C965" s="27"/>
      <c r="D965" s="28"/>
      <c r="E965" s="29"/>
      <c r="F965" s="28"/>
      <c r="G965" s="29"/>
      <c r="H965" s="29"/>
    </row>
    <row r="966" customFormat="false" ht="15" hidden="false" customHeight="false" outlineLevel="0" collapsed="false">
      <c r="A966" s="27"/>
      <c r="B966" s="27"/>
      <c r="C966" s="27"/>
      <c r="D966" s="28"/>
      <c r="E966" s="29"/>
      <c r="F966" s="28"/>
      <c r="G966" s="29"/>
      <c r="H966" s="29"/>
    </row>
    <row r="967" customFormat="false" ht="15" hidden="false" customHeight="false" outlineLevel="0" collapsed="false">
      <c r="A967" s="27"/>
      <c r="B967" s="27"/>
      <c r="C967" s="27"/>
      <c r="D967" s="28"/>
      <c r="E967" s="29"/>
      <c r="F967" s="28"/>
      <c r="G967" s="29"/>
      <c r="H967" s="29"/>
    </row>
    <row r="968" customFormat="false" ht="15" hidden="false" customHeight="false" outlineLevel="0" collapsed="false">
      <c r="A968" s="27"/>
      <c r="B968" s="27"/>
      <c r="C968" s="27"/>
      <c r="D968" s="28"/>
      <c r="E968" s="29"/>
      <c r="F968" s="28"/>
      <c r="G968" s="29"/>
      <c r="H968" s="29"/>
    </row>
    <row r="969" customFormat="false" ht="15" hidden="false" customHeight="false" outlineLevel="0" collapsed="false">
      <c r="A969" s="27"/>
      <c r="B969" s="27"/>
      <c r="C969" s="27"/>
      <c r="D969" s="28"/>
      <c r="E969" s="29"/>
      <c r="F969" s="28"/>
      <c r="G969" s="29"/>
      <c r="H969" s="29"/>
    </row>
    <row r="970" customFormat="false" ht="15" hidden="false" customHeight="false" outlineLevel="0" collapsed="false">
      <c r="A970" s="27"/>
      <c r="B970" s="27"/>
      <c r="C970" s="27"/>
      <c r="D970" s="28"/>
      <c r="E970" s="29"/>
      <c r="F970" s="28"/>
      <c r="G970" s="29"/>
      <c r="H970" s="29"/>
    </row>
    <row r="971" customFormat="false" ht="15" hidden="false" customHeight="false" outlineLevel="0" collapsed="false">
      <c r="A971" s="27"/>
      <c r="B971" s="27"/>
      <c r="C971" s="27"/>
      <c r="D971" s="28"/>
      <c r="E971" s="29"/>
      <c r="F971" s="28"/>
      <c r="G971" s="29"/>
      <c r="H971" s="29"/>
    </row>
    <row r="972" customFormat="false" ht="15" hidden="false" customHeight="false" outlineLevel="0" collapsed="false">
      <c r="A972" s="27"/>
      <c r="B972" s="27"/>
      <c r="C972" s="27"/>
      <c r="D972" s="28"/>
      <c r="E972" s="29"/>
      <c r="F972" s="28"/>
      <c r="G972" s="29"/>
      <c r="H972" s="29"/>
    </row>
    <row r="973" customFormat="false" ht="15" hidden="false" customHeight="false" outlineLevel="0" collapsed="false">
      <c r="A973" s="27"/>
      <c r="B973" s="27"/>
      <c r="C973" s="27"/>
      <c r="D973" s="28"/>
      <c r="E973" s="29"/>
      <c r="F973" s="28"/>
      <c r="G973" s="29"/>
      <c r="H973" s="29"/>
    </row>
    <row r="974" customFormat="false" ht="15" hidden="false" customHeight="false" outlineLevel="0" collapsed="false">
      <c r="A974" s="27"/>
      <c r="B974" s="27"/>
      <c r="C974" s="27"/>
      <c r="D974" s="28"/>
      <c r="E974" s="29"/>
      <c r="F974" s="28"/>
      <c r="G974" s="29"/>
      <c r="H974" s="29"/>
    </row>
    <row r="975" customFormat="false" ht="15" hidden="false" customHeight="false" outlineLevel="0" collapsed="false">
      <c r="A975" s="27"/>
      <c r="B975" s="27"/>
      <c r="C975" s="27"/>
      <c r="D975" s="28"/>
      <c r="E975" s="29"/>
      <c r="F975" s="28"/>
      <c r="G975" s="29"/>
      <c r="H975" s="29"/>
    </row>
    <row r="976" customFormat="false" ht="15" hidden="false" customHeight="false" outlineLevel="0" collapsed="false">
      <c r="A976" s="27"/>
      <c r="B976" s="27"/>
      <c r="C976" s="27"/>
      <c r="D976" s="28"/>
      <c r="E976" s="29"/>
      <c r="F976" s="28"/>
      <c r="G976" s="29"/>
      <c r="H976" s="29"/>
    </row>
    <row r="977" customFormat="false" ht="15" hidden="false" customHeight="false" outlineLevel="0" collapsed="false">
      <c r="A977" s="27"/>
      <c r="B977" s="27"/>
      <c r="C977" s="27"/>
      <c r="D977" s="28"/>
      <c r="E977" s="29"/>
      <c r="F977" s="28"/>
      <c r="G977" s="29"/>
      <c r="H977" s="29"/>
    </row>
    <row r="978" customFormat="false" ht="15" hidden="false" customHeight="false" outlineLevel="0" collapsed="false">
      <c r="A978" s="27"/>
      <c r="B978" s="27"/>
      <c r="C978" s="27"/>
      <c r="D978" s="28"/>
      <c r="E978" s="29"/>
      <c r="F978" s="28"/>
      <c r="G978" s="29"/>
      <c r="H978" s="29"/>
    </row>
    <row r="979" customFormat="false" ht="15" hidden="false" customHeight="false" outlineLevel="0" collapsed="false">
      <c r="A979" s="27"/>
      <c r="B979" s="27"/>
      <c r="C979" s="27"/>
      <c r="D979" s="28"/>
      <c r="E979" s="29"/>
      <c r="F979" s="28"/>
      <c r="G979" s="29"/>
      <c r="H979" s="29"/>
    </row>
    <row r="980" customFormat="false" ht="15" hidden="false" customHeight="false" outlineLevel="0" collapsed="false">
      <c r="A980" s="27"/>
      <c r="B980" s="27"/>
      <c r="C980" s="27"/>
      <c r="D980" s="28"/>
      <c r="E980" s="29"/>
      <c r="F980" s="28"/>
      <c r="G980" s="29"/>
      <c r="H980" s="29"/>
    </row>
    <row r="981" customFormat="false" ht="15" hidden="false" customHeight="false" outlineLevel="0" collapsed="false">
      <c r="A981" s="27"/>
      <c r="B981" s="27"/>
      <c r="C981" s="27"/>
      <c r="D981" s="28"/>
      <c r="E981" s="29"/>
      <c r="F981" s="28"/>
      <c r="G981" s="29"/>
      <c r="H981" s="29"/>
    </row>
    <row r="982" customFormat="false" ht="15" hidden="false" customHeight="false" outlineLevel="0" collapsed="false">
      <c r="A982" s="27"/>
      <c r="B982" s="27"/>
      <c r="C982" s="27"/>
      <c r="D982" s="28"/>
      <c r="E982" s="29"/>
      <c r="F982" s="28"/>
      <c r="G982" s="29"/>
      <c r="H982" s="29"/>
    </row>
    <row r="983" customFormat="false" ht="15" hidden="false" customHeight="false" outlineLevel="0" collapsed="false">
      <c r="A983" s="27"/>
      <c r="B983" s="27"/>
      <c r="C983" s="27"/>
      <c r="D983" s="28"/>
      <c r="E983" s="29"/>
      <c r="F983" s="28"/>
      <c r="G983" s="29"/>
      <c r="H983" s="29"/>
    </row>
    <row r="984" customFormat="false" ht="15" hidden="false" customHeight="false" outlineLevel="0" collapsed="false">
      <c r="A984" s="27"/>
      <c r="B984" s="27"/>
      <c r="C984" s="27"/>
      <c r="D984" s="28"/>
      <c r="E984" s="29"/>
      <c r="F984" s="28"/>
      <c r="G984" s="29"/>
      <c r="H984" s="29"/>
    </row>
    <row r="985" customFormat="false" ht="15" hidden="false" customHeight="false" outlineLevel="0" collapsed="false">
      <c r="A985" s="27"/>
      <c r="B985" s="27"/>
      <c r="C985" s="27"/>
      <c r="D985" s="28"/>
      <c r="E985" s="29"/>
      <c r="F985" s="28"/>
      <c r="G985" s="29"/>
      <c r="H985" s="29"/>
    </row>
    <row r="986" customFormat="false" ht="15" hidden="false" customHeight="false" outlineLevel="0" collapsed="false">
      <c r="A986" s="27"/>
      <c r="B986" s="27"/>
      <c r="C986" s="27"/>
      <c r="D986" s="28"/>
      <c r="E986" s="29"/>
      <c r="F986" s="28"/>
      <c r="G986" s="29"/>
      <c r="H986" s="29"/>
    </row>
    <row r="987" customFormat="false" ht="15" hidden="false" customHeight="false" outlineLevel="0" collapsed="false">
      <c r="A987" s="27"/>
      <c r="B987" s="27"/>
      <c r="C987" s="27"/>
      <c r="D987" s="28"/>
      <c r="E987" s="29"/>
      <c r="F987" s="28"/>
      <c r="G987" s="29"/>
      <c r="H987" s="29"/>
    </row>
    <row r="988" customFormat="false" ht="15" hidden="false" customHeight="false" outlineLevel="0" collapsed="false">
      <c r="A988" s="27"/>
      <c r="B988" s="27"/>
      <c r="C988" s="27"/>
      <c r="D988" s="28"/>
      <c r="E988" s="29"/>
      <c r="F988" s="28"/>
      <c r="G988" s="29"/>
      <c r="H988" s="29"/>
    </row>
    <row r="989" customFormat="false" ht="15" hidden="false" customHeight="false" outlineLevel="0" collapsed="false">
      <c r="A989" s="27"/>
      <c r="B989" s="27"/>
      <c r="C989" s="27"/>
      <c r="D989" s="28"/>
      <c r="E989" s="29"/>
      <c r="F989" s="28"/>
      <c r="G989" s="29"/>
      <c r="H989" s="29"/>
    </row>
    <row r="990" customFormat="false" ht="15" hidden="false" customHeight="false" outlineLevel="0" collapsed="false">
      <c r="A990" s="27"/>
      <c r="B990" s="27"/>
      <c r="C990" s="27"/>
      <c r="D990" s="28"/>
      <c r="E990" s="29"/>
      <c r="F990" s="28"/>
      <c r="G990" s="29"/>
      <c r="H990" s="29"/>
    </row>
    <row r="991" customFormat="false" ht="15" hidden="false" customHeight="false" outlineLevel="0" collapsed="false">
      <c r="A991" s="27"/>
      <c r="B991" s="27"/>
      <c r="C991" s="27"/>
      <c r="D991" s="28"/>
      <c r="E991" s="29"/>
      <c r="F991" s="28"/>
      <c r="G991" s="29"/>
      <c r="H991" s="29"/>
    </row>
    <row r="992" customFormat="false" ht="15" hidden="false" customHeight="false" outlineLevel="0" collapsed="false">
      <c r="A992" s="27"/>
      <c r="B992" s="27"/>
      <c r="C992" s="27"/>
      <c r="D992" s="28"/>
      <c r="E992" s="29"/>
      <c r="F992" s="28"/>
      <c r="G992" s="29"/>
      <c r="H992" s="29"/>
    </row>
    <row r="993" customFormat="false" ht="15" hidden="false" customHeight="false" outlineLevel="0" collapsed="false">
      <c r="A993" s="27"/>
      <c r="B993" s="27"/>
      <c r="C993" s="27"/>
      <c r="D993" s="28"/>
      <c r="E993" s="29"/>
      <c r="F993" s="28"/>
      <c r="G993" s="29"/>
      <c r="H993" s="29"/>
    </row>
    <row r="994" customFormat="false" ht="15" hidden="false" customHeight="false" outlineLevel="0" collapsed="false">
      <c r="A994" s="27"/>
      <c r="B994" s="27"/>
      <c r="C994" s="27"/>
      <c r="D994" s="28"/>
      <c r="E994" s="29"/>
      <c r="F994" s="28"/>
      <c r="G994" s="29"/>
      <c r="H994" s="29"/>
    </row>
    <row r="995" customFormat="false" ht="15" hidden="false" customHeight="false" outlineLevel="0" collapsed="false">
      <c r="A995" s="27"/>
      <c r="B995" s="27"/>
      <c r="C995" s="27"/>
      <c r="D995" s="28"/>
      <c r="E995" s="29"/>
      <c r="F995" s="28"/>
      <c r="G995" s="29"/>
      <c r="H995" s="29"/>
    </row>
    <row r="996" customFormat="false" ht="15" hidden="false" customHeight="false" outlineLevel="0" collapsed="false">
      <c r="A996" s="27"/>
      <c r="B996" s="27"/>
      <c r="C996" s="27"/>
      <c r="D996" s="28"/>
      <c r="E996" s="29"/>
      <c r="F996" s="28"/>
      <c r="G996" s="29"/>
      <c r="H996" s="29"/>
    </row>
    <row r="997" customFormat="false" ht="15" hidden="false" customHeight="false" outlineLevel="0" collapsed="false">
      <c r="A997" s="27"/>
      <c r="B997" s="27"/>
      <c r="C997" s="27"/>
      <c r="D997" s="28"/>
      <c r="E997" s="29"/>
      <c r="F997" s="28"/>
      <c r="G997" s="29"/>
      <c r="H997" s="29"/>
    </row>
    <row r="998" customFormat="false" ht="15" hidden="false" customHeight="false" outlineLevel="0" collapsed="false">
      <c r="A998" s="27"/>
      <c r="B998" s="27"/>
      <c r="C998" s="27"/>
      <c r="D998" s="28"/>
      <c r="E998" s="29"/>
      <c r="F998" s="28"/>
      <c r="G998" s="29"/>
      <c r="H998" s="29"/>
    </row>
    <row r="999" customFormat="false" ht="15" hidden="false" customHeight="false" outlineLevel="0" collapsed="false">
      <c r="A999" s="27"/>
      <c r="B999" s="27"/>
      <c r="C999" s="27"/>
      <c r="D999" s="28"/>
      <c r="E999" s="29"/>
      <c r="F999" s="28"/>
      <c r="G999" s="29"/>
      <c r="H999" s="29"/>
    </row>
    <row r="1000" customFormat="false" ht="15" hidden="false" customHeight="false" outlineLevel="0" collapsed="false">
      <c r="A1000" s="27"/>
      <c r="B1000" s="27"/>
      <c r="C1000" s="27"/>
      <c r="D1000" s="28"/>
      <c r="E1000" s="29"/>
      <c r="F1000" s="28"/>
      <c r="G1000" s="29"/>
      <c r="H1000" s="29"/>
    </row>
    <row r="1001" customFormat="false" ht="15" hidden="false" customHeight="false" outlineLevel="0" collapsed="false">
      <c r="A1001" s="27"/>
      <c r="B1001" s="27"/>
      <c r="C1001" s="27"/>
      <c r="D1001" s="28"/>
      <c r="E1001" s="29"/>
      <c r="F1001" s="28"/>
      <c r="G1001" s="29"/>
      <c r="H1001" s="29"/>
    </row>
    <row r="1002" customFormat="false" ht="15" hidden="false" customHeight="false" outlineLevel="0" collapsed="false">
      <c r="A1002" s="27"/>
      <c r="B1002" s="27"/>
      <c r="C1002" s="27"/>
      <c r="D1002" s="28"/>
      <c r="E1002" s="29"/>
      <c r="F1002" s="28"/>
      <c r="G1002" s="29"/>
      <c r="H1002" s="29"/>
    </row>
    <row r="1003" customFormat="false" ht="15" hidden="false" customHeight="false" outlineLevel="0" collapsed="false">
      <c r="A1003" s="27"/>
      <c r="B1003" s="27"/>
      <c r="C1003" s="27"/>
      <c r="D1003" s="28"/>
      <c r="E1003" s="29"/>
      <c r="F1003" s="28"/>
      <c r="G1003" s="29"/>
      <c r="H1003" s="29"/>
    </row>
    <row r="1004" customFormat="false" ht="15" hidden="false" customHeight="false" outlineLevel="0" collapsed="false">
      <c r="A1004" s="27"/>
      <c r="B1004" s="27"/>
      <c r="C1004" s="27"/>
      <c r="D1004" s="27"/>
      <c r="F1004" s="27"/>
    </row>
    <row r="1006" customFormat="false" ht="19.5" hidden="false" customHeight="true" outlineLevel="0" collapsed="false">
      <c r="A1006" s="11" t="s">
        <v>70</v>
      </c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</row>
  </sheetData>
  <sheetProtection sheet="true" password="cc3d" objects="true" scenarios="true" deleteColumns="false" deleteRows="false"/>
  <mergeCells count="3">
    <mergeCell ref="A1:AD1"/>
    <mergeCell ref="A3:H3"/>
    <mergeCell ref="A1006:AN1006"/>
  </mergeCells>
  <conditionalFormatting sqref="H6">
    <cfRule type="cellIs" priority="2" operator="greaterThan" aboveAverage="0" equalAverage="0" bottom="0" percent="0" rank="0" text="" dxfId="1">
      <formula>0</formula>
    </cfRule>
    <cfRule type="cellIs" priority="3" operator="lessThanOrEqual" aboveAverage="0" equalAverage="0" bottom="0" percent="0" rank="0" text="" dxfId="0">
      <formula>0</formula>
    </cfRule>
  </conditionalFormatting>
  <conditionalFormatting sqref="G6">
    <cfRule type="cellIs" priority="4" operator="greaterThan" aboveAverage="0" equalAverage="0" bottom="0" percent="0" rank="0" text="" dxfId="10">
      <formula>e{r}</formula>
    </cfRule>
  </conditionalFormatting>
  <conditionalFormatting sqref="H7">
    <cfRule type="cellIs" priority="5" operator="greaterThan" aboveAverage="0" equalAverage="0" bottom="0" percent="0" rank="0" text="" dxfId="1">
      <formula>0</formula>
    </cfRule>
    <cfRule type="cellIs" priority="6" operator="lessThanOrEqual" aboveAverage="0" equalAverage="0" bottom="0" percent="0" rank="0" text="" dxfId="0">
      <formula>0</formula>
    </cfRule>
  </conditionalFormatting>
  <conditionalFormatting sqref="G7">
    <cfRule type="cellIs" priority="7" operator="greaterThan" aboveAverage="0" equalAverage="0" bottom="0" percent="0" rank="0" text="" dxfId="10">
      <formula>e{r}</formula>
    </cfRule>
  </conditionalFormatting>
  <conditionalFormatting sqref="H8">
    <cfRule type="cellIs" priority="8" operator="greaterThan" aboveAverage="0" equalAverage="0" bottom="0" percent="0" rank="0" text="" dxfId="1">
      <formula>0</formula>
    </cfRule>
    <cfRule type="cellIs" priority="9" operator="lessThanOrEqual" aboveAverage="0" equalAverage="0" bottom="0" percent="0" rank="0" text="" dxfId="0">
      <formula>0</formula>
    </cfRule>
  </conditionalFormatting>
  <conditionalFormatting sqref="G8">
    <cfRule type="cellIs" priority="10" operator="greaterThan" aboveAverage="0" equalAverage="0" bottom="0" percent="0" rank="0" text="" dxfId="10">
      <formula>e{r}</formula>
    </cfRule>
  </conditionalFormatting>
  <conditionalFormatting sqref="H9">
    <cfRule type="cellIs" priority="11" operator="greaterThan" aboveAverage="0" equalAverage="0" bottom="0" percent="0" rank="0" text="" dxfId="1">
      <formula>0</formula>
    </cfRule>
    <cfRule type="cellIs" priority="12" operator="lessThanOrEqual" aboveAverage="0" equalAverage="0" bottom="0" percent="0" rank="0" text="" dxfId="0">
      <formula>0</formula>
    </cfRule>
  </conditionalFormatting>
  <conditionalFormatting sqref="G9">
    <cfRule type="cellIs" priority="13" operator="greaterThan" aboveAverage="0" equalAverage="0" bottom="0" percent="0" rank="0" text="" dxfId="10">
      <formula>e{r}</formula>
    </cfRule>
  </conditionalFormatting>
  <conditionalFormatting sqref="H10">
    <cfRule type="cellIs" priority="14" operator="greaterThan" aboveAverage="0" equalAverage="0" bottom="0" percent="0" rank="0" text="" dxfId="1">
      <formula>0</formula>
    </cfRule>
    <cfRule type="cellIs" priority="15" operator="lessThanOrEqual" aboveAverage="0" equalAverage="0" bottom="0" percent="0" rank="0" text="" dxfId="0">
      <formula>0</formula>
    </cfRule>
  </conditionalFormatting>
  <conditionalFormatting sqref="G10">
    <cfRule type="cellIs" priority="16" operator="greaterThan" aboveAverage="0" equalAverage="0" bottom="0" percent="0" rank="0" text="" dxfId="10">
      <formula>e{r}</formula>
    </cfRule>
  </conditionalFormatting>
  <conditionalFormatting sqref="H11">
    <cfRule type="cellIs" priority="17" operator="greaterThan" aboveAverage="0" equalAverage="0" bottom="0" percent="0" rank="0" text="" dxfId="1">
      <formula>0</formula>
    </cfRule>
    <cfRule type="cellIs" priority="18" operator="lessThanOrEqual" aboveAverage="0" equalAverage="0" bottom="0" percent="0" rank="0" text="" dxfId="0">
      <formula>0</formula>
    </cfRule>
  </conditionalFormatting>
  <conditionalFormatting sqref="G11">
    <cfRule type="cellIs" priority="19" operator="greaterThan" aboveAverage="0" equalAverage="0" bottom="0" percent="0" rank="0" text="" dxfId="10">
      <formula>e{r}</formula>
    </cfRule>
  </conditionalFormatting>
  <conditionalFormatting sqref="H12">
    <cfRule type="cellIs" priority="20" operator="greaterThan" aboveAverage="0" equalAverage="0" bottom="0" percent="0" rank="0" text="" dxfId="1">
      <formula>0</formula>
    </cfRule>
    <cfRule type="cellIs" priority="21" operator="lessThanOrEqual" aboveAverage="0" equalAverage="0" bottom="0" percent="0" rank="0" text="" dxfId="0">
      <formula>0</formula>
    </cfRule>
  </conditionalFormatting>
  <conditionalFormatting sqref="G12">
    <cfRule type="cellIs" priority="22" operator="greaterThan" aboveAverage="0" equalAverage="0" bottom="0" percent="0" rank="0" text="" dxfId="10">
      <formula>e{r}</formula>
    </cfRule>
  </conditionalFormatting>
  <conditionalFormatting sqref="H13">
    <cfRule type="cellIs" priority="23" operator="greaterThan" aboveAverage="0" equalAverage="0" bottom="0" percent="0" rank="0" text="" dxfId="1">
      <formula>0</formula>
    </cfRule>
    <cfRule type="cellIs" priority="24" operator="lessThanOrEqual" aboveAverage="0" equalAverage="0" bottom="0" percent="0" rank="0" text="" dxfId="0">
      <formula>0</formula>
    </cfRule>
  </conditionalFormatting>
  <conditionalFormatting sqref="G13">
    <cfRule type="cellIs" priority="25" operator="greaterThan" aboveAverage="0" equalAverage="0" bottom="0" percent="0" rank="0" text="" dxfId="10">
      <formula>e{r}</formula>
    </cfRule>
  </conditionalFormatting>
  <conditionalFormatting sqref="H14">
    <cfRule type="cellIs" priority="26" operator="greaterThan" aboveAverage="0" equalAverage="0" bottom="0" percent="0" rank="0" text="" dxfId="1">
      <formula>0</formula>
    </cfRule>
    <cfRule type="cellIs" priority="27" operator="lessThanOrEqual" aboveAverage="0" equalAverage="0" bottom="0" percent="0" rank="0" text="" dxfId="0">
      <formula>0</formula>
    </cfRule>
  </conditionalFormatting>
  <conditionalFormatting sqref="G14">
    <cfRule type="cellIs" priority="28" operator="greaterThan" aboveAverage="0" equalAverage="0" bottom="0" percent="0" rank="0" text="" dxfId="10">
      <formula>e{r}</formula>
    </cfRule>
  </conditionalFormatting>
  <conditionalFormatting sqref="H15">
    <cfRule type="cellIs" priority="29" operator="greaterThan" aboveAverage="0" equalAverage="0" bottom="0" percent="0" rank="0" text="" dxfId="1">
      <formula>0</formula>
    </cfRule>
    <cfRule type="cellIs" priority="30" operator="lessThanOrEqual" aboveAverage="0" equalAverage="0" bottom="0" percent="0" rank="0" text="" dxfId="0">
      <formula>0</formula>
    </cfRule>
  </conditionalFormatting>
  <conditionalFormatting sqref="G15">
    <cfRule type="cellIs" priority="31" operator="greaterThan" aboveAverage="0" equalAverage="0" bottom="0" percent="0" rank="0" text="" dxfId="10">
      <formula>e{r}</formula>
    </cfRule>
  </conditionalFormatting>
  <conditionalFormatting sqref="H16">
    <cfRule type="cellIs" priority="32" operator="greaterThan" aboveAverage="0" equalAverage="0" bottom="0" percent="0" rank="0" text="" dxfId="1">
      <formula>0</formula>
    </cfRule>
    <cfRule type="cellIs" priority="33" operator="lessThanOrEqual" aboveAverage="0" equalAverage="0" bottom="0" percent="0" rank="0" text="" dxfId="0">
      <formula>0</formula>
    </cfRule>
  </conditionalFormatting>
  <conditionalFormatting sqref="G16">
    <cfRule type="cellIs" priority="34" operator="greaterThan" aboveAverage="0" equalAverage="0" bottom="0" percent="0" rank="0" text="" dxfId="10">
      <formula>e{r}</formula>
    </cfRule>
  </conditionalFormatting>
  <conditionalFormatting sqref="H17">
    <cfRule type="cellIs" priority="35" operator="greaterThan" aboveAverage="0" equalAverage="0" bottom="0" percent="0" rank="0" text="" dxfId="1">
      <formula>0</formula>
    </cfRule>
    <cfRule type="cellIs" priority="36" operator="lessThanOrEqual" aboveAverage="0" equalAverage="0" bottom="0" percent="0" rank="0" text="" dxfId="0">
      <formula>0</formula>
    </cfRule>
  </conditionalFormatting>
  <conditionalFormatting sqref="G17">
    <cfRule type="cellIs" priority="37" operator="greaterThan" aboveAverage="0" equalAverage="0" bottom="0" percent="0" rank="0" text="" dxfId="10">
      <formula>e{r}</formula>
    </cfRule>
  </conditionalFormatting>
  <conditionalFormatting sqref="H18">
    <cfRule type="cellIs" priority="38" operator="greaterThan" aboveAverage="0" equalAverage="0" bottom="0" percent="0" rank="0" text="" dxfId="1">
      <formula>0</formula>
    </cfRule>
    <cfRule type="cellIs" priority="39" operator="lessThanOrEqual" aboveAverage="0" equalAverage="0" bottom="0" percent="0" rank="0" text="" dxfId="0">
      <formula>0</formula>
    </cfRule>
  </conditionalFormatting>
  <conditionalFormatting sqref="G18">
    <cfRule type="cellIs" priority="40" operator="greaterThan" aboveAverage="0" equalAverage="0" bottom="0" percent="0" rank="0" text="" dxfId="10">
      <formula>e{r}</formula>
    </cfRule>
  </conditionalFormatting>
  <conditionalFormatting sqref="H19">
    <cfRule type="cellIs" priority="41" operator="greaterThan" aboveAverage="0" equalAverage="0" bottom="0" percent="0" rank="0" text="" dxfId="1">
      <formula>0</formula>
    </cfRule>
    <cfRule type="cellIs" priority="42" operator="lessThanOrEqual" aboveAverage="0" equalAverage="0" bottom="0" percent="0" rank="0" text="" dxfId="0">
      <formula>0</formula>
    </cfRule>
  </conditionalFormatting>
  <conditionalFormatting sqref="G19">
    <cfRule type="cellIs" priority="43" operator="greaterThan" aboveAverage="0" equalAverage="0" bottom="0" percent="0" rank="0" text="" dxfId="10">
      <formula>e{r}</formula>
    </cfRule>
  </conditionalFormatting>
  <conditionalFormatting sqref="H20">
    <cfRule type="cellIs" priority="44" operator="greaterThan" aboveAverage="0" equalAverage="0" bottom="0" percent="0" rank="0" text="" dxfId="1">
      <formula>0</formula>
    </cfRule>
    <cfRule type="cellIs" priority="45" operator="lessThanOrEqual" aboveAverage="0" equalAverage="0" bottom="0" percent="0" rank="0" text="" dxfId="0">
      <formula>0</formula>
    </cfRule>
  </conditionalFormatting>
  <conditionalFormatting sqref="G20">
    <cfRule type="cellIs" priority="46" operator="greaterThan" aboveAverage="0" equalAverage="0" bottom="0" percent="0" rank="0" text="" dxfId="10">
      <formula>e{r}</formula>
    </cfRule>
  </conditionalFormatting>
  <conditionalFormatting sqref="H21">
    <cfRule type="cellIs" priority="47" operator="greaterThan" aboveAverage="0" equalAverage="0" bottom="0" percent="0" rank="0" text="" dxfId="1">
      <formula>0</formula>
    </cfRule>
    <cfRule type="cellIs" priority="48" operator="lessThanOrEqual" aboveAverage="0" equalAverage="0" bottom="0" percent="0" rank="0" text="" dxfId="0">
      <formula>0</formula>
    </cfRule>
  </conditionalFormatting>
  <conditionalFormatting sqref="G21">
    <cfRule type="cellIs" priority="49" operator="greaterThan" aboveAverage="0" equalAverage="0" bottom="0" percent="0" rank="0" text="" dxfId="10">
      <formula>e{r}</formula>
    </cfRule>
  </conditionalFormatting>
  <conditionalFormatting sqref="H22">
    <cfRule type="cellIs" priority="50" operator="greaterThan" aboveAverage="0" equalAverage="0" bottom="0" percent="0" rank="0" text="" dxfId="1">
      <formula>0</formula>
    </cfRule>
    <cfRule type="cellIs" priority="51" operator="lessThanOrEqual" aboveAverage="0" equalAverage="0" bottom="0" percent="0" rank="0" text="" dxfId="0">
      <formula>0</formula>
    </cfRule>
  </conditionalFormatting>
  <conditionalFormatting sqref="G22">
    <cfRule type="cellIs" priority="52" operator="greaterThan" aboveAverage="0" equalAverage="0" bottom="0" percent="0" rank="0" text="" dxfId="10">
      <formula>e{r}</formula>
    </cfRule>
  </conditionalFormatting>
  <conditionalFormatting sqref="H23">
    <cfRule type="cellIs" priority="53" operator="greaterThan" aboveAverage="0" equalAverage="0" bottom="0" percent="0" rank="0" text="" dxfId="1">
      <formula>0</formula>
    </cfRule>
    <cfRule type="cellIs" priority="54" operator="lessThanOrEqual" aboveAverage="0" equalAverage="0" bottom="0" percent="0" rank="0" text="" dxfId="0">
      <formula>0</formula>
    </cfRule>
  </conditionalFormatting>
  <conditionalFormatting sqref="G23">
    <cfRule type="cellIs" priority="55" operator="greaterThan" aboveAverage="0" equalAverage="0" bottom="0" percent="0" rank="0" text="" dxfId="10">
      <formula>e{r}</formula>
    </cfRule>
  </conditionalFormatting>
  <conditionalFormatting sqref="H24">
    <cfRule type="cellIs" priority="56" operator="greaterThan" aboveAverage="0" equalAverage="0" bottom="0" percent="0" rank="0" text="" dxfId="1">
      <formula>0</formula>
    </cfRule>
    <cfRule type="cellIs" priority="57" operator="lessThanOrEqual" aboveAverage="0" equalAverage="0" bottom="0" percent="0" rank="0" text="" dxfId="0">
      <formula>0</formula>
    </cfRule>
  </conditionalFormatting>
  <conditionalFormatting sqref="G24">
    <cfRule type="cellIs" priority="58" operator="greaterThan" aboveAverage="0" equalAverage="0" bottom="0" percent="0" rank="0" text="" dxfId="10">
      <formula>e{r}</formula>
    </cfRule>
  </conditionalFormatting>
  <conditionalFormatting sqref="H25">
    <cfRule type="cellIs" priority="59" operator="greaterThan" aboveAverage="0" equalAverage="0" bottom="0" percent="0" rank="0" text="" dxfId="1">
      <formula>0</formula>
    </cfRule>
    <cfRule type="cellIs" priority="60" operator="lessThanOrEqual" aboveAverage="0" equalAverage="0" bottom="0" percent="0" rank="0" text="" dxfId="0">
      <formula>0</formula>
    </cfRule>
  </conditionalFormatting>
  <conditionalFormatting sqref="G25">
    <cfRule type="cellIs" priority="61" operator="greaterThan" aboveAverage="0" equalAverage="0" bottom="0" percent="0" rank="0" text="" dxfId="10">
      <formula>e{r}</formula>
    </cfRule>
  </conditionalFormatting>
  <conditionalFormatting sqref="H26">
    <cfRule type="cellIs" priority="62" operator="greaterThan" aboveAverage="0" equalAverage="0" bottom="0" percent="0" rank="0" text="" dxfId="1">
      <formula>0</formula>
    </cfRule>
    <cfRule type="cellIs" priority="63" operator="lessThanOrEqual" aboveAverage="0" equalAverage="0" bottom="0" percent="0" rank="0" text="" dxfId="0">
      <formula>0</formula>
    </cfRule>
  </conditionalFormatting>
  <conditionalFormatting sqref="G26">
    <cfRule type="cellIs" priority="64" operator="greaterThan" aboveAverage="0" equalAverage="0" bottom="0" percent="0" rank="0" text="" dxfId="10">
      <formula>e{r}</formula>
    </cfRule>
  </conditionalFormatting>
  <conditionalFormatting sqref="H27">
    <cfRule type="cellIs" priority="65" operator="greaterThan" aboveAverage="0" equalAverage="0" bottom="0" percent="0" rank="0" text="" dxfId="1">
      <formula>0</formula>
    </cfRule>
    <cfRule type="cellIs" priority="66" operator="lessThanOrEqual" aboveAverage="0" equalAverage="0" bottom="0" percent="0" rank="0" text="" dxfId="0">
      <formula>0</formula>
    </cfRule>
  </conditionalFormatting>
  <conditionalFormatting sqref="G27">
    <cfRule type="cellIs" priority="67" operator="greaterThan" aboveAverage="0" equalAverage="0" bottom="0" percent="0" rank="0" text="" dxfId="10">
      <formula>e{r}</formula>
    </cfRule>
  </conditionalFormatting>
  <conditionalFormatting sqref="H28">
    <cfRule type="cellIs" priority="68" operator="greaterThan" aboveAverage="0" equalAverage="0" bottom="0" percent="0" rank="0" text="" dxfId="1">
      <formula>0</formula>
    </cfRule>
    <cfRule type="cellIs" priority="69" operator="lessThanOrEqual" aboveAverage="0" equalAverage="0" bottom="0" percent="0" rank="0" text="" dxfId="0">
      <formula>0</formula>
    </cfRule>
  </conditionalFormatting>
  <conditionalFormatting sqref="G28">
    <cfRule type="cellIs" priority="70" operator="greaterThan" aboveAverage="0" equalAverage="0" bottom="0" percent="0" rank="0" text="" dxfId="10">
      <formula>e{r}</formula>
    </cfRule>
  </conditionalFormatting>
  <conditionalFormatting sqref="H29">
    <cfRule type="cellIs" priority="71" operator="greaterThan" aboveAverage="0" equalAverage="0" bottom="0" percent="0" rank="0" text="" dxfId="1">
      <formula>0</formula>
    </cfRule>
    <cfRule type="cellIs" priority="72" operator="lessThanOrEqual" aboveAverage="0" equalAverage="0" bottom="0" percent="0" rank="0" text="" dxfId="0">
      <formula>0</formula>
    </cfRule>
  </conditionalFormatting>
  <conditionalFormatting sqref="G29">
    <cfRule type="cellIs" priority="73" operator="greaterThan" aboveAverage="0" equalAverage="0" bottom="0" percent="0" rank="0" text="" dxfId="10">
      <formula>e{r}</formula>
    </cfRule>
  </conditionalFormatting>
  <conditionalFormatting sqref="H30">
    <cfRule type="cellIs" priority="74" operator="greaterThan" aboveAverage="0" equalAverage="0" bottom="0" percent="0" rank="0" text="" dxfId="1">
      <formula>0</formula>
    </cfRule>
    <cfRule type="cellIs" priority="75" operator="lessThanOrEqual" aboveAverage="0" equalAverage="0" bottom="0" percent="0" rank="0" text="" dxfId="0">
      <formula>0</formula>
    </cfRule>
  </conditionalFormatting>
  <conditionalFormatting sqref="G30">
    <cfRule type="cellIs" priority="76" operator="greaterThan" aboveAverage="0" equalAverage="0" bottom="0" percent="0" rank="0" text="" dxfId="10">
      <formula>e{r}</formula>
    </cfRule>
  </conditionalFormatting>
  <conditionalFormatting sqref="H31">
    <cfRule type="cellIs" priority="77" operator="greaterThan" aboveAverage="0" equalAverage="0" bottom="0" percent="0" rank="0" text="" dxfId="1">
      <formula>0</formula>
    </cfRule>
    <cfRule type="cellIs" priority="78" operator="lessThanOrEqual" aboveAverage="0" equalAverage="0" bottom="0" percent="0" rank="0" text="" dxfId="0">
      <formula>0</formula>
    </cfRule>
  </conditionalFormatting>
  <conditionalFormatting sqref="G31">
    <cfRule type="cellIs" priority="79" operator="greaterThan" aboveAverage="0" equalAverage="0" bottom="0" percent="0" rank="0" text="" dxfId="10">
      <formula>e{r}</formula>
    </cfRule>
  </conditionalFormatting>
  <conditionalFormatting sqref="H32">
    <cfRule type="cellIs" priority="80" operator="greaterThan" aboveAverage="0" equalAverage="0" bottom="0" percent="0" rank="0" text="" dxfId="1">
      <formula>0</formula>
    </cfRule>
    <cfRule type="cellIs" priority="81" operator="lessThanOrEqual" aboveAverage="0" equalAverage="0" bottom="0" percent="0" rank="0" text="" dxfId="0">
      <formula>0</formula>
    </cfRule>
  </conditionalFormatting>
  <conditionalFormatting sqref="G32">
    <cfRule type="cellIs" priority="82" operator="greaterThan" aboveAverage="0" equalAverage="0" bottom="0" percent="0" rank="0" text="" dxfId="10">
      <formula>e{r}</formula>
    </cfRule>
  </conditionalFormatting>
  <conditionalFormatting sqref="H33">
    <cfRule type="cellIs" priority="83" operator="greaterThan" aboveAverage="0" equalAverage="0" bottom="0" percent="0" rank="0" text="" dxfId="1">
      <formula>0</formula>
    </cfRule>
    <cfRule type="cellIs" priority="84" operator="lessThanOrEqual" aboveAverage="0" equalAverage="0" bottom="0" percent="0" rank="0" text="" dxfId="0">
      <formula>0</formula>
    </cfRule>
  </conditionalFormatting>
  <conditionalFormatting sqref="G33">
    <cfRule type="cellIs" priority="85" operator="greaterThan" aboveAverage="0" equalAverage="0" bottom="0" percent="0" rank="0" text="" dxfId="10">
      <formula>e{r}</formula>
    </cfRule>
  </conditionalFormatting>
  <conditionalFormatting sqref="H34">
    <cfRule type="cellIs" priority="86" operator="greaterThan" aboveAverage="0" equalAverage="0" bottom="0" percent="0" rank="0" text="" dxfId="1">
      <formula>0</formula>
    </cfRule>
    <cfRule type="cellIs" priority="87" operator="lessThanOrEqual" aboveAverage="0" equalAverage="0" bottom="0" percent="0" rank="0" text="" dxfId="0">
      <formula>0</formula>
    </cfRule>
  </conditionalFormatting>
  <conditionalFormatting sqref="G34">
    <cfRule type="cellIs" priority="88" operator="greaterThan" aboveAverage="0" equalAverage="0" bottom="0" percent="0" rank="0" text="" dxfId="10">
      <formula>e{r}</formula>
    </cfRule>
  </conditionalFormatting>
  <conditionalFormatting sqref="H35">
    <cfRule type="cellIs" priority="89" operator="greaterThan" aboveAverage="0" equalAverage="0" bottom="0" percent="0" rank="0" text="" dxfId="1">
      <formula>0</formula>
    </cfRule>
    <cfRule type="cellIs" priority="90" operator="lessThanOrEqual" aboveAverage="0" equalAverage="0" bottom="0" percent="0" rank="0" text="" dxfId="0">
      <formula>0</formula>
    </cfRule>
  </conditionalFormatting>
  <conditionalFormatting sqref="G35">
    <cfRule type="cellIs" priority="91" operator="greaterThan" aboveAverage="0" equalAverage="0" bottom="0" percent="0" rank="0" text="" dxfId="10">
      <formula>e{r}</formula>
    </cfRule>
  </conditionalFormatting>
  <conditionalFormatting sqref="H36">
    <cfRule type="cellIs" priority="92" operator="greaterThan" aboveAverage="0" equalAverage="0" bottom="0" percent="0" rank="0" text="" dxfId="1">
      <formula>0</formula>
    </cfRule>
    <cfRule type="cellIs" priority="93" operator="lessThanOrEqual" aboveAverage="0" equalAverage="0" bottom="0" percent="0" rank="0" text="" dxfId="0">
      <formula>0</formula>
    </cfRule>
  </conditionalFormatting>
  <conditionalFormatting sqref="G36">
    <cfRule type="cellIs" priority="94" operator="greaterThan" aboveAverage="0" equalAverage="0" bottom="0" percent="0" rank="0" text="" dxfId="10">
      <formula>e{r}</formula>
    </cfRule>
  </conditionalFormatting>
  <conditionalFormatting sqref="H37">
    <cfRule type="cellIs" priority="95" operator="greaterThan" aboveAverage="0" equalAverage="0" bottom="0" percent="0" rank="0" text="" dxfId="1">
      <formula>0</formula>
    </cfRule>
    <cfRule type="cellIs" priority="96" operator="lessThanOrEqual" aboveAverage="0" equalAverage="0" bottom="0" percent="0" rank="0" text="" dxfId="0">
      <formula>0</formula>
    </cfRule>
  </conditionalFormatting>
  <conditionalFormatting sqref="G37">
    <cfRule type="cellIs" priority="97" operator="greaterThan" aboveAverage="0" equalAverage="0" bottom="0" percent="0" rank="0" text="" dxfId="10">
      <formula>e{r}</formula>
    </cfRule>
  </conditionalFormatting>
  <conditionalFormatting sqref="H38">
    <cfRule type="cellIs" priority="98" operator="greaterThan" aboveAverage="0" equalAverage="0" bottom="0" percent="0" rank="0" text="" dxfId="1">
      <formula>0</formula>
    </cfRule>
    <cfRule type="cellIs" priority="99" operator="lessThanOrEqual" aboveAverage="0" equalAverage="0" bottom="0" percent="0" rank="0" text="" dxfId="0">
      <formula>0</formula>
    </cfRule>
  </conditionalFormatting>
  <conditionalFormatting sqref="G38">
    <cfRule type="cellIs" priority="100" operator="greaterThan" aboveAverage="0" equalAverage="0" bottom="0" percent="0" rank="0" text="" dxfId="10">
      <formula>e{r}</formula>
    </cfRule>
  </conditionalFormatting>
  <conditionalFormatting sqref="H39">
    <cfRule type="cellIs" priority="101" operator="greaterThan" aboveAverage="0" equalAverage="0" bottom="0" percent="0" rank="0" text="" dxfId="1">
      <formula>0</formula>
    </cfRule>
    <cfRule type="cellIs" priority="102" operator="lessThanOrEqual" aboveAverage="0" equalAverage="0" bottom="0" percent="0" rank="0" text="" dxfId="0">
      <formula>0</formula>
    </cfRule>
  </conditionalFormatting>
  <conditionalFormatting sqref="G39">
    <cfRule type="cellIs" priority="103" operator="greaterThan" aboveAverage="0" equalAverage="0" bottom="0" percent="0" rank="0" text="" dxfId="10">
      <formula>e{r}</formula>
    </cfRule>
  </conditionalFormatting>
  <conditionalFormatting sqref="H40">
    <cfRule type="cellIs" priority="104" operator="greaterThan" aboveAverage="0" equalAverage="0" bottom="0" percent="0" rank="0" text="" dxfId="1">
      <formula>0</formula>
    </cfRule>
    <cfRule type="cellIs" priority="105" operator="lessThanOrEqual" aboveAverage="0" equalAverage="0" bottom="0" percent="0" rank="0" text="" dxfId="0">
      <formula>0</formula>
    </cfRule>
  </conditionalFormatting>
  <conditionalFormatting sqref="G40">
    <cfRule type="cellIs" priority="106" operator="greaterThan" aboveAverage="0" equalAverage="0" bottom="0" percent="0" rank="0" text="" dxfId="10">
      <formula>e{r}</formula>
    </cfRule>
  </conditionalFormatting>
  <conditionalFormatting sqref="H41">
    <cfRule type="cellIs" priority="107" operator="greaterThan" aboveAverage="0" equalAverage="0" bottom="0" percent="0" rank="0" text="" dxfId="1">
      <formula>0</formula>
    </cfRule>
    <cfRule type="cellIs" priority="108" operator="lessThanOrEqual" aboveAverage="0" equalAverage="0" bottom="0" percent="0" rank="0" text="" dxfId="0">
      <formula>0</formula>
    </cfRule>
  </conditionalFormatting>
  <conditionalFormatting sqref="G41">
    <cfRule type="cellIs" priority="109" operator="greaterThan" aboveAverage="0" equalAverage="0" bottom="0" percent="0" rank="0" text="" dxfId="10">
      <formula>e{r}</formula>
    </cfRule>
  </conditionalFormatting>
  <conditionalFormatting sqref="H42">
    <cfRule type="cellIs" priority="110" operator="greaterThan" aboveAverage="0" equalAverage="0" bottom="0" percent="0" rank="0" text="" dxfId="1">
      <formula>0</formula>
    </cfRule>
    <cfRule type="cellIs" priority="111" operator="lessThanOrEqual" aboveAverage="0" equalAverage="0" bottom="0" percent="0" rank="0" text="" dxfId="0">
      <formula>0</formula>
    </cfRule>
  </conditionalFormatting>
  <conditionalFormatting sqref="G42">
    <cfRule type="cellIs" priority="112" operator="greaterThan" aboveAverage="0" equalAverage="0" bottom="0" percent="0" rank="0" text="" dxfId="10">
      <formula>e{r}</formula>
    </cfRule>
  </conditionalFormatting>
  <conditionalFormatting sqref="H43">
    <cfRule type="cellIs" priority="113" operator="greaterThan" aboveAverage="0" equalAverage="0" bottom="0" percent="0" rank="0" text="" dxfId="1">
      <formula>0</formula>
    </cfRule>
    <cfRule type="cellIs" priority="114" operator="lessThanOrEqual" aboveAverage="0" equalAverage="0" bottom="0" percent="0" rank="0" text="" dxfId="0">
      <formula>0</formula>
    </cfRule>
  </conditionalFormatting>
  <conditionalFormatting sqref="G43">
    <cfRule type="cellIs" priority="115" operator="greaterThan" aboveAverage="0" equalAverage="0" bottom="0" percent="0" rank="0" text="" dxfId="10">
      <formula>e{r}</formula>
    </cfRule>
  </conditionalFormatting>
  <conditionalFormatting sqref="H44">
    <cfRule type="cellIs" priority="116" operator="greaterThan" aboveAverage="0" equalAverage="0" bottom="0" percent="0" rank="0" text="" dxfId="1">
      <formula>0</formula>
    </cfRule>
    <cfRule type="cellIs" priority="117" operator="lessThanOrEqual" aboveAverage="0" equalAverage="0" bottom="0" percent="0" rank="0" text="" dxfId="0">
      <formula>0</formula>
    </cfRule>
  </conditionalFormatting>
  <conditionalFormatting sqref="G44">
    <cfRule type="cellIs" priority="118" operator="greaterThan" aboveAverage="0" equalAverage="0" bottom="0" percent="0" rank="0" text="" dxfId="10">
      <formula>e{r}</formula>
    </cfRule>
  </conditionalFormatting>
  <conditionalFormatting sqref="H45">
    <cfRule type="cellIs" priority="119" operator="greaterThan" aboveAverage="0" equalAverage="0" bottom="0" percent="0" rank="0" text="" dxfId="1">
      <formula>0</formula>
    </cfRule>
    <cfRule type="cellIs" priority="120" operator="lessThanOrEqual" aboveAverage="0" equalAverage="0" bottom="0" percent="0" rank="0" text="" dxfId="0">
      <formula>0</formula>
    </cfRule>
  </conditionalFormatting>
  <conditionalFormatting sqref="G45">
    <cfRule type="cellIs" priority="121" operator="greaterThan" aboveAverage="0" equalAverage="0" bottom="0" percent="0" rank="0" text="" dxfId="10">
      <formula>e{r}</formula>
    </cfRule>
  </conditionalFormatting>
  <conditionalFormatting sqref="H46">
    <cfRule type="cellIs" priority="122" operator="greaterThan" aboveAverage="0" equalAverage="0" bottom="0" percent="0" rank="0" text="" dxfId="1">
      <formula>0</formula>
    </cfRule>
    <cfRule type="cellIs" priority="123" operator="lessThanOrEqual" aboveAverage="0" equalAverage="0" bottom="0" percent="0" rank="0" text="" dxfId="0">
      <formula>0</formula>
    </cfRule>
  </conditionalFormatting>
  <conditionalFormatting sqref="G46">
    <cfRule type="cellIs" priority="124" operator="greaterThan" aboveAverage="0" equalAverage="0" bottom="0" percent="0" rank="0" text="" dxfId="10">
      <formula>e{r}</formula>
    </cfRule>
  </conditionalFormatting>
  <conditionalFormatting sqref="H47">
    <cfRule type="cellIs" priority="125" operator="greaterThan" aboveAverage="0" equalAverage="0" bottom="0" percent="0" rank="0" text="" dxfId="1">
      <formula>0</formula>
    </cfRule>
    <cfRule type="cellIs" priority="126" operator="lessThanOrEqual" aboveAverage="0" equalAverage="0" bottom="0" percent="0" rank="0" text="" dxfId="0">
      <formula>0</formula>
    </cfRule>
  </conditionalFormatting>
  <conditionalFormatting sqref="G47">
    <cfRule type="cellIs" priority="127" operator="greaterThan" aboveAverage="0" equalAverage="0" bottom="0" percent="0" rank="0" text="" dxfId="10">
      <formula>e{r}</formula>
    </cfRule>
  </conditionalFormatting>
  <conditionalFormatting sqref="H48">
    <cfRule type="cellIs" priority="128" operator="greaterThan" aboveAverage="0" equalAverage="0" bottom="0" percent="0" rank="0" text="" dxfId="1">
      <formula>0</formula>
    </cfRule>
    <cfRule type="cellIs" priority="129" operator="lessThanOrEqual" aboveAverage="0" equalAverage="0" bottom="0" percent="0" rank="0" text="" dxfId="0">
      <formula>0</formula>
    </cfRule>
  </conditionalFormatting>
  <conditionalFormatting sqref="G48">
    <cfRule type="cellIs" priority="130" operator="greaterThan" aboveAverage="0" equalAverage="0" bottom="0" percent="0" rank="0" text="" dxfId="10">
      <formula>e{r}</formula>
    </cfRule>
  </conditionalFormatting>
  <conditionalFormatting sqref="H49">
    <cfRule type="cellIs" priority="131" operator="greaterThan" aboveAverage="0" equalAverage="0" bottom="0" percent="0" rank="0" text="" dxfId="1">
      <formula>0</formula>
    </cfRule>
    <cfRule type="cellIs" priority="132" operator="lessThanOrEqual" aboveAverage="0" equalAverage="0" bottom="0" percent="0" rank="0" text="" dxfId="0">
      <formula>0</formula>
    </cfRule>
  </conditionalFormatting>
  <conditionalFormatting sqref="G49">
    <cfRule type="cellIs" priority="133" operator="greaterThan" aboveAverage="0" equalAverage="0" bottom="0" percent="0" rank="0" text="" dxfId="10">
      <formula>e{r}</formula>
    </cfRule>
  </conditionalFormatting>
  <conditionalFormatting sqref="H50">
    <cfRule type="cellIs" priority="134" operator="greaterThan" aboveAverage="0" equalAverage="0" bottom="0" percent="0" rank="0" text="" dxfId="1">
      <formula>0</formula>
    </cfRule>
    <cfRule type="cellIs" priority="135" operator="lessThanOrEqual" aboveAverage="0" equalAverage="0" bottom="0" percent="0" rank="0" text="" dxfId="0">
      <formula>0</formula>
    </cfRule>
  </conditionalFormatting>
  <conditionalFormatting sqref="G50">
    <cfRule type="cellIs" priority="136" operator="greaterThan" aboveAverage="0" equalAverage="0" bottom="0" percent="0" rank="0" text="" dxfId="10">
      <formula>e{r}</formula>
    </cfRule>
  </conditionalFormatting>
  <conditionalFormatting sqref="H51">
    <cfRule type="cellIs" priority="137" operator="greaterThan" aboveAverage="0" equalAverage="0" bottom="0" percent="0" rank="0" text="" dxfId="1">
      <formula>0</formula>
    </cfRule>
    <cfRule type="cellIs" priority="138" operator="lessThanOrEqual" aboveAverage="0" equalAverage="0" bottom="0" percent="0" rank="0" text="" dxfId="0">
      <formula>0</formula>
    </cfRule>
  </conditionalFormatting>
  <conditionalFormatting sqref="G51">
    <cfRule type="cellIs" priority="139" operator="greaterThan" aboveAverage="0" equalAverage="0" bottom="0" percent="0" rank="0" text="" dxfId="10">
      <formula>e{r}</formula>
    </cfRule>
  </conditionalFormatting>
  <conditionalFormatting sqref="H52">
    <cfRule type="cellIs" priority="140" operator="greaterThan" aboveAverage="0" equalAverage="0" bottom="0" percent="0" rank="0" text="" dxfId="1">
      <formula>0</formula>
    </cfRule>
    <cfRule type="cellIs" priority="141" operator="lessThanOrEqual" aboveAverage="0" equalAverage="0" bottom="0" percent="0" rank="0" text="" dxfId="0">
      <formula>0</formula>
    </cfRule>
  </conditionalFormatting>
  <conditionalFormatting sqref="G52">
    <cfRule type="cellIs" priority="142" operator="greaterThan" aboveAverage="0" equalAverage="0" bottom="0" percent="0" rank="0" text="" dxfId="10">
      <formula>e{r}</formula>
    </cfRule>
  </conditionalFormatting>
  <conditionalFormatting sqref="H53">
    <cfRule type="cellIs" priority="143" operator="greaterThan" aboveAverage="0" equalAverage="0" bottom="0" percent="0" rank="0" text="" dxfId="1">
      <formula>0</formula>
    </cfRule>
    <cfRule type="cellIs" priority="144" operator="lessThanOrEqual" aboveAverage="0" equalAverage="0" bottom="0" percent="0" rank="0" text="" dxfId="0">
      <formula>0</formula>
    </cfRule>
  </conditionalFormatting>
  <conditionalFormatting sqref="G53">
    <cfRule type="cellIs" priority="145" operator="greaterThan" aboveAverage="0" equalAverage="0" bottom="0" percent="0" rank="0" text="" dxfId="10">
      <formula>e{r}</formula>
    </cfRule>
  </conditionalFormatting>
  <conditionalFormatting sqref="H54">
    <cfRule type="cellIs" priority="146" operator="greaterThan" aboveAverage="0" equalAverage="0" bottom="0" percent="0" rank="0" text="" dxfId="1">
      <formula>0</formula>
    </cfRule>
    <cfRule type="cellIs" priority="147" operator="lessThanOrEqual" aboveAverage="0" equalAverage="0" bottom="0" percent="0" rank="0" text="" dxfId="0">
      <formula>0</formula>
    </cfRule>
  </conditionalFormatting>
  <conditionalFormatting sqref="G54">
    <cfRule type="cellIs" priority="148" operator="greaterThan" aboveAverage="0" equalAverage="0" bottom="0" percent="0" rank="0" text="" dxfId="10">
      <formula>e{r}</formula>
    </cfRule>
  </conditionalFormatting>
  <conditionalFormatting sqref="H55">
    <cfRule type="cellIs" priority="149" operator="greaterThan" aboveAverage="0" equalAverage="0" bottom="0" percent="0" rank="0" text="" dxfId="1">
      <formula>0</formula>
    </cfRule>
    <cfRule type="cellIs" priority="150" operator="lessThanOrEqual" aboveAverage="0" equalAverage="0" bottom="0" percent="0" rank="0" text="" dxfId="0">
      <formula>0</formula>
    </cfRule>
  </conditionalFormatting>
  <conditionalFormatting sqref="G55">
    <cfRule type="cellIs" priority="151" operator="greaterThan" aboveAverage="0" equalAverage="0" bottom="0" percent="0" rank="0" text="" dxfId="10">
      <formula>e{r}</formula>
    </cfRule>
  </conditionalFormatting>
  <conditionalFormatting sqref="H56">
    <cfRule type="cellIs" priority="152" operator="greaterThan" aboveAverage="0" equalAverage="0" bottom="0" percent="0" rank="0" text="" dxfId="1">
      <formula>0</formula>
    </cfRule>
    <cfRule type="cellIs" priority="153" operator="lessThanOrEqual" aboveAverage="0" equalAverage="0" bottom="0" percent="0" rank="0" text="" dxfId="0">
      <formula>0</formula>
    </cfRule>
  </conditionalFormatting>
  <conditionalFormatting sqref="G56">
    <cfRule type="cellIs" priority="154" operator="greaterThan" aboveAverage="0" equalAverage="0" bottom="0" percent="0" rank="0" text="" dxfId="10">
      <formula>e{r}</formula>
    </cfRule>
  </conditionalFormatting>
  <conditionalFormatting sqref="H57">
    <cfRule type="cellIs" priority="155" operator="greaterThan" aboveAverage="0" equalAverage="0" bottom="0" percent="0" rank="0" text="" dxfId="1">
      <formula>0</formula>
    </cfRule>
    <cfRule type="cellIs" priority="156" operator="lessThanOrEqual" aboveAverage="0" equalAverage="0" bottom="0" percent="0" rank="0" text="" dxfId="0">
      <formula>0</formula>
    </cfRule>
  </conditionalFormatting>
  <conditionalFormatting sqref="G57">
    <cfRule type="cellIs" priority="157" operator="greaterThan" aboveAverage="0" equalAverage="0" bottom="0" percent="0" rank="0" text="" dxfId="10">
      <formula>e{r}</formula>
    </cfRule>
  </conditionalFormatting>
  <conditionalFormatting sqref="H58">
    <cfRule type="cellIs" priority="158" operator="greaterThan" aboveAverage="0" equalAverage="0" bottom="0" percent="0" rank="0" text="" dxfId="1">
      <formula>0</formula>
    </cfRule>
    <cfRule type="cellIs" priority="159" operator="lessThanOrEqual" aboveAverage="0" equalAverage="0" bottom="0" percent="0" rank="0" text="" dxfId="0">
      <formula>0</formula>
    </cfRule>
  </conditionalFormatting>
  <conditionalFormatting sqref="G58">
    <cfRule type="cellIs" priority="160" operator="greaterThan" aboveAverage="0" equalAverage="0" bottom="0" percent="0" rank="0" text="" dxfId="10">
      <formula>e{r}</formula>
    </cfRule>
  </conditionalFormatting>
  <conditionalFormatting sqref="H59">
    <cfRule type="cellIs" priority="161" operator="greaterThan" aboveAverage="0" equalAverage="0" bottom="0" percent="0" rank="0" text="" dxfId="1">
      <formula>0</formula>
    </cfRule>
    <cfRule type="cellIs" priority="162" operator="lessThanOrEqual" aboveAverage="0" equalAverage="0" bottom="0" percent="0" rank="0" text="" dxfId="0">
      <formula>0</formula>
    </cfRule>
  </conditionalFormatting>
  <conditionalFormatting sqref="G59">
    <cfRule type="cellIs" priority="163" operator="greaterThan" aboveAverage="0" equalAverage="0" bottom="0" percent="0" rank="0" text="" dxfId="10">
      <formula>e{r}</formula>
    </cfRule>
  </conditionalFormatting>
  <conditionalFormatting sqref="H60">
    <cfRule type="cellIs" priority="164" operator="greaterThan" aboveAverage="0" equalAverage="0" bottom="0" percent="0" rank="0" text="" dxfId="1">
      <formula>0</formula>
    </cfRule>
    <cfRule type="cellIs" priority="165" operator="lessThanOrEqual" aboveAverage="0" equalAverage="0" bottom="0" percent="0" rank="0" text="" dxfId="0">
      <formula>0</formula>
    </cfRule>
  </conditionalFormatting>
  <conditionalFormatting sqref="G60">
    <cfRule type="cellIs" priority="166" operator="greaterThan" aboveAverage="0" equalAverage="0" bottom="0" percent="0" rank="0" text="" dxfId="10">
      <formula>e{r}</formula>
    </cfRule>
  </conditionalFormatting>
  <conditionalFormatting sqref="H61">
    <cfRule type="cellIs" priority="167" operator="greaterThan" aboveAverage="0" equalAverage="0" bottom="0" percent="0" rank="0" text="" dxfId="1">
      <formula>0</formula>
    </cfRule>
    <cfRule type="cellIs" priority="168" operator="lessThanOrEqual" aboveAverage="0" equalAverage="0" bottom="0" percent="0" rank="0" text="" dxfId="0">
      <formula>0</formula>
    </cfRule>
  </conditionalFormatting>
  <conditionalFormatting sqref="G61">
    <cfRule type="cellIs" priority="169" operator="greaterThan" aboveAverage="0" equalAverage="0" bottom="0" percent="0" rank="0" text="" dxfId="10">
      <formula>e{r}</formula>
    </cfRule>
  </conditionalFormatting>
  <conditionalFormatting sqref="H62">
    <cfRule type="cellIs" priority="170" operator="greaterThan" aboveAverage="0" equalAverage="0" bottom="0" percent="0" rank="0" text="" dxfId="1">
      <formula>0</formula>
    </cfRule>
    <cfRule type="cellIs" priority="171" operator="lessThanOrEqual" aboveAverage="0" equalAverage="0" bottom="0" percent="0" rank="0" text="" dxfId="0">
      <formula>0</formula>
    </cfRule>
  </conditionalFormatting>
  <conditionalFormatting sqref="G62">
    <cfRule type="cellIs" priority="172" operator="greaterThan" aboveAverage="0" equalAverage="0" bottom="0" percent="0" rank="0" text="" dxfId="10">
      <formula>e{r}</formula>
    </cfRule>
  </conditionalFormatting>
  <conditionalFormatting sqref="H63">
    <cfRule type="cellIs" priority="173" operator="greaterThan" aboveAverage="0" equalAverage="0" bottom="0" percent="0" rank="0" text="" dxfId="1">
      <formula>0</formula>
    </cfRule>
    <cfRule type="cellIs" priority="174" operator="lessThanOrEqual" aboveAverage="0" equalAverage="0" bottom="0" percent="0" rank="0" text="" dxfId="0">
      <formula>0</formula>
    </cfRule>
  </conditionalFormatting>
  <conditionalFormatting sqref="G63">
    <cfRule type="cellIs" priority="175" operator="greaterThan" aboveAverage="0" equalAverage="0" bottom="0" percent="0" rank="0" text="" dxfId="10">
      <formula>e{r}</formula>
    </cfRule>
  </conditionalFormatting>
  <conditionalFormatting sqref="H64">
    <cfRule type="cellIs" priority="176" operator="greaterThan" aboveAverage="0" equalAverage="0" bottom="0" percent="0" rank="0" text="" dxfId="1">
      <formula>0</formula>
    </cfRule>
    <cfRule type="cellIs" priority="177" operator="lessThanOrEqual" aboveAverage="0" equalAverage="0" bottom="0" percent="0" rank="0" text="" dxfId="0">
      <formula>0</formula>
    </cfRule>
  </conditionalFormatting>
  <conditionalFormatting sqref="G64">
    <cfRule type="cellIs" priority="178" operator="greaterThan" aboveAverage="0" equalAverage="0" bottom="0" percent="0" rank="0" text="" dxfId="10">
      <formula>e{r}</formula>
    </cfRule>
  </conditionalFormatting>
  <conditionalFormatting sqref="H65">
    <cfRule type="cellIs" priority="179" operator="greaterThan" aboveAverage="0" equalAverage="0" bottom="0" percent="0" rank="0" text="" dxfId="1">
      <formula>0</formula>
    </cfRule>
    <cfRule type="cellIs" priority="180" operator="lessThanOrEqual" aboveAverage="0" equalAverage="0" bottom="0" percent="0" rank="0" text="" dxfId="0">
      <formula>0</formula>
    </cfRule>
  </conditionalFormatting>
  <conditionalFormatting sqref="G65">
    <cfRule type="cellIs" priority="181" operator="greaterThan" aboveAverage="0" equalAverage="0" bottom="0" percent="0" rank="0" text="" dxfId="10">
      <formula>e{r}</formula>
    </cfRule>
  </conditionalFormatting>
  <conditionalFormatting sqref="H66">
    <cfRule type="cellIs" priority="182" operator="greaterThan" aboveAverage="0" equalAverage="0" bottom="0" percent="0" rank="0" text="" dxfId="1">
      <formula>0</formula>
    </cfRule>
    <cfRule type="cellIs" priority="183" operator="lessThanOrEqual" aboveAverage="0" equalAverage="0" bottom="0" percent="0" rank="0" text="" dxfId="0">
      <formula>0</formula>
    </cfRule>
  </conditionalFormatting>
  <conditionalFormatting sqref="G66">
    <cfRule type="cellIs" priority="184" operator="greaterThan" aboveAverage="0" equalAverage="0" bottom="0" percent="0" rank="0" text="" dxfId="10">
      <formula>e{r}</formula>
    </cfRule>
  </conditionalFormatting>
  <conditionalFormatting sqref="H67">
    <cfRule type="cellIs" priority="185" operator="greaterThan" aboveAverage="0" equalAverage="0" bottom="0" percent="0" rank="0" text="" dxfId="1">
      <formula>0</formula>
    </cfRule>
    <cfRule type="cellIs" priority="186" operator="lessThanOrEqual" aboveAverage="0" equalAverage="0" bottom="0" percent="0" rank="0" text="" dxfId="0">
      <formula>0</formula>
    </cfRule>
  </conditionalFormatting>
  <conditionalFormatting sqref="G67">
    <cfRule type="cellIs" priority="187" operator="greaterThan" aboveAverage="0" equalAverage="0" bottom="0" percent="0" rank="0" text="" dxfId="10">
      <formula>e{r}</formula>
    </cfRule>
  </conditionalFormatting>
  <conditionalFormatting sqref="H68">
    <cfRule type="cellIs" priority="188" operator="greaterThan" aboveAverage="0" equalAverage="0" bottom="0" percent="0" rank="0" text="" dxfId="1">
      <formula>0</formula>
    </cfRule>
    <cfRule type="cellIs" priority="189" operator="lessThanOrEqual" aboveAverage="0" equalAverage="0" bottom="0" percent="0" rank="0" text="" dxfId="0">
      <formula>0</formula>
    </cfRule>
  </conditionalFormatting>
  <conditionalFormatting sqref="G68">
    <cfRule type="cellIs" priority="190" operator="greaterThan" aboveAverage="0" equalAverage="0" bottom="0" percent="0" rank="0" text="" dxfId="10">
      <formula>e{r}</formula>
    </cfRule>
  </conditionalFormatting>
  <conditionalFormatting sqref="H69">
    <cfRule type="cellIs" priority="191" operator="greaterThan" aboveAverage="0" equalAverage="0" bottom="0" percent="0" rank="0" text="" dxfId="1">
      <formula>0</formula>
    </cfRule>
    <cfRule type="cellIs" priority="192" operator="lessThanOrEqual" aboveAverage="0" equalAverage="0" bottom="0" percent="0" rank="0" text="" dxfId="0">
      <formula>0</formula>
    </cfRule>
  </conditionalFormatting>
  <conditionalFormatting sqref="G69">
    <cfRule type="cellIs" priority="193" operator="greaterThan" aboveAverage="0" equalAverage="0" bottom="0" percent="0" rank="0" text="" dxfId="10">
      <formula>e{r}</formula>
    </cfRule>
  </conditionalFormatting>
  <conditionalFormatting sqref="H70">
    <cfRule type="cellIs" priority="194" operator="greaterThan" aboveAverage="0" equalAverage="0" bottom="0" percent="0" rank="0" text="" dxfId="1">
      <formula>0</formula>
    </cfRule>
    <cfRule type="cellIs" priority="195" operator="lessThanOrEqual" aboveAverage="0" equalAverage="0" bottom="0" percent="0" rank="0" text="" dxfId="0">
      <formula>0</formula>
    </cfRule>
  </conditionalFormatting>
  <conditionalFormatting sqref="G70">
    <cfRule type="cellIs" priority="196" operator="greaterThan" aboveAverage="0" equalAverage="0" bottom="0" percent="0" rank="0" text="" dxfId="10">
      <formula>e{r}</formula>
    </cfRule>
  </conditionalFormatting>
  <conditionalFormatting sqref="H71">
    <cfRule type="cellIs" priority="197" operator="greaterThan" aboveAverage="0" equalAverage="0" bottom="0" percent="0" rank="0" text="" dxfId="1">
      <formula>0</formula>
    </cfRule>
    <cfRule type="cellIs" priority="198" operator="lessThanOrEqual" aboveAverage="0" equalAverage="0" bottom="0" percent="0" rank="0" text="" dxfId="0">
      <formula>0</formula>
    </cfRule>
  </conditionalFormatting>
  <conditionalFormatting sqref="G71">
    <cfRule type="cellIs" priority="199" operator="greaterThan" aboveAverage="0" equalAverage="0" bottom="0" percent="0" rank="0" text="" dxfId="10">
      <formula>e{r}</formula>
    </cfRule>
  </conditionalFormatting>
  <conditionalFormatting sqref="H72">
    <cfRule type="cellIs" priority="200" operator="greaterThan" aboveAverage="0" equalAverage="0" bottom="0" percent="0" rank="0" text="" dxfId="1">
      <formula>0</formula>
    </cfRule>
    <cfRule type="cellIs" priority="201" operator="lessThanOrEqual" aboveAverage="0" equalAverage="0" bottom="0" percent="0" rank="0" text="" dxfId="0">
      <formula>0</formula>
    </cfRule>
  </conditionalFormatting>
  <conditionalFormatting sqref="G72">
    <cfRule type="cellIs" priority="202" operator="greaterThan" aboveAverage="0" equalAverage="0" bottom="0" percent="0" rank="0" text="" dxfId="10">
      <formula>e{r}</formula>
    </cfRule>
  </conditionalFormatting>
  <conditionalFormatting sqref="H73">
    <cfRule type="cellIs" priority="203" operator="greaterThan" aboveAverage="0" equalAverage="0" bottom="0" percent="0" rank="0" text="" dxfId="1">
      <formula>0</formula>
    </cfRule>
    <cfRule type="cellIs" priority="204" operator="lessThanOrEqual" aboveAverage="0" equalAverage="0" bottom="0" percent="0" rank="0" text="" dxfId="0">
      <formula>0</formula>
    </cfRule>
  </conditionalFormatting>
  <conditionalFormatting sqref="G73">
    <cfRule type="cellIs" priority="205" operator="greaterThan" aboveAverage="0" equalAverage="0" bottom="0" percent="0" rank="0" text="" dxfId="10">
      <formula>e{r}</formula>
    </cfRule>
  </conditionalFormatting>
  <conditionalFormatting sqref="H74">
    <cfRule type="cellIs" priority="206" operator="greaterThan" aboveAverage="0" equalAverage="0" bottom="0" percent="0" rank="0" text="" dxfId="1">
      <formula>0</formula>
    </cfRule>
    <cfRule type="cellIs" priority="207" operator="lessThanOrEqual" aboveAverage="0" equalAverage="0" bottom="0" percent="0" rank="0" text="" dxfId="0">
      <formula>0</formula>
    </cfRule>
  </conditionalFormatting>
  <conditionalFormatting sqref="G74">
    <cfRule type="cellIs" priority="208" operator="greaterThan" aboveAverage="0" equalAverage="0" bottom="0" percent="0" rank="0" text="" dxfId="10">
      <formula>e{r}</formula>
    </cfRule>
  </conditionalFormatting>
  <conditionalFormatting sqref="H75">
    <cfRule type="cellIs" priority="209" operator="greaterThan" aboveAverage="0" equalAverage="0" bottom="0" percent="0" rank="0" text="" dxfId="1">
      <formula>0</formula>
    </cfRule>
    <cfRule type="cellIs" priority="210" operator="lessThanOrEqual" aboveAverage="0" equalAverage="0" bottom="0" percent="0" rank="0" text="" dxfId="0">
      <formula>0</formula>
    </cfRule>
  </conditionalFormatting>
  <conditionalFormatting sqref="G75">
    <cfRule type="cellIs" priority="211" operator="greaterThan" aboveAverage="0" equalAverage="0" bottom="0" percent="0" rank="0" text="" dxfId="10">
      <formula>e{r}</formula>
    </cfRule>
  </conditionalFormatting>
  <conditionalFormatting sqref="H76">
    <cfRule type="cellIs" priority="212" operator="greaterThan" aboveAverage="0" equalAverage="0" bottom="0" percent="0" rank="0" text="" dxfId="1">
      <formula>0</formula>
    </cfRule>
    <cfRule type="cellIs" priority="213" operator="lessThanOrEqual" aboveAverage="0" equalAverage="0" bottom="0" percent="0" rank="0" text="" dxfId="0">
      <formula>0</formula>
    </cfRule>
  </conditionalFormatting>
  <conditionalFormatting sqref="G76">
    <cfRule type="cellIs" priority="214" operator="greaterThan" aboveAverage="0" equalAverage="0" bottom="0" percent="0" rank="0" text="" dxfId="10">
      <formula>e{r}</formula>
    </cfRule>
  </conditionalFormatting>
  <conditionalFormatting sqref="H77">
    <cfRule type="cellIs" priority="215" operator="greaterThan" aboveAverage="0" equalAverage="0" bottom="0" percent="0" rank="0" text="" dxfId="1">
      <formula>0</formula>
    </cfRule>
    <cfRule type="cellIs" priority="216" operator="lessThanOrEqual" aboveAverage="0" equalAverage="0" bottom="0" percent="0" rank="0" text="" dxfId="0">
      <formula>0</formula>
    </cfRule>
  </conditionalFormatting>
  <conditionalFormatting sqref="G77">
    <cfRule type="cellIs" priority="217" operator="greaterThan" aboveAverage="0" equalAverage="0" bottom="0" percent="0" rank="0" text="" dxfId="10">
      <formula>e{r}</formula>
    </cfRule>
  </conditionalFormatting>
  <conditionalFormatting sqref="H78">
    <cfRule type="cellIs" priority="218" operator="greaterThan" aboveAverage="0" equalAverage="0" bottom="0" percent="0" rank="0" text="" dxfId="1">
      <formula>0</formula>
    </cfRule>
    <cfRule type="cellIs" priority="219" operator="lessThanOrEqual" aboveAverage="0" equalAverage="0" bottom="0" percent="0" rank="0" text="" dxfId="0">
      <formula>0</formula>
    </cfRule>
  </conditionalFormatting>
  <conditionalFormatting sqref="G78">
    <cfRule type="cellIs" priority="220" operator="greaterThan" aboveAverage="0" equalAverage="0" bottom="0" percent="0" rank="0" text="" dxfId="10">
      <formula>e{r}</formula>
    </cfRule>
  </conditionalFormatting>
  <conditionalFormatting sqref="H79">
    <cfRule type="cellIs" priority="221" operator="greaterThan" aboveAverage="0" equalAverage="0" bottom="0" percent="0" rank="0" text="" dxfId="1">
      <formula>0</formula>
    </cfRule>
    <cfRule type="cellIs" priority="222" operator="lessThanOrEqual" aboveAverage="0" equalAverage="0" bottom="0" percent="0" rank="0" text="" dxfId="0">
      <formula>0</formula>
    </cfRule>
  </conditionalFormatting>
  <conditionalFormatting sqref="G79">
    <cfRule type="cellIs" priority="223" operator="greaterThan" aboveAverage="0" equalAverage="0" bottom="0" percent="0" rank="0" text="" dxfId="10">
      <formula>e{r}</formula>
    </cfRule>
  </conditionalFormatting>
  <conditionalFormatting sqref="H80">
    <cfRule type="cellIs" priority="224" operator="greaterThan" aboveAverage="0" equalAverage="0" bottom="0" percent="0" rank="0" text="" dxfId="1">
      <formula>0</formula>
    </cfRule>
    <cfRule type="cellIs" priority="225" operator="lessThanOrEqual" aboveAverage="0" equalAverage="0" bottom="0" percent="0" rank="0" text="" dxfId="0">
      <formula>0</formula>
    </cfRule>
  </conditionalFormatting>
  <conditionalFormatting sqref="G80">
    <cfRule type="cellIs" priority="226" operator="greaterThan" aboveAverage="0" equalAverage="0" bottom="0" percent="0" rank="0" text="" dxfId="10">
      <formula>e{r}</formula>
    </cfRule>
  </conditionalFormatting>
  <conditionalFormatting sqref="H81">
    <cfRule type="cellIs" priority="227" operator="greaterThan" aboveAverage="0" equalAverage="0" bottom="0" percent="0" rank="0" text="" dxfId="1">
      <formula>0</formula>
    </cfRule>
    <cfRule type="cellIs" priority="228" operator="lessThanOrEqual" aboveAverage="0" equalAverage="0" bottom="0" percent="0" rank="0" text="" dxfId="0">
      <formula>0</formula>
    </cfRule>
  </conditionalFormatting>
  <conditionalFormatting sqref="G81">
    <cfRule type="cellIs" priority="229" operator="greaterThan" aboveAverage="0" equalAverage="0" bottom="0" percent="0" rank="0" text="" dxfId="10">
      <formula>e{r}</formula>
    </cfRule>
  </conditionalFormatting>
  <conditionalFormatting sqref="H82">
    <cfRule type="cellIs" priority="230" operator="greaterThan" aboveAverage="0" equalAverage="0" bottom="0" percent="0" rank="0" text="" dxfId="1">
      <formula>0</formula>
    </cfRule>
    <cfRule type="cellIs" priority="231" operator="lessThanOrEqual" aboveAverage="0" equalAverage="0" bottom="0" percent="0" rank="0" text="" dxfId="0">
      <formula>0</formula>
    </cfRule>
  </conditionalFormatting>
  <conditionalFormatting sqref="G82">
    <cfRule type="cellIs" priority="232" operator="greaterThan" aboveAverage="0" equalAverage="0" bottom="0" percent="0" rank="0" text="" dxfId="10">
      <formula>e{r}</formula>
    </cfRule>
  </conditionalFormatting>
  <conditionalFormatting sqref="H83">
    <cfRule type="cellIs" priority="233" operator="greaterThan" aboveAverage="0" equalAverage="0" bottom="0" percent="0" rank="0" text="" dxfId="1">
      <formula>0</formula>
    </cfRule>
    <cfRule type="cellIs" priority="234" operator="lessThanOrEqual" aboveAverage="0" equalAverage="0" bottom="0" percent="0" rank="0" text="" dxfId="0">
      <formula>0</formula>
    </cfRule>
  </conditionalFormatting>
  <conditionalFormatting sqref="G83">
    <cfRule type="cellIs" priority="235" operator="greaterThan" aboveAverage="0" equalAverage="0" bottom="0" percent="0" rank="0" text="" dxfId="10">
      <formula>e{r}</formula>
    </cfRule>
  </conditionalFormatting>
  <conditionalFormatting sqref="H84">
    <cfRule type="cellIs" priority="236" operator="greaterThan" aboveAverage="0" equalAverage="0" bottom="0" percent="0" rank="0" text="" dxfId="1">
      <formula>0</formula>
    </cfRule>
    <cfRule type="cellIs" priority="237" operator="lessThanOrEqual" aboveAverage="0" equalAverage="0" bottom="0" percent="0" rank="0" text="" dxfId="0">
      <formula>0</formula>
    </cfRule>
  </conditionalFormatting>
  <conditionalFormatting sqref="G84">
    <cfRule type="cellIs" priority="238" operator="greaterThan" aboveAverage="0" equalAverage="0" bottom="0" percent="0" rank="0" text="" dxfId="10">
      <formula>e{r}</formula>
    </cfRule>
  </conditionalFormatting>
  <conditionalFormatting sqref="H85">
    <cfRule type="cellIs" priority="239" operator="greaterThan" aboveAverage="0" equalAverage="0" bottom="0" percent="0" rank="0" text="" dxfId="1">
      <formula>0</formula>
    </cfRule>
    <cfRule type="cellIs" priority="240" operator="lessThanOrEqual" aboveAverage="0" equalAverage="0" bottom="0" percent="0" rank="0" text="" dxfId="0">
      <formula>0</formula>
    </cfRule>
  </conditionalFormatting>
  <conditionalFormatting sqref="G85">
    <cfRule type="cellIs" priority="241" operator="greaterThan" aboveAverage="0" equalAverage="0" bottom="0" percent="0" rank="0" text="" dxfId="10">
      <formula>e{r}</formula>
    </cfRule>
  </conditionalFormatting>
  <conditionalFormatting sqref="H86">
    <cfRule type="cellIs" priority="242" operator="greaterThan" aboveAverage="0" equalAverage="0" bottom="0" percent="0" rank="0" text="" dxfId="1">
      <formula>0</formula>
    </cfRule>
    <cfRule type="cellIs" priority="243" operator="lessThanOrEqual" aboveAverage="0" equalAverage="0" bottom="0" percent="0" rank="0" text="" dxfId="0">
      <formula>0</formula>
    </cfRule>
  </conditionalFormatting>
  <conditionalFormatting sqref="G86">
    <cfRule type="cellIs" priority="244" operator="greaterThan" aboveAverage="0" equalAverage="0" bottom="0" percent="0" rank="0" text="" dxfId="10">
      <formula>e{r}</formula>
    </cfRule>
  </conditionalFormatting>
  <conditionalFormatting sqref="H87">
    <cfRule type="cellIs" priority="245" operator="greaterThan" aboveAverage="0" equalAverage="0" bottom="0" percent="0" rank="0" text="" dxfId="1">
      <formula>0</formula>
    </cfRule>
    <cfRule type="cellIs" priority="246" operator="lessThanOrEqual" aboveAverage="0" equalAverage="0" bottom="0" percent="0" rank="0" text="" dxfId="0">
      <formula>0</formula>
    </cfRule>
  </conditionalFormatting>
  <conditionalFormatting sqref="G87">
    <cfRule type="cellIs" priority="247" operator="greaterThan" aboveAverage="0" equalAverage="0" bottom="0" percent="0" rank="0" text="" dxfId="10">
      <formula>e{r}</formula>
    </cfRule>
  </conditionalFormatting>
  <conditionalFormatting sqref="H88">
    <cfRule type="cellIs" priority="248" operator="greaterThan" aboveAverage="0" equalAverage="0" bottom="0" percent="0" rank="0" text="" dxfId="1">
      <formula>0</formula>
    </cfRule>
    <cfRule type="cellIs" priority="249" operator="lessThanOrEqual" aboveAverage="0" equalAverage="0" bottom="0" percent="0" rank="0" text="" dxfId="0">
      <formula>0</formula>
    </cfRule>
  </conditionalFormatting>
  <conditionalFormatting sqref="G88">
    <cfRule type="cellIs" priority="250" operator="greaterThan" aboveAverage="0" equalAverage="0" bottom="0" percent="0" rank="0" text="" dxfId="10">
      <formula>e{r}</formula>
    </cfRule>
  </conditionalFormatting>
  <conditionalFormatting sqref="H89">
    <cfRule type="cellIs" priority="251" operator="greaterThan" aboveAverage="0" equalAverage="0" bottom="0" percent="0" rank="0" text="" dxfId="1">
      <formula>0</formula>
    </cfRule>
    <cfRule type="cellIs" priority="252" operator="lessThanOrEqual" aboveAverage="0" equalAverage="0" bottom="0" percent="0" rank="0" text="" dxfId="0">
      <formula>0</formula>
    </cfRule>
  </conditionalFormatting>
  <conditionalFormatting sqref="G89">
    <cfRule type="cellIs" priority="253" operator="greaterThan" aboveAverage="0" equalAverage="0" bottom="0" percent="0" rank="0" text="" dxfId="10">
      <formula>e{r}</formula>
    </cfRule>
  </conditionalFormatting>
  <conditionalFormatting sqref="H90">
    <cfRule type="cellIs" priority="254" operator="greaterThan" aboveAverage="0" equalAverage="0" bottom="0" percent="0" rank="0" text="" dxfId="1">
      <formula>0</formula>
    </cfRule>
    <cfRule type="cellIs" priority="255" operator="lessThanOrEqual" aboveAverage="0" equalAverage="0" bottom="0" percent="0" rank="0" text="" dxfId="0">
      <formula>0</formula>
    </cfRule>
  </conditionalFormatting>
  <conditionalFormatting sqref="G90">
    <cfRule type="cellIs" priority="256" operator="greaterThan" aboveAverage="0" equalAverage="0" bottom="0" percent="0" rank="0" text="" dxfId="10">
      <formula>e{r}</formula>
    </cfRule>
  </conditionalFormatting>
  <conditionalFormatting sqref="H91">
    <cfRule type="cellIs" priority="257" operator="greaterThan" aboveAverage="0" equalAverage="0" bottom="0" percent="0" rank="0" text="" dxfId="1">
      <formula>0</formula>
    </cfRule>
    <cfRule type="cellIs" priority="258" operator="lessThanOrEqual" aboveAverage="0" equalAverage="0" bottom="0" percent="0" rank="0" text="" dxfId="0">
      <formula>0</formula>
    </cfRule>
  </conditionalFormatting>
  <conditionalFormatting sqref="G91">
    <cfRule type="cellIs" priority="259" operator="greaterThan" aboveAverage="0" equalAverage="0" bottom="0" percent="0" rank="0" text="" dxfId="10">
      <formula>e{r}</formula>
    </cfRule>
  </conditionalFormatting>
  <conditionalFormatting sqref="H92">
    <cfRule type="cellIs" priority="260" operator="greaterThan" aboveAverage="0" equalAverage="0" bottom="0" percent="0" rank="0" text="" dxfId="1">
      <formula>0</formula>
    </cfRule>
    <cfRule type="cellIs" priority="261" operator="lessThanOrEqual" aboveAverage="0" equalAverage="0" bottom="0" percent="0" rank="0" text="" dxfId="0">
      <formula>0</formula>
    </cfRule>
  </conditionalFormatting>
  <conditionalFormatting sqref="G92">
    <cfRule type="cellIs" priority="262" operator="greaterThan" aboveAverage="0" equalAverage="0" bottom="0" percent="0" rank="0" text="" dxfId="10">
      <formula>e{r}</formula>
    </cfRule>
  </conditionalFormatting>
  <conditionalFormatting sqref="H93">
    <cfRule type="cellIs" priority="263" operator="greaterThan" aboveAverage="0" equalAverage="0" bottom="0" percent="0" rank="0" text="" dxfId="1">
      <formula>0</formula>
    </cfRule>
    <cfRule type="cellIs" priority="264" operator="lessThanOrEqual" aboveAverage="0" equalAverage="0" bottom="0" percent="0" rank="0" text="" dxfId="0">
      <formula>0</formula>
    </cfRule>
  </conditionalFormatting>
  <conditionalFormatting sqref="G93">
    <cfRule type="cellIs" priority="265" operator="greaterThan" aboveAverage="0" equalAverage="0" bottom="0" percent="0" rank="0" text="" dxfId="10">
      <formula>e{r}</formula>
    </cfRule>
  </conditionalFormatting>
  <conditionalFormatting sqref="H94">
    <cfRule type="cellIs" priority="266" operator="greaterThan" aboveAverage="0" equalAverage="0" bottom="0" percent="0" rank="0" text="" dxfId="1">
      <formula>0</formula>
    </cfRule>
    <cfRule type="cellIs" priority="267" operator="lessThanOrEqual" aboveAverage="0" equalAverage="0" bottom="0" percent="0" rank="0" text="" dxfId="0">
      <formula>0</formula>
    </cfRule>
  </conditionalFormatting>
  <conditionalFormatting sqref="G94">
    <cfRule type="cellIs" priority="268" operator="greaterThan" aboveAverage="0" equalAverage="0" bottom="0" percent="0" rank="0" text="" dxfId="10">
      <formula>e{r}</formula>
    </cfRule>
  </conditionalFormatting>
  <conditionalFormatting sqref="H95">
    <cfRule type="cellIs" priority="269" operator="greaterThan" aboveAverage="0" equalAverage="0" bottom="0" percent="0" rank="0" text="" dxfId="1">
      <formula>0</formula>
    </cfRule>
    <cfRule type="cellIs" priority="270" operator="lessThanOrEqual" aboveAverage="0" equalAverage="0" bottom="0" percent="0" rank="0" text="" dxfId="0">
      <formula>0</formula>
    </cfRule>
  </conditionalFormatting>
  <conditionalFormatting sqref="G95">
    <cfRule type="cellIs" priority="271" operator="greaterThan" aboveAverage="0" equalAverage="0" bottom="0" percent="0" rank="0" text="" dxfId="10">
      <formula>e{r}</formula>
    </cfRule>
  </conditionalFormatting>
  <conditionalFormatting sqref="H96">
    <cfRule type="cellIs" priority="272" operator="greaterThan" aboveAverage="0" equalAverage="0" bottom="0" percent="0" rank="0" text="" dxfId="1">
      <formula>0</formula>
    </cfRule>
    <cfRule type="cellIs" priority="273" operator="lessThanOrEqual" aboveAverage="0" equalAverage="0" bottom="0" percent="0" rank="0" text="" dxfId="0">
      <formula>0</formula>
    </cfRule>
  </conditionalFormatting>
  <conditionalFormatting sqref="G96">
    <cfRule type="cellIs" priority="274" operator="greaterThan" aboveAverage="0" equalAverage="0" bottom="0" percent="0" rank="0" text="" dxfId="10">
      <formula>e{r}</formula>
    </cfRule>
  </conditionalFormatting>
  <conditionalFormatting sqref="H97">
    <cfRule type="cellIs" priority="275" operator="greaterThan" aboveAverage="0" equalAverage="0" bottom="0" percent="0" rank="0" text="" dxfId="1">
      <formula>0</formula>
    </cfRule>
    <cfRule type="cellIs" priority="276" operator="lessThanOrEqual" aboveAverage="0" equalAverage="0" bottom="0" percent="0" rank="0" text="" dxfId="0">
      <formula>0</formula>
    </cfRule>
  </conditionalFormatting>
  <conditionalFormatting sqref="G97">
    <cfRule type="cellIs" priority="277" operator="greaterThan" aboveAverage="0" equalAverage="0" bottom="0" percent="0" rank="0" text="" dxfId="10">
      <formula>e{r}</formula>
    </cfRule>
  </conditionalFormatting>
  <conditionalFormatting sqref="H98">
    <cfRule type="cellIs" priority="278" operator="greaterThan" aboveAverage="0" equalAverage="0" bottom="0" percent="0" rank="0" text="" dxfId="1">
      <formula>0</formula>
    </cfRule>
    <cfRule type="cellIs" priority="279" operator="lessThanOrEqual" aboveAverage="0" equalAverage="0" bottom="0" percent="0" rank="0" text="" dxfId="0">
      <formula>0</formula>
    </cfRule>
  </conditionalFormatting>
  <conditionalFormatting sqref="G98">
    <cfRule type="cellIs" priority="280" operator="greaterThan" aboveAverage="0" equalAverage="0" bottom="0" percent="0" rank="0" text="" dxfId="10">
      <formula>e{r}</formula>
    </cfRule>
  </conditionalFormatting>
  <conditionalFormatting sqref="H99">
    <cfRule type="cellIs" priority="281" operator="greaterThan" aboveAverage="0" equalAverage="0" bottom="0" percent="0" rank="0" text="" dxfId="1">
      <formula>0</formula>
    </cfRule>
    <cfRule type="cellIs" priority="282" operator="lessThanOrEqual" aboveAverage="0" equalAverage="0" bottom="0" percent="0" rank="0" text="" dxfId="0">
      <formula>0</formula>
    </cfRule>
  </conditionalFormatting>
  <conditionalFormatting sqref="G99">
    <cfRule type="cellIs" priority="283" operator="greaterThan" aboveAverage="0" equalAverage="0" bottom="0" percent="0" rank="0" text="" dxfId="10">
      <formula>e{r}</formula>
    </cfRule>
  </conditionalFormatting>
  <conditionalFormatting sqref="H100">
    <cfRule type="cellIs" priority="284" operator="greaterThan" aboveAverage="0" equalAverage="0" bottom="0" percent="0" rank="0" text="" dxfId="1">
      <formula>0</formula>
    </cfRule>
    <cfRule type="cellIs" priority="285" operator="lessThanOrEqual" aboveAverage="0" equalAverage="0" bottom="0" percent="0" rank="0" text="" dxfId="0">
      <formula>0</formula>
    </cfRule>
  </conditionalFormatting>
  <conditionalFormatting sqref="G100">
    <cfRule type="cellIs" priority="286" operator="greaterThan" aboveAverage="0" equalAverage="0" bottom="0" percent="0" rank="0" text="" dxfId="10">
      <formula>e{r}</formula>
    </cfRule>
  </conditionalFormatting>
  <conditionalFormatting sqref="H101">
    <cfRule type="cellIs" priority="287" operator="greaterThan" aboveAverage="0" equalAverage="0" bottom="0" percent="0" rank="0" text="" dxfId="1">
      <formula>0</formula>
    </cfRule>
    <cfRule type="cellIs" priority="288" operator="lessThanOrEqual" aboveAverage="0" equalAverage="0" bottom="0" percent="0" rank="0" text="" dxfId="0">
      <formula>0</formula>
    </cfRule>
  </conditionalFormatting>
  <conditionalFormatting sqref="G101">
    <cfRule type="cellIs" priority="289" operator="greaterThan" aboveAverage="0" equalAverage="0" bottom="0" percent="0" rank="0" text="" dxfId="10">
      <formula>e{r}</formula>
    </cfRule>
  </conditionalFormatting>
  <conditionalFormatting sqref="H102">
    <cfRule type="cellIs" priority="290" operator="greaterThan" aboveAverage="0" equalAverage="0" bottom="0" percent="0" rank="0" text="" dxfId="1">
      <formula>0</formula>
    </cfRule>
    <cfRule type="cellIs" priority="291" operator="lessThanOrEqual" aboveAverage="0" equalAverage="0" bottom="0" percent="0" rank="0" text="" dxfId="0">
      <formula>0</formula>
    </cfRule>
  </conditionalFormatting>
  <conditionalFormatting sqref="G102">
    <cfRule type="cellIs" priority="292" operator="greaterThan" aboveAverage="0" equalAverage="0" bottom="0" percent="0" rank="0" text="" dxfId="10">
      <formula>e{r}</formula>
    </cfRule>
  </conditionalFormatting>
  <conditionalFormatting sqref="H103">
    <cfRule type="cellIs" priority="293" operator="greaterThan" aboveAverage="0" equalAverage="0" bottom="0" percent="0" rank="0" text="" dxfId="1">
      <formula>0</formula>
    </cfRule>
    <cfRule type="cellIs" priority="294" operator="lessThanOrEqual" aboveAverage="0" equalAverage="0" bottom="0" percent="0" rank="0" text="" dxfId="0">
      <formula>0</formula>
    </cfRule>
  </conditionalFormatting>
  <conditionalFormatting sqref="G103">
    <cfRule type="cellIs" priority="295" operator="greaterThan" aboveAverage="0" equalAverage="0" bottom="0" percent="0" rank="0" text="" dxfId="10">
      <formula>e{r}</formula>
    </cfRule>
  </conditionalFormatting>
  <conditionalFormatting sqref="H104">
    <cfRule type="cellIs" priority="296" operator="greaterThan" aboveAverage="0" equalAverage="0" bottom="0" percent="0" rank="0" text="" dxfId="1">
      <formula>0</formula>
    </cfRule>
    <cfRule type="cellIs" priority="297" operator="lessThanOrEqual" aboveAverage="0" equalAverage="0" bottom="0" percent="0" rank="0" text="" dxfId="0">
      <formula>0</formula>
    </cfRule>
  </conditionalFormatting>
  <conditionalFormatting sqref="G104">
    <cfRule type="cellIs" priority="298" operator="greaterThan" aboveAverage="0" equalAverage="0" bottom="0" percent="0" rank="0" text="" dxfId="10">
      <formula>e{r}</formula>
    </cfRule>
  </conditionalFormatting>
  <conditionalFormatting sqref="H105">
    <cfRule type="cellIs" priority="299" operator="greaterThan" aboveAverage="0" equalAverage="0" bottom="0" percent="0" rank="0" text="" dxfId="1">
      <formula>0</formula>
    </cfRule>
    <cfRule type="cellIs" priority="300" operator="lessThanOrEqual" aboveAverage="0" equalAverage="0" bottom="0" percent="0" rank="0" text="" dxfId="0">
      <formula>0</formula>
    </cfRule>
  </conditionalFormatting>
  <conditionalFormatting sqref="G105">
    <cfRule type="cellIs" priority="301" operator="greaterThan" aboveAverage="0" equalAverage="0" bottom="0" percent="0" rank="0" text="" dxfId="10">
      <formula>e{r}</formula>
    </cfRule>
  </conditionalFormatting>
  <conditionalFormatting sqref="H106">
    <cfRule type="cellIs" priority="302" operator="greaterThan" aboveAverage="0" equalAverage="0" bottom="0" percent="0" rank="0" text="" dxfId="1">
      <formula>0</formula>
    </cfRule>
    <cfRule type="cellIs" priority="303" operator="lessThanOrEqual" aboveAverage="0" equalAverage="0" bottom="0" percent="0" rank="0" text="" dxfId="0">
      <formula>0</formula>
    </cfRule>
  </conditionalFormatting>
  <conditionalFormatting sqref="G106">
    <cfRule type="cellIs" priority="304" operator="greaterThan" aboveAverage="0" equalAverage="0" bottom="0" percent="0" rank="0" text="" dxfId="10">
      <formula>e{r}</formula>
    </cfRule>
  </conditionalFormatting>
  <conditionalFormatting sqref="H107">
    <cfRule type="cellIs" priority="305" operator="greaterThan" aboveAverage="0" equalAverage="0" bottom="0" percent="0" rank="0" text="" dxfId="1">
      <formula>0</formula>
    </cfRule>
    <cfRule type="cellIs" priority="306" operator="lessThanOrEqual" aboveAverage="0" equalAverage="0" bottom="0" percent="0" rank="0" text="" dxfId="0">
      <formula>0</formula>
    </cfRule>
  </conditionalFormatting>
  <conditionalFormatting sqref="G107">
    <cfRule type="cellIs" priority="307" operator="greaterThan" aboveAverage="0" equalAverage="0" bottom="0" percent="0" rank="0" text="" dxfId="10">
      <formula>e{r}</formula>
    </cfRule>
  </conditionalFormatting>
  <conditionalFormatting sqref="H108">
    <cfRule type="cellIs" priority="308" operator="greaterThan" aboveAverage="0" equalAverage="0" bottom="0" percent="0" rank="0" text="" dxfId="1">
      <formula>0</formula>
    </cfRule>
    <cfRule type="cellIs" priority="309" operator="lessThanOrEqual" aboveAverage="0" equalAverage="0" bottom="0" percent="0" rank="0" text="" dxfId="0">
      <formula>0</formula>
    </cfRule>
  </conditionalFormatting>
  <conditionalFormatting sqref="G108">
    <cfRule type="cellIs" priority="310" operator="greaterThan" aboveAverage="0" equalAverage="0" bottom="0" percent="0" rank="0" text="" dxfId="10">
      <formula>e{r}</formula>
    </cfRule>
  </conditionalFormatting>
  <conditionalFormatting sqref="H109">
    <cfRule type="cellIs" priority="311" operator="greaterThan" aboveAverage="0" equalAverage="0" bottom="0" percent="0" rank="0" text="" dxfId="1">
      <formula>0</formula>
    </cfRule>
    <cfRule type="cellIs" priority="312" operator="lessThanOrEqual" aboveAverage="0" equalAverage="0" bottom="0" percent="0" rank="0" text="" dxfId="0">
      <formula>0</formula>
    </cfRule>
  </conditionalFormatting>
  <conditionalFormatting sqref="G109">
    <cfRule type="cellIs" priority="313" operator="greaterThan" aboveAverage="0" equalAverage="0" bottom="0" percent="0" rank="0" text="" dxfId="10">
      <formula>e{r}</formula>
    </cfRule>
  </conditionalFormatting>
  <conditionalFormatting sqref="H110">
    <cfRule type="cellIs" priority="314" operator="greaterThan" aboveAverage="0" equalAverage="0" bottom="0" percent="0" rank="0" text="" dxfId="1">
      <formula>0</formula>
    </cfRule>
    <cfRule type="cellIs" priority="315" operator="lessThanOrEqual" aboveAverage="0" equalAverage="0" bottom="0" percent="0" rank="0" text="" dxfId="0">
      <formula>0</formula>
    </cfRule>
  </conditionalFormatting>
  <conditionalFormatting sqref="G110">
    <cfRule type="cellIs" priority="316" operator="greaterThan" aboveAverage="0" equalAverage="0" bottom="0" percent="0" rank="0" text="" dxfId="10">
      <formula>e{r}</formula>
    </cfRule>
  </conditionalFormatting>
  <conditionalFormatting sqref="H111">
    <cfRule type="cellIs" priority="317" operator="greaterThan" aboveAverage="0" equalAverage="0" bottom="0" percent="0" rank="0" text="" dxfId="1">
      <formula>0</formula>
    </cfRule>
    <cfRule type="cellIs" priority="318" operator="lessThanOrEqual" aboveAverage="0" equalAverage="0" bottom="0" percent="0" rank="0" text="" dxfId="0">
      <formula>0</formula>
    </cfRule>
  </conditionalFormatting>
  <conditionalFormatting sqref="G111">
    <cfRule type="cellIs" priority="319" operator="greaterThan" aboveAverage="0" equalAverage="0" bottom="0" percent="0" rank="0" text="" dxfId="10">
      <formula>e{r}</formula>
    </cfRule>
  </conditionalFormatting>
  <conditionalFormatting sqref="H112">
    <cfRule type="cellIs" priority="320" operator="greaterThan" aboveAverage="0" equalAverage="0" bottom="0" percent="0" rank="0" text="" dxfId="1">
      <formula>0</formula>
    </cfRule>
    <cfRule type="cellIs" priority="321" operator="lessThanOrEqual" aboveAverage="0" equalAverage="0" bottom="0" percent="0" rank="0" text="" dxfId="0">
      <formula>0</formula>
    </cfRule>
  </conditionalFormatting>
  <conditionalFormatting sqref="G112">
    <cfRule type="cellIs" priority="322" operator="greaterThan" aboveAverage="0" equalAverage="0" bottom="0" percent="0" rank="0" text="" dxfId="10">
      <formula>e{r}</formula>
    </cfRule>
  </conditionalFormatting>
  <conditionalFormatting sqref="H113">
    <cfRule type="cellIs" priority="323" operator="greaterThan" aboveAverage="0" equalAverage="0" bottom="0" percent="0" rank="0" text="" dxfId="1">
      <formula>0</formula>
    </cfRule>
    <cfRule type="cellIs" priority="324" operator="lessThanOrEqual" aboveAverage="0" equalAverage="0" bottom="0" percent="0" rank="0" text="" dxfId="0">
      <formula>0</formula>
    </cfRule>
  </conditionalFormatting>
  <conditionalFormatting sqref="G113">
    <cfRule type="cellIs" priority="325" operator="greaterThan" aboveAverage="0" equalAverage="0" bottom="0" percent="0" rank="0" text="" dxfId="10">
      <formula>e{r}</formula>
    </cfRule>
  </conditionalFormatting>
  <conditionalFormatting sqref="H114">
    <cfRule type="cellIs" priority="326" operator="greaterThan" aboveAverage="0" equalAverage="0" bottom="0" percent="0" rank="0" text="" dxfId="1">
      <formula>0</formula>
    </cfRule>
    <cfRule type="cellIs" priority="327" operator="lessThanOrEqual" aboveAverage="0" equalAverage="0" bottom="0" percent="0" rank="0" text="" dxfId="0">
      <formula>0</formula>
    </cfRule>
  </conditionalFormatting>
  <conditionalFormatting sqref="G114">
    <cfRule type="cellIs" priority="328" operator="greaterThan" aboveAverage="0" equalAverage="0" bottom="0" percent="0" rank="0" text="" dxfId="10">
      <formula>e{r}</formula>
    </cfRule>
  </conditionalFormatting>
  <conditionalFormatting sqref="H115">
    <cfRule type="cellIs" priority="329" operator="greaterThan" aboveAverage="0" equalAverage="0" bottom="0" percent="0" rank="0" text="" dxfId="1">
      <formula>0</formula>
    </cfRule>
    <cfRule type="cellIs" priority="330" operator="lessThanOrEqual" aboveAverage="0" equalAverage="0" bottom="0" percent="0" rank="0" text="" dxfId="0">
      <formula>0</formula>
    </cfRule>
  </conditionalFormatting>
  <conditionalFormatting sqref="G115">
    <cfRule type="cellIs" priority="331" operator="greaterThan" aboveAverage="0" equalAverage="0" bottom="0" percent="0" rank="0" text="" dxfId="10">
      <formula>e{r}</formula>
    </cfRule>
  </conditionalFormatting>
  <conditionalFormatting sqref="H116">
    <cfRule type="cellIs" priority="332" operator="greaterThan" aboveAverage="0" equalAverage="0" bottom="0" percent="0" rank="0" text="" dxfId="1">
      <formula>0</formula>
    </cfRule>
    <cfRule type="cellIs" priority="333" operator="lessThanOrEqual" aboveAverage="0" equalAverage="0" bottom="0" percent="0" rank="0" text="" dxfId="0">
      <formula>0</formula>
    </cfRule>
  </conditionalFormatting>
  <conditionalFormatting sqref="G116">
    <cfRule type="cellIs" priority="334" operator="greaterThan" aboveAverage="0" equalAverage="0" bottom="0" percent="0" rank="0" text="" dxfId="10">
      <formula>e{r}</formula>
    </cfRule>
  </conditionalFormatting>
  <conditionalFormatting sqref="H117">
    <cfRule type="cellIs" priority="335" operator="greaterThan" aboveAverage="0" equalAverage="0" bottom="0" percent="0" rank="0" text="" dxfId="1">
      <formula>0</formula>
    </cfRule>
    <cfRule type="cellIs" priority="336" operator="lessThanOrEqual" aboveAverage="0" equalAverage="0" bottom="0" percent="0" rank="0" text="" dxfId="0">
      <formula>0</formula>
    </cfRule>
  </conditionalFormatting>
  <conditionalFormatting sqref="G117">
    <cfRule type="cellIs" priority="337" operator="greaterThan" aboveAverage="0" equalAverage="0" bottom="0" percent="0" rank="0" text="" dxfId="10">
      <formula>e{r}</formula>
    </cfRule>
  </conditionalFormatting>
  <conditionalFormatting sqref="H118">
    <cfRule type="cellIs" priority="338" operator="greaterThan" aboveAverage="0" equalAverage="0" bottom="0" percent="0" rank="0" text="" dxfId="1">
      <formula>0</formula>
    </cfRule>
    <cfRule type="cellIs" priority="339" operator="lessThanOrEqual" aboveAverage="0" equalAverage="0" bottom="0" percent="0" rank="0" text="" dxfId="0">
      <formula>0</formula>
    </cfRule>
  </conditionalFormatting>
  <conditionalFormatting sqref="G118">
    <cfRule type="cellIs" priority="340" operator="greaterThan" aboveAverage="0" equalAverage="0" bottom="0" percent="0" rank="0" text="" dxfId="10">
      <formula>e{r}</formula>
    </cfRule>
  </conditionalFormatting>
  <conditionalFormatting sqref="H119">
    <cfRule type="cellIs" priority="341" operator="greaterThan" aboveAverage="0" equalAverage="0" bottom="0" percent="0" rank="0" text="" dxfId="1">
      <formula>0</formula>
    </cfRule>
    <cfRule type="cellIs" priority="342" operator="lessThanOrEqual" aboveAverage="0" equalAverage="0" bottom="0" percent="0" rank="0" text="" dxfId="0">
      <formula>0</formula>
    </cfRule>
  </conditionalFormatting>
  <conditionalFormatting sqref="G119">
    <cfRule type="cellIs" priority="343" operator="greaterThan" aboveAverage="0" equalAverage="0" bottom="0" percent="0" rank="0" text="" dxfId="10">
      <formula>e{r}</formula>
    </cfRule>
  </conditionalFormatting>
  <conditionalFormatting sqref="H120">
    <cfRule type="cellIs" priority="344" operator="greaterThan" aboveAverage="0" equalAverage="0" bottom="0" percent="0" rank="0" text="" dxfId="1">
      <formula>0</formula>
    </cfRule>
    <cfRule type="cellIs" priority="345" operator="lessThanOrEqual" aboveAverage="0" equalAverage="0" bottom="0" percent="0" rank="0" text="" dxfId="0">
      <formula>0</formula>
    </cfRule>
  </conditionalFormatting>
  <conditionalFormatting sqref="G120">
    <cfRule type="cellIs" priority="346" operator="greaterThan" aboveAverage="0" equalAverage="0" bottom="0" percent="0" rank="0" text="" dxfId="10">
      <formula>e{r}</formula>
    </cfRule>
  </conditionalFormatting>
  <conditionalFormatting sqref="H121">
    <cfRule type="cellIs" priority="347" operator="greaterThan" aboveAverage="0" equalAverage="0" bottom="0" percent="0" rank="0" text="" dxfId="1">
      <formula>0</formula>
    </cfRule>
    <cfRule type="cellIs" priority="348" operator="lessThanOrEqual" aboveAverage="0" equalAverage="0" bottom="0" percent="0" rank="0" text="" dxfId="0">
      <formula>0</formula>
    </cfRule>
  </conditionalFormatting>
  <conditionalFormatting sqref="G121">
    <cfRule type="cellIs" priority="349" operator="greaterThan" aboveAverage="0" equalAverage="0" bottom="0" percent="0" rank="0" text="" dxfId="10">
      <formula>e{r}</formula>
    </cfRule>
  </conditionalFormatting>
  <conditionalFormatting sqref="H122">
    <cfRule type="cellIs" priority="350" operator="greaterThan" aboveAverage="0" equalAverage="0" bottom="0" percent="0" rank="0" text="" dxfId="1">
      <formula>0</formula>
    </cfRule>
    <cfRule type="cellIs" priority="351" operator="lessThanOrEqual" aboveAverage="0" equalAverage="0" bottom="0" percent="0" rank="0" text="" dxfId="0">
      <formula>0</formula>
    </cfRule>
  </conditionalFormatting>
  <conditionalFormatting sqref="G122">
    <cfRule type="cellIs" priority="352" operator="greaterThan" aboveAverage="0" equalAverage="0" bottom="0" percent="0" rank="0" text="" dxfId="10">
      <formula>e{r}</formula>
    </cfRule>
  </conditionalFormatting>
  <conditionalFormatting sqref="H123">
    <cfRule type="cellIs" priority="353" operator="greaterThan" aboveAverage="0" equalAverage="0" bottom="0" percent="0" rank="0" text="" dxfId="1">
      <formula>0</formula>
    </cfRule>
    <cfRule type="cellIs" priority="354" operator="lessThanOrEqual" aboveAverage="0" equalAverage="0" bottom="0" percent="0" rank="0" text="" dxfId="0">
      <formula>0</formula>
    </cfRule>
  </conditionalFormatting>
  <conditionalFormatting sqref="G123">
    <cfRule type="cellIs" priority="355" operator="greaterThan" aboveAverage="0" equalAverage="0" bottom="0" percent="0" rank="0" text="" dxfId="10">
      <formula>e{r}</formula>
    </cfRule>
  </conditionalFormatting>
  <conditionalFormatting sqref="H124">
    <cfRule type="cellIs" priority="356" operator="greaterThan" aboveAverage="0" equalAverage="0" bottom="0" percent="0" rank="0" text="" dxfId="1">
      <formula>0</formula>
    </cfRule>
    <cfRule type="cellIs" priority="357" operator="lessThanOrEqual" aboveAverage="0" equalAverage="0" bottom="0" percent="0" rank="0" text="" dxfId="0">
      <formula>0</formula>
    </cfRule>
  </conditionalFormatting>
  <conditionalFormatting sqref="G124">
    <cfRule type="cellIs" priority="358" operator="greaterThan" aboveAverage="0" equalAverage="0" bottom="0" percent="0" rank="0" text="" dxfId="10">
      <formula>e{r}</formula>
    </cfRule>
  </conditionalFormatting>
  <conditionalFormatting sqref="H125">
    <cfRule type="cellIs" priority="359" operator="greaterThan" aboveAverage="0" equalAverage="0" bottom="0" percent="0" rank="0" text="" dxfId="1">
      <formula>0</formula>
    </cfRule>
    <cfRule type="cellIs" priority="360" operator="lessThanOrEqual" aboveAverage="0" equalAverage="0" bottom="0" percent="0" rank="0" text="" dxfId="0">
      <formula>0</formula>
    </cfRule>
  </conditionalFormatting>
  <conditionalFormatting sqref="G125">
    <cfRule type="cellIs" priority="361" operator="greaterThan" aboveAverage="0" equalAverage="0" bottom="0" percent="0" rank="0" text="" dxfId="10">
      <formula>e{r}</formula>
    </cfRule>
  </conditionalFormatting>
  <conditionalFormatting sqref="H126">
    <cfRule type="cellIs" priority="362" operator="greaterThan" aboveAverage="0" equalAverage="0" bottom="0" percent="0" rank="0" text="" dxfId="1">
      <formula>0</formula>
    </cfRule>
    <cfRule type="cellIs" priority="363" operator="lessThanOrEqual" aboveAverage="0" equalAverage="0" bottom="0" percent="0" rank="0" text="" dxfId="0">
      <formula>0</formula>
    </cfRule>
  </conditionalFormatting>
  <conditionalFormatting sqref="G126">
    <cfRule type="cellIs" priority="364" operator="greaterThan" aboveAverage="0" equalAverage="0" bottom="0" percent="0" rank="0" text="" dxfId="10">
      <formula>e{r}</formula>
    </cfRule>
  </conditionalFormatting>
  <conditionalFormatting sqref="H127">
    <cfRule type="cellIs" priority="365" operator="greaterThan" aboveAverage="0" equalAverage="0" bottom="0" percent="0" rank="0" text="" dxfId="1">
      <formula>0</formula>
    </cfRule>
    <cfRule type="cellIs" priority="366" operator="lessThanOrEqual" aboveAverage="0" equalAverage="0" bottom="0" percent="0" rank="0" text="" dxfId="0">
      <formula>0</formula>
    </cfRule>
  </conditionalFormatting>
  <conditionalFormatting sqref="G127">
    <cfRule type="cellIs" priority="367" operator="greaterThan" aboveAverage="0" equalAverage="0" bottom="0" percent="0" rank="0" text="" dxfId="10">
      <formula>e{r}</formula>
    </cfRule>
  </conditionalFormatting>
  <conditionalFormatting sqref="H128">
    <cfRule type="cellIs" priority="368" operator="greaterThan" aboveAverage="0" equalAverage="0" bottom="0" percent="0" rank="0" text="" dxfId="1">
      <formula>0</formula>
    </cfRule>
    <cfRule type="cellIs" priority="369" operator="lessThanOrEqual" aboveAverage="0" equalAverage="0" bottom="0" percent="0" rank="0" text="" dxfId="0">
      <formula>0</formula>
    </cfRule>
  </conditionalFormatting>
  <conditionalFormatting sqref="G128">
    <cfRule type="cellIs" priority="370" operator="greaterThan" aboveAverage="0" equalAverage="0" bottom="0" percent="0" rank="0" text="" dxfId="10">
      <formula>e{r}</formula>
    </cfRule>
  </conditionalFormatting>
  <conditionalFormatting sqref="H129">
    <cfRule type="cellIs" priority="371" operator="greaterThan" aboveAverage="0" equalAverage="0" bottom="0" percent="0" rank="0" text="" dxfId="1">
      <formula>0</formula>
    </cfRule>
    <cfRule type="cellIs" priority="372" operator="lessThanOrEqual" aboveAverage="0" equalAverage="0" bottom="0" percent="0" rank="0" text="" dxfId="0">
      <formula>0</formula>
    </cfRule>
  </conditionalFormatting>
  <conditionalFormatting sqref="G129">
    <cfRule type="cellIs" priority="373" operator="greaterThan" aboveAverage="0" equalAverage="0" bottom="0" percent="0" rank="0" text="" dxfId="10">
      <formula>e{r}</formula>
    </cfRule>
  </conditionalFormatting>
  <conditionalFormatting sqref="H130">
    <cfRule type="cellIs" priority="374" operator="greaterThan" aboveAverage="0" equalAverage="0" bottom="0" percent="0" rank="0" text="" dxfId="1">
      <formula>0</formula>
    </cfRule>
    <cfRule type="cellIs" priority="375" operator="lessThanOrEqual" aboveAverage="0" equalAverage="0" bottom="0" percent="0" rank="0" text="" dxfId="0">
      <formula>0</formula>
    </cfRule>
  </conditionalFormatting>
  <conditionalFormatting sqref="G130">
    <cfRule type="cellIs" priority="376" operator="greaterThan" aboveAverage="0" equalAverage="0" bottom="0" percent="0" rank="0" text="" dxfId="10">
      <formula>e{r}</formula>
    </cfRule>
  </conditionalFormatting>
  <conditionalFormatting sqref="H131">
    <cfRule type="cellIs" priority="377" operator="greaterThan" aboveAverage="0" equalAverage="0" bottom="0" percent="0" rank="0" text="" dxfId="1">
      <formula>0</formula>
    </cfRule>
    <cfRule type="cellIs" priority="378" operator="lessThanOrEqual" aboveAverage="0" equalAverage="0" bottom="0" percent="0" rank="0" text="" dxfId="0">
      <formula>0</formula>
    </cfRule>
  </conditionalFormatting>
  <conditionalFormatting sqref="G131">
    <cfRule type="cellIs" priority="379" operator="greaterThan" aboveAverage="0" equalAverage="0" bottom="0" percent="0" rank="0" text="" dxfId="10">
      <formula>e{r}</formula>
    </cfRule>
  </conditionalFormatting>
  <conditionalFormatting sqref="H132">
    <cfRule type="cellIs" priority="380" operator="greaterThan" aboveAverage="0" equalAverage="0" bottom="0" percent="0" rank="0" text="" dxfId="1">
      <formula>0</formula>
    </cfRule>
    <cfRule type="cellIs" priority="381" operator="lessThanOrEqual" aboveAverage="0" equalAverage="0" bottom="0" percent="0" rank="0" text="" dxfId="0">
      <formula>0</formula>
    </cfRule>
  </conditionalFormatting>
  <conditionalFormatting sqref="G132">
    <cfRule type="cellIs" priority="382" operator="greaterThan" aboveAverage="0" equalAverage="0" bottom="0" percent="0" rank="0" text="" dxfId="10">
      <formula>e{r}</formula>
    </cfRule>
  </conditionalFormatting>
  <conditionalFormatting sqref="H133">
    <cfRule type="cellIs" priority="383" operator="greaterThan" aboveAverage="0" equalAverage="0" bottom="0" percent="0" rank="0" text="" dxfId="1">
      <formula>0</formula>
    </cfRule>
    <cfRule type="cellIs" priority="384" operator="lessThanOrEqual" aboveAverage="0" equalAverage="0" bottom="0" percent="0" rank="0" text="" dxfId="0">
      <formula>0</formula>
    </cfRule>
  </conditionalFormatting>
  <conditionalFormatting sqref="G133">
    <cfRule type="cellIs" priority="385" operator="greaterThan" aboveAverage="0" equalAverage="0" bottom="0" percent="0" rank="0" text="" dxfId="10">
      <formula>e{r}</formula>
    </cfRule>
  </conditionalFormatting>
  <conditionalFormatting sqref="H134">
    <cfRule type="cellIs" priority="386" operator="greaterThan" aboveAverage="0" equalAverage="0" bottom="0" percent="0" rank="0" text="" dxfId="1">
      <formula>0</formula>
    </cfRule>
    <cfRule type="cellIs" priority="387" operator="lessThanOrEqual" aboveAverage="0" equalAverage="0" bottom="0" percent="0" rank="0" text="" dxfId="0">
      <formula>0</formula>
    </cfRule>
  </conditionalFormatting>
  <conditionalFormatting sqref="G134">
    <cfRule type="cellIs" priority="388" operator="greaterThan" aboveAverage="0" equalAverage="0" bottom="0" percent="0" rank="0" text="" dxfId="10">
      <formula>e{r}</formula>
    </cfRule>
  </conditionalFormatting>
  <conditionalFormatting sqref="H135">
    <cfRule type="cellIs" priority="389" operator="greaterThan" aboveAverage="0" equalAverage="0" bottom="0" percent="0" rank="0" text="" dxfId="1">
      <formula>0</formula>
    </cfRule>
    <cfRule type="cellIs" priority="390" operator="lessThanOrEqual" aboveAverage="0" equalAverage="0" bottom="0" percent="0" rank="0" text="" dxfId="0">
      <formula>0</formula>
    </cfRule>
  </conditionalFormatting>
  <conditionalFormatting sqref="G135">
    <cfRule type="cellIs" priority="391" operator="greaterThan" aboveAverage="0" equalAverage="0" bottom="0" percent="0" rank="0" text="" dxfId="10">
      <formula>e{r}</formula>
    </cfRule>
  </conditionalFormatting>
  <conditionalFormatting sqref="H136">
    <cfRule type="cellIs" priority="392" operator="greaterThan" aboveAverage="0" equalAverage="0" bottom="0" percent="0" rank="0" text="" dxfId="1">
      <formula>0</formula>
    </cfRule>
    <cfRule type="cellIs" priority="393" operator="lessThanOrEqual" aboveAverage="0" equalAverage="0" bottom="0" percent="0" rank="0" text="" dxfId="0">
      <formula>0</formula>
    </cfRule>
  </conditionalFormatting>
  <conditionalFormatting sqref="G136">
    <cfRule type="cellIs" priority="394" operator="greaterThan" aboveAverage="0" equalAverage="0" bottom="0" percent="0" rank="0" text="" dxfId="10">
      <formula>e{r}</formula>
    </cfRule>
  </conditionalFormatting>
  <conditionalFormatting sqref="H137">
    <cfRule type="cellIs" priority="395" operator="greaterThan" aboveAverage="0" equalAverage="0" bottom="0" percent="0" rank="0" text="" dxfId="1">
      <formula>0</formula>
    </cfRule>
    <cfRule type="cellIs" priority="396" operator="lessThanOrEqual" aboveAverage="0" equalAverage="0" bottom="0" percent="0" rank="0" text="" dxfId="0">
      <formula>0</formula>
    </cfRule>
  </conditionalFormatting>
  <conditionalFormatting sqref="G137">
    <cfRule type="cellIs" priority="397" operator="greaterThan" aboveAverage="0" equalAverage="0" bottom="0" percent="0" rank="0" text="" dxfId="10">
      <formula>e{r}</formula>
    </cfRule>
  </conditionalFormatting>
  <conditionalFormatting sqref="H138">
    <cfRule type="cellIs" priority="398" operator="greaterThan" aboveAverage="0" equalAverage="0" bottom="0" percent="0" rank="0" text="" dxfId="1">
      <formula>0</formula>
    </cfRule>
    <cfRule type="cellIs" priority="399" operator="lessThanOrEqual" aboveAverage="0" equalAverage="0" bottom="0" percent="0" rank="0" text="" dxfId="0">
      <formula>0</formula>
    </cfRule>
  </conditionalFormatting>
  <conditionalFormatting sqref="G138">
    <cfRule type="cellIs" priority="400" operator="greaterThan" aboveAverage="0" equalAverage="0" bottom="0" percent="0" rank="0" text="" dxfId="10">
      <formula>e{r}</formula>
    </cfRule>
  </conditionalFormatting>
  <conditionalFormatting sqref="H139">
    <cfRule type="cellIs" priority="401" operator="greaterThan" aboveAverage="0" equalAverage="0" bottom="0" percent="0" rank="0" text="" dxfId="1">
      <formula>0</formula>
    </cfRule>
    <cfRule type="cellIs" priority="402" operator="lessThanOrEqual" aboveAverage="0" equalAverage="0" bottom="0" percent="0" rank="0" text="" dxfId="0">
      <formula>0</formula>
    </cfRule>
  </conditionalFormatting>
  <conditionalFormatting sqref="G139">
    <cfRule type="cellIs" priority="403" operator="greaterThan" aboveAverage="0" equalAverage="0" bottom="0" percent="0" rank="0" text="" dxfId="10">
      <formula>e{r}</formula>
    </cfRule>
  </conditionalFormatting>
  <conditionalFormatting sqref="H140">
    <cfRule type="cellIs" priority="404" operator="greaterThan" aboveAverage="0" equalAverage="0" bottom="0" percent="0" rank="0" text="" dxfId="1">
      <formula>0</formula>
    </cfRule>
    <cfRule type="cellIs" priority="405" operator="lessThanOrEqual" aboveAverage="0" equalAverage="0" bottom="0" percent="0" rank="0" text="" dxfId="0">
      <formula>0</formula>
    </cfRule>
  </conditionalFormatting>
  <conditionalFormatting sqref="G140">
    <cfRule type="cellIs" priority="406" operator="greaterThan" aboveAverage="0" equalAverage="0" bottom="0" percent="0" rank="0" text="" dxfId="10">
      <formula>e{r}</formula>
    </cfRule>
  </conditionalFormatting>
  <conditionalFormatting sqref="H141">
    <cfRule type="cellIs" priority="407" operator="greaterThan" aboveAverage="0" equalAverage="0" bottom="0" percent="0" rank="0" text="" dxfId="1">
      <formula>0</formula>
    </cfRule>
    <cfRule type="cellIs" priority="408" operator="lessThanOrEqual" aboveAverage="0" equalAverage="0" bottom="0" percent="0" rank="0" text="" dxfId="0">
      <formula>0</formula>
    </cfRule>
  </conditionalFormatting>
  <conditionalFormatting sqref="G141">
    <cfRule type="cellIs" priority="409" operator="greaterThan" aboveAverage="0" equalAverage="0" bottom="0" percent="0" rank="0" text="" dxfId="10">
      <formula>e{r}</formula>
    </cfRule>
  </conditionalFormatting>
  <conditionalFormatting sqref="H142">
    <cfRule type="cellIs" priority="410" operator="greaterThan" aboveAverage="0" equalAverage="0" bottom="0" percent="0" rank="0" text="" dxfId="1">
      <formula>0</formula>
    </cfRule>
    <cfRule type="cellIs" priority="411" operator="lessThanOrEqual" aboveAverage="0" equalAverage="0" bottom="0" percent="0" rank="0" text="" dxfId="0">
      <formula>0</formula>
    </cfRule>
  </conditionalFormatting>
  <conditionalFormatting sqref="G142">
    <cfRule type="cellIs" priority="412" operator="greaterThan" aboveAverage="0" equalAverage="0" bottom="0" percent="0" rank="0" text="" dxfId="10">
      <formula>e{r}</formula>
    </cfRule>
  </conditionalFormatting>
  <conditionalFormatting sqref="H143">
    <cfRule type="cellIs" priority="413" operator="greaterThan" aboveAverage="0" equalAverage="0" bottom="0" percent="0" rank="0" text="" dxfId="1">
      <formula>0</formula>
    </cfRule>
    <cfRule type="cellIs" priority="414" operator="lessThanOrEqual" aboveAverage="0" equalAverage="0" bottom="0" percent="0" rank="0" text="" dxfId="0">
      <formula>0</formula>
    </cfRule>
  </conditionalFormatting>
  <conditionalFormatting sqref="G143">
    <cfRule type="cellIs" priority="415" operator="greaterThan" aboveAverage="0" equalAverage="0" bottom="0" percent="0" rank="0" text="" dxfId="10">
      <formula>e{r}</formula>
    </cfRule>
  </conditionalFormatting>
  <conditionalFormatting sqref="H144">
    <cfRule type="cellIs" priority="416" operator="greaterThan" aboveAverage="0" equalAverage="0" bottom="0" percent="0" rank="0" text="" dxfId="1">
      <formula>0</formula>
    </cfRule>
    <cfRule type="cellIs" priority="417" operator="lessThanOrEqual" aboveAverage="0" equalAverage="0" bottom="0" percent="0" rank="0" text="" dxfId="0">
      <formula>0</formula>
    </cfRule>
  </conditionalFormatting>
  <conditionalFormatting sqref="G144">
    <cfRule type="cellIs" priority="418" operator="greaterThan" aboveAverage="0" equalAverage="0" bottom="0" percent="0" rank="0" text="" dxfId="10">
      <formula>e{r}</formula>
    </cfRule>
  </conditionalFormatting>
  <conditionalFormatting sqref="H145">
    <cfRule type="cellIs" priority="419" operator="greaterThan" aboveAverage="0" equalAverage="0" bottom="0" percent="0" rank="0" text="" dxfId="1">
      <formula>0</formula>
    </cfRule>
    <cfRule type="cellIs" priority="420" operator="lessThanOrEqual" aboveAverage="0" equalAverage="0" bottom="0" percent="0" rank="0" text="" dxfId="0">
      <formula>0</formula>
    </cfRule>
  </conditionalFormatting>
  <conditionalFormatting sqref="G145">
    <cfRule type="cellIs" priority="421" operator="greaterThan" aboveAverage="0" equalAverage="0" bottom="0" percent="0" rank="0" text="" dxfId="10">
      <formula>e{r}</formula>
    </cfRule>
  </conditionalFormatting>
  <conditionalFormatting sqref="H146">
    <cfRule type="cellIs" priority="422" operator="greaterThan" aboveAverage="0" equalAverage="0" bottom="0" percent="0" rank="0" text="" dxfId="1">
      <formula>0</formula>
    </cfRule>
    <cfRule type="cellIs" priority="423" operator="lessThanOrEqual" aboveAverage="0" equalAverage="0" bottom="0" percent="0" rank="0" text="" dxfId="0">
      <formula>0</formula>
    </cfRule>
  </conditionalFormatting>
  <conditionalFormatting sqref="G146">
    <cfRule type="cellIs" priority="424" operator="greaterThan" aboveAverage="0" equalAverage="0" bottom="0" percent="0" rank="0" text="" dxfId="10">
      <formula>e{r}</formula>
    </cfRule>
  </conditionalFormatting>
  <conditionalFormatting sqref="H147">
    <cfRule type="cellIs" priority="425" operator="greaterThan" aboveAverage="0" equalAverage="0" bottom="0" percent="0" rank="0" text="" dxfId="1">
      <formula>0</formula>
    </cfRule>
    <cfRule type="cellIs" priority="426" operator="lessThanOrEqual" aboveAverage="0" equalAverage="0" bottom="0" percent="0" rank="0" text="" dxfId="0">
      <formula>0</formula>
    </cfRule>
  </conditionalFormatting>
  <conditionalFormatting sqref="G147">
    <cfRule type="cellIs" priority="427" operator="greaterThan" aboveAverage="0" equalAverage="0" bottom="0" percent="0" rank="0" text="" dxfId="10">
      <formula>e{r}</formula>
    </cfRule>
  </conditionalFormatting>
  <conditionalFormatting sqref="H148">
    <cfRule type="cellIs" priority="428" operator="greaterThan" aboveAverage="0" equalAverage="0" bottom="0" percent="0" rank="0" text="" dxfId="1">
      <formula>0</formula>
    </cfRule>
    <cfRule type="cellIs" priority="429" operator="lessThanOrEqual" aboveAverage="0" equalAverage="0" bottom="0" percent="0" rank="0" text="" dxfId="0">
      <formula>0</formula>
    </cfRule>
  </conditionalFormatting>
  <conditionalFormatting sqref="G148">
    <cfRule type="cellIs" priority="430" operator="greaterThan" aboveAverage="0" equalAverage="0" bottom="0" percent="0" rank="0" text="" dxfId="10">
      <formula>e{r}</formula>
    </cfRule>
  </conditionalFormatting>
  <conditionalFormatting sqref="H149">
    <cfRule type="cellIs" priority="431" operator="greaterThan" aboveAverage="0" equalAverage="0" bottom="0" percent="0" rank="0" text="" dxfId="1">
      <formula>0</formula>
    </cfRule>
    <cfRule type="cellIs" priority="432" operator="lessThanOrEqual" aboveAverage="0" equalAverage="0" bottom="0" percent="0" rank="0" text="" dxfId="0">
      <formula>0</formula>
    </cfRule>
  </conditionalFormatting>
  <conditionalFormatting sqref="G149">
    <cfRule type="cellIs" priority="433" operator="greaterThan" aboveAverage="0" equalAverage="0" bottom="0" percent="0" rank="0" text="" dxfId="10">
      <formula>e{r}</formula>
    </cfRule>
  </conditionalFormatting>
  <conditionalFormatting sqref="H150">
    <cfRule type="cellIs" priority="434" operator="greaterThan" aboveAverage="0" equalAverage="0" bottom="0" percent="0" rank="0" text="" dxfId="1">
      <formula>0</formula>
    </cfRule>
    <cfRule type="cellIs" priority="435" operator="lessThanOrEqual" aboveAverage="0" equalAverage="0" bottom="0" percent="0" rank="0" text="" dxfId="0">
      <formula>0</formula>
    </cfRule>
  </conditionalFormatting>
  <conditionalFormatting sqref="G150">
    <cfRule type="cellIs" priority="436" operator="greaterThan" aboveAverage="0" equalAverage="0" bottom="0" percent="0" rank="0" text="" dxfId="10">
      <formula>e{r}</formula>
    </cfRule>
  </conditionalFormatting>
  <conditionalFormatting sqref="H151">
    <cfRule type="cellIs" priority="437" operator="greaterThan" aboveAverage="0" equalAverage="0" bottom="0" percent="0" rank="0" text="" dxfId="1">
      <formula>0</formula>
    </cfRule>
    <cfRule type="cellIs" priority="438" operator="lessThanOrEqual" aboveAverage="0" equalAverage="0" bottom="0" percent="0" rank="0" text="" dxfId="0">
      <formula>0</formula>
    </cfRule>
  </conditionalFormatting>
  <conditionalFormatting sqref="G151">
    <cfRule type="cellIs" priority="439" operator="greaterThan" aboveAverage="0" equalAverage="0" bottom="0" percent="0" rank="0" text="" dxfId="10">
      <formula>e{r}</formula>
    </cfRule>
  </conditionalFormatting>
  <conditionalFormatting sqref="H152">
    <cfRule type="cellIs" priority="440" operator="greaterThan" aboveAverage="0" equalAverage="0" bottom="0" percent="0" rank="0" text="" dxfId="1">
      <formula>0</formula>
    </cfRule>
    <cfRule type="cellIs" priority="441" operator="lessThanOrEqual" aboveAverage="0" equalAverage="0" bottom="0" percent="0" rank="0" text="" dxfId="0">
      <formula>0</formula>
    </cfRule>
  </conditionalFormatting>
  <conditionalFormatting sqref="G152">
    <cfRule type="cellIs" priority="442" operator="greaterThan" aboveAverage="0" equalAverage="0" bottom="0" percent="0" rank="0" text="" dxfId="10">
      <formula>e{r}</formula>
    </cfRule>
  </conditionalFormatting>
  <conditionalFormatting sqref="H153">
    <cfRule type="cellIs" priority="443" operator="greaterThan" aboveAverage="0" equalAverage="0" bottom="0" percent="0" rank="0" text="" dxfId="1">
      <formula>0</formula>
    </cfRule>
    <cfRule type="cellIs" priority="444" operator="lessThanOrEqual" aboveAverage="0" equalAverage="0" bottom="0" percent="0" rank="0" text="" dxfId="0">
      <formula>0</formula>
    </cfRule>
  </conditionalFormatting>
  <conditionalFormatting sqref="G153">
    <cfRule type="cellIs" priority="445" operator="greaterThan" aboveAverage="0" equalAverage="0" bottom="0" percent="0" rank="0" text="" dxfId="10">
      <formula>e{r}</formula>
    </cfRule>
  </conditionalFormatting>
  <conditionalFormatting sqref="H154">
    <cfRule type="cellIs" priority="446" operator="greaterThan" aboveAverage="0" equalAverage="0" bottom="0" percent="0" rank="0" text="" dxfId="1">
      <formula>0</formula>
    </cfRule>
    <cfRule type="cellIs" priority="447" operator="lessThanOrEqual" aboveAverage="0" equalAverage="0" bottom="0" percent="0" rank="0" text="" dxfId="0">
      <formula>0</formula>
    </cfRule>
  </conditionalFormatting>
  <conditionalFormatting sqref="G154">
    <cfRule type="cellIs" priority="448" operator="greaterThan" aboveAverage="0" equalAverage="0" bottom="0" percent="0" rank="0" text="" dxfId="10">
      <formula>e{r}</formula>
    </cfRule>
  </conditionalFormatting>
  <conditionalFormatting sqref="H155">
    <cfRule type="cellIs" priority="449" operator="greaterThan" aboveAverage="0" equalAverage="0" bottom="0" percent="0" rank="0" text="" dxfId="1">
      <formula>0</formula>
    </cfRule>
    <cfRule type="cellIs" priority="450" operator="lessThanOrEqual" aboveAverage="0" equalAverage="0" bottom="0" percent="0" rank="0" text="" dxfId="0">
      <formula>0</formula>
    </cfRule>
  </conditionalFormatting>
  <conditionalFormatting sqref="G155">
    <cfRule type="cellIs" priority="451" operator="greaterThan" aboveAverage="0" equalAverage="0" bottom="0" percent="0" rank="0" text="" dxfId="10">
      <formula>e{r}</formula>
    </cfRule>
  </conditionalFormatting>
  <conditionalFormatting sqref="H156">
    <cfRule type="cellIs" priority="452" operator="greaterThan" aboveAverage="0" equalAverage="0" bottom="0" percent="0" rank="0" text="" dxfId="1">
      <formula>0</formula>
    </cfRule>
    <cfRule type="cellIs" priority="453" operator="lessThanOrEqual" aboveAverage="0" equalAverage="0" bottom="0" percent="0" rank="0" text="" dxfId="0">
      <formula>0</formula>
    </cfRule>
  </conditionalFormatting>
  <conditionalFormatting sqref="G156">
    <cfRule type="cellIs" priority="454" operator="greaterThan" aboveAverage="0" equalAverage="0" bottom="0" percent="0" rank="0" text="" dxfId="10">
      <formula>e{r}</formula>
    </cfRule>
  </conditionalFormatting>
  <conditionalFormatting sqref="H157">
    <cfRule type="cellIs" priority="455" operator="greaterThan" aboveAverage="0" equalAverage="0" bottom="0" percent="0" rank="0" text="" dxfId="1">
      <formula>0</formula>
    </cfRule>
    <cfRule type="cellIs" priority="456" operator="lessThanOrEqual" aboveAverage="0" equalAverage="0" bottom="0" percent="0" rank="0" text="" dxfId="0">
      <formula>0</formula>
    </cfRule>
  </conditionalFormatting>
  <conditionalFormatting sqref="G157">
    <cfRule type="cellIs" priority="457" operator="greaterThan" aboveAverage="0" equalAverage="0" bottom="0" percent="0" rank="0" text="" dxfId="10">
      <formula>e{r}</formula>
    </cfRule>
  </conditionalFormatting>
  <conditionalFormatting sqref="H158">
    <cfRule type="cellIs" priority="458" operator="greaterThan" aboveAverage="0" equalAverage="0" bottom="0" percent="0" rank="0" text="" dxfId="1">
      <formula>0</formula>
    </cfRule>
    <cfRule type="cellIs" priority="459" operator="lessThanOrEqual" aboveAverage="0" equalAverage="0" bottom="0" percent="0" rank="0" text="" dxfId="0">
      <formula>0</formula>
    </cfRule>
  </conditionalFormatting>
  <conditionalFormatting sqref="G158">
    <cfRule type="cellIs" priority="460" operator="greaterThan" aboveAverage="0" equalAverage="0" bottom="0" percent="0" rank="0" text="" dxfId="10">
      <formula>e{r}</formula>
    </cfRule>
  </conditionalFormatting>
  <conditionalFormatting sqref="H159">
    <cfRule type="cellIs" priority="461" operator="greaterThan" aboveAverage="0" equalAverage="0" bottom="0" percent="0" rank="0" text="" dxfId="1">
      <formula>0</formula>
    </cfRule>
    <cfRule type="cellIs" priority="462" operator="lessThanOrEqual" aboveAverage="0" equalAverage="0" bottom="0" percent="0" rank="0" text="" dxfId="0">
      <formula>0</formula>
    </cfRule>
  </conditionalFormatting>
  <conditionalFormatting sqref="G159">
    <cfRule type="cellIs" priority="463" operator="greaterThan" aboveAverage="0" equalAverage="0" bottom="0" percent="0" rank="0" text="" dxfId="10">
      <formula>e{r}</formula>
    </cfRule>
  </conditionalFormatting>
  <conditionalFormatting sqref="H160">
    <cfRule type="cellIs" priority="464" operator="greaterThan" aboveAverage="0" equalAverage="0" bottom="0" percent="0" rank="0" text="" dxfId="1">
      <formula>0</formula>
    </cfRule>
    <cfRule type="cellIs" priority="465" operator="lessThanOrEqual" aboveAverage="0" equalAverage="0" bottom="0" percent="0" rank="0" text="" dxfId="0">
      <formula>0</formula>
    </cfRule>
  </conditionalFormatting>
  <conditionalFormatting sqref="G160">
    <cfRule type="cellIs" priority="466" operator="greaterThan" aboveAverage="0" equalAverage="0" bottom="0" percent="0" rank="0" text="" dxfId="10">
      <formula>e{r}</formula>
    </cfRule>
  </conditionalFormatting>
  <conditionalFormatting sqref="H161">
    <cfRule type="cellIs" priority="467" operator="greaterThan" aboveAverage="0" equalAverage="0" bottom="0" percent="0" rank="0" text="" dxfId="1">
      <formula>0</formula>
    </cfRule>
    <cfRule type="cellIs" priority="468" operator="lessThanOrEqual" aboveAverage="0" equalAverage="0" bottom="0" percent="0" rank="0" text="" dxfId="0">
      <formula>0</formula>
    </cfRule>
  </conditionalFormatting>
  <conditionalFormatting sqref="G161">
    <cfRule type="cellIs" priority="469" operator="greaterThan" aboveAverage="0" equalAverage="0" bottom="0" percent="0" rank="0" text="" dxfId="10">
      <formula>e{r}</formula>
    </cfRule>
  </conditionalFormatting>
  <conditionalFormatting sqref="H162">
    <cfRule type="cellIs" priority="470" operator="greaterThan" aboveAverage="0" equalAverage="0" bottom="0" percent="0" rank="0" text="" dxfId="1">
      <formula>0</formula>
    </cfRule>
    <cfRule type="cellIs" priority="471" operator="lessThanOrEqual" aboveAverage="0" equalAverage="0" bottom="0" percent="0" rank="0" text="" dxfId="0">
      <formula>0</formula>
    </cfRule>
  </conditionalFormatting>
  <conditionalFormatting sqref="G162">
    <cfRule type="cellIs" priority="472" operator="greaterThan" aboveAverage="0" equalAverage="0" bottom="0" percent="0" rank="0" text="" dxfId="10">
      <formula>e{r}</formula>
    </cfRule>
  </conditionalFormatting>
  <conditionalFormatting sqref="H163">
    <cfRule type="cellIs" priority="473" operator="greaterThan" aboveAverage="0" equalAverage="0" bottom="0" percent="0" rank="0" text="" dxfId="1">
      <formula>0</formula>
    </cfRule>
    <cfRule type="cellIs" priority="474" operator="lessThanOrEqual" aboveAverage="0" equalAverage="0" bottom="0" percent="0" rank="0" text="" dxfId="0">
      <formula>0</formula>
    </cfRule>
  </conditionalFormatting>
  <conditionalFormatting sqref="G163">
    <cfRule type="cellIs" priority="475" operator="greaterThan" aboveAverage="0" equalAverage="0" bottom="0" percent="0" rank="0" text="" dxfId="10">
      <formula>e{r}</formula>
    </cfRule>
  </conditionalFormatting>
  <conditionalFormatting sqref="H164">
    <cfRule type="cellIs" priority="476" operator="greaterThan" aboveAverage="0" equalAverage="0" bottom="0" percent="0" rank="0" text="" dxfId="1">
      <formula>0</formula>
    </cfRule>
    <cfRule type="cellIs" priority="477" operator="lessThanOrEqual" aboveAverage="0" equalAverage="0" bottom="0" percent="0" rank="0" text="" dxfId="0">
      <formula>0</formula>
    </cfRule>
  </conditionalFormatting>
  <conditionalFormatting sqref="G164">
    <cfRule type="cellIs" priority="478" operator="greaterThan" aboveAverage="0" equalAverage="0" bottom="0" percent="0" rank="0" text="" dxfId="10">
      <formula>e{r}</formula>
    </cfRule>
  </conditionalFormatting>
  <conditionalFormatting sqref="H165">
    <cfRule type="cellIs" priority="479" operator="greaterThan" aboveAverage="0" equalAverage="0" bottom="0" percent="0" rank="0" text="" dxfId="1">
      <formula>0</formula>
    </cfRule>
    <cfRule type="cellIs" priority="480" operator="lessThanOrEqual" aboveAverage="0" equalAverage="0" bottom="0" percent="0" rank="0" text="" dxfId="0">
      <formula>0</formula>
    </cfRule>
  </conditionalFormatting>
  <conditionalFormatting sqref="G165">
    <cfRule type="cellIs" priority="481" operator="greaterThan" aboveAverage="0" equalAverage="0" bottom="0" percent="0" rank="0" text="" dxfId="10">
      <formula>e{r}</formula>
    </cfRule>
  </conditionalFormatting>
  <conditionalFormatting sqref="H166">
    <cfRule type="cellIs" priority="482" operator="greaterThan" aboveAverage="0" equalAverage="0" bottom="0" percent="0" rank="0" text="" dxfId="1">
      <formula>0</formula>
    </cfRule>
    <cfRule type="cellIs" priority="483" operator="lessThanOrEqual" aboveAverage="0" equalAverage="0" bottom="0" percent="0" rank="0" text="" dxfId="0">
      <formula>0</formula>
    </cfRule>
  </conditionalFormatting>
  <conditionalFormatting sqref="G166">
    <cfRule type="cellIs" priority="484" operator="greaterThan" aboveAverage="0" equalAverage="0" bottom="0" percent="0" rank="0" text="" dxfId="10">
      <formula>e{r}</formula>
    </cfRule>
  </conditionalFormatting>
  <conditionalFormatting sqref="H167">
    <cfRule type="cellIs" priority="485" operator="greaterThan" aboveAverage="0" equalAverage="0" bottom="0" percent="0" rank="0" text="" dxfId="1">
      <formula>0</formula>
    </cfRule>
    <cfRule type="cellIs" priority="486" operator="lessThanOrEqual" aboveAverage="0" equalAverage="0" bottom="0" percent="0" rank="0" text="" dxfId="0">
      <formula>0</formula>
    </cfRule>
  </conditionalFormatting>
  <conditionalFormatting sqref="G167">
    <cfRule type="cellIs" priority="487" operator="greaterThan" aboveAverage="0" equalAverage="0" bottom="0" percent="0" rank="0" text="" dxfId="10">
      <formula>e{r}</formula>
    </cfRule>
  </conditionalFormatting>
  <conditionalFormatting sqref="H168">
    <cfRule type="cellIs" priority="488" operator="greaterThan" aboveAverage="0" equalAverage="0" bottom="0" percent="0" rank="0" text="" dxfId="1">
      <formula>0</formula>
    </cfRule>
    <cfRule type="cellIs" priority="489" operator="lessThanOrEqual" aboveAverage="0" equalAverage="0" bottom="0" percent="0" rank="0" text="" dxfId="0">
      <formula>0</formula>
    </cfRule>
  </conditionalFormatting>
  <conditionalFormatting sqref="G168">
    <cfRule type="cellIs" priority="490" operator="greaterThan" aboveAverage="0" equalAverage="0" bottom="0" percent="0" rank="0" text="" dxfId="10">
      <formula>e{r}</formula>
    </cfRule>
  </conditionalFormatting>
  <conditionalFormatting sqref="H169">
    <cfRule type="cellIs" priority="491" operator="greaterThan" aboveAverage="0" equalAverage="0" bottom="0" percent="0" rank="0" text="" dxfId="1">
      <formula>0</formula>
    </cfRule>
    <cfRule type="cellIs" priority="492" operator="lessThanOrEqual" aboveAverage="0" equalAverage="0" bottom="0" percent="0" rank="0" text="" dxfId="0">
      <formula>0</formula>
    </cfRule>
  </conditionalFormatting>
  <conditionalFormatting sqref="G169">
    <cfRule type="cellIs" priority="493" operator="greaterThan" aboveAverage="0" equalAverage="0" bottom="0" percent="0" rank="0" text="" dxfId="10">
      <formula>e{r}</formula>
    </cfRule>
  </conditionalFormatting>
  <conditionalFormatting sqref="H170">
    <cfRule type="cellIs" priority="494" operator="greaterThan" aboveAverage="0" equalAverage="0" bottom="0" percent="0" rank="0" text="" dxfId="1">
      <formula>0</formula>
    </cfRule>
    <cfRule type="cellIs" priority="495" operator="lessThanOrEqual" aboveAverage="0" equalAverage="0" bottom="0" percent="0" rank="0" text="" dxfId="0">
      <formula>0</formula>
    </cfRule>
  </conditionalFormatting>
  <conditionalFormatting sqref="G170">
    <cfRule type="cellIs" priority="496" operator="greaterThan" aboveAverage="0" equalAverage="0" bottom="0" percent="0" rank="0" text="" dxfId="10">
      <formula>e{r}</formula>
    </cfRule>
  </conditionalFormatting>
  <conditionalFormatting sqref="H171">
    <cfRule type="cellIs" priority="497" operator="greaterThan" aboveAverage="0" equalAverage="0" bottom="0" percent="0" rank="0" text="" dxfId="1">
      <formula>0</formula>
    </cfRule>
    <cfRule type="cellIs" priority="498" operator="lessThanOrEqual" aboveAverage="0" equalAverage="0" bottom="0" percent="0" rank="0" text="" dxfId="0">
      <formula>0</formula>
    </cfRule>
  </conditionalFormatting>
  <conditionalFormatting sqref="G171">
    <cfRule type="cellIs" priority="499" operator="greaterThan" aboveAverage="0" equalAverage="0" bottom="0" percent="0" rank="0" text="" dxfId="10">
      <formula>e{r}</formula>
    </cfRule>
  </conditionalFormatting>
  <conditionalFormatting sqref="H172">
    <cfRule type="cellIs" priority="500" operator="greaterThan" aboveAverage="0" equalAverage="0" bottom="0" percent="0" rank="0" text="" dxfId="1">
      <formula>0</formula>
    </cfRule>
    <cfRule type="cellIs" priority="501" operator="lessThanOrEqual" aboveAverage="0" equalAverage="0" bottom="0" percent="0" rank="0" text="" dxfId="0">
      <formula>0</formula>
    </cfRule>
  </conditionalFormatting>
  <conditionalFormatting sqref="G172">
    <cfRule type="cellIs" priority="502" operator="greaterThan" aboveAverage="0" equalAverage="0" bottom="0" percent="0" rank="0" text="" dxfId="10">
      <formula>e{r}</formula>
    </cfRule>
  </conditionalFormatting>
  <conditionalFormatting sqref="H173">
    <cfRule type="cellIs" priority="503" operator="greaterThan" aboveAverage="0" equalAverage="0" bottom="0" percent="0" rank="0" text="" dxfId="1">
      <formula>0</formula>
    </cfRule>
    <cfRule type="cellIs" priority="504" operator="lessThanOrEqual" aboveAverage="0" equalAverage="0" bottom="0" percent="0" rank="0" text="" dxfId="0">
      <formula>0</formula>
    </cfRule>
  </conditionalFormatting>
  <conditionalFormatting sqref="G173">
    <cfRule type="cellIs" priority="505" operator="greaterThan" aboveAverage="0" equalAverage="0" bottom="0" percent="0" rank="0" text="" dxfId="10">
      <formula>e{r}</formula>
    </cfRule>
  </conditionalFormatting>
  <conditionalFormatting sqref="H174">
    <cfRule type="cellIs" priority="506" operator="greaterThan" aboveAverage="0" equalAverage="0" bottom="0" percent="0" rank="0" text="" dxfId="1">
      <formula>0</formula>
    </cfRule>
    <cfRule type="cellIs" priority="507" operator="lessThanOrEqual" aboveAverage="0" equalAverage="0" bottom="0" percent="0" rank="0" text="" dxfId="0">
      <formula>0</formula>
    </cfRule>
  </conditionalFormatting>
  <conditionalFormatting sqref="G174">
    <cfRule type="cellIs" priority="508" operator="greaterThan" aboveAverage="0" equalAverage="0" bottom="0" percent="0" rank="0" text="" dxfId="10">
      <formula>e{r}</formula>
    </cfRule>
  </conditionalFormatting>
  <conditionalFormatting sqref="H175">
    <cfRule type="cellIs" priority="509" operator="greaterThan" aboveAverage="0" equalAverage="0" bottom="0" percent="0" rank="0" text="" dxfId="1">
      <formula>0</formula>
    </cfRule>
    <cfRule type="cellIs" priority="510" operator="lessThanOrEqual" aboveAverage="0" equalAverage="0" bottom="0" percent="0" rank="0" text="" dxfId="0">
      <formula>0</formula>
    </cfRule>
  </conditionalFormatting>
  <conditionalFormatting sqref="G175">
    <cfRule type="cellIs" priority="511" operator="greaterThan" aboveAverage="0" equalAverage="0" bottom="0" percent="0" rank="0" text="" dxfId="10">
      <formula>e{r}</formula>
    </cfRule>
  </conditionalFormatting>
  <conditionalFormatting sqref="H176">
    <cfRule type="cellIs" priority="512" operator="greaterThan" aboveAverage="0" equalAverage="0" bottom="0" percent="0" rank="0" text="" dxfId="1">
      <formula>0</formula>
    </cfRule>
    <cfRule type="cellIs" priority="513" operator="lessThanOrEqual" aboveAverage="0" equalAverage="0" bottom="0" percent="0" rank="0" text="" dxfId="0">
      <formula>0</formula>
    </cfRule>
  </conditionalFormatting>
  <conditionalFormatting sqref="G176">
    <cfRule type="cellIs" priority="514" operator="greaterThan" aboveAverage="0" equalAverage="0" bottom="0" percent="0" rank="0" text="" dxfId="10">
      <formula>e{r}</formula>
    </cfRule>
  </conditionalFormatting>
  <conditionalFormatting sqref="H177">
    <cfRule type="cellIs" priority="515" operator="greaterThan" aboveAverage="0" equalAverage="0" bottom="0" percent="0" rank="0" text="" dxfId="1">
      <formula>0</formula>
    </cfRule>
    <cfRule type="cellIs" priority="516" operator="lessThanOrEqual" aboveAverage="0" equalAverage="0" bottom="0" percent="0" rank="0" text="" dxfId="0">
      <formula>0</formula>
    </cfRule>
  </conditionalFormatting>
  <conditionalFormatting sqref="G177">
    <cfRule type="cellIs" priority="517" operator="greaterThan" aboveAverage="0" equalAverage="0" bottom="0" percent="0" rank="0" text="" dxfId="10">
      <formula>e{r}</formula>
    </cfRule>
  </conditionalFormatting>
  <conditionalFormatting sqref="H178">
    <cfRule type="cellIs" priority="518" operator="greaterThan" aboveAverage="0" equalAverage="0" bottom="0" percent="0" rank="0" text="" dxfId="1">
      <formula>0</formula>
    </cfRule>
    <cfRule type="cellIs" priority="519" operator="lessThanOrEqual" aboveAverage="0" equalAverage="0" bottom="0" percent="0" rank="0" text="" dxfId="0">
      <formula>0</formula>
    </cfRule>
  </conditionalFormatting>
  <conditionalFormatting sqref="G178">
    <cfRule type="cellIs" priority="520" operator="greaterThan" aboveAverage="0" equalAverage="0" bottom="0" percent="0" rank="0" text="" dxfId="10">
      <formula>e{r}</formula>
    </cfRule>
  </conditionalFormatting>
  <conditionalFormatting sqref="H179">
    <cfRule type="cellIs" priority="521" operator="greaterThan" aboveAverage="0" equalAverage="0" bottom="0" percent="0" rank="0" text="" dxfId="1">
      <formula>0</formula>
    </cfRule>
    <cfRule type="cellIs" priority="522" operator="lessThanOrEqual" aboveAverage="0" equalAverage="0" bottom="0" percent="0" rank="0" text="" dxfId="0">
      <formula>0</formula>
    </cfRule>
  </conditionalFormatting>
  <conditionalFormatting sqref="G179">
    <cfRule type="cellIs" priority="523" operator="greaterThan" aboveAverage="0" equalAverage="0" bottom="0" percent="0" rank="0" text="" dxfId="10">
      <formula>e{r}</formula>
    </cfRule>
  </conditionalFormatting>
  <conditionalFormatting sqref="H180">
    <cfRule type="cellIs" priority="524" operator="greaterThan" aboveAverage="0" equalAverage="0" bottom="0" percent="0" rank="0" text="" dxfId="1">
      <formula>0</formula>
    </cfRule>
    <cfRule type="cellIs" priority="525" operator="lessThanOrEqual" aboveAverage="0" equalAverage="0" bottom="0" percent="0" rank="0" text="" dxfId="0">
      <formula>0</formula>
    </cfRule>
  </conditionalFormatting>
  <conditionalFormatting sqref="G180">
    <cfRule type="cellIs" priority="526" operator="greaterThan" aboveAverage="0" equalAverage="0" bottom="0" percent="0" rank="0" text="" dxfId="10">
      <formula>e{r}</formula>
    </cfRule>
  </conditionalFormatting>
  <conditionalFormatting sqref="H181">
    <cfRule type="cellIs" priority="527" operator="greaterThan" aboveAverage="0" equalAverage="0" bottom="0" percent="0" rank="0" text="" dxfId="1">
      <formula>0</formula>
    </cfRule>
    <cfRule type="cellIs" priority="528" operator="lessThanOrEqual" aboveAverage="0" equalAverage="0" bottom="0" percent="0" rank="0" text="" dxfId="0">
      <formula>0</formula>
    </cfRule>
  </conditionalFormatting>
  <conditionalFormatting sqref="G181">
    <cfRule type="cellIs" priority="529" operator="greaterThan" aboveAverage="0" equalAverage="0" bottom="0" percent="0" rank="0" text="" dxfId="10">
      <formula>e{r}</formula>
    </cfRule>
  </conditionalFormatting>
  <conditionalFormatting sqref="H182">
    <cfRule type="cellIs" priority="530" operator="greaterThan" aboveAverage="0" equalAverage="0" bottom="0" percent="0" rank="0" text="" dxfId="1">
      <formula>0</formula>
    </cfRule>
    <cfRule type="cellIs" priority="531" operator="lessThanOrEqual" aboveAverage="0" equalAverage="0" bottom="0" percent="0" rank="0" text="" dxfId="0">
      <formula>0</formula>
    </cfRule>
  </conditionalFormatting>
  <conditionalFormatting sqref="G182">
    <cfRule type="cellIs" priority="532" operator="greaterThan" aboveAverage="0" equalAverage="0" bottom="0" percent="0" rank="0" text="" dxfId="10">
      <formula>e{r}</formula>
    </cfRule>
  </conditionalFormatting>
  <conditionalFormatting sqref="H183">
    <cfRule type="cellIs" priority="533" operator="greaterThan" aboveAverage="0" equalAverage="0" bottom="0" percent="0" rank="0" text="" dxfId="1">
      <formula>0</formula>
    </cfRule>
    <cfRule type="cellIs" priority="534" operator="lessThanOrEqual" aboveAverage="0" equalAverage="0" bottom="0" percent="0" rank="0" text="" dxfId="0">
      <formula>0</formula>
    </cfRule>
  </conditionalFormatting>
  <conditionalFormatting sqref="G183">
    <cfRule type="cellIs" priority="535" operator="greaterThan" aboveAverage="0" equalAverage="0" bottom="0" percent="0" rank="0" text="" dxfId="10">
      <formula>e{r}</formula>
    </cfRule>
  </conditionalFormatting>
  <conditionalFormatting sqref="H184">
    <cfRule type="cellIs" priority="536" operator="greaterThan" aboveAverage="0" equalAverage="0" bottom="0" percent="0" rank="0" text="" dxfId="1">
      <formula>0</formula>
    </cfRule>
    <cfRule type="cellIs" priority="537" operator="lessThanOrEqual" aboveAverage="0" equalAverage="0" bottom="0" percent="0" rank="0" text="" dxfId="0">
      <formula>0</formula>
    </cfRule>
  </conditionalFormatting>
  <conditionalFormatting sqref="G184">
    <cfRule type="cellIs" priority="538" operator="greaterThan" aboveAverage="0" equalAverage="0" bottom="0" percent="0" rank="0" text="" dxfId="10">
      <formula>e{r}</formula>
    </cfRule>
  </conditionalFormatting>
  <conditionalFormatting sqref="H185">
    <cfRule type="cellIs" priority="539" operator="greaterThan" aboveAverage="0" equalAverage="0" bottom="0" percent="0" rank="0" text="" dxfId="1">
      <formula>0</formula>
    </cfRule>
    <cfRule type="cellIs" priority="540" operator="lessThanOrEqual" aboveAverage="0" equalAverage="0" bottom="0" percent="0" rank="0" text="" dxfId="0">
      <formula>0</formula>
    </cfRule>
  </conditionalFormatting>
  <conditionalFormatting sqref="G185">
    <cfRule type="cellIs" priority="541" operator="greaterThan" aboveAverage="0" equalAverage="0" bottom="0" percent="0" rank="0" text="" dxfId="10">
      <formula>e{r}</formula>
    </cfRule>
  </conditionalFormatting>
  <conditionalFormatting sqref="H186">
    <cfRule type="cellIs" priority="542" operator="greaterThan" aboveAverage="0" equalAverage="0" bottom="0" percent="0" rank="0" text="" dxfId="1">
      <formula>0</formula>
    </cfRule>
    <cfRule type="cellIs" priority="543" operator="lessThanOrEqual" aboveAverage="0" equalAverage="0" bottom="0" percent="0" rank="0" text="" dxfId="0">
      <formula>0</formula>
    </cfRule>
  </conditionalFormatting>
  <conditionalFormatting sqref="G186">
    <cfRule type="cellIs" priority="544" operator="greaterThan" aboveAverage="0" equalAverage="0" bottom="0" percent="0" rank="0" text="" dxfId="10">
      <formula>e{r}</formula>
    </cfRule>
  </conditionalFormatting>
  <conditionalFormatting sqref="H187">
    <cfRule type="cellIs" priority="545" operator="greaterThan" aboveAverage="0" equalAverage="0" bottom="0" percent="0" rank="0" text="" dxfId="1">
      <formula>0</formula>
    </cfRule>
    <cfRule type="cellIs" priority="546" operator="lessThanOrEqual" aboveAverage="0" equalAverage="0" bottom="0" percent="0" rank="0" text="" dxfId="0">
      <formula>0</formula>
    </cfRule>
  </conditionalFormatting>
  <conditionalFormatting sqref="G187">
    <cfRule type="cellIs" priority="547" operator="greaterThan" aboveAverage="0" equalAverage="0" bottom="0" percent="0" rank="0" text="" dxfId="10">
      <formula>e{r}</formula>
    </cfRule>
  </conditionalFormatting>
  <conditionalFormatting sqref="H188">
    <cfRule type="cellIs" priority="548" operator="greaterThan" aboveAverage="0" equalAverage="0" bottom="0" percent="0" rank="0" text="" dxfId="1">
      <formula>0</formula>
    </cfRule>
    <cfRule type="cellIs" priority="549" operator="lessThanOrEqual" aboveAverage="0" equalAverage="0" bottom="0" percent="0" rank="0" text="" dxfId="0">
      <formula>0</formula>
    </cfRule>
  </conditionalFormatting>
  <conditionalFormatting sqref="G188">
    <cfRule type="cellIs" priority="550" operator="greaterThan" aboveAverage="0" equalAverage="0" bottom="0" percent="0" rank="0" text="" dxfId="10">
      <formula>e{r}</formula>
    </cfRule>
  </conditionalFormatting>
  <conditionalFormatting sqref="H189">
    <cfRule type="cellIs" priority="551" operator="greaterThan" aboveAverage="0" equalAverage="0" bottom="0" percent="0" rank="0" text="" dxfId="1">
      <formula>0</formula>
    </cfRule>
    <cfRule type="cellIs" priority="552" operator="lessThanOrEqual" aboveAverage="0" equalAverage="0" bottom="0" percent="0" rank="0" text="" dxfId="0">
      <formula>0</formula>
    </cfRule>
  </conditionalFormatting>
  <conditionalFormatting sqref="G189">
    <cfRule type="cellIs" priority="553" operator="greaterThan" aboveAverage="0" equalAverage="0" bottom="0" percent="0" rank="0" text="" dxfId="10">
      <formula>e{r}</formula>
    </cfRule>
  </conditionalFormatting>
  <conditionalFormatting sqref="H190">
    <cfRule type="cellIs" priority="554" operator="greaterThan" aboveAverage="0" equalAverage="0" bottom="0" percent="0" rank="0" text="" dxfId="1">
      <formula>0</formula>
    </cfRule>
    <cfRule type="cellIs" priority="555" operator="lessThanOrEqual" aboveAverage="0" equalAverage="0" bottom="0" percent="0" rank="0" text="" dxfId="0">
      <formula>0</formula>
    </cfRule>
  </conditionalFormatting>
  <conditionalFormatting sqref="G190">
    <cfRule type="cellIs" priority="556" operator="greaterThan" aboveAverage="0" equalAverage="0" bottom="0" percent="0" rank="0" text="" dxfId="10">
      <formula>e{r}</formula>
    </cfRule>
  </conditionalFormatting>
  <conditionalFormatting sqref="H191">
    <cfRule type="cellIs" priority="557" operator="greaterThan" aboveAverage="0" equalAverage="0" bottom="0" percent="0" rank="0" text="" dxfId="1">
      <formula>0</formula>
    </cfRule>
    <cfRule type="cellIs" priority="558" operator="lessThanOrEqual" aboveAverage="0" equalAverage="0" bottom="0" percent="0" rank="0" text="" dxfId="0">
      <formula>0</formula>
    </cfRule>
  </conditionalFormatting>
  <conditionalFormatting sqref="G191">
    <cfRule type="cellIs" priority="559" operator="greaterThan" aboveAverage="0" equalAverage="0" bottom="0" percent="0" rank="0" text="" dxfId="10">
      <formula>e{r}</formula>
    </cfRule>
  </conditionalFormatting>
  <conditionalFormatting sqref="H192">
    <cfRule type="cellIs" priority="560" operator="greaterThan" aboveAverage="0" equalAverage="0" bottom="0" percent="0" rank="0" text="" dxfId="1">
      <formula>0</formula>
    </cfRule>
    <cfRule type="cellIs" priority="561" operator="lessThanOrEqual" aboveAverage="0" equalAverage="0" bottom="0" percent="0" rank="0" text="" dxfId="0">
      <formula>0</formula>
    </cfRule>
  </conditionalFormatting>
  <conditionalFormatting sqref="G192">
    <cfRule type="cellIs" priority="562" operator="greaterThan" aboveAverage="0" equalAverage="0" bottom="0" percent="0" rank="0" text="" dxfId="10">
      <formula>e{r}</formula>
    </cfRule>
  </conditionalFormatting>
  <conditionalFormatting sqref="H193">
    <cfRule type="cellIs" priority="563" operator="greaterThan" aboveAverage="0" equalAverage="0" bottom="0" percent="0" rank="0" text="" dxfId="1">
      <formula>0</formula>
    </cfRule>
    <cfRule type="cellIs" priority="564" operator="lessThanOrEqual" aboveAverage="0" equalAverage="0" bottom="0" percent="0" rank="0" text="" dxfId="0">
      <formula>0</formula>
    </cfRule>
  </conditionalFormatting>
  <conditionalFormatting sqref="G193">
    <cfRule type="cellIs" priority="565" operator="greaterThan" aboveAverage="0" equalAverage="0" bottom="0" percent="0" rank="0" text="" dxfId="10">
      <formula>e{r}</formula>
    </cfRule>
  </conditionalFormatting>
  <conditionalFormatting sqref="H194">
    <cfRule type="cellIs" priority="566" operator="greaterThan" aboveAverage="0" equalAverage="0" bottom="0" percent="0" rank="0" text="" dxfId="1">
      <formula>0</formula>
    </cfRule>
    <cfRule type="cellIs" priority="567" operator="lessThanOrEqual" aboveAverage="0" equalAverage="0" bottom="0" percent="0" rank="0" text="" dxfId="0">
      <formula>0</formula>
    </cfRule>
  </conditionalFormatting>
  <conditionalFormatting sqref="G194">
    <cfRule type="cellIs" priority="568" operator="greaterThan" aboveAverage="0" equalAverage="0" bottom="0" percent="0" rank="0" text="" dxfId="10">
      <formula>e{r}</formula>
    </cfRule>
  </conditionalFormatting>
  <conditionalFormatting sqref="H195">
    <cfRule type="cellIs" priority="569" operator="greaterThan" aboveAverage="0" equalAverage="0" bottom="0" percent="0" rank="0" text="" dxfId="1">
      <formula>0</formula>
    </cfRule>
    <cfRule type="cellIs" priority="570" operator="lessThanOrEqual" aboveAverage="0" equalAverage="0" bottom="0" percent="0" rank="0" text="" dxfId="0">
      <formula>0</formula>
    </cfRule>
  </conditionalFormatting>
  <conditionalFormatting sqref="G195">
    <cfRule type="cellIs" priority="571" operator="greaterThan" aboveAverage="0" equalAverage="0" bottom="0" percent="0" rank="0" text="" dxfId="10">
      <formula>e{r}</formula>
    </cfRule>
  </conditionalFormatting>
  <conditionalFormatting sqref="H196">
    <cfRule type="cellIs" priority="572" operator="greaterThan" aboveAverage="0" equalAverage="0" bottom="0" percent="0" rank="0" text="" dxfId="1">
      <formula>0</formula>
    </cfRule>
    <cfRule type="cellIs" priority="573" operator="lessThanOrEqual" aboveAverage="0" equalAverage="0" bottom="0" percent="0" rank="0" text="" dxfId="0">
      <formula>0</formula>
    </cfRule>
  </conditionalFormatting>
  <conditionalFormatting sqref="G196">
    <cfRule type="cellIs" priority="574" operator="greaterThan" aboveAverage="0" equalAverage="0" bottom="0" percent="0" rank="0" text="" dxfId="10">
      <formula>e{r}</formula>
    </cfRule>
  </conditionalFormatting>
  <conditionalFormatting sqref="H197">
    <cfRule type="cellIs" priority="575" operator="greaterThan" aboveAverage="0" equalAverage="0" bottom="0" percent="0" rank="0" text="" dxfId="1">
      <formula>0</formula>
    </cfRule>
    <cfRule type="cellIs" priority="576" operator="lessThanOrEqual" aboveAverage="0" equalAverage="0" bottom="0" percent="0" rank="0" text="" dxfId="0">
      <formula>0</formula>
    </cfRule>
  </conditionalFormatting>
  <conditionalFormatting sqref="G197">
    <cfRule type="cellIs" priority="577" operator="greaterThan" aboveAverage="0" equalAverage="0" bottom="0" percent="0" rank="0" text="" dxfId="10">
      <formula>e{r}</formula>
    </cfRule>
  </conditionalFormatting>
  <conditionalFormatting sqref="H198">
    <cfRule type="cellIs" priority="578" operator="greaterThan" aboveAverage="0" equalAverage="0" bottom="0" percent="0" rank="0" text="" dxfId="1">
      <formula>0</formula>
    </cfRule>
    <cfRule type="cellIs" priority="579" operator="lessThanOrEqual" aboveAverage="0" equalAverage="0" bottom="0" percent="0" rank="0" text="" dxfId="0">
      <formula>0</formula>
    </cfRule>
  </conditionalFormatting>
  <conditionalFormatting sqref="G198">
    <cfRule type="cellIs" priority="580" operator="greaterThan" aboveAverage="0" equalAverage="0" bottom="0" percent="0" rank="0" text="" dxfId="10">
      <formula>e{r}</formula>
    </cfRule>
  </conditionalFormatting>
  <conditionalFormatting sqref="H199">
    <cfRule type="cellIs" priority="581" operator="greaterThan" aboveAverage="0" equalAverage="0" bottom="0" percent="0" rank="0" text="" dxfId="1">
      <formula>0</formula>
    </cfRule>
    <cfRule type="cellIs" priority="582" operator="lessThanOrEqual" aboveAverage="0" equalAverage="0" bottom="0" percent="0" rank="0" text="" dxfId="0">
      <formula>0</formula>
    </cfRule>
  </conditionalFormatting>
  <conditionalFormatting sqref="G199">
    <cfRule type="cellIs" priority="583" operator="greaterThan" aboveAverage="0" equalAverage="0" bottom="0" percent="0" rank="0" text="" dxfId="10">
      <formula>e{r}</formula>
    </cfRule>
  </conditionalFormatting>
  <conditionalFormatting sqref="H200">
    <cfRule type="cellIs" priority="584" operator="greaterThan" aboveAverage="0" equalAverage="0" bottom="0" percent="0" rank="0" text="" dxfId="1">
      <formula>0</formula>
    </cfRule>
    <cfRule type="cellIs" priority="585" operator="lessThanOrEqual" aboveAverage="0" equalAverage="0" bottom="0" percent="0" rank="0" text="" dxfId="0">
      <formula>0</formula>
    </cfRule>
  </conditionalFormatting>
  <conditionalFormatting sqref="G200">
    <cfRule type="cellIs" priority="586" operator="greaterThan" aboveAverage="0" equalAverage="0" bottom="0" percent="0" rank="0" text="" dxfId="10">
      <formula>e{r}</formula>
    </cfRule>
  </conditionalFormatting>
  <conditionalFormatting sqref="H201">
    <cfRule type="cellIs" priority="587" operator="greaterThan" aboveAverage="0" equalAverage="0" bottom="0" percent="0" rank="0" text="" dxfId="1">
      <formula>0</formula>
    </cfRule>
    <cfRule type="cellIs" priority="588" operator="lessThanOrEqual" aboveAverage="0" equalAverage="0" bottom="0" percent="0" rank="0" text="" dxfId="0">
      <formula>0</formula>
    </cfRule>
  </conditionalFormatting>
  <conditionalFormatting sqref="G201">
    <cfRule type="cellIs" priority="589" operator="greaterThan" aboveAverage="0" equalAverage="0" bottom="0" percent="0" rank="0" text="" dxfId="10">
      <formula>e{r}</formula>
    </cfRule>
  </conditionalFormatting>
  <conditionalFormatting sqref="H202">
    <cfRule type="cellIs" priority="590" operator="greaterThan" aboveAverage="0" equalAverage="0" bottom="0" percent="0" rank="0" text="" dxfId="1">
      <formula>0</formula>
    </cfRule>
    <cfRule type="cellIs" priority="591" operator="lessThanOrEqual" aboveAverage="0" equalAverage="0" bottom="0" percent="0" rank="0" text="" dxfId="0">
      <formula>0</formula>
    </cfRule>
  </conditionalFormatting>
  <conditionalFormatting sqref="G202">
    <cfRule type="cellIs" priority="592" operator="greaterThan" aboveAverage="0" equalAverage="0" bottom="0" percent="0" rank="0" text="" dxfId="10">
      <formula>e{r}</formula>
    </cfRule>
  </conditionalFormatting>
  <conditionalFormatting sqref="H203">
    <cfRule type="cellIs" priority="593" operator="greaterThan" aboveAverage="0" equalAverage="0" bottom="0" percent="0" rank="0" text="" dxfId="1">
      <formula>0</formula>
    </cfRule>
    <cfRule type="cellIs" priority="594" operator="lessThanOrEqual" aboveAverage="0" equalAverage="0" bottom="0" percent="0" rank="0" text="" dxfId="0">
      <formula>0</formula>
    </cfRule>
  </conditionalFormatting>
  <conditionalFormatting sqref="G203">
    <cfRule type="cellIs" priority="595" operator="greaterThan" aboveAverage="0" equalAverage="0" bottom="0" percent="0" rank="0" text="" dxfId="10">
      <formula>e{r}</formula>
    </cfRule>
  </conditionalFormatting>
  <conditionalFormatting sqref="H204">
    <cfRule type="cellIs" priority="596" operator="greaterThan" aboveAverage="0" equalAverage="0" bottom="0" percent="0" rank="0" text="" dxfId="1">
      <formula>0</formula>
    </cfRule>
    <cfRule type="cellIs" priority="597" operator="lessThanOrEqual" aboveAverage="0" equalAverage="0" bottom="0" percent="0" rank="0" text="" dxfId="0">
      <formula>0</formula>
    </cfRule>
  </conditionalFormatting>
  <conditionalFormatting sqref="G204">
    <cfRule type="cellIs" priority="598" operator="greaterThan" aboveAverage="0" equalAverage="0" bottom="0" percent="0" rank="0" text="" dxfId="10">
      <formula>e{r}</formula>
    </cfRule>
  </conditionalFormatting>
  <conditionalFormatting sqref="H205">
    <cfRule type="cellIs" priority="599" operator="greaterThan" aboveAverage="0" equalAverage="0" bottom="0" percent="0" rank="0" text="" dxfId="1">
      <formula>0</formula>
    </cfRule>
    <cfRule type="cellIs" priority="600" operator="lessThanOrEqual" aboveAverage="0" equalAverage="0" bottom="0" percent="0" rank="0" text="" dxfId="0">
      <formula>0</formula>
    </cfRule>
  </conditionalFormatting>
  <conditionalFormatting sqref="G205">
    <cfRule type="cellIs" priority="601" operator="greaterThan" aboveAverage="0" equalAverage="0" bottom="0" percent="0" rank="0" text="" dxfId="10">
      <formula>e{r}</formula>
    </cfRule>
  </conditionalFormatting>
  <conditionalFormatting sqref="H206">
    <cfRule type="cellIs" priority="602" operator="greaterThan" aboveAverage="0" equalAverage="0" bottom="0" percent="0" rank="0" text="" dxfId="1">
      <formula>0</formula>
    </cfRule>
    <cfRule type="cellIs" priority="603" operator="lessThanOrEqual" aboveAverage="0" equalAverage="0" bottom="0" percent="0" rank="0" text="" dxfId="0">
      <formula>0</formula>
    </cfRule>
  </conditionalFormatting>
  <conditionalFormatting sqref="G206">
    <cfRule type="cellIs" priority="604" operator="greaterThan" aboveAverage="0" equalAverage="0" bottom="0" percent="0" rank="0" text="" dxfId="10">
      <formula>e{r}</formula>
    </cfRule>
  </conditionalFormatting>
  <conditionalFormatting sqref="H207">
    <cfRule type="cellIs" priority="605" operator="greaterThan" aboveAverage="0" equalAverage="0" bottom="0" percent="0" rank="0" text="" dxfId="1">
      <formula>0</formula>
    </cfRule>
    <cfRule type="cellIs" priority="606" operator="lessThanOrEqual" aboveAverage="0" equalAverage="0" bottom="0" percent="0" rank="0" text="" dxfId="0">
      <formula>0</formula>
    </cfRule>
  </conditionalFormatting>
  <conditionalFormatting sqref="G207">
    <cfRule type="cellIs" priority="607" operator="greaterThan" aboveAverage="0" equalAverage="0" bottom="0" percent="0" rank="0" text="" dxfId="10">
      <formula>e{r}</formula>
    </cfRule>
  </conditionalFormatting>
  <conditionalFormatting sqref="H208">
    <cfRule type="cellIs" priority="608" operator="greaterThan" aboveAverage="0" equalAverage="0" bottom="0" percent="0" rank="0" text="" dxfId="1">
      <formula>0</formula>
    </cfRule>
    <cfRule type="cellIs" priority="609" operator="lessThanOrEqual" aboveAverage="0" equalAverage="0" bottom="0" percent="0" rank="0" text="" dxfId="0">
      <formula>0</formula>
    </cfRule>
  </conditionalFormatting>
  <conditionalFormatting sqref="G208">
    <cfRule type="cellIs" priority="610" operator="greaterThan" aboveAverage="0" equalAverage="0" bottom="0" percent="0" rank="0" text="" dxfId="10">
      <formula>e{r}</formula>
    </cfRule>
  </conditionalFormatting>
  <conditionalFormatting sqref="H209">
    <cfRule type="cellIs" priority="611" operator="greaterThan" aboveAverage="0" equalAverage="0" bottom="0" percent="0" rank="0" text="" dxfId="1">
      <formula>0</formula>
    </cfRule>
    <cfRule type="cellIs" priority="612" operator="lessThanOrEqual" aboveAverage="0" equalAverage="0" bottom="0" percent="0" rank="0" text="" dxfId="0">
      <formula>0</formula>
    </cfRule>
  </conditionalFormatting>
  <conditionalFormatting sqref="G209">
    <cfRule type="cellIs" priority="613" operator="greaterThan" aboveAverage="0" equalAverage="0" bottom="0" percent="0" rank="0" text="" dxfId="10">
      <formula>e{r}</formula>
    </cfRule>
  </conditionalFormatting>
  <conditionalFormatting sqref="H210">
    <cfRule type="cellIs" priority="614" operator="greaterThan" aboveAverage="0" equalAverage="0" bottom="0" percent="0" rank="0" text="" dxfId="1">
      <formula>0</formula>
    </cfRule>
    <cfRule type="cellIs" priority="615" operator="lessThanOrEqual" aboveAverage="0" equalAverage="0" bottom="0" percent="0" rank="0" text="" dxfId="0">
      <formula>0</formula>
    </cfRule>
  </conditionalFormatting>
  <conditionalFormatting sqref="G210">
    <cfRule type="cellIs" priority="616" operator="greaterThan" aboveAverage="0" equalAverage="0" bottom="0" percent="0" rank="0" text="" dxfId="10">
      <formula>e{r}</formula>
    </cfRule>
  </conditionalFormatting>
  <conditionalFormatting sqref="H211">
    <cfRule type="cellIs" priority="617" operator="greaterThan" aboveAverage="0" equalAverage="0" bottom="0" percent="0" rank="0" text="" dxfId="1">
      <formula>0</formula>
    </cfRule>
    <cfRule type="cellIs" priority="618" operator="lessThanOrEqual" aboveAverage="0" equalAverage="0" bottom="0" percent="0" rank="0" text="" dxfId="0">
      <formula>0</formula>
    </cfRule>
  </conditionalFormatting>
  <conditionalFormatting sqref="G211">
    <cfRule type="cellIs" priority="619" operator="greaterThan" aboveAverage="0" equalAverage="0" bottom="0" percent="0" rank="0" text="" dxfId="10">
      <formula>e{r}</formula>
    </cfRule>
  </conditionalFormatting>
  <conditionalFormatting sqref="H212">
    <cfRule type="cellIs" priority="620" operator="greaterThan" aboveAverage="0" equalAverage="0" bottom="0" percent="0" rank="0" text="" dxfId="1">
      <formula>0</formula>
    </cfRule>
    <cfRule type="cellIs" priority="621" operator="lessThanOrEqual" aboveAverage="0" equalAverage="0" bottom="0" percent="0" rank="0" text="" dxfId="0">
      <formula>0</formula>
    </cfRule>
  </conditionalFormatting>
  <conditionalFormatting sqref="G212">
    <cfRule type="cellIs" priority="622" operator="greaterThan" aboveAverage="0" equalAverage="0" bottom="0" percent="0" rank="0" text="" dxfId="10">
      <formula>e{r}</formula>
    </cfRule>
  </conditionalFormatting>
  <conditionalFormatting sqref="H213">
    <cfRule type="cellIs" priority="623" operator="greaterThan" aboveAverage="0" equalAverage="0" bottom="0" percent="0" rank="0" text="" dxfId="1">
      <formula>0</formula>
    </cfRule>
    <cfRule type="cellIs" priority="624" operator="lessThanOrEqual" aboveAverage="0" equalAverage="0" bottom="0" percent="0" rank="0" text="" dxfId="0">
      <formula>0</formula>
    </cfRule>
  </conditionalFormatting>
  <conditionalFormatting sqref="G213">
    <cfRule type="cellIs" priority="625" operator="greaterThan" aboveAverage="0" equalAverage="0" bottom="0" percent="0" rank="0" text="" dxfId="10">
      <formula>e{r}</formula>
    </cfRule>
  </conditionalFormatting>
  <conditionalFormatting sqref="H214">
    <cfRule type="cellIs" priority="626" operator="greaterThan" aboveAverage="0" equalAverage="0" bottom="0" percent="0" rank="0" text="" dxfId="1">
      <formula>0</formula>
    </cfRule>
    <cfRule type="cellIs" priority="627" operator="lessThanOrEqual" aboveAverage="0" equalAverage="0" bottom="0" percent="0" rank="0" text="" dxfId="0">
      <formula>0</formula>
    </cfRule>
  </conditionalFormatting>
  <conditionalFormatting sqref="G214">
    <cfRule type="cellIs" priority="628" operator="greaterThan" aboveAverage="0" equalAverage="0" bottom="0" percent="0" rank="0" text="" dxfId="10">
      <formula>e{r}</formula>
    </cfRule>
  </conditionalFormatting>
  <conditionalFormatting sqref="H215">
    <cfRule type="cellIs" priority="629" operator="greaterThan" aboveAverage="0" equalAverage="0" bottom="0" percent="0" rank="0" text="" dxfId="1">
      <formula>0</formula>
    </cfRule>
    <cfRule type="cellIs" priority="630" operator="lessThanOrEqual" aboveAverage="0" equalAverage="0" bottom="0" percent="0" rank="0" text="" dxfId="0">
      <formula>0</formula>
    </cfRule>
  </conditionalFormatting>
  <conditionalFormatting sqref="G215">
    <cfRule type="cellIs" priority="631" operator="greaterThan" aboveAverage="0" equalAverage="0" bottom="0" percent="0" rank="0" text="" dxfId="10">
      <formula>e{r}</formula>
    </cfRule>
  </conditionalFormatting>
  <conditionalFormatting sqref="H216">
    <cfRule type="cellIs" priority="632" operator="greaterThan" aboveAverage="0" equalAverage="0" bottom="0" percent="0" rank="0" text="" dxfId="1">
      <formula>0</formula>
    </cfRule>
    <cfRule type="cellIs" priority="633" operator="lessThanOrEqual" aboveAverage="0" equalAverage="0" bottom="0" percent="0" rank="0" text="" dxfId="0">
      <formula>0</formula>
    </cfRule>
  </conditionalFormatting>
  <conditionalFormatting sqref="G216">
    <cfRule type="cellIs" priority="634" operator="greaterThan" aboveAverage="0" equalAverage="0" bottom="0" percent="0" rank="0" text="" dxfId="10">
      <formula>e{r}</formula>
    </cfRule>
  </conditionalFormatting>
  <conditionalFormatting sqref="H217">
    <cfRule type="cellIs" priority="635" operator="greaterThan" aboveAverage="0" equalAverage="0" bottom="0" percent="0" rank="0" text="" dxfId="1">
      <formula>0</formula>
    </cfRule>
    <cfRule type="cellIs" priority="636" operator="lessThanOrEqual" aboveAverage="0" equalAverage="0" bottom="0" percent="0" rank="0" text="" dxfId="0">
      <formula>0</formula>
    </cfRule>
  </conditionalFormatting>
  <conditionalFormatting sqref="G217">
    <cfRule type="cellIs" priority="637" operator="greaterThan" aboveAverage="0" equalAverage="0" bottom="0" percent="0" rank="0" text="" dxfId="10">
      <formula>e{r}</formula>
    </cfRule>
  </conditionalFormatting>
  <conditionalFormatting sqref="H218">
    <cfRule type="cellIs" priority="638" operator="greaterThan" aboveAverage="0" equalAverage="0" bottom="0" percent="0" rank="0" text="" dxfId="1">
      <formula>0</formula>
    </cfRule>
    <cfRule type="cellIs" priority="639" operator="lessThanOrEqual" aboveAverage="0" equalAverage="0" bottom="0" percent="0" rank="0" text="" dxfId="0">
      <formula>0</formula>
    </cfRule>
  </conditionalFormatting>
  <conditionalFormatting sqref="G218">
    <cfRule type="cellIs" priority="640" operator="greaterThan" aboveAverage="0" equalAverage="0" bottom="0" percent="0" rank="0" text="" dxfId="10">
      <formula>e{r}</formula>
    </cfRule>
  </conditionalFormatting>
  <conditionalFormatting sqref="H219">
    <cfRule type="cellIs" priority="641" operator="greaterThan" aboveAverage="0" equalAverage="0" bottom="0" percent="0" rank="0" text="" dxfId="1">
      <formula>0</formula>
    </cfRule>
    <cfRule type="cellIs" priority="642" operator="lessThanOrEqual" aboveAverage="0" equalAverage="0" bottom="0" percent="0" rank="0" text="" dxfId="0">
      <formula>0</formula>
    </cfRule>
  </conditionalFormatting>
  <conditionalFormatting sqref="G219">
    <cfRule type="cellIs" priority="643" operator="greaterThan" aboveAverage="0" equalAverage="0" bottom="0" percent="0" rank="0" text="" dxfId="10">
      <formula>e{r}</formula>
    </cfRule>
  </conditionalFormatting>
  <conditionalFormatting sqref="H220">
    <cfRule type="cellIs" priority="644" operator="greaterThan" aboveAverage="0" equalAverage="0" bottom="0" percent="0" rank="0" text="" dxfId="1">
      <formula>0</formula>
    </cfRule>
    <cfRule type="cellIs" priority="645" operator="lessThanOrEqual" aboveAverage="0" equalAverage="0" bottom="0" percent="0" rank="0" text="" dxfId="0">
      <formula>0</formula>
    </cfRule>
  </conditionalFormatting>
  <conditionalFormatting sqref="G220">
    <cfRule type="cellIs" priority="646" operator="greaterThan" aboveAverage="0" equalAverage="0" bottom="0" percent="0" rank="0" text="" dxfId="10">
      <formula>e{r}</formula>
    </cfRule>
  </conditionalFormatting>
  <conditionalFormatting sqref="H221">
    <cfRule type="cellIs" priority="647" operator="greaterThan" aboveAverage="0" equalAverage="0" bottom="0" percent="0" rank="0" text="" dxfId="1">
      <formula>0</formula>
    </cfRule>
    <cfRule type="cellIs" priority="648" operator="lessThanOrEqual" aboveAverage="0" equalAverage="0" bottom="0" percent="0" rank="0" text="" dxfId="0">
      <formula>0</formula>
    </cfRule>
  </conditionalFormatting>
  <conditionalFormatting sqref="G221">
    <cfRule type="cellIs" priority="649" operator="greaterThan" aboveAverage="0" equalAverage="0" bottom="0" percent="0" rank="0" text="" dxfId="10">
      <formula>e{r}</formula>
    </cfRule>
  </conditionalFormatting>
  <conditionalFormatting sqref="H222">
    <cfRule type="cellIs" priority="650" operator="greaterThan" aboveAverage="0" equalAverage="0" bottom="0" percent="0" rank="0" text="" dxfId="1">
      <formula>0</formula>
    </cfRule>
    <cfRule type="cellIs" priority="651" operator="lessThanOrEqual" aboveAverage="0" equalAverage="0" bottom="0" percent="0" rank="0" text="" dxfId="0">
      <formula>0</formula>
    </cfRule>
  </conditionalFormatting>
  <conditionalFormatting sqref="G222">
    <cfRule type="cellIs" priority="652" operator="greaterThan" aboveAverage="0" equalAverage="0" bottom="0" percent="0" rank="0" text="" dxfId="10">
      <formula>e{r}</formula>
    </cfRule>
  </conditionalFormatting>
  <conditionalFormatting sqref="H223">
    <cfRule type="cellIs" priority="653" operator="greaterThan" aboveAverage="0" equalAverage="0" bottom="0" percent="0" rank="0" text="" dxfId="1">
      <formula>0</formula>
    </cfRule>
    <cfRule type="cellIs" priority="654" operator="lessThanOrEqual" aboveAverage="0" equalAverage="0" bottom="0" percent="0" rank="0" text="" dxfId="0">
      <formula>0</formula>
    </cfRule>
  </conditionalFormatting>
  <conditionalFormatting sqref="G223">
    <cfRule type="cellIs" priority="655" operator="greaterThan" aboveAverage="0" equalAverage="0" bottom="0" percent="0" rank="0" text="" dxfId="10">
      <formula>e{r}</formula>
    </cfRule>
  </conditionalFormatting>
  <conditionalFormatting sqref="H224">
    <cfRule type="cellIs" priority="656" operator="greaterThan" aboveAverage="0" equalAverage="0" bottom="0" percent="0" rank="0" text="" dxfId="1">
      <formula>0</formula>
    </cfRule>
    <cfRule type="cellIs" priority="657" operator="lessThanOrEqual" aboveAverage="0" equalAverage="0" bottom="0" percent="0" rank="0" text="" dxfId="0">
      <formula>0</formula>
    </cfRule>
  </conditionalFormatting>
  <conditionalFormatting sqref="G224">
    <cfRule type="cellIs" priority="658" operator="greaterThan" aboveAverage="0" equalAverage="0" bottom="0" percent="0" rank="0" text="" dxfId="10">
      <formula>e{r}</formula>
    </cfRule>
  </conditionalFormatting>
  <conditionalFormatting sqref="H225">
    <cfRule type="cellIs" priority="659" operator="greaterThan" aboveAverage="0" equalAverage="0" bottom="0" percent="0" rank="0" text="" dxfId="1">
      <formula>0</formula>
    </cfRule>
    <cfRule type="cellIs" priority="660" operator="lessThanOrEqual" aboveAverage="0" equalAverage="0" bottom="0" percent="0" rank="0" text="" dxfId="0">
      <formula>0</formula>
    </cfRule>
  </conditionalFormatting>
  <conditionalFormatting sqref="G225">
    <cfRule type="cellIs" priority="661" operator="greaterThan" aboveAverage="0" equalAverage="0" bottom="0" percent="0" rank="0" text="" dxfId="10">
      <formula>e{r}</formula>
    </cfRule>
  </conditionalFormatting>
  <conditionalFormatting sqref="H226">
    <cfRule type="cellIs" priority="662" operator="greaterThan" aboveAverage="0" equalAverage="0" bottom="0" percent="0" rank="0" text="" dxfId="1">
      <formula>0</formula>
    </cfRule>
    <cfRule type="cellIs" priority="663" operator="lessThanOrEqual" aboveAverage="0" equalAverage="0" bottom="0" percent="0" rank="0" text="" dxfId="0">
      <formula>0</formula>
    </cfRule>
  </conditionalFormatting>
  <conditionalFormatting sqref="G226">
    <cfRule type="cellIs" priority="664" operator="greaterThan" aboveAverage="0" equalAverage="0" bottom="0" percent="0" rank="0" text="" dxfId="10">
      <formula>e{r}</formula>
    </cfRule>
  </conditionalFormatting>
  <conditionalFormatting sqref="H227">
    <cfRule type="cellIs" priority="665" operator="greaterThan" aboveAverage="0" equalAverage="0" bottom="0" percent="0" rank="0" text="" dxfId="1">
      <formula>0</formula>
    </cfRule>
    <cfRule type="cellIs" priority="666" operator="lessThanOrEqual" aboveAverage="0" equalAverage="0" bottom="0" percent="0" rank="0" text="" dxfId="0">
      <formula>0</formula>
    </cfRule>
  </conditionalFormatting>
  <conditionalFormatting sqref="G227">
    <cfRule type="cellIs" priority="667" operator="greaterThan" aboveAverage="0" equalAverage="0" bottom="0" percent="0" rank="0" text="" dxfId="10">
      <formula>e{r}</formula>
    </cfRule>
  </conditionalFormatting>
  <conditionalFormatting sqref="H228">
    <cfRule type="cellIs" priority="668" operator="greaterThan" aboveAverage="0" equalAverage="0" bottom="0" percent="0" rank="0" text="" dxfId="1">
      <formula>0</formula>
    </cfRule>
    <cfRule type="cellIs" priority="669" operator="lessThanOrEqual" aboveAverage="0" equalAverage="0" bottom="0" percent="0" rank="0" text="" dxfId="0">
      <formula>0</formula>
    </cfRule>
  </conditionalFormatting>
  <conditionalFormatting sqref="G228">
    <cfRule type="cellIs" priority="670" operator="greaterThan" aboveAverage="0" equalAverage="0" bottom="0" percent="0" rank="0" text="" dxfId="10">
      <formula>e{r}</formula>
    </cfRule>
  </conditionalFormatting>
  <conditionalFormatting sqref="H229">
    <cfRule type="cellIs" priority="671" operator="greaterThan" aboveAverage="0" equalAverage="0" bottom="0" percent="0" rank="0" text="" dxfId="1">
      <formula>0</formula>
    </cfRule>
    <cfRule type="cellIs" priority="672" operator="lessThanOrEqual" aboveAverage="0" equalAverage="0" bottom="0" percent="0" rank="0" text="" dxfId="0">
      <formula>0</formula>
    </cfRule>
  </conditionalFormatting>
  <conditionalFormatting sqref="G229">
    <cfRule type="cellIs" priority="673" operator="greaterThan" aboveAverage="0" equalAverage="0" bottom="0" percent="0" rank="0" text="" dxfId="10">
      <formula>e{r}</formula>
    </cfRule>
  </conditionalFormatting>
  <conditionalFormatting sqref="H230">
    <cfRule type="cellIs" priority="674" operator="greaterThan" aboveAverage="0" equalAverage="0" bottom="0" percent="0" rank="0" text="" dxfId="1">
      <formula>0</formula>
    </cfRule>
    <cfRule type="cellIs" priority="675" operator="lessThanOrEqual" aboveAverage="0" equalAverage="0" bottom="0" percent="0" rank="0" text="" dxfId="0">
      <formula>0</formula>
    </cfRule>
  </conditionalFormatting>
  <conditionalFormatting sqref="G230">
    <cfRule type="cellIs" priority="676" operator="greaterThan" aboveAverage="0" equalAverage="0" bottom="0" percent="0" rank="0" text="" dxfId="10">
      <formula>e{r}</formula>
    </cfRule>
  </conditionalFormatting>
  <conditionalFormatting sqref="H231">
    <cfRule type="cellIs" priority="677" operator="greaterThan" aboveAverage="0" equalAverage="0" bottom="0" percent="0" rank="0" text="" dxfId="1">
      <formula>0</formula>
    </cfRule>
    <cfRule type="cellIs" priority="678" operator="lessThanOrEqual" aboveAverage="0" equalAverage="0" bottom="0" percent="0" rank="0" text="" dxfId="0">
      <formula>0</formula>
    </cfRule>
  </conditionalFormatting>
  <conditionalFormatting sqref="G231">
    <cfRule type="cellIs" priority="679" operator="greaterThan" aboveAverage="0" equalAverage="0" bottom="0" percent="0" rank="0" text="" dxfId="10">
      <formula>e{r}</formula>
    </cfRule>
  </conditionalFormatting>
  <conditionalFormatting sqref="H232">
    <cfRule type="cellIs" priority="680" operator="greaterThan" aboveAverage="0" equalAverage="0" bottom="0" percent="0" rank="0" text="" dxfId="1">
      <formula>0</formula>
    </cfRule>
    <cfRule type="cellIs" priority="681" operator="lessThanOrEqual" aboveAverage="0" equalAverage="0" bottom="0" percent="0" rank="0" text="" dxfId="0">
      <formula>0</formula>
    </cfRule>
  </conditionalFormatting>
  <conditionalFormatting sqref="G232">
    <cfRule type="cellIs" priority="682" operator="greaterThan" aboveAverage="0" equalAverage="0" bottom="0" percent="0" rank="0" text="" dxfId="10">
      <formula>e{r}</formula>
    </cfRule>
  </conditionalFormatting>
  <conditionalFormatting sqref="H233">
    <cfRule type="cellIs" priority="683" operator="greaterThan" aboveAverage="0" equalAverage="0" bottom="0" percent="0" rank="0" text="" dxfId="1">
      <formula>0</formula>
    </cfRule>
    <cfRule type="cellIs" priority="684" operator="lessThanOrEqual" aboveAverage="0" equalAverage="0" bottom="0" percent="0" rank="0" text="" dxfId="0">
      <formula>0</formula>
    </cfRule>
  </conditionalFormatting>
  <conditionalFormatting sqref="G233">
    <cfRule type="cellIs" priority="685" operator="greaterThan" aboveAverage="0" equalAverage="0" bottom="0" percent="0" rank="0" text="" dxfId="10">
      <formula>e{r}</formula>
    </cfRule>
  </conditionalFormatting>
  <conditionalFormatting sqref="H234">
    <cfRule type="cellIs" priority="686" operator="greaterThan" aboveAverage="0" equalAverage="0" bottom="0" percent="0" rank="0" text="" dxfId="1">
      <formula>0</formula>
    </cfRule>
    <cfRule type="cellIs" priority="687" operator="lessThanOrEqual" aboveAverage="0" equalAverage="0" bottom="0" percent="0" rank="0" text="" dxfId="0">
      <formula>0</formula>
    </cfRule>
  </conditionalFormatting>
  <conditionalFormatting sqref="G234">
    <cfRule type="cellIs" priority="688" operator="greaterThan" aboveAverage="0" equalAverage="0" bottom="0" percent="0" rank="0" text="" dxfId="10">
      <formula>e{r}</formula>
    </cfRule>
  </conditionalFormatting>
  <conditionalFormatting sqref="H235">
    <cfRule type="cellIs" priority="689" operator="greaterThan" aboveAverage="0" equalAverage="0" bottom="0" percent="0" rank="0" text="" dxfId="1">
      <formula>0</formula>
    </cfRule>
    <cfRule type="cellIs" priority="690" operator="lessThanOrEqual" aboveAverage="0" equalAverage="0" bottom="0" percent="0" rank="0" text="" dxfId="0">
      <formula>0</formula>
    </cfRule>
  </conditionalFormatting>
  <conditionalFormatting sqref="G235">
    <cfRule type="cellIs" priority="691" operator="greaterThan" aboveAverage="0" equalAverage="0" bottom="0" percent="0" rank="0" text="" dxfId="10">
      <formula>e{r}</formula>
    </cfRule>
  </conditionalFormatting>
  <conditionalFormatting sqref="H236">
    <cfRule type="cellIs" priority="692" operator="greaterThan" aboveAverage="0" equalAverage="0" bottom="0" percent="0" rank="0" text="" dxfId="1">
      <formula>0</formula>
    </cfRule>
    <cfRule type="cellIs" priority="693" operator="lessThanOrEqual" aboveAverage="0" equalAverage="0" bottom="0" percent="0" rank="0" text="" dxfId="0">
      <formula>0</formula>
    </cfRule>
  </conditionalFormatting>
  <conditionalFormatting sqref="G236">
    <cfRule type="cellIs" priority="694" operator="greaterThan" aboveAverage="0" equalAverage="0" bottom="0" percent="0" rank="0" text="" dxfId="10">
      <formula>e{r}</formula>
    </cfRule>
  </conditionalFormatting>
  <conditionalFormatting sqref="H237">
    <cfRule type="cellIs" priority="695" operator="greaterThan" aboveAverage="0" equalAverage="0" bottom="0" percent="0" rank="0" text="" dxfId="1">
      <formula>0</formula>
    </cfRule>
    <cfRule type="cellIs" priority="696" operator="lessThanOrEqual" aboveAverage="0" equalAverage="0" bottom="0" percent="0" rank="0" text="" dxfId="0">
      <formula>0</formula>
    </cfRule>
  </conditionalFormatting>
  <conditionalFormatting sqref="G237">
    <cfRule type="cellIs" priority="697" operator="greaterThan" aboveAverage="0" equalAverage="0" bottom="0" percent="0" rank="0" text="" dxfId="10">
      <formula>e{r}</formula>
    </cfRule>
  </conditionalFormatting>
  <conditionalFormatting sqref="H238">
    <cfRule type="cellIs" priority="698" operator="greaterThan" aboveAverage="0" equalAverage="0" bottom="0" percent="0" rank="0" text="" dxfId="1">
      <formula>0</formula>
    </cfRule>
    <cfRule type="cellIs" priority="699" operator="lessThanOrEqual" aboveAverage="0" equalAverage="0" bottom="0" percent="0" rank="0" text="" dxfId="0">
      <formula>0</formula>
    </cfRule>
  </conditionalFormatting>
  <conditionalFormatting sqref="G238">
    <cfRule type="cellIs" priority="700" operator="greaterThan" aboveAverage="0" equalAverage="0" bottom="0" percent="0" rank="0" text="" dxfId="10">
      <formula>e{r}</formula>
    </cfRule>
  </conditionalFormatting>
  <conditionalFormatting sqref="H239">
    <cfRule type="cellIs" priority="701" operator="greaterThan" aboveAverage="0" equalAverage="0" bottom="0" percent="0" rank="0" text="" dxfId="1">
      <formula>0</formula>
    </cfRule>
    <cfRule type="cellIs" priority="702" operator="lessThanOrEqual" aboveAverage="0" equalAverage="0" bottom="0" percent="0" rank="0" text="" dxfId="0">
      <formula>0</formula>
    </cfRule>
  </conditionalFormatting>
  <conditionalFormatting sqref="G239">
    <cfRule type="cellIs" priority="703" operator="greaterThan" aboveAverage="0" equalAverage="0" bottom="0" percent="0" rank="0" text="" dxfId="10">
      <formula>e{r}</formula>
    </cfRule>
  </conditionalFormatting>
  <conditionalFormatting sqref="H240">
    <cfRule type="cellIs" priority="704" operator="greaterThan" aboveAverage="0" equalAverage="0" bottom="0" percent="0" rank="0" text="" dxfId="1">
      <formula>0</formula>
    </cfRule>
    <cfRule type="cellIs" priority="705" operator="lessThanOrEqual" aboveAverage="0" equalAverage="0" bottom="0" percent="0" rank="0" text="" dxfId="0">
      <formula>0</formula>
    </cfRule>
  </conditionalFormatting>
  <conditionalFormatting sqref="G240">
    <cfRule type="cellIs" priority="706" operator="greaterThan" aboveAverage="0" equalAverage="0" bottom="0" percent="0" rank="0" text="" dxfId="10">
      <formula>e{r}</formula>
    </cfRule>
  </conditionalFormatting>
  <conditionalFormatting sqref="H241">
    <cfRule type="cellIs" priority="707" operator="greaterThan" aboveAverage="0" equalAverage="0" bottom="0" percent="0" rank="0" text="" dxfId="1">
      <formula>0</formula>
    </cfRule>
    <cfRule type="cellIs" priority="708" operator="lessThanOrEqual" aboveAverage="0" equalAverage="0" bottom="0" percent="0" rank="0" text="" dxfId="0">
      <formula>0</formula>
    </cfRule>
  </conditionalFormatting>
  <conditionalFormatting sqref="G241">
    <cfRule type="cellIs" priority="709" operator="greaterThan" aboveAverage="0" equalAverage="0" bottom="0" percent="0" rank="0" text="" dxfId="10">
      <formula>e{r}</formula>
    </cfRule>
  </conditionalFormatting>
  <conditionalFormatting sqref="H242">
    <cfRule type="cellIs" priority="710" operator="greaterThan" aboveAverage="0" equalAverage="0" bottom="0" percent="0" rank="0" text="" dxfId="1">
      <formula>0</formula>
    </cfRule>
    <cfRule type="cellIs" priority="711" operator="lessThanOrEqual" aboveAverage="0" equalAverage="0" bottom="0" percent="0" rank="0" text="" dxfId="0">
      <formula>0</formula>
    </cfRule>
  </conditionalFormatting>
  <conditionalFormatting sqref="G242">
    <cfRule type="cellIs" priority="712" operator="greaterThan" aboveAverage="0" equalAverage="0" bottom="0" percent="0" rank="0" text="" dxfId="10">
      <formula>e{r}</formula>
    </cfRule>
  </conditionalFormatting>
  <conditionalFormatting sqref="H243">
    <cfRule type="cellIs" priority="713" operator="greaterThan" aboveAverage="0" equalAverage="0" bottom="0" percent="0" rank="0" text="" dxfId="1">
      <formula>0</formula>
    </cfRule>
    <cfRule type="cellIs" priority="714" operator="lessThanOrEqual" aboveAverage="0" equalAverage="0" bottom="0" percent="0" rank="0" text="" dxfId="0">
      <formula>0</formula>
    </cfRule>
  </conditionalFormatting>
  <conditionalFormatting sqref="G243">
    <cfRule type="cellIs" priority="715" operator="greaterThan" aboveAverage="0" equalAverage="0" bottom="0" percent="0" rank="0" text="" dxfId="10">
      <formula>e{r}</formula>
    </cfRule>
  </conditionalFormatting>
  <conditionalFormatting sqref="H244">
    <cfRule type="cellIs" priority="716" operator="greaterThan" aboveAverage="0" equalAverage="0" bottom="0" percent="0" rank="0" text="" dxfId="1">
      <formula>0</formula>
    </cfRule>
    <cfRule type="cellIs" priority="717" operator="lessThanOrEqual" aboveAverage="0" equalAverage="0" bottom="0" percent="0" rank="0" text="" dxfId="0">
      <formula>0</formula>
    </cfRule>
  </conditionalFormatting>
  <conditionalFormatting sqref="G244">
    <cfRule type="cellIs" priority="718" operator="greaterThan" aboveAverage="0" equalAverage="0" bottom="0" percent="0" rank="0" text="" dxfId="10">
      <formula>e{r}</formula>
    </cfRule>
  </conditionalFormatting>
  <conditionalFormatting sqref="H245">
    <cfRule type="cellIs" priority="719" operator="greaterThan" aboveAverage="0" equalAverage="0" bottom="0" percent="0" rank="0" text="" dxfId="1">
      <formula>0</formula>
    </cfRule>
    <cfRule type="cellIs" priority="720" operator="lessThanOrEqual" aboveAverage="0" equalAverage="0" bottom="0" percent="0" rank="0" text="" dxfId="0">
      <formula>0</formula>
    </cfRule>
  </conditionalFormatting>
  <conditionalFormatting sqref="G245">
    <cfRule type="cellIs" priority="721" operator="greaterThan" aboveAverage="0" equalAverage="0" bottom="0" percent="0" rank="0" text="" dxfId="10">
      <formula>e{r}</formula>
    </cfRule>
  </conditionalFormatting>
  <conditionalFormatting sqref="H246">
    <cfRule type="cellIs" priority="722" operator="greaterThan" aboveAverage="0" equalAverage="0" bottom="0" percent="0" rank="0" text="" dxfId="1">
      <formula>0</formula>
    </cfRule>
    <cfRule type="cellIs" priority="723" operator="lessThanOrEqual" aboveAverage="0" equalAverage="0" bottom="0" percent="0" rank="0" text="" dxfId="0">
      <formula>0</formula>
    </cfRule>
  </conditionalFormatting>
  <conditionalFormatting sqref="G246">
    <cfRule type="cellIs" priority="724" operator="greaterThan" aboveAverage="0" equalAverage="0" bottom="0" percent="0" rank="0" text="" dxfId="10">
      <formula>e{r}</formula>
    </cfRule>
  </conditionalFormatting>
  <conditionalFormatting sqref="H247">
    <cfRule type="cellIs" priority="725" operator="greaterThan" aboveAverage="0" equalAverage="0" bottom="0" percent="0" rank="0" text="" dxfId="1">
      <formula>0</formula>
    </cfRule>
    <cfRule type="cellIs" priority="726" operator="lessThanOrEqual" aboveAverage="0" equalAverage="0" bottom="0" percent="0" rank="0" text="" dxfId="0">
      <formula>0</formula>
    </cfRule>
  </conditionalFormatting>
  <conditionalFormatting sqref="G247">
    <cfRule type="cellIs" priority="727" operator="greaterThan" aboveAverage="0" equalAverage="0" bottom="0" percent="0" rank="0" text="" dxfId="10">
      <formula>e{r}</formula>
    </cfRule>
  </conditionalFormatting>
  <conditionalFormatting sqref="H248">
    <cfRule type="cellIs" priority="728" operator="greaterThan" aboveAverage="0" equalAverage="0" bottom="0" percent="0" rank="0" text="" dxfId="1">
      <formula>0</formula>
    </cfRule>
    <cfRule type="cellIs" priority="729" operator="lessThanOrEqual" aboveAverage="0" equalAverage="0" bottom="0" percent="0" rank="0" text="" dxfId="0">
      <formula>0</formula>
    </cfRule>
  </conditionalFormatting>
  <conditionalFormatting sqref="G248">
    <cfRule type="cellIs" priority="730" operator="greaterThan" aboveAverage="0" equalAverage="0" bottom="0" percent="0" rank="0" text="" dxfId="10">
      <formula>e{r}</formula>
    </cfRule>
  </conditionalFormatting>
  <conditionalFormatting sqref="H249">
    <cfRule type="cellIs" priority="731" operator="greaterThan" aboveAverage="0" equalAverage="0" bottom="0" percent="0" rank="0" text="" dxfId="1">
      <formula>0</formula>
    </cfRule>
    <cfRule type="cellIs" priority="732" operator="lessThanOrEqual" aboveAverage="0" equalAverage="0" bottom="0" percent="0" rank="0" text="" dxfId="0">
      <formula>0</formula>
    </cfRule>
  </conditionalFormatting>
  <conditionalFormatting sqref="G249">
    <cfRule type="cellIs" priority="733" operator="greaterThan" aboveAverage="0" equalAverage="0" bottom="0" percent="0" rank="0" text="" dxfId="10">
      <formula>e{r}</formula>
    </cfRule>
  </conditionalFormatting>
  <conditionalFormatting sqref="H250">
    <cfRule type="cellIs" priority="734" operator="greaterThan" aboveAverage="0" equalAverage="0" bottom="0" percent="0" rank="0" text="" dxfId="1">
      <formula>0</formula>
    </cfRule>
    <cfRule type="cellIs" priority="735" operator="lessThanOrEqual" aboveAverage="0" equalAverage="0" bottom="0" percent="0" rank="0" text="" dxfId="0">
      <formula>0</formula>
    </cfRule>
  </conditionalFormatting>
  <conditionalFormatting sqref="G250">
    <cfRule type="cellIs" priority="736" operator="greaterThan" aboveAverage="0" equalAverage="0" bottom="0" percent="0" rank="0" text="" dxfId="10">
      <formula>e{r}</formula>
    </cfRule>
  </conditionalFormatting>
  <conditionalFormatting sqref="H251">
    <cfRule type="cellIs" priority="737" operator="greaterThan" aboveAverage="0" equalAverage="0" bottom="0" percent="0" rank="0" text="" dxfId="1">
      <formula>0</formula>
    </cfRule>
    <cfRule type="cellIs" priority="738" operator="lessThanOrEqual" aboveAverage="0" equalAverage="0" bottom="0" percent="0" rank="0" text="" dxfId="0">
      <formula>0</formula>
    </cfRule>
  </conditionalFormatting>
  <conditionalFormatting sqref="G251">
    <cfRule type="cellIs" priority="739" operator="greaterThan" aboveAverage="0" equalAverage="0" bottom="0" percent="0" rank="0" text="" dxfId="10">
      <formula>e{r}</formula>
    </cfRule>
  </conditionalFormatting>
  <conditionalFormatting sqref="H252">
    <cfRule type="cellIs" priority="740" operator="greaterThan" aboveAverage="0" equalAverage="0" bottom="0" percent="0" rank="0" text="" dxfId="1">
      <formula>0</formula>
    </cfRule>
    <cfRule type="cellIs" priority="741" operator="lessThanOrEqual" aboveAverage="0" equalAverage="0" bottom="0" percent="0" rank="0" text="" dxfId="0">
      <formula>0</formula>
    </cfRule>
  </conditionalFormatting>
  <conditionalFormatting sqref="G252">
    <cfRule type="cellIs" priority="742" operator="greaterThan" aboveAverage="0" equalAverage="0" bottom="0" percent="0" rank="0" text="" dxfId="10">
      <formula>e{r}</formula>
    </cfRule>
  </conditionalFormatting>
  <conditionalFormatting sqref="H253">
    <cfRule type="cellIs" priority="743" operator="greaterThan" aboveAverage="0" equalAverage="0" bottom="0" percent="0" rank="0" text="" dxfId="1">
      <formula>0</formula>
    </cfRule>
    <cfRule type="cellIs" priority="744" operator="lessThanOrEqual" aboveAverage="0" equalAverage="0" bottom="0" percent="0" rank="0" text="" dxfId="0">
      <formula>0</formula>
    </cfRule>
  </conditionalFormatting>
  <conditionalFormatting sqref="G253">
    <cfRule type="cellIs" priority="745" operator="greaterThan" aboveAverage="0" equalAverage="0" bottom="0" percent="0" rank="0" text="" dxfId="10">
      <formula>e{r}</formula>
    </cfRule>
  </conditionalFormatting>
  <conditionalFormatting sqref="H254">
    <cfRule type="cellIs" priority="746" operator="greaterThan" aboveAverage="0" equalAverage="0" bottom="0" percent="0" rank="0" text="" dxfId="1">
      <formula>0</formula>
    </cfRule>
    <cfRule type="cellIs" priority="747" operator="lessThanOrEqual" aboveAverage="0" equalAverage="0" bottom="0" percent="0" rank="0" text="" dxfId="0">
      <formula>0</formula>
    </cfRule>
  </conditionalFormatting>
  <conditionalFormatting sqref="G254">
    <cfRule type="cellIs" priority="748" operator="greaterThan" aboveAverage="0" equalAverage="0" bottom="0" percent="0" rank="0" text="" dxfId="10">
      <formula>e{r}</formula>
    </cfRule>
  </conditionalFormatting>
  <conditionalFormatting sqref="H255">
    <cfRule type="cellIs" priority="749" operator="greaterThan" aboveAverage="0" equalAverage="0" bottom="0" percent="0" rank="0" text="" dxfId="1">
      <formula>0</formula>
    </cfRule>
    <cfRule type="cellIs" priority="750" operator="lessThanOrEqual" aboveAverage="0" equalAverage="0" bottom="0" percent="0" rank="0" text="" dxfId="0">
      <formula>0</formula>
    </cfRule>
  </conditionalFormatting>
  <conditionalFormatting sqref="G255">
    <cfRule type="cellIs" priority="751" operator="greaterThan" aboveAverage="0" equalAverage="0" bottom="0" percent="0" rank="0" text="" dxfId="10">
      <formula>e{r}</formula>
    </cfRule>
  </conditionalFormatting>
  <conditionalFormatting sqref="H256">
    <cfRule type="cellIs" priority="752" operator="greaterThan" aboveAverage="0" equalAverage="0" bottom="0" percent="0" rank="0" text="" dxfId="1">
      <formula>0</formula>
    </cfRule>
    <cfRule type="cellIs" priority="753" operator="lessThanOrEqual" aboveAverage="0" equalAverage="0" bottom="0" percent="0" rank="0" text="" dxfId="0">
      <formula>0</formula>
    </cfRule>
  </conditionalFormatting>
  <conditionalFormatting sqref="G256">
    <cfRule type="cellIs" priority="754" operator="greaterThan" aboveAverage="0" equalAverage="0" bottom="0" percent="0" rank="0" text="" dxfId="10">
      <formula>e{r}</formula>
    </cfRule>
  </conditionalFormatting>
  <conditionalFormatting sqref="H257">
    <cfRule type="cellIs" priority="755" operator="greaterThan" aboveAverage="0" equalAverage="0" bottom="0" percent="0" rank="0" text="" dxfId="1">
      <formula>0</formula>
    </cfRule>
    <cfRule type="cellIs" priority="756" operator="lessThanOrEqual" aboveAverage="0" equalAverage="0" bottom="0" percent="0" rank="0" text="" dxfId="0">
      <formula>0</formula>
    </cfRule>
  </conditionalFormatting>
  <conditionalFormatting sqref="G257">
    <cfRule type="cellIs" priority="757" operator="greaterThan" aboveAverage="0" equalAverage="0" bottom="0" percent="0" rank="0" text="" dxfId="10">
      <formula>e{r}</formula>
    </cfRule>
  </conditionalFormatting>
  <conditionalFormatting sqref="H258">
    <cfRule type="cellIs" priority="758" operator="greaterThan" aboveAverage="0" equalAverage="0" bottom="0" percent="0" rank="0" text="" dxfId="1">
      <formula>0</formula>
    </cfRule>
    <cfRule type="cellIs" priority="759" operator="lessThanOrEqual" aboveAverage="0" equalAverage="0" bottom="0" percent="0" rank="0" text="" dxfId="0">
      <formula>0</formula>
    </cfRule>
  </conditionalFormatting>
  <conditionalFormatting sqref="G258">
    <cfRule type="cellIs" priority="760" operator="greaterThan" aboveAverage="0" equalAverage="0" bottom="0" percent="0" rank="0" text="" dxfId="10">
      <formula>e{r}</formula>
    </cfRule>
  </conditionalFormatting>
  <conditionalFormatting sqref="H259">
    <cfRule type="cellIs" priority="761" operator="greaterThan" aboveAverage="0" equalAverage="0" bottom="0" percent="0" rank="0" text="" dxfId="1">
      <formula>0</formula>
    </cfRule>
    <cfRule type="cellIs" priority="762" operator="lessThanOrEqual" aboveAverage="0" equalAverage="0" bottom="0" percent="0" rank="0" text="" dxfId="0">
      <formula>0</formula>
    </cfRule>
  </conditionalFormatting>
  <conditionalFormatting sqref="G259">
    <cfRule type="cellIs" priority="763" operator="greaterThan" aboveAverage="0" equalAverage="0" bottom="0" percent="0" rank="0" text="" dxfId="10">
      <formula>e{r}</formula>
    </cfRule>
  </conditionalFormatting>
  <conditionalFormatting sqref="H260">
    <cfRule type="cellIs" priority="764" operator="greaterThan" aboveAverage="0" equalAverage="0" bottom="0" percent="0" rank="0" text="" dxfId="1">
      <formula>0</formula>
    </cfRule>
    <cfRule type="cellIs" priority="765" operator="lessThanOrEqual" aboveAverage="0" equalAverage="0" bottom="0" percent="0" rank="0" text="" dxfId="0">
      <formula>0</formula>
    </cfRule>
  </conditionalFormatting>
  <conditionalFormatting sqref="G260">
    <cfRule type="cellIs" priority="766" operator="greaterThan" aboveAverage="0" equalAverage="0" bottom="0" percent="0" rank="0" text="" dxfId="10">
      <formula>e{r}</formula>
    </cfRule>
  </conditionalFormatting>
  <conditionalFormatting sqref="H261">
    <cfRule type="cellIs" priority="767" operator="greaterThan" aboveAverage="0" equalAverage="0" bottom="0" percent="0" rank="0" text="" dxfId="1">
      <formula>0</formula>
    </cfRule>
    <cfRule type="cellIs" priority="768" operator="lessThanOrEqual" aboveAverage="0" equalAverage="0" bottom="0" percent="0" rank="0" text="" dxfId="0">
      <formula>0</formula>
    </cfRule>
  </conditionalFormatting>
  <conditionalFormatting sqref="G261">
    <cfRule type="cellIs" priority="769" operator="greaterThan" aboveAverage="0" equalAverage="0" bottom="0" percent="0" rank="0" text="" dxfId="10">
      <formula>e{r}</formula>
    </cfRule>
  </conditionalFormatting>
  <conditionalFormatting sqref="H262">
    <cfRule type="cellIs" priority="770" operator="greaterThan" aboveAverage="0" equalAverage="0" bottom="0" percent="0" rank="0" text="" dxfId="1">
      <formula>0</formula>
    </cfRule>
    <cfRule type="cellIs" priority="771" operator="lessThanOrEqual" aboveAverage="0" equalAverage="0" bottom="0" percent="0" rank="0" text="" dxfId="0">
      <formula>0</formula>
    </cfRule>
  </conditionalFormatting>
  <conditionalFormatting sqref="G262">
    <cfRule type="cellIs" priority="772" operator="greaterThan" aboveAverage="0" equalAverage="0" bottom="0" percent="0" rank="0" text="" dxfId="10">
      <formula>e{r}</formula>
    </cfRule>
  </conditionalFormatting>
  <conditionalFormatting sqref="H263">
    <cfRule type="cellIs" priority="773" operator="greaterThan" aboveAverage="0" equalAverage="0" bottom="0" percent="0" rank="0" text="" dxfId="1">
      <formula>0</formula>
    </cfRule>
    <cfRule type="cellIs" priority="774" operator="lessThanOrEqual" aboveAverage="0" equalAverage="0" bottom="0" percent="0" rank="0" text="" dxfId="0">
      <formula>0</formula>
    </cfRule>
  </conditionalFormatting>
  <conditionalFormatting sqref="G263">
    <cfRule type="cellIs" priority="775" operator="greaterThan" aboveAverage="0" equalAverage="0" bottom="0" percent="0" rank="0" text="" dxfId="10">
      <formula>e{r}</formula>
    </cfRule>
  </conditionalFormatting>
  <conditionalFormatting sqref="H264">
    <cfRule type="cellIs" priority="776" operator="greaterThan" aboveAverage="0" equalAverage="0" bottom="0" percent="0" rank="0" text="" dxfId="1">
      <formula>0</formula>
    </cfRule>
    <cfRule type="cellIs" priority="777" operator="lessThanOrEqual" aboveAverage="0" equalAverage="0" bottom="0" percent="0" rank="0" text="" dxfId="0">
      <formula>0</formula>
    </cfRule>
  </conditionalFormatting>
  <conditionalFormatting sqref="G264">
    <cfRule type="cellIs" priority="778" operator="greaterThan" aboveAverage="0" equalAverage="0" bottom="0" percent="0" rank="0" text="" dxfId="10">
      <formula>e{r}</formula>
    </cfRule>
  </conditionalFormatting>
  <conditionalFormatting sqref="H265">
    <cfRule type="cellIs" priority="779" operator="greaterThan" aboveAverage="0" equalAverage="0" bottom="0" percent="0" rank="0" text="" dxfId="1">
      <formula>0</formula>
    </cfRule>
    <cfRule type="cellIs" priority="780" operator="lessThanOrEqual" aboveAverage="0" equalAverage="0" bottom="0" percent="0" rank="0" text="" dxfId="0">
      <formula>0</formula>
    </cfRule>
  </conditionalFormatting>
  <conditionalFormatting sqref="G265">
    <cfRule type="cellIs" priority="781" operator="greaterThan" aboveAverage="0" equalAverage="0" bottom="0" percent="0" rank="0" text="" dxfId="10">
      <formula>e{r}</formula>
    </cfRule>
  </conditionalFormatting>
  <conditionalFormatting sqref="H266">
    <cfRule type="cellIs" priority="782" operator="greaterThan" aboveAverage="0" equalAverage="0" bottom="0" percent="0" rank="0" text="" dxfId="1">
      <formula>0</formula>
    </cfRule>
    <cfRule type="cellIs" priority="783" operator="lessThanOrEqual" aboveAverage="0" equalAverage="0" bottom="0" percent="0" rank="0" text="" dxfId="0">
      <formula>0</formula>
    </cfRule>
  </conditionalFormatting>
  <conditionalFormatting sqref="G266">
    <cfRule type="cellIs" priority="784" operator="greaterThan" aboveAverage="0" equalAverage="0" bottom="0" percent="0" rank="0" text="" dxfId="10">
      <formula>e{r}</formula>
    </cfRule>
  </conditionalFormatting>
  <conditionalFormatting sqref="H267">
    <cfRule type="cellIs" priority="785" operator="greaterThan" aboveAverage="0" equalAverage="0" bottom="0" percent="0" rank="0" text="" dxfId="1">
      <formula>0</formula>
    </cfRule>
    <cfRule type="cellIs" priority="786" operator="lessThanOrEqual" aboveAverage="0" equalAverage="0" bottom="0" percent="0" rank="0" text="" dxfId="0">
      <formula>0</formula>
    </cfRule>
  </conditionalFormatting>
  <conditionalFormatting sqref="G267">
    <cfRule type="cellIs" priority="787" operator="greaterThan" aboveAverage="0" equalAverage="0" bottom="0" percent="0" rank="0" text="" dxfId="10">
      <formula>e{r}</formula>
    </cfRule>
  </conditionalFormatting>
  <conditionalFormatting sqref="H268">
    <cfRule type="cellIs" priority="788" operator="greaterThan" aboveAverage="0" equalAverage="0" bottom="0" percent="0" rank="0" text="" dxfId="1">
      <formula>0</formula>
    </cfRule>
    <cfRule type="cellIs" priority="789" operator="lessThanOrEqual" aboveAverage="0" equalAverage="0" bottom="0" percent="0" rank="0" text="" dxfId="0">
      <formula>0</formula>
    </cfRule>
  </conditionalFormatting>
  <conditionalFormatting sqref="G268">
    <cfRule type="cellIs" priority="790" operator="greaterThan" aboveAverage="0" equalAverage="0" bottom="0" percent="0" rank="0" text="" dxfId="10">
      <formula>e{r}</formula>
    </cfRule>
  </conditionalFormatting>
  <conditionalFormatting sqref="H269">
    <cfRule type="cellIs" priority="791" operator="greaterThan" aboveAverage="0" equalAverage="0" bottom="0" percent="0" rank="0" text="" dxfId="1">
      <formula>0</formula>
    </cfRule>
    <cfRule type="cellIs" priority="792" operator="lessThanOrEqual" aboveAverage="0" equalAverage="0" bottom="0" percent="0" rank="0" text="" dxfId="0">
      <formula>0</formula>
    </cfRule>
  </conditionalFormatting>
  <conditionalFormatting sqref="G269">
    <cfRule type="cellIs" priority="793" operator="greaterThan" aboveAverage="0" equalAverage="0" bottom="0" percent="0" rank="0" text="" dxfId="10">
      <formula>e{r}</formula>
    </cfRule>
  </conditionalFormatting>
  <conditionalFormatting sqref="H270">
    <cfRule type="cellIs" priority="794" operator="greaterThan" aboveAverage="0" equalAverage="0" bottom="0" percent="0" rank="0" text="" dxfId="1">
      <formula>0</formula>
    </cfRule>
    <cfRule type="cellIs" priority="795" operator="lessThanOrEqual" aboveAverage="0" equalAverage="0" bottom="0" percent="0" rank="0" text="" dxfId="0">
      <formula>0</formula>
    </cfRule>
  </conditionalFormatting>
  <conditionalFormatting sqref="G270">
    <cfRule type="cellIs" priority="796" operator="greaterThan" aboveAverage="0" equalAverage="0" bottom="0" percent="0" rank="0" text="" dxfId="10">
      <formula>e{r}</formula>
    </cfRule>
  </conditionalFormatting>
  <conditionalFormatting sqref="H271">
    <cfRule type="cellIs" priority="797" operator="greaterThan" aboveAverage="0" equalAverage="0" bottom="0" percent="0" rank="0" text="" dxfId="1">
      <formula>0</formula>
    </cfRule>
    <cfRule type="cellIs" priority="798" operator="lessThanOrEqual" aboveAverage="0" equalAverage="0" bottom="0" percent="0" rank="0" text="" dxfId="0">
      <formula>0</formula>
    </cfRule>
  </conditionalFormatting>
  <conditionalFormatting sqref="G271">
    <cfRule type="cellIs" priority="799" operator="greaterThan" aboveAverage="0" equalAverage="0" bottom="0" percent="0" rank="0" text="" dxfId="10">
      <formula>e{r}</formula>
    </cfRule>
  </conditionalFormatting>
  <conditionalFormatting sqref="H272">
    <cfRule type="cellIs" priority="800" operator="greaterThan" aboveAverage="0" equalAverage="0" bottom="0" percent="0" rank="0" text="" dxfId="1">
      <formula>0</formula>
    </cfRule>
    <cfRule type="cellIs" priority="801" operator="lessThanOrEqual" aboveAverage="0" equalAverage="0" bottom="0" percent="0" rank="0" text="" dxfId="0">
      <formula>0</formula>
    </cfRule>
  </conditionalFormatting>
  <conditionalFormatting sqref="G272">
    <cfRule type="cellIs" priority="802" operator="greaterThan" aboveAverage="0" equalAverage="0" bottom="0" percent="0" rank="0" text="" dxfId="10">
      <formula>e{r}</formula>
    </cfRule>
  </conditionalFormatting>
  <conditionalFormatting sqref="H273">
    <cfRule type="cellIs" priority="803" operator="greaterThan" aboveAverage="0" equalAverage="0" bottom="0" percent="0" rank="0" text="" dxfId="1">
      <formula>0</formula>
    </cfRule>
    <cfRule type="cellIs" priority="804" operator="lessThanOrEqual" aboveAverage="0" equalAverage="0" bottom="0" percent="0" rank="0" text="" dxfId="0">
      <formula>0</formula>
    </cfRule>
  </conditionalFormatting>
  <conditionalFormatting sqref="G273">
    <cfRule type="cellIs" priority="805" operator="greaterThan" aboveAverage="0" equalAverage="0" bottom="0" percent="0" rank="0" text="" dxfId="10">
      <formula>e{r}</formula>
    </cfRule>
  </conditionalFormatting>
  <conditionalFormatting sqref="H274">
    <cfRule type="cellIs" priority="806" operator="greaterThan" aboveAverage="0" equalAverage="0" bottom="0" percent="0" rank="0" text="" dxfId="1">
      <formula>0</formula>
    </cfRule>
    <cfRule type="cellIs" priority="807" operator="lessThanOrEqual" aboveAverage="0" equalAverage="0" bottom="0" percent="0" rank="0" text="" dxfId="0">
      <formula>0</formula>
    </cfRule>
  </conditionalFormatting>
  <conditionalFormatting sqref="G274">
    <cfRule type="cellIs" priority="808" operator="greaterThan" aboveAverage="0" equalAverage="0" bottom="0" percent="0" rank="0" text="" dxfId="10">
      <formula>e{r}</formula>
    </cfRule>
  </conditionalFormatting>
  <conditionalFormatting sqref="H275">
    <cfRule type="cellIs" priority="809" operator="greaterThan" aboveAverage="0" equalAverage="0" bottom="0" percent="0" rank="0" text="" dxfId="1">
      <formula>0</formula>
    </cfRule>
    <cfRule type="cellIs" priority="810" operator="lessThanOrEqual" aboveAverage="0" equalAverage="0" bottom="0" percent="0" rank="0" text="" dxfId="0">
      <formula>0</formula>
    </cfRule>
  </conditionalFormatting>
  <conditionalFormatting sqref="G275">
    <cfRule type="cellIs" priority="811" operator="greaterThan" aboveAverage="0" equalAverage="0" bottom="0" percent="0" rank="0" text="" dxfId="10">
      <formula>e{r}</formula>
    </cfRule>
  </conditionalFormatting>
  <conditionalFormatting sqref="H276">
    <cfRule type="cellIs" priority="812" operator="greaterThan" aboveAverage="0" equalAverage="0" bottom="0" percent="0" rank="0" text="" dxfId="1">
      <formula>0</formula>
    </cfRule>
    <cfRule type="cellIs" priority="813" operator="lessThanOrEqual" aboveAverage="0" equalAverage="0" bottom="0" percent="0" rank="0" text="" dxfId="0">
      <formula>0</formula>
    </cfRule>
  </conditionalFormatting>
  <conditionalFormatting sqref="G276">
    <cfRule type="cellIs" priority="814" operator="greaterThan" aboveAverage="0" equalAverage="0" bottom="0" percent="0" rank="0" text="" dxfId="10">
      <formula>e{r}</formula>
    </cfRule>
  </conditionalFormatting>
  <conditionalFormatting sqref="H277">
    <cfRule type="cellIs" priority="815" operator="greaterThan" aboveAverage="0" equalAverage="0" bottom="0" percent="0" rank="0" text="" dxfId="1">
      <formula>0</formula>
    </cfRule>
    <cfRule type="cellIs" priority="816" operator="lessThanOrEqual" aboveAverage="0" equalAverage="0" bottom="0" percent="0" rank="0" text="" dxfId="0">
      <formula>0</formula>
    </cfRule>
  </conditionalFormatting>
  <conditionalFormatting sqref="G277">
    <cfRule type="cellIs" priority="817" operator="greaterThan" aboveAverage="0" equalAverage="0" bottom="0" percent="0" rank="0" text="" dxfId="10">
      <formula>e{r}</formula>
    </cfRule>
  </conditionalFormatting>
  <conditionalFormatting sqref="H278">
    <cfRule type="cellIs" priority="818" operator="greaterThan" aboveAverage="0" equalAverage="0" bottom="0" percent="0" rank="0" text="" dxfId="1">
      <formula>0</formula>
    </cfRule>
    <cfRule type="cellIs" priority="819" operator="lessThanOrEqual" aboveAverage="0" equalAverage="0" bottom="0" percent="0" rank="0" text="" dxfId="0">
      <formula>0</formula>
    </cfRule>
  </conditionalFormatting>
  <conditionalFormatting sqref="G278">
    <cfRule type="cellIs" priority="820" operator="greaterThan" aboveAverage="0" equalAverage="0" bottom="0" percent="0" rank="0" text="" dxfId="10">
      <formula>e{r}</formula>
    </cfRule>
  </conditionalFormatting>
  <conditionalFormatting sqref="H279">
    <cfRule type="cellIs" priority="821" operator="greaterThan" aboveAverage="0" equalAverage="0" bottom="0" percent="0" rank="0" text="" dxfId="1">
      <formula>0</formula>
    </cfRule>
    <cfRule type="cellIs" priority="822" operator="lessThanOrEqual" aboveAverage="0" equalAverage="0" bottom="0" percent="0" rank="0" text="" dxfId="0">
      <formula>0</formula>
    </cfRule>
  </conditionalFormatting>
  <conditionalFormatting sqref="G279">
    <cfRule type="cellIs" priority="823" operator="greaterThan" aboveAverage="0" equalAverage="0" bottom="0" percent="0" rank="0" text="" dxfId="10">
      <formula>e{r}</formula>
    </cfRule>
  </conditionalFormatting>
  <conditionalFormatting sqref="H280">
    <cfRule type="cellIs" priority="824" operator="greaterThan" aboveAverage="0" equalAverage="0" bottom="0" percent="0" rank="0" text="" dxfId="1">
      <formula>0</formula>
    </cfRule>
    <cfRule type="cellIs" priority="825" operator="lessThanOrEqual" aboveAverage="0" equalAverage="0" bottom="0" percent="0" rank="0" text="" dxfId="0">
      <formula>0</formula>
    </cfRule>
  </conditionalFormatting>
  <conditionalFormatting sqref="G280">
    <cfRule type="cellIs" priority="826" operator="greaterThan" aboveAverage="0" equalAverage="0" bottom="0" percent="0" rank="0" text="" dxfId="10">
      <formula>e{r}</formula>
    </cfRule>
  </conditionalFormatting>
  <conditionalFormatting sqref="H281">
    <cfRule type="cellIs" priority="827" operator="greaterThan" aboveAverage="0" equalAverage="0" bottom="0" percent="0" rank="0" text="" dxfId="1">
      <formula>0</formula>
    </cfRule>
    <cfRule type="cellIs" priority="828" operator="lessThanOrEqual" aboveAverage="0" equalAverage="0" bottom="0" percent="0" rank="0" text="" dxfId="0">
      <formula>0</formula>
    </cfRule>
  </conditionalFormatting>
  <conditionalFormatting sqref="G281">
    <cfRule type="cellIs" priority="829" operator="greaterThan" aboveAverage="0" equalAverage="0" bottom="0" percent="0" rank="0" text="" dxfId="10">
      <formula>e{r}</formula>
    </cfRule>
  </conditionalFormatting>
  <conditionalFormatting sqref="H282">
    <cfRule type="cellIs" priority="830" operator="greaterThan" aboveAverage="0" equalAverage="0" bottom="0" percent="0" rank="0" text="" dxfId="1">
      <formula>0</formula>
    </cfRule>
    <cfRule type="cellIs" priority="831" operator="lessThanOrEqual" aboveAverage="0" equalAverage="0" bottom="0" percent="0" rank="0" text="" dxfId="0">
      <formula>0</formula>
    </cfRule>
  </conditionalFormatting>
  <conditionalFormatting sqref="G282">
    <cfRule type="cellIs" priority="832" operator="greaterThan" aboveAverage="0" equalAverage="0" bottom="0" percent="0" rank="0" text="" dxfId="10">
      <formula>e{r}</formula>
    </cfRule>
  </conditionalFormatting>
  <conditionalFormatting sqref="H283">
    <cfRule type="cellIs" priority="833" operator="greaterThan" aboveAverage="0" equalAverage="0" bottom="0" percent="0" rank="0" text="" dxfId="1">
      <formula>0</formula>
    </cfRule>
    <cfRule type="cellIs" priority="834" operator="lessThanOrEqual" aboveAverage="0" equalAverage="0" bottom="0" percent="0" rank="0" text="" dxfId="0">
      <formula>0</formula>
    </cfRule>
  </conditionalFormatting>
  <conditionalFormatting sqref="G283">
    <cfRule type="cellIs" priority="835" operator="greaterThan" aboveAverage="0" equalAverage="0" bottom="0" percent="0" rank="0" text="" dxfId="10">
      <formula>e{r}</formula>
    </cfRule>
  </conditionalFormatting>
  <conditionalFormatting sqref="H284">
    <cfRule type="cellIs" priority="836" operator="greaterThan" aboveAverage="0" equalAverage="0" bottom="0" percent="0" rank="0" text="" dxfId="1">
      <formula>0</formula>
    </cfRule>
    <cfRule type="cellIs" priority="837" operator="lessThanOrEqual" aboveAverage="0" equalAverage="0" bottom="0" percent="0" rank="0" text="" dxfId="0">
      <formula>0</formula>
    </cfRule>
  </conditionalFormatting>
  <conditionalFormatting sqref="G284">
    <cfRule type="cellIs" priority="838" operator="greaterThan" aboveAverage="0" equalAverage="0" bottom="0" percent="0" rank="0" text="" dxfId="10">
      <formula>e{r}</formula>
    </cfRule>
  </conditionalFormatting>
  <conditionalFormatting sqref="H285">
    <cfRule type="cellIs" priority="839" operator="greaterThan" aboveAverage="0" equalAverage="0" bottom="0" percent="0" rank="0" text="" dxfId="1">
      <formula>0</formula>
    </cfRule>
    <cfRule type="cellIs" priority="840" operator="lessThanOrEqual" aboveAverage="0" equalAverage="0" bottom="0" percent="0" rank="0" text="" dxfId="0">
      <formula>0</formula>
    </cfRule>
  </conditionalFormatting>
  <conditionalFormatting sqref="G285">
    <cfRule type="cellIs" priority="841" operator="greaterThan" aboveAverage="0" equalAverage="0" bottom="0" percent="0" rank="0" text="" dxfId="10">
      <formula>e{r}</formula>
    </cfRule>
  </conditionalFormatting>
  <conditionalFormatting sqref="H286">
    <cfRule type="cellIs" priority="842" operator="greaterThan" aboveAverage="0" equalAverage="0" bottom="0" percent="0" rank="0" text="" dxfId="1">
      <formula>0</formula>
    </cfRule>
    <cfRule type="cellIs" priority="843" operator="lessThanOrEqual" aboveAverage="0" equalAverage="0" bottom="0" percent="0" rank="0" text="" dxfId="0">
      <formula>0</formula>
    </cfRule>
  </conditionalFormatting>
  <conditionalFormatting sqref="G286">
    <cfRule type="cellIs" priority="844" operator="greaterThan" aboveAverage="0" equalAverage="0" bottom="0" percent="0" rank="0" text="" dxfId="10">
      <formula>e{r}</formula>
    </cfRule>
  </conditionalFormatting>
  <conditionalFormatting sqref="H287">
    <cfRule type="cellIs" priority="845" operator="greaterThan" aboveAverage="0" equalAverage="0" bottom="0" percent="0" rank="0" text="" dxfId="1">
      <formula>0</formula>
    </cfRule>
    <cfRule type="cellIs" priority="846" operator="lessThanOrEqual" aboveAverage="0" equalAverage="0" bottom="0" percent="0" rank="0" text="" dxfId="0">
      <formula>0</formula>
    </cfRule>
  </conditionalFormatting>
  <conditionalFormatting sqref="G287">
    <cfRule type="cellIs" priority="847" operator="greaterThan" aboveAverage="0" equalAverage="0" bottom="0" percent="0" rank="0" text="" dxfId="10">
      <formula>e{r}</formula>
    </cfRule>
  </conditionalFormatting>
  <conditionalFormatting sqref="H288">
    <cfRule type="cellIs" priority="848" operator="greaterThan" aboveAverage="0" equalAverage="0" bottom="0" percent="0" rank="0" text="" dxfId="1">
      <formula>0</formula>
    </cfRule>
    <cfRule type="cellIs" priority="849" operator="lessThanOrEqual" aboveAverage="0" equalAverage="0" bottom="0" percent="0" rank="0" text="" dxfId="0">
      <formula>0</formula>
    </cfRule>
  </conditionalFormatting>
  <conditionalFormatting sqref="G288">
    <cfRule type="cellIs" priority="850" operator="greaterThan" aboveAverage="0" equalAverage="0" bottom="0" percent="0" rank="0" text="" dxfId="10">
      <formula>e{r}</formula>
    </cfRule>
  </conditionalFormatting>
  <conditionalFormatting sqref="H289">
    <cfRule type="cellIs" priority="851" operator="greaterThan" aboveAverage="0" equalAverage="0" bottom="0" percent="0" rank="0" text="" dxfId="1">
      <formula>0</formula>
    </cfRule>
    <cfRule type="cellIs" priority="852" operator="lessThanOrEqual" aboveAverage="0" equalAverage="0" bottom="0" percent="0" rank="0" text="" dxfId="0">
      <formula>0</formula>
    </cfRule>
  </conditionalFormatting>
  <conditionalFormatting sqref="G289">
    <cfRule type="cellIs" priority="853" operator="greaterThan" aboveAverage="0" equalAverage="0" bottom="0" percent="0" rank="0" text="" dxfId="10">
      <formula>e{r}</formula>
    </cfRule>
  </conditionalFormatting>
  <conditionalFormatting sqref="H290">
    <cfRule type="cellIs" priority="854" operator="greaterThan" aboveAverage="0" equalAverage="0" bottom="0" percent="0" rank="0" text="" dxfId="1">
      <formula>0</formula>
    </cfRule>
    <cfRule type="cellIs" priority="855" operator="lessThanOrEqual" aboveAverage="0" equalAverage="0" bottom="0" percent="0" rank="0" text="" dxfId="0">
      <formula>0</formula>
    </cfRule>
  </conditionalFormatting>
  <conditionalFormatting sqref="G290">
    <cfRule type="cellIs" priority="856" operator="greaterThan" aboveAverage="0" equalAverage="0" bottom="0" percent="0" rank="0" text="" dxfId="10">
      <formula>e{r}</formula>
    </cfRule>
  </conditionalFormatting>
  <conditionalFormatting sqref="H291">
    <cfRule type="cellIs" priority="857" operator="greaterThan" aboveAverage="0" equalAverage="0" bottom="0" percent="0" rank="0" text="" dxfId="1">
      <formula>0</formula>
    </cfRule>
    <cfRule type="cellIs" priority="858" operator="lessThanOrEqual" aboveAverage="0" equalAverage="0" bottom="0" percent="0" rank="0" text="" dxfId="0">
      <formula>0</formula>
    </cfRule>
  </conditionalFormatting>
  <conditionalFormatting sqref="G291">
    <cfRule type="cellIs" priority="859" operator="greaterThan" aboveAverage="0" equalAverage="0" bottom="0" percent="0" rank="0" text="" dxfId="10">
      <formula>e{r}</formula>
    </cfRule>
  </conditionalFormatting>
  <conditionalFormatting sqref="H292">
    <cfRule type="cellIs" priority="860" operator="greaterThan" aboveAverage="0" equalAverage="0" bottom="0" percent="0" rank="0" text="" dxfId="1">
      <formula>0</formula>
    </cfRule>
    <cfRule type="cellIs" priority="861" operator="lessThanOrEqual" aboveAverage="0" equalAverage="0" bottom="0" percent="0" rank="0" text="" dxfId="0">
      <formula>0</formula>
    </cfRule>
  </conditionalFormatting>
  <conditionalFormatting sqref="G292">
    <cfRule type="cellIs" priority="862" operator="greaterThan" aboveAverage="0" equalAverage="0" bottom="0" percent="0" rank="0" text="" dxfId="10">
      <formula>e{r}</formula>
    </cfRule>
  </conditionalFormatting>
  <conditionalFormatting sqref="H293">
    <cfRule type="cellIs" priority="863" operator="greaterThan" aboveAverage="0" equalAverage="0" bottom="0" percent="0" rank="0" text="" dxfId="1">
      <formula>0</formula>
    </cfRule>
    <cfRule type="cellIs" priority="864" operator="lessThanOrEqual" aboveAverage="0" equalAverage="0" bottom="0" percent="0" rank="0" text="" dxfId="0">
      <formula>0</formula>
    </cfRule>
  </conditionalFormatting>
  <conditionalFormatting sqref="G293">
    <cfRule type="cellIs" priority="865" operator="greaterThan" aboveAverage="0" equalAverage="0" bottom="0" percent="0" rank="0" text="" dxfId="10">
      <formula>e{r}</formula>
    </cfRule>
  </conditionalFormatting>
  <conditionalFormatting sqref="H294">
    <cfRule type="cellIs" priority="866" operator="greaterThan" aboveAverage="0" equalAverage="0" bottom="0" percent="0" rank="0" text="" dxfId="1">
      <formula>0</formula>
    </cfRule>
    <cfRule type="cellIs" priority="867" operator="lessThanOrEqual" aboveAverage="0" equalAverage="0" bottom="0" percent="0" rank="0" text="" dxfId="0">
      <formula>0</formula>
    </cfRule>
  </conditionalFormatting>
  <conditionalFormatting sqref="G294">
    <cfRule type="cellIs" priority="868" operator="greaterThan" aboveAverage="0" equalAverage="0" bottom="0" percent="0" rank="0" text="" dxfId="10">
      <formula>e{r}</formula>
    </cfRule>
  </conditionalFormatting>
  <conditionalFormatting sqref="H295">
    <cfRule type="cellIs" priority="869" operator="greaterThan" aboveAverage="0" equalAverage="0" bottom="0" percent="0" rank="0" text="" dxfId="1">
      <formula>0</formula>
    </cfRule>
    <cfRule type="cellIs" priority="870" operator="lessThanOrEqual" aboveAverage="0" equalAverage="0" bottom="0" percent="0" rank="0" text="" dxfId="0">
      <formula>0</formula>
    </cfRule>
  </conditionalFormatting>
  <conditionalFormatting sqref="G295">
    <cfRule type="cellIs" priority="871" operator="greaterThan" aboveAverage="0" equalAverage="0" bottom="0" percent="0" rank="0" text="" dxfId="10">
      <formula>e{r}</formula>
    </cfRule>
  </conditionalFormatting>
  <conditionalFormatting sqref="H296">
    <cfRule type="cellIs" priority="872" operator="greaterThan" aboveAverage="0" equalAverage="0" bottom="0" percent="0" rank="0" text="" dxfId="1">
      <formula>0</formula>
    </cfRule>
    <cfRule type="cellIs" priority="873" operator="lessThanOrEqual" aboveAverage="0" equalAverage="0" bottom="0" percent="0" rank="0" text="" dxfId="0">
      <formula>0</formula>
    </cfRule>
  </conditionalFormatting>
  <conditionalFormatting sqref="G296">
    <cfRule type="cellIs" priority="874" operator="greaterThan" aboveAverage="0" equalAverage="0" bottom="0" percent="0" rank="0" text="" dxfId="10">
      <formula>e{r}</formula>
    </cfRule>
  </conditionalFormatting>
  <conditionalFormatting sqref="H297">
    <cfRule type="cellIs" priority="875" operator="greaterThan" aboveAverage="0" equalAverage="0" bottom="0" percent="0" rank="0" text="" dxfId="1">
      <formula>0</formula>
    </cfRule>
    <cfRule type="cellIs" priority="876" operator="lessThanOrEqual" aboveAverage="0" equalAverage="0" bottom="0" percent="0" rank="0" text="" dxfId="0">
      <formula>0</formula>
    </cfRule>
  </conditionalFormatting>
  <conditionalFormatting sqref="G297">
    <cfRule type="cellIs" priority="877" operator="greaterThan" aboveAverage="0" equalAverage="0" bottom="0" percent="0" rank="0" text="" dxfId="10">
      <formula>e{r}</formula>
    </cfRule>
  </conditionalFormatting>
  <conditionalFormatting sqref="H298">
    <cfRule type="cellIs" priority="878" operator="greaterThan" aboveAverage="0" equalAverage="0" bottom="0" percent="0" rank="0" text="" dxfId="1">
      <formula>0</formula>
    </cfRule>
    <cfRule type="cellIs" priority="879" operator="lessThanOrEqual" aboveAverage="0" equalAverage="0" bottom="0" percent="0" rank="0" text="" dxfId="0">
      <formula>0</formula>
    </cfRule>
  </conditionalFormatting>
  <conditionalFormatting sqref="G298">
    <cfRule type="cellIs" priority="880" operator="greaterThan" aboveAverage="0" equalAverage="0" bottom="0" percent="0" rank="0" text="" dxfId="10">
      <formula>e{r}</formula>
    </cfRule>
  </conditionalFormatting>
  <conditionalFormatting sqref="H299">
    <cfRule type="cellIs" priority="881" operator="greaterThan" aboveAverage="0" equalAverage="0" bottom="0" percent="0" rank="0" text="" dxfId="1">
      <formula>0</formula>
    </cfRule>
    <cfRule type="cellIs" priority="882" operator="lessThanOrEqual" aboveAverage="0" equalAverage="0" bottom="0" percent="0" rank="0" text="" dxfId="0">
      <formula>0</formula>
    </cfRule>
  </conditionalFormatting>
  <conditionalFormatting sqref="G299">
    <cfRule type="cellIs" priority="883" operator="greaterThan" aboveAverage="0" equalAverage="0" bottom="0" percent="0" rank="0" text="" dxfId="10">
      <formula>e{r}</formula>
    </cfRule>
  </conditionalFormatting>
  <conditionalFormatting sqref="H300">
    <cfRule type="cellIs" priority="884" operator="greaterThan" aboveAverage="0" equalAverage="0" bottom="0" percent="0" rank="0" text="" dxfId="1">
      <formula>0</formula>
    </cfRule>
    <cfRule type="cellIs" priority="885" operator="lessThanOrEqual" aboveAverage="0" equalAverage="0" bottom="0" percent="0" rank="0" text="" dxfId="0">
      <formula>0</formula>
    </cfRule>
  </conditionalFormatting>
  <conditionalFormatting sqref="G300">
    <cfRule type="cellIs" priority="886" operator="greaterThan" aboveAverage="0" equalAverage="0" bottom="0" percent="0" rank="0" text="" dxfId="10">
      <formula>e{r}</formula>
    </cfRule>
  </conditionalFormatting>
  <conditionalFormatting sqref="H301">
    <cfRule type="cellIs" priority="887" operator="greaterThan" aboveAverage="0" equalAverage="0" bottom="0" percent="0" rank="0" text="" dxfId="1">
      <formula>0</formula>
    </cfRule>
    <cfRule type="cellIs" priority="888" operator="lessThanOrEqual" aboveAverage="0" equalAverage="0" bottom="0" percent="0" rank="0" text="" dxfId="0">
      <formula>0</formula>
    </cfRule>
  </conditionalFormatting>
  <conditionalFormatting sqref="G301">
    <cfRule type="cellIs" priority="889" operator="greaterThan" aboveAverage="0" equalAverage="0" bottom="0" percent="0" rank="0" text="" dxfId="10">
      <formula>e{r}</formula>
    </cfRule>
  </conditionalFormatting>
  <conditionalFormatting sqref="H302">
    <cfRule type="cellIs" priority="890" operator="greaterThan" aboveAverage="0" equalAverage="0" bottom="0" percent="0" rank="0" text="" dxfId="1">
      <formula>0</formula>
    </cfRule>
    <cfRule type="cellIs" priority="891" operator="lessThanOrEqual" aboveAverage="0" equalAverage="0" bottom="0" percent="0" rank="0" text="" dxfId="0">
      <formula>0</formula>
    </cfRule>
  </conditionalFormatting>
  <conditionalFormatting sqref="G302">
    <cfRule type="cellIs" priority="892" operator="greaterThan" aboveAverage="0" equalAverage="0" bottom="0" percent="0" rank="0" text="" dxfId="10">
      <formula>e{r}</formula>
    </cfRule>
  </conditionalFormatting>
  <conditionalFormatting sqref="H303">
    <cfRule type="cellIs" priority="893" operator="greaterThan" aboveAverage="0" equalAverage="0" bottom="0" percent="0" rank="0" text="" dxfId="1">
      <formula>0</formula>
    </cfRule>
    <cfRule type="cellIs" priority="894" operator="lessThanOrEqual" aboveAverage="0" equalAverage="0" bottom="0" percent="0" rank="0" text="" dxfId="0">
      <formula>0</formula>
    </cfRule>
  </conditionalFormatting>
  <conditionalFormatting sqref="G303">
    <cfRule type="cellIs" priority="895" operator="greaterThan" aboveAverage="0" equalAverage="0" bottom="0" percent="0" rank="0" text="" dxfId="10">
      <formula>e{r}</formula>
    </cfRule>
  </conditionalFormatting>
  <conditionalFormatting sqref="H304">
    <cfRule type="cellIs" priority="896" operator="greaterThan" aboveAverage="0" equalAverage="0" bottom="0" percent="0" rank="0" text="" dxfId="1">
      <formula>0</formula>
    </cfRule>
    <cfRule type="cellIs" priority="897" operator="lessThanOrEqual" aboveAverage="0" equalAverage="0" bottom="0" percent="0" rank="0" text="" dxfId="0">
      <formula>0</formula>
    </cfRule>
  </conditionalFormatting>
  <conditionalFormatting sqref="G304">
    <cfRule type="cellIs" priority="898" operator="greaterThan" aboveAverage="0" equalAverage="0" bottom="0" percent="0" rank="0" text="" dxfId="10">
      <formula>e{r}</formula>
    </cfRule>
  </conditionalFormatting>
  <conditionalFormatting sqref="H305">
    <cfRule type="cellIs" priority="899" operator="greaterThan" aboveAverage="0" equalAverage="0" bottom="0" percent="0" rank="0" text="" dxfId="1">
      <formula>0</formula>
    </cfRule>
    <cfRule type="cellIs" priority="900" operator="lessThanOrEqual" aboveAverage="0" equalAverage="0" bottom="0" percent="0" rank="0" text="" dxfId="0">
      <formula>0</formula>
    </cfRule>
  </conditionalFormatting>
  <conditionalFormatting sqref="G305">
    <cfRule type="cellIs" priority="901" operator="greaterThan" aboveAverage="0" equalAverage="0" bottom="0" percent="0" rank="0" text="" dxfId="10">
      <formula>e{r}</formula>
    </cfRule>
  </conditionalFormatting>
  <conditionalFormatting sqref="H306">
    <cfRule type="cellIs" priority="902" operator="greaterThan" aboveAverage="0" equalAverage="0" bottom="0" percent="0" rank="0" text="" dxfId="1">
      <formula>0</formula>
    </cfRule>
    <cfRule type="cellIs" priority="903" operator="lessThanOrEqual" aboveAverage="0" equalAverage="0" bottom="0" percent="0" rank="0" text="" dxfId="0">
      <formula>0</formula>
    </cfRule>
  </conditionalFormatting>
  <conditionalFormatting sqref="G306">
    <cfRule type="cellIs" priority="904" operator="greaterThan" aboveAverage="0" equalAverage="0" bottom="0" percent="0" rank="0" text="" dxfId="10">
      <formula>e{r}</formula>
    </cfRule>
  </conditionalFormatting>
  <conditionalFormatting sqref="H307">
    <cfRule type="cellIs" priority="905" operator="greaterThan" aboveAverage="0" equalAverage="0" bottom="0" percent="0" rank="0" text="" dxfId="1">
      <formula>0</formula>
    </cfRule>
    <cfRule type="cellIs" priority="906" operator="lessThanOrEqual" aboveAverage="0" equalAverage="0" bottom="0" percent="0" rank="0" text="" dxfId="0">
      <formula>0</formula>
    </cfRule>
  </conditionalFormatting>
  <conditionalFormatting sqref="G307">
    <cfRule type="cellIs" priority="907" operator="greaterThan" aboveAverage="0" equalAverage="0" bottom="0" percent="0" rank="0" text="" dxfId="10">
      <formula>e{r}</formula>
    </cfRule>
  </conditionalFormatting>
  <conditionalFormatting sqref="H308">
    <cfRule type="cellIs" priority="908" operator="greaterThan" aboveAverage="0" equalAverage="0" bottom="0" percent="0" rank="0" text="" dxfId="1">
      <formula>0</formula>
    </cfRule>
    <cfRule type="cellIs" priority="909" operator="lessThanOrEqual" aboveAverage="0" equalAverage="0" bottom="0" percent="0" rank="0" text="" dxfId="0">
      <formula>0</formula>
    </cfRule>
  </conditionalFormatting>
  <conditionalFormatting sqref="G308">
    <cfRule type="cellIs" priority="910" operator="greaterThan" aboveAverage="0" equalAverage="0" bottom="0" percent="0" rank="0" text="" dxfId="10">
      <formula>e{r}</formula>
    </cfRule>
  </conditionalFormatting>
  <conditionalFormatting sqref="H309">
    <cfRule type="cellIs" priority="911" operator="greaterThan" aboveAverage="0" equalAverage="0" bottom="0" percent="0" rank="0" text="" dxfId="1">
      <formula>0</formula>
    </cfRule>
    <cfRule type="cellIs" priority="912" operator="lessThanOrEqual" aboveAverage="0" equalAverage="0" bottom="0" percent="0" rank="0" text="" dxfId="0">
      <formula>0</formula>
    </cfRule>
  </conditionalFormatting>
  <conditionalFormatting sqref="G309">
    <cfRule type="cellIs" priority="913" operator="greaterThan" aboveAverage="0" equalAverage="0" bottom="0" percent="0" rank="0" text="" dxfId="10">
      <formula>e{r}</formula>
    </cfRule>
  </conditionalFormatting>
  <conditionalFormatting sqref="H310">
    <cfRule type="cellIs" priority="914" operator="greaterThan" aboveAverage="0" equalAverage="0" bottom="0" percent="0" rank="0" text="" dxfId="1">
      <formula>0</formula>
    </cfRule>
    <cfRule type="cellIs" priority="915" operator="lessThanOrEqual" aboveAverage="0" equalAverage="0" bottom="0" percent="0" rank="0" text="" dxfId="0">
      <formula>0</formula>
    </cfRule>
  </conditionalFormatting>
  <conditionalFormatting sqref="G310">
    <cfRule type="cellIs" priority="916" operator="greaterThan" aboveAverage="0" equalAverage="0" bottom="0" percent="0" rank="0" text="" dxfId="10">
      <formula>e{r}</formula>
    </cfRule>
  </conditionalFormatting>
  <conditionalFormatting sqref="H311">
    <cfRule type="cellIs" priority="917" operator="greaterThan" aboveAverage="0" equalAverage="0" bottom="0" percent="0" rank="0" text="" dxfId="1">
      <formula>0</formula>
    </cfRule>
    <cfRule type="cellIs" priority="918" operator="lessThanOrEqual" aboveAverage="0" equalAverage="0" bottom="0" percent="0" rank="0" text="" dxfId="0">
      <formula>0</formula>
    </cfRule>
  </conditionalFormatting>
  <conditionalFormatting sqref="G311">
    <cfRule type="cellIs" priority="919" operator="greaterThan" aboveAverage="0" equalAverage="0" bottom="0" percent="0" rank="0" text="" dxfId="10">
      <formula>e{r}</formula>
    </cfRule>
  </conditionalFormatting>
  <conditionalFormatting sqref="H312">
    <cfRule type="cellIs" priority="920" operator="greaterThan" aboveAverage="0" equalAverage="0" bottom="0" percent="0" rank="0" text="" dxfId="1">
      <formula>0</formula>
    </cfRule>
    <cfRule type="cellIs" priority="921" operator="lessThanOrEqual" aboveAverage="0" equalAverage="0" bottom="0" percent="0" rank="0" text="" dxfId="0">
      <formula>0</formula>
    </cfRule>
  </conditionalFormatting>
  <conditionalFormatting sqref="G312">
    <cfRule type="cellIs" priority="922" operator="greaterThan" aboveAverage="0" equalAverage="0" bottom="0" percent="0" rank="0" text="" dxfId="10">
      <formula>e{r}</formula>
    </cfRule>
  </conditionalFormatting>
  <conditionalFormatting sqref="H313">
    <cfRule type="cellIs" priority="923" operator="greaterThan" aboveAverage="0" equalAverage="0" bottom="0" percent="0" rank="0" text="" dxfId="1">
      <formula>0</formula>
    </cfRule>
    <cfRule type="cellIs" priority="924" operator="lessThanOrEqual" aboveAverage="0" equalAverage="0" bottom="0" percent="0" rank="0" text="" dxfId="0">
      <formula>0</formula>
    </cfRule>
  </conditionalFormatting>
  <conditionalFormatting sqref="G313">
    <cfRule type="cellIs" priority="925" operator="greaterThan" aboveAverage="0" equalAverage="0" bottom="0" percent="0" rank="0" text="" dxfId="10">
      <formula>e{r}</formula>
    </cfRule>
  </conditionalFormatting>
  <conditionalFormatting sqref="H314">
    <cfRule type="cellIs" priority="926" operator="greaterThan" aboveAverage="0" equalAverage="0" bottom="0" percent="0" rank="0" text="" dxfId="1">
      <formula>0</formula>
    </cfRule>
    <cfRule type="cellIs" priority="927" operator="lessThanOrEqual" aboveAverage="0" equalAverage="0" bottom="0" percent="0" rank="0" text="" dxfId="0">
      <formula>0</formula>
    </cfRule>
  </conditionalFormatting>
  <conditionalFormatting sqref="G314">
    <cfRule type="cellIs" priority="928" operator="greaterThan" aboveAverage="0" equalAverage="0" bottom="0" percent="0" rank="0" text="" dxfId="10">
      <formula>e{r}</formula>
    </cfRule>
  </conditionalFormatting>
  <conditionalFormatting sqref="H315">
    <cfRule type="cellIs" priority="929" operator="greaterThan" aboveAverage="0" equalAverage="0" bottom="0" percent="0" rank="0" text="" dxfId="1">
      <formula>0</formula>
    </cfRule>
    <cfRule type="cellIs" priority="930" operator="lessThanOrEqual" aboveAverage="0" equalAverage="0" bottom="0" percent="0" rank="0" text="" dxfId="0">
      <formula>0</formula>
    </cfRule>
  </conditionalFormatting>
  <conditionalFormatting sqref="G315">
    <cfRule type="cellIs" priority="931" operator="greaterThan" aboveAverage="0" equalAverage="0" bottom="0" percent="0" rank="0" text="" dxfId="10">
      <formula>e{r}</formula>
    </cfRule>
  </conditionalFormatting>
  <conditionalFormatting sqref="H316">
    <cfRule type="cellIs" priority="932" operator="greaterThan" aboveAverage="0" equalAverage="0" bottom="0" percent="0" rank="0" text="" dxfId="1">
      <formula>0</formula>
    </cfRule>
    <cfRule type="cellIs" priority="933" operator="lessThanOrEqual" aboveAverage="0" equalAverage="0" bottom="0" percent="0" rank="0" text="" dxfId="0">
      <formula>0</formula>
    </cfRule>
  </conditionalFormatting>
  <conditionalFormatting sqref="G316">
    <cfRule type="cellIs" priority="934" operator="greaterThan" aboveAverage="0" equalAverage="0" bottom="0" percent="0" rank="0" text="" dxfId="10">
      <formula>e{r}</formula>
    </cfRule>
  </conditionalFormatting>
  <conditionalFormatting sqref="H317">
    <cfRule type="cellIs" priority="935" operator="greaterThan" aboveAverage="0" equalAverage="0" bottom="0" percent="0" rank="0" text="" dxfId="1">
      <formula>0</formula>
    </cfRule>
    <cfRule type="cellIs" priority="936" operator="lessThanOrEqual" aboveAverage="0" equalAverage="0" bottom="0" percent="0" rank="0" text="" dxfId="0">
      <formula>0</formula>
    </cfRule>
  </conditionalFormatting>
  <conditionalFormatting sqref="G317">
    <cfRule type="cellIs" priority="937" operator="greaterThan" aboveAverage="0" equalAverage="0" bottom="0" percent="0" rank="0" text="" dxfId="10">
      <formula>e{r}</formula>
    </cfRule>
  </conditionalFormatting>
  <conditionalFormatting sqref="H318">
    <cfRule type="cellIs" priority="938" operator="greaterThan" aboveAverage="0" equalAverage="0" bottom="0" percent="0" rank="0" text="" dxfId="1">
      <formula>0</formula>
    </cfRule>
    <cfRule type="cellIs" priority="939" operator="lessThanOrEqual" aboveAverage="0" equalAverage="0" bottom="0" percent="0" rank="0" text="" dxfId="0">
      <formula>0</formula>
    </cfRule>
  </conditionalFormatting>
  <conditionalFormatting sqref="G318">
    <cfRule type="cellIs" priority="940" operator="greaterThan" aboveAverage="0" equalAverage="0" bottom="0" percent="0" rank="0" text="" dxfId="10">
      <formula>e{r}</formula>
    </cfRule>
  </conditionalFormatting>
  <conditionalFormatting sqref="H319">
    <cfRule type="cellIs" priority="941" operator="greaterThan" aboveAverage="0" equalAverage="0" bottom="0" percent="0" rank="0" text="" dxfId="1">
      <formula>0</formula>
    </cfRule>
    <cfRule type="cellIs" priority="942" operator="lessThanOrEqual" aboveAverage="0" equalAverage="0" bottom="0" percent="0" rank="0" text="" dxfId="0">
      <formula>0</formula>
    </cfRule>
  </conditionalFormatting>
  <conditionalFormatting sqref="G319">
    <cfRule type="cellIs" priority="943" operator="greaterThan" aboveAverage="0" equalAverage="0" bottom="0" percent="0" rank="0" text="" dxfId="10">
      <formula>e{r}</formula>
    </cfRule>
  </conditionalFormatting>
  <conditionalFormatting sqref="H320">
    <cfRule type="cellIs" priority="944" operator="greaterThan" aboveAverage="0" equalAverage="0" bottom="0" percent="0" rank="0" text="" dxfId="1">
      <formula>0</formula>
    </cfRule>
    <cfRule type="cellIs" priority="945" operator="lessThanOrEqual" aboveAverage="0" equalAverage="0" bottom="0" percent="0" rank="0" text="" dxfId="0">
      <formula>0</formula>
    </cfRule>
  </conditionalFormatting>
  <conditionalFormatting sqref="G320">
    <cfRule type="cellIs" priority="946" operator="greaterThan" aboveAverage="0" equalAverage="0" bottom="0" percent="0" rank="0" text="" dxfId="10">
      <formula>e{r}</formula>
    </cfRule>
  </conditionalFormatting>
  <conditionalFormatting sqref="H321">
    <cfRule type="cellIs" priority="947" operator="greaterThan" aboveAverage="0" equalAverage="0" bottom="0" percent="0" rank="0" text="" dxfId="1">
      <formula>0</formula>
    </cfRule>
    <cfRule type="cellIs" priority="948" operator="lessThanOrEqual" aboveAverage="0" equalAverage="0" bottom="0" percent="0" rank="0" text="" dxfId="0">
      <formula>0</formula>
    </cfRule>
  </conditionalFormatting>
  <conditionalFormatting sqref="G321">
    <cfRule type="cellIs" priority="949" operator="greaterThan" aboveAverage="0" equalAverage="0" bottom="0" percent="0" rank="0" text="" dxfId="10">
      <formula>e{r}</formula>
    </cfRule>
  </conditionalFormatting>
  <conditionalFormatting sqref="H322">
    <cfRule type="cellIs" priority="950" operator="greaterThan" aboveAverage="0" equalAverage="0" bottom="0" percent="0" rank="0" text="" dxfId="1">
      <formula>0</formula>
    </cfRule>
    <cfRule type="cellIs" priority="951" operator="lessThanOrEqual" aboveAverage="0" equalAverage="0" bottom="0" percent="0" rank="0" text="" dxfId="0">
      <formula>0</formula>
    </cfRule>
  </conditionalFormatting>
  <conditionalFormatting sqref="G322">
    <cfRule type="cellIs" priority="952" operator="greaterThan" aboveAverage="0" equalAverage="0" bottom="0" percent="0" rank="0" text="" dxfId="10">
      <formula>e{r}</formula>
    </cfRule>
  </conditionalFormatting>
  <conditionalFormatting sqref="H323">
    <cfRule type="cellIs" priority="953" operator="greaterThan" aboveAverage="0" equalAverage="0" bottom="0" percent="0" rank="0" text="" dxfId="1">
      <formula>0</formula>
    </cfRule>
    <cfRule type="cellIs" priority="954" operator="lessThanOrEqual" aboveAverage="0" equalAverage="0" bottom="0" percent="0" rank="0" text="" dxfId="0">
      <formula>0</formula>
    </cfRule>
  </conditionalFormatting>
  <conditionalFormatting sqref="G323">
    <cfRule type="cellIs" priority="955" operator="greaterThan" aboveAverage="0" equalAverage="0" bottom="0" percent="0" rank="0" text="" dxfId="10">
      <formula>e{r}</formula>
    </cfRule>
  </conditionalFormatting>
  <conditionalFormatting sqref="H324">
    <cfRule type="cellIs" priority="956" operator="greaterThan" aboveAverage="0" equalAverage="0" bottom="0" percent="0" rank="0" text="" dxfId="1">
      <formula>0</formula>
    </cfRule>
    <cfRule type="cellIs" priority="957" operator="lessThanOrEqual" aboveAverage="0" equalAverage="0" bottom="0" percent="0" rank="0" text="" dxfId="0">
      <formula>0</formula>
    </cfRule>
  </conditionalFormatting>
  <conditionalFormatting sqref="G324">
    <cfRule type="cellIs" priority="958" operator="greaterThan" aboveAverage="0" equalAverage="0" bottom="0" percent="0" rank="0" text="" dxfId="10">
      <formula>e{r}</formula>
    </cfRule>
  </conditionalFormatting>
  <conditionalFormatting sqref="H325">
    <cfRule type="cellIs" priority="959" operator="greaterThan" aboveAverage="0" equalAverage="0" bottom="0" percent="0" rank="0" text="" dxfId="1">
      <formula>0</formula>
    </cfRule>
    <cfRule type="cellIs" priority="960" operator="lessThanOrEqual" aboveAverage="0" equalAverage="0" bottom="0" percent="0" rank="0" text="" dxfId="0">
      <formula>0</formula>
    </cfRule>
  </conditionalFormatting>
  <conditionalFormatting sqref="G325">
    <cfRule type="cellIs" priority="961" operator="greaterThan" aboveAverage="0" equalAverage="0" bottom="0" percent="0" rank="0" text="" dxfId="10">
      <formula>e{r}</formula>
    </cfRule>
  </conditionalFormatting>
  <conditionalFormatting sqref="H326">
    <cfRule type="cellIs" priority="962" operator="greaterThan" aboveAverage="0" equalAverage="0" bottom="0" percent="0" rank="0" text="" dxfId="1">
      <formula>0</formula>
    </cfRule>
    <cfRule type="cellIs" priority="963" operator="lessThanOrEqual" aboveAverage="0" equalAverage="0" bottom="0" percent="0" rank="0" text="" dxfId="0">
      <formula>0</formula>
    </cfRule>
  </conditionalFormatting>
  <conditionalFormatting sqref="G326">
    <cfRule type="cellIs" priority="964" operator="greaterThan" aboveAverage="0" equalAverage="0" bottom="0" percent="0" rank="0" text="" dxfId="10">
      <formula>e{r}</formula>
    </cfRule>
  </conditionalFormatting>
  <conditionalFormatting sqref="H327">
    <cfRule type="cellIs" priority="965" operator="greaterThan" aboveAverage="0" equalAverage="0" bottom="0" percent="0" rank="0" text="" dxfId="1">
      <formula>0</formula>
    </cfRule>
    <cfRule type="cellIs" priority="966" operator="lessThanOrEqual" aboveAverage="0" equalAverage="0" bottom="0" percent="0" rank="0" text="" dxfId="0">
      <formula>0</formula>
    </cfRule>
  </conditionalFormatting>
  <conditionalFormatting sqref="G327">
    <cfRule type="cellIs" priority="967" operator="greaterThan" aboveAverage="0" equalAverage="0" bottom="0" percent="0" rank="0" text="" dxfId="10">
      <formula>e{r}</formula>
    </cfRule>
  </conditionalFormatting>
  <conditionalFormatting sqref="H328">
    <cfRule type="cellIs" priority="968" operator="greaterThan" aboveAverage="0" equalAverage="0" bottom="0" percent="0" rank="0" text="" dxfId="1">
      <formula>0</formula>
    </cfRule>
    <cfRule type="cellIs" priority="969" operator="lessThanOrEqual" aboveAverage="0" equalAverage="0" bottom="0" percent="0" rank="0" text="" dxfId="0">
      <formula>0</formula>
    </cfRule>
  </conditionalFormatting>
  <conditionalFormatting sqref="G328">
    <cfRule type="cellIs" priority="970" operator="greaterThan" aboveAverage="0" equalAverage="0" bottom="0" percent="0" rank="0" text="" dxfId="10">
      <formula>e{r}</formula>
    </cfRule>
  </conditionalFormatting>
  <conditionalFormatting sqref="H329">
    <cfRule type="cellIs" priority="971" operator="greaterThan" aboveAverage="0" equalAverage="0" bottom="0" percent="0" rank="0" text="" dxfId="1">
      <formula>0</formula>
    </cfRule>
    <cfRule type="cellIs" priority="972" operator="lessThanOrEqual" aboveAverage="0" equalAverage="0" bottom="0" percent="0" rank="0" text="" dxfId="0">
      <formula>0</formula>
    </cfRule>
  </conditionalFormatting>
  <conditionalFormatting sqref="G329">
    <cfRule type="cellIs" priority="973" operator="greaterThan" aboveAverage="0" equalAverage="0" bottom="0" percent="0" rank="0" text="" dxfId="10">
      <formula>e{r}</formula>
    </cfRule>
  </conditionalFormatting>
  <conditionalFormatting sqref="H330">
    <cfRule type="cellIs" priority="974" operator="greaterThan" aboveAverage="0" equalAverage="0" bottom="0" percent="0" rank="0" text="" dxfId="1">
      <formula>0</formula>
    </cfRule>
    <cfRule type="cellIs" priority="975" operator="lessThanOrEqual" aboveAverage="0" equalAverage="0" bottom="0" percent="0" rank="0" text="" dxfId="0">
      <formula>0</formula>
    </cfRule>
  </conditionalFormatting>
  <conditionalFormatting sqref="G330">
    <cfRule type="cellIs" priority="976" operator="greaterThan" aboveAverage="0" equalAverage="0" bottom="0" percent="0" rank="0" text="" dxfId="10">
      <formula>e{r}</formula>
    </cfRule>
  </conditionalFormatting>
  <conditionalFormatting sqref="H331">
    <cfRule type="cellIs" priority="977" operator="greaterThan" aboveAverage="0" equalAverage="0" bottom="0" percent="0" rank="0" text="" dxfId="1">
      <formula>0</formula>
    </cfRule>
    <cfRule type="cellIs" priority="978" operator="lessThanOrEqual" aboveAverage="0" equalAverage="0" bottom="0" percent="0" rank="0" text="" dxfId="0">
      <formula>0</formula>
    </cfRule>
  </conditionalFormatting>
  <conditionalFormatting sqref="G331">
    <cfRule type="cellIs" priority="979" operator="greaterThan" aboveAverage="0" equalAverage="0" bottom="0" percent="0" rank="0" text="" dxfId="10">
      <formula>e{r}</formula>
    </cfRule>
  </conditionalFormatting>
  <conditionalFormatting sqref="H332">
    <cfRule type="cellIs" priority="980" operator="greaterThan" aboveAverage="0" equalAverage="0" bottom="0" percent="0" rank="0" text="" dxfId="1">
      <formula>0</formula>
    </cfRule>
    <cfRule type="cellIs" priority="981" operator="lessThanOrEqual" aboveAverage="0" equalAverage="0" bottom="0" percent="0" rank="0" text="" dxfId="0">
      <formula>0</formula>
    </cfRule>
  </conditionalFormatting>
  <conditionalFormatting sqref="G332">
    <cfRule type="cellIs" priority="982" operator="greaterThan" aboveAverage="0" equalAverage="0" bottom="0" percent="0" rank="0" text="" dxfId="10">
      <formula>e{r}</formula>
    </cfRule>
  </conditionalFormatting>
  <conditionalFormatting sqref="H333">
    <cfRule type="cellIs" priority="983" operator="greaterThan" aboveAverage="0" equalAverage="0" bottom="0" percent="0" rank="0" text="" dxfId="1">
      <formula>0</formula>
    </cfRule>
    <cfRule type="cellIs" priority="984" operator="lessThanOrEqual" aboveAverage="0" equalAverage="0" bottom="0" percent="0" rank="0" text="" dxfId="0">
      <formula>0</formula>
    </cfRule>
  </conditionalFormatting>
  <conditionalFormatting sqref="G333">
    <cfRule type="cellIs" priority="985" operator="greaterThan" aboveAverage="0" equalAverage="0" bottom="0" percent="0" rank="0" text="" dxfId="10">
      <formula>e{r}</formula>
    </cfRule>
  </conditionalFormatting>
  <conditionalFormatting sqref="H334">
    <cfRule type="cellIs" priority="986" operator="greaterThan" aboveAverage="0" equalAverage="0" bottom="0" percent="0" rank="0" text="" dxfId="1">
      <formula>0</formula>
    </cfRule>
    <cfRule type="cellIs" priority="987" operator="lessThanOrEqual" aboveAverage="0" equalAverage="0" bottom="0" percent="0" rank="0" text="" dxfId="0">
      <formula>0</formula>
    </cfRule>
  </conditionalFormatting>
  <conditionalFormatting sqref="G334">
    <cfRule type="cellIs" priority="988" operator="greaterThan" aboveAverage="0" equalAverage="0" bottom="0" percent="0" rank="0" text="" dxfId="10">
      <formula>e{r}</formula>
    </cfRule>
  </conditionalFormatting>
  <conditionalFormatting sqref="H335">
    <cfRule type="cellIs" priority="989" operator="greaterThan" aboveAverage="0" equalAverage="0" bottom="0" percent="0" rank="0" text="" dxfId="1">
      <formula>0</formula>
    </cfRule>
    <cfRule type="cellIs" priority="990" operator="lessThanOrEqual" aboveAverage="0" equalAverage="0" bottom="0" percent="0" rank="0" text="" dxfId="0">
      <formula>0</formula>
    </cfRule>
  </conditionalFormatting>
  <conditionalFormatting sqref="G335">
    <cfRule type="cellIs" priority="991" operator="greaterThan" aboveAverage="0" equalAverage="0" bottom="0" percent="0" rank="0" text="" dxfId="10">
      <formula>e{r}</formula>
    </cfRule>
  </conditionalFormatting>
  <conditionalFormatting sqref="H336">
    <cfRule type="cellIs" priority="992" operator="greaterThan" aboveAverage="0" equalAverage="0" bottom="0" percent="0" rank="0" text="" dxfId="1">
      <formula>0</formula>
    </cfRule>
    <cfRule type="cellIs" priority="993" operator="lessThanOrEqual" aboveAverage="0" equalAverage="0" bottom="0" percent="0" rank="0" text="" dxfId="0">
      <formula>0</formula>
    </cfRule>
  </conditionalFormatting>
  <conditionalFormatting sqref="G336">
    <cfRule type="cellIs" priority="994" operator="greaterThan" aboveAverage="0" equalAverage="0" bottom="0" percent="0" rank="0" text="" dxfId="10">
      <formula>e{r}</formula>
    </cfRule>
  </conditionalFormatting>
  <conditionalFormatting sqref="H337">
    <cfRule type="cellIs" priority="995" operator="greaterThan" aboveAverage="0" equalAverage="0" bottom="0" percent="0" rank="0" text="" dxfId="1">
      <formula>0</formula>
    </cfRule>
    <cfRule type="cellIs" priority="996" operator="lessThanOrEqual" aboveAverage="0" equalAverage="0" bottom="0" percent="0" rank="0" text="" dxfId="0">
      <formula>0</formula>
    </cfRule>
  </conditionalFormatting>
  <conditionalFormatting sqref="G337">
    <cfRule type="cellIs" priority="997" operator="greaterThan" aboveAverage="0" equalAverage="0" bottom="0" percent="0" rank="0" text="" dxfId="10">
      <formula>e{r}</formula>
    </cfRule>
  </conditionalFormatting>
  <conditionalFormatting sqref="H338">
    <cfRule type="cellIs" priority="998" operator="greaterThan" aboveAverage="0" equalAverage="0" bottom="0" percent="0" rank="0" text="" dxfId="1">
      <formula>0</formula>
    </cfRule>
    <cfRule type="cellIs" priority="999" operator="lessThanOrEqual" aboveAverage="0" equalAverage="0" bottom="0" percent="0" rank="0" text="" dxfId="0">
      <formula>0</formula>
    </cfRule>
  </conditionalFormatting>
  <conditionalFormatting sqref="G338">
    <cfRule type="cellIs" priority="1000" operator="greaterThan" aboveAverage="0" equalAverage="0" bottom="0" percent="0" rank="0" text="" dxfId="10">
      <formula>e{r}</formula>
    </cfRule>
  </conditionalFormatting>
  <conditionalFormatting sqref="H339">
    <cfRule type="cellIs" priority="1001" operator="greaterThan" aboveAverage="0" equalAverage="0" bottom="0" percent="0" rank="0" text="" dxfId="1">
      <formula>0</formula>
    </cfRule>
    <cfRule type="cellIs" priority="1002" operator="lessThanOrEqual" aboveAverage="0" equalAverage="0" bottom="0" percent="0" rank="0" text="" dxfId="0">
      <formula>0</formula>
    </cfRule>
  </conditionalFormatting>
  <conditionalFormatting sqref="G339">
    <cfRule type="cellIs" priority="1003" operator="greaterThan" aboveAverage="0" equalAverage="0" bottom="0" percent="0" rank="0" text="" dxfId="10">
      <formula>e{r}</formula>
    </cfRule>
  </conditionalFormatting>
  <conditionalFormatting sqref="H340">
    <cfRule type="cellIs" priority="1004" operator="greaterThan" aboveAverage="0" equalAverage="0" bottom="0" percent="0" rank="0" text="" dxfId="1">
      <formula>0</formula>
    </cfRule>
    <cfRule type="cellIs" priority="1005" operator="lessThanOrEqual" aboveAverage="0" equalAverage="0" bottom="0" percent="0" rank="0" text="" dxfId="0">
      <formula>0</formula>
    </cfRule>
  </conditionalFormatting>
  <conditionalFormatting sqref="G340">
    <cfRule type="cellIs" priority="1006" operator="greaterThan" aboveAverage="0" equalAverage="0" bottom="0" percent="0" rank="0" text="" dxfId="10">
      <formula>e{r}</formula>
    </cfRule>
  </conditionalFormatting>
  <conditionalFormatting sqref="H341">
    <cfRule type="cellIs" priority="1007" operator="greaterThan" aboveAverage="0" equalAverage="0" bottom="0" percent="0" rank="0" text="" dxfId="1">
      <formula>0</formula>
    </cfRule>
    <cfRule type="cellIs" priority="1008" operator="lessThanOrEqual" aboveAverage="0" equalAverage="0" bottom="0" percent="0" rank="0" text="" dxfId="0">
      <formula>0</formula>
    </cfRule>
  </conditionalFormatting>
  <conditionalFormatting sqref="G341">
    <cfRule type="cellIs" priority="1009" operator="greaterThan" aboveAverage="0" equalAverage="0" bottom="0" percent="0" rank="0" text="" dxfId="10">
      <formula>e{r}</formula>
    </cfRule>
  </conditionalFormatting>
  <conditionalFormatting sqref="H342">
    <cfRule type="cellIs" priority="1010" operator="greaterThan" aboveAverage="0" equalAverage="0" bottom="0" percent="0" rank="0" text="" dxfId="1">
      <formula>0</formula>
    </cfRule>
    <cfRule type="cellIs" priority="1011" operator="lessThanOrEqual" aboveAverage="0" equalAverage="0" bottom="0" percent="0" rank="0" text="" dxfId="0">
      <formula>0</formula>
    </cfRule>
  </conditionalFormatting>
  <conditionalFormatting sqref="G342">
    <cfRule type="cellIs" priority="1012" operator="greaterThan" aboveAverage="0" equalAverage="0" bottom="0" percent="0" rank="0" text="" dxfId="10">
      <formula>e{r}</formula>
    </cfRule>
  </conditionalFormatting>
  <conditionalFormatting sqref="H343">
    <cfRule type="cellIs" priority="1013" operator="greaterThan" aboveAverage="0" equalAverage="0" bottom="0" percent="0" rank="0" text="" dxfId="1">
      <formula>0</formula>
    </cfRule>
    <cfRule type="cellIs" priority="1014" operator="lessThanOrEqual" aboveAverage="0" equalAverage="0" bottom="0" percent="0" rank="0" text="" dxfId="0">
      <formula>0</formula>
    </cfRule>
  </conditionalFormatting>
  <conditionalFormatting sqref="G343">
    <cfRule type="cellIs" priority="1015" operator="greaterThan" aboveAverage="0" equalAverage="0" bottom="0" percent="0" rank="0" text="" dxfId="10">
      <formula>e{r}</formula>
    </cfRule>
  </conditionalFormatting>
  <conditionalFormatting sqref="H344">
    <cfRule type="cellIs" priority="1016" operator="greaterThan" aboveAverage="0" equalAverage="0" bottom="0" percent="0" rank="0" text="" dxfId="1">
      <formula>0</formula>
    </cfRule>
    <cfRule type="cellIs" priority="1017" operator="lessThanOrEqual" aboveAverage="0" equalAverage="0" bottom="0" percent="0" rank="0" text="" dxfId="0">
      <formula>0</formula>
    </cfRule>
  </conditionalFormatting>
  <conditionalFormatting sqref="G344">
    <cfRule type="cellIs" priority="1018" operator="greaterThan" aboveAverage="0" equalAverage="0" bottom="0" percent="0" rank="0" text="" dxfId="10">
      <formula>e{r}</formula>
    </cfRule>
  </conditionalFormatting>
  <conditionalFormatting sqref="H345">
    <cfRule type="cellIs" priority="1019" operator="greaterThan" aboveAverage="0" equalAverage="0" bottom="0" percent="0" rank="0" text="" dxfId="1">
      <formula>0</formula>
    </cfRule>
    <cfRule type="cellIs" priority="1020" operator="lessThanOrEqual" aboveAverage="0" equalAverage="0" bottom="0" percent="0" rank="0" text="" dxfId="0">
      <formula>0</formula>
    </cfRule>
  </conditionalFormatting>
  <conditionalFormatting sqref="G345">
    <cfRule type="cellIs" priority="1021" operator="greaterThan" aboveAverage="0" equalAverage="0" bottom="0" percent="0" rank="0" text="" dxfId="10">
      <formula>e{r}</formula>
    </cfRule>
  </conditionalFormatting>
  <conditionalFormatting sqref="H346">
    <cfRule type="cellIs" priority="1022" operator="greaterThan" aboveAverage="0" equalAverage="0" bottom="0" percent="0" rank="0" text="" dxfId="1">
      <formula>0</formula>
    </cfRule>
    <cfRule type="cellIs" priority="1023" operator="lessThanOrEqual" aboveAverage="0" equalAverage="0" bottom="0" percent="0" rank="0" text="" dxfId="0">
      <formula>0</formula>
    </cfRule>
  </conditionalFormatting>
  <conditionalFormatting sqref="G346">
    <cfRule type="cellIs" priority="1024" operator="greaterThan" aboveAverage="0" equalAverage="0" bottom="0" percent="0" rank="0" text="" dxfId="10">
      <formula>e{r}</formula>
    </cfRule>
  </conditionalFormatting>
  <conditionalFormatting sqref="H347">
    <cfRule type="cellIs" priority="1025" operator="greaterThan" aboveAverage="0" equalAverage="0" bottom="0" percent="0" rank="0" text="" dxfId="1">
      <formula>0</formula>
    </cfRule>
    <cfRule type="cellIs" priority="1026" operator="lessThanOrEqual" aboveAverage="0" equalAverage="0" bottom="0" percent="0" rank="0" text="" dxfId="0">
      <formula>0</formula>
    </cfRule>
  </conditionalFormatting>
  <conditionalFormatting sqref="G347">
    <cfRule type="cellIs" priority="1027" operator="greaterThan" aboveAverage="0" equalAverage="0" bottom="0" percent="0" rank="0" text="" dxfId="10">
      <formula>e{r}</formula>
    </cfRule>
  </conditionalFormatting>
  <conditionalFormatting sqref="H348">
    <cfRule type="cellIs" priority="1028" operator="greaterThan" aboveAverage="0" equalAverage="0" bottom="0" percent="0" rank="0" text="" dxfId="1">
      <formula>0</formula>
    </cfRule>
    <cfRule type="cellIs" priority="1029" operator="lessThanOrEqual" aboveAverage="0" equalAverage="0" bottom="0" percent="0" rank="0" text="" dxfId="0">
      <formula>0</formula>
    </cfRule>
  </conditionalFormatting>
  <conditionalFormatting sqref="G348">
    <cfRule type="cellIs" priority="1030" operator="greaterThan" aboveAverage="0" equalAverage="0" bottom="0" percent="0" rank="0" text="" dxfId="10">
      <formula>e{r}</formula>
    </cfRule>
  </conditionalFormatting>
  <conditionalFormatting sqref="H349">
    <cfRule type="cellIs" priority="1031" operator="greaterThan" aboveAverage="0" equalAverage="0" bottom="0" percent="0" rank="0" text="" dxfId="1">
      <formula>0</formula>
    </cfRule>
    <cfRule type="cellIs" priority="1032" operator="lessThanOrEqual" aboveAverage="0" equalAverage="0" bottom="0" percent="0" rank="0" text="" dxfId="0">
      <formula>0</formula>
    </cfRule>
  </conditionalFormatting>
  <conditionalFormatting sqref="G349">
    <cfRule type="cellIs" priority="1033" operator="greaterThan" aboveAverage="0" equalAverage="0" bottom="0" percent="0" rank="0" text="" dxfId="10">
      <formula>e{r}</formula>
    </cfRule>
  </conditionalFormatting>
  <conditionalFormatting sqref="H350">
    <cfRule type="cellIs" priority="1034" operator="greaterThan" aboveAverage="0" equalAverage="0" bottom="0" percent="0" rank="0" text="" dxfId="1">
      <formula>0</formula>
    </cfRule>
    <cfRule type="cellIs" priority="1035" operator="lessThanOrEqual" aboveAverage="0" equalAverage="0" bottom="0" percent="0" rank="0" text="" dxfId="0">
      <formula>0</formula>
    </cfRule>
  </conditionalFormatting>
  <conditionalFormatting sqref="G350">
    <cfRule type="cellIs" priority="1036" operator="greaterThan" aboveAverage="0" equalAverage="0" bottom="0" percent="0" rank="0" text="" dxfId="10">
      <formula>e{r}</formula>
    </cfRule>
  </conditionalFormatting>
  <conditionalFormatting sqref="H351">
    <cfRule type="cellIs" priority="1037" operator="greaterThan" aboveAverage="0" equalAverage="0" bottom="0" percent="0" rank="0" text="" dxfId="1">
      <formula>0</formula>
    </cfRule>
    <cfRule type="cellIs" priority="1038" operator="lessThanOrEqual" aboveAverage="0" equalAverage="0" bottom="0" percent="0" rank="0" text="" dxfId="0">
      <formula>0</formula>
    </cfRule>
  </conditionalFormatting>
  <conditionalFormatting sqref="G351">
    <cfRule type="cellIs" priority="1039" operator="greaterThan" aboveAverage="0" equalAverage="0" bottom="0" percent="0" rank="0" text="" dxfId="10">
      <formula>e{r}</formula>
    </cfRule>
  </conditionalFormatting>
  <conditionalFormatting sqref="H352">
    <cfRule type="cellIs" priority="1040" operator="greaterThan" aboveAverage="0" equalAverage="0" bottom="0" percent="0" rank="0" text="" dxfId="1">
      <formula>0</formula>
    </cfRule>
    <cfRule type="cellIs" priority="1041" operator="lessThanOrEqual" aboveAverage="0" equalAverage="0" bottom="0" percent="0" rank="0" text="" dxfId="0">
      <formula>0</formula>
    </cfRule>
  </conditionalFormatting>
  <conditionalFormatting sqref="G352">
    <cfRule type="cellIs" priority="1042" operator="greaterThan" aboveAverage="0" equalAverage="0" bottom="0" percent="0" rank="0" text="" dxfId="10">
      <formula>e{r}</formula>
    </cfRule>
  </conditionalFormatting>
  <conditionalFormatting sqref="H353">
    <cfRule type="cellIs" priority="1043" operator="greaterThan" aboveAverage="0" equalAverage="0" bottom="0" percent="0" rank="0" text="" dxfId="1">
      <formula>0</formula>
    </cfRule>
    <cfRule type="cellIs" priority="1044" operator="lessThanOrEqual" aboveAverage="0" equalAverage="0" bottom="0" percent="0" rank="0" text="" dxfId="0">
      <formula>0</formula>
    </cfRule>
  </conditionalFormatting>
  <conditionalFormatting sqref="G353">
    <cfRule type="cellIs" priority="1045" operator="greaterThan" aboveAverage="0" equalAverage="0" bottom="0" percent="0" rank="0" text="" dxfId="10">
      <formula>e{r}</formula>
    </cfRule>
  </conditionalFormatting>
  <conditionalFormatting sqref="H354">
    <cfRule type="cellIs" priority="1046" operator="greaterThan" aboveAverage="0" equalAverage="0" bottom="0" percent="0" rank="0" text="" dxfId="1">
      <formula>0</formula>
    </cfRule>
    <cfRule type="cellIs" priority="1047" operator="lessThanOrEqual" aboveAverage="0" equalAverage="0" bottom="0" percent="0" rank="0" text="" dxfId="0">
      <formula>0</formula>
    </cfRule>
  </conditionalFormatting>
  <conditionalFormatting sqref="G354">
    <cfRule type="cellIs" priority="1048" operator="greaterThan" aboveAverage="0" equalAverage="0" bottom="0" percent="0" rank="0" text="" dxfId="10">
      <formula>e{r}</formula>
    </cfRule>
  </conditionalFormatting>
  <conditionalFormatting sqref="H355">
    <cfRule type="cellIs" priority="1049" operator="greaterThan" aboveAverage="0" equalAverage="0" bottom="0" percent="0" rank="0" text="" dxfId="1">
      <formula>0</formula>
    </cfRule>
    <cfRule type="cellIs" priority="1050" operator="lessThanOrEqual" aboveAverage="0" equalAverage="0" bottom="0" percent="0" rank="0" text="" dxfId="0">
      <formula>0</formula>
    </cfRule>
  </conditionalFormatting>
  <conditionalFormatting sqref="G355">
    <cfRule type="cellIs" priority="1051" operator="greaterThan" aboveAverage="0" equalAverage="0" bottom="0" percent="0" rank="0" text="" dxfId="10">
      <formula>e{r}</formula>
    </cfRule>
  </conditionalFormatting>
  <conditionalFormatting sqref="H356">
    <cfRule type="cellIs" priority="1052" operator="greaterThan" aboveAverage="0" equalAverage="0" bottom="0" percent="0" rank="0" text="" dxfId="1">
      <formula>0</formula>
    </cfRule>
    <cfRule type="cellIs" priority="1053" operator="lessThanOrEqual" aboveAverage="0" equalAverage="0" bottom="0" percent="0" rank="0" text="" dxfId="0">
      <formula>0</formula>
    </cfRule>
  </conditionalFormatting>
  <conditionalFormatting sqref="G356">
    <cfRule type="cellIs" priority="1054" operator="greaterThan" aboveAverage="0" equalAverage="0" bottom="0" percent="0" rank="0" text="" dxfId="10">
      <formula>e{r}</formula>
    </cfRule>
  </conditionalFormatting>
  <conditionalFormatting sqref="H357">
    <cfRule type="cellIs" priority="1055" operator="greaterThan" aboveAverage="0" equalAverage="0" bottom="0" percent="0" rank="0" text="" dxfId="1">
      <formula>0</formula>
    </cfRule>
    <cfRule type="cellIs" priority="1056" operator="lessThanOrEqual" aboveAverage="0" equalAverage="0" bottom="0" percent="0" rank="0" text="" dxfId="0">
      <formula>0</formula>
    </cfRule>
  </conditionalFormatting>
  <conditionalFormatting sqref="G357">
    <cfRule type="cellIs" priority="1057" operator="greaterThan" aboveAverage="0" equalAverage="0" bottom="0" percent="0" rank="0" text="" dxfId="10">
      <formula>e{r}</formula>
    </cfRule>
  </conditionalFormatting>
  <conditionalFormatting sqref="H358">
    <cfRule type="cellIs" priority="1058" operator="greaterThan" aboveAverage="0" equalAverage="0" bottom="0" percent="0" rank="0" text="" dxfId="1">
      <formula>0</formula>
    </cfRule>
    <cfRule type="cellIs" priority="1059" operator="lessThanOrEqual" aboveAverage="0" equalAverage="0" bottom="0" percent="0" rank="0" text="" dxfId="0">
      <formula>0</formula>
    </cfRule>
  </conditionalFormatting>
  <conditionalFormatting sqref="G358">
    <cfRule type="cellIs" priority="1060" operator="greaterThan" aboveAverage="0" equalAverage="0" bottom="0" percent="0" rank="0" text="" dxfId="10">
      <formula>e{r}</formula>
    </cfRule>
  </conditionalFormatting>
  <conditionalFormatting sqref="H359">
    <cfRule type="cellIs" priority="1061" operator="greaterThan" aboveAverage="0" equalAverage="0" bottom="0" percent="0" rank="0" text="" dxfId="1">
      <formula>0</formula>
    </cfRule>
    <cfRule type="cellIs" priority="1062" operator="lessThanOrEqual" aboveAverage="0" equalAverage="0" bottom="0" percent="0" rank="0" text="" dxfId="0">
      <formula>0</formula>
    </cfRule>
  </conditionalFormatting>
  <conditionalFormatting sqref="G359">
    <cfRule type="cellIs" priority="1063" operator="greaterThan" aboveAverage="0" equalAverage="0" bottom="0" percent="0" rank="0" text="" dxfId="10">
      <formula>e{r}</formula>
    </cfRule>
  </conditionalFormatting>
  <conditionalFormatting sqref="H360">
    <cfRule type="cellIs" priority="1064" operator="greaterThan" aboveAverage="0" equalAverage="0" bottom="0" percent="0" rank="0" text="" dxfId="1">
      <formula>0</formula>
    </cfRule>
    <cfRule type="cellIs" priority="1065" operator="lessThanOrEqual" aboveAverage="0" equalAverage="0" bottom="0" percent="0" rank="0" text="" dxfId="0">
      <formula>0</formula>
    </cfRule>
  </conditionalFormatting>
  <conditionalFormatting sqref="G360">
    <cfRule type="cellIs" priority="1066" operator="greaterThan" aboveAverage="0" equalAverage="0" bottom="0" percent="0" rank="0" text="" dxfId="10">
      <formula>e{r}</formula>
    </cfRule>
  </conditionalFormatting>
  <conditionalFormatting sqref="H361">
    <cfRule type="cellIs" priority="1067" operator="greaterThan" aboveAverage="0" equalAverage="0" bottom="0" percent="0" rank="0" text="" dxfId="1">
      <formula>0</formula>
    </cfRule>
    <cfRule type="cellIs" priority="1068" operator="lessThanOrEqual" aboveAverage="0" equalAverage="0" bottom="0" percent="0" rank="0" text="" dxfId="0">
      <formula>0</formula>
    </cfRule>
  </conditionalFormatting>
  <conditionalFormatting sqref="G361">
    <cfRule type="cellIs" priority="1069" operator="greaterThan" aboveAverage="0" equalAverage="0" bottom="0" percent="0" rank="0" text="" dxfId="10">
      <formula>e{r}</formula>
    </cfRule>
  </conditionalFormatting>
  <conditionalFormatting sqref="H362">
    <cfRule type="cellIs" priority="1070" operator="greaterThan" aboveAverage="0" equalAverage="0" bottom="0" percent="0" rank="0" text="" dxfId="1">
      <formula>0</formula>
    </cfRule>
    <cfRule type="cellIs" priority="1071" operator="lessThanOrEqual" aboveAverage="0" equalAverage="0" bottom="0" percent="0" rank="0" text="" dxfId="0">
      <formula>0</formula>
    </cfRule>
  </conditionalFormatting>
  <conditionalFormatting sqref="G362">
    <cfRule type="cellIs" priority="1072" operator="greaterThan" aboveAverage="0" equalAverage="0" bottom="0" percent="0" rank="0" text="" dxfId="10">
      <formula>e{r}</formula>
    </cfRule>
  </conditionalFormatting>
  <conditionalFormatting sqref="H363">
    <cfRule type="cellIs" priority="1073" operator="greaterThan" aboveAverage="0" equalAverage="0" bottom="0" percent="0" rank="0" text="" dxfId="1">
      <formula>0</formula>
    </cfRule>
    <cfRule type="cellIs" priority="1074" operator="lessThanOrEqual" aboveAverage="0" equalAverage="0" bottom="0" percent="0" rank="0" text="" dxfId="0">
      <formula>0</formula>
    </cfRule>
  </conditionalFormatting>
  <conditionalFormatting sqref="G363">
    <cfRule type="cellIs" priority="1075" operator="greaterThan" aboveAverage="0" equalAverage="0" bottom="0" percent="0" rank="0" text="" dxfId="10">
      <formula>e{r}</formula>
    </cfRule>
  </conditionalFormatting>
  <conditionalFormatting sqref="H364">
    <cfRule type="cellIs" priority="1076" operator="greaterThan" aboveAverage="0" equalAverage="0" bottom="0" percent="0" rank="0" text="" dxfId="1">
      <formula>0</formula>
    </cfRule>
    <cfRule type="cellIs" priority="1077" operator="lessThanOrEqual" aboveAverage="0" equalAverage="0" bottom="0" percent="0" rank="0" text="" dxfId="0">
      <formula>0</formula>
    </cfRule>
  </conditionalFormatting>
  <conditionalFormatting sqref="G364">
    <cfRule type="cellIs" priority="1078" operator="greaterThan" aboveAverage="0" equalAverage="0" bottom="0" percent="0" rank="0" text="" dxfId="10">
      <formula>e{r}</formula>
    </cfRule>
  </conditionalFormatting>
  <conditionalFormatting sqref="H365">
    <cfRule type="cellIs" priority="1079" operator="greaterThan" aboveAverage="0" equalAverage="0" bottom="0" percent="0" rank="0" text="" dxfId="1">
      <formula>0</formula>
    </cfRule>
    <cfRule type="cellIs" priority="1080" operator="lessThanOrEqual" aboveAverage="0" equalAverage="0" bottom="0" percent="0" rank="0" text="" dxfId="0">
      <formula>0</formula>
    </cfRule>
  </conditionalFormatting>
  <conditionalFormatting sqref="G365">
    <cfRule type="cellIs" priority="1081" operator="greaterThan" aboveAverage="0" equalAverage="0" bottom="0" percent="0" rank="0" text="" dxfId="10">
      <formula>e{r}</formula>
    </cfRule>
  </conditionalFormatting>
  <conditionalFormatting sqref="H366">
    <cfRule type="cellIs" priority="1082" operator="greaterThan" aboveAverage="0" equalAverage="0" bottom="0" percent="0" rank="0" text="" dxfId="1">
      <formula>0</formula>
    </cfRule>
    <cfRule type="cellIs" priority="1083" operator="lessThanOrEqual" aboveAverage="0" equalAverage="0" bottom="0" percent="0" rank="0" text="" dxfId="0">
      <formula>0</formula>
    </cfRule>
  </conditionalFormatting>
  <conditionalFormatting sqref="G366">
    <cfRule type="cellIs" priority="1084" operator="greaterThan" aboveAverage="0" equalAverage="0" bottom="0" percent="0" rank="0" text="" dxfId="10">
      <formula>e{r}</formula>
    </cfRule>
  </conditionalFormatting>
  <conditionalFormatting sqref="H367">
    <cfRule type="cellIs" priority="1085" operator="greaterThan" aboveAverage="0" equalAverage="0" bottom="0" percent="0" rank="0" text="" dxfId="1">
      <formula>0</formula>
    </cfRule>
    <cfRule type="cellIs" priority="1086" operator="lessThanOrEqual" aboveAverage="0" equalAverage="0" bottom="0" percent="0" rank="0" text="" dxfId="0">
      <formula>0</formula>
    </cfRule>
  </conditionalFormatting>
  <conditionalFormatting sqref="G367">
    <cfRule type="cellIs" priority="1087" operator="greaterThan" aboveAverage="0" equalAverage="0" bottom="0" percent="0" rank="0" text="" dxfId="10">
      <formula>e{r}</formula>
    </cfRule>
  </conditionalFormatting>
  <conditionalFormatting sqref="H368">
    <cfRule type="cellIs" priority="1088" operator="greaterThan" aboveAverage="0" equalAverage="0" bottom="0" percent="0" rank="0" text="" dxfId="1">
      <formula>0</formula>
    </cfRule>
    <cfRule type="cellIs" priority="1089" operator="lessThanOrEqual" aboveAverage="0" equalAverage="0" bottom="0" percent="0" rank="0" text="" dxfId="0">
      <formula>0</formula>
    </cfRule>
  </conditionalFormatting>
  <conditionalFormatting sqref="G368">
    <cfRule type="cellIs" priority="1090" operator="greaterThan" aboveAverage="0" equalAverage="0" bottom="0" percent="0" rank="0" text="" dxfId="10">
      <formula>e{r}</formula>
    </cfRule>
  </conditionalFormatting>
  <conditionalFormatting sqref="H369">
    <cfRule type="cellIs" priority="1091" operator="greaterThan" aboveAverage="0" equalAverage="0" bottom="0" percent="0" rank="0" text="" dxfId="1">
      <formula>0</formula>
    </cfRule>
    <cfRule type="cellIs" priority="1092" operator="lessThanOrEqual" aboveAverage="0" equalAverage="0" bottom="0" percent="0" rank="0" text="" dxfId="0">
      <formula>0</formula>
    </cfRule>
  </conditionalFormatting>
  <conditionalFormatting sqref="G369">
    <cfRule type="cellIs" priority="1093" operator="greaterThan" aboveAverage="0" equalAverage="0" bottom="0" percent="0" rank="0" text="" dxfId="10">
      <formula>e{r}</formula>
    </cfRule>
  </conditionalFormatting>
  <conditionalFormatting sqref="H370">
    <cfRule type="cellIs" priority="1094" operator="greaterThan" aboveAverage="0" equalAverage="0" bottom="0" percent="0" rank="0" text="" dxfId="1">
      <formula>0</formula>
    </cfRule>
    <cfRule type="cellIs" priority="1095" operator="lessThanOrEqual" aboveAverage="0" equalAverage="0" bottom="0" percent="0" rank="0" text="" dxfId="0">
      <formula>0</formula>
    </cfRule>
  </conditionalFormatting>
  <conditionalFormatting sqref="G370">
    <cfRule type="cellIs" priority="1096" operator="greaterThan" aboveAverage="0" equalAverage="0" bottom="0" percent="0" rank="0" text="" dxfId="10">
      <formula>e{r}</formula>
    </cfRule>
  </conditionalFormatting>
  <conditionalFormatting sqref="H371">
    <cfRule type="cellIs" priority="1097" operator="greaterThan" aboveAverage="0" equalAverage="0" bottom="0" percent="0" rank="0" text="" dxfId="1">
      <formula>0</formula>
    </cfRule>
    <cfRule type="cellIs" priority="1098" operator="lessThanOrEqual" aboveAverage="0" equalAverage="0" bottom="0" percent="0" rank="0" text="" dxfId="0">
      <formula>0</formula>
    </cfRule>
  </conditionalFormatting>
  <conditionalFormatting sqref="G371">
    <cfRule type="cellIs" priority="1099" operator="greaterThan" aboveAverage="0" equalAverage="0" bottom="0" percent="0" rank="0" text="" dxfId="10">
      <formula>e{r}</formula>
    </cfRule>
  </conditionalFormatting>
  <conditionalFormatting sqref="H372">
    <cfRule type="cellIs" priority="1100" operator="greaterThan" aboveAverage="0" equalAverage="0" bottom="0" percent="0" rank="0" text="" dxfId="1">
      <formula>0</formula>
    </cfRule>
    <cfRule type="cellIs" priority="1101" operator="lessThanOrEqual" aboveAverage="0" equalAverage="0" bottom="0" percent="0" rank="0" text="" dxfId="0">
      <formula>0</formula>
    </cfRule>
  </conditionalFormatting>
  <conditionalFormatting sqref="G372">
    <cfRule type="cellIs" priority="1102" operator="greaterThan" aboveAverage="0" equalAverage="0" bottom="0" percent="0" rank="0" text="" dxfId="10">
      <formula>e{r}</formula>
    </cfRule>
  </conditionalFormatting>
  <conditionalFormatting sqref="H373">
    <cfRule type="cellIs" priority="1103" operator="greaterThan" aboveAverage="0" equalAverage="0" bottom="0" percent="0" rank="0" text="" dxfId="1">
      <formula>0</formula>
    </cfRule>
    <cfRule type="cellIs" priority="1104" operator="lessThanOrEqual" aboveAverage="0" equalAverage="0" bottom="0" percent="0" rank="0" text="" dxfId="0">
      <formula>0</formula>
    </cfRule>
  </conditionalFormatting>
  <conditionalFormatting sqref="G373">
    <cfRule type="cellIs" priority="1105" operator="greaterThan" aboveAverage="0" equalAverage="0" bottom="0" percent="0" rank="0" text="" dxfId="10">
      <formula>e{r}</formula>
    </cfRule>
  </conditionalFormatting>
  <conditionalFormatting sqref="H374">
    <cfRule type="cellIs" priority="1106" operator="greaterThan" aboveAverage="0" equalAverage="0" bottom="0" percent="0" rank="0" text="" dxfId="1">
      <formula>0</formula>
    </cfRule>
    <cfRule type="cellIs" priority="1107" operator="lessThanOrEqual" aboveAverage="0" equalAverage="0" bottom="0" percent="0" rank="0" text="" dxfId="0">
      <formula>0</formula>
    </cfRule>
  </conditionalFormatting>
  <conditionalFormatting sqref="G374">
    <cfRule type="cellIs" priority="1108" operator="greaterThan" aboveAverage="0" equalAverage="0" bottom="0" percent="0" rank="0" text="" dxfId="10">
      <formula>e{r}</formula>
    </cfRule>
  </conditionalFormatting>
  <conditionalFormatting sqref="H375">
    <cfRule type="cellIs" priority="1109" operator="greaterThan" aboveAverage="0" equalAverage="0" bottom="0" percent="0" rank="0" text="" dxfId="1">
      <formula>0</formula>
    </cfRule>
    <cfRule type="cellIs" priority="1110" operator="lessThanOrEqual" aboveAverage="0" equalAverage="0" bottom="0" percent="0" rank="0" text="" dxfId="0">
      <formula>0</formula>
    </cfRule>
  </conditionalFormatting>
  <conditionalFormatting sqref="G375">
    <cfRule type="cellIs" priority="1111" operator="greaterThan" aboveAverage="0" equalAverage="0" bottom="0" percent="0" rank="0" text="" dxfId="10">
      <formula>e{r}</formula>
    </cfRule>
  </conditionalFormatting>
  <conditionalFormatting sqref="H376">
    <cfRule type="cellIs" priority="1112" operator="greaterThan" aboveAverage="0" equalAverage="0" bottom="0" percent="0" rank="0" text="" dxfId="1">
      <formula>0</formula>
    </cfRule>
    <cfRule type="cellIs" priority="1113" operator="lessThanOrEqual" aboveAverage="0" equalAverage="0" bottom="0" percent="0" rank="0" text="" dxfId="0">
      <formula>0</formula>
    </cfRule>
  </conditionalFormatting>
  <conditionalFormatting sqref="G376">
    <cfRule type="cellIs" priority="1114" operator="greaterThan" aboveAverage="0" equalAverage="0" bottom="0" percent="0" rank="0" text="" dxfId="10">
      <formula>e{r}</formula>
    </cfRule>
  </conditionalFormatting>
  <conditionalFormatting sqref="H377">
    <cfRule type="cellIs" priority="1115" operator="greaterThan" aboveAverage="0" equalAverage="0" bottom="0" percent="0" rank="0" text="" dxfId="1">
      <formula>0</formula>
    </cfRule>
    <cfRule type="cellIs" priority="1116" operator="lessThanOrEqual" aboveAverage="0" equalAverage="0" bottom="0" percent="0" rank="0" text="" dxfId="0">
      <formula>0</formula>
    </cfRule>
  </conditionalFormatting>
  <conditionalFormatting sqref="G377">
    <cfRule type="cellIs" priority="1117" operator="greaterThan" aboveAverage="0" equalAverage="0" bottom="0" percent="0" rank="0" text="" dxfId="10">
      <formula>e{r}</formula>
    </cfRule>
  </conditionalFormatting>
  <conditionalFormatting sqref="H378">
    <cfRule type="cellIs" priority="1118" operator="greaterThan" aboveAverage="0" equalAverage="0" bottom="0" percent="0" rank="0" text="" dxfId="1">
      <formula>0</formula>
    </cfRule>
    <cfRule type="cellIs" priority="1119" operator="lessThanOrEqual" aboveAverage="0" equalAverage="0" bottom="0" percent="0" rank="0" text="" dxfId="0">
      <formula>0</formula>
    </cfRule>
  </conditionalFormatting>
  <conditionalFormatting sqref="G378">
    <cfRule type="cellIs" priority="1120" operator="greaterThan" aboveAverage="0" equalAverage="0" bottom="0" percent="0" rank="0" text="" dxfId="10">
      <formula>e{r}</formula>
    </cfRule>
  </conditionalFormatting>
  <conditionalFormatting sqref="H379">
    <cfRule type="cellIs" priority="1121" operator="greaterThan" aboveAverage="0" equalAverage="0" bottom="0" percent="0" rank="0" text="" dxfId="1">
      <formula>0</formula>
    </cfRule>
    <cfRule type="cellIs" priority="1122" operator="lessThanOrEqual" aboveAverage="0" equalAverage="0" bottom="0" percent="0" rank="0" text="" dxfId="0">
      <formula>0</formula>
    </cfRule>
  </conditionalFormatting>
  <conditionalFormatting sqref="G379">
    <cfRule type="cellIs" priority="1123" operator="greaterThan" aboveAverage="0" equalAverage="0" bottom="0" percent="0" rank="0" text="" dxfId="10">
      <formula>e{r}</formula>
    </cfRule>
  </conditionalFormatting>
  <conditionalFormatting sqref="H380">
    <cfRule type="cellIs" priority="1124" operator="greaterThan" aboveAverage="0" equalAverage="0" bottom="0" percent="0" rank="0" text="" dxfId="1">
      <formula>0</formula>
    </cfRule>
    <cfRule type="cellIs" priority="1125" operator="lessThanOrEqual" aboveAverage="0" equalAverage="0" bottom="0" percent="0" rank="0" text="" dxfId="0">
      <formula>0</formula>
    </cfRule>
  </conditionalFormatting>
  <conditionalFormatting sqref="G380">
    <cfRule type="cellIs" priority="1126" operator="greaterThan" aboveAverage="0" equalAverage="0" bottom="0" percent="0" rank="0" text="" dxfId="10">
      <formula>e{r}</formula>
    </cfRule>
  </conditionalFormatting>
  <conditionalFormatting sqref="H381">
    <cfRule type="cellIs" priority="1127" operator="greaterThan" aboveAverage="0" equalAverage="0" bottom="0" percent="0" rank="0" text="" dxfId="1">
      <formula>0</formula>
    </cfRule>
    <cfRule type="cellIs" priority="1128" operator="lessThanOrEqual" aboveAverage="0" equalAverage="0" bottom="0" percent="0" rank="0" text="" dxfId="0">
      <formula>0</formula>
    </cfRule>
  </conditionalFormatting>
  <conditionalFormatting sqref="G381">
    <cfRule type="cellIs" priority="1129" operator="greaterThan" aboveAverage="0" equalAverage="0" bottom="0" percent="0" rank="0" text="" dxfId="10">
      <formula>e{r}</formula>
    </cfRule>
  </conditionalFormatting>
  <conditionalFormatting sqref="H382">
    <cfRule type="cellIs" priority="1130" operator="greaterThan" aboveAverage="0" equalAverage="0" bottom="0" percent="0" rank="0" text="" dxfId="1">
      <formula>0</formula>
    </cfRule>
    <cfRule type="cellIs" priority="1131" operator="lessThanOrEqual" aboveAverage="0" equalAverage="0" bottom="0" percent="0" rank="0" text="" dxfId="0">
      <formula>0</formula>
    </cfRule>
  </conditionalFormatting>
  <conditionalFormatting sqref="G382">
    <cfRule type="cellIs" priority="1132" operator="greaterThan" aboveAverage="0" equalAverage="0" bottom="0" percent="0" rank="0" text="" dxfId="10">
      <formula>e{r}</formula>
    </cfRule>
  </conditionalFormatting>
  <conditionalFormatting sqref="H383">
    <cfRule type="cellIs" priority="1133" operator="greaterThan" aboveAverage="0" equalAverage="0" bottom="0" percent="0" rank="0" text="" dxfId="1">
      <formula>0</formula>
    </cfRule>
    <cfRule type="cellIs" priority="1134" operator="lessThanOrEqual" aboveAverage="0" equalAverage="0" bottom="0" percent="0" rank="0" text="" dxfId="0">
      <formula>0</formula>
    </cfRule>
  </conditionalFormatting>
  <conditionalFormatting sqref="G383">
    <cfRule type="cellIs" priority="1135" operator="greaterThan" aboveAverage="0" equalAverage="0" bottom="0" percent="0" rank="0" text="" dxfId="10">
      <formula>e{r}</formula>
    </cfRule>
  </conditionalFormatting>
  <conditionalFormatting sqref="H384">
    <cfRule type="cellIs" priority="1136" operator="greaterThan" aboveAverage="0" equalAverage="0" bottom="0" percent="0" rank="0" text="" dxfId="1">
      <formula>0</formula>
    </cfRule>
    <cfRule type="cellIs" priority="1137" operator="lessThanOrEqual" aboveAverage="0" equalAverage="0" bottom="0" percent="0" rank="0" text="" dxfId="0">
      <formula>0</formula>
    </cfRule>
  </conditionalFormatting>
  <conditionalFormatting sqref="G384">
    <cfRule type="cellIs" priority="1138" operator="greaterThan" aboveAverage="0" equalAverage="0" bottom="0" percent="0" rank="0" text="" dxfId="10">
      <formula>e{r}</formula>
    </cfRule>
  </conditionalFormatting>
  <conditionalFormatting sqref="H385">
    <cfRule type="cellIs" priority="1139" operator="greaterThan" aboveAverage="0" equalAverage="0" bottom="0" percent="0" rank="0" text="" dxfId="1">
      <formula>0</formula>
    </cfRule>
    <cfRule type="cellIs" priority="1140" operator="lessThanOrEqual" aboveAverage="0" equalAverage="0" bottom="0" percent="0" rank="0" text="" dxfId="0">
      <formula>0</formula>
    </cfRule>
  </conditionalFormatting>
  <conditionalFormatting sqref="G385">
    <cfRule type="cellIs" priority="1141" operator="greaterThan" aboveAverage="0" equalAverage="0" bottom="0" percent="0" rank="0" text="" dxfId="10">
      <formula>e{r}</formula>
    </cfRule>
  </conditionalFormatting>
  <conditionalFormatting sqref="H386">
    <cfRule type="cellIs" priority="1142" operator="greaterThan" aboveAverage="0" equalAverage="0" bottom="0" percent="0" rank="0" text="" dxfId="1">
      <formula>0</formula>
    </cfRule>
    <cfRule type="cellIs" priority="1143" operator="lessThanOrEqual" aboveAverage="0" equalAverage="0" bottom="0" percent="0" rank="0" text="" dxfId="0">
      <formula>0</formula>
    </cfRule>
  </conditionalFormatting>
  <conditionalFormatting sqref="G386">
    <cfRule type="cellIs" priority="1144" operator="greaterThan" aboveAverage="0" equalAverage="0" bottom="0" percent="0" rank="0" text="" dxfId="10">
      <formula>e{r}</formula>
    </cfRule>
  </conditionalFormatting>
  <conditionalFormatting sqref="H387">
    <cfRule type="cellIs" priority="1145" operator="greaterThan" aboveAverage="0" equalAverage="0" bottom="0" percent="0" rank="0" text="" dxfId="1">
      <formula>0</formula>
    </cfRule>
    <cfRule type="cellIs" priority="1146" operator="lessThanOrEqual" aboveAverage="0" equalAverage="0" bottom="0" percent="0" rank="0" text="" dxfId="0">
      <formula>0</formula>
    </cfRule>
  </conditionalFormatting>
  <conditionalFormatting sqref="G387">
    <cfRule type="cellIs" priority="1147" operator="greaterThan" aboveAverage="0" equalAverage="0" bottom="0" percent="0" rank="0" text="" dxfId="10">
      <formula>e{r}</formula>
    </cfRule>
  </conditionalFormatting>
  <conditionalFormatting sqref="H388">
    <cfRule type="cellIs" priority="1148" operator="greaterThan" aboveAverage="0" equalAverage="0" bottom="0" percent="0" rank="0" text="" dxfId="1">
      <formula>0</formula>
    </cfRule>
    <cfRule type="cellIs" priority="1149" operator="lessThanOrEqual" aboveAverage="0" equalAverage="0" bottom="0" percent="0" rank="0" text="" dxfId="0">
      <formula>0</formula>
    </cfRule>
  </conditionalFormatting>
  <conditionalFormatting sqref="G388">
    <cfRule type="cellIs" priority="1150" operator="greaterThan" aboveAverage="0" equalAverage="0" bottom="0" percent="0" rank="0" text="" dxfId="10">
      <formula>e{r}</formula>
    </cfRule>
  </conditionalFormatting>
  <conditionalFormatting sqref="H389">
    <cfRule type="cellIs" priority="1151" operator="greaterThan" aboveAverage="0" equalAverage="0" bottom="0" percent="0" rank="0" text="" dxfId="1">
      <formula>0</formula>
    </cfRule>
    <cfRule type="cellIs" priority="1152" operator="lessThanOrEqual" aboveAverage="0" equalAverage="0" bottom="0" percent="0" rank="0" text="" dxfId="0">
      <formula>0</formula>
    </cfRule>
  </conditionalFormatting>
  <conditionalFormatting sqref="G389">
    <cfRule type="cellIs" priority="1153" operator="greaterThan" aboveAverage="0" equalAverage="0" bottom="0" percent="0" rank="0" text="" dxfId="10">
      <formula>e{r}</formula>
    </cfRule>
  </conditionalFormatting>
  <conditionalFormatting sqref="H390">
    <cfRule type="cellIs" priority="1154" operator="greaterThan" aboveAverage="0" equalAverage="0" bottom="0" percent="0" rank="0" text="" dxfId="1">
      <formula>0</formula>
    </cfRule>
    <cfRule type="cellIs" priority="1155" operator="lessThanOrEqual" aboveAverage="0" equalAverage="0" bottom="0" percent="0" rank="0" text="" dxfId="0">
      <formula>0</formula>
    </cfRule>
  </conditionalFormatting>
  <conditionalFormatting sqref="G390">
    <cfRule type="cellIs" priority="1156" operator="greaterThan" aboveAverage="0" equalAverage="0" bottom="0" percent="0" rank="0" text="" dxfId="10">
      <formula>e{r}</formula>
    </cfRule>
  </conditionalFormatting>
  <conditionalFormatting sqref="H391">
    <cfRule type="cellIs" priority="1157" operator="greaterThan" aboveAverage="0" equalAverage="0" bottom="0" percent="0" rank="0" text="" dxfId="1">
      <formula>0</formula>
    </cfRule>
    <cfRule type="cellIs" priority="1158" operator="lessThanOrEqual" aboveAverage="0" equalAverage="0" bottom="0" percent="0" rank="0" text="" dxfId="0">
      <formula>0</formula>
    </cfRule>
  </conditionalFormatting>
  <conditionalFormatting sqref="G391">
    <cfRule type="cellIs" priority="1159" operator="greaterThan" aboveAverage="0" equalAverage="0" bottom="0" percent="0" rank="0" text="" dxfId="10">
      <formula>e{r}</formula>
    </cfRule>
  </conditionalFormatting>
  <conditionalFormatting sqref="H392">
    <cfRule type="cellIs" priority="1160" operator="greaterThan" aboveAverage="0" equalAverage="0" bottom="0" percent="0" rank="0" text="" dxfId="1">
      <formula>0</formula>
    </cfRule>
    <cfRule type="cellIs" priority="1161" operator="lessThanOrEqual" aboveAverage="0" equalAverage="0" bottom="0" percent="0" rank="0" text="" dxfId="0">
      <formula>0</formula>
    </cfRule>
  </conditionalFormatting>
  <conditionalFormatting sqref="G392">
    <cfRule type="cellIs" priority="1162" operator="greaterThan" aboveAverage="0" equalAverage="0" bottom="0" percent="0" rank="0" text="" dxfId="10">
      <formula>e{r}</formula>
    </cfRule>
  </conditionalFormatting>
  <conditionalFormatting sqref="H393">
    <cfRule type="cellIs" priority="1163" operator="greaterThan" aboveAverage="0" equalAverage="0" bottom="0" percent="0" rank="0" text="" dxfId="1">
      <formula>0</formula>
    </cfRule>
    <cfRule type="cellIs" priority="1164" operator="lessThanOrEqual" aboveAverage="0" equalAverage="0" bottom="0" percent="0" rank="0" text="" dxfId="0">
      <formula>0</formula>
    </cfRule>
  </conditionalFormatting>
  <conditionalFormatting sqref="G393">
    <cfRule type="cellIs" priority="1165" operator="greaterThan" aboveAverage="0" equalAverage="0" bottom="0" percent="0" rank="0" text="" dxfId="10">
      <formula>e{r}</formula>
    </cfRule>
  </conditionalFormatting>
  <conditionalFormatting sqref="H394">
    <cfRule type="cellIs" priority="1166" operator="greaterThan" aboveAverage="0" equalAverage="0" bottom="0" percent="0" rank="0" text="" dxfId="1">
      <formula>0</formula>
    </cfRule>
    <cfRule type="cellIs" priority="1167" operator="lessThanOrEqual" aboveAverage="0" equalAverage="0" bottom="0" percent="0" rank="0" text="" dxfId="0">
      <formula>0</formula>
    </cfRule>
  </conditionalFormatting>
  <conditionalFormatting sqref="G394">
    <cfRule type="cellIs" priority="1168" operator="greaterThan" aboveAverage="0" equalAverage="0" bottom="0" percent="0" rank="0" text="" dxfId="10">
      <formula>e{r}</formula>
    </cfRule>
  </conditionalFormatting>
  <conditionalFormatting sqref="H395">
    <cfRule type="cellIs" priority="1169" operator="greaterThan" aboveAverage="0" equalAverage="0" bottom="0" percent="0" rank="0" text="" dxfId="1">
      <formula>0</formula>
    </cfRule>
    <cfRule type="cellIs" priority="1170" operator="lessThanOrEqual" aboveAverage="0" equalAverage="0" bottom="0" percent="0" rank="0" text="" dxfId="0">
      <formula>0</formula>
    </cfRule>
  </conditionalFormatting>
  <conditionalFormatting sqref="G395">
    <cfRule type="cellIs" priority="1171" operator="greaterThan" aboveAverage="0" equalAverage="0" bottom="0" percent="0" rank="0" text="" dxfId="10">
      <formula>e{r}</formula>
    </cfRule>
  </conditionalFormatting>
  <conditionalFormatting sqref="H396">
    <cfRule type="cellIs" priority="1172" operator="greaterThan" aboveAverage="0" equalAverage="0" bottom="0" percent="0" rank="0" text="" dxfId="1">
      <formula>0</formula>
    </cfRule>
    <cfRule type="cellIs" priority="1173" operator="lessThanOrEqual" aboveAverage="0" equalAverage="0" bottom="0" percent="0" rank="0" text="" dxfId="0">
      <formula>0</formula>
    </cfRule>
  </conditionalFormatting>
  <conditionalFormatting sqref="G396">
    <cfRule type="cellIs" priority="1174" operator="greaterThan" aboveAverage="0" equalAverage="0" bottom="0" percent="0" rank="0" text="" dxfId="10">
      <formula>e{r}</formula>
    </cfRule>
  </conditionalFormatting>
  <conditionalFormatting sqref="H397">
    <cfRule type="cellIs" priority="1175" operator="greaterThan" aboveAverage="0" equalAverage="0" bottom="0" percent="0" rank="0" text="" dxfId="1">
      <formula>0</formula>
    </cfRule>
    <cfRule type="cellIs" priority="1176" operator="lessThanOrEqual" aboveAverage="0" equalAverage="0" bottom="0" percent="0" rank="0" text="" dxfId="0">
      <formula>0</formula>
    </cfRule>
  </conditionalFormatting>
  <conditionalFormatting sqref="G397">
    <cfRule type="cellIs" priority="1177" operator="greaterThan" aboveAverage="0" equalAverage="0" bottom="0" percent="0" rank="0" text="" dxfId="10">
      <formula>e{r}</formula>
    </cfRule>
  </conditionalFormatting>
  <conditionalFormatting sqref="H398">
    <cfRule type="cellIs" priority="1178" operator="greaterThan" aboveAverage="0" equalAverage="0" bottom="0" percent="0" rank="0" text="" dxfId="1">
      <formula>0</formula>
    </cfRule>
    <cfRule type="cellIs" priority="1179" operator="lessThanOrEqual" aboveAverage="0" equalAverage="0" bottom="0" percent="0" rank="0" text="" dxfId="0">
      <formula>0</formula>
    </cfRule>
  </conditionalFormatting>
  <conditionalFormatting sqref="G398">
    <cfRule type="cellIs" priority="1180" operator="greaterThan" aboveAverage="0" equalAverage="0" bottom="0" percent="0" rank="0" text="" dxfId="10">
      <formula>e{r}</formula>
    </cfRule>
  </conditionalFormatting>
  <conditionalFormatting sqref="H399">
    <cfRule type="cellIs" priority="1181" operator="greaterThan" aboveAverage="0" equalAverage="0" bottom="0" percent="0" rank="0" text="" dxfId="1">
      <formula>0</formula>
    </cfRule>
    <cfRule type="cellIs" priority="1182" operator="lessThanOrEqual" aboveAverage="0" equalAverage="0" bottom="0" percent="0" rank="0" text="" dxfId="0">
      <formula>0</formula>
    </cfRule>
  </conditionalFormatting>
  <conditionalFormatting sqref="G399">
    <cfRule type="cellIs" priority="1183" operator="greaterThan" aboveAverage="0" equalAverage="0" bottom="0" percent="0" rank="0" text="" dxfId="10">
      <formula>e{r}</formula>
    </cfRule>
  </conditionalFormatting>
  <conditionalFormatting sqref="H400">
    <cfRule type="cellIs" priority="1184" operator="greaterThan" aboveAverage="0" equalAverage="0" bottom="0" percent="0" rank="0" text="" dxfId="1">
      <formula>0</formula>
    </cfRule>
    <cfRule type="cellIs" priority="1185" operator="lessThanOrEqual" aboveAverage="0" equalAverage="0" bottom="0" percent="0" rank="0" text="" dxfId="0">
      <formula>0</formula>
    </cfRule>
  </conditionalFormatting>
  <conditionalFormatting sqref="G400">
    <cfRule type="cellIs" priority="1186" operator="greaterThan" aboveAverage="0" equalAverage="0" bottom="0" percent="0" rank="0" text="" dxfId="10">
      <formula>e{r}</formula>
    </cfRule>
  </conditionalFormatting>
  <conditionalFormatting sqref="H401">
    <cfRule type="cellIs" priority="1187" operator="greaterThan" aboveAverage="0" equalAverage="0" bottom="0" percent="0" rank="0" text="" dxfId="1">
      <formula>0</formula>
    </cfRule>
    <cfRule type="cellIs" priority="1188" operator="lessThanOrEqual" aboveAverage="0" equalAverage="0" bottom="0" percent="0" rank="0" text="" dxfId="0">
      <formula>0</formula>
    </cfRule>
  </conditionalFormatting>
  <conditionalFormatting sqref="G401">
    <cfRule type="cellIs" priority="1189" operator="greaterThan" aboveAverage="0" equalAverage="0" bottom="0" percent="0" rank="0" text="" dxfId="10">
      <formula>e{r}</formula>
    </cfRule>
  </conditionalFormatting>
  <conditionalFormatting sqref="H402">
    <cfRule type="cellIs" priority="1190" operator="greaterThan" aboveAverage="0" equalAverage="0" bottom="0" percent="0" rank="0" text="" dxfId="1">
      <formula>0</formula>
    </cfRule>
    <cfRule type="cellIs" priority="1191" operator="lessThanOrEqual" aboveAverage="0" equalAverage="0" bottom="0" percent="0" rank="0" text="" dxfId="0">
      <formula>0</formula>
    </cfRule>
  </conditionalFormatting>
  <conditionalFormatting sqref="G402">
    <cfRule type="cellIs" priority="1192" operator="greaterThan" aboveAverage="0" equalAverage="0" bottom="0" percent="0" rank="0" text="" dxfId="10">
      <formula>e{r}</formula>
    </cfRule>
  </conditionalFormatting>
  <conditionalFormatting sqref="H403">
    <cfRule type="cellIs" priority="1193" operator="greaterThan" aboveAverage="0" equalAverage="0" bottom="0" percent="0" rank="0" text="" dxfId="1">
      <formula>0</formula>
    </cfRule>
    <cfRule type="cellIs" priority="1194" operator="lessThanOrEqual" aboveAverage="0" equalAverage="0" bottom="0" percent="0" rank="0" text="" dxfId="0">
      <formula>0</formula>
    </cfRule>
  </conditionalFormatting>
  <conditionalFormatting sqref="G403">
    <cfRule type="cellIs" priority="1195" operator="greaterThan" aboveAverage="0" equalAverage="0" bottom="0" percent="0" rank="0" text="" dxfId="10">
      <formula>e{r}</formula>
    </cfRule>
  </conditionalFormatting>
  <conditionalFormatting sqref="H404">
    <cfRule type="cellIs" priority="1196" operator="greaterThan" aboveAverage="0" equalAverage="0" bottom="0" percent="0" rank="0" text="" dxfId="1">
      <formula>0</formula>
    </cfRule>
    <cfRule type="cellIs" priority="1197" operator="lessThanOrEqual" aboveAverage="0" equalAverage="0" bottom="0" percent="0" rank="0" text="" dxfId="0">
      <formula>0</formula>
    </cfRule>
  </conditionalFormatting>
  <conditionalFormatting sqref="G404">
    <cfRule type="cellIs" priority="1198" operator="greaterThan" aboveAverage="0" equalAverage="0" bottom="0" percent="0" rank="0" text="" dxfId="10">
      <formula>e{r}</formula>
    </cfRule>
  </conditionalFormatting>
  <conditionalFormatting sqref="H405">
    <cfRule type="cellIs" priority="1199" operator="greaterThan" aboveAverage="0" equalAverage="0" bottom="0" percent="0" rank="0" text="" dxfId="1">
      <formula>0</formula>
    </cfRule>
    <cfRule type="cellIs" priority="1200" operator="lessThanOrEqual" aboveAverage="0" equalAverage="0" bottom="0" percent="0" rank="0" text="" dxfId="0">
      <formula>0</formula>
    </cfRule>
  </conditionalFormatting>
  <conditionalFormatting sqref="G405">
    <cfRule type="cellIs" priority="1201" operator="greaterThan" aboveAverage="0" equalAverage="0" bottom="0" percent="0" rank="0" text="" dxfId="10">
      <formula>e{r}</formula>
    </cfRule>
  </conditionalFormatting>
  <conditionalFormatting sqref="H406">
    <cfRule type="cellIs" priority="1202" operator="greaterThan" aboveAverage="0" equalAverage="0" bottom="0" percent="0" rank="0" text="" dxfId="1">
      <formula>0</formula>
    </cfRule>
    <cfRule type="cellIs" priority="1203" operator="lessThanOrEqual" aboveAverage="0" equalAverage="0" bottom="0" percent="0" rank="0" text="" dxfId="0">
      <formula>0</formula>
    </cfRule>
  </conditionalFormatting>
  <conditionalFormatting sqref="G406">
    <cfRule type="cellIs" priority="1204" operator="greaterThan" aboveAverage="0" equalAverage="0" bottom="0" percent="0" rank="0" text="" dxfId="10">
      <formula>e{r}</formula>
    </cfRule>
  </conditionalFormatting>
  <conditionalFormatting sqref="H407">
    <cfRule type="cellIs" priority="1205" operator="greaterThan" aboveAverage="0" equalAverage="0" bottom="0" percent="0" rank="0" text="" dxfId="1">
      <formula>0</formula>
    </cfRule>
    <cfRule type="cellIs" priority="1206" operator="lessThanOrEqual" aboveAverage="0" equalAverage="0" bottom="0" percent="0" rank="0" text="" dxfId="0">
      <formula>0</formula>
    </cfRule>
  </conditionalFormatting>
  <conditionalFormatting sqref="G407">
    <cfRule type="cellIs" priority="1207" operator="greaterThan" aboveAverage="0" equalAverage="0" bottom="0" percent="0" rank="0" text="" dxfId="10">
      <formula>e{r}</formula>
    </cfRule>
  </conditionalFormatting>
  <conditionalFormatting sqref="H408">
    <cfRule type="cellIs" priority="1208" operator="greaterThan" aboveAverage="0" equalAverage="0" bottom="0" percent="0" rank="0" text="" dxfId="1">
      <formula>0</formula>
    </cfRule>
    <cfRule type="cellIs" priority="1209" operator="lessThanOrEqual" aboveAverage="0" equalAverage="0" bottom="0" percent="0" rank="0" text="" dxfId="0">
      <formula>0</formula>
    </cfRule>
  </conditionalFormatting>
  <conditionalFormatting sqref="G408">
    <cfRule type="cellIs" priority="1210" operator="greaterThan" aboveAverage="0" equalAverage="0" bottom="0" percent="0" rank="0" text="" dxfId="10">
      <formula>e{r}</formula>
    </cfRule>
  </conditionalFormatting>
  <conditionalFormatting sqref="H409">
    <cfRule type="cellIs" priority="1211" operator="greaterThan" aboveAverage="0" equalAverage="0" bottom="0" percent="0" rank="0" text="" dxfId="1">
      <formula>0</formula>
    </cfRule>
    <cfRule type="cellIs" priority="1212" operator="lessThanOrEqual" aboveAverage="0" equalAverage="0" bottom="0" percent="0" rank="0" text="" dxfId="0">
      <formula>0</formula>
    </cfRule>
  </conditionalFormatting>
  <conditionalFormatting sqref="G409">
    <cfRule type="cellIs" priority="1213" operator="greaterThan" aboveAverage="0" equalAverage="0" bottom="0" percent="0" rank="0" text="" dxfId="10">
      <formula>e{r}</formula>
    </cfRule>
  </conditionalFormatting>
  <conditionalFormatting sqref="H410">
    <cfRule type="cellIs" priority="1214" operator="greaterThan" aboveAverage="0" equalAverage="0" bottom="0" percent="0" rank="0" text="" dxfId="1">
      <formula>0</formula>
    </cfRule>
    <cfRule type="cellIs" priority="1215" operator="lessThanOrEqual" aboveAverage="0" equalAverage="0" bottom="0" percent="0" rank="0" text="" dxfId="0">
      <formula>0</formula>
    </cfRule>
  </conditionalFormatting>
  <conditionalFormatting sqref="G410">
    <cfRule type="cellIs" priority="1216" operator="greaterThan" aboveAverage="0" equalAverage="0" bottom="0" percent="0" rank="0" text="" dxfId="10">
      <formula>e{r}</formula>
    </cfRule>
  </conditionalFormatting>
  <conditionalFormatting sqref="H411">
    <cfRule type="cellIs" priority="1217" operator="greaterThan" aboveAverage="0" equalAverage="0" bottom="0" percent="0" rank="0" text="" dxfId="1">
      <formula>0</formula>
    </cfRule>
    <cfRule type="cellIs" priority="1218" operator="lessThanOrEqual" aboveAverage="0" equalAverage="0" bottom="0" percent="0" rank="0" text="" dxfId="0">
      <formula>0</formula>
    </cfRule>
  </conditionalFormatting>
  <conditionalFormatting sqref="G411">
    <cfRule type="cellIs" priority="1219" operator="greaterThan" aboveAverage="0" equalAverage="0" bottom="0" percent="0" rank="0" text="" dxfId="10">
      <formula>e{r}</formula>
    </cfRule>
  </conditionalFormatting>
  <conditionalFormatting sqref="H412">
    <cfRule type="cellIs" priority="1220" operator="greaterThan" aboveAverage="0" equalAverage="0" bottom="0" percent="0" rank="0" text="" dxfId="1">
      <formula>0</formula>
    </cfRule>
    <cfRule type="cellIs" priority="1221" operator="lessThanOrEqual" aboveAverage="0" equalAverage="0" bottom="0" percent="0" rank="0" text="" dxfId="0">
      <formula>0</formula>
    </cfRule>
  </conditionalFormatting>
  <conditionalFormatting sqref="G412">
    <cfRule type="cellIs" priority="1222" operator="greaterThan" aboveAverage="0" equalAverage="0" bottom="0" percent="0" rank="0" text="" dxfId="10">
      <formula>e{r}</formula>
    </cfRule>
  </conditionalFormatting>
  <conditionalFormatting sqref="H413">
    <cfRule type="cellIs" priority="1223" operator="greaterThan" aboveAverage="0" equalAverage="0" bottom="0" percent="0" rank="0" text="" dxfId="1">
      <formula>0</formula>
    </cfRule>
    <cfRule type="cellIs" priority="1224" operator="lessThanOrEqual" aboveAverage="0" equalAverage="0" bottom="0" percent="0" rank="0" text="" dxfId="0">
      <formula>0</formula>
    </cfRule>
  </conditionalFormatting>
  <conditionalFormatting sqref="G413">
    <cfRule type="cellIs" priority="1225" operator="greaterThan" aboveAverage="0" equalAverage="0" bottom="0" percent="0" rank="0" text="" dxfId="10">
      <formula>e{r}</formula>
    </cfRule>
  </conditionalFormatting>
  <conditionalFormatting sqref="H414">
    <cfRule type="cellIs" priority="1226" operator="greaterThan" aboveAverage="0" equalAverage="0" bottom="0" percent="0" rank="0" text="" dxfId="1">
      <formula>0</formula>
    </cfRule>
    <cfRule type="cellIs" priority="1227" operator="lessThanOrEqual" aboveAverage="0" equalAverage="0" bottom="0" percent="0" rank="0" text="" dxfId="0">
      <formula>0</formula>
    </cfRule>
  </conditionalFormatting>
  <conditionalFormatting sqref="G414">
    <cfRule type="cellIs" priority="1228" operator="greaterThan" aboveAverage="0" equalAverage="0" bottom="0" percent="0" rank="0" text="" dxfId="10">
      <formula>e{r}</formula>
    </cfRule>
  </conditionalFormatting>
  <conditionalFormatting sqref="H415">
    <cfRule type="cellIs" priority="1229" operator="greaterThan" aboveAverage="0" equalAverage="0" bottom="0" percent="0" rank="0" text="" dxfId="1">
      <formula>0</formula>
    </cfRule>
    <cfRule type="cellIs" priority="1230" operator="lessThanOrEqual" aboveAverage="0" equalAverage="0" bottom="0" percent="0" rank="0" text="" dxfId="0">
      <formula>0</formula>
    </cfRule>
  </conditionalFormatting>
  <conditionalFormatting sqref="G415">
    <cfRule type="cellIs" priority="1231" operator="greaterThan" aboveAverage="0" equalAverage="0" bottom="0" percent="0" rank="0" text="" dxfId="10">
      <formula>e{r}</formula>
    </cfRule>
  </conditionalFormatting>
  <conditionalFormatting sqref="H416">
    <cfRule type="cellIs" priority="1232" operator="greaterThan" aboveAverage="0" equalAverage="0" bottom="0" percent="0" rank="0" text="" dxfId="1">
      <formula>0</formula>
    </cfRule>
    <cfRule type="cellIs" priority="1233" operator="lessThanOrEqual" aboveAverage="0" equalAverage="0" bottom="0" percent="0" rank="0" text="" dxfId="0">
      <formula>0</formula>
    </cfRule>
  </conditionalFormatting>
  <conditionalFormatting sqref="G416">
    <cfRule type="cellIs" priority="1234" operator="greaterThan" aboveAverage="0" equalAverage="0" bottom="0" percent="0" rank="0" text="" dxfId="10">
      <formula>e{r}</formula>
    </cfRule>
  </conditionalFormatting>
  <conditionalFormatting sqref="H417">
    <cfRule type="cellIs" priority="1235" operator="greaterThan" aboveAverage="0" equalAverage="0" bottom="0" percent="0" rank="0" text="" dxfId="1">
      <formula>0</formula>
    </cfRule>
    <cfRule type="cellIs" priority="1236" operator="lessThanOrEqual" aboveAverage="0" equalAverage="0" bottom="0" percent="0" rank="0" text="" dxfId="0">
      <formula>0</formula>
    </cfRule>
  </conditionalFormatting>
  <conditionalFormatting sqref="G417">
    <cfRule type="cellIs" priority="1237" operator="greaterThan" aboveAverage="0" equalAverage="0" bottom="0" percent="0" rank="0" text="" dxfId="10">
      <formula>e{r}</formula>
    </cfRule>
  </conditionalFormatting>
  <conditionalFormatting sqref="H418">
    <cfRule type="cellIs" priority="1238" operator="greaterThan" aboveAverage="0" equalAverage="0" bottom="0" percent="0" rank="0" text="" dxfId="1">
      <formula>0</formula>
    </cfRule>
    <cfRule type="cellIs" priority="1239" operator="lessThanOrEqual" aboveAverage="0" equalAverage="0" bottom="0" percent="0" rank="0" text="" dxfId="0">
      <formula>0</formula>
    </cfRule>
  </conditionalFormatting>
  <conditionalFormatting sqref="G418">
    <cfRule type="cellIs" priority="1240" operator="greaterThan" aboveAverage="0" equalAverage="0" bottom="0" percent="0" rank="0" text="" dxfId="10">
      <formula>e{r}</formula>
    </cfRule>
  </conditionalFormatting>
  <conditionalFormatting sqref="H419">
    <cfRule type="cellIs" priority="1241" operator="greaterThan" aboveAverage="0" equalAverage="0" bottom="0" percent="0" rank="0" text="" dxfId="1">
      <formula>0</formula>
    </cfRule>
    <cfRule type="cellIs" priority="1242" operator="lessThanOrEqual" aboveAverage="0" equalAverage="0" bottom="0" percent="0" rank="0" text="" dxfId="0">
      <formula>0</formula>
    </cfRule>
  </conditionalFormatting>
  <conditionalFormatting sqref="G419">
    <cfRule type="cellIs" priority="1243" operator="greaterThan" aboveAverage="0" equalAverage="0" bottom="0" percent="0" rank="0" text="" dxfId="10">
      <formula>e{r}</formula>
    </cfRule>
  </conditionalFormatting>
  <conditionalFormatting sqref="H420">
    <cfRule type="cellIs" priority="1244" operator="greaterThan" aboveAverage="0" equalAverage="0" bottom="0" percent="0" rank="0" text="" dxfId="1">
      <formula>0</formula>
    </cfRule>
    <cfRule type="cellIs" priority="1245" operator="lessThanOrEqual" aboveAverage="0" equalAverage="0" bottom="0" percent="0" rank="0" text="" dxfId="0">
      <formula>0</formula>
    </cfRule>
  </conditionalFormatting>
  <conditionalFormatting sqref="G420">
    <cfRule type="cellIs" priority="1246" operator="greaterThan" aboveAverage="0" equalAverage="0" bottom="0" percent="0" rank="0" text="" dxfId="10">
      <formula>e{r}</formula>
    </cfRule>
  </conditionalFormatting>
  <conditionalFormatting sqref="H421">
    <cfRule type="cellIs" priority="1247" operator="greaterThan" aboveAverage="0" equalAverage="0" bottom="0" percent="0" rank="0" text="" dxfId="1">
      <formula>0</formula>
    </cfRule>
    <cfRule type="cellIs" priority="1248" operator="lessThanOrEqual" aboveAverage="0" equalAverage="0" bottom="0" percent="0" rank="0" text="" dxfId="0">
      <formula>0</formula>
    </cfRule>
  </conditionalFormatting>
  <conditionalFormatting sqref="G421">
    <cfRule type="cellIs" priority="1249" operator="greaterThan" aboveAverage="0" equalAverage="0" bottom="0" percent="0" rank="0" text="" dxfId="10">
      <formula>e{r}</formula>
    </cfRule>
  </conditionalFormatting>
  <conditionalFormatting sqref="H422">
    <cfRule type="cellIs" priority="1250" operator="greaterThan" aboveAverage="0" equalAverage="0" bottom="0" percent="0" rank="0" text="" dxfId="1">
      <formula>0</formula>
    </cfRule>
    <cfRule type="cellIs" priority="1251" operator="lessThanOrEqual" aboveAverage="0" equalAverage="0" bottom="0" percent="0" rank="0" text="" dxfId="0">
      <formula>0</formula>
    </cfRule>
  </conditionalFormatting>
  <conditionalFormatting sqref="G422">
    <cfRule type="cellIs" priority="1252" operator="greaterThan" aboveAverage="0" equalAverage="0" bottom="0" percent="0" rank="0" text="" dxfId="10">
      <formula>e{r}</formula>
    </cfRule>
  </conditionalFormatting>
  <conditionalFormatting sqref="H423">
    <cfRule type="cellIs" priority="1253" operator="greaterThan" aboveAverage="0" equalAverage="0" bottom="0" percent="0" rank="0" text="" dxfId="1">
      <formula>0</formula>
    </cfRule>
    <cfRule type="cellIs" priority="1254" operator="lessThanOrEqual" aboveAverage="0" equalAverage="0" bottom="0" percent="0" rank="0" text="" dxfId="0">
      <formula>0</formula>
    </cfRule>
  </conditionalFormatting>
  <conditionalFormatting sqref="G423">
    <cfRule type="cellIs" priority="1255" operator="greaterThan" aboveAverage="0" equalAverage="0" bottom="0" percent="0" rank="0" text="" dxfId="10">
      <formula>e{r}</formula>
    </cfRule>
  </conditionalFormatting>
  <conditionalFormatting sqref="H424">
    <cfRule type="cellIs" priority="1256" operator="greaterThan" aboveAverage="0" equalAverage="0" bottom="0" percent="0" rank="0" text="" dxfId="1">
      <formula>0</formula>
    </cfRule>
    <cfRule type="cellIs" priority="1257" operator="lessThanOrEqual" aboveAverage="0" equalAverage="0" bottom="0" percent="0" rank="0" text="" dxfId="0">
      <formula>0</formula>
    </cfRule>
  </conditionalFormatting>
  <conditionalFormatting sqref="G424">
    <cfRule type="cellIs" priority="1258" operator="greaterThan" aboveAverage="0" equalAverage="0" bottom="0" percent="0" rank="0" text="" dxfId="10">
      <formula>e{r}</formula>
    </cfRule>
  </conditionalFormatting>
  <conditionalFormatting sqref="H425">
    <cfRule type="cellIs" priority="1259" operator="greaterThan" aboveAverage="0" equalAverage="0" bottom="0" percent="0" rank="0" text="" dxfId="1">
      <formula>0</formula>
    </cfRule>
    <cfRule type="cellIs" priority="1260" operator="lessThanOrEqual" aboveAverage="0" equalAverage="0" bottom="0" percent="0" rank="0" text="" dxfId="0">
      <formula>0</formula>
    </cfRule>
  </conditionalFormatting>
  <conditionalFormatting sqref="G425">
    <cfRule type="cellIs" priority="1261" operator="greaterThan" aboveAverage="0" equalAverage="0" bottom="0" percent="0" rank="0" text="" dxfId="10">
      <formula>e{r}</formula>
    </cfRule>
  </conditionalFormatting>
  <conditionalFormatting sqref="H426">
    <cfRule type="cellIs" priority="1262" operator="greaterThan" aboveAverage="0" equalAverage="0" bottom="0" percent="0" rank="0" text="" dxfId="1">
      <formula>0</formula>
    </cfRule>
    <cfRule type="cellIs" priority="1263" operator="lessThanOrEqual" aboveAverage="0" equalAverage="0" bottom="0" percent="0" rank="0" text="" dxfId="0">
      <formula>0</formula>
    </cfRule>
  </conditionalFormatting>
  <conditionalFormatting sqref="G426">
    <cfRule type="cellIs" priority="1264" operator="greaterThan" aboveAverage="0" equalAverage="0" bottom="0" percent="0" rank="0" text="" dxfId="10">
      <formula>e{r}</formula>
    </cfRule>
  </conditionalFormatting>
  <conditionalFormatting sqref="H427">
    <cfRule type="cellIs" priority="1265" operator="greaterThan" aboveAverage="0" equalAverage="0" bottom="0" percent="0" rank="0" text="" dxfId="1">
      <formula>0</formula>
    </cfRule>
    <cfRule type="cellIs" priority="1266" operator="lessThanOrEqual" aboveAverage="0" equalAverage="0" bottom="0" percent="0" rank="0" text="" dxfId="0">
      <formula>0</formula>
    </cfRule>
  </conditionalFormatting>
  <conditionalFormatting sqref="G427">
    <cfRule type="cellIs" priority="1267" operator="greaterThan" aboveAverage="0" equalAverage="0" bottom="0" percent="0" rank="0" text="" dxfId="10">
      <formula>e{r}</formula>
    </cfRule>
  </conditionalFormatting>
  <conditionalFormatting sqref="H428">
    <cfRule type="cellIs" priority="1268" operator="greaterThan" aboveAverage="0" equalAverage="0" bottom="0" percent="0" rank="0" text="" dxfId="1">
      <formula>0</formula>
    </cfRule>
    <cfRule type="cellIs" priority="1269" operator="lessThanOrEqual" aboveAverage="0" equalAverage="0" bottom="0" percent="0" rank="0" text="" dxfId="0">
      <formula>0</formula>
    </cfRule>
  </conditionalFormatting>
  <conditionalFormatting sqref="G428">
    <cfRule type="cellIs" priority="1270" operator="greaterThan" aboveAverage="0" equalAverage="0" bottom="0" percent="0" rank="0" text="" dxfId="10">
      <formula>e{r}</formula>
    </cfRule>
  </conditionalFormatting>
  <conditionalFormatting sqref="H429">
    <cfRule type="cellIs" priority="1271" operator="greaterThan" aboveAverage="0" equalAverage="0" bottom="0" percent="0" rank="0" text="" dxfId="1">
      <formula>0</formula>
    </cfRule>
    <cfRule type="cellIs" priority="1272" operator="lessThanOrEqual" aboveAverage="0" equalAverage="0" bottom="0" percent="0" rank="0" text="" dxfId="0">
      <formula>0</formula>
    </cfRule>
  </conditionalFormatting>
  <conditionalFormatting sqref="G429">
    <cfRule type="cellIs" priority="1273" operator="greaterThan" aboveAverage="0" equalAverage="0" bottom="0" percent="0" rank="0" text="" dxfId="10">
      <formula>e{r}</formula>
    </cfRule>
  </conditionalFormatting>
  <conditionalFormatting sqref="H430">
    <cfRule type="cellIs" priority="1274" operator="greaterThan" aboveAverage="0" equalAverage="0" bottom="0" percent="0" rank="0" text="" dxfId="1">
      <formula>0</formula>
    </cfRule>
    <cfRule type="cellIs" priority="1275" operator="lessThanOrEqual" aboveAverage="0" equalAverage="0" bottom="0" percent="0" rank="0" text="" dxfId="0">
      <formula>0</formula>
    </cfRule>
  </conditionalFormatting>
  <conditionalFormatting sqref="G430">
    <cfRule type="cellIs" priority="1276" operator="greaterThan" aboveAverage="0" equalAverage="0" bottom="0" percent="0" rank="0" text="" dxfId="10">
      <formula>e{r}</formula>
    </cfRule>
  </conditionalFormatting>
  <conditionalFormatting sqref="H431">
    <cfRule type="cellIs" priority="1277" operator="greaterThan" aboveAverage="0" equalAverage="0" bottom="0" percent="0" rank="0" text="" dxfId="1">
      <formula>0</formula>
    </cfRule>
    <cfRule type="cellIs" priority="1278" operator="lessThanOrEqual" aboveAverage="0" equalAverage="0" bottom="0" percent="0" rank="0" text="" dxfId="0">
      <formula>0</formula>
    </cfRule>
  </conditionalFormatting>
  <conditionalFormatting sqref="G431">
    <cfRule type="cellIs" priority="1279" operator="greaterThan" aboveAverage="0" equalAverage="0" bottom="0" percent="0" rank="0" text="" dxfId="10">
      <formula>e{r}</formula>
    </cfRule>
  </conditionalFormatting>
  <conditionalFormatting sqref="H432">
    <cfRule type="cellIs" priority="1280" operator="greaterThan" aboveAverage="0" equalAverage="0" bottom="0" percent="0" rank="0" text="" dxfId="1">
      <formula>0</formula>
    </cfRule>
    <cfRule type="cellIs" priority="1281" operator="lessThanOrEqual" aboveAverage="0" equalAverage="0" bottom="0" percent="0" rank="0" text="" dxfId="0">
      <formula>0</formula>
    </cfRule>
  </conditionalFormatting>
  <conditionalFormatting sqref="G432">
    <cfRule type="cellIs" priority="1282" operator="greaterThan" aboveAverage="0" equalAverage="0" bottom="0" percent="0" rank="0" text="" dxfId="10">
      <formula>e{r}</formula>
    </cfRule>
  </conditionalFormatting>
  <conditionalFormatting sqref="H433">
    <cfRule type="cellIs" priority="1283" operator="greaterThan" aboveAverage="0" equalAverage="0" bottom="0" percent="0" rank="0" text="" dxfId="1">
      <formula>0</formula>
    </cfRule>
    <cfRule type="cellIs" priority="1284" operator="lessThanOrEqual" aboveAverage="0" equalAverage="0" bottom="0" percent="0" rank="0" text="" dxfId="0">
      <formula>0</formula>
    </cfRule>
  </conditionalFormatting>
  <conditionalFormatting sqref="G433">
    <cfRule type="cellIs" priority="1285" operator="greaterThan" aboveAverage="0" equalAverage="0" bottom="0" percent="0" rank="0" text="" dxfId="10">
      <formula>e{r}</formula>
    </cfRule>
  </conditionalFormatting>
  <conditionalFormatting sqref="H434">
    <cfRule type="cellIs" priority="1286" operator="greaterThan" aboveAverage="0" equalAverage="0" bottom="0" percent="0" rank="0" text="" dxfId="1">
      <formula>0</formula>
    </cfRule>
    <cfRule type="cellIs" priority="1287" operator="lessThanOrEqual" aboveAverage="0" equalAverage="0" bottom="0" percent="0" rank="0" text="" dxfId="0">
      <formula>0</formula>
    </cfRule>
  </conditionalFormatting>
  <conditionalFormatting sqref="G434">
    <cfRule type="cellIs" priority="1288" operator="greaterThan" aboveAverage="0" equalAverage="0" bottom="0" percent="0" rank="0" text="" dxfId="10">
      <formula>e{r}</formula>
    </cfRule>
  </conditionalFormatting>
  <conditionalFormatting sqref="H435">
    <cfRule type="cellIs" priority="1289" operator="greaterThan" aboveAverage="0" equalAverage="0" bottom="0" percent="0" rank="0" text="" dxfId="1">
      <formula>0</formula>
    </cfRule>
    <cfRule type="cellIs" priority="1290" operator="lessThanOrEqual" aboveAverage="0" equalAverage="0" bottom="0" percent="0" rank="0" text="" dxfId="0">
      <formula>0</formula>
    </cfRule>
  </conditionalFormatting>
  <conditionalFormatting sqref="G435">
    <cfRule type="cellIs" priority="1291" operator="greaterThan" aboveAverage="0" equalAverage="0" bottom="0" percent="0" rank="0" text="" dxfId="10">
      <formula>e{r}</formula>
    </cfRule>
  </conditionalFormatting>
  <conditionalFormatting sqref="H436">
    <cfRule type="cellIs" priority="1292" operator="greaterThan" aboveAverage="0" equalAverage="0" bottom="0" percent="0" rank="0" text="" dxfId="1">
      <formula>0</formula>
    </cfRule>
    <cfRule type="cellIs" priority="1293" operator="lessThanOrEqual" aboveAverage="0" equalAverage="0" bottom="0" percent="0" rank="0" text="" dxfId="0">
      <formula>0</formula>
    </cfRule>
  </conditionalFormatting>
  <conditionalFormatting sqref="G436">
    <cfRule type="cellIs" priority="1294" operator="greaterThan" aboveAverage="0" equalAverage="0" bottom="0" percent="0" rank="0" text="" dxfId="10">
      <formula>e{r}</formula>
    </cfRule>
  </conditionalFormatting>
  <conditionalFormatting sqref="H437">
    <cfRule type="cellIs" priority="1295" operator="greaterThan" aboveAverage="0" equalAverage="0" bottom="0" percent="0" rank="0" text="" dxfId="1">
      <formula>0</formula>
    </cfRule>
    <cfRule type="cellIs" priority="1296" operator="lessThanOrEqual" aboveAverage="0" equalAverage="0" bottom="0" percent="0" rank="0" text="" dxfId="0">
      <formula>0</formula>
    </cfRule>
  </conditionalFormatting>
  <conditionalFormatting sqref="G437">
    <cfRule type="cellIs" priority="1297" operator="greaterThan" aboveAverage="0" equalAverage="0" bottom="0" percent="0" rank="0" text="" dxfId="10">
      <formula>e{r}</formula>
    </cfRule>
  </conditionalFormatting>
  <conditionalFormatting sqref="H438">
    <cfRule type="cellIs" priority="1298" operator="greaterThan" aboveAverage="0" equalAverage="0" bottom="0" percent="0" rank="0" text="" dxfId="1">
      <formula>0</formula>
    </cfRule>
    <cfRule type="cellIs" priority="1299" operator="lessThanOrEqual" aboveAverage="0" equalAverage="0" bottom="0" percent="0" rank="0" text="" dxfId="0">
      <formula>0</formula>
    </cfRule>
  </conditionalFormatting>
  <conditionalFormatting sqref="G438">
    <cfRule type="cellIs" priority="1300" operator="greaterThan" aboveAverage="0" equalAverage="0" bottom="0" percent="0" rank="0" text="" dxfId="10">
      <formula>e{r}</formula>
    </cfRule>
  </conditionalFormatting>
  <conditionalFormatting sqref="H439">
    <cfRule type="cellIs" priority="1301" operator="greaterThan" aboveAverage="0" equalAverage="0" bottom="0" percent="0" rank="0" text="" dxfId="1">
      <formula>0</formula>
    </cfRule>
    <cfRule type="cellIs" priority="1302" operator="lessThanOrEqual" aboveAverage="0" equalAverage="0" bottom="0" percent="0" rank="0" text="" dxfId="0">
      <formula>0</formula>
    </cfRule>
  </conditionalFormatting>
  <conditionalFormatting sqref="G439">
    <cfRule type="cellIs" priority="1303" operator="greaterThan" aboveAverage="0" equalAverage="0" bottom="0" percent="0" rank="0" text="" dxfId="10">
      <formula>e{r}</formula>
    </cfRule>
  </conditionalFormatting>
  <conditionalFormatting sqref="H440">
    <cfRule type="cellIs" priority="1304" operator="greaterThan" aboveAverage="0" equalAverage="0" bottom="0" percent="0" rank="0" text="" dxfId="1">
      <formula>0</formula>
    </cfRule>
    <cfRule type="cellIs" priority="1305" operator="lessThanOrEqual" aboveAverage="0" equalAverage="0" bottom="0" percent="0" rank="0" text="" dxfId="0">
      <formula>0</formula>
    </cfRule>
  </conditionalFormatting>
  <conditionalFormatting sqref="G440">
    <cfRule type="cellIs" priority="1306" operator="greaterThan" aboveAverage="0" equalAverage="0" bottom="0" percent="0" rank="0" text="" dxfId="10">
      <formula>e{r}</formula>
    </cfRule>
  </conditionalFormatting>
  <conditionalFormatting sqref="H441">
    <cfRule type="cellIs" priority="1307" operator="greaterThan" aboveAverage="0" equalAverage="0" bottom="0" percent="0" rank="0" text="" dxfId="1">
      <formula>0</formula>
    </cfRule>
    <cfRule type="cellIs" priority="1308" operator="lessThanOrEqual" aboveAverage="0" equalAverage="0" bottom="0" percent="0" rank="0" text="" dxfId="0">
      <formula>0</formula>
    </cfRule>
  </conditionalFormatting>
  <conditionalFormatting sqref="G441">
    <cfRule type="cellIs" priority="1309" operator="greaterThan" aboveAverage="0" equalAverage="0" bottom="0" percent="0" rank="0" text="" dxfId="10">
      <formula>e{r}</formula>
    </cfRule>
  </conditionalFormatting>
  <conditionalFormatting sqref="H442">
    <cfRule type="cellIs" priority="1310" operator="greaterThan" aboveAverage="0" equalAverage="0" bottom="0" percent="0" rank="0" text="" dxfId="1">
      <formula>0</formula>
    </cfRule>
    <cfRule type="cellIs" priority="1311" operator="lessThanOrEqual" aboveAverage="0" equalAverage="0" bottom="0" percent="0" rank="0" text="" dxfId="0">
      <formula>0</formula>
    </cfRule>
  </conditionalFormatting>
  <conditionalFormatting sqref="G442">
    <cfRule type="cellIs" priority="1312" operator="greaterThan" aboveAverage="0" equalAverage="0" bottom="0" percent="0" rank="0" text="" dxfId="10">
      <formula>e{r}</formula>
    </cfRule>
  </conditionalFormatting>
  <conditionalFormatting sqref="H443">
    <cfRule type="cellIs" priority="1313" operator="greaterThan" aboveAverage="0" equalAverage="0" bottom="0" percent="0" rank="0" text="" dxfId="1">
      <formula>0</formula>
    </cfRule>
    <cfRule type="cellIs" priority="1314" operator="lessThanOrEqual" aboveAverage="0" equalAverage="0" bottom="0" percent="0" rank="0" text="" dxfId="0">
      <formula>0</formula>
    </cfRule>
  </conditionalFormatting>
  <conditionalFormatting sqref="G443">
    <cfRule type="cellIs" priority="1315" operator="greaterThan" aboveAverage="0" equalAverage="0" bottom="0" percent="0" rank="0" text="" dxfId="10">
      <formula>e{r}</formula>
    </cfRule>
  </conditionalFormatting>
  <conditionalFormatting sqref="H444">
    <cfRule type="cellIs" priority="1316" operator="greaterThan" aboveAverage="0" equalAverage="0" bottom="0" percent="0" rank="0" text="" dxfId="1">
      <formula>0</formula>
    </cfRule>
    <cfRule type="cellIs" priority="1317" operator="lessThanOrEqual" aboveAverage="0" equalAverage="0" bottom="0" percent="0" rank="0" text="" dxfId="0">
      <formula>0</formula>
    </cfRule>
  </conditionalFormatting>
  <conditionalFormatting sqref="G444">
    <cfRule type="cellIs" priority="1318" operator="greaterThan" aboveAverage="0" equalAverage="0" bottom="0" percent="0" rank="0" text="" dxfId="10">
      <formula>e{r}</formula>
    </cfRule>
  </conditionalFormatting>
  <conditionalFormatting sqref="H445">
    <cfRule type="cellIs" priority="1319" operator="greaterThan" aboveAverage="0" equalAverage="0" bottom="0" percent="0" rank="0" text="" dxfId="1">
      <formula>0</formula>
    </cfRule>
    <cfRule type="cellIs" priority="1320" operator="lessThanOrEqual" aboveAverage="0" equalAverage="0" bottom="0" percent="0" rank="0" text="" dxfId="0">
      <formula>0</formula>
    </cfRule>
  </conditionalFormatting>
  <conditionalFormatting sqref="G445">
    <cfRule type="cellIs" priority="1321" operator="greaterThan" aboveAverage="0" equalAverage="0" bottom="0" percent="0" rank="0" text="" dxfId="10">
      <formula>e{r}</formula>
    </cfRule>
  </conditionalFormatting>
  <conditionalFormatting sqref="H446">
    <cfRule type="cellIs" priority="1322" operator="greaterThan" aboveAverage="0" equalAverage="0" bottom="0" percent="0" rank="0" text="" dxfId="1">
      <formula>0</formula>
    </cfRule>
    <cfRule type="cellIs" priority="1323" operator="lessThanOrEqual" aboveAverage="0" equalAverage="0" bottom="0" percent="0" rank="0" text="" dxfId="0">
      <formula>0</formula>
    </cfRule>
  </conditionalFormatting>
  <conditionalFormatting sqref="G446">
    <cfRule type="cellIs" priority="1324" operator="greaterThan" aboveAverage="0" equalAverage="0" bottom="0" percent="0" rank="0" text="" dxfId="10">
      <formula>e{r}</formula>
    </cfRule>
  </conditionalFormatting>
  <conditionalFormatting sqref="H447">
    <cfRule type="cellIs" priority="1325" operator="greaterThan" aboveAverage="0" equalAverage="0" bottom="0" percent="0" rank="0" text="" dxfId="1">
      <formula>0</formula>
    </cfRule>
    <cfRule type="cellIs" priority="1326" operator="lessThanOrEqual" aboveAverage="0" equalAverage="0" bottom="0" percent="0" rank="0" text="" dxfId="0">
      <formula>0</formula>
    </cfRule>
  </conditionalFormatting>
  <conditionalFormatting sqref="G447">
    <cfRule type="cellIs" priority="1327" operator="greaterThan" aboveAverage="0" equalAverage="0" bottom="0" percent="0" rank="0" text="" dxfId="10">
      <formula>e{r}</formula>
    </cfRule>
  </conditionalFormatting>
  <conditionalFormatting sqref="H448">
    <cfRule type="cellIs" priority="1328" operator="greaterThan" aboveAverage="0" equalAverage="0" bottom="0" percent="0" rank="0" text="" dxfId="1">
      <formula>0</formula>
    </cfRule>
    <cfRule type="cellIs" priority="1329" operator="lessThanOrEqual" aboveAverage="0" equalAverage="0" bottom="0" percent="0" rank="0" text="" dxfId="0">
      <formula>0</formula>
    </cfRule>
  </conditionalFormatting>
  <conditionalFormatting sqref="G448">
    <cfRule type="cellIs" priority="1330" operator="greaterThan" aboveAverage="0" equalAverage="0" bottom="0" percent="0" rank="0" text="" dxfId="10">
      <formula>e{r}</formula>
    </cfRule>
  </conditionalFormatting>
  <conditionalFormatting sqref="H449">
    <cfRule type="cellIs" priority="1331" operator="greaterThan" aboveAverage="0" equalAverage="0" bottom="0" percent="0" rank="0" text="" dxfId="1">
      <formula>0</formula>
    </cfRule>
    <cfRule type="cellIs" priority="1332" operator="lessThanOrEqual" aboveAverage="0" equalAverage="0" bottom="0" percent="0" rank="0" text="" dxfId="0">
      <formula>0</formula>
    </cfRule>
  </conditionalFormatting>
  <conditionalFormatting sqref="G449">
    <cfRule type="cellIs" priority="1333" operator="greaterThan" aboveAverage="0" equalAverage="0" bottom="0" percent="0" rank="0" text="" dxfId="10">
      <formula>e{r}</formula>
    </cfRule>
  </conditionalFormatting>
  <conditionalFormatting sqref="H450">
    <cfRule type="cellIs" priority="1334" operator="greaterThan" aboveAverage="0" equalAverage="0" bottom="0" percent="0" rank="0" text="" dxfId="1">
      <formula>0</formula>
    </cfRule>
    <cfRule type="cellIs" priority="1335" operator="lessThanOrEqual" aboveAverage="0" equalAverage="0" bottom="0" percent="0" rank="0" text="" dxfId="0">
      <formula>0</formula>
    </cfRule>
  </conditionalFormatting>
  <conditionalFormatting sqref="G450">
    <cfRule type="cellIs" priority="1336" operator="greaterThan" aboveAverage="0" equalAverage="0" bottom="0" percent="0" rank="0" text="" dxfId="10">
      <formula>e{r}</formula>
    </cfRule>
  </conditionalFormatting>
  <conditionalFormatting sqref="H451">
    <cfRule type="cellIs" priority="1337" operator="greaterThan" aboveAverage="0" equalAverage="0" bottom="0" percent="0" rank="0" text="" dxfId="1">
      <formula>0</formula>
    </cfRule>
    <cfRule type="cellIs" priority="1338" operator="lessThanOrEqual" aboveAverage="0" equalAverage="0" bottom="0" percent="0" rank="0" text="" dxfId="0">
      <formula>0</formula>
    </cfRule>
  </conditionalFormatting>
  <conditionalFormatting sqref="G451">
    <cfRule type="cellIs" priority="1339" operator="greaterThan" aboveAverage="0" equalAverage="0" bottom="0" percent="0" rank="0" text="" dxfId="10">
      <formula>e{r}</formula>
    </cfRule>
  </conditionalFormatting>
  <conditionalFormatting sqref="H452">
    <cfRule type="cellIs" priority="1340" operator="greaterThan" aboveAverage="0" equalAverage="0" bottom="0" percent="0" rank="0" text="" dxfId="1">
      <formula>0</formula>
    </cfRule>
    <cfRule type="cellIs" priority="1341" operator="lessThanOrEqual" aboveAverage="0" equalAverage="0" bottom="0" percent="0" rank="0" text="" dxfId="0">
      <formula>0</formula>
    </cfRule>
  </conditionalFormatting>
  <conditionalFormatting sqref="G452">
    <cfRule type="cellIs" priority="1342" operator="greaterThan" aboveAverage="0" equalAverage="0" bottom="0" percent="0" rank="0" text="" dxfId="10">
      <formula>e{r}</formula>
    </cfRule>
  </conditionalFormatting>
  <conditionalFormatting sqref="H453">
    <cfRule type="cellIs" priority="1343" operator="greaterThan" aboveAverage="0" equalAverage="0" bottom="0" percent="0" rank="0" text="" dxfId="1">
      <formula>0</formula>
    </cfRule>
    <cfRule type="cellIs" priority="1344" operator="lessThanOrEqual" aboveAverage="0" equalAverage="0" bottom="0" percent="0" rank="0" text="" dxfId="0">
      <formula>0</formula>
    </cfRule>
  </conditionalFormatting>
  <conditionalFormatting sqref="G453">
    <cfRule type="cellIs" priority="1345" operator="greaterThan" aboveAverage="0" equalAverage="0" bottom="0" percent="0" rank="0" text="" dxfId="10">
      <formula>e{r}</formula>
    </cfRule>
  </conditionalFormatting>
  <conditionalFormatting sqref="H454">
    <cfRule type="cellIs" priority="1346" operator="greaterThan" aboveAverage="0" equalAverage="0" bottom="0" percent="0" rank="0" text="" dxfId="1">
      <formula>0</formula>
    </cfRule>
    <cfRule type="cellIs" priority="1347" operator="lessThanOrEqual" aboveAverage="0" equalAverage="0" bottom="0" percent="0" rank="0" text="" dxfId="0">
      <formula>0</formula>
    </cfRule>
  </conditionalFormatting>
  <conditionalFormatting sqref="G454">
    <cfRule type="cellIs" priority="1348" operator="greaterThan" aboveAverage="0" equalAverage="0" bottom="0" percent="0" rank="0" text="" dxfId="10">
      <formula>e{r}</formula>
    </cfRule>
  </conditionalFormatting>
  <conditionalFormatting sqref="H455">
    <cfRule type="cellIs" priority="1349" operator="greaterThan" aboveAverage="0" equalAverage="0" bottom="0" percent="0" rank="0" text="" dxfId="1">
      <formula>0</formula>
    </cfRule>
    <cfRule type="cellIs" priority="1350" operator="lessThanOrEqual" aboveAverage="0" equalAverage="0" bottom="0" percent="0" rank="0" text="" dxfId="0">
      <formula>0</formula>
    </cfRule>
  </conditionalFormatting>
  <conditionalFormatting sqref="G455">
    <cfRule type="cellIs" priority="1351" operator="greaterThan" aboveAverage="0" equalAverage="0" bottom="0" percent="0" rank="0" text="" dxfId="10">
      <formula>e{r}</formula>
    </cfRule>
  </conditionalFormatting>
  <conditionalFormatting sqref="H456">
    <cfRule type="cellIs" priority="1352" operator="greaterThan" aboveAverage="0" equalAverage="0" bottom="0" percent="0" rank="0" text="" dxfId="1">
      <formula>0</formula>
    </cfRule>
    <cfRule type="cellIs" priority="1353" operator="lessThanOrEqual" aboveAverage="0" equalAverage="0" bottom="0" percent="0" rank="0" text="" dxfId="0">
      <formula>0</formula>
    </cfRule>
  </conditionalFormatting>
  <conditionalFormatting sqref="G456">
    <cfRule type="cellIs" priority="1354" operator="greaterThan" aboveAverage="0" equalAverage="0" bottom="0" percent="0" rank="0" text="" dxfId="10">
      <formula>e{r}</formula>
    </cfRule>
  </conditionalFormatting>
  <conditionalFormatting sqref="H457">
    <cfRule type="cellIs" priority="1355" operator="greaterThan" aboveAverage="0" equalAverage="0" bottom="0" percent="0" rank="0" text="" dxfId="1">
      <formula>0</formula>
    </cfRule>
    <cfRule type="cellIs" priority="1356" operator="lessThanOrEqual" aboveAverage="0" equalAverage="0" bottom="0" percent="0" rank="0" text="" dxfId="0">
      <formula>0</formula>
    </cfRule>
  </conditionalFormatting>
  <conditionalFormatting sqref="G457">
    <cfRule type="cellIs" priority="1357" operator="greaterThan" aboveAverage="0" equalAverage="0" bottom="0" percent="0" rank="0" text="" dxfId="10">
      <formula>e{r}</formula>
    </cfRule>
  </conditionalFormatting>
  <conditionalFormatting sqref="H458">
    <cfRule type="cellIs" priority="1358" operator="greaterThan" aboveAverage="0" equalAverage="0" bottom="0" percent="0" rank="0" text="" dxfId="1">
      <formula>0</formula>
    </cfRule>
    <cfRule type="cellIs" priority="1359" operator="lessThanOrEqual" aboveAverage="0" equalAverage="0" bottom="0" percent="0" rank="0" text="" dxfId="0">
      <formula>0</formula>
    </cfRule>
  </conditionalFormatting>
  <conditionalFormatting sqref="G458">
    <cfRule type="cellIs" priority="1360" operator="greaterThan" aboveAverage="0" equalAverage="0" bottom="0" percent="0" rank="0" text="" dxfId="10">
      <formula>e{r}</formula>
    </cfRule>
  </conditionalFormatting>
  <conditionalFormatting sqref="H459">
    <cfRule type="cellIs" priority="1361" operator="greaterThan" aboveAverage="0" equalAverage="0" bottom="0" percent="0" rank="0" text="" dxfId="1">
      <formula>0</formula>
    </cfRule>
    <cfRule type="cellIs" priority="1362" operator="lessThanOrEqual" aboveAverage="0" equalAverage="0" bottom="0" percent="0" rank="0" text="" dxfId="0">
      <formula>0</formula>
    </cfRule>
  </conditionalFormatting>
  <conditionalFormatting sqref="G459">
    <cfRule type="cellIs" priority="1363" operator="greaterThan" aboveAverage="0" equalAverage="0" bottom="0" percent="0" rank="0" text="" dxfId="10">
      <formula>e{r}</formula>
    </cfRule>
  </conditionalFormatting>
  <conditionalFormatting sqref="H460">
    <cfRule type="cellIs" priority="1364" operator="greaterThan" aboveAverage="0" equalAverage="0" bottom="0" percent="0" rank="0" text="" dxfId="1">
      <formula>0</formula>
    </cfRule>
    <cfRule type="cellIs" priority="1365" operator="lessThanOrEqual" aboveAverage="0" equalAverage="0" bottom="0" percent="0" rank="0" text="" dxfId="0">
      <formula>0</formula>
    </cfRule>
  </conditionalFormatting>
  <conditionalFormatting sqref="G460">
    <cfRule type="cellIs" priority="1366" operator="greaterThan" aboveAverage="0" equalAverage="0" bottom="0" percent="0" rank="0" text="" dxfId="10">
      <formula>e{r}</formula>
    </cfRule>
  </conditionalFormatting>
  <conditionalFormatting sqref="H461">
    <cfRule type="cellIs" priority="1367" operator="greaterThan" aboveAverage="0" equalAverage="0" bottom="0" percent="0" rank="0" text="" dxfId="1">
      <formula>0</formula>
    </cfRule>
    <cfRule type="cellIs" priority="1368" operator="lessThanOrEqual" aboveAverage="0" equalAverage="0" bottom="0" percent="0" rank="0" text="" dxfId="0">
      <formula>0</formula>
    </cfRule>
  </conditionalFormatting>
  <conditionalFormatting sqref="G461">
    <cfRule type="cellIs" priority="1369" operator="greaterThan" aboveAverage="0" equalAverage="0" bottom="0" percent="0" rank="0" text="" dxfId="10">
      <formula>e{r}</formula>
    </cfRule>
  </conditionalFormatting>
  <conditionalFormatting sqref="H462">
    <cfRule type="cellIs" priority="1370" operator="greaterThan" aboveAverage="0" equalAverage="0" bottom="0" percent="0" rank="0" text="" dxfId="1">
      <formula>0</formula>
    </cfRule>
    <cfRule type="cellIs" priority="1371" operator="lessThanOrEqual" aboveAverage="0" equalAverage="0" bottom="0" percent="0" rank="0" text="" dxfId="0">
      <formula>0</formula>
    </cfRule>
  </conditionalFormatting>
  <conditionalFormatting sqref="G462">
    <cfRule type="cellIs" priority="1372" operator="greaterThan" aboveAverage="0" equalAverage="0" bottom="0" percent="0" rank="0" text="" dxfId="10">
      <formula>e{r}</formula>
    </cfRule>
  </conditionalFormatting>
  <conditionalFormatting sqref="H463">
    <cfRule type="cellIs" priority="1373" operator="greaterThan" aboveAverage="0" equalAverage="0" bottom="0" percent="0" rank="0" text="" dxfId="1">
      <formula>0</formula>
    </cfRule>
    <cfRule type="cellIs" priority="1374" operator="lessThanOrEqual" aboveAverage="0" equalAverage="0" bottom="0" percent="0" rank="0" text="" dxfId="0">
      <formula>0</formula>
    </cfRule>
  </conditionalFormatting>
  <conditionalFormatting sqref="G463">
    <cfRule type="cellIs" priority="1375" operator="greaterThan" aboveAverage="0" equalAverage="0" bottom="0" percent="0" rank="0" text="" dxfId="10">
      <formula>e{r}</formula>
    </cfRule>
  </conditionalFormatting>
  <conditionalFormatting sqref="H464">
    <cfRule type="cellIs" priority="1376" operator="greaterThan" aboveAverage="0" equalAverage="0" bottom="0" percent="0" rank="0" text="" dxfId="1">
      <formula>0</formula>
    </cfRule>
    <cfRule type="cellIs" priority="1377" operator="lessThanOrEqual" aboveAverage="0" equalAverage="0" bottom="0" percent="0" rank="0" text="" dxfId="0">
      <formula>0</formula>
    </cfRule>
  </conditionalFormatting>
  <conditionalFormatting sqref="G464">
    <cfRule type="cellIs" priority="1378" operator="greaterThan" aboveAverage="0" equalAverage="0" bottom="0" percent="0" rank="0" text="" dxfId="10">
      <formula>e{r}</formula>
    </cfRule>
  </conditionalFormatting>
  <conditionalFormatting sqref="H465">
    <cfRule type="cellIs" priority="1379" operator="greaterThan" aboveAverage="0" equalAverage="0" bottom="0" percent="0" rank="0" text="" dxfId="1">
      <formula>0</formula>
    </cfRule>
    <cfRule type="cellIs" priority="1380" operator="lessThanOrEqual" aboveAverage="0" equalAverage="0" bottom="0" percent="0" rank="0" text="" dxfId="0">
      <formula>0</formula>
    </cfRule>
  </conditionalFormatting>
  <conditionalFormatting sqref="G465">
    <cfRule type="cellIs" priority="1381" operator="greaterThan" aboveAverage="0" equalAverage="0" bottom="0" percent="0" rank="0" text="" dxfId="10">
      <formula>e{r}</formula>
    </cfRule>
  </conditionalFormatting>
  <conditionalFormatting sqref="H466">
    <cfRule type="cellIs" priority="1382" operator="greaterThan" aboveAverage="0" equalAverage="0" bottom="0" percent="0" rank="0" text="" dxfId="1">
      <formula>0</formula>
    </cfRule>
    <cfRule type="cellIs" priority="1383" operator="lessThanOrEqual" aboveAverage="0" equalAverage="0" bottom="0" percent="0" rank="0" text="" dxfId="0">
      <formula>0</formula>
    </cfRule>
  </conditionalFormatting>
  <conditionalFormatting sqref="G466">
    <cfRule type="cellIs" priority="1384" operator="greaterThan" aboveAverage="0" equalAverage="0" bottom="0" percent="0" rank="0" text="" dxfId="10">
      <formula>e{r}</formula>
    </cfRule>
  </conditionalFormatting>
  <conditionalFormatting sqref="H467">
    <cfRule type="cellIs" priority="1385" operator="greaterThan" aboveAverage="0" equalAverage="0" bottom="0" percent="0" rank="0" text="" dxfId="1">
      <formula>0</formula>
    </cfRule>
    <cfRule type="cellIs" priority="1386" operator="lessThanOrEqual" aboveAverage="0" equalAverage="0" bottom="0" percent="0" rank="0" text="" dxfId="0">
      <formula>0</formula>
    </cfRule>
  </conditionalFormatting>
  <conditionalFormatting sqref="G467">
    <cfRule type="cellIs" priority="1387" operator="greaterThan" aboveAverage="0" equalAverage="0" bottom="0" percent="0" rank="0" text="" dxfId="10">
      <formula>e{r}</formula>
    </cfRule>
  </conditionalFormatting>
  <conditionalFormatting sqref="H468">
    <cfRule type="cellIs" priority="1388" operator="greaterThan" aboveAverage="0" equalAverage="0" bottom="0" percent="0" rank="0" text="" dxfId="1">
      <formula>0</formula>
    </cfRule>
    <cfRule type="cellIs" priority="1389" operator="lessThanOrEqual" aboveAverage="0" equalAverage="0" bottom="0" percent="0" rank="0" text="" dxfId="0">
      <formula>0</formula>
    </cfRule>
  </conditionalFormatting>
  <conditionalFormatting sqref="G468">
    <cfRule type="cellIs" priority="1390" operator="greaterThan" aboveAverage="0" equalAverage="0" bottom="0" percent="0" rank="0" text="" dxfId="10">
      <formula>e{r}</formula>
    </cfRule>
  </conditionalFormatting>
  <conditionalFormatting sqref="H469">
    <cfRule type="cellIs" priority="1391" operator="greaterThan" aboveAverage="0" equalAverage="0" bottom="0" percent="0" rank="0" text="" dxfId="1">
      <formula>0</formula>
    </cfRule>
    <cfRule type="cellIs" priority="1392" operator="lessThanOrEqual" aboveAverage="0" equalAverage="0" bottom="0" percent="0" rank="0" text="" dxfId="0">
      <formula>0</formula>
    </cfRule>
  </conditionalFormatting>
  <conditionalFormatting sqref="G469">
    <cfRule type="cellIs" priority="1393" operator="greaterThan" aboveAverage="0" equalAverage="0" bottom="0" percent="0" rank="0" text="" dxfId="10">
      <formula>e{r}</formula>
    </cfRule>
  </conditionalFormatting>
  <conditionalFormatting sqref="H470">
    <cfRule type="cellIs" priority="1394" operator="greaterThan" aboveAverage="0" equalAverage="0" bottom="0" percent="0" rank="0" text="" dxfId="1">
      <formula>0</formula>
    </cfRule>
    <cfRule type="cellIs" priority="1395" operator="lessThanOrEqual" aboveAverage="0" equalAverage="0" bottom="0" percent="0" rank="0" text="" dxfId="0">
      <formula>0</formula>
    </cfRule>
  </conditionalFormatting>
  <conditionalFormatting sqref="G470">
    <cfRule type="cellIs" priority="1396" operator="greaterThan" aboveAverage="0" equalAverage="0" bottom="0" percent="0" rank="0" text="" dxfId="10">
      <formula>e{r}</formula>
    </cfRule>
  </conditionalFormatting>
  <conditionalFormatting sqref="H471">
    <cfRule type="cellIs" priority="1397" operator="greaterThan" aboveAverage="0" equalAverage="0" bottom="0" percent="0" rank="0" text="" dxfId="1">
      <formula>0</formula>
    </cfRule>
    <cfRule type="cellIs" priority="1398" operator="lessThanOrEqual" aboveAverage="0" equalAverage="0" bottom="0" percent="0" rank="0" text="" dxfId="0">
      <formula>0</formula>
    </cfRule>
  </conditionalFormatting>
  <conditionalFormatting sqref="G471">
    <cfRule type="cellIs" priority="1399" operator="greaterThan" aboveAverage="0" equalAverage="0" bottom="0" percent="0" rank="0" text="" dxfId="10">
      <formula>e{r}</formula>
    </cfRule>
  </conditionalFormatting>
  <conditionalFormatting sqref="H472">
    <cfRule type="cellIs" priority="1400" operator="greaterThan" aboveAverage="0" equalAverage="0" bottom="0" percent="0" rank="0" text="" dxfId="1">
      <formula>0</formula>
    </cfRule>
    <cfRule type="cellIs" priority="1401" operator="lessThanOrEqual" aboveAverage="0" equalAverage="0" bottom="0" percent="0" rank="0" text="" dxfId="0">
      <formula>0</formula>
    </cfRule>
  </conditionalFormatting>
  <conditionalFormatting sqref="G472">
    <cfRule type="cellIs" priority="1402" operator="greaterThan" aboveAverage="0" equalAverage="0" bottom="0" percent="0" rank="0" text="" dxfId="10">
      <formula>e{r}</formula>
    </cfRule>
  </conditionalFormatting>
  <conditionalFormatting sqref="H473">
    <cfRule type="cellIs" priority="1403" operator="greaterThan" aboveAverage="0" equalAverage="0" bottom="0" percent="0" rank="0" text="" dxfId="1">
      <formula>0</formula>
    </cfRule>
    <cfRule type="cellIs" priority="1404" operator="lessThanOrEqual" aboveAverage="0" equalAverage="0" bottom="0" percent="0" rank="0" text="" dxfId="0">
      <formula>0</formula>
    </cfRule>
  </conditionalFormatting>
  <conditionalFormatting sqref="G473">
    <cfRule type="cellIs" priority="1405" operator="greaterThan" aboveAverage="0" equalAverage="0" bottom="0" percent="0" rank="0" text="" dxfId="10">
      <formula>e{r}</formula>
    </cfRule>
  </conditionalFormatting>
  <conditionalFormatting sqref="H474">
    <cfRule type="cellIs" priority="1406" operator="greaterThan" aboveAverage="0" equalAverage="0" bottom="0" percent="0" rank="0" text="" dxfId="1">
      <formula>0</formula>
    </cfRule>
    <cfRule type="cellIs" priority="1407" operator="lessThanOrEqual" aboveAverage="0" equalAverage="0" bottom="0" percent="0" rank="0" text="" dxfId="0">
      <formula>0</formula>
    </cfRule>
  </conditionalFormatting>
  <conditionalFormatting sqref="G474">
    <cfRule type="cellIs" priority="1408" operator="greaterThan" aboveAverage="0" equalAverage="0" bottom="0" percent="0" rank="0" text="" dxfId="10">
      <formula>e{r}</formula>
    </cfRule>
  </conditionalFormatting>
  <conditionalFormatting sqref="H475">
    <cfRule type="cellIs" priority="1409" operator="greaterThan" aboveAverage="0" equalAverage="0" bottom="0" percent="0" rank="0" text="" dxfId="1">
      <formula>0</formula>
    </cfRule>
    <cfRule type="cellIs" priority="1410" operator="lessThanOrEqual" aboveAverage="0" equalAverage="0" bottom="0" percent="0" rank="0" text="" dxfId="0">
      <formula>0</formula>
    </cfRule>
  </conditionalFormatting>
  <conditionalFormatting sqref="G475">
    <cfRule type="cellIs" priority="1411" operator="greaterThan" aboveAverage="0" equalAverage="0" bottom="0" percent="0" rank="0" text="" dxfId="10">
      <formula>e{r}</formula>
    </cfRule>
  </conditionalFormatting>
  <conditionalFormatting sqref="H476">
    <cfRule type="cellIs" priority="1412" operator="greaterThan" aboveAverage="0" equalAverage="0" bottom="0" percent="0" rank="0" text="" dxfId="1">
      <formula>0</formula>
    </cfRule>
    <cfRule type="cellIs" priority="1413" operator="lessThanOrEqual" aboveAverage="0" equalAverage="0" bottom="0" percent="0" rank="0" text="" dxfId="0">
      <formula>0</formula>
    </cfRule>
  </conditionalFormatting>
  <conditionalFormatting sqref="G476">
    <cfRule type="cellIs" priority="1414" operator="greaterThan" aboveAverage="0" equalAverage="0" bottom="0" percent="0" rank="0" text="" dxfId="10">
      <formula>e{r}</formula>
    </cfRule>
  </conditionalFormatting>
  <conditionalFormatting sqref="H477">
    <cfRule type="cellIs" priority="1415" operator="greaterThan" aboveAverage="0" equalAverage="0" bottom="0" percent="0" rank="0" text="" dxfId="1">
      <formula>0</formula>
    </cfRule>
    <cfRule type="cellIs" priority="1416" operator="lessThanOrEqual" aboveAverage="0" equalAverage="0" bottom="0" percent="0" rank="0" text="" dxfId="0">
      <formula>0</formula>
    </cfRule>
  </conditionalFormatting>
  <conditionalFormatting sqref="G477">
    <cfRule type="cellIs" priority="1417" operator="greaterThan" aboveAverage="0" equalAverage="0" bottom="0" percent="0" rank="0" text="" dxfId="10">
      <formula>e{r}</formula>
    </cfRule>
  </conditionalFormatting>
  <conditionalFormatting sqref="H478">
    <cfRule type="cellIs" priority="1418" operator="greaterThan" aboveAverage="0" equalAverage="0" bottom="0" percent="0" rank="0" text="" dxfId="1">
      <formula>0</formula>
    </cfRule>
    <cfRule type="cellIs" priority="1419" operator="lessThanOrEqual" aboveAverage="0" equalAverage="0" bottom="0" percent="0" rank="0" text="" dxfId="0">
      <formula>0</formula>
    </cfRule>
  </conditionalFormatting>
  <conditionalFormatting sqref="G478">
    <cfRule type="cellIs" priority="1420" operator="greaterThan" aboveAverage="0" equalAverage="0" bottom="0" percent="0" rank="0" text="" dxfId="10">
      <formula>e{r}</formula>
    </cfRule>
  </conditionalFormatting>
  <conditionalFormatting sqref="H479">
    <cfRule type="cellIs" priority="1421" operator="greaterThan" aboveAverage="0" equalAverage="0" bottom="0" percent="0" rank="0" text="" dxfId="1">
      <formula>0</formula>
    </cfRule>
    <cfRule type="cellIs" priority="1422" operator="lessThanOrEqual" aboveAverage="0" equalAverage="0" bottom="0" percent="0" rank="0" text="" dxfId="0">
      <formula>0</formula>
    </cfRule>
  </conditionalFormatting>
  <conditionalFormatting sqref="G479">
    <cfRule type="cellIs" priority="1423" operator="greaterThan" aboveAverage="0" equalAverage="0" bottom="0" percent="0" rank="0" text="" dxfId="10">
      <formula>e{r}</formula>
    </cfRule>
  </conditionalFormatting>
  <conditionalFormatting sqref="H480">
    <cfRule type="cellIs" priority="1424" operator="greaterThan" aboveAverage="0" equalAverage="0" bottom="0" percent="0" rank="0" text="" dxfId="1">
      <formula>0</formula>
    </cfRule>
    <cfRule type="cellIs" priority="1425" operator="lessThanOrEqual" aboveAverage="0" equalAverage="0" bottom="0" percent="0" rank="0" text="" dxfId="0">
      <formula>0</formula>
    </cfRule>
  </conditionalFormatting>
  <conditionalFormatting sqref="G480">
    <cfRule type="cellIs" priority="1426" operator="greaterThan" aboveAverage="0" equalAverage="0" bottom="0" percent="0" rank="0" text="" dxfId="10">
      <formula>e{r}</formula>
    </cfRule>
  </conditionalFormatting>
  <conditionalFormatting sqref="H481">
    <cfRule type="cellIs" priority="1427" operator="greaterThan" aboveAverage="0" equalAverage="0" bottom="0" percent="0" rank="0" text="" dxfId="1">
      <formula>0</formula>
    </cfRule>
    <cfRule type="cellIs" priority="1428" operator="lessThanOrEqual" aboveAverage="0" equalAverage="0" bottom="0" percent="0" rank="0" text="" dxfId="0">
      <formula>0</formula>
    </cfRule>
  </conditionalFormatting>
  <conditionalFormatting sqref="G481">
    <cfRule type="cellIs" priority="1429" operator="greaterThan" aboveAverage="0" equalAverage="0" bottom="0" percent="0" rank="0" text="" dxfId="10">
      <formula>e{r}</formula>
    </cfRule>
  </conditionalFormatting>
  <conditionalFormatting sqref="H482">
    <cfRule type="cellIs" priority="1430" operator="greaterThan" aboveAverage="0" equalAverage="0" bottom="0" percent="0" rank="0" text="" dxfId="1">
      <formula>0</formula>
    </cfRule>
    <cfRule type="cellIs" priority="1431" operator="lessThanOrEqual" aboveAverage="0" equalAverage="0" bottom="0" percent="0" rank="0" text="" dxfId="0">
      <formula>0</formula>
    </cfRule>
  </conditionalFormatting>
  <conditionalFormatting sqref="G482">
    <cfRule type="cellIs" priority="1432" operator="greaterThan" aboveAverage="0" equalAverage="0" bottom="0" percent="0" rank="0" text="" dxfId="10">
      <formula>e{r}</formula>
    </cfRule>
  </conditionalFormatting>
  <conditionalFormatting sqref="H483">
    <cfRule type="cellIs" priority="1433" operator="greaterThan" aboveAverage="0" equalAverage="0" bottom="0" percent="0" rank="0" text="" dxfId="1">
      <formula>0</formula>
    </cfRule>
    <cfRule type="cellIs" priority="1434" operator="lessThanOrEqual" aboveAverage="0" equalAverage="0" bottom="0" percent="0" rank="0" text="" dxfId="0">
      <formula>0</formula>
    </cfRule>
  </conditionalFormatting>
  <conditionalFormatting sqref="G483">
    <cfRule type="cellIs" priority="1435" operator="greaterThan" aboveAverage="0" equalAverage="0" bottom="0" percent="0" rank="0" text="" dxfId="10">
      <formula>e{r}</formula>
    </cfRule>
  </conditionalFormatting>
  <conditionalFormatting sqref="H484">
    <cfRule type="cellIs" priority="1436" operator="greaterThan" aboveAverage="0" equalAverage="0" bottom="0" percent="0" rank="0" text="" dxfId="1">
      <formula>0</formula>
    </cfRule>
    <cfRule type="cellIs" priority="1437" operator="lessThanOrEqual" aboveAverage="0" equalAverage="0" bottom="0" percent="0" rank="0" text="" dxfId="0">
      <formula>0</formula>
    </cfRule>
  </conditionalFormatting>
  <conditionalFormatting sqref="G484">
    <cfRule type="cellIs" priority="1438" operator="greaterThan" aboveAverage="0" equalAverage="0" bottom="0" percent="0" rank="0" text="" dxfId="10">
      <formula>e{r}</formula>
    </cfRule>
  </conditionalFormatting>
  <conditionalFormatting sqref="H485">
    <cfRule type="cellIs" priority="1439" operator="greaterThan" aboveAverage="0" equalAverage="0" bottom="0" percent="0" rank="0" text="" dxfId="1">
      <formula>0</formula>
    </cfRule>
    <cfRule type="cellIs" priority="1440" operator="lessThanOrEqual" aboveAverage="0" equalAverage="0" bottom="0" percent="0" rank="0" text="" dxfId="0">
      <formula>0</formula>
    </cfRule>
  </conditionalFormatting>
  <conditionalFormatting sqref="G485">
    <cfRule type="cellIs" priority="1441" operator="greaterThan" aboveAverage="0" equalAverage="0" bottom="0" percent="0" rank="0" text="" dxfId="10">
      <formula>e{r}</formula>
    </cfRule>
  </conditionalFormatting>
  <conditionalFormatting sqref="H486">
    <cfRule type="cellIs" priority="1442" operator="greaterThan" aboveAverage="0" equalAverage="0" bottom="0" percent="0" rank="0" text="" dxfId="1">
      <formula>0</formula>
    </cfRule>
    <cfRule type="cellIs" priority="1443" operator="lessThanOrEqual" aboveAverage="0" equalAverage="0" bottom="0" percent="0" rank="0" text="" dxfId="0">
      <formula>0</formula>
    </cfRule>
  </conditionalFormatting>
  <conditionalFormatting sqref="G486">
    <cfRule type="cellIs" priority="1444" operator="greaterThan" aboveAverage="0" equalAverage="0" bottom="0" percent="0" rank="0" text="" dxfId="10">
      <formula>e{r}</formula>
    </cfRule>
  </conditionalFormatting>
  <conditionalFormatting sqref="H487">
    <cfRule type="cellIs" priority="1445" operator="greaterThan" aboveAverage="0" equalAverage="0" bottom="0" percent="0" rank="0" text="" dxfId="1">
      <formula>0</formula>
    </cfRule>
    <cfRule type="cellIs" priority="1446" operator="lessThanOrEqual" aboveAverage="0" equalAverage="0" bottom="0" percent="0" rank="0" text="" dxfId="0">
      <formula>0</formula>
    </cfRule>
  </conditionalFormatting>
  <conditionalFormatting sqref="G487">
    <cfRule type="cellIs" priority="1447" operator="greaterThan" aboveAverage="0" equalAverage="0" bottom="0" percent="0" rank="0" text="" dxfId="10">
      <formula>e{r}</formula>
    </cfRule>
  </conditionalFormatting>
  <conditionalFormatting sqref="H488">
    <cfRule type="cellIs" priority="1448" operator="greaterThan" aboveAverage="0" equalAverage="0" bottom="0" percent="0" rank="0" text="" dxfId="1">
      <formula>0</formula>
    </cfRule>
    <cfRule type="cellIs" priority="1449" operator="lessThanOrEqual" aboveAverage="0" equalAverage="0" bottom="0" percent="0" rank="0" text="" dxfId="0">
      <formula>0</formula>
    </cfRule>
  </conditionalFormatting>
  <conditionalFormatting sqref="G488">
    <cfRule type="cellIs" priority="1450" operator="greaterThan" aboveAverage="0" equalAverage="0" bottom="0" percent="0" rank="0" text="" dxfId="10">
      <formula>e{r}</formula>
    </cfRule>
  </conditionalFormatting>
  <conditionalFormatting sqref="H489">
    <cfRule type="cellIs" priority="1451" operator="greaterThan" aboveAverage="0" equalAverage="0" bottom="0" percent="0" rank="0" text="" dxfId="1">
      <formula>0</formula>
    </cfRule>
    <cfRule type="cellIs" priority="1452" operator="lessThanOrEqual" aboveAverage="0" equalAverage="0" bottom="0" percent="0" rank="0" text="" dxfId="0">
      <formula>0</formula>
    </cfRule>
  </conditionalFormatting>
  <conditionalFormatting sqref="G489">
    <cfRule type="cellIs" priority="1453" operator="greaterThan" aboveAverage="0" equalAverage="0" bottom="0" percent="0" rank="0" text="" dxfId="10">
      <formula>e{r}</formula>
    </cfRule>
  </conditionalFormatting>
  <conditionalFormatting sqref="H490">
    <cfRule type="cellIs" priority="1454" operator="greaterThan" aboveAverage="0" equalAverage="0" bottom="0" percent="0" rank="0" text="" dxfId="1">
      <formula>0</formula>
    </cfRule>
    <cfRule type="cellIs" priority="1455" operator="lessThanOrEqual" aboveAverage="0" equalAverage="0" bottom="0" percent="0" rank="0" text="" dxfId="0">
      <formula>0</formula>
    </cfRule>
  </conditionalFormatting>
  <conditionalFormatting sqref="G490">
    <cfRule type="cellIs" priority="1456" operator="greaterThan" aboveAverage="0" equalAverage="0" bottom="0" percent="0" rank="0" text="" dxfId="10">
      <formula>e{r}</formula>
    </cfRule>
  </conditionalFormatting>
  <conditionalFormatting sqref="H491">
    <cfRule type="cellIs" priority="1457" operator="greaterThan" aboveAverage="0" equalAverage="0" bottom="0" percent="0" rank="0" text="" dxfId="1">
      <formula>0</formula>
    </cfRule>
    <cfRule type="cellIs" priority="1458" operator="lessThanOrEqual" aboveAverage="0" equalAverage="0" bottom="0" percent="0" rank="0" text="" dxfId="0">
      <formula>0</formula>
    </cfRule>
  </conditionalFormatting>
  <conditionalFormatting sqref="G491">
    <cfRule type="cellIs" priority="1459" operator="greaterThan" aboveAverage="0" equalAverage="0" bottom="0" percent="0" rank="0" text="" dxfId="10">
      <formula>e{r}</formula>
    </cfRule>
  </conditionalFormatting>
  <conditionalFormatting sqref="H492">
    <cfRule type="cellIs" priority="1460" operator="greaterThan" aboveAverage="0" equalAverage="0" bottom="0" percent="0" rank="0" text="" dxfId="1">
      <formula>0</formula>
    </cfRule>
    <cfRule type="cellIs" priority="1461" operator="lessThanOrEqual" aboveAverage="0" equalAverage="0" bottom="0" percent="0" rank="0" text="" dxfId="0">
      <formula>0</formula>
    </cfRule>
  </conditionalFormatting>
  <conditionalFormatting sqref="G492">
    <cfRule type="cellIs" priority="1462" operator="greaterThan" aboveAverage="0" equalAverage="0" bottom="0" percent="0" rank="0" text="" dxfId="10">
      <formula>e{r}</formula>
    </cfRule>
  </conditionalFormatting>
  <conditionalFormatting sqref="H493">
    <cfRule type="cellIs" priority="1463" operator="greaterThan" aboveAverage="0" equalAverage="0" bottom="0" percent="0" rank="0" text="" dxfId="1">
      <formula>0</formula>
    </cfRule>
    <cfRule type="cellIs" priority="1464" operator="lessThanOrEqual" aboveAverage="0" equalAverage="0" bottom="0" percent="0" rank="0" text="" dxfId="0">
      <formula>0</formula>
    </cfRule>
  </conditionalFormatting>
  <conditionalFormatting sqref="G493">
    <cfRule type="cellIs" priority="1465" operator="greaterThan" aboveAverage="0" equalAverage="0" bottom="0" percent="0" rank="0" text="" dxfId="10">
      <formula>e{r}</formula>
    </cfRule>
  </conditionalFormatting>
  <conditionalFormatting sqref="H494">
    <cfRule type="cellIs" priority="1466" operator="greaterThan" aboveAverage="0" equalAverage="0" bottom="0" percent="0" rank="0" text="" dxfId="1">
      <formula>0</formula>
    </cfRule>
    <cfRule type="cellIs" priority="1467" operator="lessThanOrEqual" aboveAverage="0" equalAverage="0" bottom="0" percent="0" rank="0" text="" dxfId="0">
      <formula>0</formula>
    </cfRule>
  </conditionalFormatting>
  <conditionalFormatting sqref="G494">
    <cfRule type="cellIs" priority="1468" operator="greaterThan" aboveAverage="0" equalAverage="0" bottom="0" percent="0" rank="0" text="" dxfId="10">
      <formula>e{r}</formula>
    </cfRule>
  </conditionalFormatting>
  <conditionalFormatting sqref="H495">
    <cfRule type="cellIs" priority="1469" operator="greaterThan" aboveAverage="0" equalAverage="0" bottom="0" percent="0" rank="0" text="" dxfId="1">
      <formula>0</formula>
    </cfRule>
    <cfRule type="cellIs" priority="1470" operator="lessThanOrEqual" aboveAverage="0" equalAverage="0" bottom="0" percent="0" rank="0" text="" dxfId="0">
      <formula>0</formula>
    </cfRule>
  </conditionalFormatting>
  <conditionalFormatting sqref="G495">
    <cfRule type="cellIs" priority="1471" operator="greaterThan" aboveAverage="0" equalAverage="0" bottom="0" percent="0" rank="0" text="" dxfId="10">
      <formula>e{r}</formula>
    </cfRule>
  </conditionalFormatting>
  <conditionalFormatting sqref="H496">
    <cfRule type="cellIs" priority="1472" operator="greaterThan" aboveAverage="0" equalAverage="0" bottom="0" percent="0" rank="0" text="" dxfId="1">
      <formula>0</formula>
    </cfRule>
    <cfRule type="cellIs" priority="1473" operator="lessThanOrEqual" aboveAverage="0" equalAverage="0" bottom="0" percent="0" rank="0" text="" dxfId="0">
      <formula>0</formula>
    </cfRule>
  </conditionalFormatting>
  <conditionalFormatting sqref="G496">
    <cfRule type="cellIs" priority="1474" operator="greaterThan" aboveAverage="0" equalAverage="0" bottom="0" percent="0" rank="0" text="" dxfId="10">
      <formula>e{r}</formula>
    </cfRule>
  </conditionalFormatting>
  <conditionalFormatting sqref="H497">
    <cfRule type="cellIs" priority="1475" operator="greaterThan" aboveAverage="0" equalAverage="0" bottom="0" percent="0" rank="0" text="" dxfId="1">
      <formula>0</formula>
    </cfRule>
    <cfRule type="cellIs" priority="1476" operator="lessThanOrEqual" aboveAverage="0" equalAverage="0" bottom="0" percent="0" rank="0" text="" dxfId="0">
      <formula>0</formula>
    </cfRule>
  </conditionalFormatting>
  <conditionalFormatting sqref="G497">
    <cfRule type="cellIs" priority="1477" operator="greaterThan" aboveAverage="0" equalAverage="0" bottom="0" percent="0" rank="0" text="" dxfId="10">
      <formula>e{r}</formula>
    </cfRule>
  </conditionalFormatting>
  <conditionalFormatting sqref="H498">
    <cfRule type="cellIs" priority="1478" operator="greaterThan" aboveAverage="0" equalAverage="0" bottom="0" percent="0" rank="0" text="" dxfId="1">
      <formula>0</formula>
    </cfRule>
    <cfRule type="cellIs" priority="1479" operator="lessThanOrEqual" aboveAverage="0" equalAverage="0" bottom="0" percent="0" rank="0" text="" dxfId="0">
      <formula>0</formula>
    </cfRule>
  </conditionalFormatting>
  <conditionalFormatting sqref="G498">
    <cfRule type="cellIs" priority="1480" operator="greaterThan" aboveAverage="0" equalAverage="0" bottom="0" percent="0" rank="0" text="" dxfId="10">
      <formula>e{r}</formula>
    </cfRule>
  </conditionalFormatting>
  <conditionalFormatting sqref="H499">
    <cfRule type="cellIs" priority="1481" operator="greaterThan" aboveAverage="0" equalAverage="0" bottom="0" percent="0" rank="0" text="" dxfId="1">
      <formula>0</formula>
    </cfRule>
    <cfRule type="cellIs" priority="1482" operator="lessThanOrEqual" aboveAverage="0" equalAverage="0" bottom="0" percent="0" rank="0" text="" dxfId="0">
      <formula>0</formula>
    </cfRule>
  </conditionalFormatting>
  <conditionalFormatting sqref="G499">
    <cfRule type="cellIs" priority="1483" operator="greaterThan" aboveAverage="0" equalAverage="0" bottom="0" percent="0" rank="0" text="" dxfId="10">
      <formula>e{r}</formula>
    </cfRule>
  </conditionalFormatting>
  <conditionalFormatting sqref="H500">
    <cfRule type="cellIs" priority="1484" operator="greaterThan" aboveAverage="0" equalAverage="0" bottom="0" percent="0" rank="0" text="" dxfId="1">
      <formula>0</formula>
    </cfRule>
    <cfRule type="cellIs" priority="1485" operator="lessThanOrEqual" aboveAverage="0" equalAverage="0" bottom="0" percent="0" rank="0" text="" dxfId="0">
      <formula>0</formula>
    </cfRule>
  </conditionalFormatting>
  <conditionalFormatting sqref="G500">
    <cfRule type="cellIs" priority="1486" operator="greaterThan" aboveAverage="0" equalAverage="0" bottom="0" percent="0" rank="0" text="" dxfId="10">
      <formula>e{r}</formula>
    </cfRule>
  </conditionalFormatting>
  <conditionalFormatting sqref="H501">
    <cfRule type="cellIs" priority="1487" operator="greaterThan" aboveAverage="0" equalAverage="0" bottom="0" percent="0" rank="0" text="" dxfId="1">
      <formula>0</formula>
    </cfRule>
    <cfRule type="cellIs" priority="1488" operator="lessThanOrEqual" aboveAverage="0" equalAverage="0" bottom="0" percent="0" rank="0" text="" dxfId="0">
      <formula>0</formula>
    </cfRule>
  </conditionalFormatting>
  <conditionalFormatting sqref="G501">
    <cfRule type="cellIs" priority="1489" operator="greaterThan" aboveAverage="0" equalAverage="0" bottom="0" percent="0" rank="0" text="" dxfId="10">
      <formula>e{r}</formula>
    </cfRule>
  </conditionalFormatting>
  <conditionalFormatting sqref="H502">
    <cfRule type="cellIs" priority="1490" operator="greaterThan" aboveAverage="0" equalAverage="0" bottom="0" percent="0" rank="0" text="" dxfId="1">
      <formula>0</formula>
    </cfRule>
    <cfRule type="cellIs" priority="1491" operator="lessThanOrEqual" aboveAverage="0" equalAverage="0" bottom="0" percent="0" rank="0" text="" dxfId="0">
      <formula>0</formula>
    </cfRule>
  </conditionalFormatting>
  <conditionalFormatting sqref="G502">
    <cfRule type="cellIs" priority="1492" operator="greaterThan" aboveAverage="0" equalAverage="0" bottom="0" percent="0" rank="0" text="" dxfId="10">
      <formula>e{r}</formula>
    </cfRule>
  </conditionalFormatting>
  <conditionalFormatting sqref="H503">
    <cfRule type="cellIs" priority="1493" operator="greaterThan" aboveAverage="0" equalAverage="0" bottom="0" percent="0" rank="0" text="" dxfId="1">
      <formula>0</formula>
    </cfRule>
    <cfRule type="cellIs" priority="1494" operator="lessThanOrEqual" aboveAverage="0" equalAverage="0" bottom="0" percent="0" rank="0" text="" dxfId="0">
      <formula>0</formula>
    </cfRule>
  </conditionalFormatting>
  <conditionalFormatting sqref="G503">
    <cfRule type="cellIs" priority="1495" operator="greaterThan" aboveAverage="0" equalAverage="0" bottom="0" percent="0" rank="0" text="" dxfId="10">
      <formula>e{r}</formula>
    </cfRule>
  </conditionalFormatting>
  <conditionalFormatting sqref="H504">
    <cfRule type="cellIs" priority="1496" operator="greaterThan" aboveAverage="0" equalAverage="0" bottom="0" percent="0" rank="0" text="" dxfId="1">
      <formula>0</formula>
    </cfRule>
    <cfRule type="cellIs" priority="1497" operator="lessThanOrEqual" aboveAverage="0" equalAverage="0" bottom="0" percent="0" rank="0" text="" dxfId="0">
      <formula>0</formula>
    </cfRule>
  </conditionalFormatting>
  <conditionalFormatting sqref="G504">
    <cfRule type="cellIs" priority="1498" operator="greaterThan" aboveAverage="0" equalAverage="0" bottom="0" percent="0" rank="0" text="" dxfId="10">
      <formula>e{r}</formula>
    </cfRule>
  </conditionalFormatting>
  <conditionalFormatting sqref="H505">
    <cfRule type="cellIs" priority="1499" operator="greaterThan" aboveAverage="0" equalAverage="0" bottom="0" percent="0" rank="0" text="" dxfId="1">
      <formula>0</formula>
    </cfRule>
    <cfRule type="cellIs" priority="1500" operator="lessThanOrEqual" aboveAverage="0" equalAverage="0" bottom="0" percent="0" rank="0" text="" dxfId="0">
      <formula>0</formula>
    </cfRule>
  </conditionalFormatting>
  <conditionalFormatting sqref="G505">
    <cfRule type="cellIs" priority="1501" operator="greaterThan" aboveAverage="0" equalAverage="0" bottom="0" percent="0" rank="0" text="" dxfId="10">
      <formula>e{r}</formula>
    </cfRule>
  </conditionalFormatting>
  <conditionalFormatting sqref="H506">
    <cfRule type="cellIs" priority="1502" operator="greaterThan" aboveAverage="0" equalAverage="0" bottom="0" percent="0" rank="0" text="" dxfId="1">
      <formula>0</formula>
    </cfRule>
    <cfRule type="cellIs" priority="1503" operator="lessThanOrEqual" aboveAverage="0" equalAverage="0" bottom="0" percent="0" rank="0" text="" dxfId="0">
      <formula>0</formula>
    </cfRule>
  </conditionalFormatting>
  <conditionalFormatting sqref="G506">
    <cfRule type="cellIs" priority="1504" operator="greaterThan" aboveAverage="0" equalAverage="0" bottom="0" percent="0" rank="0" text="" dxfId="10">
      <formula>e{r}</formula>
    </cfRule>
  </conditionalFormatting>
  <conditionalFormatting sqref="H507">
    <cfRule type="cellIs" priority="1505" operator="greaterThan" aboveAverage="0" equalAverage="0" bottom="0" percent="0" rank="0" text="" dxfId="1">
      <formula>0</formula>
    </cfRule>
    <cfRule type="cellIs" priority="1506" operator="lessThanOrEqual" aboveAverage="0" equalAverage="0" bottom="0" percent="0" rank="0" text="" dxfId="0">
      <formula>0</formula>
    </cfRule>
  </conditionalFormatting>
  <conditionalFormatting sqref="G507">
    <cfRule type="cellIs" priority="1507" operator="greaterThan" aboveAverage="0" equalAverage="0" bottom="0" percent="0" rank="0" text="" dxfId="10">
      <formula>e{r}</formula>
    </cfRule>
  </conditionalFormatting>
  <conditionalFormatting sqref="H508">
    <cfRule type="cellIs" priority="1508" operator="greaterThan" aboveAverage="0" equalAverage="0" bottom="0" percent="0" rank="0" text="" dxfId="1">
      <formula>0</formula>
    </cfRule>
    <cfRule type="cellIs" priority="1509" operator="lessThanOrEqual" aboveAverage="0" equalAverage="0" bottom="0" percent="0" rank="0" text="" dxfId="0">
      <formula>0</formula>
    </cfRule>
  </conditionalFormatting>
  <conditionalFormatting sqref="G508">
    <cfRule type="cellIs" priority="1510" operator="greaterThan" aboveAverage="0" equalAverage="0" bottom="0" percent="0" rank="0" text="" dxfId="10">
      <formula>e{r}</formula>
    </cfRule>
  </conditionalFormatting>
  <conditionalFormatting sqref="H509">
    <cfRule type="cellIs" priority="1511" operator="greaterThan" aboveAverage="0" equalAverage="0" bottom="0" percent="0" rank="0" text="" dxfId="1">
      <formula>0</formula>
    </cfRule>
    <cfRule type="cellIs" priority="1512" operator="lessThanOrEqual" aboveAverage="0" equalAverage="0" bottom="0" percent="0" rank="0" text="" dxfId="0">
      <formula>0</formula>
    </cfRule>
  </conditionalFormatting>
  <conditionalFormatting sqref="G509">
    <cfRule type="cellIs" priority="1513" operator="greaterThan" aboveAverage="0" equalAverage="0" bottom="0" percent="0" rank="0" text="" dxfId="10">
      <formula>e{r}</formula>
    </cfRule>
  </conditionalFormatting>
  <conditionalFormatting sqref="H510">
    <cfRule type="cellIs" priority="1514" operator="greaterThan" aboveAverage="0" equalAverage="0" bottom="0" percent="0" rank="0" text="" dxfId="1">
      <formula>0</formula>
    </cfRule>
    <cfRule type="cellIs" priority="1515" operator="lessThanOrEqual" aboveAverage="0" equalAverage="0" bottom="0" percent="0" rank="0" text="" dxfId="0">
      <formula>0</formula>
    </cfRule>
  </conditionalFormatting>
  <conditionalFormatting sqref="G510">
    <cfRule type="cellIs" priority="1516" operator="greaterThan" aboveAverage="0" equalAverage="0" bottom="0" percent="0" rank="0" text="" dxfId="10">
      <formula>e{r}</formula>
    </cfRule>
  </conditionalFormatting>
  <conditionalFormatting sqref="H511">
    <cfRule type="cellIs" priority="1517" operator="greaterThan" aboveAverage="0" equalAverage="0" bottom="0" percent="0" rank="0" text="" dxfId="1">
      <formula>0</formula>
    </cfRule>
    <cfRule type="cellIs" priority="1518" operator="lessThanOrEqual" aboveAverage="0" equalAverage="0" bottom="0" percent="0" rank="0" text="" dxfId="0">
      <formula>0</formula>
    </cfRule>
  </conditionalFormatting>
  <conditionalFormatting sqref="G511">
    <cfRule type="cellIs" priority="1519" operator="greaterThan" aboveAverage="0" equalAverage="0" bottom="0" percent="0" rank="0" text="" dxfId="10">
      <formula>e{r}</formula>
    </cfRule>
  </conditionalFormatting>
  <conditionalFormatting sqref="H512">
    <cfRule type="cellIs" priority="1520" operator="greaterThan" aboveAverage="0" equalAverage="0" bottom="0" percent="0" rank="0" text="" dxfId="1">
      <formula>0</formula>
    </cfRule>
    <cfRule type="cellIs" priority="1521" operator="lessThanOrEqual" aboveAverage="0" equalAverage="0" bottom="0" percent="0" rank="0" text="" dxfId="0">
      <formula>0</formula>
    </cfRule>
  </conditionalFormatting>
  <conditionalFormatting sqref="G512">
    <cfRule type="cellIs" priority="1522" operator="greaterThan" aboveAverage="0" equalAverage="0" bottom="0" percent="0" rank="0" text="" dxfId="10">
      <formula>e{r}</formula>
    </cfRule>
  </conditionalFormatting>
  <conditionalFormatting sqref="H513">
    <cfRule type="cellIs" priority="1523" operator="greaterThan" aboveAverage="0" equalAverage="0" bottom="0" percent="0" rank="0" text="" dxfId="1">
      <formula>0</formula>
    </cfRule>
    <cfRule type="cellIs" priority="1524" operator="lessThanOrEqual" aboveAverage="0" equalAverage="0" bottom="0" percent="0" rank="0" text="" dxfId="0">
      <formula>0</formula>
    </cfRule>
  </conditionalFormatting>
  <conditionalFormatting sqref="G513">
    <cfRule type="cellIs" priority="1525" operator="greaterThan" aboveAverage="0" equalAverage="0" bottom="0" percent="0" rank="0" text="" dxfId="10">
      <formula>e{r}</formula>
    </cfRule>
  </conditionalFormatting>
  <conditionalFormatting sqref="H514">
    <cfRule type="cellIs" priority="1526" operator="greaterThan" aboveAverage="0" equalAverage="0" bottom="0" percent="0" rank="0" text="" dxfId="1">
      <formula>0</formula>
    </cfRule>
    <cfRule type="cellIs" priority="1527" operator="lessThanOrEqual" aboveAverage="0" equalAverage="0" bottom="0" percent="0" rank="0" text="" dxfId="0">
      <formula>0</formula>
    </cfRule>
  </conditionalFormatting>
  <conditionalFormatting sqref="G514">
    <cfRule type="cellIs" priority="1528" operator="greaterThan" aboveAverage="0" equalAverage="0" bottom="0" percent="0" rank="0" text="" dxfId="10">
      <formula>e{r}</formula>
    </cfRule>
  </conditionalFormatting>
  <conditionalFormatting sqref="H515">
    <cfRule type="cellIs" priority="1529" operator="greaterThan" aboveAverage="0" equalAverage="0" bottom="0" percent="0" rank="0" text="" dxfId="1">
      <formula>0</formula>
    </cfRule>
    <cfRule type="cellIs" priority="1530" operator="lessThanOrEqual" aboveAverage="0" equalAverage="0" bottom="0" percent="0" rank="0" text="" dxfId="0">
      <formula>0</formula>
    </cfRule>
  </conditionalFormatting>
  <conditionalFormatting sqref="G515">
    <cfRule type="cellIs" priority="1531" operator="greaterThan" aboveAverage="0" equalAverage="0" bottom="0" percent="0" rank="0" text="" dxfId="10">
      <formula>e{r}</formula>
    </cfRule>
  </conditionalFormatting>
  <conditionalFormatting sqref="H516">
    <cfRule type="cellIs" priority="1532" operator="greaterThan" aboveAverage="0" equalAverage="0" bottom="0" percent="0" rank="0" text="" dxfId="1">
      <formula>0</formula>
    </cfRule>
    <cfRule type="cellIs" priority="1533" operator="lessThanOrEqual" aboveAverage="0" equalAverage="0" bottom="0" percent="0" rank="0" text="" dxfId="0">
      <formula>0</formula>
    </cfRule>
  </conditionalFormatting>
  <conditionalFormatting sqref="G516">
    <cfRule type="cellIs" priority="1534" operator="greaterThan" aboveAverage="0" equalAverage="0" bottom="0" percent="0" rank="0" text="" dxfId="10">
      <formula>e{r}</formula>
    </cfRule>
  </conditionalFormatting>
  <conditionalFormatting sqref="H517">
    <cfRule type="cellIs" priority="1535" operator="greaterThan" aboveAverage="0" equalAverage="0" bottom="0" percent="0" rank="0" text="" dxfId="1">
      <formula>0</formula>
    </cfRule>
    <cfRule type="cellIs" priority="1536" operator="lessThanOrEqual" aboveAverage="0" equalAverage="0" bottom="0" percent="0" rank="0" text="" dxfId="0">
      <formula>0</formula>
    </cfRule>
  </conditionalFormatting>
  <conditionalFormatting sqref="G517">
    <cfRule type="cellIs" priority="1537" operator="greaterThan" aboveAverage="0" equalAverage="0" bottom="0" percent="0" rank="0" text="" dxfId="10">
      <formula>e{r}</formula>
    </cfRule>
  </conditionalFormatting>
  <conditionalFormatting sqref="H518">
    <cfRule type="cellIs" priority="1538" operator="greaterThan" aboveAverage="0" equalAverage="0" bottom="0" percent="0" rank="0" text="" dxfId="1">
      <formula>0</formula>
    </cfRule>
    <cfRule type="cellIs" priority="1539" operator="lessThanOrEqual" aboveAverage="0" equalAverage="0" bottom="0" percent="0" rank="0" text="" dxfId="0">
      <formula>0</formula>
    </cfRule>
  </conditionalFormatting>
  <conditionalFormatting sqref="G518">
    <cfRule type="cellIs" priority="1540" operator="greaterThan" aboveAverage="0" equalAverage="0" bottom="0" percent="0" rank="0" text="" dxfId="10">
      <formula>e{r}</formula>
    </cfRule>
  </conditionalFormatting>
  <conditionalFormatting sqref="H519">
    <cfRule type="cellIs" priority="1541" operator="greaterThan" aboveAverage="0" equalAverage="0" bottom="0" percent="0" rank="0" text="" dxfId="1">
      <formula>0</formula>
    </cfRule>
    <cfRule type="cellIs" priority="1542" operator="lessThanOrEqual" aboveAverage="0" equalAverage="0" bottom="0" percent="0" rank="0" text="" dxfId="0">
      <formula>0</formula>
    </cfRule>
  </conditionalFormatting>
  <conditionalFormatting sqref="G519">
    <cfRule type="cellIs" priority="1543" operator="greaterThan" aboveAverage="0" equalAverage="0" bottom="0" percent="0" rank="0" text="" dxfId="10">
      <formula>e{r}</formula>
    </cfRule>
  </conditionalFormatting>
  <conditionalFormatting sqref="H520">
    <cfRule type="cellIs" priority="1544" operator="greaterThan" aboveAverage="0" equalAverage="0" bottom="0" percent="0" rank="0" text="" dxfId="1">
      <formula>0</formula>
    </cfRule>
    <cfRule type="cellIs" priority="1545" operator="lessThanOrEqual" aboveAverage="0" equalAverage="0" bottom="0" percent="0" rank="0" text="" dxfId="0">
      <formula>0</formula>
    </cfRule>
  </conditionalFormatting>
  <conditionalFormatting sqref="G520">
    <cfRule type="cellIs" priority="1546" operator="greaterThan" aboveAverage="0" equalAverage="0" bottom="0" percent="0" rank="0" text="" dxfId="10">
      <formula>e{r}</formula>
    </cfRule>
  </conditionalFormatting>
  <conditionalFormatting sqref="H521">
    <cfRule type="cellIs" priority="1547" operator="greaterThan" aboveAverage="0" equalAverage="0" bottom="0" percent="0" rank="0" text="" dxfId="1">
      <formula>0</formula>
    </cfRule>
    <cfRule type="cellIs" priority="1548" operator="lessThanOrEqual" aboveAverage="0" equalAverage="0" bottom="0" percent="0" rank="0" text="" dxfId="0">
      <formula>0</formula>
    </cfRule>
  </conditionalFormatting>
  <conditionalFormatting sqref="G521">
    <cfRule type="cellIs" priority="1549" operator="greaterThan" aboveAverage="0" equalAverage="0" bottom="0" percent="0" rank="0" text="" dxfId="10">
      <formula>e{r}</formula>
    </cfRule>
  </conditionalFormatting>
  <conditionalFormatting sqref="H522">
    <cfRule type="cellIs" priority="1550" operator="greaterThan" aboveAverage="0" equalAverage="0" bottom="0" percent="0" rank="0" text="" dxfId="1">
      <formula>0</formula>
    </cfRule>
    <cfRule type="cellIs" priority="1551" operator="lessThanOrEqual" aboveAverage="0" equalAverage="0" bottom="0" percent="0" rank="0" text="" dxfId="0">
      <formula>0</formula>
    </cfRule>
  </conditionalFormatting>
  <conditionalFormatting sqref="G522">
    <cfRule type="cellIs" priority="1552" operator="greaterThan" aboveAverage="0" equalAverage="0" bottom="0" percent="0" rank="0" text="" dxfId="10">
      <formula>e{r}</formula>
    </cfRule>
  </conditionalFormatting>
  <conditionalFormatting sqref="H523">
    <cfRule type="cellIs" priority="1553" operator="greaterThan" aboveAverage="0" equalAverage="0" bottom="0" percent="0" rank="0" text="" dxfId="1">
      <formula>0</formula>
    </cfRule>
    <cfRule type="cellIs" priority="1554" operator="lessThanOrEqual" aboveAverage="0" equalAverage="0" bottom="0" percent="0" rank="0" text="" dxfId="0">
      <formula>0</formula>
    </cfRule>
  </conditionalFormatting>
  <conditionalFormatting sqref="G523">
    <cfRule type="cellIs" priority="1555" operator="greaterThan" aboveAverage="0" equalAverage="0" bottom="0" percent="0" rank="0" text="" dxfId="10">
      <formula>e{r}</formula>
    </cfRule>
  </conditionalFormatting>
  <conditionalFormatting sqref="H524">
    <cfRule type="cellIs" priority="1556" operator="greaterThan" aboveAverage="0" equalAverage="0" bottom="0" percent="0" rank="0" text="" dxfId="1">
      <formula>0</formula>
    </cfRule>
    <cfRule type="cellIs" priority="1557" operator="lessThanOrEqual" aboveAverage="0" equalAverage="0" bottom="0" percent="0" rank="0" text="" dxfId="0">
      <formula>0</formula>
    </cfRule>
  </conditionalFormatting>
  <conditionalFormatting sqref="G524">
    <cfRule type="cellIs" priority="1558" operator="greaterThan" aboveAverage="0" equalAverage="0" bottom="0" percent="0" rank="0" text="" dxfId="10">
      <formula>e{r}</formula>
    </cfRule>
  </conditionalFormatting>
  <conditionalFormatting sqref="H525">
    <cfRule type="cellIs" priority="1559" operator="greaterThan" aboveAverage="0" equalAverage="0" bottom="0" percent="0" rank="0" text="" dxfId="1">
      <formula>0</formula>
    </cfRule>
    <cfRule type="cellIs" priority="1560" operator="lessThanOrEqual" aboveAverage="0" equalAverage="0" bottom="0" percent="0" rank="0" text="" dxfId="0">
      <formula>0</formula>
    </cfRule>
  </conditionalFormatting>
  <conditionalFormatting sqref="G525">
    <cfRule type="cellIs" priority="1561" operator="greaterThan" aboveAverage="0" equalAverage="0" bottom="0" percent="0" rank="0" text="" dxfId="10">
      <formula>e{r}</formula>
    </cfRule>
  </conditionalFormatting>
  <conditionalFormatting sqref="H526">
    <cfRule type="cellIs" priority="1562" operator="greaterThan" aboveAverage="0" equalAverage="0" bottom="0" percent="0" rank="0" text="" dxfId="1">
      <formula>0</formula>
    </cfRule>
    <cfRule type="cellIs" priority="1563" operator="lessThanOrEqual" aboveAverage="0" equalAverage="0" bottom="0" percent="0" rank="0" text="" dxfId="0">
      <formula>0</formula>
    </cfRule>
  </conditionalFormatting>
  <conditionalFormatting sqref="G526">
    <cfRule type="cellIs" priority="1564" operator="greaterThan" aboveAverage="0" equalAverage="0" bottom="0" percent="0" rank="0" text="" dxfId="10">
      <formula>e{r}</formula>
    </cfRule>
  </conditionalFormatting>
  <conditionalFormatting sqref="H527">
    <cfRule type="cellIs" priority="1565" operator="greaterThan" aboveAverage="0" equalAverage="0" bottom="0" percent="0" rank="0" text="" dxfId="1">
      <formula>0</formula>
    </cfRule>
    <cfRule type="cellIs" priority="1566" operator="lessThanOrEqual" aboveAverage="0" equalAverage="0" bottom="0" percent="0" rank="0" text="" dxfId="0">
      <formula>0</formula>
    </cfRule>
  </conditionalFormatting>
  <conditionalFormatting sqref="G527">
    <cfRule type="cellIs" priority="1567" operator="greaterThan" aboveAverage="0" equalAverage="0" bottom="0" percent="0" rank="0" text="" dxfId="10">
      <formula>e{r}</formula>
    </cfRule>
  </conditionalFormatting>
  <conditionalFormatting sqref="H528">
    <cfRule type="cellIs" priority="1568" operator="greaterThan" aboveAverage="0" equalAverage="0" bottom="0" percent="0" rank="0" text="" dxfId="1">
      <formula>0</formula>
    </cfRule>
    <cfRule type="cellIs" priority="1569" operator="lessThanOrEqual" aboveAverage="0" equalAverage="0" bottom="0" percent="0" rank="0" text="" dxfId="0">
      <formula>0</formula>
    </cfRule>
  </conditionalFormatting>
  <conditionalFormatting sqref="G528">
    <cfRule type="cellIs" priority="1570" operator="greaterThan" aboveAverage="0" equalAverage="0" bottom="0" percent="0" rank="0" text="" dxfId="10">
      <formula>e{r}</formula>
    </cfRule>
  </conditionalFormatting>
  <conditionalFormatting sqref="H529">
    <cfRule type="cellIs" priority="1571" operator="greaterThan" aboveAverage="0" equalAverage="0" bottom="0" percent="0" rank="0" text="" dxfId="1">
      <formula>0</formula>
    </cfRule>
    <cfRule type="cellIs" priority="1572" operator="lessThanOrEqual" aboveAverage="0" equalAverage="0" bottom="0" percent="0" rank="0" text="" dxfId="0">
      <formula>0</formula>
    </cfRule>
  </conditionalFormatting>
  <conditionalFormatting sqref="G529">
    <cfRule type="cellIs" priority="1573" operator="greaterThan" aboveAverage="0" equalAverage="0" bottom="0" percent="0" rank="0" text="" dxfId="10">
      <formula>e{r}</formula>
    </cfRule>
  </conditionalFormatting>
  <conditionalFormatting sqref="H530">
    <cfRule type="cellIs" priority="1574" operator="greaterThan" aboveAverage="0" equalAverage="0" bottom="0" percent="0" rank="0" text="" dxfId="1">
      <formula>0</formula>
    </cfRule>
    <cfRule type="cellIs" priority="1575" operator="lessThanOrEqual" aboveAverage="0" equalAverage="0" bottom="0" percent="0" rank="0" text="" dxfId="0">
      <formula>0</formula>
    </cfRule>
  </conditionalFormatting>
  <conditionalFormatting sqref="G530">
    <cfRule type="cellIs" priority="1576" operator="greaterThan" aboveAverage="0" equalAverage="0" bottom="0" percent="0" rank="0" text="" dxfId="10">
      <formula>e{r}</formula>
    </cfRule>
  </conditionalFormatting>
  <conditionalFormatting sqref="H531">
    <cfRule type="cellIs" priority="1577" operator="greaterThan" aboveAverage="0" equalAverage="0" bottom="0" percent="0" rank="0" text="" dxfId="1">
      <formula>0</formula>
    </cfRule>
    <cfRule type="cellIs" priority="1578" operator="lessThanOrEqual" aboveAverage="0" equalAverage="0" bottom="0" percent="0" rank="0" text="" dxfId="0">
      <formula>0</formula>
    </cfRule>
  </conditionalFormatting>
  <conditionalFormatting sqref="G531">
    <cfRule type="cellIs" priority="1579" operator="greaterThan" aboveAverage="0" equalAverage="0" bottom="0" percent="0" rank="0" text="" dxfId="10">
      <formula>e{r}</formula>
    </cfRule>
  </conditionalFormatting>
  <conditionalFormatting sqref="H532">
    <cfRule type="cellIs" priority="1580" operator="greaterThan" aboveAverage="0" equalAverage="0" bottom="0" percent="0" rank="0" text="" dxfId="1">
      <formula>0</formula>
    </cfRule>
    <cfRule type="cellIs" priority="1581" operator="lessThanOrEqual" aboveAverage="0" equalAverage="0" bottom="0" percent="0" rank="0" text="" dxfId="0">
      <formula>0</formula>
    </cfRule>
  </conditionalFormatting>
  <conditionalFormatting sqref="G532">
    <cfRule type="cellIs" priority="1582" operator="greaterThan" aboveAverage="0" equalAverage="0" bottom="0" percent="0" rank="0" text="" dxfId="10">
      <formula>e{r}</formula>
    </cfRule>
  </conditionalFormatting>
  <conditionalFormatting sqref="H533">
    <cfRule type="cellIs" priority="1583" operator="greaterThan" aboveAverage="0" equalAverage="0" bottom="0" percent="0" rank="0" text="" dxfId="1">
      <formula>0</formula>
    </cfRule>
    <cfRule type="cellIs" priority="1584" operator="lessThanOrEqual" aboveAverage="0" equalAverage="0" bottom="0" percent="0" rank="0" text="" dxfId="0">
      <formula>0</formula>
    </cfRule>
  </conditionalFormatting>
  <conditionalFormatting sqref="G533">
    <cfRule type="cellIs" priority="1585" operator="greaterThan" aboveAverage="0" equalAverage="0" bottom="0" percent="0" rank="0" text="" dxfId="10">
      <formula>e{r}</formula>
    </cfRule>
  </conditionalFormatting>
  <conditionalFormatting sqref="H534">
    <cfRule type="cellIs" priority="1586" operator="greaterThan" aboveAverage="0" equalAverage="0" bottom="0" percent="0" rank="0" text="" dxfId="1">
      <formula>0</formula>
    </cfRule>
    <cfRule type="cellIs" priority="1587" operator="lessThanOrEqual" aboveAverage="0" equalAverage="0" bottom="0" percent="0" rank="0" text="" dxfId="0">
      <formula>0</formula>
    </cfRule>
  </conditionalFormatting>
  <conditionalFormatting sqref="G534">
    <cfRule type="cellIs" priority="1588" operator="greaterThan" aboveAverage="0" equalAverage="0" bottom="0" percent="0" rank="0" text="" dxfId="10">
      <formula>e{r}</formula>
    </cfRule>
  </conditionalFormatting>
  <conditionalFormatting sqref="H535">
    <cfRule type="cellIs" priority="1589" operator="greaterThan" aboveAverage="0" equalAverage="0" bottom="0" percent="0" rank="0" text="" dxfId="1">
      <formula>0</formula>
    </cfRule>
    <cfRule type="cellIs" priority="1590" operator="lessThanOrEqual" aboveAverage="0" equalAverage="0" bottom="0" percent="0" rank="0" text="" dxfId="0">
      <formula>0</formula>
    </cfRule>
  </conditionalFormatting>
  <conditionalFormatting sqref="G535">
    <cfRule type="cellIs" priority="1591" operator="greaterThan" aboveAverage="0" equalAverage="0" bottom="0" percent="0" rank="0" text="" dxfId="10">
      <formula>e{r}</formula>
    </cfRule>
  </conditionalFormatting>
  <conditionalFormatting sqref="H536">
    <cfRule type="cellIs" priority="1592" operator="greaterThan" aboveAverage="0" equalAverage="0" bottom="0" percent="0" rank="0" text="" dxfId="1">
      <formula>0</formula>
    </cfRule>
    <cfRule type="cellIs" priority="1593" operator="lessThanOrEqual" aboveAverage="0" equalAverage="0" bottom="0" percent="0" rank="0" text="" dxfId="0">
      <formula>0</formula>
    </cfRule>
  </conditionalFormatting>
  <conditionalFormatting sqref="G536">
    <cfRule type="cellIs" priority="1594" operator="greaterThan" aboveAverage="0" equalAverage="0" bottom="0" percent="0" rank="0" text="" dxfId="10">
      <formula>e{r}</formula>
    </cfRule>
  </conditionalFormatting>
  <conditionalFormatting sqref="H537">
    <cfRule type="cellIs" priority="1595" operator="greaterThan" aboveAverage="0" equalAverage="0" bottom="0" percent="0" rank="0" text="" dxfId="1">
      <formula>0</formula>
    </cfRule>
    <cfRule type="cellIs" priority="1596" operator="lessThanOrEqual" aboveAverage="0" equalAverage="0" bottom="0" percent="0" rank="0" text="" dxfId="0">
      <formula>0</formula>
    </cfRule>
  </conditionalFormatting>
  <conditionalFormatting sqref="G537">
    <cfRule type="cellIs" priority="1597" operator="greaterThan" aboveAverage="0" equalAverage="0" bottom="0" percent="0" rank="0" text="" dxfId="10">
      <formula>e{r}</formula>
    </cfRule>
  </conditionalFormatting>
  <conditionalFormatting sqref="H538">
    <cfRule type="cellIs" priority="1598" operator="greaterThan" aboveAverage="0" equalAverage="0" bottom="0" percent="0" rank="0" text="" dxfId="1">
      <formula>0</formula>
    </cfRule>
    <cfRule type="cellIs" priority="1599" operator="lessThanOrEqual" aboveAverage="0" equalAverage="0" bottom="0" percent="0" rank="0" text="" dxfId="0">
      <formula>0</formula>
    </cfRule>
  </conditionalFormatting>
  <conditionalFormatting sqref="G538">
    <cfRule type="cellIs" priority="1600" operator="greaterThan" aboveAverage="0" equalAverage="0" bottom="0" percent="0" rank="0" text="" dxfId="10">
      <formula>e{r}</formula>
    </cfRule>
  </conditionalFormatting>
  <conditionalFormatting sqref="H539">
    <cfRule type="cellIs" priority="1601" operator="greaterThan" aboveAverage="0" equalAverage="0" bottom="0" percent="0" rank="0" text="" dxfId="1">
      <formula>0</formula>
    </cfRule>
    <cfRule type="cellIs" priority="1602" operator="lessThanOrEqual" aboveAverage="0" equalAverage="0" bottom="0" percent="0" rank="0" text="" dxfId="0">
      <formula>0</formula>
    </cfRule>
  </conditionalFormatting>
  <conditionalFormatting sqref="G539">
    <cfRule type="cellIs" priority="1603" operator="greaterThan" aboveAverage="0" equalAverage="0" bottom="0" percent="0" rank="0" text="" dxfId="10">
      <formula>e{r}</formula>
    </cfRule>
  </conditionalFormatting>
  <conditionalFormatting sqref="H540">
    <cfRule type="cellIs" priority="1604" operator="greaterThan" aboveAverage="0" equalAverage="0" bottom="0" percent="0" rank="0" text="" dxfId="1">
      <formula>0</formula>
    </cfRule>
    <cfRule type="cellIs" priority="1605" operator="lessThanOrEqual" aboveAverage="0" equalAverage="0" bottom="0" percent="0" rank="0" text="" dxfId="0">
      <formula>0</formula>
    </cfRule>
  </conditionalFormatting>
  <conditionalFormatting sqref="G540">
    <cfRule type="cellIs" priority="1606" operator="greaterThan" aboveAverage="0" equalAverage="0" bottom="0" percent="0" rank="0" text="" dxfId="10">
      <formula>e{r}</formula>
    </cfRule>
  </conditionalFormatting>
  <conditionalFormatting sqref="H541">
    <cfRule type="cellIs" priority="1607" operator="greaterThan" aboveAverage="0" equalAverage="0" bottom="0" percent="0" rank="0" text="" dxfId="1">
      <formula>0</formula>
    </cfRule>
    <cfRule type="cellIs" priority="1608" operator="lessThanOrEqual" aboveAverage="0" equalAverage="0" bottom="0" percent="0" rank="0" text="" dxfId="0">
      <formula>0</formula>
    </cfRule>
  </conditionalFormatting>
  <conditionalFormatting sqref="G541">
    <cfRule type="cellIs" priority="1609" operator="greaterThan" aboveAverage="0" equalAverage="0" bottom="0" percent="0" rank="0" text="" dxfId="10">
      <formula>e{r}</formula>
    </cfRule>
  </conditionalFormatting>
  <conditionalFormatting sqref="H542">
    <cfRule type="cellIs" priority="1610" operator="greaterThan" aboveAverage="0" equalAverage="0" bottom="0" percent="0" rank="0" text="" dxfId="1">
      <formula>0</formula>
    </cfRule>
    <cfRule type="cellIs" priority="1611" operator="lessThanOrEqual" aboveAverage="0" equalAverage="0" bottom="0" percent="0" rank="0" text="" dxfId="0">
      <formula>0</formula>
    </cfRule>
  </conditionalFormatting>
  <conditionalFormatting sqref="G542">
    <cfRule type="cellIs" priority="1612" operator="greaterThan" aboveAverage="0" equalAverage="0" bottom="0" percent="0" rank="0" text="" dxfId="10">
      <formula>e{r}</formula>
    </cfRule>
  </conditionalFormatting>
  <conditionalFormatting sqref="H543">
    <cfRule type="cellIs" priority="1613" operator="greaterThan" aboveAverage="0" equalAverage="0" bottom="0" percent="0" rank="0" text="" dxfId="1">
      <formula>0</formula>
    </cfRule>
    <cfRule type="cellIs" priority="1614" operator="lessThanOrEqual" aboveAverage="0" equalAverage="0" bottom="0" percent="0" rank="0" text="" dxfId="0">
      <formula>0</formula>
    </cfRule>
  </conditionalFormatting>
  <conditionalFormatting sqref="G543">
    <cfRule type="cellIs" priority="1615" operator="greaterThan" aboveAverage="0" equalAverage="0" bottom="0" percent="0" rank="0" text="" dxfId="10">
      <formula>e{r}</formula>
    </cfRule>
  </conditionalFormatting>
  <conditionalFormatting sqref="H544">
    <cfRule type="cellIs" priority="1616" operator="greaterThan" aboveAverage="0" equalAverage="0" bottom="0" percent="0" rank="0" text="" dxfId="1">
      <formula>0</formula>
    </cfRule>
    <cfRule type="cellIs" priority="1617" operator="lessThanOrEqual" aboveAverage="0" equalAverage="0" bottom="0" percent="0" rank="0" text="" dxfId="0">
      <formula>0</formula>
    </cfRule>
  </conditionalFormatting>
  <conditionalFormatting sqref="G544">
    <cfRule type="cellIs" priority="1618" operator="greaterThan" aboveAverage="0" equalAverage="0" bottom="0" percent="0" rank="0" text="" dxfId="10">
      <formula>e{r}</formula>
    </cfRule>
  </conditionalFormatting>
  <conditionalFormatting sqref="H545">
    <cfRule type="cellIs" priority="1619" operator="greaterThan" aboveAverage="0" equalAverage="0" bottom="0" percent="0" rank="0" text="" dxfId="1">
      <formula>0</formula>
    </cfRule>
    <cfRule type="cellIs" priority="1620" operator="lessThanOrEqual" aboveAverage="0" equalAverage="0" bottom="0" percent="0" rank="0" text="" dxfId="0">
      <formula>0</formula>
    </cfRule>
  </conditionalFormatting>
  <conditionalFormatting sqref="G545">
    <cfRule type="cellIs" priority="1621" operator="greaterThan" aboveAverage="0" equalAverage="0" bottom="0" percent="0" rank="0" text="" dxfId="10">
      <formula>e{r}</formula>
    </cfRule>
  </conditionalFormatting>
  <conditionalFormatting sqref="H546">
    <cfRule type="cellIs" priority="1622" operator="greaterThan" aboveAverage="0" equalAverage="0" bottom="0" percent="0" rank="0" text="" dxfId="1">
      <formula>0</formula>
    </cfRule>
    <cfRule type="cellIs" priority="1623" operator="lessThanOrEqual" aboveAverage="0" equalAverage="0" bottom="0" percent="0" rank="0" text="" dxfId="0">
      <formula>0</formula>
    </cfRule>
  </conditionalFormatting>
  <conditionalFormatting sqref="G546">
    <cfRule type="cellIs" priority="1624" operator="greaterThan" aboveAverage="0" equalAverage="0" bottom="0" percent="0" rank="0" text="" dxfId="10">
      <formula>e{r}</formula>
    </cfRule>
  </conditionalFormatting>
  <conditionalFormatting sqref="H547">
    <cfRule type="cellIs" priority="1625" operator="greaterThan" aboveAverage="0" equalAverage="0" bottom="0" percent="0" rank="0" text="" dxfId="1">
      <formula>0</formula>
    </cfRule>
    <cfRule type="cellIs" priority="1626" operator="lessThanOrEqual" aboveAverage="0" equalAverage="0" bottom="0" percent="0" rank="0" text="" dxfId="0">
      <formula>0</formula>
    </cfRule>
  </conditionalFormatting>
  <conditionalFormatting sqref="G547">
    <cfRule type="cellIs" priority="1627" operator="greaterThan" aboveAverage="0" equalAverage="0" bottom="0" percent="0" rank="0" text="" dxfId="10">
      <formula>e{r}</formula>
    </cfRule>
  </conditionalFormatting>
  <conditionalFormatting sqref="H548">
    <cfRule type="cellIs" priority="1628" operator="greaterThan" aboveAverage="0" equalAverage="0" bottom="0" percent="0" rank="0" text="" dxfId="1">
      <formula>0</formula>
    </cfRule>
    <cfRule type="cellIs" priority="1629" operator="lessThanOrEqual" aboveAverage="0" equalAverage="0" bottom="0" percent="0" rank="0" text="" dxfId="0">
      <formula>0</formula>
    </cfRule>
  </conditionalFormatting>
  <conditionalFormatting sqref="G548">
    <cfRule type="cellIs" priority="1630" operator="greaterThan" aboveAverage="0" equalAverage="0" bottom="0" percent="0" rank="0" text="" dxfId="10">
      <formula>e{r}</formula>
    </cfRule>
  </conditionalFormatting>
  <conditionalFormatting sqref="H549">
    <cfRule type="cellIs" priority="1631" operator="greaterThan" aboveAverage="0" equalAverage="0" bottom="0" percent="0" rank="0" text="" dxfId="1">
      <formula>0</formula>
    </cfRule>
    <cfRule type="cellIs" priority="1632" operator="lessThanOrEqual" aboveAverage="0" equalAverage="0" bottom="0" percent="0" rank="0" text="" dxfId="0">
      <formula>0</formula>
    </cfRule>
  </conditionalFormatting>
  <conditionalFormatting sqref="G549">
    <cfRule type="cellIs" priority="1633" operator="greaterThan" aboveAverage="0" equalAverage="0" bottom="0" percent="0" rank="0" text="" dxfId="10">
      <formula>e{r}</formula>
    </cfRule>
  </conditionalFormatting>
  <conditionalFormatting sqref="H550">
    <cfRule type="cellIs" priority="1634" operator="greaterThan" aboveAverage="0" equalAverage="0" bottom="0" percent="0" rank="0" text="" dxfId="1">
      <formula>0</formula>
    </cfRule>
    <cfRule type="cellIs" priority="1635" operator="lessThanOrEqual" aboveAverage="0" equalAverage="0" bottom="0" percent="0" rank="0" text="" dxfId="0">
      <formula>0</formula>
    </cfRule>
  </conditionalFormatting>
  <conditionalFormatting sqref="G550">
    <cfRule type="cellIs" priority="1636" operator="greaterThan" aboveAverage="0" equalAverage="0" bottom="0" percent="0" rank="0" text="" dxfId="10">
      <formula>e{r}</formula>
    </cfRule>
  </conditionalFormatting>
  <conditionalFormatting sqref="H551">
    <cfRule type="cellIs" priority="1637" operator="greaterThan" aboveAverage="0" equalAverage="0" bottom="0" percent="0" rank="0" text="" dxfId="1">
      <formula>0</formula>
    </cfRule>
    <cfRule type="cellIs" priority="1638" operator="lessThanOrEqual" aboveAverage="0" equalAverage="0" bottom="0" percent="0" rank="0" text="" dxfId="0">
      <formula>0</formula>
    </cfRule>
  </conditionalFormatting>
  <conditionalFormatting sqref="G551">
    <cfRule type="cellIs" priority="1639" operator="greaterThan" aboveAverage="0" equalAverage="0" bottom="0" percent="0" rank="0" text="" dxfId="10">
      <formula>e{r}</formula>
    </cfRule>
  </conditionalFormatting>
  <conditionalFormatting sqref="H552">
    <cfRule type="cellIs" priority="1640" operator="greaterThan" aboveAverage="0" equalAverage="0" bottom="0" percent="0" rank="0" text="" dxfId="1">
      <formula>0</formula>
    </cfRule>
    <cfRule type="cellIs" priority="1641" operator="lessThanOrEqual" aboveAverage="0" equalAverage="0" bottom="0" percent="0" rank="0" text="" dxfId="0">
      <formula>0</formula>
    </cfRule>
  </conditionalFormatting>
  <conditionalFormatting sqref="G552">
    <cfRule type="cellIs" priority="1642" operator="greaterThan" aboveAverage="0" equalAverage="0" bottom="0" percent="0" rank="0" text="" dxfId="10">
      <formula>e{r}</formula>
    </cfRule>
  </conditionalFormatting>
  <conditionalFormatting sqref="H553">
    <cfRule type="cellIs" priority="1643" operator="greaterThan" aboveAverage="0" equalAverage="0" bottom="0" percent="0" rank="0" text="" dxfId="1">
      <formula>0</formula>
    </cfRule>
    <cfRule type="cellIs" priority="1644" operator="lessThanOrEqual" aboveAverage="0" equalAverage="0" bottom="0" percent="0" rank="0" text="" dxfId="0">
      <formula>0</formula>
    </cfRule>
  </conditionalFormatting>
  <conditionalFormatting sqref="G553">
    <cfRule type="cellIs" priority="1645" operator="greaterThan" aboveAverage="0" equalAverage="0" bottom="0" percent="0" rank="0" text="" dxfId="10">
      <formula>e{r}</formula>
    </cfRule>
  </conditionalFormatting>
  <conditionalFormatting sqref="H554">
    <cfRule type="cellIs" priority="1646" operator="greaterThan" aboveAverage="0" equalAverage="0" bottom="0" percent="0" rank="0" text="" dxfId="1">
      <formula>0</formula>
    </cfRule>
    <cfRule type="cellIs" priority="1647" operator="lessThanOrEqual" aboveAverage="0" equalAverage="0" bottom="0" percent="0" rank="0" text="" dxfId="0">
      <formula>0</formula>
    </cfRule>
  </conditionalFormatting>
  <conditionalFormatting sqref="G554">
    <cfRule type="cellIs" priority="1648" operator="greaterThan" aboveAverage="0" equalAverage="0" bottom="0" percent="0" rank="0" text="" dxfId="10">
      <formula>e{r}</formula>
    </cfRule>
  </conditionalFormatting>
  <conditionalFormatting sqref="H555">
    <cfRule type="cellIs" priority="1649" operator="greaterThan" aboveAverage="0" equalAverage="0" bottom="0" percent="0" rank="0" text="" dxfId="1">
      <formula>0</formula>
    </cfRule>
    <cfRule type="cellIs" priority="1650" operator="lessThanOrEqual" aboveAverage="0" equalAverage="0" bottom="0" percent="0" rank="0" text="" dxfId="0">
      <formula>0</formula>
    </cfRule>
  </conditionalFormatting>
  <conditionalFormatting sqref="G555">
    <cfRule type="cellIs" priority="1651" operator="greaterThan" aboveAverage="0" equalAverage="0" bottom="0" percent="0" rank="0" text="" dxfId="10">
      <formula>e{r}</formula>
    </cfRule>
  </conditionalFormatting>
  <conditionalFormatting sqref="H556">
    <cfRule type="cellIs" priority="1652" operator="greaterThan" aboveAverage="0" equalAverage="0" bottom="0" percent="0" rank="0" text="" dxfId="1">
      <formula>0</formula>
    </cfRule>
    <cfRule type="cellIs" priority="1653" operator="lessThanOrEqual" aboveAverage="0" equalAverage="0" bottom="0" percent="0" rank="0" text="" dxfId="0">
      <formula>0</formula>
    </cfRule>
  </conditionalFormatting>
  <conditionalFormatting sqref="G556">
    <cfRule type="cellIs" priority="1654" operator="greaterThan" aboveAverage="0" equalAverage="0" bottom="0" percent="0" rank="0" text="" dxfId="10">
      <formula>e{r}</formula>
    </cfRule>
  </conditionalFormatting>
  <conditionalFormatting sqref="H557">
    <cfRule type="cellIs" priority="1655" operator="greaterThan" aboveAverage="0" equalAverage="0" bottom="0" percent="0" rank="0" text="" dxfId="1">
      <formula>0</formula>
    </cfRule>
    <cfRule type="cellIs" priority="1656" operator="lessThanOrEqual" aboveAverage="0" equalAverage="0" bottom="0" percent="0" rank="0" text="" dxfId="0">
      <formula>0</formula>
    </cfRule>
  </conditionalFormatting>
  <conditionalFormatting sqref="G557">
    <cfRule type="cellIs" priority="1657" operator="greaterThan" aboveAverage="0" equalAverage="0" bottom="0" percent="0" rank="0" text="" dxfId="10">
      <formula>e{r}</formula>
    </cfRule>
  </conditionalFormatting>
  <conditionalFormatting sqref="H558">
    <cfRule type="cellIs" priority="1658" operator="greaterThan" aboveAverage="0" equalAverage="0" bottom="0" percent="0" rank="0" text="" dxfId="1">
      <formula>0</formula>
    </cfRule>
    <cfRule type="cellIs" priority="1659" operator="lessThanOrEqual" aboveAverage="0" equalAverage="0" bottom="0" percent="0" rank="0" text="" dxfId="0">
      <formula>0</formula>
    </cfRule>
  </conditionalFormatting>
  <conditionalFormatting sqref="G558">
    <cfRule type="cellIs" priority="1660" operator="greaterThan" aboveAverage="0" equalAverage="0" bottom="0" percent="0" rank="0" text="" dxfId="10">
      <formula>e{r}</formula>
    </cfRule>
  </conditionalFormatting>
  <conditionalFormatting sqref="H559">
    <cfRule type="cellIs" priority="1661" operator="greaterThan" aboveAverage="0" equalAverage="0" bottom="0" percent="0" rank="0" text="" dxfId="1">
      <formula>0</formula>
    </cfRule>
    <cfRule type="cellIs" priority="1662" operator="lessThanOrEqual" aboveAverage="0" equalAverage="0" bottom="0" percent="0" rank="0" text="" dxfId="0">
      <formula>0</formula>
    </cfRule>
  </conditionalFormatting>
  <conditionalFormatting sqref="G559">
    <cfRule type="cellIs" priority="1663" operator="greaterThan" aboveAverage="0" equalAverage="0" bottom="0" percent="0" rank="0" text="" dxfId="10">
      <formula>e{r}</formula>
    </cfRule>
  </conditionalFormatting>
  <conditionalFormatting sqref="H560">
    <cfRule type="cellIs" priority="1664" operator="greaterThan" aboveAverage="0" equalAverage="0" bottom="0" percent="0" rank="0" text="" dxfId="1">
      <formula>0</formula>
    </cfRule>
    <cfRule type="cellIs" priority="1665" operator="lessThanOrEqual" aboveAverage="0" equalAverage="0" bottom="0" percent="0" rank="0" text="" dxfId="0">
      <formula>0</formula>
    </cfRule>
  </conditionalFormatting>
  <conditionalFormatting sqref="G560">
    <cfRule type="cellIs" priority="1666" operator="greaterThan" aboveAverage="0" equalAverage="0" bottom="0" percent="0" rank="0" text="" dxfId="10">
      <formula>e{r}</formula>
    </cfRule>
  </conditionalFormatting>
  <conditionalFormatting sqref="H561">
    <cfRule type="cellIs" priority="1667" operator="greaterThan" aboveAverage="0" equalAverage="0" bottom="0" percent="0" rank="0" text="" dxfId="1">
      <formula>0</formula>
    </cfRule>
    <cfRule type="cellIs" priority="1668" operator="lessThanOrEqual" aboveAverage="0" equalAverage="0" bottom="0" percent="0" rank="0" text="" dxfId="0">
      <formula>0</formula>
    </cfRule>
  </conditionalFormatting>
  <conditionalFormatting sqref="G561">
    <cfRule type="cellIs" priority="1669" operator="greaterThan" aboveAverage="0" equalAverage="0" bottom="0" percent="0" rank="0" text="" dxfId="10">
      <formula>e{r}</formula>
    </cfRule>
  </conditionalFormatting>
  <conditionalFormatting sqref="H562">
    <cfRule type="cellIs" priority="1670" operator="greaterThan" aboveAverage="0" equalAverage="0" bottom="0" percent="0" rank="0" text="" dxfId="1">
      <formula>0</formula>
    </cfRule>
    <cfRule type="cellIs" priority="1671" operator="lessThanOrEqual" aboveAverage="0" equalAverage="0" bottom="0" percent="0" rank="0" text="" dxfId="0">
      <formula>0</formula>
    </cfRule>
  </conditionalFormatting>
  <conditionalFormatting sqref="G562">
    <cfRule type="cellIs" priority="1672" operator="greaterThan" aboveAverage="0" equalAverage="0" bottom="0" percent="0" rank="0" text="" dxfId="10">
      <formula>e{r}</formula>
    </cfRule>
  </conditionalFormatting>
  <conditionalFormatting sqref="H563">
    <cfRule type="cellIs" priority="1673" operator="greaterThan" aboveAverage="0" equalAverage="0" bottom="0" percent="0" rank="0" text="" dxfId="1">
      <formula>0</formula>
    </cfRule>
    <cfRule type="cellIs" priority="1674" operator="lessThanOrEqual" aboveAverage="0" equalAverage="0" bottom="0" percent="0" rank="0" text="" dxfId="0">
      <formula>0</formula>
    </cfRule>
  </conditionalFormatting>
  <conditionalFormatting sqref="G563">
    <cfRule type="cellIs" priority="1675" operator="greaterThan" aboveAverage="0" equalAverage="0" bottom="0" percent="0" rank="0" text="" dxfId="10">
      <formula>e{r}</formula>
    </cfRule>
  </conditionalFormatting>
  <conditionalFormatting sqref="H564">
    <cfRule type="cellIs" priority="1676" operator="greaterThan" aboveAverage="0" equalAverage="0" bottom="0" percent="0" rank="0" text="" dxfId="1">
      <formula>0</formula>
    </cfRule>
    <cfRule type="cellIs" priority="1677" operator="lessThanOrEqual" aboveAverage="0" equalAverage="0" bottom="0" percent="0" rank="0" text="" dxfId="0">
      <formula>0</formula>
    </cfRule>
  </conditionalFormatting>
  <conditionalFormatting sqref="G564">
    <cfRule type="cellIs" priority="1678" operator="greaterThan" aboveAverage="0" equalAverage="0" bottom="0" percent="0" rank="0" text="" dxfId="10">
      <formula>e{r}</formula>
    </cfRule>
  </conditionalFormatting>
  <conditionalFormatting sqref="H565">
    <cfRule type="cellIs" priority="1679" operator="greaterThan" aboveAverage="0" equalAverage="0" bottom="0" percent="0" rank="0" text="" dxfId="1">
      <formula>0</formula>
    </cfRule>
    <cfRule type="cellIs" priority="1680" operator="lessThanOrEqual" aboveAverage="0" equalAverage="0" bottom="0" percent="0" rank="0" text="" dxfId="0">
      <formula>0</formula>
    </cfRule>
  </conditionalFormatting>
  <conditionalFormatting sqref="G565">
    <cfRule type="cellIs" priority="1681" operator="greaterThan" aboveAverage="0" equalAverage="0" bottom="0" percent="0" rank="0" text="" dxfId="10">
      <formula>e{r}</formula>
    </cfRule>
  </conditionalFormatting>
  <conditionalFormatting sqref="H566">
    <cfRule type="cellIs" priority="1682" operator="greaterThan" aboveAverage="0" equalAverage="0" bottom="0" percent="0" rank="0" text="" dxfId="1">
      <formula>0</formula>
    </cfRule>
    <cfRule type="cellIs" priority="1683" operator="lessThanOrEqual" aboveAverage="0" equalAverage="0" bottom="0" percent="0" rank="0" text="" dxfId="0">
      <formula>0</formula>
    </cfRule>
  </conditionalFormatting>
  <conditionalFormatting sqref="G566">
    <cfRule type="cellIs" priority="1684" operator="greaterThan" aboveAverage="0" equalAverage="0" bottom="0" percent="0" rank="0" text="" dxfId="10">
      <formula>e{r}</formula>
    </cfRule>
  </conditionalFormatting>
  <conditionalFormatting sqref="H567">
    <cfRule type="cellIs" priority="1685" operator="greaterThan" aboveAverage="0" equalAverage="0" bottom="0" percent="0" rank="0" text="" dxfId="1">
      <formula>0</formula>
    </cfRule>
    <cfRule type="cellIs" priority="1686" operator="lessThanOrEqual" aboveAverage="0" equalAverage="0" bottom="0" percent="0" rank="0" text="" dxfId="0">
      <formula>0</formula>
    </cfRule>
  </conditionalFormatting>
  <conditionalFormatting sqref="G567">
    <cfRule type="cellIs" priority="1687" operator="greaterThan" aboveAverage="0" equalAverage="0" bottom="0" percent="0" rank="0" text="" dxfId="10">
      <formula>e{r}</formula>
    </cfRule>
  </conditionalFormatting>
  <conditionalFormatting sqref="H568">
    <cfRule type="cellIs" priority="1688" operator="greaterThan" aboveAverage="0" equalAverage="0" bottom="0" percent="0" rank="0" text="" dxfId="1">
      <formula>0</formula>
    </cfRule>
    <cfRule type="cellIs" priority="1689" operator="lessThanOrEqual" aboveAverage="0" equalAverage="0" bottom="0" percent="0" rank="0" text="" dxfId="0">
      <formula>0</formula>
    </cfRule>
  </conditionalFormatting>
  <conditionalFormatting sqref="G568">
    <cfRule type="cellIs" priority="1690" operator="greaterThan" aboveAverage="0" equalAverage="0" bottom="0" percent="0" rank="0" text="" dxfId="10">
      <formula>e{r}</formula>
    </cfRule>
  </conditionalFormatting>
  <conditionalFormatting sqref="H569">
    <cfRule type="cellIs" priority="1691" operator="greaterThan" aboveAverage="0" equalAverage="0" bottom="0" percent="0" rank="0" text="" dxfId="1">
      <formula>0</formula>
    </cfRule>
    <cfRule type="cellIs" priority="1692" operator="lessThanOrEqual" aboveAverage="0" equalAverage="0" bottom="0" percent="0" rank="0" text="" dxfId="0">
      <formula>0</formula>
    </cfRule>
  </conditionalFormatting>
  <conditionalFormatting sqref="G569">
    <cfRule type="cellIs" priority="1693" operator="greaterThan" aboveAverage="0" equalAverage="0" bottom="0" percent="0" rank="0" text="" dxfId="10">
      <formula>e{r}</formula>
    </cfRule>
  </conditionalFormatting>
  <conditionalFormatting sqref="H570">
    <cfRule type="cellIs" priority="1694" operator="greaterThan" aboveAverage="0" equalAverage="0" bottom="0" percent="0" rank="0" text="" dxfId="1">
      <formula>0</formula>
    </cfRule>
    <cfRule type="cellIs" priority="1695" operator="lessThanOrEqual" aboveAverage="0" equalAverage="0" bottom="0" percent="0" rank="0" text="" dxfId="0">
      <formula>0</formula>
    </cfRule>
  </conditionalFormatting>
  <conditionalFormatting sqref="G570">
    <cfRule type="cellIs" priority="1696" operator="greaterThan" aboveAverage="0" equalAverage="0" bottom="0" percent="0" rank="0" text="" dxfId="10">
      <formula>e{r}</formula>
    </cfRule>
  </conditionalFormatting>
  <conditionalFormatting sqref="H571">
    <cfRule type="cellIs" priority="1697" operator="greaterThan" aboveAverage="0" equalAverage="0" bottom="0" percent="0" rank="0" text="" dxfId="1">
      <formula>0</formula>
    </cfRule>
    <cfRule type="cellIs" priority="1698" operator="lessThanOrEqual" aboveAverage="0" equalAverage="0" bottom="0" percent="0" rank="0" text="" dxfId="0">
      <formula>0</formula>
    </cfRule>
  </conditionalFormatting>
  <conditionalFormatting sqref="G571">
    <cfRule type="cellIs" priority="1699" operator="greaterThan" aboveAverage="0" equalAverage="0" bottom="0" percent="0" rank="0" text="" dxfId="10">
      <formula>e{r}</formula>
    </cfRule>
  </conditionalFormatting>
  <conditionalFormatting sqref="H572">
    <cfRule type="cellIs" priority="1700" operator="greaterThan" aboveAverage="0" equalAverage="0" bottom="0" percent="0" rank="0" text="" dxfId="1">
      <formula>0</formula>
    </cfRule>
    <cfRule type="cellIs" priority="1701" operator="lessThanOrEqual" aboveAverage="0" equalAverage="0" bottom="0" percent="0" rank="0" text="" dxfId="0">
      <formula>0</formula>
    </cfRule>
  </conditionalFormatting>
  <conditionalFormatting sqref="G572">
    <cfRule type="cellIs" priority="1702" operator="greaterThan" aboveAverage="0" equalAverage="0" bottom="0" percent="0" rank="0" text="" dxfId="10">
      <formula>e{r}</formula>
    </cfRule>
  </conditionalFormatting>
  <conditionalFormatting sqref="H573">
    <cfRule type="cellIs" priority="1703" operator="greaterThan" aboveAverage="0" equalAverage="0" bottom="0" percent="0" rank="0" text="" dxfId="1">
      <formula>0</formula>
    </cfRule>
    <cfRule type="cellIs" priority="1704" operator="lessThanOrEqual" aboveAverage="0" equalAverage="0" bottom="0" percent="0" rank="0" text="" dxfId="0">
      <formula>0</formula>
    </cfRule>
  </conditionalFormatting>
  <conditionalFormatting sqref="G573">
    <cfRule type="cellIs" priority="1705" operator="greaterThan" aboveAverage="0" equalAverage="0" bottom="0" percent="0" rank="0" text="" dxfId="10">
      <formula>e{r}</formula>
    </cfRule>
  </conditionalFormatting>
  <conditionalFormatting sqref="H574">
    <cfRule type="cellIs" priority="1706" operator="greaterThan" aboveAverage="0" equalAverage="0" bottom="0" percent="0" rank="0" text="" dxfId="1">
      <formula>0</formula>
    </cfRule>
    <cfRule type="cellIs" priority="1707" operator="lessThanOrEqual" aboveAverage="0" equalAverage="0" bottom="0" percent="0" rank="0" text="" dxfId="0">
      <formula>0</formula>
    </cfRule>
  </conditionalFormatting>
  <conditionalFormatting sqref="G574">
    <cfRule type="cellIs" priority="1708" operator="greaterThan" aboveAverage="0" equalAverage="0" bottom="0" percent="0" rank="0" text="" dxfId="10">
      <formula>e{r}</formula>
    </cfRule>
  </conditionalFormatting>
  <conditionalFormatting sqref="H575">
    <cfRule type="cellIs" priority="1709" operator="greaterThan" aboveAverage="0" equalAverage="0" bottom="0" percent="0" rank="0" text="" dxfId="1">
      <formula>0</formula>
    </cfRule>
    <cfRule type="cellIs" priority="1710" operator="lessThanOrEqual" aboveAverage="0" equalAverage="0" bottom="0" percent="0" rank="0" text="" dxfId="0">
      <formula>0</formula>
    </cfRule>
  </conditionalFormatting>
  <conditionalFormatting sqref="G575">
    <cfRule type="cellIs" priority="1711" operator="greaterThan" aboveAverage="0" equalAverage="0" bottom="0" percent="0" rank="0" text="" dxfId="10">
      <formula>e{r}</formula>
    </cfRule>
  </conditionalFormatting>
  <conditionalFormatting sqref="H576">
    <cfRule type="cellIs" priority="1712" operator="greaterThan" aboveAverage="0" equalAverage="0" bottom="0" percent="0" rank="0" text="" dxfId="1">
      <formula>0</formula>
    </cfRule>
    <cfRule type="cellIs" priority="1713" operator="lessThanOrEqual" aboveAverage="0" equalAverage="0" bottom="0" percent="0" rank="0" text="" dxfId="0">
      <formula>0</formula>
    </cfRule>
  </conditionalFormatting>
  <conditionalFormatting sqref="G576">
    <cfRule type="cellIs" priority="1714" operator="greaterThan" aboveAverage="0" equalAverage="0" bottom="0" percent="0" rank="0" text="" dxfId="10">
      <formula>e{r}</formula>
    </cfRule>
  </conditionalFormatting>
  <conditionalFormatting sqref="H577">
    <cfRule type="cellIs" priority="1715" operator="greaterThan" aboveAverage="0" equalAverage="0" bottom="0" percent="0" rank="0" text="" dxfId="1">
      <formula>0</formula>
    </cfRule>
    <cfRule type="cellIs" priority="1716" operator="lessThanOrEqual" aboveAverage="0" equalAverage="0" bottom="0" percent="0" rank="0" text="" dxfId="0">
      <formula>0</formula>
    </cfRule>
  </conditionalFormatting>
  <conditionalFormatting sqref="G577">
    <cfRule type="cellIs" priority="1717" operator="greaterThan" aboveAverage="0" equalAverage="0" bottom="0" percent="0" rank="0" text="" dxfId="10">
      <formula>e{r}</formula>
    </cfRule>
  </conditionalFormatting>
  <conditionalFormatting sqref="H578">
    <cfRule type="cellIs" priority="1718" operator="greaterThan" aboveAverage="0" equalAverage="0" bottom="0" percent="0" rank="0" text="" dxfId="1">
      <formula>0</formula>
    </cfRule>
    <cfRule type="cellIs" priority="1719" operator="lessThanOrEqual" aboveAverage="0" equalAverage="0" bottom="0" percent="0" rank="0" text="" dxfId="0">
      <formula>0</formula>
    </cfRule>
  </conditionalFormatting>
  <conditionalFormatting sqref="G578">
    <cfRule type="cellIs" priority="1720" operator="greaterThan" aboveAverage="0" equalAverage="0" bottom="0" percent="0" rank="0" text="" dxfId="10">
      <formula>e{r}</formula>
    </cfRule>
  </conditionalFormatting>
  <conditionalFormatting sqref="H579">
    <cfRule type="cellIs" priority="1721" operator="greaterThan" aboveAverage="0" equalAverage="0" bottom="0" percent="0" rank="0" text="" dxfId="1">
      <formula>0</formula>
    </cfRule>
    <cfRule type="cellIs" priority="1722" operator="lessThanOrEqual" aboveAverage="0" equalAverage="0" bottom="0" percent="0" rank="0" text="" dxfId="0">
      <formula>0</formula>
    </cfRule>
  </conditionalFormatting>
  <conditionalFormatting sqref="G579">
    <cfRule type="cellIs" priority="1723" operator="greaterThan" aboveAverage="0" equalAverage="0" bottom="0" percent="0" rank="0" text="" dxfId="10">
      <formula>e{r}</formula>
    </cfRule>
  </conditionalFormatting>
  <conditionalFormatting sqref="H580">
    <cfRule type="cellIs" priority="1724" operator="greaterThan" aboveAverage="0" equalAverage="0" bottom="0" percent="0" rank="0" text="" dxfId="1">
      <formula>0</formula>
    </cfRule>
    <cfRule type="cellIs" priority="1725" operator="lessThanOrEqual" aboveAverage="0" equalAverage="0" bottom="0" percent="0" rank="0" text="" dxfId="0">
      <formula>0</formula>
    </cfRule>
  </conditionalFormatting>
  <conditionalFormatting sqref="G580">
    <cfRule type="cellIs" priority="1726" operator="greaterThan" aboveAverage="0" equalAverage="0" bottom="0" percent="0" rank="0" text="" dxfId="10">
      <formula>e{r}</formula>
    </cfRule>
  </conditionalFormatting>
  <conditionalFormatting sqref="H581">
    <cfRule type="cellIs" priority="1727" operator="greaterThan" aboveAverage="0" equalAverage="0" bottom="0" percent="0" rank="0" text="" dxfId="1">
      <formula>0</formula>
    </cfRule>
    <cfRule type="cellIs" priority="1728" operator="lessThanOrEqual" aboveAverage="0" equalAverage="0" bottom="0" percent="0" rank="0" text="" dxfId="0">
      <formula>0</formula>
    </cfRule>
  </conditionalFormatting>
  <conditionalFormatting sqref="G581">
    <cfRule type="cellIs" priority="1729" operator="greaterThan" aboveAverage="0" equalAverage="0" bottom="0" percent="0" rank="0" text="" dxfId="10">
      <formula>e{r}</formula>
    </cfRule>
  </conditionalFormatting>
  <conditionalFormatting sqref="H582">
    <cfRule type="cellIs" priority="1730" operator="greaterThan" aboveAverage="0" equalAverage="0" bottom="0" percent="0" rank="0" text="" dxfId="1">
      <formula>0</formula>
    </cfRule>
    <cfRule type="cellIs" priority="1731" operator="lessThanOrEqual" aboveAverage="0" equalAverage="0" bottom="0" percent="0" rank="0" text="" dxfId="0">
      <formula>0</formula>
    </cfRule>
  </conditionalFormatting>
  <conditionalFormatting sqref="G582">
    <cfRule type="cellIs" priority="1732" operator="greaterThan" aboveAverage="0" equalAverage="0" bottom="0" percent="0" rank="0" text="" dxfId="10">
      <formula>e{r}</formula>
    </cfRule>
  </conditionalFormatting>
  <conditionalFormatting sqref="H583">
    <cfRule type="cellIs" priority="1733" operator="greaterThan" aboveAverage="0" equalAverage="0" bottom="0" percent="0" rank="0" text="" dxfId="1">
      <formula>0</formula>
    </cfRule>
    <cfRule type="cellIs" priority="1734" operator="lessThanOrEqual" aboveAverage="0" equalAverage="0" bottom="0" percent="0" rank="0" text="" dxfId="0">
      <formula>0</formula>
    </cfRule>
  </conditionalFormatting>
  <conditionalFormatting sqref="G583">
    <cfRule type="cellIs" priority="1735" operator="greaterThan" aboveAverage="0" equalAverage="0" bottom="0" percent="0" rank="0" text="" dxfId="10">
      <formula>e{r}</formula>
    </cfRule>
  </conditionalFormatting>
  <conditionalFormatting sqref="H584">
    <cfRule type="cellIs" priority="1736" operator="greaterThan" aboveAverage="0" equalAverage="0" bottom="0" percent="0" rank="0" text="" dxfId="1">
      <formula>0</formula>
    </cfRule>
    <cfRule type="cellIs" priority="1737" operator="lessThanOrEqual" aboveAverage="0" equalAverage="0" bottom="0" percent="0" rank="0" text="" dxfId="0">
      <formula>0</formula>
    </cfRule>
  </conditionalFormatting>
  <conditionalFormatting sqref="G584">
    <cfRule type="cellIs" priority="1738" operator="greaterThan" aboveAverage="0" equalAverage="0" bottom="0" percent="0" rank="0" text="" dxfId="10">
      <formula>e{r}</formula>
    </cfRule>
  </conditionalFormatting>
  <conditionalFormatting sqref="H585">
    <cfRule type="cellIs" priority="1739" operator="greaterThan" aboveAverage="0" equalAverage="0" bottom="0" percent="0" rank="0" text="" dxfId="1">
      <formula>0</formula>
    </cfRule>
    <cfRule type="cellIs" priority="1740" operator="lessThanOrEqual" aboveAverage="0" equalAverage="0" bottom="0" percent="0" rank="0" text="" dxfId="0">
      <formula>0</formula>
    </cfRule>
  </conditionalFormatting>
  <conditionalFormatting sqref="G585">
    <cfRule type="cellIs" priority="1741" operator="greaterThan" aboveAverage="0" equalAverage="0" bottom="0" percent="0" rank="0" text="" dxfId="10">
      <formula>e{r}</formula>
    </cfRule>
  </conditionalFormatting>
  <conditionalFormatting sqref="H586">
    <cfRule type="cellIs" priority="1742" operator="greaterThan" aboveAverage="0" equalAverage="0" bottom="0" percent="0" rank="0" text="" dxfId="1">
      <formula>0</formula>
    </cfRule>
    <cfRule type="cellIs" priority="1743" operator="lessThanOrEqual" aboveAverage="0" equalAverage="0" bottom="0" percent="0" rank="0" text="" dxfId="0">
      <formula>0</formula>
    </cfRule>
  </conditionalFormatting>
  <conditionalFormatting sqref="G586">
    <cfRule type="cellIs" priority="1744" operator="greaterThan" aboveAverage="0" equalAverage="0" bottom="0" percent="0" rank="0" text="" dxfId="10">
      <formula>e{r}</formula>
    </cfRule>
  </conditionalFormatting>
  <conditionalFormatting sqref="H587">
    <cfRule type="cellIs" priority="1745" operator="greaterThan" aboveAverage="0" equalAverage="0" bottom="0" percent="0" rank="0" text="" dxfId="1">
      <formula>0</formula>
    </cfRule>
    <cfRule type="cellIs" priority="1746" operator="lessThanOrEqual" aboveAverage="0" equalAverage="0" bottom="0" percent="0" rank="0" text="" dxfId="0">
      <formula>0</formula>
    </cfRule>
  </conditionalFormatting>
  <conditionalFormatting sqref="G587">
    <cfRule type="cellIs" priority="1747" operator="greaterThan" aboveAverage="0" equalAverage="0" bottom="0" percent="0" rank="0" text="" dxfId="10">
      <formula>e{r}</formula>
    </cfRule>
  </conditionalFormatting>
  <conditionalFormatting sqref="H588">
    <cfRule type="cellIs" priority="1748" operator="greaterThan" aboveAverage="0" equalAverage="0" bottom="0" percent="0" rank="0" text="" dxfId="1">
      <formula>0</formula>
    </cfRule>
    <cfRule type="cellIs" priority="1749" operator="lessThanOrEqual" aboveAverage="0" equalAverage="0" bottom="0" percent="0" rank="0" text="" dxfId="0">
      <formula>0</formula>
    </cfRule>
  </conditionalFormatting>
  <conditionalFormatting sqref="G588">
    <cfRule type="cellIs" priority="1750" operator="greaterThan" aboveAverage="0" equalAverage="0" bottom="0" percent="0" rank="0" text="" dxfId="10">
      <formula>e{r}</formula>
    </cfRule>
  </conditionalFormatting>
  <conditionalFormatting sqref="H589">
    <cfRule type="cellIs" priority="1751" operator="greaterThan" aboveAverage="0" equalAverage="0" bottom="0" percent="0" rank="0" text="" dxfId="1">
      <formula>0</formula>
    </cfRule>
    <cfRule type="cellIs" priority="1752" operator="lessThanOrEqual" aboveAverage="0" equalAverage="0" bottom="0" percent="0" rank="0" text="" dxfId="0">
      <formula>0</formula>
    </cfRule>
  </conditionalFormatting>
  <conditionalFormatting sqref="G589">
    <cfRule type="cellIs" priority="1753" operator="greaterThan" aboveAverage="0" equalAverage="0" bottom="0" percent="0" rank="0" text="" dxfId="10">
      <formula>e{r}</formula>
    </cfRule>
  </conditionalFormatting>
  <conditionalFormatting sqref="H590">
    <cfRule type="cellIs" priority="1754" operator="greaterThan" aboveAverage="0" equalAverage="0" bottom="0" percent="0" rank="0" text="" dxfId="1">
      <formula>0</formula>
    </cfRule>
    <cfRule type="cellIs" priority="1755" operator="lessThanOrEqual" aboveAverage="0" equalAverage="0" bottom="0" percent="0" rank="0" text="" dxfId="0">
      <formula>0</formula>
    </cfRule>
  </conditionalFormatting>
  <conditionalFormatting sqref="G590">
    <cfRule type="cellIs" priority="1756" operator="greaterThan" aboveAverage="0" equalAverage="0" bottom="0" percent="0" rank="0" text="" dxfId="10">
      <formula>e{r}</formula>
    </cfRule>
  </conditionalFormatting>
  <conditionalFormatting sqref="H591">
    <cfRule type="cellIs" priority="1757" operator="greaterThan" aboveAverage="0" equalAverage="0" bottom="0" percent="0" rank="0" text="" dxfId="1">
      <formula>0</formula>
    </cfRule>
    <cfRule type="cellIs" priority="1758" operator="lessThanOrEqual" aboveAverage="0" equalAverage="0" bottom="0" percent="0" rank="0" text="" dxfId="0">
      <formula>0</formula>
    </cfRule>
  </conditionalFormatting>
  <conditionalFormatting sqref="G591">
    <cfRule type="cellIs" priority="1759" operator="greaterThan" aboveAverage="0" equalAverage="0" bottom="0" percent="0" rank="0" text="" dxfId="10">
      <formula>e{r}</formula>
    </cfRule>
  </conditionalFormatting>
  <conditionalFormatting sqref="H592">
    <cfRule type="cellIs" priority="1760" operator="greaterThan" aboveAverage="0" equalAverage="0" bottom="0" percent="0" rank="0" text="" dxfId="1">
      <formula>0</formula>
    </cfRule>
    <cfRule type="cellIs" priority="1761" operator="lessThanOrEqual" aboveAverage="0" equalAverage="0" bottom="0" percent="0" rank="0" text="" dxfId="0">
      <formula>0</formula>
    </cfRule>
  </conditionalFormatting>
  <conditionalFormatting sqref="G592">
    <cfRule type="cellIs" priority="1762" operator="greaterThan" aboveAverage="0" equalAverage="0" bottom="0" percent="0" rank="0" text="" dxfId="10">
      <formula>e{r}</formula>
    </cfRule>
  </conditionalFormatting>
  <conditionalFormatting sqref="H593">
    <cfRule type="cellIs" priority="1763" operator="greaterThan" aboveAverage="0" equalAverage="0" bottom="0" percent="0" rank="0" text="" dxfId="1">
      <formula>0</formula>
    </cfRule>
    <cfRule type="cellIs" priority="1764" operator="lessThanOrEqual" aboveAverage="0" equalAverage="0" bottom="0" percent="0" rank="0" text="" dxfId="0">
      <formula>0</formula>
    </cfRule>
  </conditionalFormatting>
  <conditionalFormatting sqref="G593">
    <cfRule type="cellIs" priority="1765" operator="greaterThan" aboveAverage="0" equalAverage="0" bottom="0" percent="0" rank="0" text="" dxfId="10">
      <formula>e{r}</formula>
    </cfRule>
  </conditionalFormatting>
  <conditionalFormatting sqref="H594">
    <cfRule type="cellIs" priority="1766" operator="greaterThan" aboveAverage="0" equalAverage="0" bottom="0" percent="0" rank="0" text="" dxfId="1">
      <formula>0</formula>
    </cfRule>
    <cfRule type="cellIs" priority="1767" operator="lessThanOrEqual" aboveAverage="0" equalAverage="0" bottom="0" percent="0" rank="0" text="" dxfId="0">
      <formula>0</formula>
    </cfRule>
  </conditionalFormatting>
  <conditionalFormatting sqref="G594">
    <cfRule type="cellIs" priority="1768" operator="greaterThan" aboveAverage="0" equalAverage="0" bottom="0" percent="0" rank="0" text="" dxfId="10">
      <formula>e{r}</formula>
    </cfRule>
  </conditionalFormatting>
  <conditionalFormatting sqref="H595">
    <cfRule type="cellIs" priority="1769" operator="greaterThan" aboveAverage="0" equalAverage="0" bottom="0" percent="0" rank="0" text="" dxfId="1">
      <formula>0</formula>
    </cfRule>
    <cfRule type="cellIs" priority="1770" operator="lessThanOrEqual" aboveAverage="0" equalAverage="0" bottom="0" percent="0" rank="0" text="" dxfId="0">
      <formula>0</formula>
    </cfRule>
  </conditionalFormatting>
  <conditionalFormatting sqref="G595">
    <cfRule type="cellIs" priority="1771" operator="greaterThan" aboveAverage="0" equalAverage="0" bottom="0" percent="0" rank="0" text="" dxfId="10">
      <formula>e{r}</formula>
    </cfRule>
  </conditionalFormatting>
  <conditionalFormatting sqref="H596">
    <cfRule type="cellIs" priority="1772" operator="greaterThan" aboveAverage="0" equalAverage="0" bottom="0" percent="0" rank="0" text="" dxfId="1">
      <formula>0</formula>
    </cfRule>
    <cfRule type="cellIs" priority="1773" operator="lessThanOrEqual" aboveAverage="0" equalAverage="0" bottom="0" percent="0" rank="0" text="" dxfId="0">
      <formula>0</formula>
    </cfRule>
  </conditionalFormatting>
  <conditionalFormatting sqref="G596">
    <cfRule type="cellIs" priority="1774" operator="greaterThan" aboveAverage="0" equalAverage="0" bottom="0" percent="0" rank="0" text="" dxfId="10">
      <formula>e{r}</formula>
    </cfRule>
  </conditionalFormatting>
  <conditionalFormatting sqref="H597">
    <cfRule type="cellIs" priority="1775" operator="greaterThan" aboveAverage="0" equalAverage="0" bottom="0" percent="0" rank="0" text="" dxfId="1">
      <formula>0</formula>
    </cfRule>
    <cfRule type="cellIs" priority="1776" operator="lessThanOrEqual" aboveAverage="0" equalAverage="0" bottom="0" percent="0" rank="0" text="" dxfId="0">
      <formula>0</formula>
    </cfRule>
  </conditionalFormatting>
  <conditionalFormatting sqref="G597">
    <cfRule type="cellIs" priority="1777" operator="greaterThan" aboveAverage="0" equalAverage="0" bottom="0" percent="0" rank="0" text="" dxfId="10">
      <formula>e{r}</formula>
    </cfRule>
  </conditionalFormatting>
  <conditionalFormatting sqref="H598">
    <cfRule type="cellIs" priority="1778" operator="greaterThan" aboveAverage="0" equalAverage="0" bottom="0" percent="0" rank="0" text="" dxfId="1">
      <formula>0</formula>
    </cfRule>
    <cfRule type="cellIs" priority="1779" operator="lessThanOrEqual" aboveAverage="0" equalAverage="0" bottom="0" percent="0" rank="0" text="" dxfId="0">
      <formula>0</formula>
    </cfRule>
  </conditionalFormatting>
  <conditionalFormatting sqref="G598">
    <cfRule type="cellIs" priority="1780" operator="greaterThan" aboveAverage="0" equalAverage="0" bottom="0" percent="0" rank="0" text="" dxfId="10">
      <formula>e{r}</formula>
    </cfRule>
  </conditionalFormatting>
  <conditionalFormatting sqref="H599">
    <cfRule type="cellIs" priority="1781" operator="greaterThan" aboveAverage="0" equalAverage="0" bottom="0" percent="0" rank="0" text="" dxfId="1">
      <formula>0</formula>
    </cfRule>
    <cfRule type="cellIs" priority="1782" operator="lessThanOrEqual" aboveAverage="0" equalAverage="0" bottom="0" percent="0" rank="0" text="" dxfId="0">
      <formula>0</formula>
    </cfRule>
  </conditionalFormatting>
  <conditionalFormatting sqref="G599">
    <cfRule type="cellIs" priority="1783" operator="greaterThan" aboveAverage="0" equalAverage="0" bottom="0" percent="0" rank="0" text="" dxfId="10">
      <formula>e{r}</formula>
    </cfRule>
  </conditionalFormatting>
  <conditionalFormatting sqref="H600">
    <cfRule type="cellIs" priority="1784" operator="greaterThan" aboveAverage="0" equalAverage="0" bottom="0" percent="0" rank="0" text="" dxfId="1">
      <formula>0</formula>
    </cfRule>
    <cfRule type="cellIs" priority="1785" operator="lessThanOrEqual" aboveAverage="0" equalAverage="0" bottom="0" percent="0" rank="0" text="" dxfId="0">
      <formula>0</formula>
    </cfRule>
  </conditionalFormatting>
  <conditionalFormatting sqref="G600">
    <cfRule type="cellIs" priority="1786" operator="greaterThan" aboveAverage="0" equalAverage="0" bottom="0" percent="0" rank="0" text="" dxfId="10">
      <formula>e{r}</formula>
    </cfRule>
  </conditionalFormatting>
  <conditionalFormatting sqref="H601">
    <cfRule type="cellIs" priority="1787" operator="greaterThan" aboveAverage="0" equalAverage="0" bottom="0" percent="0" rank="0" text="" dxfId="1">
      <formula>0</formula>
    </cfRule>
    <cfRule type="cellIs" priority="1788" operator="lessThanOrEqual" aboveAverage="0" equalAverage="0" bottom="0" percent="0" rank="0" text="" dxfId="0">
      <formula>0</formula>
    </cfRule>
  </conditionalFormatting>
  <conditionalFormatting sqref="G601">
    <cfRule type="cellIs" priority="1789" operator="greaterThan" aboveAverage="0" equalAverage="0" bottom="0" percent="0" rank="0" text="" dxfId="10">
      <formula>e{r}</formula>
    </cfRule>
  </conditionalFormatting>
  <conditionalFormatting sqref="H602">
    <cfRule type="cellIs" priority="1790" operator="greaterThan" aboveAverage="0" equalAverage="0" bottom="0" percent="0" rank="0" text="" dxfId="1">
      <formula>0</formula>
    </cfRule>
    <cfRule type="cellIs" priority="1791" operator="lessThanOrEqual" aboveAverage="0" equalAverage="0" bottom="0" percent="0" rank="0" text="" dxfId="0">
      <formula>0</formula>
    </cfRule>
  </conditionalFormatting>
  <conditionalFormatting sqref="G602">
    <cfRule type="cellIs" priority="1792" operator="greaterThan" aboveAverage="0" equalAverage="0" bottom="0" percent="0" rank="0" text="" dxfId="10">
      <formula>e{r}</formula>
    </cfRule>
  </conditionalFormatting>
  <conditionalFormatting sqref="H603">
    <cfRule type="cellIs" priority="1793" operator="greaterThan" aboveAverage="0" equalAverage="0" bottom="0" percent="0" rank="0" text="" dxfId="1">
      <formula>0</formula>
    </cfRule>
    <cfRule type="cellIs" priority="1794" operator="lessThanOrEqual" aboveAverage="0" equalAverage="0" bottom="0" percent="0" rank="0" text="" dxfId="0">
      <formula>0</formula>
    </cfRule>
  </conditionalFormatting>
  <conditionalFormatting sqref="G603">
    <cfRule type="cellIs" priority="1795" operator="greaterThan" aboveAverage="0" equalAverage="0" bottom="0" percent="0" rank="0" text="" dxfId="10">
      <formula>e{r}</formula>
    </cfRule>
  </conditionalFormatting>
  <conditionalFormatting sqref="H604">
    <cfRule type="cellIs" priority="1796" operator="greaterThan" aboveAverage="0" equalAverage="0" bottom="0" percent="0" rank="0" text="" dxfId="1">
      <formula>0</formula>
    </cfRule>
    <cfRule type="cellIs" priority="1797" operator="lessThanOrEqual" aboveAverage="0" equalAverage="0" bottom="0" percent="0" rank="0" text="" dxfId="0">
      <formula>0</formula>
    </cfRule>
  </conditionalFormatting>
  <conditionalFormatting sqref="G604">
    <cfRule type="cellIs" priority="1798" operator="greaterThan" aboveAverage="0" equalAverage="0" bottom="0" percent="0" rank="0" text="" dxfId="10">
      <formula>e{r}</formula>
    </cfRule>
  </conditionalFormatting>
  <conditionalFormatting sqref="H605">
    <cfRule type="cellIs" priority="1799" operator="greaterThan" aboveAverage="0" equalAverage="0" bottom="0" percent="0" rank="0" text="" dxfId="1">
      <formula>0</formula>
    </cfRule>
    <cfRule type="cellIs" priority="1800" operator="lessThanOrEqual" aboveAverage="0" equalAverage="0" bottom="0" percent="0" rank="0" text="" dxfId="0">
      <formula>0</formula>
    </cfRule>
  </conditionalFormatting>
  <conditionalFormatting sqref="G605">
    <cfRule type="cellIs" priority="1801" operator="greaterThan" aboveAverage="0" equalAverage="0" bottom="0" percent="0" rank="0" text="" dxfId="10">
      <formula>e{r}</formula>
    </cfRule>
  </conditionalFormatting>
  <conditionalFormatting sqref="H606">
    <cfRule type="cellIs" priority="1802" operator="greaterThan" aboveAverage="0" equalAverage="0" bottom="0" percent="0" rank="0" text="" dxfId="1">
      <formula>0</formula>
    </cfRule>
    <cfRule type="cellIs" priority="1803" operator="lessThanOrEqual" aboveAverage="0" equalAverage="0" bottom="0" percent="0" rank="0" text="" dxfId="0">
      <formula>0</formula>
    </cfRule>
  </conditionalFormatting>
  <conditionalFormatting sqref="G606">
    <cfRule type="cellIs" priority="1804" operator="greaterThan" aboveAverage="0" equalAverage="0" bottom="0" percent="0" rank="0" text="" dxfId="10">
      <formula>e{r}</formula>
    </cfRule>
  </conditionalFormatting>
  <conditionalFormatting sqref="H607">
    <cfRule type="cellIs" priority="1805" operator="greaterThan" aboveAverage="0" equalAverage="0" bottom="0" percent="0" rank="0" text="" dxfId="1">
      <formula>0</formula>
    </cfRule>
    <cfRule type="cellIs" priority="1806" operator="lessThanOrEqual" aboveAverage="0" equalAverage="0" bottom="0" percent="0" rank="0" text="" dxfId="0">
      <formula>0</formula>
    </cfRule>
  </conditionalFormatting>
  <conditionalFormatting sqref="G607">
    <cfRule type="cellIs" priority="1807" operator="greaterThan" aboveAverage="0" equalAverage="0" bottom="0" percent="0" rank="0" text="" dxfId="10">
      <formula>e{r}</formula>
    </cfRule>
  </conditionalFormatting>
  <conditionalFormatting sqref="H608">
    <cfRule type="cellIs" priority="1808" operator="greaterThan" aboveAverage="0" equalAverage="0" bottom="0" percent="0" rank="0" text="" dxfId="1">
      <formula>0</formula>
    </cfRule>
    <cfRule type="cellIs" priority="1809" operator="lessThanOrEqual" aboveAverage="0" equalAverage="0" bottom="0" percent="0" rank="0" text="" dxfId="0">
      <formula>0</formula>
    </cfRule>
  </conditionalFormatting>
  <conditionalFormatting sqref="G608">
    <cfRule type="cellIs" priority="1810" operator="greaterThan" aboveAverage="0" equalAverage="0" bottom="0" percent="0" rank="0" text="" dxfId="10">
      <formula>e{r}</formula>
    </cfRule>
  </conditionalFormatting>
  <conditionalFormatting sqref="H609">
    <cfRule type="cellIs" priority="1811" operator="greaterThan" aboveAverage="0" equalAverage="0" bottom="0" percent="0" rank="0" text="" dxfId="1">
      <formula>0</formula>
    </cfRule>
    <cfRule type="cellIs" priority="1812" operator="lessThanOrEqual" aboveAverage="0" equalAverage="0" bottom="0" percent="0" rank="0" text="" dxfId="0">
      <formula>0</formula>
    </cfRule>
  </conditionalFormatting>
  <conditionalFormatting sqref="G609">
    <cfRule type="cellIs" priority="1813" operator="greaterThan" aboveAverage="0" equalAverage="0" bottom="0" percent="0" rank="0" text="" dxfId="10">
      <formula>e{r}</formula>
    </cfRule>
  </conditionalFormatting>
  <conditionalFormatting sqref="H610">
    <cfRule type="cellIs" priority="1814" operator="greaterThan" aboveAverage="0" equalAverage="0" bottom="0" percent="0" rank="0" text="" dxfId="1">
      <formula>0</formula>
    </cfRule>
    <cfRule type="cellIs" priority="1815" operator="lessThanOrEqual" aboveAverage="0" equalAverage="0" bottom="0" percent="0" rank="0" text="" dxfId="0">
      <formula>0</formula>
    </cfRule>
  </conditionalFormatting>
  <conditionalFormatting sqref="G610">
    <cfRule type="cellIs" priority="1816" operator="greaterThan" aboveAverage="0" equalAverage="0" bottom="0" percent="0" rank="0" text="" dxfId="10">
      <formula>e{r}</formula>
    </cfRule>
  </conditionalFormatting>
  <conditionalFormatting sqref="H611">
    <cfRule type="cellIs" priority="1817" operator="greaterThan" aboveAverage="0" equalAverage="0" bottom="0" percent="0" rank="0" text="" dxfId="1">
      <formula>0</formula>
    </cfRule>
    <cfRule type="cellIs" priority="1818" operator="lessThanOrEqual" aboveAverage="0" equalAverage="0" bottom="0" percent="0" rank="0" text="" dxfId="0">
      <formula>0</formula>
    </cfRule>
  </conditionalFormatting>
  <conditionalFormatting sqref="G611">
    <cfRule type="cellIs" priority="1819" operator="greaterThan" aboveAverage="0" equalAverage="0" bottom="0" percent="0" rank="0" text="" dxfId="10">
      <formula>e{r}</formula>
    </cfRule>
  </conditionalFormatting>
  <conditionalFormatting sqref="H612">
    <cfRule type="cellIs" priority="1820" operator="greaterThan" aboveAverage="0" equalAverage="0" bottom="0" percent="0" rank="0" text="" dxfId="1">
      <formula>0</formula>
    </cfRule>
    <cfRule type="cellIs" priority="1821" operator="lessThanOrEqual" aboveAverage="0" equalAverage="0" bottom="0" percent="0" rank="0" text="" dxfId="0">
      <formula>0</formula>
    </cfRule>
  </conditionalFormatting>
  <conditionalFormatting sqref="G612">
    <cfRule type="cellIs" priority="1822" operator="greaterThan" aboveAverage="0" equalAverage="0" bottom="0" percent="0" rank="0" text="" dxfId="10">
      <formula>e{r}</formula>
    </cfRule>
  </conditionalFormatting>
  <conditionalFormatting sqref="H613">
    <cfRule type="cellIs" priority="1823" operator="greaterThan" aboveAverage="0" equalAverage="0" bottom="0" percent="0" rank="0" text="" dxfId="1">
      <formula>0</formula>
    </cfRule>
    <cfRule type="cellIs" priority="1824" operator="lessThanOrEqual" aboveAverage="0" equalAverage="0" bottom="0" percent="0" rank="0" text="" dxfId="0">
      <formula>0</formula>
    </cfRule>
  </conditionalFormatting>
  <conditionalFormatting sqref="G613">
    <cfRule type="cellIs" priority="1825" operator="greaterThan" aboveAverage="0" equalAverage="0" bottom="0" percent="0" rank="0" text="" dxfId="10">
      <formula>e{r}</formula>
    </cfRule>
  </conditionalFormatting>
  <conditionalFormatting sqref="H614">
    <cfRule type="cellIs" priority="1826" operator="greaterThan" aboveAverage="0" equalAverage="0" bottom="0" percent="0" rank="0" text="" dxfId="1">
      <formula>0</formula>
    </cfRule>
    <cfRule type="cellIs" priority="1827" operator="lessThanOrEqual" aboveAverage="0" equalAverage="0" bottom="0" percent="0" rank="0" text="" dxfId="0">
      <formula>0</formula>
    </cfRule>
  </conditionalFormatting>
  <conditionalFormatting sqref="G614">
    <cfRule type="cellIs" priority="1828" operator="greaterThan" aboveAverage="0" equalAverage="0" bottom="0" percent="0" rank="0" text="" dxfId="10">
      <formula>e{r}</formula>
    </cfRule>
  </conditionalFormatting>
  <conditionalFormatting sqref="H615">
    <cfRule type="cellIs" priority="1829" operator="greaterThan" aboveAverage="0" equalAverage="0" bottom="0" percent="0" rank="0" text="" dxfId="1">
      <formula>0</formula>
    </cfRule>
    <cfRule type="cellIs" priority="1830" operator="lessThanOrEqual" aboveAverage="0" equalAverage="0" bottom="0" percent="0" rank="0" text="" dxfId="0">
      <formula>0</formula>
    </cfRule>
  </conditionalFormatting>
  <conditionalFormatting sqref="G615">
    <cfRule type="cellIs" priority="1831" operator="greaterThan" aboveAverage="0" equalAverage="0" bottom="0" percent="0" rank="0" text="" dxfId="10">
      <formula>e{r}</formula>
    </cfRule>
  </conditionalFormatting>
  <conditionalFormatting sqref="H616">
    <cfRule type="cellIs" priority="1832" operator="greaterThan" aboveAverage="0" equalAverage="0" bottom="0" percent="0" rank="0" text="" dxfId="1">
      <formula>0</formula>
    </cfRule>
    <cfRule type="cellIs" priority="1833" operator="lessThanOrEqual" aboveAverage="0" equalAverage="0" bottom="0" percent="0" rank="0" text="" dxfId="0">
      <formula>0</formula>
    </cfRule>
  </conditionalFormatting>
  <conditionalFormatting sqref="G616">
    <cfRule type="cellIs" priority="1834" operator="greaterThan" aboveAverage="0" equalAverage="0" bottom="0" percent="0" rank="0" text="" dxfId="10">
      <formula>e{r}</formula>
    </cfRule>
  </conditionalFormatting>
  <conditionalFormatting sqref="H617">
    <cfRule type="cellIs" priority="1835" operator="greaterThan" aboveAverage="0" equalAverage="0" bottom="0" percent="0" rank="0" text="" dxfId="1">
      <formula>0</formula>
    </cfRule>
    <cfRule type="cellIs" priority="1836" operator="lessThanOrEqual" aboveAverage="0" equalAverage="0" bottom="0" percent="0" rank="0" text="" dxfId="0">
      <formula>0</formula>
    </cfRule>
  </conditionalFormatting>
  <conditionalFormatting sqref="G617">
    <cfRule type="cellIs" priority="1837" operator="greaterThan" aboveAverage="0" equalAverage="0" bottom="0" percent="0" rank="0" text="" dxfId="10">
      <formula>e{r}</formula>
    </cfRule>
  </conditionalFormatting>
  <conditionalFormatting sqref="H618">
    <cfRule type="cellIs" priority="1838" operator="greaterThan" aboveAverage="0" equalAverage="0" bottom="0" percent="0" rank="0" text="" dxfId="1">
      <formula>0</formula>
    </cfRule>
    <cfRule type="cellIs" priority="1839" operator="lessThanOrEqual" aboveAverage="0" equalAverage="0" bottom="0" percent="0" rank="0" text="" dxfId="0">
      <formula>0</formula>
    </cfRule>
  </conditionalFormatting>
  <conditionalFormatting sqref="G618">
    <cfRule type="cellIs" priority="1840" operator="greaterThan" aboveAverage="0" equalAverage="0" bottom="0" percent="0" rank="0" text="" dxfId="10">
      <formula>e{r}</formula>
    </cfRule>
  </conditionalFormatting>
  <conditionalFormatting sqref="H619">
    <cfRule type="cellIs" priority="1841" operator="greaterThan" aboveAverage="0" equalAverage="0" bottom="0" percent="0" rank="0" text="" dxfId="1">
      <formula>0</formula>
    </cfRule>
    <cfRule type="cellIs" priority="1842" operator="lessThanOrEqual" aboveAverage="0" equalAverage="0" bottom="0" percent="0" rank="0" text="" dxfId="0">
      <formula>0</formula>
    </cfRule>
  </conditionalFormatting>
  <conditionalFormatting sqref="G619">
    <cfRule type="cellIs" priority="1843" operator="greaterThan" aboveAverage="0" equalAverage="0" bottom="0" percent="0" rank="0" text="" dxfId="10">
      <formula>e{r}</formula>
    </cfRule>
  </conditionalFormatting>
  <conditionalFormatting sqref="H620">
    <cfRule type="cellIs" priority="1844" operator="greaterThan" aboveAverage="0" equalAverage="0" bottom="0" percent="0" rank="0" text="" dxfId="1">
      <formula>0</formula>
    </cfRule>
    <cfRule type="cellIs" priority="1845" operator="lessThanOrEqual" aboveAverage="0" equalAverage="0" bottom="0" percent="0" rank="0" text="" dxfId="0">
      <formula>0</formula>
    </cfRule>
  </conditionalFormatting>
  <conditionalFormatting sqref="G620">
    <cfRule type="cellIs" priority="1846" operator="greaterThan" aboveAverage="0" equalAverage="0" bottom="0" percent="0" rank="0" text="" dxfId="10">
      <formula>e{r}</formula>
    </cfRule>
  </conditionalFormatting>
  <conditionalFormatting sqref="H621">
    <cfRule type="cellIs" priority="1847" operator="greaterThan" aboveAverage="0" equalAverage="0" bottom="0" percent="0" rank="0" text="" dxfId="1">
      <formula>0</formula>
    </cfRule>
    <cfRule type="cellIs" priority="1848" operator="lessThanOrEqual" aboveAverage="0" equalAverage="0" bottom="0" percent="0" rank="0" text="" dxfId="0">
      <formula>0</formula>
    </cfRule>
  </conditionalFormatting>
  <conditionalFormatting sqref="G621">
    <cfRule type="cellIs" priority="1849" operator="greaterThan" aboveAverage="0" equalAverage="0" bottom="0" percent="0" rank="0" text="" dxfId="10">
      <formula>e{r}</formula>
    </cfRule>
  </conditionalFormatting>
  <conditionalFormatting sqref="H622">
    <cfRule type="cellIs" priority="1850" operator="greaterThan" aboveAverage="0" equalAverage="0" bottom="0" percent="0" rank="0" text="" dxfId="1">
      <formula>0</formula>
    </cfRule>
    <cfRule type="cellIs" priority="1851" operator="lessThanOrEqual" aboveAverage="0" equalAverage="0" bottom="0" percent="0" rank="0" text="" dxfId="0">
      <formula>0</formula>
    </cfRule>
  </conditionalFormatting>
  <conditionalFormatting sqref="G622">
    <cfRule type="cellIs" priority="1852" operator="greaterThan" aboveAverage="0" equalAverage="0" bottom="0" percent="0" rank="0" text="" dxfId="10">
      <formula>e{r}</formula>
    </cfRule>
  </conditionalFormatting>
  <conditionalFormatting sqref="H623">
    <cfRule type="cellIs" priority="1853" operator="greaterThan" aboveAverage="0" equalAverage="0" bottom="0" percent="0" rank="0" text="" dxfId="1">
      <formula>0</formula>
    </cfRule>
    <cfRule type="cellIs" priority="1854" operator="lessThanOrEqual" aboveAverage="0" equalAverage="0" bottom="0" percent="0" rank="0" text="" dxfId="0">
      <formula>0</formula>
    </cfRule>
  </conditionalFormatting>
  <conditionalFormatting sqref="G623">
    <cfRule type="cellIs" priority="1855" operator="greaterThan" aboveAverage="0" equalAverage="0" bottom="0" percent="0" rank="0" text="" dxfId="10">
      <formula>e{r}</formula>
    </cfRule>
  </conditionalFormatting>
  <conditionalFormatting sqref="H624">
    <cfRule type="cellIs" priority="1856" operator="greaterThan" aboveAverage="0" equalAverage="0" bottom="0" percent="0" rank="0" text="" dxfId="1">
      <formula>0</formula>
    </cfRule>
    <cfRule type="cellIs" priority="1857" operator="lessThanOrEqual" aboveAverage="0" equalAverage="0" bottom="0" percent="0" rank="0" text="" dxfId="0">
      <formula>0</formula>
    </cfRule>
  </conditionalFormatting>
  <conditionalFormatting sqref="G624">
    <cfRule type="cellIs" priority="1858" operator="greaterThan" aboveAverage="0" equalAverage="0" bottom="0" percent="0" rank="0" text="" dxfId="10">
      <formula>e{r}</formula>
    </cfRule>
  </conditionalFormatting>
  <conditionalFormatting sqref="H625">
    <cfRule type="cellIs" priority="1859" operator="greaterThan" aboveAverage="0" equalAverage="0" bottom="0" percent="0" rank="0" text="" dxfId="1">
      <formula>0</formula>
    </cfRule>
    <cfRule type="cellIs" priority="1860" operator="lessThanOrEqual" aboveAverage="0" equalAverage="0" bottom="0" percent="0" rank="0" text="" dxfId="0">
      <formula>0</formula>
    </cfRule>
  </conditionalFormatting>
  <conditionalFormatting sqref="G625">
    <cfRule type="cellIs" priority="1861" operator="greaterThan" aboveAverage="0" equalAverage="0" bottom="0" percent="0" rank="0" text="" dxfId="10">
      <formula>e{r}</formula>
    </cfRule>
  </conditionalFormatting>
  <conditionalFormatting sqref="H626">
    <cfRule type="cellIs" priority="1862" operator="greaterThan" aboveAverage="0" equalAverage="0" bottom="0" percent="0" rank="0" text="" dxfId="1">
      <formula>0</formula>
    </cfRule>
    <cfRule type="cellIs" priority="1863" operator="lessThanOrEqual" aboveAverage="0" equalAverage="0" bottom="0" percent="0" rank="0" text="" dxfId="0">
      <formula>0</formula>
    </cfRule>
  </conditionalFormatting>
  <conditionalFormatting sqref="G626">
    <cfRule type="cellIs" priority="1864" operator="greaterThan" aboveAverage="0" equalAverage="0" bottom="0" percent="0" rank="0" text="" dxfId="10">
      <formula>e{r}</formula>
    </cfRule>
  </conditionalFormatting>
  <conditionalFormatting sqref="H627">
    <cfRule type="cellIs" priority="1865" operator="greaterThan" aboveAverage="0" equalAverage="0" bottom="0" percent="0" rank="0" text="" dxfId="1">
      <formula>0</formula>
    </cfRule>
    <cfRule type="cellIs" priority="1866" operator="lessThanOrEqual" aboveAverage="0" equalAverage="0" bottom="0" percent="0" rank="0" text="" dxfId="0">
      <formula>0</formula>
    </cfRule>
  </conditionalFormatting>
  <conditionalFormatting sqref="G627">
    <cfRule type="cellIs" priority="1867" operator="greaterThan" aboveAverage="0" equalAverage="0" bottom="0" percent="0" rank="0" text="" dxfId="10">
      <formula>e{r}</formula>
    </cfRule>
  </conditionalFormatting>
  <conditionalFormatting sqref="H628">
    <cfRule type="cellIs" priority="1868" operator="greaterThan" aboveAverage="0" equalAverage="0" bottom="0" percent="0" rank="0" text="" dxfId="1">
      <formula>0</formula>
    </cfRule>
    <cfRule type="cellIs" priority="1869" operator="lessThanOrEqual" aboveAverage="0" equalAverage="0" bottom="0" percent="0" rank="0" text="" dxfId="0">
      <formula>0</formula>
    </cfRule>
  </conditionalFormatting>
  <conditionalFormatting sqref="G628">
    <cfRule type="cellIs" priority="1870" operator="greaterThan" aboveAverage="0" equalAverage="0" bottom="0" percent="0" rank="0" text="" dxfId="10">
      <formula>e{r}</formula>
    </cfRule>
  </conditionalFormatting>
  <conditionalFormatting sqref="H629">
    <cfRule type="cellIs" priority="1871" operator="greaterThan" aboveAverage="0" equalAverage="0" bottom="0" percent="0" rank="0" text="" dxfId="1">
      <formula>0</formula>
    </cfRule>
    <cfRule type="cellIs" priority="1872" operator="lessThanOrEqual" aboveAverage="0" equalAverage="0" bottom="0" percent="0" rank="0" text="" dxfId="0">
      <formula>0</formula>
    </cfRule>
  </conditionalFormatting>
  <conditionalFormatting sqref="G629">
    <cfRule type="cellIs" priority="1873" operator="greaterThan" aboveAverage="0" equalAverage="0" bottom="0" percent="0" rank="0" text="" dxfId="10">
      <formula>e{r}</formula>
    </cfRule>
  </conditionalFormatting>
  <conditionalFormatting sqref="H630">
    <cfRule type="cellIs" priority="1874" operator="greaterThan" aboveAverage="0" equalAverage="0" bottom="0" percent="0" rank="0" text="" dxfId="1">
      <formula>0</formula>
    </cfRule>
    <cfRule type="cellIs" priority="1875" operator="lessThanOrEqual" aboveAverage="0" equalAverage="0" bottom="0" percent="0" rank="0" text="" dxfId="0">
      <formula>0</formula>
    </cfRule>
  </conditionalFormatting>
  <conditionalFormatting sqref="G630">
    <cfRule type="cellIs" priority="1876" operator="greaterThan" aboveAverage="0" equalAverage="0" bottom="0" percent="0" rank="0" text="" dxfId="10">
      <formula>e{r}</formula>
    </cfRule>
  </conditionalFormatting>
  <conditionalFormatting sqref="H631">
    <cfRule type="cellIs" priority="1877" operator="greaterThan" aboveAverage="0" equalAverage="0" bottom="0" percent="0" rank="0" text="" dxfId="1">
      <formula>0</formula>
    </cfRule>
    <cfRule type="cellIs" priority="1878" operator="lessThanOrEqual" aboveAverage="0" equalAverage="0" bottom="0" percent="0" rank="0" text="" dxfId="0">
      <formula>0</formula>
    </cfRule>
  </conditionalFormatting>
  <conditionalFormatting sqref="G631">
    <cfRule type="cellIs" priority="1879" operator="greaterThan" aboveAverage="0" equalAverage="0" bottom="0" percent="0" rank="0" text="" dxfId="10">
      <formula>e{r}</formula>
    </cfRule>
  </conditionalFormatting>
  <conditionalFormatting sqref="H632">
    <cfRule type="cellIs" priority="1880" operator="greaterThan" aboveAverage="0" equalAverage="0" bottom="0" percent="0" rank="0" text="" dxfId="1">
      <formula>0</formula>
    </cfRule>
    <cfRule type="cellIs" priority="1881" operator="lessThanOrEqual" aboveAverage="0" equalAverage="0" bottom="0" percent="0" rank="0" text="" dxfId="0">
      <formula>0</formula>
    </cfRule>
  </conditionalFormatting>
  <conditionalFormatting sqref="G632">
    <cfRule type="cellIs" priority="1882" operator="greaterThan" aboveAverage="0" equalAverage="0" bottom="0" percent="0" rank="0" text="" dxfId="10">
      <formula>e{r}</formula>
    </cfRule>
  </conditionalFormatting>
  <conditionalFormatting sqref="H633">
    <cfRule type="cellIs" priority="1883" operator="greaterThan" aboveAverage="0" equalAverage="0" bottom="0" percent="0" rank="0" text="" dxfId="1">
      <formula>0</formula>
    </cfRule>
    <cfRule type="cellIs" priority="1884" operator="lessThanOrEqual" aboveAverage="0" equalAverage="0" bottom="0" percent="0" rank="0" text="" dxfId="0">
      <formula>0</formula>
    </cfRule>
  </conditionalFormatting>
  <conditionalFormatting sqref="G633">
    <cfRule type="cellIs" priority="1885" operator="greaterThan" aboveAverage="0" equalAverage="0" bottom="0" percent="0" rank="0" text="" dxfId="10">
      <formula>e{r}</formula>
    </cfRule>
  </conditionalFormatting>
  <conditionalFormatting sqref="H634">
    <cfRule type="cellIs" priority="1886" operator="greaterThan" aboveAverage="0" equalAverage="0" bottom="0" percent="0" rank="0" text="" dxfId="1">
      <formula>0</formula>
    </cfRule>
    <cfRule type="cellIs" priority="1887" operator="lessThanOrEqual" aboveAverage="0" equalAverage="0" bottom="0" percent="0" rank="0" text="" dxfId="0">
      <formula>0</formula>
    </cfRule>
  </conditionalFormatting>
  <conditionalFormatting sqref="G634">
    <cfRule type="cellIs" priority="1888" operator="greaterThan" aboveAverage="0" equalAverage="0" bottom="0" percent="0" rank="0" text="" dxfId="10">
      <formula>e{r}</formula>
    </cfRule>
  </conditionalFormatting>
  <conditionalFormatting sqref="H635">
    <cfRule type="cellIs" priority="1889" operator="greaterThan" aboveAverage="0" equalAverage="0" bottom="0" percent="0" rank="0" text="" dxfId="1">
      <formula>0</formula>
    </cfRule>
    <cfRule type="cellIs" priority="1890" operator="lessThanOrEqual" aboveAverage="0" equalAverage="0" bottom="0" percent="0" rank="0" text="" dxfId="0">
      <formula>0</formula>
    </cfRule>
  </conditionalFormatting>
  <conditionalFormatting sqref="G635">
    <cfRule type="cellIs" priority="1891" operator="greaterThan" aboveAverage="0" equalAverage="0" bottom="0" percent="0" rank="0" text="" dxfId="10">
      <formula>e{r}</formula>
    </cfRule>
  </conditionalFormatting>
  <conditionalFormatting sqref="H636">
    <cfRule type="cellIs" priority="1892" operator="greaterThan" aboveAverage="0" equalAverage="0" bottom="0" percent="0" rank="0" text="" dxfId="1">
      <formula>0</formula>
    </cfRule>
    <cfRule type="cellIs" priority="1893" operator="lessThanOrEqual" aboveAverage="0" equalAverage="0" bottom="0" percent="0" rank="0" text="" dxfId="0">
      <formula>0</formula>
    </cfRule>
  </conditionalFormatting>
  <conditionalFormatting sqref="G636">
    <cfRule type="cellIs" priority="1894" operator="greaterThan" aboveAverage="0" equalAverage="0" bottom="0" percent="0" rank="0" text="" dxfId="10">
      <formula>e{r}</formula>
    </cfRule>
  </conditionalFormatting>
  <conditionalFormatting sqref="H637">
    <cfRule type="cellIs" priority="1895" operator="greaterThan" aboveAverage="0" equalAverage="0" bottom="0" percent="0" rank="0" text="" dxfId="1">
      <formula>0</formula>
    </cfRule>
    <cfRule type="cellIs" priority="1896" operator="lessThanOrEqual" aboveAverage="0" equalAverage="0" bottom="0" percent="0" rank="0" text="" dxfId="0">
      <formula>0</formula>
    </cfRule>
  </conditionalFormatting>
  <conditionalFormatting sqref="G637">
    <cfRule type="cellIs" priority="1897" operator="greaterThan" aboveAverage="0" equalAverage="0" bottom="0" percent="0" rank="0" text="" dxfId="10">
      <formula>e{r}</formula>
    </cfRule>
  </conditionalFormatting>
  <conditionalFormatting sqref="H638">
    <cfRule type="cellIs" priority="1898" operator="greaterThan" aboveAverage="0" equalAverage="0" bottom="0" percent="0" rank="0" text="" dxfId="1">
      <formula>0</formula>
    </cfRule>
    <cfRule type="cellIs" priority="1899" operator="lessThanOrEqual" aboveAverage="0" equalAverage="0" bottom="0" percent="0" rank="0" text="" dxfId="0">
      <formula>0</formula>
    </cfRule>
  </conditionalFormatting>
  <conditionalFormatting sqref="G638">
    <cfRule type="cellIs" priority="1900" operator="greaterThan" aboveAverage="0" equalAverage="0" bottom="0" percent="0" rank="0" text="" dxfId="10">
      <formula>e{r}</formula>
    </cfRule>
  </conditionalFormatting>
  <conditionalFormatting sqref="H639">
    <cfRule type="cellIs" priority="1901" operator="greaterThan" aboveAverage="0" equalAverage="0" bottom="0" percent="0" rank="0" text="" dxfId="1">
      <formula>0</formula>
    </cfRule>
    <cfRule type="cellIs" priority="1902" operator="lessThanOrEqual" aboveAverage="0" equalAverage="0" bottom="0" percent="0" rank="0" text="" dxfId="0">
      <formula>0</formula>
    </cfRule>
  </conditionalFormatting>
  <conditionalFormatting sqref="G639">
    <cfRule type="cellIs" priority="1903" operator="greaterThan" aboveAverage="0" equalAverage="0" bottom="0" percent="0" rank="0" text="" dxfId="10">
      <formula>e{r}</formula>
    </cfRule>
  </conditionalFormatting>
  <conditionalFormatting sqref="H640">
    <cfRule type="cellIs" priority="1904" operator="greaterThan" aboveAverage="0" equalAverage="0" bottom="0" percent="0" rank="0" text="" dxfId="1">
      <formula>0</formula>
    </cfRule>
    <cfRule type="cellIs" priority="1905" operator="lessThanOrEqual" aboveAverage="0" equalAverage="0" bottom="0" percent="0" rank="0" text="" dxfId="0">
      <formula>0</formula>
    </cfRule>
  </conditionalFormatting>
  <conditionalFormatting sqref="G640">
    <cfRule type="cellIs" priority="1906" operator="greaterThan" aboveAverage="0" equalAverage="0" bottom="0" percent="0" rank="0" text="" dxfId="10">
      <formula>e{r}</formula>
    </cfRule>
  </conditionalFormatting>
  <conditionalFormatting sqref="H641">
    <cfRule type="cellIs" priority="1907" operator="greaterThan" aboveAverage="0" equalAverage="0" bottom="0" percent="0" rank="0" text="" dxfId="1">
      <formula>0</formula>
    </cfRule>
    <cfRule type="cellIs" priority="1908" operator="lessThanOrEqual" aboveAverage="0" equalAverage="0" bottom="0" percent="0" rank="0" text="" dxfId="0">
      <formula>0</formula>
    </cfRule>
  </conditionalFormatting>
  <conditionalFormatting sqref="G641">
    <cfRule type="cellIs" priority="1909" operator="greaterThan" aboveAverage="0" equalAverage="0" bottom="0" percent="0" rank="0" text="" dxfId="10">
      <formula>e{r}</formula>
    </cfRule>
  </conditionalFormatting>
  <conditionalFormatting sqref="H642">
    <cfRule type="cellIs" priority="1910" operator="greaterThan" aboveAverage="0" equalAverage="0" bottom="0" percent="0" rank="0" text="" dxfId="1">
      <formula>0</formula>
    </cfRule>
    <cfRule type="cellIs" priority="1911" operator="lessThanOrEqual" aboveAverage="0" equalAverage="0" bottom="0" percent="0" rank="0" text="" dxfId="0">
      <formula>0</formula>
    </cfRule>
  </conditionalFormatting>
  <conditionalFormatting sqref="G642">
    <cfRule type="cellIs" priority="1912" operator="greaterThan" aboveAverage="0" equalAverage="0" bottom="0" percent="0" rank="0" text="" dxfId="10">
      <formula>e{r}</formula>
    </cfRule>
  </conditionalFormatting>
  <conditionalFormatting sqref="H643">
    <cfRule type="cellIs" priority="1913" operator="greaterThan" aboveAverage="0" equalAverage="0" bottom="0" percent="0" rank="0" text="" dxfId="1">
      <formula>0</formula>
    </cfRule>
    <cfRule type="cellIs" priority="1914" operator="lessThanOrEqual" aboveAverage="0" equalAverage="0" bottom="0" percent="0" rank="0" text="" dxfId="0">
      <formula>0</formula>
    </cfRule>
  </conditionalFormatting>
  <conditionalFormatting sqref="G643">
    <cfRule type="cellIs" priority="1915" operator="greaterThan" aboveAverage="0" equalAverage="0" bottom="0" percent="0" rank="0" text="" dxfId="10">
      <formula>e{r}</formula>
    </cfRule>
  </conditionalFormatting>
  <conditionalFormatting sqref="H644">
    <cfRule type="cellIs" priority="1916" operator="greaterThan" aboveAverage="0" equalAverage="0" bottom="0" percent="0" rank="0" text="" dxfId="1">
      <formula>0</formula>
    </cfRule>
    <cfRule type="cellIs" priority="1917" operator="lessThanOrEqual" aboveAverage="0" equalAverage="0" bottom="0" percent="0" rank="0" text="" dxfId="0">
      <formula>0</formula>
    </cfRule>
  </conditionalFormatting>
  <conditionalFormatting sqref="G644">
    <cfRule type="cellIs" priority="1918" operator="greaterThan" aboveAverage="0" equalAverage="0" bottom="0" percent="0" rank="0" text="" dxfId="10">
      <formula>e{r}</formula>
    </cfRule>
  </conditionalFormatting>
  <conditionalFormatting sqref="H645">
    <cfRule type="cellIs" priority="1919" operator="greaterThan" aboveAverage="0" equalAverage="0" bottom="0" percent="0" rank="0" text="" dxfId="1">
      <formula>0</formula>
    </cfRule>
    <cfRule type="cellIs" priority="1920" operator="lessThanOrEqual" aboveAverage="0" equalAverage="0" bottom="0" percent="0" rank="0" text="" dxfId="0">
      <formula>0</formula>
    </cfRule>
  </conditionalFormatting>
  <conditionalFormatting sqref="G645">
    <cfRule type="cellIs" priority="1921" operator="greaterThan" aboveAverage="0" equalAverage="0" bottom="0" percent="0" rank="0" text="" dxfId="10">
      <formula>e{r}</formula>
    </cfRule>
  </conditionalFormatting>
  <conditionalFormatting sqref="H646">
    <cfRule type="cellIs" priority="1922" operator="greaterThan" aboveAverage="0" equalAverage="0" bottom="0" percent="0" rank="0" text="" dxfId="1">
      <formula>0</formula>
    </cfRule>
    <cfRule type="cellIs" priority="1923" operator="lessThanOrEqual" aboveAverage="0" equalAverage="0" bottom="0" percent="0" rank="0" text="" dxfId="0">
      <formula>0</formula>
    </cfRule>
  </conditionalFormatting>
  <conditionalFormatting sqref="G646">
    <cfRule type="cellIs" priority="1924" operator="greaterThan" aboveAverage="0" equalAverage="0" bottom="0" percent="0" rank="0" text="" dxfId="10">
      <formula>e{r}</formula>
    </cfRule>
  </conditionalFormatting>
  <conditionalFormatting sqref="H647">
    <cfRule type="cellIs" priority="1925" operator="greaterThan" aboveAverage="0" equalAverage="0" bottom="0" percent="0" rank="0" text="" dxfId="1">
      <formula>0</formula>
    </cfRule>
    <cfRule type="cellIs" priority="1926" operator="lessThanOrEqual" aboveAverage="0" equalAverage="0" bottom="0" percent="0" rank="0" text="" dxfId="0">
      <formula>0</formula>
    </cfRule>
  </conditionalFormatting>
  <conditionalFormatting sqref="G647">
    <cfRule type="cellIs" priority="1927" operator="greaterThan" aboveAverage="0" equalAverage="0" bottom="0" percent="0" rank="0" text="" dxfId="10">
      <formula>e{r}</formula>
    </cfRule>
  </conditionalFormatting>
  <conditionalFormatting sqref="H648">
    <cfRule type="cellIs" priority="1928" operator="greaterThan" aboveAverage="0" equalAverage="0" bottom="0" percent="0" rank="0" text="" dxfId="1">
      <formula>0</formula>
    </cfRule>
    <cfRule type="cellIs" priority="1929" operator="lessThanOrEqual" aboveAverage="0" equalAverage="0" bottom="0" percent="0" rank="0" text="" dxfId="0">
      <formula>0</formula>
    </cfRule>
  </conditionalFormatting>
  <conditionalFormatting sqref="G648">
    <cfRule type="cellIs" priority="1930" operator="greaterThan" aboveAverage="0" equalAverage="0" bottom="0" percent="0" rank="0" text="" dxfId="10">
      <formula>e{r}</formula>
    </cfRule>
  </conditionalFormatting>
  <conditionalFormatting sqref="H649">
    <cfRule type="cellIs" priority="1931" operator="greaterThan" aboveAverage="0" equalAverage="0" bottom="0" percent="0" rank="0" text="" dxfId="1">
      <formula>0</formula>
    </cfRule>
    <cfRule type="cellIs" priority="1932" operator="lessThanOrEqual" aboveAverage="0" equalAverage="0" bottom="0" percent="0" rank="0" text="" dxfId="0">
      <formula>0</formula>
    </cfRule>
  </conditionalFormatting>
  <conditionalFormatting sqref="G649">
    <cfRule type="cellIs" priority="1933" operator="greaterThan" aboveAverage="0" equalAverage="0" bottom="0" percent="0" rank="0" text="" dxfId="10">
      <formula>e{r}</formula>
    </cfRule>
  </conditionalFormatting>
  <conditionalFormatting sqref="H650">
    <cfRule type="cellIs" priority="1934" operator="greaterThan" aboveAverage="0" equalAverage="0" bottom="0" percent="0" rank="0" text="" dxfId="1">
      <formula>0</formula>
    </cfRule>
    <cfRule type="cellIs" priority="1935" operator="lessThanOrEqual" aboveAverage="0" equalAverage="0" bottom="0" percent="0" rank="0" text="" dxfId="0">
      <formula>0</formula>
    </cfRule>
  </conditionalFormatting>
  <conditionalFormatting sqref="G650">
    <cfRule type="cellIs" priority="1936" operator="greaterThan" aboveAverage="0" equalAverage="0" bottom="0" percent="0" rank="0" text="" dxfId="10">
      <formula>e{r}</formula>
    </cfRule>
  </conditionalFormatting>
  <conditionalFormatting sqref="H651">
    <cfRule type="cellIs" priority="1937" operator="greaterThan" aboveAverage="0" equalAverage="0" bottom="0" percent="0" rank="0" text="" dxfId="1">
      <formula>0</formula>
    </cfRule>
    <cfRule type="cellIs" priority="1938" operator="lessThanOrEqual" aboveAverage="0" equalAverage="0" bottom="0" percent="0" rank="0" text="" dxfId="0">
      <formula>0</formula>
    </cfRule>
  </conditionalFormatting>
  <conditionalFormatting sqref="G651">
    <cfRule type="cellIs" priority="1939" operator="greaterThan" aboveAverage="0" equalAverage="0" bottom="0" percent="0" rank="0" text="" dxfId="10">
      <formula>e{r}</formula>
    </cfRule>
  </conditionalFormatting>
  <conditionalFormatting sqref="H652">
    <cfRule type="cellIs" priority="1940" operator="greaterThan" aboveAverage="0" equalAverage="0" bottom="0" percent="0" rank="0" text="" dxfId="1">
      <formula>0</formula>
    </cfRule>
    <cfRule type="cellIs" priority="1941" operator="lessThanOrEqual" aboveAverage="0" equalAverage="0" bottom="0" percent="0" rank="0" text="" dxfId="0">
      <formula>0</formula>
    </cfRule>
  </conditionalFormatting>
  <conditionalFormatting sqref="G652">
    <cfRule type="cellIs" priority="1942" operator="greaterThan" aboveAverage="0" equalAverage="0" bottom="0" percent="0" rank="0" text="" dxfId="10">
      <formula>e{r}</formula>
    </cfRule>
  </conditionalFormatting>
  <conditionalFormatting sqref="H653">
    <cfRule type="cellIs" priority="1943" operator="greaterThan" aboveAverage="0" equalAverage="0" bottom="0" percent="0" rank="0" text="" dxfId="1">
      <formula>0</formula>
    </cfRule>
    <cfRule type="cellIs" priority="1944" operator="lessThanOrEqual" aboveAverage="0" equalAverage="0" bottom="0" percent="0" rank="0" text="" dxfId="0">
      <formula>0</formula>
    </cfRule>
  </conditionalFormatting>
  <conditionalFormatting sqref="G653">
    <cfRule type="cellIs" priority="1945" operator="greaterThan" aboveAverage="0" equalAverage="0" bottom="0" percent="0" rank="0" text="" dxfId="10">
      <formula>e{r}</formula>
    </cfRule>
  </conditionalFormatting>
  <conditionalFormatting sqref="H654">
    <cfRule type="cellIs" priority="1946" operator="greaterThan" aboveAverage="0" equalAverage="0" bottom="0" percent="0" rank="0" text="" dxfId="1">
      <formula>0</formula>
    </cfRule>
    <cfRule type="cellIs" priority="1947" operator="lessThanOrEqual" aboveAverage="0" equalAverage="0" bottom="0" percent="0" rank="0" text="" dxfId="0">
      <formula>0</formula>
    </cfRule>
  </conditionalFormatting>
  <conditionalFormatting sqref="G654">
    <cfRule type="cellIs" priority="1948" operator="greaterThan" aboveAverage="0" equalAverage="0" bottom="0" percent="0" rank="0" text="" dxfId="10">
      <formula>e{r}</formula>
    </cfRule>
  </conditionalFormatting>
  <conditionalFormatting sqref="H655">
    <cfRule type="cellIs" priority="1949" operator="greaterThan" aboveAverage="0" equalAverage="0" bottom="0" percent="0" rank="0" text="" dxfId="1">
      <formula>0</formula>
    </cfRule>
    <cfRule type="cellIs" priority="1950" operator="lessThanOrEqual" aboveAverage="0" equalAverage="0" bottom="0" percent="0" rank="0" text="" dxfId="0">
      <formula>0</formula>
    </cfRule>
  </conditionalFormatting>
  <conditionalFormatting sqref="G655">
    <cfRule type="cellIs" priority="1951" operator="greaterThan" aboveAverage="0" equalAverage="0" bottom="0" percent="0" rank="0" text="" dxfId="10">
      <formula>e{r}</formula>
    </cfRule>
  </conditionalFormatting>
  <conditionalFormatting sqref="H656">
    <cfRule type="cellIs" priority="1952" operator="greaterThan" aboveAverage="0" equalAverage="0" bottom="0" percent="0" rank="0" text="" dxfId="1">
      <formula>0</formula>
    </cfRule>
    <cfRule type="cellIs" priority="1953" operator="lessThanOrEqual" aboveAverage="0" equalAverage="0" bottom="0" percent="0" rank="0" text="" dxfId="0">
      <formula>0</formula>
    </cfRule>
  </conditionalFormatting>
  <conditionalFormatting sqref="G656">
    <cfRule type="cellIs" priority="1954" operator="greaterThan" aboveAverage="0" equalAverage="0" bottom="0" percent="0" rank="0" text="" dxfId="10">
      <formula>e{r}</formula>
    </cfRule>
  </conditionalFormatting>
  <conditionalFormatting sqref="H657">
    <cfRule type="cellIs" priority="1955" operator="greaterThan" aboveAverage="0" equalAverage="0" bottom="0" percent="0" rank="0" text="" dxfId="1">
      <formula>0</formula>
    </cfRule>
    <cfRule type="cellIs" priority="1956" operator="lessThanOrEqual" aboveAverage="0" equalAverage="0" bottom="0" percent="0" rank="0" text="" dxfId="0">
      <formula>0</formula>
    </cfRule>
  </conditionalFormatting>
  <conditionalFormatting sqref="G657">
    <cfRule type="cellIs" priority="1957" operator="greaterThan" aboveAverage="0" equalAverage="0" bottom="0" percent="0" rank="0" text="" dxfId="10">
      <formula>e{r}</formula>
    </cfRule>
  </conditionalFormatting>
  <conditionalFormatting sqref="H658">
    <cfRule type="cellIs" priority="1958" operator="greaterThan" aboveAverage="0" equalAverage="0" bottom="0" percent="0" rank="0" text="" dxfId="1">
      <formula>0</formula>
    </cfRule>
    <cfRule type="cellIs" priority="1959" operator="lessThanOrEqual" aboveAverage="0" equalAverage="0" bottom="0" percent="0" rank="0" text="" dxfId="0">
      <formula>0</formula>
    </cfRule>
  </conditionalFormatting>
  <conditionalFormatting sqref="G658">
    <cfRule type="cellIs" priority="1960" operator="greaterThan" aboveAverage="0" equalAverage="0" bottom="0" percent="0" rank="0" text="" dxfId="10">
      <formula>e{r}</formula>
    </cfRule>
  </conditionalFormatting>
  <conditionalFormatting sqref="H659">
    <cfRule type="cellIs" priority="1961" operator="greaterThan" aboveAverage="0" equalAverage="0" bottom="0" percent="0" rank="0" text="" dxfId="1">
      <formula>0</formula>
    </cfRule>
    <cfRule type="cellIs" priority="1962" operator="lessThanOrEqual" aboveAverage="0" equalAverage="0" bottom="0" percent="0" rank="0" text="" dxfId="0">
      <formula>0</formula>
    </cfRule>
  </conditionalFormatting>
  <conditionalFormatting sqref="G659">
    <cfRule type="cellIs" priority="1963" operator="greaterThan" aboveAverage="0" equalAverage="0" bottom="0" percent="0" rank="0" text="" dxfId="10">
      <formula>e{r}</formula>
    </cfRule>
  </conditionalFormatting>
  <conditionalFormatting sqref="H660">
    <cfRule type="cellIs" priority="1964" operator="greaterThan" aboveAverage="0" equalAverage="0" bottom="0" percent="0" rank="0" text="" dxfId="1">
      <formula>0</formula>
    </cfRule>
    <cfRule type="cellIs" priority="1965" operator="lessThanOrEqual" aboveAverage="0" equalAverage="0" bottom="0" percent="0" rank="0" text="" dxfId="0">
      <formula>0</formula>
    </cfRule>
  </conditionalFormatting>
  <conditionalFormatting sqref="G660">
    <cfRule type="cellIs" priority="1966" operator="greaterThan" aboveAverage="0" equalAverage="0" bottom="0" percent="0" rank="0" text="" dxfId="10">
      <formula>e{r}</formula>
    </cfRule>
  </conditionalFormatting>
  <conditionalFormatting sqref="H661">
    <cfRule type="cellIs" priority="1967" operator="greaterThan" aboveAverage="0" equalAverage="0" bottom="0" percent="0" rank="0" text="" dxfId="1">
      <formula>0</formula>
    </cfRule>
    <cfRule type="cellIs" priority="1968" operator="lessThanOrEqual" aboveAverage="0" equalAverage="0" bottom="0" percent="0" rank="0" text="" dxfId="0">
      <formula>0</formula>
    </cfRule>
  </conditionalFormatting>
  <conditionalFormatting sqref="G661">
    <cfRule type="cellIs" priority="1969" operator="greaterThan" aboveAverage="0" equalAverage="0" bottom="0" percent="0" rank="0" text="" dxfId="10">
      <formula>e{r}</formula>
    </cfRule>
  </conditionalFormatting>
  <conditionalFormatting sqref="H662">
    <cfRule type="cellIs" priority="1970" operator="greaterThan" aboveAverage="0" equalAverage="0" bottom="0" percent="0" rank="0" text="" dxfId="1">
      <formula>0</formula>
    </cfRule>
    <cfRule type="cellIs" priority="1971" operator="lessThanOrEqual" aboveAverage="0" equalAverage="0" bottom="0" percent="0" rank="0" text="" dxfId="0">
      <formula>0</formula>
    </cfRule>
  </conditionalFormatting>
  <conditionalFormatting sqref="G662">
    <cfRule type="cellIs" priority="1972" operator="greaterThan" aboveAverage="0" equalAverage="0" bottom="0" percent="0" rank="0" text="" dxfId="10">
      <formula>e{r}</formula>
    </cfRule>
  </conditionalFormatting>
  <conditionalFormatting sqref="H663">
    <cfRule type="cellIs" priority="1973" operator="greaterThan" aboveAverage="0" equalAverage="0" bottom="0" percent="0" rank="0" text="" dxfId="1">
      <formula>0</formula>
    </cfRule>
    <cfRule type="cellIs" priority="1974" operator="lessThanOrEqual" aboveAverage="0" equalAverage="0" bottom="0" percent="0" rank="0" text="" dxfId="0">
      <formula>0</formula>
    </cfRule>
  </conditionalFormatting>
  <conditionalFormatting sqref="G663">
    <cfRule type="cellIs" priority="1975" operator="greaterThan" aboveAverage="0" equalAverage="0" bottom="0" percent="0" rank="0" text="" dxfId="10">
      <formula>e{r}</formula>
    </cfRule>
  </conditionalFormatting>
  <conditionalFormatting sqref="H664">
    <cfRule type="cellIs" priority="1976" operator="greaterThan" aboveAverage="0" equalAverage="0" bottom="0" percent="0" rank="0" text="" dxfId="1">
      <formula>0</formula>
    </cfRule>
    <cfRule type="cellIs" priority="1977" operator="lessThanOrEqual" aboveAverage="0" equalAverage="0" bottom="0" percent="0" rank="0" text="" dxfId="0">
      <formula>0</formula>
    </cfRule>
  </conditionalFormatting>
  <conditionalFormatting sqref="G664">
    <cfRule type="cellIs" priority="1978" operator="greaterThan" aboveAverage="0" equalAverage="0" bottom="0" percent="0" rank="0" text="" dxfId="10">
      <formula>e{r}</formula>
    </cfRule>
  </conditionalFormatting>
  <conditionalFormatting sqref="H665">
    <cfRule type="cellIs" priority="1979" operator="greaterThan" aboveAverage="0" equalAverage="0" bottom="0" percent="0" rank="0" text="" dxfId="1">
      <formula>0</formula>
    </cfRule>
    <cfRule type="cellIs" priority="1980" operator="lessThanOrEqual" aboveAverage="0" equalAverage="0" bottom="0" percent="0" rank="0" text="" dxfId="0">
      <formula>0</formula>
    </cfRule>
  </conditionalFormatting>
  <conditionalFormatting sqref="G665">
    <cfRule type="cellIs" priority="1981" operator="greaterThan" aboveAverage="0" equalAverage="0" bottom="0" percent="0" rank="0" text="" dxfId="10">
      <formula>e{r}</formula>
    </cfRule>
  </conditionalFormatting>
  <conditionalFormatting sqref="H666">
    <cfRule type="cellIs" priority="1982" operator="greaterThan" aboveAverage="0" equalAverage="0" bottom="0" percent="0" rank="0" text="" dxfId="1">
      <formula>0</formula>
    </cfRule>
    <cfRule type="cellIs" priority="1983" operator="lessThanOrEqual" aboveAverage="0" equalAverage="0" bottom="0" percent="0" rank="0" text="" dxfId="0">
      <formula>0</formula>
    </cfRule>
  </conditionalFormatting>
  <conditionalFormatting sqref="G666">
    <cfRule type="cellIs" priority="1984" operator="greaterThan" aboveAverage="0" equalAverage="0" bottom="0" percent="0" rank="0" text="" dxfId="10">
      <formula>e{r}</formula>
    </cfRule>
  </conditionalFormatting>
  <conditionalFormatting sqref="H667">
    <cfRule type="cellIs" priority="1985" operator="greaterThan" aboveAverage="0" equalAverage="0" bottom="0" percent="0" rank="0" text="" dxfId="1">
      <formula>0</formula>
    </cfRule>
    <cfRule type="cellIs" priority="1986" operator="lessThanOrEqual" aboveAverage="0" equalAverage="0" bottom="0" percent="0" rank="0" text="" dxfId="0">
      <formula>0</formula>
    </cfRule>
  </conditionalFormatting>
  <conditionalFormatting sqref="G667">
    <cfRule type="cellIs" priority="1987" operator="greaterThan" aboveAverage="0" equalAverage="0" bottom="0" percent="0" rank="0" text="" dxfId="10">
      <formula>e{r}</formula>
    </cfRule>
  </conditionalFormatting>
  <conditionalFormatting sqref="H668">
    <cfRule type="cellIs" priority="1988" operator="greaterThan" aboveAverage="0" equalAverage="0" bottom="0" percent="0" rank="0" text="" dxfId="1">
      <formula>0</formula>
    </cfRule>
    <cfRule type="cellIs" priority="1989" operator="lessThanOrEqual" aboveAverage="0" equalAverage="0" bottom="0" percent="0" rank="0" text="" dxfId="0">
      <formula>0</formula>
    </cfRule>
  </conditionalFormatting>
  <conditionalFormatting sqref="G668">
    <cfRule type="cellIs" priority="1990" operator="greaterThan" aboveAverage="0" equalAverage="0" bottom="0" percent="0" rank="0" text="" dxfId="10">
      <formula>e{r}</formula>
    </cfRule>
  </conditionalFormatting>
  <conditionalFormatting sqref="H669">
    <cfRule type="cellIs" priority="1991" operator="greaterThan" aboveAverage="0" equalAverage="0" bottom="0" percent="0" rank="0" text="" dxfId="1">
      <formula>0</formula>
    </cfRule>
    <cfRule type="cellIs" priority="1992" operator="lessThanOrEqual" aboveAverage="0" equalAverage="0" bottom="0" percent="0" rank="0" text="" dxfId="0">
      <formula>0</formula>
    </cfRule>
  </conditionalFormatting>
  <conditionalFormatting sqref="G669">
    <cfRule type="cellIs" priority="1993" operator="greaterThan" aboveAverage="0" equalAverage="0" bottom="0" percent="0" rank="0" text="" dxfId="10">
      <formula>e{r}</formula>
    </cfRule>
  </conditionalFormatting>
  <conditionalFormatting sqref="H670">
    <cfRule type="cellIs" priority="1994" operator="greaterThan" aboveAverage="0" equalAverage="0" bottom="0" percent="0" rank="0" text="" dxfId="1">
      <formula>0</formula>
    </cfRule>
    <cfRule type="cellIs" priority="1995" operator="lessThanOrEqual" aboveAverage="0" equalAverage="0" bottom="0" percent="0" rank="0" text="" dxfId="0">
      <formula>0</formula>
    </cfRule>
  </conditionalFormatting>
  <conditionalFormatting sqref="G670">
    <cfRule type="cellIs" priority="1996" operator="greaterThan" aboveAverage="0" equalAverage="0" bottom="0" percent="0" rank="0" text="" dxfId="10">
      <formula>e{r}</formula>
    </cfRule>
  </conditionalFormatting>
  <conditionalFormatting sqref="H671">
    <cfRule type="cellIs" priority="1997" operator="greaterThan" aboveAverage="0" equalAverage="0" bottom="0" percent="0" rank="0" text="" dxfId="1">
      <formula>0</formula>
    </cfRule>
    <cfRule type="cellIs" priority="1998" operator="lessThanOrEqual" aboveAverage="0" equalAverage="0" bottom="0" percent="0" rank="0" text="" dxfId="0">
      <formula>0</formula>
    </cfRule>
  </conditionalFormatting>
  <conditionalFormatting sqref="G671">
    <cfRule type="cellIs" priority="1999" operator="greaterThan" aboveAverage="0" equalAverage="0" bottom="0" percent="0" rank="0" text="" dxfId="10">
      <formula>e{r}</formula>
    </cfRule>
  </conditionalFormatting>
  <conditionalFormatting sqref="H672">
    <cfRule type="cellIs" priority="2000" operator="greaterThan" aboveAverage="0" equalAverage="0" bottom="0" percent="0" rank="0" text="" dxfId="1">
      <formula>0</formula>
    </cfRule>
    <cfRule type="cellIs" priority="2001" operator="lessThanOrEqual" aboveAverage="0" equalAverage="0" bottom="0" percent="0" rank="0" text="" dxfId="0">
      <formula>0</formula>
    </cfRule>
  </conditionalFormatting>
  <conditionalFormatting sqref="G672">
    <cfRule type="cellIs" priority="2002" operator="greaterThan" aboveAverage="0" equalAverage="0" bottom="0" percent="0" rank="0" text="" dxfId="10">
      <formula>e{r}</formula>
    </cfRule>
  </conditionalFormatting>
  <conditionalFormatting sqref="H673">
    <cfRule type="cellIs" priority="2003" operator="greaterThan" aboveAverage="0" equalAverage="0" bottom="0" percent="0" rank="0" text="" dxfId="1">
      <formula>0</formula>
    </cfRule>
    <cfRule type="cellIs" priority="2004" operator="lessThanOrEqual" aboveAverage="0" equalAverage="0" bottom="0" percent="0" rank="0" text="" dxfId="0">
      <formula>0</formula>
    </cfRule>
  </conditionalFormatting>
  <conditionalFormatting sqref="G673">
    <cfRule type="cellIs" priority="2005" operator="greaterThan" aboveAverage="0" equalAverage="0" bottom="0" percent="0" rank="0" text="" dxfId="10">
      <formula>e{r}</formula>
    </cfRule>
  </conditionalFormatting>
  <conditionalFormatting sqref="H674">
    <cfRule type="cellIs" priority="2006" operator="greaterThan" aboveAverage="0" equalAverage="0" bottom="0" percent="0" rank="0" text="" dxfId="1">
      <formula>0</formula>
    </cfRule>
    <cfRule type="cellIs" priority="2007" operator="lessThanOrEqual" aboveAverage="0" equalAverage="0" bottom="0" percent="0" rank="0" text="" dxfId="0">
      <formula>0</formula>
    </cfRule>
  </conditionalFormatting>
  <conditionalFormatting sqref="G674">
    <cfRule type="cellIs" priority="2008" operator="greaterThan" aboveAverage="0" equalAverage="0" bottom="0" percent="0" rank="0" text="" dxfId="10">
      <formula>e{r}</formula>
    </cfRule>
  </conditionalFormatting>
  <conditionalFormatting sqref="H675">
    <cfRule type="cellIs" priority="2009" operator="greaterThan" aboveAverage="0" equalAverage="0" bottom="0" percent="0" rank="0" text="" dxfId="1">
      <formula>0</formula>
    </cfRule>
    <cfRule type="cellIs" priority="2010" operator="lessThanOrEqual" aboveAverage="0" equalAverage="0" bottom="0" percent="0" rank="0" text="" dxfId="0">
      <formula>0</formula>
    </cfRule>
  </conditionalFormatting>
  <conditionalFormatting sqref="G675">
    <cfRule type="cellIs" priority="2011" operator="greaterThan" aboveAverage="0" equalAverage="0" bottom="0" percent="0" rank="0" text="" dxfId="10">
      <formula>e{r}</formula>
    </cfRule>
  </conditionalFormatting>
  <conditionalFormatting sqref="H676">
    <cfRule type="cellIs" priority="2012" operator="greaterThan" aboveAverage="0" equalAverage="0" bottom="0" percent="0" rank="0" text="" dxfId="1">
      <formula>0</formula>
    </cfRule>
    <cfRule type="cellIs" priority="2013" operator="lessThanOrEqual" aboveAverage="0" equalAverage="0" bottom="0" percent="0" rank="0" text="" dxfId="0">
      <formula>0</formula>
    </cfRule>
  </conditionalFormatting>
  <conditionalFormatting sqref="G676">
    <cfRule type="cellIs" priority="2014" operator="greaterThan" aboveAverage="0" equalAverage="0" bottom="0" percent="0" rank="0" text="" dxfId="10">
      <formula>e{r}</formula>
    </cfRule>
  </conditionalFormatting>
  <conditionalFormatting sqref="H677">
    <cfRule type="cellIs" priority="2015" operator="greaterThan" aboveAverage="0" equalAverage="0" bottom="0" percent="0" rank="0" text="" dxfId="1">
      <formula>0</formula>
    </cfRule>
    <cfRule type="cellIs" priority="2016" operator="lessThanOrEqual" aboveAverage="0" equalAverage="0" bottom="0" percent="0" rank="0" text="" dxfId="0">
      <formula>0</formula>
    </cfRule>
  </conditionalFormatting>
  <conditionalFormatting sqref="G677">
    <cfRule type="cellIs" priority="2017" operator="greaterThan" aboveAverage="0" equalAverage="0" bottom="0" percent="0" rank="0" text="" dxfId="10">
      <formula>e{r}</formula>
    </cfRule>
  </conditionalFormatting>
  <conditionalFormatting sqref="H678">
    <cfRule type="cellIs" priority="2018" operator="greaterThan" aboveAverage="0" equalAverage="0" bottom="0" percent="0" rank="0" text="" dxfId="1">
      <formula>0</formula>
    </cfRule>
    <cfRule type="cellIs" priority="2019" operator="lessThanOrEqual" aboveAverage="0" equalAverage="0" bottom="0" percent="0" rank="0" text="" dxfId="0">
      <formula>0</formula>
    </cfRule>
  </conditionalFormatting>
  <conditionalFormatting sqref="G678">
    <cfRule type="cellIs" priority="2020" operator="greaterThan" aboveAverage="0" equalAverage="0" bottom="0" percent="0" rank="0" text="" dxfId="10">
      <formula>e{r}</formula>
    </cfRule>
  </conditionalFormatting>
  <conditionalFormatting sqref="H679">
    <cfRule type="cellIs" priority="2021" operator="greaterThan" aboveAverage="0" equalAverage="0" bottom="0" percent="0" rank="0" text="" dxfId="1">
      <formula>0</formula>
    </cfRule>
    <cfRule type="cellIs" priority="2022" operator="lessThanOrEqual" aboveAverage="0" equalAverage="0" bottom="0" percent="0" rank="0" text="" dxfId="0">
      <formula>0</formula>
    </cfRule>
  </conditionalFormatting>
  <conditionalFormatting sqref="G679">
    <cfRule type="cellIs" priority="2023" operator="greaterThan" aboveAverage="0" equalAverage="0" bottom="0" percent="0" rank="0" text="" dxfId="10">
      <formula>e{r}</formula>
    </cfRule>
  </conditionalFormatting>
  <conditionalFormatting sqref="H680">
    <cfRule type="cellIs" priority="2024" operator="greaterThan" aboveAverage="0" equalAverage="0" bottom="0" percent="0" rank="0" text="" dxfId="1">
      <formula>0</formula>
    </cfRule>
    <cfRule type="cellIs" priority="2025" operator="lessThanOrEqual" aboveAverage="0" equalAverage="0" bottom="0" percent="0" rank="0" text="" dxfId="0">
      <formula>0</formula>
    </cfRule>
  </conditionalFormatting>
  <conditionalFormatting sqref="G680">
    <cfRule type="cellIs" priority="2026" operator="greaterThan" aboveAverage="0" equalAverage="0" bottom="0" percent="0" rank="0" text="" dxfId="10">
      <formula>e{r}</formula>
    </cfRule>
  </conditionalFormatting>
  <conditionalFormatting sqref="H681">
    <cfRule type="cellIs" priority="2027" operator="greaterThan" aboveAverage="0" equalAverage="0" bottom="0" percent="0" rank="0" text="" dxfId="1">
      <formula>0</formula>
    </cfRule>
    <cfRule type="cellIs" priority="2028" operator="lessThanOrEqual" aboveAverage="0" equalAverage="0" bottom="0" percent="0" rank="0" text="" dxfId="0">
      <formula>0</formula>
    </cfRule>
  </conditionalFormatting>
  <conditionalFormatting sqref="G681">
    <cfRule type="cellIs" priority="2029" operator="greaterThan" aboveAverage="0" equalAverage="0" bottom="0" percent="0" rank="0" text="" dxfId="10">
      <formula>e{r}</formula>
    </cfRule>
  </conditionalFormatting>
  <conditionalFormatting sqref="H682">
    <cfRule type="cellIs" priority="2030" operator="greaterThan" aboveAverage="0" equalAverage="0" bottom="0" percent="0" rank="0" text="" dxfId="1">
      <formula>0</formula>
    </cfRule>
    <cfRule type="cellIs" priority="2031" operator="lessThanOrEqual" aboveAverage="0" equalAverage="0" bottom="0" percent="0" rank="0" text="" dxfId="0">
      <formula>0</formula>
    </cfRule>
  </conditionalFormatting>
  <conditionalFormatting sqref="G682">
    <cfRule type="cellIs" priority="2032" operator="greaterThan" aboveAverage="0" equalAverage="0" bottom="0" percent="0" rank="0" text="" dxfId="10">
      <formula>e{r}</formula>
    </cfRule>
  </conditionalFormatting>
  <conditionalFormatting sqref="H683">
    <cfRule type="cellIs" priority="2033" operator="greaterThan" aboveAverage="0" equalAverage="0" bottom="0" percent="0" rank="0" text="" dxfId="1">
      <formula>0</formula>
    </cfRule>
    <cfRule type="cellIs" priority="2034" operator="lessThanOrEqual" aboveAverage="0" equalAverage="0" bottom="0" percent="0" rank="0" text="" dxfId="0">
      <formula>0</formula>
    </cfRule>
  </conditionalFormatting>
  <conditionalFormatting sqref="G683">
    <cfRule type="cellIs" priority="2035" operator="greaterThan" aboveAverage="0" equalAverage="0" bottom="0" percent="0" rank="0" text="" dxfId="10">
      <formula>e{r}</formula>
    </cfRule>
  </conditionalFormatting>
  <conditionalFormatting sqref="H684">
    <cfRule type="cellIs" priority="2036" operator="greaterThan" aboveAverage="0" equalAverage="0" bottom="0" percent="0" rank="0" text="" dxfId="1">
      <formula>0</formula>
    </cfRule>
    <cfRule type="cellIs" priority="2037" operator="lessThanOrEqual" aboveAverage="0" equalAverage="0" bottom="0" percent="0" rank="0" text="" dxfId="0">
      <formula>0</formula>
    </cfRule>
  </conditionalFormatting>
  <conditionalFormatting sqref="G684">
    <cfRule type="cellIs" priority="2038" operator="greaterThan" aboveAverage="0" equalAverage="0" bottom="0" percent="0" rank="0" text="" dxfId="10">
      <formula>e{r}</formula>
    </cfRule>
  </conditionalFormatting>
  <conditionalFormatting sqref="H685">
    <cfRule type="cellIs" priority="2039" operator="greaterThan" aboveAverage="0" equalAverage="0" bottom="0" percent="0" rank="0" text="" dxfId="1">
      <formula>0</formula>
    </cfRule>
    <cfRule type="cellIs" priority="2040" operator="lessThanOrEqual" aboveAverage="0" equalAverage="0" bottom="0" percent="0" rank="0" text="" dxfId="0">
      <formula>0</formula>
    </cfRule>
  </conditionalFormatting>
  <conditionalFormatting sqref="G685">
    <cfRule type="cellIs" priority="2041" operator="greaterThan" aboveAverage="0" equalAverage="0" bottom="0" percent="0" rank="0" text="" dxfId="10">
      <formula>e{r}</formula>
    </cfRule>
  </conditionalFormatting>
  <conditionalFormatting sqref="H686">
    <cfRule type="cellIs" priority="2042" operator="greaterThan" aboveAverage="0" equalAverage="0" bottom="0" percent="0" rank="0" text="" dxfId="1">
      <formula>0</formula>
    </cfRule>
    <cfRule type="cellIs" priority="2043" operator="lessThanOrEqual" aboveAverage="0" equalAverage="0" bottom="0" percent="0" rank="0" text="" dxfId="0">
      <formula>0</formula>
    </cfRule>
  </conditionalFormatting>
  <conditionalFormatting sqref="G686">
    <cfRule type="cellIs" priority="2044" operator="greaterThan" aboveAverage="0" equalAverage="0" bottom="0" percent="0" rank="0" text="" dxfId="10">
      <formula>e{r}</formula>
    </cfRule>
  </conditionalFormatting>
  <conditionalFormatting sqref="H687">
    <cfRule type="cellIs" priority="2045" operator="greaterThan" aboveAverage="0" equalAverage="0" bottom="0" percent="0" rank="0" text="" dxfId="1">
      <formula>0</formula>
    </cfRule>
    <cfRule type="cellIs" priority="2046" operator="lessThanOrEqual" aboveAverage="0" equalAverage="0" bottom="0" percent="0" rank="0" text="" dxfId="0">
      <formula>0</formula>
    </cfRule>
  </conditionalFormatting>
  <conditionalFormatting sqref="G687">
    <cfRule type="cellIs" priority="2047" operator="greaterThan" aboveAverage="0" equalAverage="0" bottom="0" percent="0" rank="0" text="" dxfId="10">
      <formula>e{r}</formula>
    </cfRule>
  </conditionalFormatting>
  <conditionalFormatting sqref="H688">
    <cfRule type="cellIs" priority="2048" operator="greaterThan" aboveAverage="0" equalAverage="0" bottom="0" percent="0" rank="0" text="" dxfId="1">
      <formula>0</formula>
    </cfRule>
    <cfRule type="cellIs" priority="2049" operator="lessThanOrEqual" aboveAverage="0" equalAverage="0" bottom="0" percent="0" rank="0" text="" dxfId="0">
      <formula>0</formula>
    </cfRule>
  </conditionalFormatting>
  <conditionalFormatting sqref="G688">
    <cfRule type="cellIs" priority="2050" operator="greaterThan" aboveAverage="0" equalAverage="0" bottom="0" percent="0" rank="0" text="" dxfId="10">
      <formula>e{r}</formula>
    </cfRule>
  </conditionalFormatting>
  <conditionalFormatting sqref="H689">
    <cfRule type="cellIs" priority="2051" operator="greaterThan" aboveAverage="0" equalAverage="0" bottom="0" percent="0" rank="0" text="" dxfId="1">
      <formula>0</formula>
    </cfRule>
    <cfRule type="cellIs" priority="2052" operator="lessThanOrEqual" aboveAverage="0" equalAverage="0" bottom="0" percent="0" rank="0" text="" dxfId="0">
      <formula>0</formula>
    </cfRule>
  </conditionalFormatting>
  <conditionalFormatting sqref="G689">
    <cfRule type="cellIs" priority="2053" operator="greaterThan" aboveAverage="0" equalAverage="0" bottom="0" percent="0" rank="0" text="" dxfId="10">
      <formula>e{r}</formula>
    </cfRule>
  </conditionalFormatting>
  <conditionalFormatting sqref="H690">
    <cfRule type="cellIs" priority="2054" operator="greaterThan" aboveAverage="0" equalAverage="0" bottom="0" percent="0" rank="0" text="" dxfId="1">
      <formula>0</formula>
    </cfRule>
    <cfRule type="cellIs" priority="2055" operator="lessThanOrEqual" aboveAverage="0" equalAverage="0" bottom="0" percent="0" rank="0" text="" dxfId="0">
      <formula>0</formula>
    </cfRule>
  </conditionalFormatting>
  <conditionalFormatting sqref="G690">
    <cfRule type="cellIs" priority="2056" operator="greaterThan" aboveAverage="0" equalAverage="0" bottom="0" percent="0" rank="0" text="" dxfId="10">
      <formula>e{r}</formula>
    </cfRule>
  </conditionalFormatting>
  <conditionalFormatting sqref="H691">
    <cfRule type="cellIs" priority="2057" operator="greaterThan" aboveAverage="0" equalAverage="0" bottom="0" percent="0" rank="0" text="" dxfId="1">
      <formula>0</formula>
    </cfRule>
    <cfRule type="cellIs" priority="2058" operator="lessThanOrEqual" aboveAverage="0" equalAverage="0" bottom="0" percent="0" rank="0" text="" dxfId="0">
      <formula>0</formula>
    </cfRule>
  </conditionalFormatting>
  <conditionalFormatting sqref="G691">
    <cfRule type="cellIs" priority="2059" operator="greaterThan" aboveAverage="0" equalAverage="0" bottom="0" percent="0" rank="0" text="" dxfId="10">
      <formula>e{r}</formula>
    </cfRule>
  </conditionalFormatting>
  <conditionalFormatting sqref="H692">
    <cfRule type="cellIs" priority="2060" operator="greaterThan" aboveAverage="0" equalAverage="0" bottom="0" percent="0" rank="0" text="" dxfId="1">
      <formula>0</formula>
    </cfRule>
    <cfRule type="cellIs" priority="2061" operator="lessThanOrEqual" aboveAverage="0" equalAverage="0" bottom="0" percent="0" rank="0" text="" dxfId="0">
      <formula>0</formula>
    </cfRule>
  </conditionalFormatting>
  <conditionalFormatting sqref="G692">
    <cfRule type="cellIs" priority="2062" operator="greaterThan" aboveAverage="0" equalAverage="0" bottom="0" percent="0" rank="0" text="" dxfId="10">
      <formula>e{r}</formula>
    </cfRule>
  </conditionalFormatting>
  <conditionalFormatting sqref="H693">
    <cfRule type="cellIs" priority="2063" operator="greaterThan" aboveAverage="0" equalAverage="0" bottom="0" percent="0" rank="0" text="" dxfId="1">
      <formula>0</formula>
    </cfRule>
    <cfRule type="cellIs" priority="2064" operator="lessThanOrEqual" aboveAverage="0" equalAverage="0" bottom="0" percent="0" rank="0" text="" dxfId="0">
      <formula>0</formula>
    </cfRule>
  </conditionalFormatting>
  <conditionalFormatting sqref="G693">
    <cfRule type="cellIs" priority="2065" operator="greaterThan" aboveAverage="0" equalAverage="0" bottom="0" percent="0" rank="0" text="" dxfId="10">
      <formula>e{r}</formula>
    </cfRule>
  </conditionalFormatting>
  <conditionalFormatting sqref="H694">
    <cfRule type="cellIs" priority="2066" operator="greaterThan" aboveAverage="0" equalAverage="0" bottom="0" percent="0" rank="0" text="" dxfId="1">
      <formula>0</formula>
    </cfRule>
    <cfRule type="cellIs" priority="2067" operator="lessThanOrEqual" aboveAverage="0" equalAverage="0" bottom="0" percent="0" rank="0" text="" dxfId="0">
      <formula>0</formula>
    </cfRule>
  </conditionalFormatting>
  <conditionalFormatting sqref="G694">
    <cfRule type="cellIs" priority="2068" operator="greaterThan" aboveAverage="0" equalAverage="0" bottom="0" percent="0" rank="0" text="" dxfId="10">
      <formula>e{r}</formula>
    </cfRule>
  </conditionalFormatting>
  <conditionalFormatting sqref="H695">
    <cfRule type="cellIs" priority="2069" operator="greaterThan" aboveAverage="0" equalAverage="0" bottom="0" percent="0" rank="0" text="" dxfId="1">
      <formula>0</formula>
    </cfRule>
    <cfRule type="cellIs" priority="2070" operator="lessThanOrEqual" aboveAverage="0" equalAverage="0" bottom="0" percent="0" rank="0" text="" dxfId="0">
      <formula>0</formula>
    </cfRule>
  </conditionalFormatting>
  <conditionalFormatting sqref="G695">
    <cfRule type="cellIs" priority="2071" operator="greaterThan" aboveAverage="0" equalAverage="0" bottom="0" percent="0" rank="0" text="" dxfId="10">
      <formula>e{r}</formula>
    </cfRule>
  </conditionalFormatting>
  <conditionalFormatting sqref="H696">
    <cfRule type="cellIs" priority="2072" operator="greaterThan" aboveAverage="0" equalAverage="0" bottom="0" percent="0" rank="0" text="" dxfId="1">
      <formula>0</formula>
    </cfRule>
    <cfRule type="cellIs" priority="2073" operator="lessThanOrEqual" aboveAverage="0" equalAverage="0" bottom="0" percent="0" rank="0" text="" dxfId="0">
      <formula>0</formula>
    </cfRule>
  </conditionalFormatting>
  <conditionalFormatting sqref="G696">
    <cfRule type="cellIs" priority="2074" operator="greaterThan" aboveAverage="0" equalAverage="0" bottom="0" percent="0" rank="0" text="" dxfId="10">
      <formula>e{r}</formula>
    </cfRule>
  </conditionalFormatting>
  <conditionalFormatting sqref="H697">
    <cfRule type="cellIs" priority="2075" operator="greaterThan" aboveAverage="0" equalAverage="0" bottom="0" percent="0" rank="0" text="" dxfId="1">
      <formula>0</formula>
    </cfRule>
    <cfRule type="cellIs" priority="2076" operator="lessThanOrEqual" aboveAverage="0" equalAverage="0" bottom="0" percent="0" rank="0" text="" dxfId="0">
      <formula>0</formula>
    </cfRule>
  </conditionalFormatting>
  <conditionalFormatting sqref="G697">
    <cfRule type="cellIs" priority="2077" operator="greaterThan" aboveAverage="0" equalAverage="0" bottom="0" percent="0" rank="0" text="" dxfId="10">
      <formula>e{r}</formula>
    </cfRule>
  </conditionalFormatting>
  <conditionalFormatting sqref="H698">
    <cfRule type="cellIs" priority="2078" operator="greaterThan" aboveAverage="0" equalAverage="0" bottom="0" percent="0" rank="0" text="" dxfId="1">
      <formula>0</formula>
    </cfRule>
    <cfRule type="cellIs" priority="2079" operator="lessThanOrEqual" aboveAverage="0" equalAverage="0" bottom="0" percent="0" rank="0" text="" dxfId="0">
      <formula>0</formula>
    </cfRule>
  </conditionalFormatting>
  <conditionalFormatting sqref="G698">
    <cfRule type="cellIs" priority="2080" operator="greaterThan" aboveAverage="0" equalAverage="0" bottom="0" percent="0" rank="0" text="" dxfId="10">
      <formula>e{r}</formula>
    </cfRule>
  </conditionalFormatting>
  <conditionalFormatting sqref="H699">
    <cfRule type="cellIs" priority="2081" operator="greaterThan" aboveAverage="0" equalAverage="0" bottom="0" percent="0" rank="0" text="" dxfId="1">
      <formula>0</formula>
    </cfRule>
    <cfRule type="cellIs" priority="2082" operator="lessThanOrEqual" aboveAverage="0" equalAverage="0" bottom="0" percent="0" rank="0" text="" dxfId="0">
      <formula>0</formula>
    </cfRule>
  </conditionalFormatting>
  <conditionalFormatting sqref="G699">
    <cfRule type="cellIs" priority="2083" operator="greaterThan" aboveAverage="0" equalAverage="0" bottom="0" percent="0" rank="0" text="" dxfId="10">
      <formula>e{r}</formula>
    </cfRule>
  </conditionalFormatting>
  <conditionalFormatting sqref="H700">
    <cfRule type="cellIs" priority="2084" operator="greaterThan" aboveAverage="0" equalAverage="0" bottom="0" percent="0" rank="0" text="" dxfId="1">
      <formula>0</formula>
    </cfRule>
    <cfRule type="cellIs" priority="2085" operator="lessThanOrEqual" aboveAverage="0" equalAverage="0" bottom="0" percent="0" rank="0" text="" dxfId="0">
      <formula>0</formula>
    </cfRule>
  </conditionalFormatting>
  <conditionalFormatting sqref="G700">
    <cfRule type="cellIs" priority="2086" operator="greaterThan" aboveAverage="0" equalAverage="0" bottom="0" percent="0" rank="0" text="" dxfId="10">
      <formula>e{r}</formula>
    </cfRule>
  </conditionalFormatting>
  <conditionalFormatting sqref="H701">
    <cfRule type="cellIs" priority="2087" operator="greaterThan" aboveAverage="0" equalAverage="0" bottom="0" percent="0" rank="0" text="" dxfId="1">
      <formula>0</formula>
    </cfRule>
    <cfRule type="cellIs" priority="2088" operator="lessThanOrEqual" aboveAverage="0" equalAverage="0" bottom="0" percent="0" rank="0" text="" dxfId="0">
      <formula>0</formula>
    </cfRule>
  </conditionalFormatting>
  <conditionalFormatting sqref="G701">
    <cfRule type="cellIs" priority="2089" operator="greaterThan" aboveAverage="0" equalAverage="0" bottom="0" percent="0" rank="0" text="" dxfId="10">
      <formula>e{r}</formula>
    </cfRule>
  </conditionalFormatting>
  <conditionalFormatting sqref="H702">
    <cfRule type="cellIs" priority="2090" operator="greaterThan" aboveAverage="0" equalAverage="0" bottom="0" percent="0" rank="0" text="" dxfId="1">
      <formula>0</formula>
    </cfRule>
    <cfRule type="cellIs" priority="2091" operator="lessThanOrEqual" aboveAverage="0" equalAverage="0" bottom="0" percent="0" rank="0" text="" dxfId="0">
      <formula>0</formula>
    </cfRule>
  </conditionalFormatting>
  <conditionalFormatting sqref="G702">
    <cfRule type="cellIs" priority="2092" operator="greaterThan" aboveAverage="0" equalAverage="0" bottom="0" percent="0" rank="0" text="" dxfId="10">
      <formula>e{r}</formula>
    </cfRule>
  </conditionalFormatting>
  <conditionalFormatting sqref="H703">
    <cfRule type="cellIs" priority="2093" operator="greaterThan" aboveAverage="0" equalAverage="0" bottom="0" percent="0" rank="0" text="" dxfId="1">
      <formula>0</formula>
    </cfRule>
    <cfRule type="cellIs" priority="2094" operator="lessThanOrEqual" aboveAverage="0" equalAverage="0" bottom="0" percent="0" rank="0" text="" dxfId="0">
      <formula>0</formula>
    </cfRule>
  </conditionalFormatting>
  <conditionalFormatting sqref="G703">
    <cfRule type="cellIs" priority="2095" operator="greaterThan" aboveAverage="0" equalAverage="0" bottom="0" percent="0" rank="0" text="" dxfId="10">
      <formula>e{r}</formula>
    </cfRule>
  </conditionalFormatting>
  <conditionalFormatting sqref="H704">
    <cfRule type="cellIs" priority="2096" operator="greaterThan" aboveAverage="0" equalAverage="0" bottom="0" percent="0" rank="0" text="" dxfId="1">
      <formula>0</formula>
    </cfRule>
    <cfRule type="cellIs" priority="2097" operator="lessThanOrEqual" aboveAverage="0" equalAverage="0" bottom="0" percent="0" rank="0" text="" dxfId="0">
      <formula>0</formula>
    </cfRule>
  </conditionalFormatting>
  <conditionalFormatting sqref="G704">
    <cfRule type="cellIs" priority="2098" operator="greaterThan" aboveAverage="0" equalAverage="0" bottom="0" percent="0" rank="0" text="" dxfId="10">
      <formula>e{r}</formula>
    </cfRule>
  </conditionalFormatting>
  <conditionalFormatting sqref="H705">
    <cfRule type="cellIs" priority="2099" operator="greaterThan" aboveAverage="0" equalAverage="0" bottom="0" percent="0" rank="0" text="" dxfId="1">
      <formula>0</formula>
    </cfRule>
    <cfRule type="cellIs" priority="2100" operator="lessThanOrEqual" aboveAverage="0" equalAverage="0" bottom="0" percent="0" rank="0" text="" dxfId="0">
      <formula>0</formula>
    </cfRule>
  </conditionalFormatting>
  <conditionalFormatting sqref="G705">
    <cfRule type="cellIs" priority="2101" operator="greaterThan" aboveAverage="0" equalAverage="0" bottom="0" percent="0" rank="0" text="" dxfId="10">
      <formula>e{r}</formula>
    </cfRule>
  </conditionalFormatting>
  <conditionalFormatting sqref="H706">
    <cfRule type="cellIs" priority="2102" operator="greaterThan" aboveAverage="0" equalAverage="0" bottom="0" percent="0" rank="0" text="" dxfId="1">
      <formula>0</formula>
    </cfRule>
    <cfRule type="cellIs" priority="2103" operator="lessThanOrEqual" aboveAverage="0" equalAverage="0" bottom="0" percent="0" rank="0" text="" dxfId="0">
      <formula>0</formula>
    </cfRule>
  </conditionalFormatting>
  <conditionalFormatting sqref="G706">
    <cfRule type="cellIs" priority="2104" operator="greaterThan" aboveAverage="0" equalAverage="0" bottom="0" percent="0" rank="0" text="" dxfId="10">
      <formula>e{r}</formula>
    </cfRule>
  </conditionalFormatting>
  <conditionalFormatting sqref="H707">
    <cfRule type="cellIs" priority="2105" operator="greaterThan" aboveAverage="0" equalAverage="0" bottom="0" percent="0" rank="0" text="" dxfId="1">
      <formula>0</formula>
    </cfRule>
    <cfRule type="cellIs" priority="2106" operator="lessThanOrEqual" aboveAverage="0" equalAverage="0" bottom="0" percent="0" rank="0" text="" dxfId="0">
      <formula>0</formula>
    </cfRule>
  </conditionalFormatting>
  <conditionalFormatting sqref="G707">
    <cfRule type="cellIs" priority="2107" operator="greaterThan" aboveAverage="0" equalAverage="0" bottom="0" percent="0" rank="0" text="" dxfId="10">
      <formula>e{r}</formula>
    </cfRule>
  </conditionalFormatting>
  <conditionalFormatting sqref="H708">
    <cfRule type="cellIs" priority="2108" operator="greaterThan" aboveAverage="0" equalAverage="0" bottom="0" percent="0" rank="0" text="" dxfId="1">
      <formula>0</formula>
    </cfRule>
    <cfRule type="cellIs" priority="2109" operator="lessThanOrEqual" aboveAverage="0" equalAverage="0" bottom="0" percent="0" rank="0" text="" dxfId="0">
      <formula>0</formula>
    </cfRule>
  </conditionalFormatting>
  <conditionalFormatting sqref="G708">
    <cfRule type="cellIs" priority="2110" operator="greaterThan" aboveAverage="0" equalAverage="0" bottom="0" percent="0" rank="0" text="" dxfId="10">
      <formula>e{r}</formula>
    </cfRule>
  </conditionalFormatting>
  <conditionalFormatting sqref="H709">
    <cfRule type="cellIs" priority="2111" operator="greaterThan" aboveAverage="0" equalAverage="0" bottom="0" percent="0" rank="0" text="" dxfId="1">
      <formula>0</formula>
    </cfRule>
    <cfRule type="cellIs" priority="2112" operator="lessThanOrEqual" aboveAverage="0" equalAverage="0" bottom="0" percent="0" rank="0" text="" dxfId="0">
      <formula>0</formula>
    </cfRule>
  </conditionalFormatting>
  <conditionalFormatting sqref="G709">
    <cfRule type="cellIs" priority="2113" operator="greaterThan" aboveAverage="0" equalAverage="0" bottom="0" percent="0" rank="0" text="" dxfId="10">
      <formula>e{r}</formula>
    </cfRule>
  </conditionalFormatting>
  <conditionalFormatting sqref="H710">
    <cfRule type="cellIs" priority="2114" operator="greaterThan" aboveAverage="0" equalAverage="0" bottom="0" percent="0" rank="0" text="" dxfId="1">
      <formula>0</formula>
    </cfRule>
    <cfRule type="cellIs" priority="2115" operator="lessThanOrEqual" aboveAverage="0" equalAverage="0" bottom="0" percent="0" rank="0" text="" dxfId="0">
      <formula>0</formula>
    </cfRule>
  </conditionalFormatting>
  <conditionalFormatting sqref="G710">
    <cfRule type="cellIs" priority="2116" operator="greaterThan" aboveAverage="0" equalAverage="0" bottom="0" percent="0" rank="0" text="" dxfId="10">
      <formula>e{r}</formula>
    </cfRule>
  </conditionalFormatting>
  <conditionalFormatting sqref="H711">
    <cfRule type="cellIs" priority="2117" operator="greaterThan" aboveAverage="0" equalAverage="0" bottom="0" percent="0" rank="0" text="" dxfId="1">
      <formula>0</formula>
    </cfRule>
    <cfRule type="cellIs" priority="2118" operator="lessThanOrEqual" aboveAverage="0" equalAverage="0" bottom="0" percent="0" rank="0" text="" dxfId="0">
      <formula>0</formula>
    </cfRule>
  </conditionalFormatting>
  <conditionalFormatting sqref="G711">
    <cfRule type="cellIs" priority="2119" operator="greaterThan" aboveAverage="0" equalAverage="0" bottom="0" percent="0" rank="0" text="" dxfId="10">
      <formula>e{r}</formula>
    </cfRule>
  </conditionalFormatting>
  <conditionalFormatting sqref="H712">
    <cfRule type="cellIs" priority="2120" operator="greaterThan" aboveAverage="0" equalAverage="0" bottom="0" percent="0" rank="0" text="" dxfId="1">
      <formula>0</formula>
    </cfRule>
    <cfRule type="cellIs" priority="2121" operator="lessThanOrEqual" aboveAverage="0" equalAverage="0" bottom="0" percent="0" rank="0" text="" dxfId="0">
      <formula>0</formula>
    </cfRule>
  </conditionalFormatting>
  <conditionalFormatting sqref="G712">
    <cfRule type="cellIs" priority="2122" operator="greaterThan" aboveAverage="0" equalAverage="0" bottom="0" percent="0" rank="0" text="" dxfId="10">
      <formula>e{r}</formula>
    </cfRule>
  </conditionalFormatting>
  <conditionalFormatting sqref="H713">
    <cfRule type="cellIs" priority="2123" operator="greaterThan" aboveAverage="0" equalAverage="0" bottom="0" percent="0" rank="0" text="" dxfId="1">
      <formula>0</formula>
    </cfRule>
    <cfRule type="cellIs" priority="2124" operator="lessThanOrEqual" aboveAverage="0" equalAverage="0" bottom="0" percent="0" rank="0" text="" dxfId="0">
      <formula>0</formula>
    </cfRule>
  </conditionalFormatting>
  <conditionalFormatting sqref="G713">
    <cfRule type="cellIs" priority="2125" operator="greaterThan" aboveAverage="0" equalAverage="0" bottom="0" percent="0" rank="0" text="" dxfId="10">
      <formula>e{r}</formula>
    </cfRule>
  </conditionalFormatting>
  <conditionalFormatting sqref="H714">
    <cfRule type="cellIs" priority="2126" operator="greaterThan" aboveAverage="0" equalAverage="0" bottom="0" percent="0" rank="0" text="" dxfId="1">
      <formula>0</formula>
    </cfRule>
    <cfRule type="cellIs" priority="2127" operator="lessThanOrEqual" aboveAverage="0" equalAverage="0" bottom="0" percent="0" rank="0" text="" dxfId="0">
      <formula>0</formula>
    </cfRule>
  </conditionalFormatting>
  <conditionalFormatting sqref="G714">
    <cfRule type="cellIs" priority="2128" operator="greaterThan" aboveAverage="0" equalAverage="0" bottom="0" percent="0" rank="0" text="" dxfId="10">
      <formula>e{r}</formula>
    </cfRule>
  </conditionalFormatting>
  <conditionalFormatting sqref="H715">
    <cfRule type="cellIs" priority="2129" operator="greaterThan" aboveAverage="0" equalAverage="0" bottom="0" percent="0" rank="0" text="" dxfId="1">
      <formula>0</formula>
    </cfRule>
    <cfRule type="cellIs" priority="2130" operator="lessThanOrEqual" aboveAverage="0" equalAverage="0" bottom="0" percent="0" rank="0" text="" dxfId="0">
      <formula>0</formula>
    </cfRule>
  </conditionalFormatting>
  <conditionalFormatting sqref="G715">
    <cfRule type="cellIs" priority="2131" operator="greaterThan" aboveAverage="0" equalAverage="0" bottom="0" percent="0" rank="0" text="" dxfId="10">
      <formula>e{r}</formula>
    </cfRule>
  </conditionalFormatting>
  <conditionalFormatting sqref="H716">
    <cfRule type="cellIs" priority="2132" operator="greaterThan" aboveAverage="0" equalAverage="0" bottom="0" percent="0" rank="0" text="" dxfId="1">
      <formula>0</formula>
    </cfRule>
    <cfRule type="cellIs" priority="2133" operator="lessThanOrEqual" aboveAverage="0" equalAverage="0" bottom="0" percent="0" rank="0" text="" dxfId="0">
      <formula>0</formula>
    </cfRule>
  </conditionalFormatting>
  <conditionalFormatting sqref="G716">
    <cfRule type="cellIs" priority="2134" operator="greaterThan" aboveAverage="0" equalAverage="0" bottom="0" percent="0" rank="0" text="" dxfId="10">
      <formula>e{r}</formula>
    </cfRule>
  </conditionalFormatting>
  <conditionalFormatting sqref="H717">
    <cfRule type="cellIs" priority="2135" operator="greaterThan" aboveAverage="0" equalAverage="0" bottom="0" percent="0" rank="0" text="" dxfId="1">
      <formula>0</formula>
    </cfRule>
    <cfRule type="cellIs" priority="2136" operator="lessThanOrEqual" aboveAverage="0" equalAverage="0" bottom="0" percent="0" rank="0" text="" dxfId="0">
      <formula>0</formula>
    </cfRule>
  </conditionalFormatting>
  <conditionalFormatting sqref="G717">
    <cfRule type="cellIs" priority="2137" operator="greaterThan" aboveAverage="0" equalAverage="0" bottom="0" percent="0" rank="0" text="" dxfId="10">
      <formula>e{r}</formula>
    </cfRule>
  </conditionalFormatting>
  <conditionalFormatting sqref="H718">
    <cfRule type="cellIs" priority="2138" operator="greaterThan" aboveAverage="0" equalAverage="0" bottom="0" percent="0" rank="0" text="" dxfId="1">
      <formula>0</formula>
    </cfRule>
    <cfRule type="cellIs" priority="2139" operator="lessThanOrEqual" aboveAverage="0" equalAverage="0" bottom="0" percent="0" rank="0" text="" dxfId="0">
      <formula>0</formula>
    </cfRule>
  </conditionalFormatting>
  <conditionalFormatting sqref="G718">
    <cfRule type="cellIs" priority="2140" operator="greaterThan" aboveAverage="0" equalAverage="0" bottom="0" percent="0" rank="0" text="" dxfId="10">
      <formula>e{r}</formula>
    </cfRule>
  </conditionalFormatting>
  <conditionalFormatting sqref="H719">
    <cfRule type="cellIs" priority="2141" operator="greaterThan" aboveAverage="0" equalAverage="0" bottom="0" percent="0" rank="0" text="" dxfId="1">
      <formula>0</formula>
    </cfRule>
    <cfRule type="cellIs" priority="2142" operator="lessThanOrEqual" aboveAverage="0" equalAverage="0" bottom="0" percent="0" rank="0" text="" dxfId="0">
      <formula>0</formula>
    </cfRule>
  </conditionalFormatting>
  <conditionalFormatting sqref="G719">
    <cfRule type="cellIs" priority="2143" operator="greaterThan" aboveAverage="0" equalAverage="0" bottom="0" percent="0" rank="0" text="" dxfId="10">
      <formula>e{r}</formula>
    </cfRule>
  </conditionalFormatting>
  <conditionalFormatting sqref="H720">
    <cfRule type="cellIs" priority="2144" operator="greaterThan" aboveAverage="0" equalAverage="0" bottom="0" percent="0" rank="0" text="" dxfId="1">
      <formula>0</formula>
    </cfRule>
    <cfRule type="cellIs" priority="2145" operator="lessThanOrEqual" aboveAverage="0" equalAverage="0" bottom="0" percent="0" rank="0" text="" dxfId="0">
      <formula>0</formula>
    </cfRule>
  </conditionalFormatting>
  <conditionalFormatting sqref="G720">
    <cfRule type="cellIs" priority="2146" operator="greaterThan" aboveAverage="0" equalAverage="0" bottom="0" percent="0" rank="0" text="" dxfId="10">
      <formula>e{r}</formula>
    </cfRule>
  </conditionalFormatting>
  <conditionalFormatting sqref="H721">
    <cfRule type="cellIs" priority="2147" operator="greaterThan" aboveAverage="0" equalAverage="0" bottom="0" percent="0" rank="0" text="" dxfId="1">
      <formula>0</formula>
    </cfRule>
    <cfRule type="cellIs" priority="2148" operator="lessThanOrEqual" aboveAverage="0" equalAverage="0" bottom="0" percent="0" rank="0" text="" dxfId="0">
      <formula>0</formula>
    </cfRule>
  </conditionalFormatting>
  <conditionalFormatting sqref="G721">
    <cfRule type="cellIs" priority="2149" operator="greaterThan" aboveAverage="0" equalAverage="0" bottom="0" percent="0" rank="0" text="" dxfId="10">
      <formula>e{r}</formula>
    </cfRule>
  </conditionalFormatting>
  <conditionalFormatting sqref="H722">
    <cfRule type="cellIs" priority="2150" operator="greaterThan" aboveAverage="0" equalAverage="0" bottom="0" percent="0" rank="0" text="" dxfId="1">
      <formula>0</formula>
    </cfRule>
    <cfRule type="cellIs" priority="2151" operator="lessThanOrEqual" aboveAverage="0" equalAverage="0" bottom="0" percent="0" rank="0" text="" dxfId="0">
      <formula>0</formula>
    </cfRule>
  </conditionalFormatting>
  <conditionalFormatting sqref="G722">
    <cfRule type="cellIs" priority="2152" operator="greaterThan" aboveAverage="0" equalAverage="0" bottom="0" percent="0" rank="0" text="" dxfId="10">
      <formula>e{r}</formula>
    </cfRule>
  </conditionalFormatting>
  <conditionalFormatting sqref="H723">
    <cfRule type="cellIs" priority="2153" operator="greaterThan" aboveAverage="0" equalAverage="0" bottom="0" percent="0" rank="0" text="" dxfId="1">
      <formula>0</formula>
    </cfRule>
    <cfRule type="cellIs" priority="2154" operator="lessThanOrEqual" aboveAverage="0" equalAverage="0" bottom="0" percent="0" rank="0" text="" dxfId="0">
      <formula>0</formula>
    </cfRule>
  </conditionalFormatting>
  <conditionalFormatting sqref="G723">
    <cfRule type="cellIs" priority="2155" operator="greaterThan" aboveAverage="0" equalAverage="0" bottom="0" percent="0" rank="0" text="" dxfId="10">
      <formula>e{r}</formula>
    </cfRule>
  </conditionalFormatting>
  <conditionalFormatting sqref="H724">
    <cfRule type="cellIs" priority="2156" operator="greaterThan" aboveAverage="0" equalAverage="0" bottom="0" percent="0" rank="0" text="" dxfId="1">
      <formula>0</formula>
    </cfRule>
    <cfRule type="cellIs" priority="2157" operator="lessThanOrEqual" aboveAverage="0" equalAverage="0" bottom="0" percent="0" rank="0" text="" dxfId="0">
      <formula>0</formula>
    </cfRule>
  </conditionalFormatting>
  <conditionalFormatting sqref="G724">
    <cfRule type="cellIs" priority="2158" operator="greaterThan" aboveAverage="0" equalAverage="0" bottom="0" percent="0" rank="0" text="" dxfId="10">
      <formula>e{r}</formula>
    </cfRule>
  </conditionalFormatting>
  <conditionalFormatting sqref="H725">
    <cfRule type="cellIs" priority="2159" operator="greaterThan" aboveAverage="0" equalAverage="0" bottom="0" percent="0" rank="0" text="" dxfId="1">
      <formula>0</formula>
    </cfRule>
    <cfRule type="cellIs" priority="2160" operator="lessThanOrEqual" aboveAverage="0" equalAverage="0" bottom="0" percent="0" rank="0" text="" dxfId="0">
      <formula>0</formula>
    </cfRule>
  </conditionalFormatting>
  <conditionalFormatting sqref="G725">
    <cfRule type="cellIs" priority="2161" operator="greaterThan" aboveAverage="0" equalAverage="0" bottom="0" percent="0" rank="0" text="" dxfId="10">
      <formula>e{r}</formula>
    </cfRule>
  </conditionalFormatting>
  <conditionalFormatting sqref="H726">
    <cfRule type="cellIs" priority="2162" operator="greaterThan" aboveAverage="0" equalAverage="0" bottom="0" percent="0" rank="0" text="" dxfId="1">
      <formula>0</formula>
    </cfRule>
    <cfRule type="cellIs" priority="2163" operator="lessThanOrEqual" aboveAverage="0" equalAverage="0" bottom="0" percent="0" rank="0" text="" dxfId="0">
      <formula>0</formula>
    </cfRule>
  </conditionalFormatting>
  <conditionalFormatting sqref="G726">
    <cfRule type="cellIs" priority="2164" operator="greaterThan" aboveAverage="0" equalAverage="0" bottom="0" percent="0" rank="0" text="" dxfId="10">
      <formula>e{r}</formula>
    </cfRule>
  </conditionalFormatting>
  <conditionalFormatting sqref="H727">
    <cfRule type="cellIs" priority="2165" operator="greaterThan" aboveAverage="0" equalAverage="0" bottom="0" percent="0" rank="0" text="" dxfId="1">
      <formula>0</formula>
    </cfRule>
    <cfRule type="cellIs" priority="2166" operator="lessThanOrEqual" aboveAverage="0" equalAverage="0" bottom="0" percent="0" rank="0" text="" dxfId="0">
      <formula>0</formula>
    </cfRule>
  </conditionalFormatting>
  <conditionalFormatting sqref="G727">
    <cfRule type="cellIs" priority="2167" operator="greaterThan" aboveAverage="0" equalAverage="0" bottom="0" percent="0" rank="0" text="" dxfId="10">
      <formula>e{r}</formula>
    </cfRule>
  </conditionalFormatting>
  <conditionalFormatting sqref="H728">
    <cfRule type="cellIs" priority="2168" operator="greaterThan" aboveAverage="0" equalAverage="0" bottom="0" percent="0" rank="0" text="" dxfId="1">
      <formula>0</formula>
    </cfRule>
    <cfRule type="cellIs" priority="2169" operator="lessThanOrEqual" aboveAverage="0" equalAverage="0" bottom="0" percent="0" rank="0" text="" dxfId="0">
      <formula>0</formula>
    </cfRule>
  </conditionalFormatting>
  <conditionalFormatting sqref="G728">
    <cfRule type="cellIs" priority="2170" operator="greaterThan" aboveAverage="0" equalAverage="0" bottom="0" percent="0" rank="0" text="" dxfId="10">
      <formula>e{r}</formula>
    </cfRule>
  </conditionalFormatting>
  <conditionalFormatting sqref="H729">
    <cfRule type="cellIs" priority="2171" operator="greaterThan" aboveAverage="0" equalAverage="0" bottom="0" percent="0" rank="0" text="" dxfId="1">
      <formula>0</formula>
    </cfRule>
    <cfRule type="cellIs" priority="2172" operator="lessThanOrEqual" aboveAverage="0" equalAverage="0" bottom="0" percent="0" rank="0" text="" dxfId="0">
      <formula>0</formula>
    </cfRule>
  </conditionalFormatting>
  <conditionalFormatting sqref="G729">
    <cfRule type="cellIs" priority="2173" operator="greaterThan" aboveAverage="0" equalAverage="0" bottom="0" percent="0" rank="0" text="" dxfId="10">
      <formula>e{r}</formula>
    </cfRule>
  </conditionalFormatting>
  <conditionalFormatting sqref="H730">
    <cfRule type="cellIs" priority="2174" operator="greaterThan" aboveAverage="0" equalAverage="0" bottom="0" percent="0" rank="0" text="" dxfId="1">
      <formula>0</formula>
    </cfRule>
    <cfRule type="cellIs" priority="2175" operator="lessThanOrEqual" aboveAverage="0" equalAverage="0" bottom="0" percent="0" rank="0" text="" dxfId="0">
      <formula>0</formula>
    </cfRule>
  </conditionalFormatting>
  <conditionalFormatting sqref="G730">
    <cfRule type="cellIs" priority="2176" operator="greaterThan" aboveAverage="0" equalAverage="0" bottom="0" percent="0" rank="0" text="" dxfId="10">
      <formula>e{r}</formula>
    </cfRule>
  </conditionalFormatting>
  <conditionalFormatting sqref="H731">
    <cfRule type="cellIs" priority="2177" operator="greaterThan" aboveAverage="0" equalAverage="0" bottom="0" percent="0" rank="0" text="" dxfId="1">
      <formula>0</formula>
    </cfRule>
    <cfRule type="cellIs" priority="2178" operator="lessThanOrEqual" aboveAverage="0" equalAverage="0" bottom="0" percent="0" rank="0" text="" dxfId="0">
      <formula>0</formula>
    </cfRule>
  </conditionalFormatting>
  <conditionalFormatting sqref="G731">
    <cfRule type="cellIs" priority="2179" operator="greaterThan" aboveAverage="0" equalAverage="0" bottom="0" percent="0" rank="0" text="" dxfId="10">
      <formula>e{r}</formula>
    </cfRule>
  </conditionalFormatting>
  <conditionalFormatting sqref="H732">
    <cfRule type="cellIs" priority="2180" operator="greaterThan" aboveAverage="0" equalAverage="0" bottom="0" percent="0" rank="0" text="" dxfId="1">
      <formula>0</formula>
    </cfRule>
    <cfRule type="cellIs" priority="2181" operator="lessThanOrEqual" aboveAverage="0" equalAverage="0" bottom="0" percent="0" rank="0" text="" dxfId="0">
      <formula>0</formula>
    </cfRule>
  </conditionalFormatting>
  <conditionalFormatting sqref="G732">
    <cfRule type="cellIs" priority="2182" operator="greaterThan" aboveAverage="0" equalAverage="0" bottom="0" percent="0" rank="0" text="" dxfId="10">
      <formula>e{r}</formula>
    </cfRule>
  </conditionalFormatting>
  <conditionalFormatting sqref="H733">
    <cfRule type="cellIs" priority="2183" operator="greaterThan" aboveAverage="0" equalAverage="0" bottom="0" percent="0" rank="0" text="" dxfId="1">
      <formula>0</formula>
    </cfRule>
    <cfRule type="cellIs" priority="2184" operator="lessThanOrEqual" aboveAverage="0" equalAverage="0" bottom="0" percent="0" rank="0" text="" dxfId="0">
      <formula>0</formula>
    </cfRule>
  </conditionalFormatting>
  <conditionalFormatting sqref="G733">
    <cfRule type="cellIs" priority="2185" operator="greaterThan" aboveAverage="0" equalAverage="0" bottom="0" percent="0" rank="0" text="" dxfId="10">
      <formula>e{r}</formula>
    </cfRule>
  </conditionalFormatting>
  <conditionalFormatting sqref="H734">
    <cfRule type="cellIs" priority="2186" operator="greaterThan" aboveAverage="0" equalAverage="0" bottom="0" percent="0" rank="0" text="" dxfId="1">
      <formula>0</formula>
    </cfRule>
    <cfRule type="cellIs" priority="2187" operator="lessThanOrEqual" aboveAverage="0" equalAverage="0" bottom="0" percent="0" rank="0" text="" dxfId="0">
      <formula>0</formula>
    </cfRule>
  </conditionalFormatting>
  <conditionalFormatting sqref="G734">
    <cfRule type="cellIs" priority="2188" operator="greaterThan" aboveAverage="0" equalAverage="0" bottom="0" percent="0" rank="0" text="" dxfId="10">
      <formula>e{r}</formula>
    </cfRule>
  </conditionalFormatting>
  <conditionalFormatting sqref="H735">
    <cfRule type="cellIs" priority="2189" operator="greaterThan" aboveAverage="0" equalAverage="0" bottom="0" percent="0" rank="0" text="" dxfId="1">
      <formula>0</formula>
    </cfRule>
    <cfRule type="cellIs" priority="2190" operator="lessThanOrEqual" aboveAverage="0" equalAverage="0" bottom="0" percent="0" rank="0" text="" dxfId="0">
      <formula>0</formula>
    </cfRule>
  </conditionalFormatting>
  <conditionalFormatting sqref="G735">
    <cfRule type="cellIs" priority="2191" operator="greaterThan" aboveAverage="0" equalAverage="0" bottom="0" percent="0" rank="0" text="" dxfId="10">
      <formula>e{r}</formula>
    </cfRule>
  </conditionalFormatting>
  <conditionalFormatting sqref="H736">
    <cfRule type="cellIs" priority="2192" operator="greaterThan" aboveAverage="0" equalAverage="0" bottom="0" percent="0" rank="0" text="" dxfId="1">
      <formula>0</formula>
    </cfRule>
    <cfRule type="cellIs" priority="2193" operator="lessThanOrEqual" aboveAverage="0" equalAverage="0" bottom="0" percent="0" rank="0" text="" dxfId="0">
      <formula>0</formula>
    </cfRule>
  </conditionalFormatting>
  <conditionalFormatting sqref="G736">
    <cfRule type="cellIs" priority="2194" operator="greaterThan" aboveAverage="0" equalAverage="0" bottom="0" percent="0" rank="0" text="" dxfId="10">
      <formula>e{r}</formula>
    </cfRule>
  </conditionalFormatting>
  <conditionalFormatting sqref="H737">
    <cfRule type="cellIs" priority="2195" operator="greaterThan" aboveAverage="0" equalAverage="0" bottom="0" percent="0" rank="0" text="" dxfId="1">
      <formula>0</formula>
    </cfRule>
    <cfRule type="cellIs" priority="2196" operator="lessThanOrEqual" aboveAverage="0" equalAverage="0" bottom="0" percent="0" rank="0" text="" dxfId="0">
      <formula>0</formula>
    </cfRule>
  </conditionalFormatting>
  <conditionalFormatting sqref="G737">
    <cfRule type="cellIs" priority="2197" operator="greaterThan" aboveAverage="0" equalAverage="0" bottom="0" percent="0" rank="0" text="" dxfId="10">
      <formula>e{r}</formula>
    </cfRule>
  </conditionalFormatting>
  <conditionalFormatting sqref="H738">
    <cfRule type="cellIs" priority="2198" operator="greaterThan" aboveAverage="0" equalAverage="0" bottom="0" percent="0" rank="0" text="" dxfId="1">
      <formula>0</formula>
    </cfRule>
    <cfRule type="cellIs" priority="2199" operator="lessThanOrEqual" aboveAverage="0" equalAverage="0" bottom="0" percent="0" rank="0" text="" dxfId="0">
      <formula>0</formula>
    </cfRule>
  </conditionalFormatting>
  <conditionalFormatting sqref="G738">
    <cfRule type="cellIs" priority="2200" operator="greaterThan" aboveAverage="0" equalAverage="0" bottom="0" percent="0" rank="0" text="" dxfId="10">
      <formula>e{r}</formula>
    </cfRule>
  </conditionalFormatting>
  <conditionalFormatting sqref="H739">
    <cfRule type="cellIs" priority="2201" operator="greaterThan" aboveAverage="0" equalAverage="0" bottom="0" percent="0" rank="0" text="" dxfId="1">
      <formula>0</formula>
    </cfRule>
    <cfRule type="cellIs" priority="2202" operator="lessThanOrEqual" aboveAverage="0" equalAverage="0" bottom="0" percent="0" rank="0" text="" dxfId="0">
      <formula>0</formula>
    </cfRule>
  </conditionalFormatting>
  <conditionalFormatting sqref="G739">
    <cfRule type="cellIs" priority="2203" operator="greaterThan" aboveAverage="0" equalAverage="0" bottom="0" percent="0" rank="0" text="" dxfId="10">
      <formula>e{r}</formula>
    </cfRule>
  </conditionalFormatting>
  <conditionalFormatting sqref="H740">
    <cfRule type="cellIs" priority="2204" operator="greaterThan" aboveAverage="0" equalAverage="0" bottom="0" percent="0" rank="0" text="" dxfId="1">
      <formula>0</formula>
    </cfRule>
    <cfRule type="cellIs" priority="2205" operator="lessThanOrEqual" aboveAverage="0" equalAverage="0" bottom="0" percent="0" rank="0" text="" dxfId="0">
      <formula>0</formula>
    </cfRule>
  </conditionalFormatting>
  <conditionalFormatting sqref="G740">
    <cfRule type="cellIs" priority="2206" operator="greaterThan" aboveAverage="0" equalAverage="0" bottom="0" percent="0" rank="0" text="" dxfId="10">
      <formula>e{r}</formula>
    </cfRule>
  </conditionalFormatting>
  <conditionalFormatting sqref="H741">
    <cfRule type="cellIs" priority="2207" operator="greaterThan" aboveAverage="0" equalAverage="0" bottom="0" percent="0" rank="0" text="" dxfId="1">
      <formula>0</formula>
    </cfRule>
    <cfRule type="cellIs" priority="2208" operator="lessThanOrEqual" aboveAverage="0" equalAverage="0" bottom="0" percent="0" rank="0" text="" dxfId="0">
      <formula>0</formula>
    </cfRule>
  </conditionalFormatting>
  <conditionalFormatting sqref="G741">
    <cfRule type="cellIs" priority="2209" operator="greaterThan" aboveAverage="0" equalAverage="0" bottom="0" percent="0" rank="0" text="" dxfId="10">
      <formula>e{r}</formula>
    </cfRule>
  </conditionalFormatting>
  <conditionalFormatting sqref="H742">
    <cfRule type="cellIs" priority="2210" operator="greaterThan" aboveAverage="0" equalAverage="0" bottom="0" percent="0" rank="0" text="" dxfId="1">
      <formula>0</formula>
    </cfRule>
    <cfRule type="cellIs" priority="2211" operator="lessThanOrEqual" aboveAverage="0" equalAverage="0" bottom="0" percent="0" rank="0" text="" dxfId="0">
      <formula>0</formula>
    </cfRule>
  </conditionalFormatting>
  <conditionalFormatting sqref="G742">
    <cfRule type="cellIs" priority="2212" operator="greaterThan" aboveAverage="0" equalAverage="0" bottom="0" percent="0" rank="0" text="" dxfId="10">
      <formula>e{r}</formula>
    </cfRule>
  </conditionalFormatting>
  <conditionalFormatting sqref="H743">
    <cfRule type="cellIs" priority="2213" operator="greaterThan" aboveAverage="0" equalAverage="0" bottom="0" percent="0" rank="0" text="" dxfId="1">
      <formula>0</formula>
    </cfRule>
    <cfRule type="cellIs" priority="2214" operator="lessThanOrEqual" aboveAverage="0" equalAverage="0" bottom="0" percent="0" rank="0" text="" dxfId="0">
      <formula>0</formula>
    </cfRule>
  </conditionalFormatting>
  <conditionalFormatting sqref="G743">
    <cfRule type="cellIs" priority="2215" operator="greaterThan" aboveAverage="0" equalAverage="0" bottom="0" percent="0" rank="0" text="" dxfId="10">
      <formula>e{r}</formula>
    </cfRule>
  </conditionalFormatting>
  <conditionalFormatting sqref="H744">
    <cfRule type="cellIs" priority="2216" operator="greaterThan" aboveAverage="0" equalAverage="0" bottom="0" percent="0" rank="0" text="" dxfId="1">
      <formula>0</formula>
    </cfRule>
    <cfRule type="cellIs" priority="2217" operator="lessThanOrEqual" aboveAverage="0" equalAverage="0" bottom="0" percent="0" rank="0" text="" dxfId="0">
      <formula>0</formula>
    </cfRule>
  </conditionalFormatting>
  <conditionalFormatting sqref="G744">
    <cfRule type="cellIs" priority="2218" operator="greaterThan" aboveAverage="0" equalAverage="0" bottom="0" percent="0" rank="0" text="" dxfId="10">
      <formula>e{r}</formula>
    </cfRule>
  </conditionalFormatting>
  <conditionalFormatting sqref="H745">
    <cfRule type="cellIs" priority="2219" operator="greaterThan" aboveAverage="0" equalAverage="0" bottom="0" percent="0" rank="0" text="" dxfId="1">
      <formula>0</formula>
    </cfRule>
    <cfRule type="cellIs" priority="2220" operator="lessThanOrEqual" aboveAverage="0" equalAverage="0" bottom="0" percent="0" rank="0" text="" dxfId="0">
      <formula>0</formula>
    </cfRule>
  </conditionalFormatting>
  <conditionalFormatting sqref="G745">
    <cfRule type="cellIs" priority="2221" operator="greaterThan" aboveAverage="0" equalAverage="0" bottom="0" percent="0" rank="0" text="" dxfId="10">
      <formula>e{r}</formula>
    </cfRule>
  </conditionalFormatting>
  <conditionalFormatting sqref="H746">
    <cfRule type="cellIs" priority="2222" operator="greaterThan" aboveAverage="0" equalAverage="0" bottom="0" percent="0" rank="0" text="" dxfId="1">
      <formula>0</formula>
    </cfRule>
    <cfRule type="cellIs" priority="2223" operator="lessThanOrEqual" aboveAverage="0" equalAverage="0" bottom="0" percent="0" rank="0" text="" dxfId="0">
      <formula>0</formula>
    </cfRule>
  </conditionalFormatting>
  <conditionalFormatting sqref="G746">
    <cfRule type="cellIs" priority="2224" operator="greaterThan" aboveAverage="0" equalAverage="0" bottom="0" percent="0" rank="0" text="" dxfId="10">
      <formula>e{r}</formula>
    </cfRule>
  </conditionalFormatting>
  <conditionalFormatting sqref="H747">
    <cfRule type="cellIs" priority="2225" operator="greaterThan" aboveAverage="0" equalAverage="0" bottom="0" percent="0" rank="0" text="" dxfId="1">
      <formula>0</formula>
    </cfRule>
    <cfRule type="cellIs" priority="2226" operator="lessThanOrEqual" aboveAverage="0" equalAverage="0" bottom="0" percent="0" rank="0" text="" dxfId="0">
      <formula>0</formula>
    </cfRule>
  </conditionalFormatting>
  <conditionalFormatting sqref="G747">
    <cfRule type="cellIs" priority="2227" operator="greaterThan" aboveAverage="0" equalAverage="0" bottom="0" percent="0" rank="0" text="" dxfId="10">
      <formula>e{r}</formula>
    </cfRule>
  </conditionalFormatting>
  <conditionalFormatting sqref="H748">
    <cfRule type="cellIs" priority="2228" operator="greaterThan" aboveAverage="0" equalAverage="0" bottom="0" percent="0" rank="0" text="" dxfId="1">
      <formula>0</formula>
    </cfRule>
    <cfRule type="cellIs" priority="2229" operator="lessThanOrEqual" aboveAverage="0" equalAverage="0" bottom="0" percent="0" rank="0" text="" dxfId="0">
      <formula>0</formula>
    </cfRule>
  </conditionalFormatting>
  <conditionalFormatting sqref="G748">
    <cfRule type="cellIs" priority="2230" operator="greaterThan" aboveAverage="0" equalAverage="0" bottom="0" percent="0" rank="0" text="" dxfId="10">
      <formula>e{r}</formula>
    </cfRule>
  </conditionalFormatting>
  <conditionalFormatting sqref="H749">
    <cfRule type="cellIs" priority="2231" operator="greaterThan" aboveAverage="0" equalAverage="0" bottom="0" percent="0" rank="0" text="" dxfId="1">
      <formula>0</formula>
    </cfRule>
    <cfRule type="cellIs" priority="2232" operator="lessThanOrEqual" aboveAverage="0" equalAverage="0" bottom="0" percent="0" rank="0" text="" dxfId="0">
      <formula>0</formula>
    </cfRule>
  </conditionalFormatting>
  <conditionalFormatting sqref="G749">
    <cfRule type="cellIs" priority="2233" operator="greaterThan" aboveAverage="0" equalAverage="0" bottom="0" percent="0" rank="0" text="" dxfId="10">
      <formula>e{r}</formula>
    </cfRule>
  </conditionalFormatting>
  <conditionalFormatting sqref="H750">
    <cfRule type="cellIs" priority="2234" operator="greaterThan" aboveAverage="0" equalAverage="0" bottom="0" percent="0" rank="0" text="" dxfId="1">
      <formula>0</formula>
    </cfRule>
    <cfRule type="cellIs" priority="2235" operator="lessThanOrEqual" aboveAverage="0" equalAverage="0" bottom="0" percent="0" rank="0" text="" dxfId="0">
      <formula>0</formula>
    </cfRule>
  </conditionalFormatting>
  <conditionalFormatting sqref="G750">
    <cfRule type="cellIs" priority="2236" operator="greaterThan" aboveAverage="0" equalAverage="0" bottom="0" percent="0" rank="0" text="" dxfId="10">
      <formula>e{r}</formula>
    </cfRule>
  </conditionalFormatting>
  <conditionalFormatting sqref="H751">
    <cfRule type="cellIs" priority="2237" operator="greaterThan" aboveAverage="0" equalAverage="0" bottom="0" percent="0" rank="0" text="" dxfId="1">
      <formula>0</formula>
    </cfRule>
    <cfRule type="cellIs" priority="2238" operator="lessThanOrEqual" aboveAverage="0" equalAverage="0" bottom="0" percent="0" rank="0" text="" dxfId="0">
      <formula>0</formula>
    </cfRule>
  </conditionalFormatting>
  <conditionalFormatting sqref="G751">
    <cfRule type="cellIs" priority="2239" operator="greaterThan" aboveAverage="0" equalAverage="0" bottom="0" percent="0" rank="0" text="" dxfId="10">
      <formula>e{r}</formula>
    </cfRule>
  </conditionalFormatting>
  <conditionalFormatting sqref="H752">
    <cfRule type="cellIs" priority="2240" operator="greaterThan" aboveAverage="0" equalAverage="0" bottom="0" percent="0" rank="0" text="" dxfId="1">
      <formula>0</formula>
    </cfRule>
    <cfRule type="cellIs" priority="2241" operator="lessThanOrEqual" aboveAverage="0" equalAverage="0" bottom="0" percent="0" rank="0" text="" dxfId="0">
      <formula>0</formula>
    </cfRule>
  </conditionalFormatting>
  <conditionalFormatting sqref="G752">
    <cfRule type="cellIs" priority="2242" operator="greaterThan" aboveAverage="0" equalAverage="0" bottom="0" percent="0" rank="0" text="" dxfId="10">
      <formula>e{r}</formula>
    </cfRule>
  </conditionalFormatting>
  <conditionalFormatting sqref="H753">
    <cfRule type="cellIs" priority="2243" operator="greaterThan" aboveAverage="0" equalAverage="0" bottom="0" percent="0" rank="0" text="" dxfId="1">
      <formula>0</formula>
    </cfRule>
    <cfRule type="cellIs" priority="2244" operator="lessThanOrEqual" aboveAverage="0" equalAverage="0" bottom="0" percent="0" rank="0" text="" dxfId="0">
      <formula>0</formula>
    </cfRule>
  </conditionalFormatting>
  <conditionalFormatting sqref="G753">
    <cfRule type="cellIs" priority="2245" operator="greaterThan" aboveAverage="0" equalAverage="0" bottom="0" percent="0" rank="0" text="" dxfId="10">
      <formula>e{r}</formula>
    </cfRule>
  </conditionalFormatting>
  <conditionalFormatting sqref="H754">
    <cfRule type="cellIs" priority="2246" operator="greaterThan" aboveAverage="0" equalAverage="0" bottom="0" percent="0" rank="0" text="" dxfId="1">
      <formula>0</formula>
    </cfRule>
    <cfRule type="cellIs" priority="2247" operator="lessThanOrEqual" aboveAverage="0" equalAverage="0" bottom="0" percent="0" rank="0" text="" dxfId="0">
      <formula>0</formula>
    </cfRule>
  </conditionalFormatting>
  <conditionalFormatting sqref="G754">
    <cfRule type="cellIs" priority="2248" operator="greaterThan" aboveAverage="0" equalAverage="0" bottom="0" percent="0" rank="0" text="" dxfId="10">
      <formula>e{r}</formula>
    </cfRule>
  </conditionalFormatting>
  <conditionalFormatting sqref="H755">
    <cfRule type="cellIs" priority="2249" operator="greaterThan" aboveAverage="0" equalAverage="0" bottom="0" percent="0" rank="0" text="" dxfId="1">
      <formula>0</formula>
    </cfRule>
    <cfRule type="cellIs" priority="2250" operator="lessThanOrEqual" aboveAverage="0" equalAverage="0" bottom="0" percent="0" rank="0" text="" dxfId="0">
      <formula>0</formula>
    </cfRule>
  </conditionalFormatting>
  <conditionalFormatting sqref="G755">
    <cfRule type="cellIs" priority="2251" operator="greaterThan" aboveAverage="0" equalAverage="0" bottom="0" percent="0" rank="0" text="" dxfId="10">
      <formula>e{r}</formula>
    </cfRule>
  </conditionalFormatting>
  <conditionalFormatting sqref="H756">
    <cfRule type="cellIs" priority="2252" operator="greaterThan" aboveAverage="0" equalAverage="0" bottom="0" percent="0" rank="0" text="" dxfId="1">
      <formula>0</formula>
    </cfRule>
    <cfRule type="cellIs" priority="2253" operator="lessThanOrEqual" aboveAverage="0" equalAverage="0" bottom="0" percent="0" rank="0" text="" dxfId="0">
      <formula>0</formula>
    </cfRule>
  </conditionalFormatting>
  <conditionalFormatting sqref="G756">
    <cfRule type="cellIs" priority="2254" operator="greaterThan" aboveAverage="0" equalAverage="0" bottom="0" percent="0" rank="0" text="" dxfId="10">
      <formula>e{r}</formula>
    </cfRule>
  </conditionalFormatting>
  <conditionalFormatting sqref="H757">
    <cfRule type="cellIs" priority="2255" operator="greaterThan" aboveAverage="0" equalAverage="0" bottom="0" percent="0" rank="0" text="" dxfId="1">
      <formula>0</formula>
    </cfRule>
    <cfRule type="cellIs" priority="2256" operator="lessThanOrEqual" aboveAverage="0" equalAverage="0" bottom="0" percent="0" rank="0" text="" dxfId="0">
      <formula>0</formula>
    </cfRule>
  </conditionalFormatting>
  <conditionalFormatting sqref="G757">
    <cfRule type="cellIs" priority="2257" operator="greaterThan" aboveAverage="0" equalAverage="0" bottom="0" percent="0" rank="0" text="" dxfId="10">
      <formula>e{r}</formula>
    </cfRule>
  </conditionalFormatting>
  <conditionalFormatting sqref="H758">
    <cfRule type="cellIs" priority="2258" operator="greaterThan" aboveAverage="0" equalAverage="0" bottom="0" percent="0" rank="0" text="" dxfId="1">
      <formula>0</formula>
    </cfRule>
    <cfRule type="cellIs" priority="2259" operator="lessThanOrEqual" aboveAverage="0" equalAverage="0" bottom="0" percent="0" rank="0" text="" dxfId="0">
      <formula>0</formula>
    </cfRule>
  </conditionalFormatting>
  <conditionalFormatting sqref="G758">
    <cfRule type="cellIs" priority="2260" operator="greaterThan" aboveAverage="0" equalAverage="0" bottom="0" percent="0" rank="0" text="" dxfId="10">
      <formula>e{r}</formula>
    </cfRule>
  </conditionalFormatting>
  <conditionalFormatting sqref="H759">
    <cfRule type="cellIs" priority="2261" operator="greaterThan" aboveAverage="0" equalAverage="0" bottom="0" percent="0" rank="0" text="" dxfId="1">
      <formula>0</formula>
    </cfRule>
    <cfRule type="cellIs" priority="2262" operator="lessThanOrEqual" aboveAverage="0" equalAverage="0" bottom="0" percent="0" rank="0" text="" dxfId="0">
      <formula>0</formula>
    </cfRule>
  </conditionalFormatting>
  <conditionalFormatting sqref="G759">
    <cfRule type="cellIs" priority="2263" operator="greaterThan" aboveAverage="0" equalAverage="0" bottom="0" percent="0" rank="0" text="" dxfId="10">
      <formula>e{r}</formula>
    </cfRule>
  </conditionalFormatting>
  <conditionalFormatting sqref="H760">
    <cfRule type="cellIs" priority="2264" operator="greaterThan" aboveAverage="0" equalAverage="0" bottom="0" percent="0" rank="0" text="" dxfId="1">
      <formula>0</formula>
    </cfRule>
    <cfRule type="cellIs" priority="2265" operator="lessThanOrEqual" aboveAverage="0" equalAverage="0" bottom="0" percent="0" rank="0" text="" dxfId="0">
      <formula>0</formula>
    </cfRule>
  </conditionalFormatting>
  <conditionalFormatting sqref="G760">
    <cfRule type="cellIs" priority="2266" operator="greaterThan" aboveAverage="0" equalAverage="0" bottom="0" percent="0" rank="0" text="" dxfId="10">
      <formula>e{r}</formula>
    </cfRule>
  </conditionalFormatting>
  <conditionalFormatting sqref="H761">
    <cfRule type="cellIs" priority="2267" operator="greaterThan" aboveAverage="0" equalAverage="0" bottom="0" percent="0" rank="0" text="" dxfId="1">
      <formula>0</formula>
    </cfRule>
    <cfRule type="cellIs" priority="2268" operator="lessThanOrEqual" aboveAverage="0" equalAverage="0" bottom="0" percent="0" rank="0" text="" dxfId="0">
      <formula>0</formula>
    </cfRule>
  </conditionalFormatting>
  <conditionalFormatting sqref="G761">
    <cfRule type="cellIs" priority="2269" operator="greaterThan" aboveAverage="0" equalAverage="0" bottom="0" percent="0" rank="0" text="" dxfId="10">
      <formula>e{r}</formula>
    </cfRule>
  </conditionalFormatting>
  <conditionalFormatting sqref="H762">
    <cfRule type="cellIs" priority="2270" operator="greaterThan" aboveAverage="0" equalAverage="0" bottom="0" percent="0" rank="0" text="" dxfId="1">
      <formula>0</formula>
    </cfRule>
    <cfRule type="cellIs" priority="2271" operator="lessThanOrEqual" aboveAverage="0" equalAverage="0" bottom="0" percent="0" rank="0" text="" dxfId="0">
      <formula>0</formula>
    </cfRule>
  </conditionalFormatting>
  <conditionalFormatting sqref="G762">
    <cfRule type="cellIs" priority="2272" operator="greaterThan" aboveAverage="0" equalAverage="0" bottom="0" percent="0" rank="0" text="" dxfId="10">
      <formula>e{r}</formula>
    </cfRule>
  </conditionalFormatting>
  <conditionalFormatting sqref="H763">
    <cfRule type="cellIs" priority="2273" operator="greaterThan" aboveAverage="0" equalAverage="0" bottom="0" percent="0" rank="0" text="" dxfId="1">
      <formula>0</formula>
    </cfRule>
    <cfRule type="cellIs" priority="2274" operator="lessThanOrEqual" aboveAverage="0" equalAverage="0" bottom="0" percent="0" rank="0" text="" dxfId="0">
      <formula>0</formula>
    </cfRule>
  </conditionalFormatting>
  <conditionalFormatting sqref="G763">
    <cfRule type="cellIs" priority="2275" operator="greaterThan" aboveAverage="0" equalAverage="0" bottom="0" percent="0" rank="0" text="" dxfId="10">
      <formula>e{r}</formula>
    </cfRule>
  </conditionalFormatting>
  <conditionalFormatting sqref="H764">
    <cfRule type="cellIs" priority="2276" operator="greaterThan" aboveAverage="0" equalAverage="0" bottom="0" percent="0" rank="0" text="" dxfId="1">
      <formula>0</formula>
    </cfRule>
    <cfRule type="cellIs" priority="2277" operator="lessThanOrEqual" aboveAverage="0" equalAverage="0" bottom="0" percent="0" rank="0" text="" dxfId="0">
      <formula>0</formula>
    </cfRule>
  </conditionalFormatting>
  <conditionalFormatting sqref="G764">
    <cfRule type="cellIs" priority="2278" operator="greaterThan" aboveAverage="0" equalAverage="0" bottom="0" percent="0" rank="0" text="" dxfId="10">
      <formula>e{r}</formula>
    </cfRule>
  </conditionalFormatting>
  <conditionalFormatting sqref="H765">
    <cfRule type="cellIs" priority="2279" operator="greaterThan" aboveAverage="0" equalAverage="0" bottom="0" percent="0" rank="0" text="" dxfId="1">
      <formula>0</formula>
    </cfRule>
    <cfRule type="cellIs" priority="2280" operator="lessThanOrEqual" aboveAverage="0" equalAverage="0" bottom="0" percent="0" rank="0" text="" dxfId="0">
      <formula>0</formula>
    </cfRule>
  </conditionalFormatting>
  <conditionalFormatting sqref="G765">
    <cfRule type="cellIs" priority="2281" operator="greaterThan" aboveAverage="0" equalAverage="0" bottom="0" percent="0" rank="0" text="" dxfId="10">
      <formula>e{r}</formula>
    </cfRule>
  </conditionalFormatting>
  <conditionalFormatting sqref="H766">
    <cfRule type="cellIs" priority="2282" operator="greaterThan" aboveAverage="0" equalAverage="0" bottom="0" percent="0" rank="0" text="" dxfId="1">
      <formula>0</formula>
    </cfRule>
    <cfRule type="cellIs" priority="2283" operator="lessThanOrEqual" aboveAverage="0" equalAverage="0" bottom="0" percent="0" rank="0" text="" dxfId="0">
      <formula>0</formula>
    </cfRule>
  </conditionalFormatting>
  <conditionalFormatting sqref="G766">
    <cfRule type="cellIs" priority="2284" operator="greaterThan" aboveAverage="0" equalAverage="0" bottom="0" percent="0" rank="0" text="" dxfId="10">
      <formula>e{r}</formula>
    </cfRule>
  </conditionalFormatting>
  <conditionalFormatting sqref="H767">
    <cfRule type="cellIs" priority="2285" operator="greaterThan" aboveAverage="0" equalAverage="0" bottom="0" percent="0" rank="0" text="" dxfId="1">
      <formula>0</formula>
    </cfRule>
    <cfRule type="cellIs" priority="2286" operator="lessThanOrEqual" aboveAverage="0" equalAverage="0" bottom="0" percent="0" rank="0" text="" dxfId="0">
      <formula>0</formula>
    </cfRule>
  </conditionalFormatting>
  <conditionalFormatting sqref="G767">
    <cfRule type="cellIs" priority="2287" operator="greaterThan" aboveAverage="0" equalAverage="0" bottom="0" percent="0" rank="0" text="" dxfId="10">
      <formula>e{r}</formula>
    </cfRule>
  </conditionalFormatting>
  <conditionalFormatting sqref="H768">
    <cfRule type="cellIs" priority="2288" operator="greaterThan" aboveAverage="0" equalAverage="0" bottom="0" percent="0" rank="0" text="" dxfId="1">
      <formula>0</formula>
    </cfRule>
    <cfRule type="cellIs" priority="2289" operator="lessThanOrEqual" aboveAverage="0" equalAverage="0" bottom="0" percent="0" rank="0" text="" dxfId="0">
      <formula>0</formula>
    </cfRule>
  </conditionalFormatting>
  <conditionalFormatting sqref="G768">
    <cfRule type="cellIs" priority="2290" operator="greaterThan" aboveAverage="0" equalAverage="0" bottom="0" percent="0" rank="0" text="" dxfId="10">
      <formula>e{r}</formula>
    </cfRule>
  </conditionalFormatting>
  <conditionalFormatting sqref="H769">
    <cfRule type="cellIs" priority="2291" operator="greaterThan" aboveAverage="0" equalAverage="0" bottom="0" percent="0" rank="0" text="" dxfId="1">
      <formula>0</formula>
    </cfRule>
    <cfRule type="cellIs" priority="2292" operator="lessThanOrEqual" aboveAverage="0" equalAverage="0" bottom="0" percent="0" rank="0" text="" dxfId="0">
      <formula>0</formula>
    </cfRule>
  </conditionalFormatting>
  <conditionalFormatting sqref="G769">
    <cfRule type="cellIs" priority="2293" operator="greaterThan" aboveAverage="0" equalAverage="0" bottom="0" percent="0" rank="0" text="" dxfId="10">
      <formula>e{r}</formula>
    </cfRule>
  </conditionalFormatting>
  <conditionalFormatting sqref="H770">
    <cfRule type="cellIs" priority="2294" operator="greaterThan" aboveAverage="0" equalAverage="0" bottom="0" percent="0" rank="0" text="" dxfId="1">
      <formula>0</formula>
    </cfRule>
    <cfRule type="cellIs" priority="2295" operator="lessThanOrEqual" aboveAverage="0" equalAverage="0" bottom="0" percent="0" rank="0" text="" dxfId="0">
      <formula>0</formula>
    </cfRule>
  </conditionalFormatting>
  <conditionalFormatting sqref="G770">
    <cfRule type="cellIs" priority="2296" operator="greaterThan" aboveAverage="0" equalAverage="0" bottom="0" percent="0" rank="0" text="" dxfId="10">
      <formula>e{r}</formula>
    </cfRule>
  </conditionalFormatting>
  <conditionalFormatting sqref="H771">
    <cfRule type="cellIs" priority="2297" operator="greaterThan" aboveAverage="0" equalAverage="0" bottom="0" percent="0" rank="0" text="" dxfId="1">
      <formula>0</formula>
    </cfRule>
    <cfRule type="cellIs" priority="2298" operator="lessThanOrEqual" aboveAverage="0" equalAverage="0" bottom="0" percent="0" rank="0" text="" dxfId="0">
      <formula>0</formula>
    </cfRule>
  </conditionalFormatting>
  <conditionalFormatting sqref="G771">
    <cfRule type="cellIs" priority="2299" operator="greaterThan" aboveAverage="0" equalAverage="0" bottom="0" percent="0" rank="0" text="" dxfId="10">
      <formula>e{r}</formula>
    </cfRule>
  </conditionalFormatting>
  <conditionalFormatting sqref="H772">
    <cfRule type="cellIs" priority="2300" operator="greaterThan" aboveAverage="0" equalAverage="0" bottom="0" percent="0" rank="0" text="" dxfId="1">
      <formula>0</formula>
    </cfRule>
    <cfRule type="cellIs" priority="2301" operator="lessThanOrEqual" aboveAverage="0" equalAverage="0" bottom="0" percent="0" rank="0" text="" dxfId="0">
      <formula>0</formula>
    </cfRule>
  </conditionalFormatting>
  <conditionalFormatting sqref="G772">
    <cfRule type="cellIs" priority="2302" operator="greaterThan" aboveAverage="0" equalAverage="0" bottom="0" percent="0" rank="0" text="" dxfId="10">
      <formula>e{r}</formula>
    </cfRule>
  </conditionalFormatting>
  <conditionalFormatting sqref="H773">
    <cfRule type="cellIs" priority="2303" operator="greaterThan" aboveAverage="0" equalAverage="0" bottom="0" percent="0" rank="0" text="" dxfId="1">
      <formula>0</formula>
    </cfRule>
    <cfRule type="cellIs" priority="2304" operator="lessThanOrEqual" aboveAverage="0" equalAverage="0" bottom="0" percent="0" rank="0" text="" dxfId="0">
      <formula>0</formula>
    </cfRule>
  </conditionalFormatting>
  <conditionalFormatting sqref="G773">
    <cfRule type="cellIs" priority="2305" operator="greaterThan" aboveAverage="0" equalAverage="0" bottom="0" percent="0" rank="0" text="" dxfId="10">
      <formula>e{r}</formula>
    </cfRule>
  </conditionalFormatting>
  <conditionalFormatting sqref="H774">
    <cfRule type="cellIs" priority="2306" operator="greaterThan" aboveAverage="0" equalAverage="0" bottom="0" percent="0" rank="0" text="" dxfId="1">
      <formula>0</formula>
    </cfRule>
    <cfRule type="cellIs" priority="2307" operator="lessThanOrEqual" aboveAverage="0" equalAverage="0" bottom="0" percent="0" rank="0" text="" dxfId="0">
      <formula>0</formula>
    </cfRule>
  </conditionalFormatting>
  <conditionalFormatting sqref="G774">
    <cfRule type="cellIs" priority="2308" operator="greaterThan" aboveAverage="0" equalAverage="0" bottom="0" percent="0" rank="0" text="" dxfId="10">
      <formula>e{r}</formula>
    </cfRule>
  </conditionalFormatting>
  <conditionalFormatting sqref="H775">
    <cfRule type="cellIs" priority="2309" operator="greaterThan" aboveAverage="0" equalAverage="0" bottom="0" percent="0" rank="0" text="" dxfId="1">
      <formula>0</formula>
    </cfRule>
    <cfRule type="cellIs" priority="2310" operator="lessThanOrEqual" aboveAverage="0" equalAverage="0" bottom="0" percent="0" rank="0" text="" dxfId="0">
      <formula>0</formula>
    </cfRule>
  </conditionalFormatting>
  <conditionalFormatting sqref="G775">
    <cfRule type="cellIs" priority="2311" operator="greaterThan" aboveAverage="0" equalAverage="0" bottom="0" percent="0" rank="0" text="" dxfId="10">
      <formula>e{r}</formula>
    </cfRule>
  </conditionalFormatting>
  <conditionalFormatting sqref="H776">
    <cfRule type="cellIs" priority="2312" operator="greaterThan" aboveAverage="0" equalAverage="0" bottom="0" percent="0" rank="0" text="" dxfId="1">
      <formula>0</formula>
    </cfRule>
    <cfRule type="cellIs" priority="2313" operator="lessThanOrEqual" aboveAverage="0" equalAverage="0" bottom="0" percent="0" rank="0" text="" dxfId="0">
      <formula>0</formula>
    </cfRule>
  </conditionalFormatting>
  <conditionalFormatting sqref="G776">
    <cfRule type="cellIs" priority="2314" operator="greaterThan" aboveAverage="0" equalAverage="0" bottom="0" percent="0" rank="0" text="" dxfId="10">
      <formula>e{r}</formula>
    </cfRule>
  </conditionalFormatting>
  <conditionalFormatting sqref="H777">
    <cfRule type="cellIs" priority="2315" operator="greaterThan" aboveAverage="0" equalAverage="0" bottom="0" percent="0" rank="0" text="" dxfId="1">
      <formula>0</formula>
    </cfRule>
    <cfRule type="cellIs" priority="2316" operator="lessThanOrEqual" aboveAverage="0" equalAverage="0" bottom="0" percent="0" rank="0" text="" dxfId="0">
      <formula>0</formula>
    </cfRule>
  </conditionalFormatting>
  <conditionalFormatting sqref="G777">
    <cfRule type="cellIs" priority="2317" operator="greaterThan" aboveAverage="0" equalAverage="0" bottom="0" percent="0" rank="0" text="" dxfId="10">
      <formula>e{r}</formula>
    </cfRule>
  </conditionalFormatting>
  <conditionalFormatting sqref="H778">
    <cfRule type="cellIs" priority="2318" operator="greaterThan" aboveAverage="0" equalAverage="0" bottom="0" percent="0" rank="0" text="" dxfId="1">
      <formula>0</formula>
    </cfRule>
    <cfRule type="cellIs" priority="2319" operator="lessThanOrEqual" aboveAverage="0" equalAverage="0" bottom="0" percent="0" rank="0" text="" dxfId="0">
      <formula>0</formula>
    </cfRule>
  </conditionalFormatting>
  <conditionalFormatting sqref="G778">
    <cfRule type="cellIs" priority="2320" operator="greaterThan" aboveAverage="0" equalAverage="0" bottom="0" percent="0" rank="0" text="" dxfId="10">
      <formula>e{r}</formula>
    </cfRule>
  </conditionalFormatting>
  <conditionalFormatting sqref="H779">
    <cfRule type="cellIs" priority="2321" operator="greaterThan" aboveAverage="0" equalAverage="0" bottom="0" percent="0" rank="0" text="" dxfId="1">
      <formula>0</formula>
    </cfRule>
    <cfRule type="cellIs" priority="2322" operator="lessThanOrEqual" aboveAverage="0" equalAverage="0" bottom="0" percent="0" rank="0" text="" dxfId="0">
      <formula>0</formula>
    </cfRule>
  </conditionalFormatting>
  <conditionalFormatting sqref="G779">
    <cfRule type="cellIs" priority="2323" operator="greaterThan" aboveAverage="0" equalAverage="0" bottom="0" percent="0" rank="0" text="" dxfId="10">
      <formula>e{r}</formula>
    </cfRule>
  </conditionalFormatting>
  <conditionalFormatting sqref="H780">
    <cfRule type="cellIs" priority="2324" operator="greaterThan" aboveAverage="0" equalAverage="0" bottom="0" percent="0" rank="0" text="" dxfId="1">
      <formula>0</formula>
    </cfRule>
    <cfRule type="cellIs" priority="2325" operator="lessThanOrEqual" aboveAverage="0" equalAverage="0" bottom="0" percent="0" rank="0" text="" dxfId="0">
      <formula>0</formula>
    </cfRule>
  </conditionalFormatting>
  <conditionalFormatting sqref="G780">
    <cfRule type="cellIs" priority="2326" operator="greaterThan" aboveAverage="0" equalAverage="0" bottom="0" percent="0" rank="0" text="" dxfId="10">
      <formula>e{r}</formula>
    </cfRule>
  </conditionalFormatting>
  <conditionalFormatting sqref="H781">
    <cfRule type="cellIs" priority="2327" operator="greaterThan" aboveAverage="0" equalAverage="0" bottom="0" percent="0" rank="0" text="" dxfId="1">
      <formula>0</formula>
    </cfRule>
    <cfRule type="cellIs" priority="2328" operator="lessThanOrEqual" aboveAverage="0" equalAverage="0" bottom="0" percent="0" rank="0" text="" dxfId="0">
      <formula>0</formula>
    </cfRule>
  </conditionalFormatting>
  <conditionalFormatting sqref="G781">
    <cfRule type="cellIs" priority="2329" operator="greaterThan" aboveAverage="0" equalAverage="0" bottom="0" percent="0" rank="0" text="" dxfId="10">
      <formula>e{r}</formula>
    </cfRule>
  </conditionalFormatting>
  <conditionalFormatting sqref="H782">
    <cfRule type="cellIs" priority="2330" operator="greaterThan" aboveAverage="0" equalAverage="0" bottom="0" percent="0" rank="0" text="" dxfId="1">
      <formula>0</formula>
    </cfRule>
    <cfRule type="cellIs" priority="2331" operator="lessThanOrEqual" aboveAverage="0" equalAverage="0" bottom="0" percent="0" rank="0" text="" dxfId="0">
      <formula>0</formula>
    </cfRule>
  </conditionalFormatting>
  <conditionalFormatting sqref="G782">
    <cfRule type="cellIs" priority="2332" operator="greaterThan" aboveAverage="0" equalAverage="0" bottom="0" percent="0" rank="0" text="" dxfId="10">
      <formula>e{r}</formula>
    </cfRule>
  </conditionalFormatting>
  <conditionalFormatting sqref="H783">
    <cfRule type="cellIs" priority="2333" operator="greaterThan" aboveAverage="0" equalAverage="0" bottom="0" percent="0" rank="0" text="" dxfId="1">
      <formula>0</formula>
    </cfRule>
    <cfRule type="cellIs" priority="2334" operator="lessThanOrEqual" aboveAverage="0" equalAverage="0" bottom="0" percent="0" rank="0" text="" dxfId="0">
      <formula>0</formula>
    </cfRule>
  </conditionalFormatting>
  <conditionalFormatting sqref="G783">
    <cfRule type="cellIs" priority="2335" operator="greaterThan" aboveAverage="0" equalAverage="0" bottom="0" percent="0" rank="0" text="" dxfId="10">
      <formula>e{r}</formula>
    </cfRule>
  </conditionalFormatting>
  <conditionalFormatting sqref="H784">
    <cfRule type="cellIs" priority="2336" operator="greaterThan" aboveAverage="0" equalAverage="0" bottom="0" percent="0" rank="0" text="" dxfId="1">
      <formula>0</formula>
    </cfRule>
    <cfRule type="cellIs" priority="2337" operator="lessThanOrEqual" aboveAverage="0" equalAverage="0" bottom="0" percent="0" rank="0" text="" dxfId="0">
      <formula>0</formula>
    </cfRule>
  </conditionalFormatting>
  <conditionalFormatting sqref="G784">
    <cfRule type="cellIs" priority="2338" operator="greaterThan" aboveAverage="0" equalAverage="0" bottom="0" percent="0" rank="0" text="" dxfId="10">
      <formula>e{r}</formula>
    </cfRule>
  </conditionalFormatting>
  <conditionalFormatting sqref="H785">
    <cfRule type="cellIs" priority="2339" operator="greaterThan" aboveAverage="0" equalAverage="0" bottom="0" percent="0" rank="0" text="" dxfId="1">
      <formula>0</formula>
    </cfRule>
    <cfRule type="cellIs" priority="2340" operator="lessThanOrEqual" aboveAverage="0" equalAverage="0" bottom="0" percent="0" rank="0" text="" dxfId="0">
      <formula>0</formula>
    </cfRule>
  </conditionalFormatting>
  <conditionalFormatting sqref="G785">
    <cfRule type="cellIs" priority="2341" operator="greaterThan" aboveAverage="0" equalAverage="0" bottom="0" percent="0" rank="0" text="" dxfId="10">
      <formula>e{r}</formula>
    </cfRule>
  </conditionalFormatting>
  <conditionalFormatting sqref="H786">
    <cfRule type="cellIs" priority="2342" operator="greaterThan" aboveAverage="0" equalAverage="0" bottom="0" percent="0" rank="0" text="" dxfId="1">
      <formula>0</formula>
    </cfRule>
    <cfRule type="cellIs" priority="2343" operator="lessThanOrEqual" aboveAverage="0" equalAverage="0" bottom="0" percent="0" rank="0" text="" dxfId="0">
      <formula>0</formula>
    </cfRule>
  </conditionalFormatting>
  <conditionalFormatting sqref="G786">
    <cfRule type="cellIs" priority="2344" operator="greaterThan" aboveAverage="0" equalAverage="0" bottom="0" percent="0" rank="0" text="" dxfId="10">
      <formula>e{r}</formula>
    </cfRule>
  </conditionalFormatting>
  <conditionalFormatting sqref="H787">
    <cfRule type="cellIs" priority="2345" operator="greaterThan" aboveAverage="0" equalAverage="0" bottom="0" percent="0" rank="0" text="" dxfId="1">
      <formula>0</formula>
    </cfRule>
    <cfRule type="cellIs" priority="2346" operator="lessThanOrEqual" aboveAverage="0" equalAverage="0" bottom="0" percent="0" rank="0" text="" dxfId="0">
      <formula>0</formula>
    </cfRule>
  </conditionalFormatting>
  <conditionalFormatting sqref="G787">
    <cfRule type="cellIs" priority="2347" operator="greaterThan" aboveAverage="0" equalAverage="0" bottom="0" percent="0" rank="0" text="" dxfId="10">
      <formula>e{r}</formula>
    </cfRule>
  </conditionalFormatting>
  <conditionalFormatting sqref="H788">
    <cfRule type="cellIs" priority="2348" operator="greaterThan" aboveAverage="0" equalAverage="0" bottom="0" percent="0" rank="0" text="" dxfId="1">
      <formula>0</formula>
    </cfRule>
    <cfRule type="cellIs" priority="2349" operator="lessThanOrEqual" aboveAverage="0" equalAverage="0" bottom="0" percent="0" rank="0" text="" dxfId="0">
      <formula>0</formula>
    </cfRule>
  </conditionalFormatting>
  <conditionalFormatting sqref="G788">
    <cfRule type="cellIs" priority="2350" operator="greaterThan" aboveAverage="0" equalAverage="0" bottom="0" percent="0" rank="0" text="" dxfId="10">
      <formula>e{r}</formula>
    </cfRule>
  </conditionalFormatting>
  <conditionalFormatting sqref="H789">
    <cfRule type="cellIs" priority="2351" operator="greaterThan" aboveAverage="0" equalAverage="0" bottom="0" percent="0" rank="0" text="" dxfId="1">
      <formula>0</formula>
    </cfRule>
    <cfRule type="cellIs" priority="2352" operator="lessThanOrEqual" aboveAverage="0" equalAverage="0" bottom="0" percent="0" rank="0" text="" dxfId="0">
      <formula>0</formula>
    </cfRule>
  </conditionalFormatting>
  <conditionalFormatting sqref="G789">
    <cfRule type="cellIs" priority="2353" operator="greaterThan" aboveAverage="0" equalAverage="0" bottom="0" percent="0" rank="0" text="" dxfId="10">
      <formula>e{r}</formula>
    </cfRule>
  </conditionalFormatting>
  <conditionalFormatting sqref="H790">
    <cfRule type="cellIs" priority="2354" operator="greaterThan" aboveAverage="0" equalAverage="0" bottom="0" percent="0" rank="0" text="" dxfId="1">
      <formula>0</formula>
    </cfRule>
    <cfRule type="cellIs" priority="2355" operator="lessThanOrEqual" aboveAverage="0" equalAverage="0" bottom="0" percent="0" rank="0" text="" dxfId="0">
      <formula>0</formula>
    </cfRule>
  </conditionalFormatting>
  <conditionalFormatting sqref="G790">
    <cfRule type="cellIs" priority="2356" operator="greaterThan" aboveAverage="0" equalAverage="0" bottom="0" percent="0" rank="0" text="" dxfId="10">
      <formula>e{r}</formula>
    </cfRule>
  </conditionalFormatting>
  <conditionalFormatting sqref="H791">
    <cfRule type="cellIs" priority="2357" operator="greaterThan" aboveAverage="0" equalAverage="0" bottom="0" percent="0" rank="0" text="" dxfId="1">
      <formula>0</formula>
    </cfRule>
    <cfRule type="cellIs" priority="2358" operator="lessThanOrEqual" aboveAverage="0" equalAverage="0" bottom="0" percent="0" rank="0" text="" dxfId="0">
      <formula>0</formula>
    </cfRule>
  </conditionalFormatting>
  <conditionalFormatting sqref="G791">
    <cfRule type="cellIs" priority="2359" operator="greaterThan" aboveAverage="0" equalAverage="0" bottom="0" percent="0" rank="0" text="" dxfId="10">
      <formula>e{r}</formula>
    </cfRule>
  </conditionalFormatting>
  <conditionalFormatting sqref="H792">
    <cfRule type="cellIs" priority="2360" operator="greaterThan" aboveAverage="0" equalAverage="0" bottom="0" percent="0" rank="0" text="" dxfId="1">
      <formula>0</formula>
    </cfRule>
    <cfRule type="cellIs" priority="2361" operator="lessThanOrEqual" aboveAverage="0" equalAverage="0" bottom="0" percent="0" rank="0" text="" dxfId="0">
      <formula>0</formula>
    </cfRule>
  </conditionalFormatting>
  <conditionalFormatting sqref="G792">
    <cfRule type="cellIs" priority="2362" operator="greaterThan" aboveAverage="0" equalAverage="0" bottom="0" percent="0" rank="0" text="" dxfId="10">
      <formula>e{r}</formula>
    </cfRule>
  </conditionalFormatting>
  <conditionalFormatting sqref="H793">
    <cfRule type="cellIs" priority="2363" operator="greaterThan" aboveAverage="0" equalAverage="0" bottom="0" percent="0" rank="0" text="" dxfId="1">
      <formula>0</formula>
    </cfRule>
    <cfRule type="cellIs" priority="2364" operator="lessThanOrEqual" aboveAverage="0" equalAverage="0" bottom="0" percent="0" rank="0" text="" dxfId="0">
      <formula>0</formula>
    </cfRule>
  </conditionalFormatting>
  <conditionalFormatting sqref="G793">
    <cfRule type="cellIs" priority="2365" operator="greaterThan" aboveAverage="0" equalAverage="0" bottom="0" percent="0" rank="0" text="" dxfId="10">
      <formula>e{r}</formula>
    </cfRule>
  </conditionalFormatting>
  <conditionalFormatting sqref="H794">
    <cfRule type="cellIs" priority="2366" operator="greaterThan" aboveAverage="0" equalAverage="0" bottom="0" percent="0" rank="0" text="" dxfId="1">
      <formula>0</formula>
    </cfRule>
    <cfRule type="cellIs" priority="2367" operator="lessThanOrEqual" aboveAverage="0" equalAverage="0" bottom="0" percent="0" rank="0" text="" dxfId="0">
      <formula>0</formula>
    </cfRule>
  </conditionalFormatting>
  <conditionalFormatting sqref="G794">
    <cfRule type="cellIs" priority="2368" operator="greaterThan" aboveAverage="0" equalAverage="0" bottom="0" percent="0" rank="0" text="" dxfId="10">
      <formula>e{r}</formula>
    </cfRule>
  </conditionalFormatting>
  <conditionalFormatting sqref="H795">
    <cfRule type="cellIs" priority="2369" operator="greaterThan" aboveAverage="0" equalAverage="0" bottom="0" percent="0" rank="0" text="" dxfId="1">
      <formula>0</formula>
    </cfRule>
    <cfRule type="cellIs" priority="2370" operator="lessThanOrEqual" aboveAverage="0" equalAverage="0" bottom="0" percent="0" rank="0" text="" dxfId="0">
      <formula>0</formula>
    </cfRule>
  </conditionalFormatting>
  <conditionalFormatting sqref="G795">
    <cfRule type="cellIs" priority="2371" operator="greaterThan" aboveAverage="0" equalAverage="0" bottom="0" percent="0" rank="0" text="" dxfId="10">
      <formula>e{r}</formula>
    </cfRule>
  </conditionalFormatting>
  <conditionalFormatting sqref="H796">
    <cfRule type="cellIs" priority="2372" operator="greaterThan" aboveAverage="0" equalAverage="0" bottom="0" percent="0" rank="0" text="" dxfId="1">
      <formula>0</formula>
    </cfRule>
    <cfRule type="cellIs" priority="2373" operator="lessThanOrEqual" aboveAverage="0" equalAverage="0" bottom="0" percent="0" rank="0" text="" dxfId="0">
      <formula>0</formula>
    </cfRule>
  </conditionalFormatting>
  <conditionalFormatting sqref="G796">
    <cfRule type="cellIs" priority="2374" operator="greaterThan" aboveAverage="0" equalAverage="0" bottom="0" percent="0" rank="0" text="" dxfId="10">
      <formula>e{r}</formula>
    </cfRule>
  </conditionalFormatting>
  <conditionalFormatting sqref="H797">
    <cfRule type="cellIs" priority="2375" operator="greaterThan" aboveAverage="0" equalAverage="0" bottom="0" percent="0" rank="0" text="" dxfId="1">
      <formula>0</formula>
    </cfRule>
    <cfRule type="cellIs" priority="2376" operator="lessThanOrEqual" aboveAverage="0" equalAverage="0" bottom="0" percent="0" rank="0" text="" dxfId="0">
      <formula>0</formula>
    </cfRule>
  </conditionalFormatting>
  <conditionalFormatting sqref="G797">
    <cfRule type="cellIs" priority="2377" operator="greaterThan" aboveAverage="0" equalAverage="0" bottom="0" percent="0" rank="0" text="" dxfId="10">
      <formula>e{r}</formula>
    </cfRule>
  </conditionalFormatting>
  <conditionalFormatting sqref="H798">
    <cfRule type="cellIs" priority="2378" operator="greaterThan" aboveAverage="0" equalAverage="0" bottom="0" percent="0" rank="0" text="" dxfId="1">
      <formula>0</formula>
    </cfRule>
    <cfRule type="cellIs" priority="2379" operator="lessThanOrEqual" aboveAverage="0" equalAverage="0" bottom="0" percent="0" rank="0" text="" dxfId="0">
      <formula>0</formula>
    </cfRule>
  </conditionalFormatting>
  <conditionalFormatting sqref="G798">
    <cfRule type="cellIs" priority="2380" operator="greaterThan" aboveAverage="0" equalAverage="0" bottom="0" percent="0" rank="0" text="" dxfId="10">
      <formula>e{r}</formula>
    </cfRule>
  </conditionalFormatting>
  <conditionalFormatting sqref="H799">
    <cfRule type="cellIs" priority="2381" operator="greaterThan" aboveAverage="0" equalAverage="0" bottom="0" percent="0" rank="0" text="" dxfId="1">
      <formula>0</formula>
    </cfRule>
    <cfRule type="cellIs" priority="2382" operator="lessThanOrEqual" aboveAverage="0" equalAverage="0" bottom="0" percent="0" rank="0" text="" dxfId="0">
      <formula>0</formula>
    </cfRule>
  </conditionalFormatting>
  <conditionalFormatting sqref="G799">
    <cfRule type="cellIs" priority="2383" operator="greaterThan" aboveAverage="0" equalAverage="0" bottom="0" percent="0" rank="0" text="" dxfId="10">
      <formula>e{r}</formula>
    </cfRule>
  </conditionalFormatting>
  <conditionalFormatting sqref="H800">
    <cfRule type="cellIs" priority="2384" operator="greaterThan" aboveAverage="0" equalAverage="0" bottom="0" percent="0" rank="0" text="" dxfId="1">
      <formula>0</formula>
    </cfRule>
    <cfRule type="cellIs" priority="2385" operator="lessThanOrEqual" aboveAverage="0" equalAverage="0" bottom="0" percent="0" rank="0" text="" dxfId="0">
      <formula>0</formula>
    </cfRule>
  </conditionalFormatting>
  <conditionalFormatting sqref="G800">
    <cfRule type="cellIs" priority="2386" operator="greaterThan" aboveAverage="0" equalAverage="0" bottom="0" percent="0" rank="0" text="" dxfId="10">
      <formula>e{r}</formula>
    </cfRule>
  </conditionalFormatting>
  <conditionalFormatting sqref="H801">
    <cfRule type="cellIs" priority="2387" operator="greaterThan" aboveAverage="0" equalAverage="0" bottom="0" percent="0" rank="0" text="" dxfId="1">
      <formula>0</formula>
    </cfRule>
    <cfRule type="cellIs" priority="2388" operator="lessThanOrEqual" aboveAverage="0" equalAverage="0" bottom="0" percent="0" rank="0" text="" dxfId="0">
      <formula>0</formula>
    </cfRule>
  </conditionalFormatting>
  <conditionalFormatting sqref="G801">
    <cfRule type="cellIs" priority="2389" operator="greaterThan" aboveAverage="0" equalAverage="0" bottom="0" percent="0" rank="0" text="" dxfId="10">
      <formula>e{r}</formula>
    </cfRule>
  </conditionalFormatting>
  <conditionalFormatting sqref="H802">
    <cfRule type="cellIs" priority="2390" operator="greaterThan" aboveAverage="0" equalAverage="0" bottom="0" percent="0" rank="0" text="" dxfId="1">
      <formula>0</formula>
    </cfRule>
    <cfRule type="cellIs" priority="2391" operator="lessThanOrEqual" aboveAverage="0" equalAverage="0" bottom="0" percent="0" rank="0" text="" dxfId="0">
      <formula>0</formula>
    </cfRule>
  </conditionalFormatting>
  <conditionalFormatting sqref="G802">
    <cfRule type="cellIs" priority="2392" operator="greaterThan" aboveAverage="0" equalAverage="0" bottom="0" percent="0" rank="0" text="" dxfId="10">
      <formula>e{r}</formula>
    </cfRule>
  </conditionalFormatting>
  <conditionalFormatting sqref="H803">
    <cfRule type="cellIs" priority="2393" operator="greaterThan" aboveAverage="0" equalAverage="0" bottom="0" percent="0" rank="0" text="" dxfId="1">
      <formula>0</formula>
    </cfRule>
    <cfRule type="cellIs" priority="2394" operator="lessThanOrEqual" aboveAverage="0" equalAverage="0" bottom="0" percent="0" rank="0" text="" dxfId="0">
      <formula>0</formula>
    </cfRule>
  </conditionalFormatting>
  <conditionalFormatting sqref="G803">
    <cfRule type="cellIs" priority="2395" operator="greaterThan" aboveAverage="0" equalAverage="0" bottom="0" percent="0" rank="0" text="" dxfId="10">
      <formula>e{r}</formula>
    </cfRule>
  </conditionalFormatting>
  <conditionalFormatting sqref="H804">
    <cfRule type="cellIs" priority="2396" operator="greaterThan" aboveAverage="0" equalAverage="0" bottom="0" percent="0" rank="0" text="" dxfId="1">
      <formula>0</formula>
    </cfRule>
    <cfRule type="cellIs" priority="2397" operator="lessThanOrEqual" aboveAverage="0" equalAverage="0" bottom="0" percent="0" rank="0" text="" dxfId="0">
      <formula>0</formula>
    </cfRule>
  </conditionalFormatting>
  <conditionalFormatting sqref="G804">
    <cfRule type="cellIs" priority="2398" operator="greaterThan" aboveAverage="0" equalAverage="0" bottom="0" percent="0" rank="0" text="" dxfId="10">
      <formula>e{r}</formula>
    </cfRule>
  </conditionalFormatting>
  <conditionalFormatting sqref="H805">
    <cfRule type="cellIs" priority="2399" operator="greaterThan" aboveAverage="0" equalAverage="0" bottom="0" percent="0" rank="0" text="" dxfId="1">
      <formula>0</formula>
    </cfRule>
    <cfRule type="cellIs" priority="2400" operator="lessThanOrEqual" aboveAverage="0" equalAverage="0" bottom="0" percent="0" rank="0" text="" dxfId="0">
      <formula>0</formula>
    </cfRule>
  </conditionalFormatting>
  <conditionalFormatting sqref="G805">
    <cfRule type="cellIs" priority="2401" operator="greaterThan" aboveAverage="0" equalAverage="0" bottom="0" percent="0" rank="0" text="" dxfId="10">
      <formula>e{r}</formula>
    </cfRule>
  </conditionalFormatting>
  <conditionalFormatting sqref="H806">
    <cfRule type="cellIs" priority="2402" operator="greaterThan" aboveAverage="0" equalAverage="0" bottom="0" percent="0" rank="0" text="" dxfId="1">
      <formula>0</formula>
    </cfRule>
    <cfRule type="cellIs" priority="2403" operator="lessThanOrEqual" aboveAverage="0" equalAverage="0" bottom="0" percent="0" rank="0" text="" dxfId="0">
      <formula>0</formula>
    </cfRule>
  </conditionalFormatting>
  <conditionalFormatting sqref="G806">
    <cfRule type="cellIs" priority="2404" operator="greaterThan" aboveAverage="0" equalAverage="0" bottom="0" percent="0" rank="0" text="" dxfId="10">
      <formula>e{r}</formula>
    </cfRule>
  </conditionalFormatting>
  <conditionalFormatting sqref="H807">
    <cfRule type="cellIs" priority="2405" operator="greaterThan" aboveAverage="0" equalAverage="0" bottom="0" percent="0" rank="0" text="" dxfId="1">
      <formula>0</formula>
    </cfRule>
    <cfRule type="cellIs" priority="2406" operator="lessThanOrEqual" aboveAverage="0" equalAverage="0" bottom="0" percent="0" rank="0" text="" dxfId="0">
      <formula>0</formula>
    </cfRule>
  </conditionalFormatting>
  <conditionalFormatting sqref="G807">
    <cfRule type="cellIs" priority="2407" operator="greaterThan" aboveAverage="0" equalAverage="0" bottom="0" percent="0" rank="0" text="" dxfId="10">
      <formula>e{r}</formula>
    </cfRule>
  </conditionalFormatting>
  <conditionalFormatting sqref="H808">
    <cfRule type="cellIs" priority="2408" operator="greaterThan" aboveAverage="0" equalAverage="0" bottom="0" percent="0" rank="0" text="" dxfId="1">
      <formula>0</formula>
    </cfRule>
    <cfRule type="cellIs" priority="2409" operator="lessThanOrEqual" aboveAverage="0" equalAverage="0" bottom="0" percent="0" rank="0" text="" dxfId="0">
      <formula>0</formula>
    </cfRule>
  </conditionalFormatting>
  <conditionalFormatting sqref="G808">
    <cfRule type="cellIs" priority="2410" operator="greaterThan" aboveAverage="0" equalAverage="0" bottom="0" percent="0" rank="0" text="" dxfId="10">
      <formula>e{r}</formula>
    </cfRule>
  </conditionalFormatting>
  <conditionalFormatting sqref="H809">
    <cfRule type="cellIs" priority="2411" operator="greaterThan" aboveAverage="0" equalAverage="0" bottom="0" percent="0" rank="0" text="" dxfId="1">
      <formula>0</formula>
    </cfRule>
    <cfRule type="cellIs" priority="2412" operator="lessThanOrEqual" aboveAverage="0" equalAverage="0" bottom="0" percent="0" rank="0" text="" dxfId="0">
      <formula>0</formula>
    </cfRule>
  </conditionalFormatting>
  <conditionalFormatting sqref="G809">
    <cfRule type="cellIs" priority="2413" operator="greaterThan" aboveAverage="0" equalAverage="0" bottom="0" percent="0" rank="0" text="" dxfId="10">
      <formula>e{r}</formula>
    </cfRule>
  </conditionalFormatting>
  <conditionalFormatting sqref="H810">
    <cfRule type="cellIs" priority="2414" operator="greaterThan" aboveAverage="0" equalAverage="0" bottom="0" percent="0" rank="0" text="" dxfId="1">
      <formula>0</formula>
    </cfRule>
    <cfRule type="cellIs" priority="2415" operator="lessThanOrEqual" aboveAverage="0" equalAverage="0" bottom="0" percent="0" rank="0" text="" dxfId="0">
      <formula>0</formula>
    </cfRule>
  </conditionalFormatting>
  <conditionalFormatting sqref="G810">
    <cfRule type="cellIs" priority="2416" operator="greaterThan" aboveAverage="0" equalAverage="0" bottom="0" percent="0" rank="0" text="" dxfId="10">
      <formula>e{r}</formula>
    </cfRule>
  </conditionalFormatting>
  <conditionalFormatting sqref="H811">
    <cfRule type="cellIs" priority="2417" operator="greaterThan" aboveAverage="0" equalAverage="0" bottom="0" percent="0" rank="0" text="" dxfId="1">
      <formula>0</formula>
    </cfRule>
    <cfRule type="cellIs" priority="2418" operator="lessThanOrEqual" aboveAverage="0" equalAverage="0" bottom="0" percent="0" rank="0" text="" dxfId="0">
      <formula>0</formula>
    </cfRule>
  </conditionalFormatting>
  <conditionalFormatting sqref="G811">
    <cfRule type="cellIs" priority="2419" operator="greaterThan" aboveAverage="0" equalAverage="0" bottom="0" percent="0" rank="0" text="" dxfId="10">
      <formula>e{r}</formula>
    </cfRule>
  </conditionalFormatting>
  <conditionalFormatting sqref="H812">
    <cfRule type="cellIs" priority="2420" operator="greaterThan" aboveAverage="0" equalAverage="0" bottom="0" percent="0" rank="0" text="" dxfId="1">
      <formula>0</formula>
    </cfRule>
    <cfRule type="cellIs" priority="2421" operator="lessThanOrEqual" aboveAverage="0" equalAverage="0" bottom="0" percent="0" rank="0" text="" dxfId="0">
      <formula>0</formula>
    </cfRule>
  </conditionalFormatting>
  <conditionalFormatting sqref="G812">
    <cfRule type="cellIs" priority="2422" operator="greaterThan" aboveAverage="0" equalAverage="0" bottom="0" percent="0" rank="0" text="" dxfId="10">
      <formula>e{r}</formula>
    </cfRule>
  </conditionalFormatting>
  <conditionalFormatting sqref="H813">
    <cfRule type="cellIs" priority="2423" operator="greaterThan" aboveAverage="0" equalAverage="0" bottom="0" percent="0" rank="0" text="" dxfId="1">
      <formula>0</formula>
    </cfRule>
    <cfRule type="cellIs" priority="2424" operator="lessThanOrEqual" aboveAverage="0" equalAverage="0" bottom="0" percent="0" rank="0" text="" dxfId="0">
      <formula>0</formula>
    </cfRule>
  </conditionalFormatting>
  <conditionalFormatting sqref="G813">
    <cfRule type="cellIs" priority="2425" operator="greaterThan" aboveAverage="0" equalAverage="0" bottom="0" percent="0" rank="0" text="" dxfId="10">
      <formula>e{r}</formula>
    </cfRule>
  </conditionalFormatting>
  <conditionalFormatting sqref="H814">
    <cfRule type="cellIs" priority="2426" operator="greaterThan" aboveAverage="0" equalAverage="0" bottom="0" percent="0" rank="0" text="" dxfId="1">
      <formula>0</formula>
    </cfRule>
    <cfRule type="cellIs" priority="2427" operator="lessThanOrEqual" aboveAverage="0" equalAverage="0" bottom="0" percent="0" rank="0" text="" dxfId="0">
      <formula>0</formula>
    </cfRule>
  </conditionalFormatting>
  <conditionalFormatting sqref="G814">
    <cfRule type="cellIs" priority="2428" operator="greaterThan" aboveAverage="0" equalAverage="0" bottom="0" percent="0" rank="0" text="" dxfId="10">
      <formula>e{r}</formula>
    </cfRule>
  </conditionalFormatting>
  <conditionalFormatting sqref="H815">
    <cfRule type="cellIs" priority="2429" operator="greaterThan" aboveAverage="0" equalAverage="0" bottom="0" percent="0" rank="0" text="" dxfId="1">
      <formula>0</formula>
    </cfRule>
    <cfRule type="cellIs" priority="2430" operator="lessThanOrEqual" aboveAverage="0" equalAverage="0" bottom="0" percent="0" rank="0" text="" dxfId="0">
      <formula>0</formula>
    </cfRule>
  </conditionalFormatting>
  <conditionalFormatting sqref="G815">
    <cfRule type="cellIs" priority="2431" operator="greaterThan" aboveAverage="0" equalAverage="0" bottom="0" percent="0" rank="0" text="" dxfId="10">
      <formula>e{r}</formula>
    </cfRule>
  </conditionalFormatting>
  <conditionalFormatting sqref="H816">
    <cfRule type="cellIs" priority="2432" operator="greaterThan" aboveAverage="0" equalAverage="0" bottom="0" percent="0" rank="0" text="" dxfId="1">
      <formula>0</formula>
    </cfRule>
    <cfRule type="cellIs" priority="2433" operator="lessThanOrEqual" aboveAverage="0" equalAverage="0" bottom="0" percent="0" rank="0" text="" dxfId="0">
      <formula>0</formula>
    </cfRule>
  </conditionalFormatting>
  <conditionalFormatting sqref="G816">
    <cfRule type="cellIs" priority="2434" operator="greaterThan" aboveAverage="0" equalAverage="0" bottom="0" percent="0" rank="0" text="" dxfId="10">
      <formula>e{r}</formula>
    </cfRule>
  </conditionalFormatting>
  <conditionalFormatting sqref="H817">
    <cfRule type="cellIs" priority="2435" operator="greaterThan" aboveAverage="0" equalAverage="0" bottom="0" percent="0" rank="0" text="" dxfId="1">
      <formula>0</formula>
    </cfRule>
    <cfRule type="cellIs" priority="2436" operator="lessThanOrEqual" aboveAverage="0" equalAverage="0" bottom="0" percent="0" rank="0" text="" dxfId="0">
      <formula>0</formula>
    </cfRule>
  </conditionalFormatting>
  <conditionalFormatting sqref="G817">
    <cfRule type="cellIs" priority="2437" operator="greaterThan" aboveAverage="0" equalAverage="0" bottom="0" percent="0" rank="0" text="" dxfId="10">
      <formula>e{r}</formula>
    </cfRule>
  </conditionalFormatting>
  <conditionalFormatting sqref="H818">
    <cfRule type="cellIs" priority="2438" operator="greaterThan" aboveAverage="0" equalAverage="0" bottom="0" percent="0" rank="0" text="" dxfId="1">
      <formula>0</formula>
    </cfRule>
    <cfRule type="cellIs" priority="2439" operator="lessThanOrEqual" aboveAverage="0" equalAverage="0" bottom="0" percent="0" rank="0" text="" dxfId="0">
      <formula>0</formula>
    </cfRule>
  </conditionalFormatting>
  <conditionalFormatting sqref="G818">
    <cfRule type="cellIs" priority="2440" operator="greaterThan" aboveAverage="0" equalAverage="0" bottom="0" percent="0" rank="0" text="" dxfId="10">
      <formula>e{r}</formula>
    </cfRule>
  </conditionalFormatting>
  <conditionalFormatting sqref="H819">
    <cfRule type="cellIs" priority="2441" operator="greaterThan" aboveAverage="0" equalAverage="0" bottom="0" percent="0" rank="0" text="" dxfId="1">
      <formula>0</formula>
    </cfRule>
    <cfRule type="cellIs" priority="2442" operator="lessThanOrEqual" aboveAverage="0" equalAverage="0" bottom="0" percent="0" rank="0" text="" dxfId="0">
      <formula>0</formula>
    </cfRule>
  </conditionalFormatting>
  <conditionalFormatting sqref="G819">
    <cfRule type="cellIs" priority="2443" operator="greaterThan" aboveAverage="0" equalAverage="0" bottom="0" percent="0" rank="0" text="" dxfId="10">
      <formula>e{r}</formula>
    </cfRule>
  </conditionalFormatting>
  <conditionalFormatting sqref="H820">
    <cfRule type="cellIs" priority="2444" operator="greaterThan" aboveAverage="0" equalAverage="0" bottom="0" percent="0" rank="0" text="" dxfId="1">
      <formula>0</formula>
    </cfRule>
    <cfRule type="cellIs" priority="2445" operator="lessThanOrEqual" aboveAverage="0" equalAverage="0" bottom="0" percent="0" rank="0" text="" dxfId="0">
      <formula>0</formula>
    </cfRule>
  </conditionalFormatting>
  <conditionalFormatting sqref="G820">
    <cfRule type="cellIs" priority="2446" operator="greaterThan" aboveAverage="0" equalAverage="0" bottom="0" percent="0" rank="0" text="" dxfId="10">
      <formula>e{r}</formula>
    </cfRule>
  </conditionalFormatting>
  <conditionalFormatting sqref="H821">
    <cfRule type="cellIs" priority="2447" operator="greaterThan" aboveAverage="0" equalAverage="0" bottom="0" percent="0" rank="0" text="" dxfId="1">
      <formula>0</formula>
    </cfRule>
    <cfRule type="cellIs" priority="2448" operator="lessThanOrEqual" aboveAverage="0" equalAverage="0" bottom="0" percent="0" rank="0" text="" dxfId="0">
      <formula>0</formula>
    </cfRule>
  </conditionalFormatting>
  <conditionalFormatting sqref="G821">
    <cfRule type="cellIs" priority="2449" operator="greaterThan" aboveAverage="0" equalAverage="0" bottom="0" percent="0" rank="0" text="" dxfId="10">
      <formula>e{r}</formula>
    </cfRule>
  </conditionalFormatting>
  <conditionalFormatting sqref="H822">
    <cfRule type="cellIs" priority="2450" operator="greaterThan" aboveAverage="0" equalAverage="0" bottom="0" percent="0" rank="0" text="" dxfId="1">
      <formula>0</formula>
    </cfRule>
    <cfRule type="cellIs" priority="2451" operator="lessThanOrEqual" aboveAverage="0" equalAverage="0" bottom="0" percent="0" rank="0" text="" dxfId="0">
      <formula>0</formula>
    </cfRule>
  </conditionalFormatting>
  <conditionalFormatting sqref="G822">
    <cfRule type="cellIs" priority="2452" operator="greaterThan" aboveAverage="0" equalAverage="0" bottom="0" percent="0" rank="0" text="" dxfId="10">
      <formula>e{r}</formula>
    </cfRule>
  </conditionalFormatting>
  <conditionalFormatting sqref="H823">
    <cfRule type="cellIs" priority="2453" operator="greaterThan" aboveAverage="0" equalAverage="0" bottom="0" percent="0" rank="0" text="" dxfId="1">
      <formula>0</formula>
    </cfRule>
    <cfRule type="cellIs" priority="2454" operator="lessThanOrEqual" aboveAverage="0" equalAverage="0" bottom="0" percent="0" rank="0" text="" dxfId="0">
      <formula>0</formula>
    </cfRule>
  </conditionalFormatting>
  <conditionalFormatting sqref="G823">
    <cfRule type="cellIs" priority="2455" operator="greaterThan" aboveAverage="0" equalAverage="0" bottom="0" percent="0" rank="0" text="" dxfId="10">
      <formula>e{r}</formula>
    </cfRule>
  </conditionalFormatting>
  <conditionalFormatting sqref="H824">
    <cfRule type="cellIs" priority="2456" operator="greaterThan" aboveAverage="0" equalAverage="0" bottom="0" percent="0" rank="0" text="" dxfId="1">
      <formula>0</formula>
    </cfRule>
    <cfRule type="cellIs" priority="2457" operator="lessThanOrEqual" aboveAverage="0" equalAverage="0" bottom="0" percent="0" rank="0" text="" dxfId="0">
      <formula>0</formula>
    </cfRule>
  </conditionalFormatting>
  <conditionalFormatting sqref="G824">
    <cfRule type="cellIs" priority="2458" operator="greaterThan" aboveAverage="0" equalAverage="0" bottom="0" percent="0" rank="0" text="" dxfId="10">
      <formula>e{r}</formula>
    </cfRule>
  </conditionalFormatting>
  <conditionalFormatting sqref="H825">
    <cfRule type="cellIs" priority="2459" operator="greaterThan" aboveAverage="0" equalAverage="0" bottom="0" percent="0" rank="0" text="" dxfId="1">
      <formula>0</formula>
    </cfRule>
    <cfRule type="cellIs" priority="2460" operator="lessThanOrEqual" aboveAverage="0" equalAverage="0" bottom="0" percent="0" rank="0" text="" dxfId="0">
      <formula>0</formula>
    </cfRule>
  </conditionalFormatting>
  <conditionalFormatting sqref="G825">
    <cfRule type="cellIs" priority="2461" operator="greaterThan" aboveAverage="0" equalAverage="0" bottom="0" percent="0" rank="0" text="" dxfId="10">
      <formula>e{r}</formula>
    </cfRule>
  </conditionalFormatting>
  <conditionalFormatting sqref="H826">
    <cfRule type="cellIs" priority="2462" operator="greaterThan" aboveAverage="0" equalAverage="0" bottom="0" percent="0" rank="0" text="" dxfId="1">
      <formula>0</formula>
    </cfRule>
    <cfRule type="cellIs" priority="2463" operator="lessThanOrEqual" aboveAverage="0" equalAverage="0" bottom="0" percent="0" rank="0" text="" dxfId="0">
      <formula>0</formula>
    </cfRule>
  </conditionalFormatting>
  <conditionalFormatting sqref="G826">
    <cfRule type="cellIs" priority="2464" operator="greaterThan" aboveAverage="0" equalAverage="0" bottom="0" percent="0" rank="0" text="" dxfId="10">
      <formula>e{r}</formula>
    </cfRule>
  </conditionalFormatting>
  <conditionalFormatting sqref="H827">
    <cfRule type="cellIs" priority="2465" operator="greaterThan" aboveAverage="0" equalAverage="0" bottom="0" percent="0" rank="0" text="" dxfId="1">
      <formula>0</formula>
    </cfRule>
    <cfRule type="cellIs" priority="2466" operator="lessThanOrEqual" aboveAverage="0" equalAverage="0" bottom="0" percent="0" rank="0" text="" dxfId="0">
      <formula>0</formula>
    </cfRule>
  </conditionalFormatting>
  <conditionalFormatting sqref="G827">
    <cfRule type="cellIs" priority="2467" operator="greaterThan" aboveAverage="0" equalAverage="0" bottom="0" percent="0" rank="0" text="" dxfId="10">
      <formula>e{r}</formula>
    </cfRule>
  </conditionalFormatting>
  <conditionalFormatting sqref="H828">
    <cfRule type="cellIs" priority="2468" operator="greaterThan" aboveAverage="0" equalAverage="0" bottom="0" percent="0" rank="0" text="" dxfId="1">
      <formula>0</formula>
    </cfRule>
    <cfRule type="cellIs" priority="2469" operator="lessThanOrEqual" aboveAverage="0" equalAverage="0" bottom="0" percent="0" rank="0" text="" dxfId="0">
      <formula>0</formula>
    </cfRule>
  </conditionalFormatting>
  <conditionalFormatting sqref="G828">
    <cfRule type="cellIs" priority="2470" operator="greaterThan" aboveAverage="0" equalAverage="0" bottom="0" percent="0" rank="0" text="" dxfId="10">
      <formula>e{r}</formula>
    </cfRule>
  </conditionalFormatting>
  <conditionalFormatting sqref="H829">
    <cfRule type="cellIs" priority="2471" operator="greaterThan" aboveAverage="0" equalAverage="0" bottom="0" percent="0" rank="0" text="" dxfId="1">
      <formula>0</formula>
    </cfRule>
    <cfRule type="cellIs" priority="2472" operator="lessThanOrEqual" aboveAverage="0" equalAverage="0" bottom="0" percent="0" rank="0" text="" dxfId="0">
      <formula>0</formula>
    </cfRule>
  </conditionalFormatting>
  <conditionalFormatting sqref="G829">
    <cfRule type="cellIs" priority="2473" operator="greaterThan" aboveAverage="0" equalAverage="0" bottom="0" percent="0" rank="0" text="" dxfId="10">
      <formula>e{r}</formula>
    </cfRule>
  </conditionalFormatting>
  <conditionalFormatting sqref="H830">
    <cfRule type="cellIs" priority="2474" operator="greaterThan" aboveAverage="0" equalAverage="0" bottom="0" percent="0" rank="0" text="" dxfId="1">
      <formula>0</formula>
    </cfRule>
    <cfRule type="cellIs" priority="2475" operator="lessThanOrEqual" aboveAverage="0" equalAverage="0" bottom="0" percent="0" rank="0" text="" dxfId="0">
      <formula>0</formula>
    </cfRule>
  </conditionalFormatting>
  <conditionalFormatting sqref="G830">
    <cfRule type="cellIs" priority="2476" operator="greaterThan" aboveAverage="0" equalAverage="0" bottom="0" percent="0" rank="0" text="" dxfId="10">
      <formula>e{r}</formula>
    </cfRule>
  </conditionalFormatting>
  <conditionalFormatting sqref="H831">
    <cfRule type="cellIs" priority="2477" operator="greaterThan" aboveAverage="0" equalAverage="0" bottom="0" percent="0" rank="0" text="" dxfId="1">
      <formula>0</formula>
    </cfRule>
    <cfRule type="cellIs" priority="2478" operator="lessThanOrEqual" aboveAverage="0" equalAverage="0" bottom="0" percent="0" rank="0" text="" dxfId="0">
      <formula>0</formula>
    </cfRule>
  </conditionalFormatting>
  <conditionalFormatting sqref="G831">
    <cfRule type="cellIs" priority="2479" operator="greaterThan" aboveAverage="0" equalAverage="0" bottom="0" percent="0" rank="0" text="" dxfId="10">
      <formula>e{r}</formula>
    </cfRule>
  </conditionalFormatting>
  <conditionalFormatting sqref="H832">
    <cfRule type="cellIs" priority="2480" operator="greaterThan" aboveAverage="0" equalAverage="0" bottom="0" percent="0" rank="0" text="" dxfId="1">
      <formula>0</formula>
    </cfRule>
    <cfRule type="cellIs" priority="2481" operator="lessThanOrEqual" aboveAverage="0" equalAverage="0" bottom="0" percent="0" rank="0" text="" dxfId="0">
      <formula>0</formula>
    </cfRule>
  </conditionalFormatting>
  <conditionalFormatting sqref="G832">
    <cfRule type="cellIs" priority="2482" operator="greaterThan" aboveAverage="0" equalAverage="0" bottom="0" percent="0" rank="0" text="" dxfId="10">
      <formula>e{r}</formula>
    </cfRule>
  </conditionalFormatting>
  <conditionalFormatting sqref="H833">
    <cfRule type="cellIs" priority="2483" operator="greaterThan" aboveAverage="0" equalAverage="0" bottom="0" percent="0" rank="0" text="" dxfId="1">
      <formula>0</formula>
    </cfRule>
    <cfRule type="cellIs" priority="2484" operator="lessThanOrEqual" aboveAverage="0" equalAverage="0" bottom="0" percent="0" rank="0" text="" dxfId="0">
      <formula>0</formula>
    </cfRule>
  </conditionalFormatting>
  <conditionalFormatting sqref="G833">
    <cfRule type="cellIs" priority="2485" operator="greaterThan" aboveAverage="0" equalAverage="0" bottom="0" percent="0" rank="0" text="" dxfId="10">
      <formula>e{r}</formula>
    </cfRule>
  </conditionalFormatting>
  <conditionalFormatting sqref="H834">
    <cfRule type="cellIs" priority="2486" operator="greaterThan" aboveAverage="0" equalAverage="0" bottom="0" percent="0" rank="0" text="" dxfId="1">
      <formula>0</formula>
    </cfRule>
    <cfRule type="cellIs" priority="2487" operator="lessThanOrEqual" aboveAverage="0" equalAverage="0" bottom="0" percent="0" rank="0" text="" dxfId="0">
      <formula>0</formula>
    </cfRule>
  </conditionalFormatting>
  <conditionalFormatting sqref="G834">
    <cfRule type="cellIs" priority="2488" operator="greaterThan" aboveAverage="0" equalAverage="0" bottom="0" percent="0" rank="0" text="" dxfId="10">
      <formula>e{r}</formula>
    </cfRule>
  </conditionalFormatting>
  <conditionalFormatting sqref="H835">
    <cfRule type="cellIs" priority="2489" operator="greaterThan" aboveAverage="0" equalAverage="0" bottom="0" percent="0" rank="0" text="" dxfId="1">
      <formula>0</formula>
    </cfRule>
    <cfRule type="cellIs" priority="2490" operator="lessThanOrEqual" aboveAverage="0" equalAverage="0" bottom="0" percent="0" rank="0" text="" dxfId="0">
      <formula>0</formula>
    </cfRule>
  </conditionalFormatting>
  <conditionalFormatting sqref="G835">
    <cfRule type="cellIs" priority="2491" operator="greaterThan" aboveAverage="0" equalAverage="0" bottom="0" percent="0" rank="0" text="" dxfId="10">
      <formula>e{r}</formula>
    </cfRule>
  </conditionalFormatting>
  <conditionalFormatting sqref="H836">
    <cfRule type="cellIs" priority="2492" operator="greaterThan" aboveAverage="0" equalAverage="0" bottom="0" percent="0" rank="0" text="" dxfId="1">
      <formula>0</formula>
    </cfRule>
    <cfRule type="cellIs" priority="2493" operator="lessThanOrEqual" aboveAverage="0" equalAverage="0" bottom="0" percent="0" rank="0" text="" dxfId="0">
      <formula>0</formula>
    </cfRule>
  </conditionalFormatting>
  <conditionalFormatting sqref="G836">
    <cfRule type="cellIs" priority="2494" operator="greaterThan" aboveAverage="0" equalAverage="0" bottom="0" percent="0" rank="0" text="" dxfId="10">
      <formula>e{r}</formula>
    </cfRule>
  </conditionalFormatting>
  <conditionalFormatting sqref="H837">
    <cfRule type="cellIs" priority="2495" operator="greaterThan" aboveAverage="0" equalAverage="0" bottom="0" percent="0" rank="0" text="" dxfId="1">
      <formula>0</formula>
    </cfRule>
    <cfRule type="cellIs" priority="2496" operator="lessThanOrEqual" aboveAverage="0" equalAverage="0" bottom="0" percent="0" rank="0" text="" dxfId="0">
      <formula>0</formula>
    </cfRule>
  </conditionalFormatting>
  <conditionalFormatting sqref="G837">
    <cfRule type="cellIs" priority="2497" operator="greaterThan" aboveAverage="0" equalAverage="0" bottom="0" percent="0" rank="0" text="" dxfId="10">
      <formula>e{r}</formula>
    </cfRule>
  </conditionalFormatting>
  <conditionalFormatting sqref="H838">
    <cfRule type="cellIs" priority="2498" operator="greaterThan" aboveAverage="0" equalAverage="0" bottom="0" percent="0" rank="0" text="" dxfId="1">
      <formula>0</formula>
    </cfRule>
    <cfRule type="cellIs" priority="2499" operator="lessThanOrEqual" aboveAverage="0" equalAverage="0" bottom="0" percent="0" rank="0" text="" dxfId="0">
      <formula>0</formula>
    </cfRule>
  </conditionalFormatting>
  <conditionalFormatting sqref="G838">
    <cfRule type="cellIs" priority="2500" operator="greaterThan" aboveAverage="0" equalAverage="0" bottom="0" percent="0" rank="0" text="" dxfId="10">
      <formula>e{r}</formula>
    </cfRule>
  </conditionalFormatting>
  <conditionalFormatting sqref="H839">
    <cfRule type="cellIs" priority="2501" operator="greaterThan" aboveAverage="0" equalAverage="0" bottom="0" percent="0" rank="0" text="" dxfId="1">
      <formula>0</formula>
    </cfRule>
    <cfRule type="cellIs" priority="2502" operator="lessThanOrEqual" aboveAverage="0" equalAverage="0" bottom="0" percent="0" rank="0" text="" dxfId="0">
      <formula>0</formula>
    </cfRule>
  </conditionalFormatting>
  <conditionalFormatting sqref="G839">
    <cfRule type="cellIs" priority="2503" operator="greaterThan" aboveAverage="0" equalAverage="0" bottom="0" percent="0" rank="0" text="" dxfId="10">
      <formula>e{r}</formula>
    </cfRule>
  </conditionalFormatting>
  <conditionalFormatting sqref="H840">
    <cfRule type="cellIs" priority="2504" operator="greaterThan" aboveAverage="0" equalAverage="0" bottom="0" percent="0" rank="0" text="" dxfId="1">
      <formula>0</formula>
    </cfRule>
    <cfRule type="cellIs" priority="2505" operator="lessThanOrEqual" aboveAverage="0" equalAverage="0" bottom="0" percent="0" rank="0" text="" dxfId="0">
      <formula>0</formula>
    </cfRule>
  </conditionalFormatting>
  <conditionalFormatting sqref="G840">
    <cfRule type="cellIs" priority="2506" operator="greaterThan" aboveAverage="0" equalAverage="0" bottom="0" percent="0" rank="0" text="" dxfId="10">
      <formula>e{r}</formula>
    </cfRule>
  </conditionalFormatting>
  <conditionalFormatting sqref="H841">
    <cfRule type="cellIs" priority="2507" operator="greaterThan" aboveAverage="0" equalAverage="0" bottom="0" percent="0" rank="0" text="" dxfId="1">
      <formula>0</formula>
    </cfRule>
    <cfRule type="cellIs" priority="2508" operator="lessThanOrEqual" aboveAverage="0" equalAverage="0" bottom="0" percent="0" rank="0" text="" dxfId="0">
      <formula>0</formula>
    </cfRule>
  </conditionalFormatting>
  <conditionalFormatting sqref="G841">
    <cfRule type="cellIs" priority="2509" operator="greaterThan" aboveAverage="0" equalAverage="0" bottom="0" percent="0" rank="0" text="" dxfId="10">
      <formula>e{r}</formula>
    </cfRule>
  </conditionalFormatting>
  <conditionalFormatting sqref="H842">
    <cfRule type="cellIs" priority="2510" operator="greaterThan" aboveAverage="0" equalAverage="0" bottom="0" percent="0" rank="0" text="" dxfId="1">
      <formula>0</formula>
    </cfRule>
    <cfRule type="cellIs" priority="2511" operator="lessThanOrEqual" aboveAverage="0" equalAverage="0" bottom="0" percent="0" rank="0" text="" dxfId="0">
      <formula>0</formula>
    </cfRule>
  </conditionalFormatting>
  <conditionalFormatting sqref="G842">
    <cfRule type="cellIs" priority="2512" operator="greaterThan" aboveAverage="0" equalAverage="0" bottom="0" percent="0" rank="0" text="" dxfId="10">
      <formula>e{r}</formula>
    </cfRule>
  </conditionalFormatting>
  <conditionalFormatting sqref="H843">
    <cfRule type="cellIs" priority="2513" operator="greaterThan" aboveAverage="0" equalAverage="0" bottom="0" percent="0" rank="0" text="" dxfId="1">
      <formula>0</formula>
    </cfRule>
    <cfRule type="cellIs" priority="2514" operator="lessThanOrEqual" aboveAverage="0" equalAverage="0" bottom="0" percent="0" rank="0" text="" dxfId="0">
      <formula>0</formula>
    </cfRule>
  </conditionalFormatting>
  <conditionalFormatting sqref="G843">
    <cfRule type="cellIs" priority="2515" operator="greaterThan" aboveAverage="0" equalAverage="0" bottom="0" percent="0" rank="0" text="" dxfId="10">
      <formula>e{r}</formula>
    </cfRule>
  </conditionalFormatting>
  <conditionalFormatting sqref="H844">
    <cfRule type="cellIs" priority="2516" operator="greaterThan" aboveAverage="0" equalAverage="0" bottom="0" percent="0" rank="0" text="" dxfId="1">
      <formula>0</formula>
    </cfRule>
    <cfRule type="cellIs" priority="2517" operator="lessThanOrEqual" aboveAverage="0" equalAverage="0" bottom="0" percent="0" rank="0" text="" dxfId="0">
      <formula>0</formula>
    </cfRule>
  </conditionalFormatting>
  <conditionalFormatting sqref="G844">
    <cfRule type="cellIs" priority="2518" operator="greaterThan" aboveAverage="0" equalAverage="0" bottom="0" percent="0" rank="0" text="" dxfId="10">
      <formula>e{r}</formula>
    </cfRule>
  </conditionalFormatting>
  <conditionalFormatting sqref="H845">
    <cfRule type="cellIs" priority="2519" operator="greaterThan" aboveAverage="0" equalAverage="0" bottom="0" percent="0" rank="0" text="" dxfId="1">
      <formula>0</formula>
    </cfRule>
    <cfRule type="cellIs" priority="2520" operator="lessThanOrEqual" aboveAverage="0" equalAverage="0" bottom="0" percent="0" rank="0" text="" dxfId="0">
      <formula>0</formula>
    </cfRule>
  </conditionalFormatting>
  <conditionalFormatting sqref="G845">
    <cfRule type="cellIs" priority="2521" operator="greaterThan" aboveAverage="0" equalAverage="0" bottom="0" percent="0" rank="0" text="" dxfId="10">
      <formula>e{r}</formula>
    </cfRule>
  </conditionalFormatting>
  <conditionalFormatting sqref="H846">
    <cfRule type="cellIs" priority="2522" operator="greaterThan" aboveAverage="0" equalAverage="0" bottom="0" percent="0" rank="0" text="" dxfId="1">
      <formula>0</formula>
    </cfRule>
    <cfRule type="cellIs" priority="2523" operator="lessThanOrEqual" aboveAverage="0" equalAverage="0" bottom="0" percent="0" rank="0" text="" dxfId="0">
      <formula>0</formula>
    </cfRule>
  </conditionalFormatting>
  <conditionalFormatting sqref="G846">
    <cfRule type="cellIs" priority="2524" operator="greaterThan" aboveAverage="0" equalAverage="0" bottom="0" percent="0" rank="0" text="" dxfId="10">
      <formula>e{r}</formula>
    </cfRule>
  </conditionalFormatting>
  <conditionalFormatting sqref="H847">
    <cfRule type="cellIs" priority="2525" operator="greaterThan" aboveAverage="0" equalAverage="0" bottom="0" percent="0" rank="0" text="" dxfId="1">
      <formula>0</formula>
    </cfRule>
    <cfRule type="cellIs" priority="2526" operator="lessThanOrEqual" aboveAverage="0" equalAverage="0" bottom="0" percent="0" rank="0" text="" dxfId="0">
      <formula>0</formula>
    </cfRule>
  </conditionalFormatting>
  <conditionalFormatting sqref="G847">
    <cfRule type="cellIs" priority="2527" operator="greaterThan" aboveAverage="0" equalAverage="0" bottom="0" percent="0" rank="0" text="" dxfId="10">
      <formula>e{r}</formula>
    </cfRule>
  </conditionalFormatting>
  <conditionalFormatting sqref="H848">
    <cfRule type="cellIs" priority="2528" operator="greaterThan" aboveAverage="0" equalAverage="0" bottom="0" percent="0" rank="0" text="" dxfId="1">
      <formula>0</formula>
    </cfRule>
    <cfRule type="cellIs" priority="2529" operator="lessThanOrEqual" aboveAverage="0" equalAverage="0" bottom="0" percent="0" rank="0" text="" dxfId="0">
      <formula>0</formula>
    </cfRule>
  </conditionalFormatting>
  <conditionalFormatting sqref="G848">
    <cfRule type="cellIs" priority="2530" operator="greaterThan" aboveAverage="0" equalAverage="0" bottom="0" percent="0" rank="0" text="" dxfId="10">
      <formula>e{r}</formula>
    </cfRule>
  </conditionalFormatting>
  <conditionalFormatting sqref="H849">
    <cfRule type="cellIs" priority="2531" operator="greaterThan" aboveAverage="0" equalAverage="0" bottom="0" percent="0" rank="0" text="" dxfId="1">
      <formula>0</formula>
    </cfRule>
    <cfRule type="cellIs" priority="2532" operator="lessThanOrEqual" aboveAverage="0" equalAverage="0" bottom="0" percent="0" rank="0" text="" dxfId="0">
      <formula>0</formula>
    </cfRule>
  </conditionalFormatting>
  <conditionalFormatting sqref="G849">
    <cfRule type="cellIs" priority="2533" operator="greaterThan" aboveAverage="0" equalAverage="0" bottom="0" percent="0" rank="0" text="" dxfId="10">
      <formula>e{r}</formula>
    </cfRule>
  </conditionalFormatting>
  <conditionalFormatting sqref="H850">
    <cfRule type="cellIs" priority="2534" operator="greaterThan" aboveAverage="0" equalAverage="0" bottom="0" percent="0" rank="0" text="" dxfId="1">
      <formula>0</formula>
    </cfRule>
    <cfRule type="cellIs" priority="2535" operator="lessThanOrEqual" aboveAverage="0" equalAverage="0" bottom="0" percent="0" rank="0" text="" dxfId="0">
      <formula>0</formula>
    </cfRule>
  </conditionalFormatting>
  <conditionalFormatting sqref="G850">
    <cfRule type="cellIs" priority="2536" operator="greaterThan" aboveAverage="0" equalAverage="0" bottom="0" percent="0" rank="0" text="" dxfId="10">
      <formula>e{r}</formula>
    </cfRule>
  </conditionalFormatting>
  <conditionalFormatting sqref="H851">
    <cfRule type="cellIs" priority="2537" operator="greaterThan" aboveAverage="0" equalAverage="0" bottom="0" percent="0" rank="0" text="" dxfId="1">
      <formula>0</formula>
    </cfRule>
    <cfRule type="cellIs" priority="2538" operator="lessThanOrEqual" aboveAverage="0" equalAverage="0" bottom="0" percent="0" rank="0" text="" dxfId="0">
      <formula>0</formula>
    </cfRule>
  </conditionalFormatting>
  <conditionalFormatting sqref="G851">
    <cfRule type="cellIs" priority="2539" operator="greaterThan" aboveAverage="0" equalAverage="0" bottom="0" percent="0" rank="0" text="" dxfId="10">
      <formula>e{r}</formula>
    </cfRule>
  </conditionalFormatting>
  <conditionalFormatting sqref="H852">
    <cfRule type="cellIs" priority="2540" operator="greaterThan" aboveAverage="0" equalAverage="0" bottom="0" percent="0" rank="0" text="" dxfId="1">
      <formula>0</formula>
    </cfRule>
    <cfRule type="cellIs" priority="2541" operator="lessThanOrEqual" aboveAverage="0" equalAverage="0" bottom="0" percent="0" rank="0" text="" dxfId="0">
      <formula>0</formula>
    </cfRule>
  </conditionalFormatting>
  <conditionalFormatting sqref="G852">
    <cfRule type="cellIs" priority="2542" operator="greaterThan" aboveAverage="0" equalAverage="0" bottom="0" percent="0" rank="0" text="" dxfId="10">
      <formula>e{r}</formula>
    </cfRule>
  </conditionalFormatting>
  <conditionalFormatting sqref="H853">
    <cfRule type="cellIs" priority="2543" operator="greaterThan" aboveAverage="0" equalAverage="0" bottom="0" percent="0" rank="0" text="" dxfId="1">
      <formula>0</formula>
    </cfRule>
    <cfRule type="cellIs" priority="2544" operator="lessThanOrEqual" aboveAverage="0" equalAverage="0" bottom="0" percent="0" rank="0" text="" dxfId="0">
      <formula>0</formula>
    </cfRule>
  </conditionalFormatting>
  <conditionalFormatting sqref="G853">
    <cfRule type="cellIs" priority="2545" operator="greaterThan" aboveAverage="0" equalAverage="0" bottom="0" percent="0" rank="0" text="" dxfId="10">
      <formula>e{r}</formula>
    </cfRule>
  </conditionalFormatting>
  <conditionalFormatting sqref="H854">
    <cfRule type="cellIs" priority="2546" operator="greaterThan" aboveAverage="0" equalAverage="0" bottom="0" percent="0" rank="0" text="" dxfId="1">
      <formula>0</formula>
    </cfRule>
    <cfRule type="cellIs" priority="2547" operator="lessThanOrEqual" aboveAverage="0" equalAverage="0" bottom="0" percent="0" rank="0" text="" dxfId="0">
      <formula>0</formula>
    </cfRule>
  </conditionalFormatting>
  <conditionalFormatting sqref="G854">
    <cfRule type="cellIs" priority="2548" operator="greaterThan" aboveAverage="0" equalAverage="0" bottom="0" percent="0" rank="0" text="" dxfId="10">
      <formula>e{r}</formula>
    </cfRule>
  </conditionalFormatting>
  <conditionalFormatting sqref="H855">
    <cfRule type="cellIs" priority="2549" operator="greaterThan" aboveAverage="0" equalAverage="0" bottom="0" percent="0" rank="0" text="" dxfId="1">
      <formula>0</formula>
    </cfRule>
    <cfRule type="cellIs" priority="2550" operator="lessThanOrEqual" aboveAverage="0" equalAverage="0" bottom="0" percent="0" rank="0" text="" dxfId="0">
      <formula>0</formula>
    </cfRule>
  </conditionalFormatting>
  <conditionalFormatting sqref="G855">
    <cfRule type="cellIs" priority="2551" operator="greaterThan" aboveAverage="0" equalAverage="0" bottom="0" percent="0" rank="0" text="" dxfId="10">
      <formula>e{r}</formula>
    </cfRule>
  </conditionalFormatting>
  <conditionalFormatting sqref="H856">
    <cfRule type="cellIs" priority="2552" operator="greaterThan" aboveAverage="0" equalAverage="0" bottom="0" percent="0" rank="0" text="" dxfId="1">
      <formula>0</formula>
    </cfRule>
    <cfRule type="cellIs" priority="2553" operator="lessThanOrEqual" aboveAverage="0" equalAverage="0" bottom="0" percent="0" rank="0" text="" dxfId="0">
      <formula>0</formula>
    </cfRule>
  </conditionalFormatting>
  <conditionalFormatting sqref="G856">
    <cfRule type="cellIs" priority="2554" operator="greaterThan" aboveAverage="0" equalAverage="0" bottom="0" percent="0" rank="0" text="" dxfId="10">
      <formula>e{r}</formula>
    </cfRule>
  </conditionalFormatting>
  <conditionalFormatting sqref="H857">
    <cfRule type="cellIs" priority="2555" operator="greaterThan" aboveAverage="0" equalAverage="0" bottom="0" percent="0" rank="0" text="" dxfId="1">
      <formula>0</formula>
    </cfRule>
    <cfRule type="cellIs" priority="2556" operator="lessThanOrEqual" aboveAverage="0" equalAverage="0" bottom="0" percent="0" rank="0" text="" dxfId="0">
      <formula>0</formula>
    </cfRule>
  </conditionalFormatting>
  <conditionalFormatting sqref="G857">
    <cfRule type="cellIs" priority="2557" operator="greaterThan" aboveAverage="0" equalAverage="0" bottom="0" percent="0" rank="0" text="" dxfId="10">
      <formula>e{r}</formula>
    </cfRule>
  </conditionalFormatting>
  <conditionalFormatting sqref="H858">
    <cfRule type="cellIs" priority="2558" operator="greaterThan" aboveAverage="0" equalAverage="0" bottom="0" percent="0" rank="0" text="" dxfId="1">
      <formula>0</formula>
    </cfRule>
    <cfRule type="cellIs" priority="2559" operator="lessThanOrEqual" aboveAverage="0" equalAverage="0" bottom="0" percent="0" rank="0" text="" dxfId="0">
      <formula>0</formula>
    </cfRule>
  </conditionalFormatting>
  <conditionalFormatting sqref="G858">
    <cfRule type="cellIs" priority="2560" operator="greaterThan" aboveAverage="0" equalAverage="0" bottom="0" percent="0" rank="0" text="" dxfId="10">
      <formula>e{r}</formula>
    </cfRule>
  </conditionalFormatting>
  <conditionalFormatting sqref="H859">
    <cfRule type="cellIs" priority="2561" operator="greaterThan" aboveAverage="0" equalAverage="0" bottom="0" percent="0" rank="0" text="" dxfId="1">
      <formula>0</formula>
    </cfRule>
    <cfRule type="cellIs" priority="2562" operator="lessThanOrEqual" aboveAverage="0" equalAverage="0" bottom="0" percent="0" rank="0" text="" dxfId="0">
      <formula>0</formula>
    </cfRule>
  </conditionalFormatting>
  <conditionalFormatting sqref="G859">
    <cfRule type="cellIs" priority="2563" operator="greaterThan" aboveAverage="0" equalAverage="0" bottom="0" percent="0" rank="0" text="" dxfId="10">
      <formula>e{r}</formula>
    </cfRule>
  </conditionalFormatting>
  <conditionalFormatting sqref="H860">
    <cfRule type="cellIs" priority="2564" operator="greaterThan" aboveAverage="0" equalAverage="0" bottom="0" percent="0" rank="0" text="" dxfId="1">
      <formula>0</formula>
    </cfRule>
    <cfRule type="cellIs" priority="2565" operator="lessThanOrEqual" aboveAverage="0" equalAverage="0" bottom="0" percent="0" rank="0" text="" dxfId="0">
      <formula>0</formula>
    </cfRule>
  </conditionalFormatting>
  <conditionalFormatting sqref="G860">
    <cfRule type="cellIs" priority="2566" operator="greaterThan" aboveAverage="0" equalAverage="0" bottom="0" percent="0" rank="0" text="" dxfId="10">
      <formula>e{r}</formula>
    </cfRule>
  </conditionalFormatting>
  <conditionalFormatting sqref="H861">
    <cfRule type="cellIs" priority="2567" operator="greaterThan" aboveAverage="0" equalAverage="0" bottom="0" percent="0" rank="0" text="" dxfId="1">
      <formula>0</formula>
    </cfRule>
    <cfRule type="cellIs" priority="2568" operator="lessThanOrEqual" aboveAverage="0" equalAverage="0" bottom="0" percent="0" rank="0" text="" dxfId="0">
      <formula>0</formula>
    </cfRule>
  </conditionalFormatting>
  <conditionalFormatting sqref="G861">
    <cfRule type="cellIs" priority="2569" operator="greaterThan" aboveAverage="0" equalAverage="0" bottom="0" percent="0" rank="0" text="" dxfId="10">
      <formula>e{r}</formula>
    </cfRule>
  </conditionalFormatting>
  <conditionalFormatting sqref="H862">
    <cfRule type="cellIs" priority="2570" operator="greaterThan" aboveAverage="0" equalAverage="0" bottom="0" percent="0" rank="0" text="" dxfId="1">
      <formula>0</formula>
    </cfRule>
    <cfRule type="cellIs" priority="2571" operator="lessThanOrEqual" aboveAverage="0" equalAverage="0" bottom="0" percent="0" rank="0" text="" dxfId="0">
      <formula>0</formula>
    </cfRule>
  </conditionalFormatting>
  <conditionalFormatting sqref="G862">
    <cfRule type="cellIs" priority="2572" operator="greaterThan" aboveAverage="0" equalAverage="0" bottom="0" percent="0" rank="0" text="" dxfId="10">
      <formula>e{r}</formula>
    </cfRule>
  </conditionalFormatting>
  <conditionalFormatting sqref="H863">
    <cfRule type="cellIs" priority="2573" operator="greaterThan" aboveAverage="0" equalAverage="0" bottom="0" percent="0" rank="0" text="" dxfId="1">
      <formula>0</formula>
    </cfRule>
    <cfRule type="cellIs" priority="2574" operator="lessThanOrEqual" aboveAverage="0" equalAverage="0" bottom="0" percent="0" rank="0" text="" dxfId="0">
      <formula>0</formula>
    </cfRule>
  </conditionalFormatting>
  <conditionalFormatting sqref="G863">
    <cfRule type="cellIs" priority="2575" operator="greaterThan" aboveAverage="0" equalAverage="0" bottom="0" percent="0" rank="0" text="" dxfId="10">
      <formula>e{r}</formula>
    </cfRule>
  </conditionalFormatting>
  <conditionalFormatting sqref="H864">
    <cfRule type="cellIs" priority="2576" operator="greaterThan" aboveAverage="0" equalAverage="0" bottom="0" percent="0" rank="0" text="" dxfId="1">
      <formula>0</formula>
    </cfRule>
    <cfRule type="cellIs" priority="2577" operator="lessThanOrEqual" aboveAverage="0" equalAverage="0" bottom="0" percent="0" rank="0" text="" dxfId="0">
      <formula>0</formula>
    </cfRule>
  </conditionalFormatting>
  <conditionalFormatting sqref="G864">
    <cfRule type="cellIs" priority="2578" operator="greaterThan" aboveAverage="0" equalAverage="0" bottom="0" percent="0" rank="0" text="" dxfId="10">
      <formula>e{r}</formula>
    </cfRule>
  </conditionalFormatting>
  <conditionalFormatting sqref="H865">
    <cfRule type="cellIs" priority="2579" operator="greaterThan" aboveAverage="0" equalAverage="0" bottom="0" percent="0" rank="0" text="" dxfId="1">
      <formula>0</formula>
    </cfRule>
    <cfRule type="cellIs" priority="2580" operator="lessThanOrEqual" aboveAverage="0" equalAverage="0" bottom="0" percent="0" rank="0" text="" dxfId="0">
      <formula>0</formula>
    </cfRule>
  </conditionalFormatting>
  <conditionalFormatting sqref="G865">
    <cfRule type="cellIs" priority="2581" operator="greaterThan" aboveAverage="0" equalAverage="0" bottom="0" percent="0" rank="0" text="" dxfId="10">
      <formula>e{r}</formula>
    </cfRule>
  </conditionalFormatting>
  <conditionalFormatting sqref="H866">
    <cfRule type="cellIs" priority="2582" operator="greaterThan" aboveAverage="0" equalAverage="0" bottom="0" percent="0" rank="0" text="" dxfId="1">
      <formula>0</formula>
    </cfRule>
    <cfRule type="cellIs" priority="2583" operator="lessThanOrEqual" aboveAverage="0" equalAverage="0" bottom="0" percent="0" rank="0" text="" dxfId="0">
      <formula>0</formula>
    </cfRule>
  </conditionalFormatting>
  <conditionalFormatting sqref="G866">
    <cfRule type="cellIs" priority="2584" operator="greaterThan" aboveAverage="0" equalAverage="0" bottom="0" percent="0" rank="0" text="" dxfId="10">
      <formula>e{r}</formula>
    </cfRule>
  </conditionalFormatting>
  <conditionalFormatting sqref="H867">
    <cfRule type="cellIs" priority="2585" operator="greaterThan" aboveAverage="0" equalAverage="0" bottom="0" percent="0" rank="0" text="" dxfId="1">
      <formula>0</formula>
    </cfRule>
    <cfRule type="cellIs" priority="2586" operator="lessThanOrEqual" aboveAverage="0" equalAverage="0" bottom="0" percent="0" rank="0" text="" dxfId="0">
      <formula>0</formula>
    </cfRule>
  </conditionalFormatting>
  <conditionalFormatting sqref="G867">
    <cfRule type="cellIs" priority="2587" operator="greaterThan" aboveAverage="0" equalAverage="0" bottom="0" percent="0" rank="0" text="" dxfId="10">
      <formula>e{r}</formula>
    </cfRule>
  </conditionalFormatting>
  <conditionalFormatting sqref="H868">
    <cfRule type="cellIs" priority="2588" operator="greaterThan" aboveAverage="0" equalAverage="0" bottom="0" percent="0" rank="0" text="" dxfId="1">
      <formula>0</formula>
    </cfRule>
    <cfRule type="cellIs" priority="2589" operator="lessThanOrEqual" aboveAverage="0" equalAverage="0" bottom="0" percent="0" rank="0" text="" dxfId="0">
      <formula>0</formula>
    </cfRule>
  </conditionalFormatting>
  <conditionalFormatting sqref="G868">
    <cfRule type="cellIs" priority="2590" operator="greaterThan" aboveAverage="0" equalAverage="0" bottom="0" percent="0" rank="0" text="" dxfId="10">
      <formula>e{r}</formula>
    </cfRule>
  </conditionalFormatting>
  <conditionalFormatting sqref="H869">
    <cfRule type="cellIs" priority="2591" operator="greaterThan" aboveAverage="0" equalAverage="0" bottom="0" percent="0" rank="0" text="" dxfId="1">
      <formula>0</formula>
    </cfRule>
    <cfRule type="cellIs" priority="2592" operator="lessThanOrEqual" aboveAverage="0" equalAverage="0" bottom="0" percent="0" rank="0" text="" dxfId="0">
      <formula>0</formula>
    </cfRule>
  </conditionalFormatting>
  <conditionalFormatting sqref="G869">
    <cfRule type="cellIs" priority="2593" operator="greaterThan" aboveAverage="0" equalAverage="0" bottom="0" percent="0" rank="0" text="" dxfId="10">
      <formula>e{r}</formula>
    </cfRule>
  </conditionalFormatting>
  <conditionalFormatting sqref="H870">
    <cfRule type="cellIs" priority="2594" operator="greaterThan" aboveAverage="0" equalAverage="0" bottom="0" percent="0" rank="0" text="" dxfId="1">
      <formula>0</formula>
    </cfRule>
    <cfRule type="cellIs" priority="2595" operator="lessThanOrEqual" aboveAverage="0" equalAverage="0" bottom="0" percent="0" rank="0" text="" dxfId="0">
      <formula>0</formula>
    </cfRule>
  </conditionalFormatting>
  <conditionalFormatting sqref="G870">
    <cfRule type="cellIs" priority="2596" operator="greaterThan" aboveAverage="0" equalAverage="0" bottom="0" percent="0" rank="0" text="" dxfId="10">
      <formula>e{r}</formula>
    </cfRule>
  </conditionalFormatting>
  <conditionalFormatting sqref="H871">
    <cfRule type="cellIs" priority="2597" operator="greaterThan" aboveAverage="0" equalAverage="0" bottom="0" percent="0" rank="0" text="" dxfId="1">
      <formula>0</formula>
    </cfRule>
    <cfRule type="cellIs" priority="2598" operator="lessThanOrEqual" aboveAverage="0" equalAverage="0" bottom="0" percent="0" rank="0" text="" dxfId="0">
      <formula>0</formula>
    </cfRule>
  </conditionalFormatting>
  <conditionalFormatting sqref="G871">
    <cfRule type="cellIs" priority="2599" operator="greaterThan" aboveAverage="0" equalAverage="0" bottom="0" percent="0" rank="0" text="" dxfId="10">
      <formula>e{r}</formula>
    </cfRule>
  </conditionalFormatting>
  <conditionalFormatting sqref="H872">
    <cfRule type="cellIs" priority="2600" operator="greaterThan" aboveAverage="0" equalAverage="0" bottom="0" percent="0" rank="0" text="" dxfId="1">
      <formula>0</formula>
    </cfRule>
    <cfRule type="cellIs" priority="2601" operator="lessThanOrEqual" aboveAverage="0" equalAverage="0" bottom="0" percent="0" rank="0" text="" dxfId="0">
      <formula>0</formula>
    </cfRule>
  </conditionalFormatting>
  <conditionalFormatting sqref="G872">
    <cfRule type="cellIs" priority="2602" operator="greaterThan" aboveAverage="0" equalAverage="0" bottom="0" percent="0" rank="0" text="" dxfId="10">
      <formula>e{r}</formula>
    </cfRule>
  </conditionalFormatting>
  <conditionalFormatting sqref="H873">
    <cfRule type="cellIs" priority="2603" operator="greaterThan" aboveAverage="0" equalAverage="0" bottom="0" percent="0" rank="0" text="" dxfId="1">
      <formula>0</formula>
    </cfRule>
    <cfRule type="cellIs" priority="2604" operator="lessThanOrEqual" aboveAverage="0" equalAverage="0" bottom="0" percent="0" rank="0" text="" dxfId="0">
      <formula>0</formula>
    </cfRule>
  </conditionalFormatting>
  <conditionalFormatting sqref="G873">
    <cfRule type="cellIs" priority="2605" operator="greaterThan" aboveAverage="0" equalAverage="0" bottom="0" percent="0" rank="0" text="" dxfId="10">
      <formula>e{r}</formula>
    </cfRule>
  </conditionalFormatting>
  <conditionalFormatting sqref="H874">
    <cfRule type="cellIs" priority="2606" operator="greaterThan" aboveAverage="0" equalAverage="0" bottom="0" percent="0" rank="0" text="" dxfId="1">
      <formula>0</formula>
    </cfRule>
    <cfRule type="cellIs" priority="2607" operator="lessThanOrEqual" aboveAverage="0" equalAverage="0" bottom="0" percent="0" rank="0" text="" dxfId="0">
      <formula>0</formula>
    </cfRule>
  </conditionalFormatting>
  <conditionalFormatting sqref="G874">
    <cfRule type="cellIs" priority="2608" operator="greaterThan" aboveAverage="0" equalAverage="0" bottom="0" percent="0" rank="0" text="" dxfId="10">
      <formula>e{r}</formula>
    </cfRule>
  </conditionalFormatting>
  <conditionalFormatting sqref="H875">
    <cfRule type="cellIs" priority="2609" operator="greaterThan" aboveAverage="0" equalAverage="0" bottom="0" percent="0" rank="0" text="" dxfId="1">
      <formula>0</formula>
    </cfRule>
    <cfRule type="cellIs" priority="2610" operator="lessThanOrEqual" aboveAverage="0" equalAverage="0" bottom="0" percent="0" rank="0" text="" dxfId="0">
      <formula>0</formula>
    </cfRule>
  </conditionalFormatting>
  <conditionalFormatting sqref="G875">
    <cfRule type="cellIs" priority="2611" operator="greaterThan" aboveAverage="0" equalAverage="0" bottom="0" percent="0" rank="0" text="" dxfId="10">
      <formula>e{r}</formula>
    </cfRule>
  </conditionalFormatting>
  <conditionalFormatting sqref="H876">
    <cfRule type="cellIs" priority="2612" operator="greaterThan" aboveAverage="0" equalAverage="0" bottom="0" percent="0" rank="0" text="" dxfId="1">
      <formula>0</formula>
    </cfRule>
    <cfRule type="cellIs" priority="2613" operator="lessThanOrEqual" aboveAverage="0" equalAverage="0" bottom="0" percent="0" rank="0" text="" dxfId="0">
      <formula>0</formula>
    </cfRule>
  </conditionalFormatting>
  <conditionalFormatting sqref="G876">
    <cfRule type="cellIs" priority="2614" operator="greaterThan" aboveAverage="0" equalAverage="0" bottom="0" percent="0" rank="0" text="" dxfId="10">
      <formula>e{r}</formula>
    </cfRule>
  </conditionalFormatting>
  <conditionalFormatting sqref="H877">
    <cfRule type="cellIs" priority="2615" operator="greaterThan" aboveAverage="0" equalAverage="0" bottom="0" percent="0" rank="0" text="" dxfId="1">
      <formula>0</formula>
    </cfRule>
    <cfRule type="cellIs" priority="2616" operator="lessThanOrEqual" aboveAverage="0" equalAverage="0" bottom="0" percent="0" rank="0" text="" dxfId="0">
      <formula>0</formula>
    </cfRule>
  </conditionalFormatting>
  <conditionalFormatting sqref="G877">
    <cfRule type="cellIs" priority="2617" operator="greaterThan" aboveAverage="0" equalAverage="0" bottom="0" percent="0" rank="0" text="" dxfId="10">
      <formula>e{r}</formula>
    </cfRule>
  </conditionalFormatting>
  <conditionalFormatting sqref="H878">
    <cfRule type="cellIs" priority="2618" operator="greaterThan" aboveAverage="0" equalAverage="0" bottom="0" percent="0" rank="0" text="" dxfId="1">
      <formula>0</formula>
    </cfRule>
    <cfRule type="cellIs" priority="2619" operator="lessThanOrEqual" aboveAverage="0" equalAverage="0" bottom="0" percent="0" rank="0" text="" dxfId="0">
      <formula>0</formula>
    </cfRule>
  </conditionalFormatting>
  <conditionalFormatting sqref="G878">
    <cfRule type="cellIs" priority="2620" operator="greaterThan" aboveAverage="0" equalAverage="0" bottom="0" percent="0" rank="0" text="" dxfId="10">
      <formula>e{r}</formula>
    </cfRule>
  </conditionalFormatting>
  <conditionalFormatting sqref="H879">
    <cfRule type="cellIs" priority="2621" operator="greaterThan" aboveAverage="0" equalAverage="0" bottom="0" percent="0" rank="0" text="" dxfId="1">
      <formula>0</formula>
    </cfRule>
    <cfRule type="cellIs" priority="2622" operator="lessThanOrEqual" aboveAverage="0" equalAverage="0" bottom="0" percent="0" rank="0" text="" dxfId="0">
      <formula>0</formula>
    </cfRule>
  </conditionalFormatting>
  <conditionalFormatting sqref="G879">
    <cfRule type="cellIs" priority="2623" operator="greaterThan" aboveAverage="0" equalAverage="0" bottom="0" percent="0" rank="0" text="" dxfId="10">
      <formula>e{r}</formula>
    </cfRule>
  </conditionalFormatting>
  <conditionalFormatting sqref="H880">
    <cfRule type="cellIs" priority="2624" operator="greaterThan" aboveAverage="0" equalAverage="0" bottom="0" percent="0" rank="0" text="" dxfId="1">
      <formula>0</formula>
    </cfRule>
    <cfRule type="cellIs" priority="2625" operator="lessThanOrEqual" aboveAverage="0" equalAverage="0" bottom="0" percent="0" rank="0" text="" dxfId="0">
      <formula>0</formula>
    </cfRule>
  </conditionalFormatting>
  <conditionalFormatting sqref="G880">
    <cfRule type="cellIs" priority="2626" operator="greaterThan" aboveAverage="0" equalAverage="0" bottom="0" percent="0" rank="0" text="" dxfId="10">
      <formula>e{r}</formula>
    </cfRule>
  </conditionalFormatting>
  <conditionalFormatting sqref="H881">
    <cfRule type="cellIs" priority="2627" operator="greaterThan" aboveAverage="0" equalAverage="0" bottom="0" percent="0" rank="0" text="" dxfId="1">
      <formula>0</formula>
    </cfRule>
    <cfRule type="cellIs" priority="2628" operator="lessThanOrEqual" aboveAverage="0" equalAverage="0" bottom="0" percent="0" rank="0" text="" dxfId="0">
      <formula>0</formula>
    </cfRule>
  </conditionalFormatting>
  <conditionalFormatting sqref="G881">
    <cfRule type="cellIs" priority="2629" operator="greaterThan" aboveAverage="0" equalAverage="0" bottom="0" percent="0" rank="0" text="" dxfId="10">
      <formula>e{r}</formula>
    </cfRule>
  </conditionalFormatting>
  <conditionalFormatting sqref="H882">
    <cfRule type="cellIs" priority="2630" operator="greaterThan" aboveAverage="0" equalAverage="0" bottom="0" percent="0" rank="0" text="" dxfId="1">
      <formula>0</formula>
    </cfRule>
    <cfRule type="cellIs" priority="2631" operator="lessThanOrEqual" aboveAverage="0" equalAverage="0" bottom="0" percent="0" rank="0" text="" dxfId="0">
      <formula>0</formula>
    </cfRule>
  </conditionalFormatting>
  <conditionalFormatting sqref="G882">
    <cfRule type="cellIs" priority="2632" operator="greaterThan" aboveAverage="0" equalAverage="0" bottom="0" percent="0" rank="0" text="" dxfId="10">
      <formula>e{r}</formula>
    </cfRule>
  </conditionalFormatting>
  <conditionalFormatting sqref="H883">
    <cfRule type="cellIs" priority="2633" operator="greaterThan" aboveAverage="0" equalAverage="0" bottom="0" percent="0" rank="0" text="" dxfId="1">
      <formula>0</formula>
    </cfRule>
    <cfRule type="cellIs" priority="2634" operator="lessThanOrEqual" aboveAverage="0" equalAverage="0" bottom="0" percent="0" rank="0" text="" dxfId="0">
      <formula>0</formula>
    </cfRule>
  </conditionalFormatting>
  <conditionalFormatting sqref="G883">
    <cfRule type="cellIs" priority="2635" operator="greaterThan" aboveAverage="0" equalAverage="0" bottom="0" percent="0" rank="0" text="" dxfId="10">
      <formula>e{r}</formula>
    </cfRule>
  </conditionalFormatting>
  <conditionalFormatting sqref="H884">
    <cfRule type="cellIs" priority="2636" operator="greaterThan" aboveAverage="0" equalAverage="0" bottom="0" percent="0" rank="0" text="" dxfId="1">
      <formula>0</formula>
    </cfRule>
    <cfRule type="cellIs" priority="2637" operator="lessThanOrEqual" aboveAverage="0" equalAverage="0" bottom="0" percent="0" rank="0" text="" dxfId="0">
      <formula>0</formula>
    </cfRule>
  </conditionalFormatting>
  <conditionalFormatting sqref="G884">
    <cfRule type="cellIs" priority="2638" operator="greaterThan" aboveAverage="0" equalAverage="0" bottom="0" percent="0" rank="0" text="" dxfId="10">
      <formula>e{r}</formula>
    </cfRule>
  </conditionalFormatting>
  <conditionalFormatting sqref="H885">
    <cfRule type="cellIs" priority="2639" operator="greaterThan" aboveAverage="0" equalAverage="0" bottom="0" percent="0" rank="0" text="" dxfId="1">
      <formula>0</formula>
    </cfRule>
    <cfRule type="cellIs" priority="2640" operator="lessThanOrEqual" aboveAverage="0" equalAverage="0" bottom="0" percent="0" rank="0" text="" dxfId="0">
      <formula>0</formula>
    </cfRule>
  </conditionalFormatting>
  <conditionalFormatting sqref="G885">
    <cfRule type="cellIs" priority="2641" operator="greaterThan" aboveAverage="0" equalAverage="0" bottom="0" percent="0" rank="0" text="" dxfId="10">
      <formula>e{r}</formula>
    </cfRule>
  </conditionalFormatting>
  <conditionalFormatting sqref="H886">
    <cfRule type="cellIs" priority="2642" operator="greaterThan" aboveAverage="0" equalAverage="0" bottom="0" percent="0" rank="0" text="" dxfId="1">
      <formula>0</formula>
    </cfRule>
    <cfRule type="cellIs" priority="2643" operator="lessThanOrEqual" aboveAverage="0" equalAverage="0" bottom="0" percent="0" rank="0" text="" dxfId="0">
      <formula>0</formula>
    </cfRule>
  </conditionalFormatting>
  <conditionalFormatting sqref="G886">
    <cfRule type="cellIs" priority="2644" operator="greaterThan" aboveAverage="0" equalAverage="0" bottom="0" percent="0" rank="0" text="" dxfId="10">
      <formula>e{r}</formula>
    </cfRule>
  </conditionalFormatting>
  <conditionalFormatting sqref="H887">
    <cfRule type="cellIs" priority="2645" operator="greaterThan" aboveAverage="0" equalAverage="0" bottom="0" percent="0" rank="0" text="" dxfId="1">
      <formula>0</formula>
    </cfRule>
    <cfRule type="cellIs" priority="2646" operator="lessThanOrEqual" aboveAverage="0" equalAverage="0" bottom="0" percent="0" rank="0" text="" dxfId="0">
      <formula>0</formula>
    </cfRule>
  </conditionalFormatting>
  <conditionalFormatting sqref="G887">
    <cfRule type="cellIs" priority="2647" operator="greaterThan" aboveAverage="0" equalAverage="0" bottom="0" percent="0" rank="0" text="" dxfId="10">
      <formula>e{r}</formula>
    </cfRule>
  </conditionalFormatting>
  <conditionalFormatting sqref="H888">
    <cfRule type="cellIs" priority="2648" operator="greaterThan" aboveAverage="0" equalAverage="0" bottom="0" percent="0" rank="0" text="" dxfId="1">
      <formula>0</formula>
    </cfRule>
    <cfRule type="cellIs" priority="2649" operator="lessThanOrEqual" aboveAverage="0" equalAverage="0" bottom="0" percent="0" rank="0" text="" dxfId="0">
      <formula>0</formula>
    </cfRule>
  </conditionalFormatting>
  <conditionalFormatting sqref="G888">
    <cfRule type="cellIs" priority="2650" operator="greaterThan" aboveAverage="0" equalAverage="0" bottom="0" percent="0" rank="0" text="" dxfId="10">
      <formula>e{r}</formula>
    </cfRule>
  </conditionalFormatting>
  <conditionalFormatting sqref="H889">
    <cfRule type="cellIs" priority="2651" operator="greaterThan" aboveAverage="0" equalAverage="0" bottom="0" percent="0" rank="0" text="" dxfId="1">
      <formula>0</formula>
    </cfRule>
    <cfRule type="cellIs" priority="2652" operator="lessThanOrEqual" aboveAverage="0" equalAverage="0" bottom="0" percent="0" rank="0" text="" dxfId="0">
      <formula>0</formula>
    </cfRule>
  </conditionalFormatting>
  <conditionalFormatting sqref="G889">
    <cfRule type="cellIs" priority="2653" operator="greaterThan" aboveAverage="0" equalAverage="0" bottom="0" percent="0" rank="0" text="" dxfId="10">
      <formula>e{r}</formula>
    </cfRule>
  </conditionalFormatting>
  <conditionalFormatting sqref="H890">
    <cfRule type="cellIs" priority="2654" operator="greaterThan" aboveAverage="0" equalAverage="0" bottom="0" percent="0" rank="0" text="" dxfId="1">
      <formula>0</formula>
    </cfRule>
    <cfRule type="cellIs" priority="2655" operator="lessThanOrEqual" aboveAverage="0" equalAverage="0" bottom="0" percent="0" rank="0" text="" dxfId="0">
      <formula>0</formula>
    </cfRule>
  </conditionalFormatting>
  <conditionalFormatting sqref="G890">
    <cfRule type="cellIs" priority="2656" operator="greaterThan" aboveAverage="0" equalAverage="0" bottom="0" percent="0" rank="0" text="" dxfId="10">
      <formula>e{r}</formula>
    </cfRule>
  </conditionalFormatting>
  <conditionalFormatting sqref="H891">
    <cfRule type="cellIs" priority="2657" operator="greaterThan" aboveAverage="0" equalAverage="0" bottom="0" percent="0" rank="0" text="" dxfId="1">
      <formula>0</formula>
    </cfRule>
    <cfRule type="cellIs" priority="2658" operator="lessThanOrEqual" aboveAverage="0" equalAverage="0" bottom="0" percent="0" rank="0" text="" dxfId="0">
      <formula>0</formula>
    </cfRule>
  </conditionalFormatting>
  <conditionalFormatting sqref="G891">
    <cfRule type="cellIs" priority="2659" operator="greaterThan" aboveAverage="0" equalAverage="0" bottom="0" percent="0" rank="0" text="" dxfId="10">
      <formula>e{r}</formula>
    </cfRule>
  </conditionalFormatting>
  <conditionalFormatting sqref="H892">
    <cfRule type="cellIs" priority="2660" operator="greaterThan" aboveAverage="0" equalAverage="0" bottom="0" percent="0" rank="0" text="" dxfId="1">
      <formula>0</formula>
    </cfRule>
    <cfRule type="cellIs" priority="2661" operator="lessThanOrEqual" aboveAverage="0" equalAverage="0" bottom="0" percent="0" rank="0" text="" dxfId="0">
      <formula>0</formula>
    </cfRule>
  </conditionalFormatting>
  <conditionalFormatting sqref="G892">
    <cfRule type="cellIs" priority="2662" operator="greaterThan" aboveAverage="0" equalAverage="0" bottom="0" percent="0" rank="0" text="" dxfId="10">
      <formula>e{r}</formula>
    </cfRule>
  </conditionalFormatting>
  <conditionalFormatting sqref="H893">
    <cfRule type="cellIs" priority="2663" operator="greaterThan" aboveAverage="0" equalAverage="0" bottom="0" percent="0" rank="0" text="" dxfId="1">
      <formula>0</formula>
    </cfRule>
    <cfRule type="cellIs" priority="2664" operator="lessThanOrEqual" aboveAverage="0" equalAverage="0" bottom="0" percent="0" rank="0" text="" dxfId="0">
      <formula>0</formula>
    </cfRule>
  </conditionalFormatting>
  <conditionalFormatting sqref="G893">
    <cfRule type="cellIs" priority="2665" operator="greaterThan" aboveAverage="0" equalAverage="0" bottom="0" percent="0" rank="0" text="" dxfId="10">
      <formula>e{r}</formula>
    </cfRule>
  </conditionalFormatting>
  <conditionalFormatting sqref="H894">
    <cfRule type="cellIs" priority="2666" operator="greaterThan" aboveAverage="0" equalAverage="0" bottom="0" percent="0" rank="0" text="" dxfId="1">
      <formula>0</formula>
    </cfRule>
    <cfRule type="cellIs" priority="2667" operator="lessThanOrEqual" aboveAverage="0" equalAverage="0" bottom="0" percent="0" rank="0" text="" dxfId="0">
      <formula>0</formula>
    </cfRule>
  </conditionalFormatting>
  <conditionalFormatting sqref="G894">
    <cfRule type="cellIs" priority="2668" operator="greaterThan" aboveAverage="0" equalAverage="0" bottom="0" percent="0" rank="0" text="" dxfId="10">
      <formula>e{r}</formula>
    </cfRule>
  </conditionalFormatting>
  <conditionalFormatting sqref="H895">
    <cfRule type="cellIs" priority="2669" operator="greaterThan" aboveAverage="0" equalAverage="0" bottom="0" percent="0" rank="0" text="" dxfId="1">
      <formula>0</formula>
    </cfRule>
    <cfRule type="cellIs" priority="2670" operator="lessThanOrEqual" aboveAverage="0" equalAverage="0" bottom="0" percent="0" rank="0" text="" dxfId="0">
      <formula>0</formula>
    </cfRule>
  </conditionalFormatting>
  <conditionalFormatting sqref="G895">
    <cfRule type="cellIs" priority="2671" operator="greaterThan" aboveAverage="0" equalAverage="0" bottom="0" percent="0" rank="0" text="" dxfId="10">
      <formula>e{r}</formula>
    </cfRule>
  </conditionalFormatting>
  <conditionalFormatting sqref="H896">
    <cfRule type="cellIs" priority="2672" operator="greaterThan" aboveAverage="0" equalAverage="0" bottom="0" percent="0" rank="0" text="" dxfId="1">
      <formula>0</formula>
    </cfRule>
    <cfRule type="cellIs" priority="2673" operator="lessThanOrEqual" aboveAverage="0" equalAverage="0" bottom="0" percent="0" rank="0" text="" dxfId="0">
      <formula>0</formula>
    </cfRule>
  </conditionalFormatting>
  <conditionalFormatting sqref="G896">
    <cfRule type="cellIs" priority="2674" operator="greaterThan" aboveAverage="0" equalAverage="0" bottom="0" percent="0" rank="0" text="" dxfId="10">
      <formula>e{r}</formula>
    </cfRule>
  </conditionalFormatting>
  <conditionalFormatting sqref="H897">
    <cfRule type="cellIs" priority="2675" operator="greaterThan" aboveAverage="0" equalAverage="0" bottom="0" percent="0" rank="0" text="" dxfId="1">
      <formula>0</formula>
    </cfRule>
    <cfRule type="cellIs" priority="2676" operator="lessThanOrEqual" aboveAverage="0" equalAverage="0" bottom="0" percent="0" rank="0" text="" dxfId="0">
      <formula>0</formula>
    </cfRule>
  </conditionalFormatting>
  <conditionalFormatting sqref="G897">
    <cfRule type="cellIs" priority="2677" operator="greaterThan" aboveAverage="0" equalAverage="0" bottom="0" percent="0" rank="0" text="" dxfId="10">
      <formula>e{r}</formula>
    </cfRule>
  </conditionalFormatting>
  <conditionalFormatting sqref="H898">
    <cfRule type="cellIs" priority="2678" operator="greaterThan" aboveAverage="0" equalAverage="0" bottom="0" percent="0" rank="0" text="" dxfId="1">
      <formula>0</formula>
    </cfRule>
    <cfRule type="cellIs" priority="2679" operator="lessThanOrEqual" aboveAverage="0" equalAverage="0" bottom="0" percent="0" rank="0" text="" dxfId="0">
      <formula>0</formula>
    </cfRule>
  </conditionalFormatting>
  <conditionalFormatting sqref="G898">
    <cfRule type="cellIs" priority="2680" operator="greaterThan" aboveAverage="0" equalAverage="0" bottom="0" percent="0" rank="0" text="" dxfId="10">
      <formula>e{r}</formula>
    </cfRule>
  </conditionalFormatting>
  <conditionalFormatting sqref="H899">
    <cfRule type="cellIs" priority="2681" operator="greaterThan" aboveAverage="0" equalAverage="0" bottom="0" percent="0" rank="0" text="" dxfId="1">
      <formula>0</formula>
    </cfRule>
    <cfRule type="cellIs" priority="2682" operator="lessThanOrEqual" aboveAverage="0" equalAverage="0" bottom="0" percent="0" rank="0" text="" dxfId="0">
      <formula>0</formula>
    </cfRule>
  </conditionalFormatting>
  <conditionalFormatting sqref="G899">
    <cfRule type="cellIs" priority="2683" operator="greaterThan" aboveAverage="0" equalAverage="0" bottom="0" percent="0" rank="0" text="" dxfId="10">
      <formula>e{r}</formula>
    </cfRule>
  </conditionalFormatting>
  <conditionalFormatting sqref="H900">
    <cfRule type="cellIs" priority="2684" operator="greaterThan" aboveAverage="0" equalAverage="0" bottom="0" percent="0" rank="0" text="" dxfId="1">
      <formula>0</formula>
    </cfRule>
    <cfRule type="cellIs" priority="2685" operator="lessThanOrEqual" aboveAverage="0" equalAverage="0" bottom="0" percent="0" rank="0" text="" dxfId="0">
      <formula>0</formula>
    </cfRule>
  </conditionalFormatting>
  <conditionalFormatting sqref="G900">
    <cfRule type="cellIs" priority="2686" operator="greaterThan" aboveAverage="0" equalAverage="0" bottom="0" percent="0" rank="0" text="" dxfId="10">
      <formula>e{r}</formula>
    </cfRule>
  </conditionalFormatting>
  <conditionalFormatting sqref="H901">
    <cfRule type="cellIs" priority="2687" operator="greaterThan" aboveAverage="0" equalAverage="0" bottom="0" percent="0" rank="0" text="" dxfId="1">
      <formula>0</formula>
    </cfRule>
    <cfRule type="cellIs" priority="2688" operator="lessThanOrEqual" aboveAverage="0" equalAverage="0" bottom="0" percent="0" rank="0" text="" dxfId="0">
      <formula>0</formula>
    </cfRule>
  </conditionalFormatting>
  <conditionalFormatting sqref="G901">
    <cfRule type="cellIs" priority="2689" operator="greaterThan" aboveAverage="0" equalAverage="0" bottom="0" percent="0" rank="0" text="" dxfId="10">
      <formula>e{r}</formula>
    </cfRule>
  </conditionalFormatting>
  <conditionalFormatting sqref="H902">
    <cfRule type="cellIs" priority="2690" operator="greaterThan" aboveAverage="0" equalAverage="0" bottom="0" percent="0" rank="0" text="" dxfId="1">
      <formula>0</formula>
    </cfRule>
    <cfRule type="cellIs" priority="2691" operator="lessThanOrEqual" aboveAverage="0" equalAverage="0" bottom="0" percent="0" rank="0" text="" dxfId="0">
      <formula>0</formula>
    </cfRule>
  </conditionalFormatting>
  <conditionalFormatting sqref="G902">
    <cfRule type="cellIs" priority="2692" operator="greaterThan" aboveAverage="0" equalAverage="0" bottom="0" percent="0" rank="0" text="" dxfId="10">
      <formula>e{r}</formula>
    </cfRule>
  </conditionalFormatting>
  <conditionalFormatting sqref="H903">
    <cfRule type="cellIs" priority="2693" operator="greaterThan" aboveAverage="0" equalAverage="0" bottom="0" percent="0" rank="0" text="" dxfId="1">
      <formula>0</formula>
    </cfRule>
    <cfRule type="cellIs" priority="2694" operator="lessThanOrEqual" aboveAverage="0" equalAverage="0" bottom="0" percent="0" rank="0" text="" dxfId="0">
      <formula>0</formula>
    </cfRule>
  </conditionalFormatting>
  <conditionalFormatting sqref="G903">
    <cfRule type="cellIs" priority="2695" operator="greaterThan" aboveAverage="0" equalAverage="0" bottom="0" percent="0" rank="0" text="" dxfId="10">
      <formula>e{r}</formula>
    </cfRule>
  </conditionalFormatting>
  <conditionalFormatting sqref="H904">
    <cfRule type="cellIs" priority="2696" operator="greaterThan" aboveAverage="0" equalAverage="0" bottom="0" percent="0" rank="0" text="" dxfId="1">
      <formula>0</formula>
    </cfRule>
    <cfRule type="cellIs" priority="2697" operator="lessThanOrEqual" aboveAverage="0" equalAverage="0" bottom="0" percent="0" rank="0" text="" dxfId="0">
      <formula>0</formula>
    </cfRule>
  </conditionalFormatting>
  <conditionalFormatting sqref="G904">
    <cfRule type="cellIs" priority="2698" operator="greaterThan" aboveAverage="0" equalAverage="0" bottom="0" percent="0" rank="0" text="" dxfId="10">
      <formula>e{r}</formula>
    </cfRule>
  </conditionalFormatting>
  <conditionalFormatting sqref="H905">
    <cfRule type="cellIs" priority="2699" operator="greaterThan" aboveAverage="0" equalAverage="0" bottom="0" percent="0" rank="0" text="" dxfId="1">
      <formula>0</formula>
    </cfRule>
    <cfRule type="cellIs" priority="2700" operator="lessThanOrEqual" aboveAverage="0" equalAverage="0" bottom="0" percent="0" rank="0" text="" dxfId="0">
      <formula>0</formula>
    </cfRule>
  </conditionalFormatting>
  <conditionalFormatting sqref="G905">
    <cfRule type="cellIs" priority="2701" operator="greaterThan" aboveAverage="0" equalAverage="0" bottom="0" percent="0" rank="0" text="" dxfId="10">
      <formula>e{r}</formula>
    </cfRule>
  </conditionalFormatting>
  <conditionalFormatting sqref="H906">
    <cfRule type="cellIs" priority="2702" operator="greaterThan" aboveAverage="0" equalAverage="0" bottom="0" percent="0" rank="0" text="" dxfId="1">
      <formula>0</formula>
    </cfRule>
    <cfRule type="cellIs" priority="2703" operator="lessThanOrEqual" aboveAverage="0" equalAverage="0" bottom="0" percent="0" rank="0" text="" dxfId="0">
      <formula>0</formula>
    </cfRule>
  </conditionalFormatting>
  <conditionalFormatting sqref="G906">
    <cfRule type="cellIs" priority="2704" operator="greaterThan" aboveAverage="0" equalAverage="0" bottom="0" percent="0" rank="0" text="" dxfId="10">
      <formula>e{r}</formula>
    </cfRule>
  </conditionalFormatting>
  <conditionalFormatting sqref="H907">
    <cfRule type="cellIs" priority="2705" operator="greaterThan" aboveAverage="0" equalAverage="0" bottom="0" percent="0" rank="0" text="" dxfId="1">
      <formula>0</formula>
    </cfRule>
    <cfRule type="cellIs" priority="2706" operator="lessThanOrEqual" aboveAverage="0" equalAverage="0" bottom="0" percent="0" rank="0" text="" dxfId="0">
      <formula>0</formula>
    </cfRule>
  </conditionalFormatting>
  <conditionalFormatting sqref="G907">
    <cfRule type="cellIs" priority="2707" operator="greaterThan" aboveAverage="0" equalAverage="0" bottom="0" percent="0" rank="0" text="" dxfId="10">
      <formula>e{r}</formula>
    </cfRule>
  </conditionalFormatting>
  <conditionalFormatting sqref="H908">
    <cfRule type="cellIs" priority="2708" operator="greaterThan" aboveAverage="0" equalAverage="0" bottom="0" percent="0" rank="0" text="" dxfId="1">
      <formula>0</formula>
    </cfRule>
    <cfRule type="cellIs" priority="2709" operator="lessThanOrEqual" aboveAverage="0" equalAverage="0" bottom="0" percent="0" rank="0" text="" dxfId="0">
      <formula>0</formula>
    </cfRule>
  </conditionalFormatting>
  <conditionalFormatting sqref="G908">
    <cfRule type="cellIs" priority="2710" operator="greaterThan" aboveAverage="0" equalAverage="0" bottom="0" percent="0" rank="0" text="" dxfId="10">
      <formula>e{r}</formula>
    </cfRule>
  </conditionalFormatting>
  <conditionalFormatting sqref="H909">
    <cfRule type="cellIs" priority="2711" operator="greaterThan" aboveAverage="0" equalAverage="0" bottom="0" percent="0" rank="0" text="" dxfId="1">
      <formula>0</formula>
    </cfRule>
    <cfRule type="cellIs" priority="2712" operator="lessThanOrEqual" aboveAverage="0" equalAverage="0" bottom="0" percent="0" rank="0" text="" dxfId="0">
      <formula>0</formula>
    </cfRule>
  </conditionalFormatting>
  <conditionalFormatting sqref="G909">
    <cfRule type="cellIs" priority="2713" operator="greaterThan" aboveAverage="0" equalAverage="0" bottom="0" percent="0" rank="0" text="" dxfId="10">
      <formula>e{r}</formula>
    </cfRule>
  </conditionalFormatting>
  <conditionalFormatting sqref="H910">
    <cfRule type="cellIs" priority="2714" operator="greaterThan" aboveAverage="0" equalAverage="0" bottom="0" percent="0" rank="0" text="" dxfId="1">
      <formula>0</formula>
    </cfRule>
    <cfRule type="cellIs" priority="2715" operator="lessThanOrEqual" aboveAverage="0" equalAverage="0" bottom="0" percent="0" rank="0" text="" dxfId="0">
      <formula>0</formula>
    </cfRule>
  </conditionalFormatting>
  <conditionalFormatting sqref="G910">
    <cfRule type="cellIs" priority="2716" operator="greaterThan" aboveAverage="0" equalAverage="0" bottom="0" percent="0" rank="0" text="" dxfId="10">
      <formula>e{r}</formula>
    </cfRule>
  </conditionalFormatting>
  <conditionalFormatting sqref="H911">
    <cfRule type="cellIs" priority="2717" operator="greaterThan" aboveAverage="0" equalAverage="0" bottom="0" percent="0" rank="0" text="" dxfId="1">
      <formula>0</formula>
    </cfRule>
    <cfRule type="cellIs" priority="2718" operator="lessThanOrEqual" aboveAverage="0" equalAverage="0" bottom="0" percent="0" rank="0" text="" dxfId="0">
      <formula>0</formula>
    </cfRule>
  </conditionalFormatting>
  <conditionalFormatting sqref="G911">
    <cfRule type="cellIs" priority="2719" operator="greaterThan" aboveAverage="0" equalAverage="0" bottom="0" percent="0" rank="0" text="" dxfId="10">
      <formula>e{r}</formula>
    </cfRule>
  </conditionalFormatting>
  <conditionalFormatting sqref="H912">
    <cfRule type="cellIs" priority="2720" operator="greaterThan" aboveAverage="0" equalAverage="0" bottom="0" percent="0" rank="0" text="" dxfId="1">
      <formula>0</formula>
    </cfRule>
    <cfRule type="cellIs" priority="2721" operator="lessThanOrEqual" aboveAverage="0" equalAverage="0" bottom="0" percent="0" rank="0" text="" dxfId="0">
      <formula>0</formula>
    </cfRule>
  </conditionalFormatting>
  <conditionalFormatting sqref="G912">
    <cfRule type="cellIs" priority="2722" operator="greaterThan" aboveAverage="0" equalAverage="0" bottom="0" percent="0" rank="0" text="" dxfId="10">
      <formula>e{r}</formula>
    </cfRule>
  </conditionalFormatting>
  <conditionalFormatting sqref="H913">
    <cfRule type="cellIs" priority="2723" operator="greaterThan" aboveAverage="0" equalAverage="0" bottom="0" percent="0" rank="0" text="" dxfId="1">
      <formula>0</formula>
    </cfRule>
    <cfRule type="cellIs" priority="2724" operator="lessThanOrEqual" aboveAverage="0" equalAverage="0" bottom="0" percent="0" rank="0" text="" dxfId="0">
      <formula>0</formula>
    </cfRule>
  </conditionalFormatting>
  <conditionalFormatting sqref="G913">
    <cfRule type="cellIs" priority="2725" operator="greaterThan" aboveAverage="0" equalAverage="0" bottom="0" percent="0" rank="0" text="" dxfId="10">
      <formula>e{r}</formula>
    </cfRule>
  </conditionalFormatting>
  <conditionalFormatting sqref="H914">
    <cfRule type="cellIs" priority="2726" operator="greaterThan" aboveAverage="0" equalAverage="0" bottom="0" percent="0" rank="0" text="" dxfId="1">
      <formula>0</formula>
    </cfRule>
    <cfRule type="cellIs" priority="2727" operator="lessThanOrEqual" aboveAverage="0" equalAverage="0" bottom="0" percent="0" rank="0" text="" dxfId="0">
      <formula>0</formula>
    </cfRule>
  </conditionalFormatting>
  <conditionalFormatting sqref="G914">
    <cfRule type="cellIs" priority="2728" operator="greaterThan" aboveAverage="0" equalAverage="0" bottom="0" percent="0" rank="0" text="" dxfId="10">
      <formula>e{r}</formula>
    </cfRule>
  </conditionalFormatting>
  <conditionalFormatting sqref="H915">
    <cfRule type="cellIs" priority="2729" operator="greaterThan" aboveAverage="0" equalAverage="0" bottom="0" percent="0" rank="0" text="" dxfId="1">
      <formula>0</formula>
    </cfRule>
    <cfRule type="cellIs" priority="2730" operator="lessThanOrEqual" aboveAverage="0" equalAverage="0" bottom="0" percent="0" rank="0" text="" dxfId="0">
      <formula>0</formula>
    </cfRule>
  </conditionalFormatting>
  <conditionalFormatting sqref="G915">
    <cfRule type="cellIs" priority="2731" operator="greaterThan" aboveAverage="0" equalAverage="0" bottom="0" percent="0" rank="0" text="" dxfId="10">
      <formula>e{r}</formula>
    </cfRule>
  </conditionalFormatting>
  <conditionalFormatting sqref="H916">
    <cfRule type="cellIs" priority="2732" operator="greaterThan" aboveAverage="0" equalAverage="0" bottom="0" percent="0" rank="0" text="" dxfId="1">
      <formula>0</formula>
    </cfRule>
    <cfRule type="cellIs" priority="2733" operator="lessThanOrEqual" aboveAverage="0" equalAverage="0" bottom="0" percent="0" rank="0" text="" dxfId="0">
      <formula>0</formula>
    </cfRule>
  </conditionalFormatting>
  <conditionalFormatting sqref="G916">
    <cfRule type="cellIs" priority="2734" operator="greaterThan" aboveAverage="0" equalAverage="0" bottom="0" percent="0" rank="0" text="" dxfId="10">
      <formula>e{r}</formula>
    </cfRule>
  </conditionalFormatting>
  <conditionalFormatting sqref="H917">
    <cfRule type="cellIs" priority="2735" operator="greaterThan" aboveAverage="0" equalAverage="0" bottom="0" percent="0" rank="0" text="" dxfId="1">
      <formula>0</formula>
    </cfRule>
    <cfRule type="cellIs" priority="2736" operator="lessThanOrEqual" aboveAverage="0" equalAverage="0" bottom="0" percent="0" rank="0" text="" dxfId="0">
      <formula>0</formula>
    </cfRule>
  </conditionalFormatting>
  <conditionalFormatting sqref="G917">
    <cfRule type="cellIs" priority="2737" operator="greaterThan" aboveAverage="0" equalAverage="0" bottom="0" percent="0" rank="0" text="" dxfId="10">
      <formula>e{r}</formula>
    </cfRule>
  </conditionalFormatting>
  <conditionalFormatting sqref="H918">
    <cfRule type="cellIs" priority="2738" operator="greaterThan" aboveAverage="0" equalAverage="0" bottom="0" percent="0" rank="0" text="" dxfId="1">
      <formula>0</formula>
    </cfRule>
    <cfRule type="cellIs" priority="2739" operator="lessThanOrEqual" aboveAverage="0" equalAverage="0" bottom="0" percent="0" rank="0" text="" dxfId="0">
      <formula>0</formula>
    </cfRule>
  </conditionalFormatting>
  <conditionalFormatting sqref="G918">
    <cfRule type="cellIs" priority="2740" operator="greaterThan" aboveAverage="0" equalAverage="0" bottom="0" percent="0" rank="0" text="" dxfId="10">
      <formula>e{r}</formula>
    </cfRule>
  </conditionalFormatting>
  <conditionalFormatting sqref="H919">
    <cfRule type="cellIs" priority="2741" operator="greaterThan" aboveAverage="0" equalAverage="0" bottom="0" percent="0" rank="0" text="" dxfId="1">
      <formula>0</formula>
    </cfRule>
    <cfRule type="cellIs" priority="2742" operator="lessThanOrEqual" aboveAverage="0" equalAverage="0" bottom="0" percent="0" rank="0" text="" dxfId="0">
      <formula>0</formula>
    </cfRule>
  </conditionalFormatting>
  <conditionalFormatting sqref="G919">
    <cfRule type="cellIs" priority="2743" operator="greaterThan" aboveAverage="0" equalAverage="0" bottom="0" percent="0" rank="0" text="" dxfId="10">
      <formula>e{r}</formula>
    </cfRule>
  </conditionalFormatting>
  <conditionalFormatting sqref="H920">
    <cfRule type="cellIs" priority="2744" operator="greaterThan" aboveAverage="0" equalAverage="0" bottom="0" percent="0" rank="0" text="" dxfId="1">
      <formula>0</formula>
    </cfRule>
    <cfRule type="cellIs" priority="2745" operator="lessThanOrEqual" aboveAverage="0" equalAverage="0" bottom="0" percent="0" rank="0" text="" dxfId="0">
      <formula>0</formula>
    </cfRule>
  </conditionalFormatting>
  <conditionalFormatting sqref="G920">
    <cfRule type="cellIs" priority="2746" operator="greaterThan" aboveAverage="0" equalAverage="0" bottom="0" percent="0" rank="0" text="" dxfId="10">
      <formula>e{r}</formula>
    </cfRule>
  </conditionalFormatting>
  <conditionalFormatting sqref="H921">
    <cfRule type="cellIs" priority="2747" operator="greaterThan" aboveAverage="0" equalAverage="0" bottom="0" percent="0" rank="0" text="" dxfId="1">
      <formula>0</formula>
    </cfRule>
    <cfRule type="cellIs" priority="2748" operator="lessThanOrEqual" aboveAverage="0" equalAverage="0" bottom="0" percent="0" rank="0" text="" dxfId="0">
      <formula>0</formula>
    </cfRule>
  </conditionalFormatting>
  <conditionalFormatting sqref="G921">
    <cfRule type="cellIs" priority="2749" operator="greaterThan" aboveAverage="0" equalAverage="0" bottom="0" percent="0" rank="0" text="" dxfId="10">
      <formula>e{r}</formula>
    </cfRule>
  </conditionalFormatting>
  <conditionalFormatting sqref="H922">
    <cfRule type="cellIs" priority="2750" operator="greaterThan" aboveAverage="0" equalAverage="0" bottom="0" percent="0" rank="0" text="" dxfId="1">
      <formula>0</formula>
    </cfRule>
    <cfRule type="cellIs" priority="2751" operator="lessThanOrEqual" aboveAverage="0" equalAverage="0" bottom="0" percent="0" rank="0" text="" dxfId="0">
      <formula>0</formula>
    </cfRule>
  </conditionalFormatting>
  <conditionalFormatting sqref="G922">
    <cfRule type="cellIs" priority="2752" operator="greaterThan" aboveAverage="0" equalAverage="0" bottom="0" percent="0" rank="0" text="" dxfId="10">
      <formula>e{r}</formula>
    </cfRule>
  </conditionalFormatting>
  <conditionalFormatting sqref="H923">
    <cfRule type="cellIs" priority="2753" operator="greaterThan" aboveAverage="0" equalAverage="0" bottom="0" percent="0" rank="0" text="" dxfId="1">
      <formula>0</formula>
    </cfRule>
    <cfRule type="cellIs" priority="2754" operator="lessThanOrEqual" aboveAverage="0" equalAverage="0" bottom="0" percent="0" rank="0" text="" dxfId="0">
      <formula>0</formula>
    </cfRule>
  </conditionalFormatting>
  <conditionalFormatting sqref="G923">
    <cfRule type="cellIs" priority="2755" operator="greaterThan" aboveAverage="0" equalAverage="0" bottom="0" percent="0" rank="0" text="" dxfId="10">
      <formula>e{r}</formula>
    </cfRule>
  </conditionalFormatting>
  <conditionalFormatting sqref="H924">
    <cfRule type="cellIs" priority="2756" operator="greaterThan" aboveAverage="0" equalAverage="0" bottom="0" percent="0" rank="0" text="" dxfId="1">
      <formula>0</formula>
    </cfRule>
    <cfRule type="cellIs" priority="2757" operator="lessThanOrEqual" aboveAverage="0" equalAverage="0" bottom="0" percent="0" rank="0" text="" dxfId="0">
      <formula>0</formula>
    </cfRule>
  </conditionalFormatting>
  <conditionalFormatting sqref="G924">
    <cfRule type="cellIs" priority="2758" operator="greaterThan" aboveAverage="0" equalAverage="0" bottom="0" percent="0" rank="0" text="" dxfId="10">
      <formula>e{r}</formula>
    </cfRule>
  </conditionalFormatting>
  <conditionalFormatting sqref="H925">
    <cfRule type="cellIs" priority="2759" operator="greaterThan" aboveAverage="0" equalAverage="0" bottom="0" percent="0" rank="0" text="" dxfId="1">
      <formula>0</formula>
    </cfRule>
    <cfRule type="cellIs" priority="2760" operator="lessThanOrEqual" aboveAverage="0" equalAverage="0" bottom="0" percent="0" rank="0" text="" dxfId="0">
      <formula>0</formula>
    </cfRule>
  </conditionalFormatting>
  <conditionalFormatting sqref="G925">
    <cfRule type="cellIs" priority="2761" operator="greaterThan" aboveAverage="0" equalAverage="0" bottom="0" percent="0" rank="0" text="" dxfId="10">
      <formula>e{r}</formula>
    </cfRule>
  </conditionalFormatting>
  <conditionalFormatting sqref="H926">
    <cfRule type="cellIs" priority="2762" operator="greaterThan" aboveAverage="0" equalAverage="0" bottom="0" percent="0" rank="0" text="" dxfId="1">
      <formula>0</formula>
    </cfRule>
    <cfRule type="cellIs" priority="2763" operator="lessThanOrEqual" aboveAverage="0" equalAverage="0" bottom="0" percent="0" rank="0" text="" dxfId="0">
      <formula>0</formula>
    </cfRule>
  </conditionalFormatting>
  <conditionalFormatting sqref="G926">
    <cfRule type="cellIs" priority="2764" operator="greaterThan" aboveAverage="0" equalAverage="0" bottom="0" percent="0" rank="0" text="" dxfId="10">
      <formula>e{r}</formula>
    </cfRule>
  </conditionalFormatting>
  <conditionalFormatting sqref="H927">
    <cfRule type="cellIs" priority="2765" operator="greaterThan" aboveAverage="0" equalAverage="0" bottom="0" percent="0" rank="0" text="" dxfId="1">
      <formula>0</formula>
    </cfRule>
    <cfRule type="cellIs" priority="2766" operator="lessThanOrEqual" aboveAverage="0" equalAverage="0" bottom="0" percent="0" rank="0" text="" dxfId="0">
      <formula>0</formula>
    </cfRule>
  </conditionalFormatting>
  <conditionalFormatting sqref="G927">
    <cfRule type="cellIs" priority="2767" operator="greaterThan" aboveAverage="0" equalAverage="0" bottom="0" percent="0" rank="0" text="" dxfId="10">
      <formula>e{r}</formula>
    </cfRule>
  </conditionalFormatting>
  <conditionalFormatting sqref="H928">
    <cfRule type="cellIs" priority="2768" operator="greaterThan" aboveAverage="0" equalAverage="0" bottom="0" percent="0" rank="0" text="" dxfId="1">
      <formula>0</formula>
    </cfRule>
    <cfRule type="cellIs" priority="2769" operator="lessThanOrEqual" aboveAverage="0" equalAverage="0" bottom="0" percent="0" rank="0" text="" dxfId="0">
      <formula>0</formula>
    </cfRule>
  </conditionalFormatting>
  <conditionalFormatting sqref="G928">
    <cfRule type="cellIs" priority="2770" operator="greaterThan" aboveAverage="0" equalAverage="0" bottom="0" percent="0" rank="0" text="" dxfId="10">
      <formula>e{r}</formula>
    </cfRule>
  </conditionalFormatting>
  <conditionalFormatting sqref="H929">
    <cfRule type="cellIs" priority="2771" operator="greaterThan" aboveAverage="0" equalAverage="0" bottom="0" percent="0" rank="0" text="" dxfId="1">
      <formula>0</formula>
    </cfRule>
    <cfRule type="cellIs" priority="2772" operator="lessThanOrEqual" aboveAverage="0" equalAverage="0" bottom="0" percent="0" rank="0" text="" dxfId="0">
      <formula>0</formula>
    </cfRule>
  </conditionalFormatting>
  <conditionalFormatting sqref="G929">
    <cfRule type="cellIs" priority="2773" operator="greaterThan" aboveAverage="0" equalAverage="0" bottom="0" percent="0" rank="0" text="" dxfId="10">
      <formula>e{r}</formula>
    </cfRule>
  </conditionalFormatting>
  <conditionalFormatting sqref="H930">
    <cfRule type="cellIs" priority="2774" operator="greaterThan" aboveAverage="0" equalAverage="0" bottom="0" percent="0" rank="0" text="" dxfId="1">
      <formula>0</formula>
    </cfRule>
    <cfRule type="cellIs" priority="2775" operator="lessThanOrEqual" aboveAverage="0" equalAverage="0" bottom="0" percent="0" rank="0" text="" dxfId="0">
      <formula>0</formula>
    </cfRule>
  </conditionalFormatting>
  <conditionalFormatting sqref="G930">
    <cfRule type="cellIs" priority="2776" operator="greaterThan" aboveAverage="0" equalAverage="0" bottom="0" percent="0" rank="0" text="" dxfId="10">
      <formula>e{r}</formula>
    </cfRule>
  </conditionalFormatting>
  <conditionalFormatting sqref="H931">
    <cfRule type="cellIs" priority="2777" operator="greaterThan" aboveAverage="0" equalAverage="0" bottom="0" percent="0" rank="0" text="" dxfId="1">
      <formula>0</formula>
    </cfRule>
    <cfRule type="cellIs" priority="2778" operator="lessThanOrEqual" aboveAverage="0" equalAverage="0" bottom="0" percent="0" rank="0" text="" dxfId="0">
      <formula>0</formula>
    </cfRule>
  </conditionalFormatting>
  <conditionalFormatting sqref="G931">
    <cfRule type="cellIs" priority="2779" operator="greaterThan" aboveAverage="0" equalAverage="0" bottom="0" percent="0" rank="0" text="" dxfId="10">
      <formula>e{r}</formula>
    </cfRule>
  </conditionalFormatting>
  <conditionalFormatting sqref="H932">
    <cfRule type="cellIs" priority="2780" operator="greaterThan" aboveAverage="0" equalAverage="0" bottom="0" percent="0" rank="0" text="" dxfId="1">
      <formula>0</formula>
    </cfRule>
    <cfRule type="cellIs" priority="2781" operator="lessThanOrEqual" aboveAverage="0" equalAverage="0" bottom="0" percent="0" rank="0" text="" dxfId="0">
      <formula>0</formula>
    </cfRule>
  </conditionalFormatting>
  <conditionalFormatting sqref="G932">
    <cfRule type="cellIs" priority="2782" operator="greaterThan" aboveAverage="0" equalAverage="0" bottom="0" percent="0" rank="0" text="" dxfId="10">
      <formula>e{r}</formula>
    </cfRule>
  </conditionalFormatting>
  <conditionalFormatting sqref="H933">
    <cfRule type="cellIs" priority="2783" operator="greaterThan" aboveAverage="0" equalAverage="0" bottom="0" percent="0" rank="0" text="" dxfId="1">
      <formula>0</formula>
    </cfRule>
    <cfRule type="cellIs" priority="2784" operator="lessThanOrEqual" aboveAverage="0" equalAverage="0" bottom="0" percent="0" rank="0" text="" dxfId="0">
      <formula>0</formula>
    </cfRule>
  </conditionalFormatting>
  <conditionalFormatting sqref="G933">
    <cfRule type="cellIs" priority="2785" operator="greaterThan" aboveAverage="0" equalAverage="0" bottom="0" percent="0" rank="0" text="" dxfId="10">
      <formula>e{r}</formula>
    </cfRule>
  </conditionalFormatting>
  <conditionalFormatting sqref="H934">
    <cfRule type="cellIs" priority="2786" operator="greaterThan" aboveAverage="0" equalAverage="0" bottom="0" percent="0" rank="0" text="" dxfId="1">
      <formula>0</formula>
    </cfRule>
    <cfRule type="cellIs" priority="2787" operator="lessThanOrEqual" aboveAverage="0" equalAverage="0" bottom="0" percent="0" rank="0" text="" dxfId="0">
      <formula>0</formula>
    </cfRule>
  </conditionalFormatting>
  <conditionalFormatting sqref="G934">
    <cfRule type="cellIs" priority="2788" operator="greaterThan" aboveAverage="0" equalAverage="0" bottom="0" percent="0" rank="0" text="" dxfId="10">
      <formula>e{r}</formula>
    </cfRule>
  </conditionalFormatting>
  <conditionalFormatting sqref="H935">
    <cfRule type="cellIs" priority="2789" operator="greaterThan" aboveAverage="0" equalAverage="0" bottom="0" percent="0" rank="0" text="" dxfId="1">
      <formula>0</formula>
    </cfRule>
    <cfRule type="cellIs" priority="2790" operator="lessThanOrEqual" aboveAverage="0" equalAverage="0" bottom="0" percent="0" rank="0" text="" dxfId="0">
      <formula>0</formula>
    </cfRule>
  </conditionalFormatting>
  <conditionalFormatting sqref="G935">
    <cfRule type="cellIs" priority="2791" operator="greaterThan" aboveAverage="0" equalAverage="0" bottom="0" percent="0" rank="0" text="" dxfId="10">
      <formula>e{r}</formula>
    </cfRule>
  </conditionalFormatting>
  <conditionalFormatting sqref="H936">
    <cfRule type="cellIs" priority="2792" operator="greaterThan" aboveAverage="0" equalAverage="0" bottom="0" percent="0" rank="0" text="" dxfId="1">
      <formula>0</formula>
    </cfRule>
    <cfRule type="cellIs" priority="2793" operator="lessThanOrEqual" aboveAverage="0" equalAverage="0" bottom="0" percent="0" rank="0" text="" dxfId="0">
      <formula>0</formula>
    </cfRule>
  </conditionalFormatting>
  <conditionalFormatting sqref="G936">
    <cfRule type="cellIs" priority="2794" operator="greaterThan" aboveAverage="0" equalAverage="0" bottom="0" percent="0" rank="0" text="" dxfId="10">
      <formula>e{r}</formula>
    </cfRule>
  </conditionalFormatting>
  <conditionalFormatting sqref="H937">
    <cfRule type="cellIs" priority="2795" operator="greaterThan" aboveAverage="0" equalAverage="0" bottom="0" percent="0" rank="0" text="" dxfId="1">
      <formula>0</formula>
    </cfRule>
    <cfRule type="cellIs" priority="2796" operator="lessThanOrEqual" aboveAverage="0" equalAverage="0" bottom="0" percent="0" rank="0" text="" dxfId="0">
      <formula>0</formula>
    </cfRule>
  </conditionalFormatting>
  <conditionalFormatting sqref="G937">
    <cfRule type="cellIs" priority="2797" operator="greaterThan" aboveAverage="0" equalAverage="0" bottom="0" percent="0" rank="0" text="" dxfId="10">
      <formula>e{r}</formula>
    </cfRule>
  </conditionalFormatting>
  <conditionalFormatting sqref="H938">
    <cfRule type="cellIs" priority="2798" operator="greaterThan" aboveAverage="0" equalAverage="0" bottom="0" percent="0" rank="0" text="" dxfId="1">
      <formula>0</formula>
    </cfRule>
    <cfRule type="cellIs" priority="2799" operator="lessThanOrEqual" aboveAverage="0" equalAverage="0" bottom="0" percent="0" rank="0" text="" dxfId="0">
      <formula>0</formula>
    </cfRule>
  </conditionalFormatting>
  <conditionalFormatting sqref="G938">
    <cfRule type="cellIs" priority="2800" operator="greaterThan" aboveAverage="0" equalAverage="0" bottom="0" percent="0" rank="0" text="" dxfId="10">
      <formula>e{r}</formula>
    </cfRule>
  </conditionalFormatting>
  <conditionalFormatting sqref="H939">
    <cfRule type="cellIs" priority="2801" operator="greaterThan" aboveAverage="0" equalAverage="0" bottom="0" percent="0" rank="0" text="" dxfId="1">
      <formula>0</formula>
    </cfRule>
    <cfRule type="cellIs" priority="2802" operator="lessThanOrEqual" aboveAverage="0" equalAverage="0" bottom="0" percent="0" rank="0" text="" dxfId="0">
      <formula>0</formula>
    </cfRule>
  </conditionalFormatting>
  <conditionalFormatting sqref="G939">
    <cfRule type="cellIs" priority="2803" operator="greaterThan" aboveAverage="0" equalAverage="0" bottom="0" percent="0" rank="0" text="" dxfId="10">
      <formula>e{r}</formula>
    </cfRule>
  </conditionalFormatting>
  <conditionalFormatting sqref="H940">
    <cfRule type="cellIs" priority="2804" operator="greaterThan" aboveAverage="0" equalAverage="0" bottom="0" percent="0" rank="0" text="" dxfId="1">
      <formula>0</formula>
    </cfRule>
    <cfRule type="cellIs" priority="2805" operator="lessThanOrEqual" aboveAverage="0" equalAverage="0" bottom="0" percent="0" rank="0" text="" dxfId="0">
      <formula>0</formula>
    </cfRule>
  </conditionalFormatting>
  <conditionalFormatting sqref="G940">
    <cfRule type="cellIs" priority="2806" operator="greaterThan" aboveAverage="0" equalAverage="0" bottom="0" percent="0" rank="0" text="" dxfId="10">
      <formula>e{r}</formula>
    </cfRule>
  </conditionalFormatting>
  <conditionalFormatting sqref="H941">
    <cfRule type="cellIs" priority="2807" operator="greaterThan" aboveAverage="0" equalAverage="0" bottom="0" percent="0" rank="0" text="" dxfId="1">
      <formula>0</formula>
    </cfRule>
    <cfRule type="cellIs" priority="2808" operator="lessThanOrEqual" aboveAverage="0" equalAverage="0" bottom="0" percent="0" rank="0" text="" dxfId="0">
      <formula>0</formula>
    </cfRule>
  </conditionalFormatting>
  <conditionalFormatting sqref="G941">
    <cfRule type="cellIs" priority="2809" operator="greaterThan" aboveAverage="0" equalAverage="0" bottom="0" percent="0" rank="0" text="" dxfId="10">
      <formula>e{r}</formula>
    </cfRule>
  </conditionalFormatting>
  <conditionalFormatting sqref="H942">
    <cfRule type="cellIs" priority="2810" operator="greaterThan" aboveAverage="0" equalAverage="0" bottom="0" percent="0" rank="0" text="" dxfId="1">
      <formula>0</formula>
    </cfRule>
    <cfRule type="cellIs" priority="2811" operator="lessThanOrEqual" aboveAverage="0" equalAverage="0" bottom="0" percent="0" rank="0" text="" dxfId="0">
      <formula>0</formula>
    </cfRule>
  </conditionalFormatting>
  <conditionalFormatting sqref="G942">
    <cfRule type="cellIs" priority="2812" operator="greaterThan" aboveAverage="0" equalAverage="0" bottom="0" percent="0" rank="0" text="" dxfId="10">
      <formula>e{r}</formula>
    </cfRule>
  </conditionalFormatting>
  <conditionalFormatting sqref="H943">
    <cfRule type="cellIs" priority="2813" operator="greaterThan" aboveAverage="0" equalAverage="0" bottom="0" percent="0" rank="0" text="" dxfId="1">
      <formula>0</formula>
    </cfRule>
    <cfRule type="cellIs" priority="2814" operator="lessThanOrEqual" aboveAverage="0" equalAverage="0" bottom="0" percent="0" rank="0" text="" dxfId="0">
      <formula>0</formula>
    </cfRule>
  </conditionalFormatting>
  <conditionalFormatting sqref="G943">
    <cfRule type="cellIs" priority="2815" operator="greaterThan" aboveAverage="0" equalAverage="0" bottom="0" percent="0" rank="0" text="" dxfId="10">
      <formula>e{r}</formula>
    </cfRule>
  </conditionalFormatting>
  <conditionalFormatting sqref="H944">
    <cfRule type="cellIs" priority="2816" operator="greaterThan" aboveAverage="0" equalAverage="0" bottom="0" percent="0" rank="0" text="" dxfId="1">
      <formula>0</formula>
    </cfRule>
    <cfRule type="cellIs" priority="2817" operator="lessThanOrEqual" aboveAverage="0" equalAverage="0" bottom="0" percent="0" rank="0" text="" dxfId="0">
      <formula>0</formula>
    </cfRule>
  </conditionalFormatting>
  <conditionalFormatting sqref="G944">
    <cfRule type="cellIs" priority="2818" operator="greaterThan" aboveAverage="0" equalAverage="0" bottom="0" percent="0" rank="0" text="" dxfId="10">
      <formula>e{r}</formula>
    </cfRule>
  </conditionalFormatting>
  <conditionalFormatting sqref="H945">
    <cfRule type="cellIs" priority="2819" operator="greaterThan" aboveAverage="0" equalAverage="0" bottom="0" percent="0" rank="0" text="" dxfId="1">
      <formula>0</formula>
    </cfRule>
    <cfRule type="cellIs" priority="2820" operator="lessThanOrEqual" aboveAverage="0" equalAverage="0" bottom="0" percent="0" rank="0" text="" dxfId="0">
      <formula>0</formula>
    </cfRule>
  </conditionalFormatting>
  <conditionalFormatting sqref="G945">
    <cfRule type="cellIs" priority="2821" operator="greaterThan" aboveAverage="0" equalAverage="0" bottom="0" percent="0" rank="0" text="" dxfId="10">
      <formula>e{r}</formula>
    </cfRule>
  </conditionalFormatting>
  <conditionalFormatting sqref="H946">
    <cfRule type="cellIs" priority="2822" operator="greaterThan" aboveAverage="0" equalAverage="0" bottom="0" percent="0" rank="0" text="" dxfId="1">
      <formula>0</formula>
    </cfRule>
    <cfRule type="cellIs" priority="2823" operator="lessThanOrEqual" aboveAverage="0" equalAverage="0" bottom="0" percent="0" rank="0" text="" dxfId="0">
      <formula>0</formula>
    </cfRule>
  </conditionalFormatting>
  <conditionalFormatting sqref="G946">
    <cfRule type="cellIs" priority="2824" operator="greaterThan" aboveAverage="0" equalAverage="0" bottom="0" percent="0" rank="0" text="" dxfId="10">
      <formula>e{r}</formula>
    </cfRule>
  </conditionalFormatting>
  <conditionalFormatting sqref="H947">
    <cfRule type="cellIs" priority="2825" operator="greaterThan" aboveAverage="0" equalAverage="0" bottom="0" percent="0" rank="0" text="" dxfId="1">
      <formula>0</formula>
    </cfRule>
    <cfRule type="cellIs" priority="2826" operator="lessThanOrEqual" aboveAverage="0" equalAverage="0" bottom="0" percent="0" rank="0" text="" dxfId="0">
      <formula>0</formula>
    </cfRule>
  </conditionalFormatting>
  <conditionalFormatting sqref="G947">
    <cfRule type="cellIs" priority="2827" operator="greaterThan" aboveAverage="0" equalAverage="0" bottom="0" percent="0" rank="0" text="" dxfId="10">
      <formula>e{r}</formula>
    </cfRule>
  </conditionalFormatting>
  <conditionalFormatting sqref="H948">
    <cfRule type="cellIs" priority="2828" operator="greaterThan" aboveAverage="0" equalAverage="0" bottom="0" percent="0" rank="0" text="" dxfId="1">
      <formula>0</formula>
    </cfRule>
    <cfRule type="cellIs" priority="2829" operator="lessThanOrEqual" aboveAverage="0" equalAverage="0" bottom="0" percent="0" rank="0" text="" dxfId="0">
      <formula>0</formula>
    </cfRule>
  </conditionalFormatting>
  <conditionalFormatting sqref="G948">
    <cfRule type="cellIs" priority="2830" operator="greaterThan" aboveAverage="0" equalAverage="0" bottom="0" percent="0" rank="0" text="" dxfId="10">
      <formula>e{r}</formula>
    </cfRule>
  </conditionalFormatting>
  <conditionalFormatting sqref="H949">
    <cfRule type="cellIs" priority="2831" operator="greaterThan" aboveAverage="0" equalAverage="0" bottom="0" percent="0" rank="0" text="" dxfId="1">
      <formula>0</formula>
    </cfRule>
    <cfRule type="cellIs" priority="2832" operator="lessThanOrEqual" aboveAverage="0" equalAverage="0" bottom="0" percent="0" rank="0" text="" dxfId="0">
      <formula>0</formula>
    </cfRule>
  </conditionalFormatting>
  <conditionalFormatting sqref="G949">
    <cfRule type="cellIs" priority="2833" operator="greaterThan" aboveAverage="0" equalAverage="0" bottom="0" percent="0" rank="0" text="" dxfId="10">
      <formula>e{r}</formula>
    </cfRule>
  </conditionalFormatting>
  <conditionalFormatting sqref="H950">
    <cfRule type="cellIs" priority="2834" operator="greaterThan" aboveAverage="0" equalAverage="0" bottom="0" percent="0" rank="0" text="" dxfId="1">
      <formula>0</formula>
    </cfRule>
    <cfRule type="cellIs" priority="2835" operator="lessThanOrEqual" aboveAverage="0" equalAverage="0" bottom="0" percent="0" rank="0" text="" dxfId="0">
      <formula>0</formula>
    </cfRule>
  </conditionalFormatting>
  <conditionalFormatting sqref="G950">
    <cfRule type="cellIs" priority="2836" operator="greaterThan" aboveAverage="0" equalAverage="0" bottom="0" percent="0" rank="0" text="" dxfId="10">
      <formula>e{r}</formula>
    </cfRule>
  </conditionalFormatting>
  <conditionalFormatting sqref="H951">
    <cfRule type="cellIs" priority="2837" operator="greaterThan" aboveAverage="0" equalAverage="0" bottom="0" percent="0" rank="0" text="" dxfId="1">
      <formula>0</formula>
    </cfRule>
    <cfRule type="cellIs" priority="2838" operator="lessThanOrEqual" aboveAverage="0" equalAverage="0" bottom="0" percent="0" rank="0" text="" dxfId="0">
      <formula>0</formula>
    </cfRule>
  </conditionalFormatting>
  <conditionalFormatting sqref="G951">
    <cfRule type="cellIs" priority="2839" operator="greaterThan" aboveAverage="0" equalAverage="0" bottom="0" percent="0" rank="0" text="" dxfId="10">
      <formula>e{r}</formula>
    </cfRule>
  </conditionalFormatting>
  <conditionalFormatting sqref="H952">
    <cfRule type="cellIs" priority="2840" operator="greaterThan" aboveAverage="0" equalAverage="0" bottom="0" percent="0" rank="0" text="" dxfId="1">
      <formula>0</formula>
    </cfRule>
    <cfRule type="cellIs" priority="2841" operator="lessThanOrEqual" aboveAverage="0" equalAverage="0" bottom="0" percent="0" rank="0" text="" dxfId="0">
      <formula>0</formula>
    </cfRule>
  </conditionalFormatting>
  <conditionalFormatting sqref="G952">
    <cfRule type="cellIs" priority="2842" operator="greaterThan" aboveAverage="0" equalAverage="0" bottom="0" percent="0" rank="0" text="" dxfId="10">
      <formula>e{r}</formula>
    </cfRule>
  </conditionalFormatting>
  <conditionalFormatting sqref="H953">
    <cfRule type="cellIs" priority="2843" operator="greaterThan" aboveAverage="0" equalAverage="0" bottom="0" percent="0" rank="0" text="" dxfId="1">
      <formula>0</formula>
    </cfRule>
    <cfRule type="cellIs" priority="2844" operator="lessThanOrEqual" aboveAverage="0" equalAverage="0" bottom="0" percent="0" rank="0" text="" dxfId="0">
      <formula>0</formula>
    </cfRule>
  </conditionalFormatting>
  <conditionalFormatting sqref="G953">
    <cfRule type="cellIs" priority="2845" operator="greaterThan" aboveAverage="0" equalAverage="0" bottom="0" percent="0" rank="0" text="" dxfId="10">
      <formula>e{r}</formula>
    </cfRule>
  </conditionalFormatting>
  <conditionalFormatting sqref="H954">
    <cfRule type="cellIs" priority="2846" operator="greaterThan" aboveAverage="0" equalAverage="0" bottom="0" percent="0" rank="0" text="" dxfId="1">
      <formula>0</formula>
    </cfRule>
    <cfRule type="cellIs" priority="2847" operator="lessThanOrEqual" aboveAverage="0" equalAverage="0" bottom="0" percent="0" rank="0" text="" dxfId="0">
      <formula>0</formula>
    </cfRule>
  </conditionalFormatting>
  <conditionalFormatting sqref="G954">
    <cfRule type="cellIs" priority="2848" operator="greaterThan" aboveAverage="0" equalAverage="0" bottom="0" percent="0" rank="0" text="" dxfId="10">
      <formula>e{r}</formula>
    </cfRule>
  </conditionalFormatting>
  <conditionalFormatting sqref="H955">
    <cfRule type="cellIs" priority="2849" operator="greaterThan" aboveAverage="0" equalAverage="0" bottom="0" percent="0" rank="0" text="" dxfId="1">
      <formula>0</formula>
    </cfRule>
    <cfRule type="cellIs" priority="2850" operator="lessThanOrEqual" aboveAverage="0" equalAverage="0" bottom="0" percent="0" rank="0" text="" dxfId="0">
      <formula>0</formula>
    </cfRule>
  </conditionalFormatting>
  <conditionalFormatting sqref="G955">
    <cfRule type="cellIs" priority="2851" operator="greaterThan" aboveAverage="0" equalAverage="0" bottom="0" percent="0" rank="0" text="" dxfId="10">
      <formula>e{r}</formula>
    </cfRule>
  </conditionalFormatting>
  <conditionalFormatting sqref="H956">
    <cfRule type="cellIs" priority="2852" operator="greaterThan" aboveAverage="0" equalAverage="0" bottom="0" percent="0" rank="0" text="" dxfId="1">
      <formula>0</formula>
    </cfRule>
    <cfRule type="cellIs" priority="2853" operator="lessThanOrEqual" aboveAverage="0" equalAverage="0" bottom="0" percent="0" rank="0" text="" dxfId="0">
      <formula>0</formula>
    </cfRule>
  </conditionalFormatting>
  <conditionalFormatting sqref="G956">
    <cfRule type="cellIs" priority="2854" operator="greaterThan" aboveAverage="0" equalAverage="0" bottom="0" percent="0" rank="0" text="" dxfId="10">
      <formula>e{r}</formula>
    </cfRule>
  </conditionalFormatting>
  <conditionalFormatting sqref="H957">
    <cfRule type="cellIs" priority="2855" operator="greaterThan" aboveAverage="0" equalAverage="0" bottom="0" percent="0" rank="0" text="" dxfId="1">
      <formula>0</formula>
    </cfRule>
    <cfRule type="cellIs" priority="2856" operator="lessThanOrEqual" aboveAverage="0" equalAverage="0" bottom="0" percent="0" rank="0" text="" dxfId="0">
      <formula>0</formula>
    </cfRule>
  </conditionalFormatting>
  <conditionalFormatting sqref="G957">
    <cfRule type="cellIs" priority="2857" operator="greaterThan" aboveAverage="0" equalAverage="0" bottom="0" percent="0" rank="0" text="" dxfId="10">
      <formula>e{r}</formula>
    </cfRule>
  </conditionalFormatting>
  <conditionalFormatting sqref="H958">
    <cfRule type="cellIs" priority="2858" operator="greaterThan" aboveAverage="0" equalAverage="0" bottom="0" percent="0" rank="0" text="" dxfId="1">
      <formula>0</formula>
    </cfRule>
    <cfRule type="cellIs" priority="2859" operator="lessThanOrEqual" aboveAverage="0" equalAverage="0" bottom="0" percent="0" rank="0" text="" dxfId="0">
      <formula>0</formula>
    </cfRule>
  </conditionalFormatting>
  <conditionalFormatting sqref="G958">
    <cfRule type="cellIs" priority="2860" operator="greaterThan" aboveAverage="0" equalAverage="0" bottom="0" percent="0" rank="0" text="" dxfId="10">
      <formula>e{r}</formula>
    </cfRule>
  </conditionalFormatting>
  <conditionalFormatting sqref="H959">
    <cfRule type="cellIs" priority="2861" operator="greaterThan" aboveAverage="0" equalAverage="0" bottom="0" percent="0" rank="0" text="" dxfId="1">
      <formula>0</formula>
    </cfRule>
    <cfRule type="cellIs" priority="2862" operator="lessThanOrEqual" aboveAverage="0" equalAverage="0" bottom="0" percent="0" rank="0" text="" dxfId="0">
      <formula>0</formula>
    </cfRule>
  </conditionalFormatting>
  <conditionalFormatting sqref="G959">
    <cfRule type="cellIs" priority="2863" operator="greaterThan" aboveAverage="0" equalAverage="0" bottom="0" percent="0" rank="0" text="" dxfId="10">
      <formula>e{r}</formula>
    </cfRule>
  </conditionalFormatting>
  <conditionalFormatting sqref="H960">
    <cfRule type="cellIs" priority="2864" operator="greaterThan" aboveAverage="0" equalAverage="0" bottom="0" percent="0" rank="0" text="" dxfId="1">
      <formula>0</formula>
    </cfRule>
    <cfRule type="cellIs" priority="2865" operator="lessThanOrEqual" aboveAverage="0" equalAverage="0" bottom="0" percent="0" rank="0" text="" dxfId="0">
      <formula>0</formula>
    </cfRule>
  </conditionalFormatting>
  <conditionalFormatting sqref="G960">
    <cfRule type="cellIs" priority="2866" operator="greaterThan" aboveAverage="0" equalAverage="0" bottom="0" percent="0" rank="0" text="" dxfId="10">
      <formula>e{r}</formula>
    </cfRule>
  </conditionalFormatting>
  <conditionalFormatting sqref="H961">
    <cfRule type="cellIs" priority="2867" operator="greaterThan" aboveAverage="0" equalAverage="0" bottom="0" percent="0" rank="0" text="" dxfId="1">
      <formula>0</formula>
    </cfRule>
    <cfRule type="cellIs" priority="2868" operator="lessThanOrEqual" aboveAverage="0" equalAverage="0" bottom="0" percent="0" rank="0" text="" dxfId="0">
      <formula>0</formula>
    </cfRule>
  </conditionalFormatting>
  <conditionalFormatting sqref="G961">
    <cfRule type="cellIs" priority="2869" operator="greaterThan" aboveAverage="0" equalAverage="0" bottom="0" percent="0" rank="0" text="" dxfId="10">
      <formula>e{r}</formula>
    </cfRule>
  </conditionalFormatting>
  <conditionalFormatting sqref="H962">
    <cfRule type="cellIs" priority="2870" operator="greaterThan" aboveAverage="0" equalAverage="0" bottom="0" percent="0" rank="0" text="" dxfId="1">
      <formula>0</formula>
    </cfRule>
    <cfRule type="cellIs" priority="2871" operator="lessThanOrEqual" aboveAverage="0" equalAverage="0" bottom="0" percent="0" rank="0" text="" dxfId="0">
      <formula>0</formula>
    </cfRule>
  </conditionalFormatting>
  <conditionalFormatting sqref="G962">
    <cfRule type="cellIs" priority="2872" operator="greaterThan" aboveAverage="0" equalAverage="0" bottom="0" percent="0" rank="0" text="" dxfId="10">
      <formula>e{r}</formula>
    </cfRule>
  </conditionalFormatting>
  <conditionalFormatting sqref="H963">
    <cfRule type="cellIs" priority="2873" operator="greaterThan" aboveAverage="0" equalAverage="0" bottom="0" percent="0" rank="0" text="" dxfId="1">
      <formula>0</formula>
    </cfRule>
    <cfRule type="cellIs" priority="2874" operator="lessThanOrEqual" aboveAverage="0" equalAverage="0" bottom="0" percent="0" rank="0" text="" dxfId="0">
      <formula>0</formula>
    </cfRule>
  </conditionalFormatting>
  <conditionalFormatting sqref="G963">
    <cfRule type="cellIs" priority="2875" operator="greaterThan" aboveAverage="0" equalAverage="0" bottom="0" percent="0" rank="0" text="" dxfId="10">
      <formula>e{r}</formula>
    </cfRule>
  </conditionalFormatting>
  <conditionalFormatting sqref="H964">
    <cfRule type="cellIs" priority="2876" operator="greaterThan" aboveAverage="0" equalAverage="0" bottom="0" percent="0" rank="0" text="" dxfId="1">
      <formula>0</formula>
    </cfRule>
    <cfRule type="cellIs" priority="2877" operator="lessThanOrEqual" aboveAverage="0" equalAverage="0" bottom="0" percent="0" rank="0" text="" dxfId="0">
      <formula>0</formula>
    </cfRule>
  </conditionalFormatting>
  <conditionalFormatting sqref="G964">
    <cfRule type="cellIs" priority="2878" operator="greaterThan" aboveAverage="0" equalAverage="0" bottom="0" percent="0" rank="0" text="" dxfId="10">
      <formula>e{r}</formula>
    </cfRule>
  </conditionalFormatting>
  <conditionalFormatting sqref="H965">
    <cfRule type="cellIs" priority="2879" operator="greaterThan" aboveAverage="0" equalAverage="0" bottom="0" percent="0" rank="0" text="" dxfId="1">
      <formula>0</formula>
    </cfRule>
    <cfRule type="cellIs" priority="2880" operator="lessThanOrEqual" aboveAverage="0" equalAverage="0" bottom="0" percent="0" rank="0" text="" dxfId="0">
      <formula>0</formula>
    </cfRule>
  </conditionalFormatting>
  <conditionalFormatting sqref="G965">
    <cfRule type="cellIs" priority="2881" operator="greaterThan" aboveAverage="0" equalAverage="0" bottom="0" percent="0" rank="0" text="" dxfId="10">
      <formula>e{r}</formula>
    </cfRule>
  </conditionalFormatting>
  <conditionalFormatting sqref="H966">
    <cfRule type="cellIs" priority="2882" operator="greaterThan" aboveAverage="0" equalAverage="0" bottom="0" percent="0" rank="0" text="" dxfId="1">
      <formula>0</formula>
    </cfRule>
    <cfRule type="cellIs" priority="2883" operator="lessThanOrEqual" aboveAverage="0" equalAverage="0" bottom="0" percent="0" rank="0" text="" dxfId="0">
      <formula>0</formula>
    </cfRule>
  </conditionalFormatting>
  <conditionalFormatting sqref="G966">
    <cfRule type="cellIs" priority="2884" operator="greaterThan" aboveAverage="0" equalAverage="0" bottom="0" percent="0" rank="0" text="" dxfId="10">
      <formula>e{r}</formula>
    </cfRule>
  </conditionalFormatting>
  <conditionalFormatting sqref="H967">
    <cfRule type="cellIs" priority="2885" operator="greaterThan" aboveAverage="0" equalAverage="0" bottom="0" percent="0" rank="0" text="" dxfId="1">
      <formula>0</formula>
    </cfRule>
    <cfRule type="cellIs" priority="2886" operator="lessThanOrEqual" aboveAverage="0" equalAverage="0" bottom="0" percent="0" rank="0" text="" dxfId="0">
      <formula>0</formula>
    </cfRule>
  </conditionalFormatting>
  <conditionalFormatting sqref="G967">
    <cfRule type="cellIs" priority="2887" operator="greaterThan" aboveAverage="0" equalAverage="0" bottom="0" percent="0" rank="0" text="" dxfId="10">
      <formula>e{r}</formula>
    </cfRule>
  </conditionalFormatting>
  <conditionalFormatting sqref="H968">
    <cfRule type="cellIs" priority="2888" operator="greaterThan" aboveAverage="0" equalAverage="0" bottom="0" percent="0" rank="0" text="" dxfId="1">
      <formula>0</formula>
    </cfRule>
    <cfRule type="cellIs" priority="2889" operator="lessThanOrEqual" aboveAverage="0" equalAverage="0" bottom="0" percent="0" rank="0" text="" dxfId="0">
      <formula>0</formula>
    </cfRule>
  </conditionalFormatting>
  <conditionalFormatting sqref="G968">
    <cfRule type="cellIs" priority="2890" operator="greaterThan" aboveAverage="0" equalAverage="0" bottom="0" percent="0" rank="0" text="" dxfId="10">
      <formula>e{r}</formula>
    </cfRule>
  </conditionalFormatting>
  <conditionalFormatting sqref="H969">
    <cfRule type="cellIs" priority="2891" operator="greaterThan" aboveAverage="0" equalAverage="0" bottom="0" percent="0" rank="0" text="" dxfId="1">
      <formula>0</formula>
    </cfRule>
    <cfRule type="cellIs" priority="2892" operator="lessThanOrEqual" aboveAverage="0" equalAverage="0" bottom="0" percent="0" rank="0" text="" dxfId="0">
      <formula>0</formula>
    </cfRule>
  </conditionalFormatting>
  <conditionalFormatting sqref="G969">
    <cfRule type="cellIs" priority="2893" operator="greaterThan" aboveAverage="0" equalAverage="0" bottom="0" percent="0" rank="0" text="" dxfId="10">
      <formula>e{r}</formula>
    </cfRule>
  </conditionalFormatting>
  <conditionalFormatting sqref="H970">
    <cfRule type="cellIs" priority="2894" operator="greaterThan" aboveAverage="0" equalAverage="0" bottom="0" percent="0" rank="0" text="" dxfId="1">
      <formula>0</formula>
    </cfRule>
    <cfRule type="cellIs" priority="2895" operator="lessThanOrEqual" aboveAverage="0" equalAverage="0" bottom="0" percent="0" rank="0" text="" dxfId="0">
      <formula>0</formula>
    </cfRule>
  </conditionalFormatting>
  <conditionalFormatting sqref="G970">
    <cfRule type="cellIs" priority="2896" operator="greaterThan" aboveAverage="0" equalAverage="0" bottom="0" percent="0" rank="0" text="" dxfId="10">
      <formula>e{r}</formula>
    </cfRule>
  </conditionalFormatting>
  <conditionalFormatting sqref="H971">
    <cfRule type="cellIs" priority="2897" operator="greaterThan" aboveAverage="0" equalAverage="0" bottom="0" percent="0" rank="0" text="" dxfId="1">
      <formula>0</formula>
    </cfRule>
    <cfRule type="cellIs" priority="2898" operator="lessThanOrEqual" aboveAverage="0" equalAverage="0" bottom="0" percent="0" rank="0" text="" dxfId="0">
      <formula>0</formula>
    </cfRule>
  </conditionalFormatting>
  <conditionalFormatting sqref="G971">
    <cfRule type="cellIs" priority="2899" operator="greaterThan" aboveAverage="0" equalAverage="0" bottom="0" percent="0" rank="0" text="" dxfId="10">
      <formula>e{r}</formula>
    </cfRule>
  </conditionalFormatting>
  <conditionalFormatting sqref="H972">
    <cfRule type="cellIs" priority="2900" operator="greaterThan" aboveAverage="0" equalAverage="0" bottom="0" percent="0" rank="0" text="" dxfId="1">
      <formula>0</formula>
    </cfRule>
    <cfRule type="cellIs" priority="2901" operator="lessThanOrEqual" aboveAverage="0" equalAverage="0" bottom="0" percent="0" rank="0" text="" dxfId="0">
      <formula>0</formula>
    </cfRule>
  </conditionalFormatting>
  <conditionalFormatting sqref="G972">
    <cfRule type="cellIs" priority="2902" operator="greaterThan" aboveAverage="0" equalAverage="0" bottom="0" percent="0" rank="0" text="" dxfId="10">
      <formula>e{r}</formula>
    </cfRule>
  </conditionalFormatting>
  <conditionalFormatting sqref="H973">
    <cfRule type="cellIs" priority="2903" operator="greaterThan" aboveAverage="0" equalAverage="0" bottom="0" percent="0" rank="0" text="" dxfId="1">
      <formula>0</formula>
    </cfRule>
    <cfRule type="cellIs" priority="2904" operator="lessThanOrEqual" aboveAverage="0" equalAverage="0" bottom="0" percent="0" rank="0" text="" dxfId="0">
      <formula>0</formula>
    </cfRule>
  </conditionalFormatting>
  <conditionalFormatting sqref="G973">
    <cfRule type="cellIs" priority="2905" operator="greaterThan" aboveAverage="0" equalAverage="0" bottom="0" percent="0" rank="0" text="" dxfId="10">
      <formula>e{r}</formula>
    </cfRule>
  </conditionalFormatting>
  <conditionalFormatting sqref="H974">
    <cfRule type="cellIs" priority="2906" operator="greaterThan" aboveAverage="0" equalAverage="0" bottom="0" percent="0" rank="0" text="" dxfId="1">
      <formula>0</formula>
    </cfRule>
    <cfRule type="cellIs" priority="2907" operator="lessThanOrEqual" aboveAverage="0" equalAverage="0" bottom="0" percent="0" rank="0" text="" dxfId="0">
      <formula>0</formula>
    </cfRule>
  </conditionalFormatting>
  <conditionalFormatting sqref="G974">
    <cfRule type="cellIs" priority="2908" operator="greaterThan" aboveAverage="0" equalAverage="0" bottom="0" percent="0" rank="0" text="" dxfId="10">
      <formula>e{r}</formula>
    </cfRule>
  </conditionalFormatting>
  <conditionalFormatting sqref="H975">
    <cfRule type="cellIs" priority="2909" operator="greaterThan" aboveAverage="0" equalAverage="0" bottom="0" percent="0" rank="0" text="" dxfId="1">
      <formula>0</formula>
    </cfRule>
    <cfRule type="cellIs" priority="2910" operator="lessThanOrEqual" aboveAverage="0" equalAverage="0" bottom="0" percent="0" rank="0" text="" dxfId="0">
      <formula>0</formula>
    </cfRule>
  </conditionalFormatting>
  <conditionalFormatting sqref="G975">
    <cfRule type="cellIs" priority="2911" operator="greaterThan" aboveAverage="0" equalAverage="0" bottom="0" percent="0" rank="0" text="" dxfId="10">
      <formula>e{r}</formula>
    </cfRule>
  </conditionalFormatting>
  <conditionalFormatting sqref="H976">
    <cfRule type="cellIs" priority="2912" operator="greaterThan" aboveAverage="0" equalAverage="0" bottom="0" percent="0" rank="0" text="" dxfId="1">
      <formula>0</formula>
    </cfRule>
    <cfRule type="cellIs" priority="2913" operator="lessThanOrEqual" aboveAverage="0" equalAverage="0" bottom="0" percent="0" rank="0" text="" dxfId="0">
      <formula>0</formula>
    </cfRule>
  </conditionalFormatting>
  <conditionalFormatting sqref="G976">
    <cfRule type="cellIs" priority="2914" operator="greaterThan" aboveAverage="0" equalAverage="0" bottom="0" percent="0" rank="0" text="" dxfId="10">
      <formula>e{r}</formula>
    </cfRule>
  </conditionalFormatting>
  <conditionalFormatting sqref="H977">
    <cfRule type="cellIs" priority="2915" operator="greaterThan" aboveAverage="0" equalAverage="0" bottom="0" percent="0" rank="0" text="" dxfId="1">
      <formula>0</formula>
    </cfRule>
    <cfRule type="cellIs" priority="2916" operator="lessThanOrEqual" aboveAverage="0" equalAverage="0" bottom="0" percent="0" rank="0" text="" dxfId="0">
      <formula>0</formula>
    </cfRule>
  </conditionalFormatting>
  <conditionalFormatting sqref="G977">
    <cfRule type="cellIs" priority="2917" operator="greaterThan" aboveAverage="0" equalAverage="0" bottom="0" percent="0" rank="0" text="" dxfId="10">
      <formula>e{r}</formula>
    </cfRule>
  </conditionalFormatting>
  <conditionalFormatting sqref="H978">
    <cfRule type="cellIs" priority="2918" operator="greaterThan" aboveAverage="0" equalAverage="0" bottom="0" percent="0" rank="0" text="" dxfId="1">
      <formula>0</formula>
    </cfRule>
    <cfRule type="cellIs" priority="2919" operator="lessThanOrEqual" aboveAverage="0" equalAverage="0" bottom="0" percent="0" rank="0" text="" dxfId="0">
      <formula>0</formula>
    </cfRule>
  </conditionalFormatting>
  <conditionalFormatting sqref="G978">
    <cfRule type="cellIs" priority="2920" operator="greaterThan" aboveAverage="0" equalAverage="0" bottom="0" percent="0" rank="0" text="" dxfId="10">
      <formula>e{r}</formula>
    </cfRule>
  </conditionalFormatting>
  <conditionalFormatting sqref="H979">
    <cfRule type="cellIs" priority="2921" operator="greaterThan" aboveAverage="0" equalAverage="0" bottom="0" percent="0" rank="0" text="" dxfId="1">
      <formula>0</formula>
    </cfRule>
    <cfRule type="cellIs" priority="2922" operator="lessThanOrEqual" aboveAverage="0" equalAverage="0" bottom="0" percent="0" rank="0" text="" dxfId="0">
      <formula>0</formula>
    </cfRule>
  </conditionalFormatting>
  <conditionalFormatting sqref="G979">
    <cfRule type="cellIs" priority="2923" operator="greaterThan" aboveAverage="0" equalAverage="0" bottom="0" percent="0" rank="0" text="" dxfId="10">
      <formula>e{r}</formula>
    </cfRule>
  </conditionalFormatting>
  <conditionalFormatting sqref="H980">
    <cfRule type="cellIs" priority="2924" operator="greaterThan" aboveAverage="0" equalAverage="0" bottom="0" percent="0" rank="0" text="" dxfId="1">
      <formula>0</formula>
    </cfRule>
    <cfRule type="cellIs" priority="2925" operator="lessThanOrEqual" aboveAverage="0" equalAverage="0" bottom="0" percent="0" rank="0" text="" dxfId="0">
      <formula>0</formula>
    </cfRule>
  </conditionalFormatting>
  <conditionalFormatting sqref="G980">
    <cfRule type="cellIs" priority="2926" operator="greaterThan" aboveAverage="0" equalAverage="0" bottom="0" percent="0" rank="0" text="" dxfId="10">
      <formula>e{r}</formula>
    </cfRule>
  </conditionalFormatting>
  <conditionalFormatting sqref="H981">
    <cfRule type="cellIs" priority="2927" operator="greaterThan" aboveAverage="0" equalAverage="0" bottom="0" percent="0" rank="0" text="" dxfId="1">
      <formula>0</formula>
    </cfRule>
    <cfRule type="cellIs" priority="2928" operator="lessThanOrEqual" aboveAverage="0" equalAverage="0" bottom="0" percent="0" rank="0" text="" dxfId="0">
      <formula>0</formula>
    </cfRule>
  </conditionalFormatting>
  <conditionalFormatting sqref="G981">
    <cfRule type="cellIs" priority="2929" operator="greaterThan" aboveAverage="0" equalAverage="0" bottom="0" percent="0" rank="0" text="" dxfId="10">
      <formula>e{r}</formula>
    </cfRule>
  </conditionalFormatting>
  <conditionalFormatting sqref="H982">
    <cfRule type="cellIs" priority="2930" operator="greaterThan" aboveAverage="0" equalAverage="0" bottom="0" percent="0" rank="0" text="" dxfId="1">
      <formula>0</formula>
    </cfRule>
    <cfRule type="cellIs" priority="2931" operator="lessThanOrEqual" aboveAverage="0" equalAverage="0" bottom="0" percent="0" rank="0" text="" dxfId="0">
      <formula>0</formula>
    </cfRule>
  </conditionalFormatting>
  <conditionalFormatting sqref="G982">
    <cfRule type="cellIs" priority="2932" operator="greaterThan" aboveAverage="0" equalAverage="0" bottom="0" percent="0" rank="0" text="" dxfId="10">
      <formula>e{r}</formula>
    </cfRule>
  </conditionalFormatting>
  <conditionalFormatting sqref="H983">
    <cfRule type="cellIs" priority="2933" operator="greaterThan" aboveAverage="0" equalAverage="0" bottom="0" percent="0" rank="0" text="" dxfId="1">
      <formula>0</formula>
    </cfRule>
    <cfRule type="cellIs" priority="2934" operator="lessThanOrEqual" aboveAverage="0" equalAverage="0" bottom="0" percent="0" rank="0" text="" dxfId="0">
      <formula>0</formula>
    </cfRule>
  </conditionalFormatting>
  <conditionalFormatting sqref="G983">
    <cfRule type="cellIs" priority="2935" operator="greaterThan" aboveAverage="0" equalAverage="0" bottom="0" percent="0" rank="0" text="" dxfId="10">
      <formula>e{r}</formula>
    </cfRule>
  </conditionalFormatting>
  <conditionalFormatting sqref="H984">
    <cfRule type="cellIs" priority="2936" operator="greaterThan" aboveAverage="0" equalAverage="0" bottom="0" percent="0" rank="0" text="" dxfId="1">
      <formula>0</formula>
    </cfRule>
    <cfRule type="cellIs" priority="2937" operator="lessThanOrEqual" aboveAverage="0" equalAverage="0" bottom="0" percent="0" rank="0" text="" dxfId="0">
      <formula>0</formula>
    </cfRule>
  </conditionalFormatting>
  <conditionalFormatting sqref="G984">
    <cfRule type="cellIs" priority="2938" operator="greaterThan" aboveAverage="0" equalAverage="0" bottom="0" percent="0" rank="0" text="" dxfId="10">
      <formula>e{r}</formula>
    </cfRule>
  </conditionalFormatting>
  <conditionalFormatting sqref="H985">
    <cfRule type="cellIs" priority="2939" operator="greaterThan" aboveAverage="0" equalAverage="0" bottom="0" percent="0" rank="0" text="" dxfId="1">
      <formula>0</formula>
    </cfRule>
    <cfRule type="cellIs" priority="2940" operator="lessThanOrEqual" aboveAverage="0" equalAverage="0" bottom="0" percent="0" rank="0" text="" dxfId="0">
      <formula>0</formula>
    </cfRule>
  </conditionalFormatting>
  <conditionalFormatting sqref="G985">
    <cfRule type="cellIs" priority="2941" operator="greaterThan" aboveAverage="0" equalAverage="0" bottom="0" percent="0" rank="0" text="" dxfId="10">
      <formula>e{r}</formula>
    </cfRule>
  </conditionalFormatting>
  <conditionalFormatting sqref="H986">
    <cfRule type="cellIs" priority="2942" operator="greaterThan" aboveAverage="0" equalAverage="0" bottom="0" percent="0" rank="0" text="" dxfId="1">
      <formula>0</formula>
    </cfRule>
    <cfRule type="cellIs" priority="2943" operator="lessThanOrEqual" aboveAverage="0" equalAverage="0" bottom="0" percent="0" rank="0" text="" dxfId="0">
      <formula>0</formula>
    </cfRule>
  </conditionalFormatting>
  <conditionalFormatting sqref="G986">
    <cfRule type="cellIs" priority="2944" operator="greaterThan" aboveAverage="0" equalAverage="0" bottom="0" percent="0" rank="0" text="" dxfId="10">
      <formula>e{r}</formula>
    </cfRule>
  </conditionalFormatting>
  <conditionalFormatting sqref="H987">
    <cfRule type="cellIs" priority="2945" operator="greaterThan" aboveAverage="0" equalAverage="0" bottom="0" percent="0" rank="0" text="" dxfId="1">
      <formula>0</formula>
    </cfRule>
    <cfRule type="cellIs" priority="2946" operator="lessThanOrEqual" aboveAverage="0" equalAverage="0" bottom="0" percent="0" rank="0" text="" dxfId="0">
      <formula>0</formula>
    </cfRule>
  </conditionalFormatting>
  <conditionalFormatting sqref="G987">
    <cfRule type="cellIs" priority="2947" operator="greaterThan" aboveAverage="0" equalAverage="0" bottom="0" percent="0" rank="0" text="" dxfId="10">
      <formula>e{r}</formula>
    </cfRule>
  </conditionalFormatting>
  <conditionalFormatting sqref="H988">
    <cfRule type="cellIs" priority="2948" operator="greaterThan" aboveAverage="0" equalAverage="0" bottom="0" percent="0" rank="0" text="" dxfId="1">
      <formula>0</formula>
    </cfRule>
    <cfRule type="cellIs" priority="2949" operator="lessThanOrEqual" aboveAverage="0" equalAverage="0" bottom="0" percent="0" rank="0" text="" dxfId="0">
      <formula>0</formula>
    </cfRule>
  </conditionalFormatting>
  <conditionalFormatting sqref="G988">
    <cfRule type="cellIs" priority="2950" operator="greaterThan" aboveAverage="0" equalAverage="0" bottom="0" percent="0" rank="0" text="" dxfId="10">
      <formula>e{r}</formula>
    </cfRule>
  </conditionalFormatting>
  <conditionalFormatting sqref="H989">
    <cfRule type="cellIs" priority="2951" operator="greaterThan" aboveAverage="0" equalAverage="0" bottom="0" percent="0" rank="0" text="" dxfId="1">
      <formula>0</formula>
    </cfRule>
    <cfRule type="cellIs" priority="2952" operator="lessThanOrEqual" aboveAverage="0" equalAverage="0" bottom="0" percent="0" rank="0" text="" dxfId="0">
      <formula>0</formula>
    </cfRule>
  </conditionalFormatting>
  <conditionalFormatting sqref="G989">
    <cfRule type="cellIs" priority="2953" operator="greaterThan" aboveAverage="0" equalAverage="0" bottom="0" percent="0" rank="0" text="" dxfId="10">
      <formula>e{r}</formula>
    </cfRule>
  </conditionalFormatting>
  <conditionalFormatting sqref="H990">
    <cfRule type="cellIs" priority="2954" operator="greaterThan" aboveAverage="0" equalAverage="0" bottom="0" percent="0" rank="0" text="" dxfId="1">
      <formula>0</formula>
    </cfRule>
    <cfRule type="cellIs" priority="2955" operator="lessThanOrEqual" aboveAverage="0" equalAverage="0" bottom="0" percent="0" rank="0" text="" dxfId="0">
      <formula>0</formula>
    </cfRule>
  </conditionalFormatting>
  <conditionalFormatting sqref="G990">
    <cfRule type="cellIs" priority="2956" operator="greaterThan" aboveAverage="0" equalAverage="0" bottom="0" percent="0" rank="0" text="" dxfId="10">
      <formula>e{r}</formula>
    </cfRule>
  </conditionalFormatting>
  <conditionalFormatting sqref="H991">
    <cfRule type="cellIs" priority="2957" operator="greaterThan" aboveAverage="0" equalAverage="0" bottom="0" percent="0" rank="0" text="" dxfId="1">
      <formula>0</formula>
    </cfRule>
    <cfRule type="cellIs" priority="2958" operator="lessThanOrEqual" aboveAverage="0" equalAverage="0" bottom="0" percent="0" rank="0" text="" dxfId="0">
      <formula>0</formula>
    </cfRule>
  </conditionalFormatting>
  <conditionalFormatting sqref="G991">
    <cfRule type="cellIs" priority="2959" operator="greaterThan" aboveAverage="0" equalAverage="0" bottom="0" percent="0" rank="0" text="" dxfId="10">
      <formula>e{r}</formula>
    </cfRule>
  </conditionalFormatting>
  <conditionalFormatting sqref="H992">
    <cfRule type="cellIs" priority="2960" operator="greaterThan" aboveAverage="0" equalAverage="0" bottom="0" percent="0" rank="0" text="" dxfId="1">
      <formula>0</formula>
    </cfRule>
    <cfRule type="cellIs" priority="2961" operator="lessThanOrEqual" aboveAverage="0" equalAverage="0" bottom="0" percent="0" rank="0" text="" dxfId="0">
      <formula>0</formula>
    </cfRule>
  </conditionalFormatting>
  <conditionalFormatting sqref="G992">
    <cfRule type="cellIs" priority="2962" operator="greaterThan" aboveAverage="0" equalAverage="0" bottom="0" percent="0" rank="0" text="" dxfId="10">
      <formula>e{r}</formula>
    </cfRule>
  </conditionalFormatting>
  <conditionalFormatting sqref="H993">
    <cfRule type="cellIs" priority="2963" operator="greaterThan" aboveAverage="0" equalAverage="0" bottom="0" percent="0" rank="0" text="" dxfId="1">
      <formula>0</formula>
    </cfRule>
    <cfRule type="cellIs" priority="2964" operator="lessThanOrEqual" aboveAverage="0" equalAverage="0" bottom="0" percent="0" rank="0" text="" dxfId="0">
      <formula>0</formula>
    </cfRule>
  </conditionalFormatting>
  <conditionalFormatting sqref="G993">
    <cfRule type="cellIs" priority="2965" operator="greaterThan" aboveAverage="0" equalAverage="0" bottom="0" percent="0" rank="0" text="" dxfId="10">
      <formula>e{r}</formula>
    </cfRule>
  </conditionalFormatting>
  <conditionalFormatting sqref="H994">
    <cfRule type="cellIs" priority="2966" operator="greaterThan" aboveAverage="0" equalAverage="0" bottom="0" percent="0" rank="0" text="" dxfId="1">
      <formula>0</formula>
    </cfRule>
    <cfRule type="cellIs" priority="2967" operator="lessThanOrEqual" aboveAverage="0" equalAverage="0" bottom="0" percent="0" rank="0" text="" dxfId="0">
      <formula>0</formula>
    </cfRule>
  </conditionalFormatting>
  <conditionalFormatting sqref="G994">
    <cfRule type="cellIs" priority="2968" operator="greaterThan" aboveAverage="0" equalAverage="0" bottom="0" percent="0" rank="0" text="" dxfId="10">
      <formula>e{r}</formula>
    </cfRule>
  </conditionalFormatting>
  <conditionalFormatting sqref="H995">
    <cfRule type="cellIs" priority="2969" operator="greaterThan" aboveAverage="0" equalAverage="0" bottom="0" percent="0" rank="0" text="" dxfId="1">
      <formula>0</formula>
    </cfRule>
    <cfRule type="cellIs" priority="2970" operator="lessThanOrEqual" aboveAverage="0" equalAverage="0" bottom="0" percent="0" rank="0" text="" dxfId="0">
      <formula>0</formula>
    </cfRule>
  </conditionalFormatting>
  <conditionalFormatting sqref="G995">
    <cfRule type="cellIs" priority="2971" operator="greaterThan" aboveAverage="0" equalAverage="0" bottom="0" percent="0" rank="0" text="" dxfId="10">
      <formula>e{r}</formula>
    </cfRule>
  </conditionalFormatting>
  <conditionalFormatting sqref="H996">
    <cfRule type="cellIs" priority="2972" operator="greaterThan" aboveAverage="0" equalAverage="0" bottom="0" percent="0" rank="0" text="" dxfId="1">
      <formula>0</formula>
    </cfRule>
    <cfRule type="cellIs" priority="2973" operator="lessThanOrEqual" aboveAverage="0" equalAverage="0" bottom="0" percent="0" rank="0" text="" dxfId="0">
      <formula>0</formula>
    </cfRule>
  </conditionalFormatting>
  <conditionalFormatting sqref="G996">
    <cfRule type="cellIs" priority="2974" operator="greaterThan" aboveAverage="0" equalAverage="0" bottom="0" percent="0" rank="0" text="" dxfId="10">
      <formula>e{r}</formula>
    </cfRule>
  </conditionalFormatting>
  <conditionalFormatting sqref="H997">
    <cfRule type="cellIs" priority="2975" operator="greaterThan" aboveAverage="0" equalAverage="0" bottom="0" percent="0" rank="0" text="" dxfId="1">
      <formula>0</formula>
    </cfRule>
    <cfRule type="cellIs" priority="2976" operator="lessThanOrEqual" aboveAverage="0" equalAverage="0" bottom="0" percent="0" rank="0" text="" dxfId="0">
      <formula>0</formula>
    </cfRule>
  </conditionalFormatting>
  <conditionalFormatting sqref="G997">
    <cfRule type="cellIs" priority="2977" operator="greaterThan" aboveAverage="0" equalAverage="0" bottom="0" percent="0" rank="0" text="" dxfId="10">
      <formula>e{r}</formula>
    </cfRule>
  </conditionalFormatting>
  <conditionalFormatting sqref="H998">
    <cfRule type="cellIs" priority="2978" operator="greaterThan" aboveAverage="0" equalAverage="0" bottom="0" percent="0" rank="0" text="" dxfId="1">
      <formula>0</formula>
    </cfRule>
    <cfRule type="cellIs" priority="2979" operator="lessThanOrEqual" aboveAverage="0" equalAverage="0" bottom="0" percent="0" rank="0" text="" dxfId="0">
      <formula>0</formula>
    </cfRule>
  </conditionalFormatting>
  <conditionalFormatting sqref="G998">
    <cfRule type="cellIs" priority="2980" operator="greaterThan" aboveAverage="0" equalAverage="0" bottom="0" percent="0" rank="0" text="" dxfId="10">
      <formula>e{r}</formula>
    </cfRule>
  </conditionalFormatting>
  <conditionalFormatting sqref="H999">
    <cfRule type="cellIs" priority="2981" operator="greaterThan" aboveAverage="0" equalAverage="0" bottom="0" percent="0" rank="0" text="" dxfId="1">
      <formula>0</formula>
    </cfRule>
    <cfRule type="cellIs" priority="2982" operator="lessThanOrEqual" aboveAverage="0" equalAverage="0" bottom="0" percent="0" rank="0" text="" dxfId="0">
      <formula>0</formula>
    </cfRule>
  </conditionalFormatting>
  <conditionalFormatting sqref="G999">
    <cfRule type="cellIs" priority="2983" operator="greaterThan" aboveAverage="0" equalAverage="0" bottom="0" percent="0" rank="0" text="" dxfId="10">
      <formula>e{r}</formula>
    </cfRule>
  </conditionalFormatting>
  <conditionalFormatting sqref="H1000">
    <cfRule type="cellIs" priority="2984" operator="greaterThan" aboveAverage="0" equalAverage="0" bottom="0" percent="0" rank="0" text="" dxfId="1">
      <formula>0</formula>
    </cfRule>
    <cfRule type="cellIs" priority="2985" operator="lessThanOrEqual" aboveAverage="0" equalAverage="0" bottom="0" percent="0" rank="0" text="" dxfId="0">
      <formula>0</formula>
    </cfRule>
  </conditionalFormatting>
  <conditionalFormatting sqref="G1000">
    <cfRule type="cellIs" priority="2986" operator="greaterThan" aboveAverage="0" equalAverage="0" bottom="0" percent="0" rank="0" text="" dxfId="10">
      <formula>e{r}</formula>
    </cfRule>
  </conditionalFormatting>
  <conditionalFormatting sqref="H1001">
    <cfRule type="cellIs" priority="2987" operator="greaterThan" aboveAverage="0" equalAverage="0" bottom="0" percent="0" rank="0" text="" dxfId="1">
      <formula>0</formula>
    </cfRule>
    <cfRule type="cellIs" priority="2988" operator="lessThanOrEqual" aboveAverage="0" equalAverage="0" bottom="0" percent="0" rank="0" text="" dxfId="0">
      <formula>0</formula>
    </cfRule>
  </conditionalFormatting>
  <conditionalFormatting sqref="G1001">
    <cfRule type="cellIs" priority="2989" operator="greaterThan" aboveAverage="0" equalAverage="0" bottom="0" percent="0" rank="0" text="" dxfId="10">
      <formula>e{r}</formula>
    </cfRule>
  </conditionalFormatting>
  <conditionalFormatting sqref="H1002">
    <cfRule type="cellIs" priority="2990" operator="greaterThan" aboveAverage="0" equalAverage="0" bottom="0" percent="0" rank="0" text="" dxfId="1">
      <formula>0</formula>
    </cfRule>
    <cfRule type="cellIs" priority="2991" operator="lessThanOrEqual" aboveAverage="0" equalAverage="0" bottom="0" percent="0" rank="0" text="" dxfId="0">
      <formula>0</formula>
    </cfRule>
  </conditionalFormatting>
  <conditionalFormatting sqref="G1002">
    <cfRule type="cellIs" priority="2992" operator="greaterThan" aboveAverage="0" equalAverage="0" bottom="0" percent="0" rank="0" text="" dxfId="10">
      <formula>e{r}</formula>
    </cfRule>
  </conditionalFormatting>
  <conditionalFormatting sqref="H1003">
    <cfRule type="cellIs" priority="2993" operator="greaterThan" aboveAverage="0" equalAverage="0" bottom="0" percent="0" rank="0" text="" dxfId="1">
      <formula>0</formula>
    </cfRule>
    <cfRule type="cellIs" priority="2994" operator="lessThanOrEqual" aboveAverage="0" equalAverage="0" bottom="0" percent="0" rank="0" text="" dxfId="0">
      <formula>0</formula>
    </cfRule>
  </conditionalFormatting>
  <conditionalFormatting sqref="G1003">
    <cfRule type="cellIs" priority="2995" operator="greaterThan" aboveAverage="0" equalAverage="0" bottom="0" percent="0" rank="0" text="" dxfId="10">
      <formula>e{r}</formula>
    </cfRule>
  </conditionalFormatting>
  <dataValidations count="3">
    <dataValidation allowBlank="true" error="Miktar 1'den büyük olmalı." errorStyle="stop" errorTitle="Geçersiz miktar" operator="greaterThan" prompt="Bu kalemde hakedilen miktar." promptTitle="Hakediş Miktarı" showDropDown="false" showErrorMessage="true" showInputMessage="true" sqref="C6:C1004" type="whole">
      <formula1>1</formula1>
      <formula2>0</formula2>
    </dataValidation>
    <dataValidation allowBlank="true" error="Birim fiyat 0,01 ₺'den büyük olmalı." errorStyle="stop" errorTitle="Geçersiz tutar" operator="greaterThan" prompt="Sözleşmedeki birim fiyat." promptTitle="Sözleşme Birim Fiyatı (₺)" showDropDown="false" showErrorMessage="true" showInputMessage="true" sqref="D6:D1004" type="decimal">
      <formula1>0.01</formula1>
      <formula2>0</formula2>
    </dataValidation>
    <dataValidation allowBlank="true" error="Birim fiyat 0,01 ₺'den büyük olmalı." errorStyle="stop" errorTitle="Geçersiz tutar" operator="greaterThan" prompt="Hakediş dönemindeki piyasa birim fiyatı." promptTitle="Piyasa Birim Fiyatı (₺)" showDropDown="false" showErrorMessage="true" showInputMessage="true" sqref="F6:F1004" type="decimal">
      <formula1>0.01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5" min="3" style="0" width="14"/>
  </cols>
  <sheetData>
    <row r="1" customFormat="false" ht="25.5" hidden="false" customHeight="true" outlineLevel="0" collapsed="false">
      <c r="A1" s="12" t="s">
        <v>71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72</v>
      </c>
    </row>
    <row r="5" customFormat="false" ht="30" hidden="false" customHeight="true" outlineLevel="0" collapsed="false">
      <c r="A5" s="21" t="s">
        <v>73</v>
      </c>
      <c r="B5" s="21" t="s">
        <v>74</v>
      </c>
      <c r="C5" s="21" t="s">
        <v>75</v>
      </c>
      <c r="D5" s="21" t="s">
        <v>76</v>
      </c>
      <c r="E5" s="21" t="s">
        <v>77</v>
      </c>
    </row>
    <row r="6" customFormat="false" ht="15" hidden="false" customHeight="false" outlineLevel="0" collapsed="false">
      <c r="A6" s="22" t="s">
        <v>78</v>
      </c>
      <c r="B6" s="30" t="n">
        <v>0.35</v>
      </c>
      <c r="C6" s="23" t="n">
        <v>420</v>
      </c>
      <c r="D6" s="23" t="n">
        <v>448</v>
      </c>
      <c r="E6" s="31" t="n">
        <f aca="false">IF(OR($C6="",$C6=0),0,($D6-$C6)/$C6)</f>
        <v>0.0666666666666667</v>
      </c>
    </row>
    <row r="7" customFormat="false" ht="15" hidden="false" customHeight="false" outlineLevel="0" collapsed="false">
      <c r="A7" s="22" t="s">
        <v>79</v>
      </c>
      <c r="B7" s="30" t="n">
        <v>0.35</v>
      </c>
      <c r="C7" s="23" t="n">
        <v>380</v>
      </c>
      <c r="D7" s="23" t="n">
        <v>415</v>
      </c>
      <c r="E7" s="31" t="n">
        <f aca="false">IF(OR($C7="",$C7=0),0,($D7-$C7)/$C7)</f>
        <v>0.0921052631578947</v>
      </c>
    </row>
    <row r="8" customFormat="false" ht="15" hidden="false" customHeight="false" outlineLevel="0" collapsed="false">
      <c r="A8" s="22" t="s">
        <v>80</v>
      </c>
      <c r="B8" s="30" t="n">
        <v>0.1</v>
      </c>
      <c r="C8" s="23" t="n">
        <v>300</v>
      </c>
      <c r="D8" s="23" t="n">
        <v>312</v>
      </c>
      <c r="E8" s="31" t="n">
        <f aca="false">IF(OR($C8="",$C8=0),0,($D8-$C8)/$C8)</f>
        <v>0.04</v>
      </c>
    </row>
    <row r="9" customFormat="false" ht="15" hidden="false" customHeight="false" outlineLevel="0" collapsed="false">
      <c r="A9" s="22" t="s">
        <v>81</v>
      </c>
      <c r="B9" s="30" t="n">
        <v>0.1</v>
      </c>
      <c r="C9" s="23" t="n">
        <v>260</v>
      </c>
      <c r="D9" s="23" t="n">
        <v>275</v>
      </c>
      <c r="E9" s="31" t="n">
        <f aca="false">IF(OR($C9="",$C9=0),0,($D9-$C9)/$C9)</f>
        <v>0.0576923076923077</v>
      </c>
    </row>
    <row r="10" customFormat="false" ht="15" hidden="false" customHeight="false" outlineLevel="0" collapsed="false">
      <c r="A10" s="22" t="s">
        <v>82</v>
      </c>
      <c r="B10" s="30" t="n">
        <v>0.05</v>
      </c>
      <c r="C10" s="23" t="n">
        <v>240</v>
      </c>
      <c r="D10" s="23" t="n">
        <v>258</v>
      </c>
      <c r="E10" s="31" t="n">
        <f aca="false">IF(OR($C10="",$C10=0),0,($D10-$C10)/$C10)</f>
        <v>0.075</v>
      </c>
    </row>
    <row r="11" customFormat="false" ht="15" hidden="false" customHeight="false" outlineLevel="0" collapsed="false">
      <c r="A11" s="22" t="s">
        <v>83</v>
      </c>
      <c r="B11" s="30" t="n">
        <v>0.05</v>
      </c>
      <c r="C11" s="23" t="n">
        <v>320</v>
      </c>
      <c r="D11" s="23" t="n">
        <v>345</v>
      </c>
      <c r="E11" s="31" t="n">
        <f aca="false">IF(OR($C11="",$C11=0),0,($D11-$C11)/$C11)</f>
        <v>0.078125</v>
      </c>
    </row>
    <row r="12" customFormat="false" ht="15" hidden="false" customHeight="false" outlineLevel="0" collapsed="false">
      <c r="A12" s="27"/>
      <c r="B12" s="27"/>
      <c r="C12" s="27"/>
      <c r="D12" s="27"/>
      <c r="E12" s="32"/>
    </row>
    <row r="13" customFormat="false" ht="15" hidden="false" customHeight="false" outlineLevel="0" collapsed="false">
      <c r="A13" s="27"/>
      <c r="B13" s="27"/>
      <c r="C13" s="27"/>
      <c r="D13" s="27"/>
      <c r="E13" s="32"/>
    </row>
    <row r="14" customFormat="false" ht="15" hidden="false" customHeight="false" outlineLevel="0" collapsed="false">
      <c r="A14" s="27"/>
      <c r="B14" s="27"/>
      <c r="C14" s="27"/>
      <c r="D14" s="27"/>
      <c r="E14" s="32"/>
    </row>
    <row r="15" customFormat="false" ht="15" hidden="false" customHeight="false" outlineLevel="0" collapsed="false">
      <c r="A15" s="27"/>
      <c r="B15" s="27"/>
      <c r="C15" s="27"/>
      <c r="D15" s="27"/>
      <c r="E15" s="32"/>
    </row>
    <row r="16" customFormat="false" ht="15" hidden="false" customHeight="false" outlineLevel="0" collapsed="false">
      <c r="A16" s="27"/>
      <c r="B16" s="27"/>
      <c r="C16" s="27"/>
      <c r="D16" s="27"/>
      <c r="E16" s="32"/>
    </row>
    <row r="17" customFormat="false" ht="15" hidden="false" customHeight="false" outlineLevel="0" collapsed="false">
      <c r="A17" s="27"/>
      <c r="B17" s="27"/>
      <c r="C17" s="27"/>
      <c r="D17" s="27"/>
      <c r="E17" s="32"/>
    </row>
    <row r="18" customFormat="false" ht="15" hidden="false" customHeight="false" outlineLevel="0" collapsed="false">
      <c r="A18" s="27"/>
      <c r="B18" s="27"/>
      <c r="C18" s="27"/>
      <c r="D18" s="27"/>
      <c r="E18" s="32"/>
    </row>
    <row r="19" customFormat="false" ht="15" hidden="false" customHeight="false" outlineLevel="0" collapsed="false">
      <c r="A19" s="27"/>
      <c r="B19" s="27"/>
      <c r="C19" s="27"/>
      <c r="D19" s="27"/>
      <c r="E19" s="32"/>
    </row>
    <row r="20" customFormat="false" ht="15" hidden="false" customHeight="false" outlineLevel="0" collapsed="false">
      <c r="A20" s="27"/>
      <c r="B20" s="27"/>
      <c r="C20" s="27"/>
      <c r="D20" s="27"/>
      <c r="E20" s="32"/>
    </row>
    <row r="21" customFormat="false" ht="15" hidden="false" customHeight="false" outlineLevel="0" collapsed="false">
      <c r="A21" s="27"/>
      <c r="B21" s="27"/>
      <c r="C21" s="27"/>
      <c r="D21" s="27"/>
      <c r="E21" s="32"/>
    </row>
    <row r="22" customFormat="false" ht="15" hidden="false" customHeight="false" outlineLevel="0" collapsed="false">
      <c r="A22" s="27"/>
      <c r="B22" s="27"/>
      <c r="C22" s="27"/>
      <c r="D22" s="27"/>
      <c r="E22" s="32"/>
    </row>
    <row r="23" customFormat="false" ht="15" hidden="false" customHeight="false" outlineLevel="0" collapsed="false">
      <c r="A23" s="27"/>
      <c r="B23" s="27"/>
      <c r="C23" s="27"/>
      <c r="D23" s="27"/>
      <c r="E23" s="32"/>
    </row>
    <row r="24" customFormat="false" ht="15" hidden="false" customHeight="false" outlineLevel="0" collapsed="false">
      <c r="A24" s="27"/>
      <c r="B24" s="27"/>
      <c r="C24" s="27"/>
      <c r="D24" s="27"/>
      <c r="E24" s="32"/>
    </row>
    <row r="25" customFormat="false" ht="15" hidden="false" customHeight="false" outlineLevel="0" collapsed="false">
      <c r="A25" s="27"/>
      <c r="B25" s="27"/>
      <c r="C25" s="27"/>
      <c r="D25" s="27"/>
      <c r="E25" s="32"/>
    </row>
    <row r="26" customFormat="false" ht="15" hidden="false" customHeight="false" outlineLevel="0" collapsed="false">
      <c r="A26" s="27"/>
      <c r="B26" s="27"/>
      <c r="C26" s="27"/>
      <c r="D26" s="27"/>
      <c r="E26" s="32"/>
    </row>
    <row r="27" customFormat="false" ht="15" hidden="false" customHeight="false" outlineLevel="0" collapsed="false">
      <c r="A27" s="27"/>
      <c r="B27" s="27"/>
      <c r="C27" s="27"/>
      <c r="D27" s="27"/>
      <c r="E27" s="32"/>
    </row>
    <row r="28" customFormat="false" ht="15" hidden="false" customHeight="false" outlineLevel="0" collapsed="false">
      <c r="A28" s="27"/>
      <c r="B28" s="27"/>
      <c r="C28" s="27"/>
      <c r="D28" s="27"/>
      <c r="E28" s="32"/>
    </row>
    <row r="29" customFormat="false" ht="15" hidden="false" customHeight="false" outlineLevel="0" collapsed="false">
      <c r="A29" s="27"/>
      <c r="B29" s="27"/>
      <c r="C29" s="27"/>
      <c r="D29" s="27"/>
      <c r="E29" s="32"/>
    </row>
    <row r="30" customFormat="false" ht="15" hidden="false" customHeight="false" outlineLevel="0" collapsed="false">
      <c r="A30" s="27"/>
      <c r="B30" s="27"/>
      <c r="C30" s="27"/>
      <c r="D30" s="27"/>
      <c r="E30" s="32"/>
    </row>
    <row r="31" customFormat="false" ht="15" hidden="false" customHeight="false" outlineLevel="0" collapsed="false">
      <c r="A31" s="27"/>
      <c r="B31" s="27"/>
      <c r="C31" s="27"/>
      <c r="D31" s="27"/>
      <c r="E31" s="32"/>
    </row>
    <row r="32" customFormat="false" ht="15" hidden="false" customHeight="false" outlineLevel="0" collapsed="false">
      <c r="A32" s="27"/>
      <c r="B32" s="27"/>
      <c r="C32" s="27"/>
      <c r="D32" s="27"/>
      <c r="E32" s="32"/>
    </row>
    <row r="33" customFormat="false" ht="15" hidden="false" customHeight="false" outlineLevel="0" collapsed="false">
      <c r="A33" s="27"/>
      <c r="B33" s="27"/>
      <c r="C33" s="27"/>
      <c r="D33" s="27"/>
      <c r="E33" s="32"/>
    </row>
    <row r="34" customFormat="false" ht="15" hidden="false" customHeight="false" outlineLevel="0" collapsed="false">
      <c r="A34" s="27"/>
      <c r="B34" s="27"/>
      <c r="C34" s="27"/>
      <c r="D34" s="27"/>
      <c r="E34" s="32"/>
    </row>
    <row r="35" customFormat="false" ht="15" hidden="false" customHeight="false" outlineLevel="0" collapsed="false">
      <c r="A35" s="27"/>
      <c r="B35" s="27"/>
      <c r="C35" s="27"/>
      <c r="D35" s="27"/>
      <c r="E35" s="32"/>
    </row>
    <row r="36" customFormat="false" ht="15" hidden="false" customHeight="false" outlineLevel="0" collapsed="false">
      <c r="A36" s="27"/>
      <c r="B36" s="27"/>
      <c r="C36" s="27"/>
      <c r="D36" s="27"/>
      <c r="E36" s="32"/>
    </row>
    <row r="37" customFormat="false" ht="15" hidden="false" customHeight="false" outlineLevel="0" collapsed="false">
      <c r="A37" s="27"/>
      <c r="B37" s="27"/>
      <c r="C37" s="27"/>
      <c r="D37" s="27"/>
      <c r="E37" s="32"/>
    </row>
    <row r="38" customFormat="false" ht="15" hidden="false" customHeight="false" outlineLevel="0" collapsed="false">
      <c r="A38" s="27"/>
      <c r="B38" s="27"/>
      <c r="C38" s="27"/>
      <c r="D38" s="27"/>
      <c r="E38" s="32"/>
    </row>
    <row r="39" customFormat="false" ht="15" hidden="false" customHeight="false" outlineLevel="0" collapsed="false">
      <c r="A39" s="27"/>
      <c r="B39" s="27"/>
      <c r="C39" s="27"/>
      <c r="D39" s="27"/>
      <c r="E39" s="32"/>
    </row>
    <row r="40" customFormat="false" ht="15" hidden="false" customHeight="false" outlineLevel="0" collapsed="false">
      <c r="A40" s="27"/>
      <c r="B40" s="27"/>
      <c r="C40" s="27"/>
      <c r="D40" s="27"/>
      <c r="E40" s="32"/>
    </row>
    <row r="41" customFormat="false" ht="15" hidden="false" customHeight="false" outlineLevel="0" collapsed="false">
      <c r="A41" s="27"/>
      <c r="B41" s="27"/>
      <c r="C41" s="27"/>
      <c r="D41" s="27"/>
      <c r="E41" s="32"/>
    </row>
    <row r="42" customFormat="false" ht="15" hidden="false" customHeight="false" outlineLevel="0" collapsed="false">
      <c r="A42" s="27"/>
      <c r="B42" s="27"/>
      <c r="C42" s="27"/>
      <c r="D42" s="27"/>
      <c r="E42" s="32"/>
    </row>
    <row r="43" customFormat="false" ht="15" hidden="false" customHeight="false" outlineLevel="0" collapsed="false">
      <c r="A43" s="27"/>
      <c r="B43" s="27"/>
      <c r="C43" s="27"/>
      <c r="D43" s="27"/>
      <c r="E43" s="32"/>
    </row>
    <row r="44" customFormat="false" ht="15" hidden="false" customHeight="false" outlineLevel="0" collapsed="false">
      <c r="A44" s="27"/>
      <c r="B44" s="27"/>
      <c r="C44" s="27"/>
      <c r="D44" s="27"/>
      <c r="E44" s="32"/>
    </row>
    <row r="45" customFormat="false" ht="15" hidden="false" customHeight="false" outlineLevel="0" collapsed="false">
      <c r="A45" s="27"/>
      <c r="B45" s="27"/>
      <c r="C45" s="27"/>
      <c r="D45" s="27"/>
      <c r="E45" s="32"/>
    </row>
    <row r="46" customFormat="false" ht="15" hidden="false" customHeight="false" outlineLevel="0" collapsed="false">
      <c r="A46" s="27"/>
      <c r="B46" s="27"/>
      <c r="C46" s="27"/>
      <c r="D46" s="27"/>
      <c r="E46" s="32"/>
    </row>
    <row r="47" customFormat="false" ht="15" hidden="false" customHeight="false" outlineLevel="0" collapsed="false">
      <c r="A47" s="27"/>
      <c r="B47" s="27"/>
      <c r="C47" s="27"/>
      <c r="D47" s="27"/>
      <c r="E47" s="32"/>
    </row>
    <row r="48" customFormat="false" ht="15" hidden="false" customHeight="false" outlineLevel="0" collapsed="false">
      <c r="A48" s="27"/>
      <c r="B48" s="27"/>
      <c r="C48" s="27"/>
      <c r="D48" s="27"/>
      <c r="E48" s="32"/>
    </row>
    <row r="49" customFormat="false" ht="15" hidden="false" customHeight="false" outlineLevel="0" collapsed="false">
      <c r="A49" s="27"/>
      <c r="B49" s="27"/>
      <c r="C49" s="27"/>
      <c r="D49" s="27"/>
      <c r="E49" s="32"/>
    </row>
    <row r="50" customFormat="false" ht="15" hidden="false" customHeight="false" outlineLevel="0" collapsed="false">
      <c r="A50" s="27"/>
      <c r="B50" s="27"/>
      <c r="C50" s="27"/>
      <c r="D50" s="27"/>
      <c r="E50" s="32"/>
    </row>
    <row r="51" customFormat="false" ht="15" hidden="false" customHeight="false" outlineLevel="0" collapsed="false">
      <c r="A51" s="27"/>
      <c r="B51" s="27"/>
      <c r="C51" s="27"/>
      <c r="D51" s="27"/>
      <c r="E51" s="32"/>
    </row>
    <row r="52" customFormat="false" ht="15" hidden="false" customHeight="false" outlineLevel="0" collapsed="false">
      <c r="A52" s="27"/>
      <c r="B52" s="27"/>
      <c r="C52" s="27"/>
      <c r="D52" s="27"/>
      <c r="E52" s="32"/>
    </row>
    <row r="53" customFormat="false" ht="15" hidden="false" customHeight="false" outlineLevel="0" collapsed="false">
      <c r="A53" s="27"/>
      <c r="B53" s="27"/>
      <c r="C53" s="27"/>
      <c r="D53" s="27"/>
      <c r="E53" s="32"/>
    </row>
    <row r="54" customFormat="false" ht="15" hidden="false" customHeight="false" outlineLevel="0" collapsed="false">
      <c r="A54" s="27"/>
      <c r="B54" s="27"/>
      <c r="C54" s="27"/>
      <c r="D54" s="27"/>
      <c r="E54" s="32"/>
    </row>
    <row r="55" customFormat="false" ht="15" hidden="false" customHeight="false" outlineLevel="0" collapsed="false">
      <c r="A55" s="27"/>
      <c r="B55" s="27"/>
      <c r="C55" s="27"/>
      <c r="D55" s="27"/>
      <c r="E55" s="32"/>
    </row>
    <row r="56" customFormat="false" ht="15" hidden="false" customHeight="false" outlineLevel="0" collapsed="false">
      <c r="A56" s="27"/>
      <c r="B56" s="27"/>
      <c r="C56" s="27"/>
      <c r="D56" s="27"/>
      <c r="E56" s="32"/>
    </row>
    <row r="57" customFormat="false" ht="15" hidden="false" customHeight="false" outlineLevel="0" collapsed="false">
      <c r="A57" s="27"/>
      <c r="B57" s="27"/>
      <c r="C57" s="27"/>
      <c r="D57" s="27"/>
      <c r="E57" s="32"/>
    </row>
    <row r="58" customFormat="false" ht="15" hidden="false" customHeight="false" outlineLevel="0" collapsed="false">
      <c r="A58" s="27"/>
      <c r="B58" s="27"/>
      <c r="C58" s="27"/>
      <c r="D58" s="27"/>
      <c r="E58" s="32"/>
    </row>
    <row r="59" customFormat="false" ht="15" hidden="false" customHeight="false" outlineLevel="0" collapsed="false">
      <c r="A59" s="27"/>
      <c r="B59" s="27"/>
      <c r="C59" s="27"/>
      <c r="D59" s="27"/>
      <c r="E59" s="32"/>
    </row>
    <row r="60" customFormat="false" ht="15" hidden="false" customHeight="false" outlineLevel="0" collapsed="false">
      <c r="A60" s="27"/>
      <c r="B60" s="27"/>
      <c r="C60" s="27"/>
      <c r="D60" s="27"/>
      <c r="E60" s="32"/>
    </row>
    <row r="61" customFormat="false" ht="15" hidden="false" customHeight="false" outlineLevel="0" collapsed="false">
      <c r="A61" s="27"/>
      <c r="B61" s="27"/>
      <c r="C61" s="27"/>
      <c r="D61" s="27"/>
      <c r="E61" s="32"/>
    </row>
    <row r="62" customFormat="false" ht="15" hidden="false" customHeight="false" outlineLevel="0" collapsed="false">
      <c r="A62" s="27"/>
      <c r="B62" s="27"/>
      <c r="C62" s="27"/>
      <c r="D62" s="27"/>
      <c r="E62" s="32"/>
    </row>
    <row r="63" customFormat="false" ht="15" hidden="false" customHeight="false" outlineLevel="0" collapsed="false">
      <c r="A63" s="27"/>
      <c r="B63" s="27"/>
      <c r="C63" s="27"/>
      <c r="D63" s="27"/>
      <c r="E63" s="32"/>
    </row>
    <row r="64" customFormat="false" ht="15" hidden="false" customHeight="false" outlineLevel="0" collapsed="false">
      <c r="A64" s="27"/>
      <c r="B64" s="27"/>
      <c r="C64" s="27"/>
      <c r="D64" s="27"/>
      <c r="E64" s="32"/>
    </row>
    <row r="65" customFormat="false" ht="15" hidden="false" customHeight="false" outlineLevel="0" collapsed="false">
      <c r="A65" s="27"/>
      <c r="B65" s="27"/>
      <c r="C65" s="27"/>
      <c r="D65" s="27"/>
      <c r="E65" s="32"/>
    </row>
    <row r="66" customFormat="false" ht="15" hidden="false" customHeight="false" outlineLevel="0" collapsed="false">
      <c r="A66" s="27"/>
      <c r="B66" s="27"/>
      <c r="C66" s="27"/>
      <c r="D66" s="27"/>
      <c r="E66" s="32"/>
    </row>
    <row r="67" customFormat="false" ht="15" hidden="false" customHeight="false" outlineLevel="0" collapsed="false">
      <c r="A67" s="27"/>
      <c r="B67" s="27"/>
      <c r="C67" s="27"/>
      <c r="D67" s="27"/>
      <c r="E67" s="32"/>
    </row>
    <row r="68" customFormat="false" ht="15" hidden="false" customHeight="false" outlineLevel="0" collapsed="false">
      <c r="A68" s="27"/>
      <c r="B68" s="27"/>
      <c r="C68" s="27"/>
      <c r="D68" s="27"/>
      <c r="E68" s="32"/>
    </row>
    <row r="69" customFormat="false" ht="15" hidden="false" customHeight="false" outlineLevel="0" collapsed="false">
      <c r="A69" s="27"/>
      <c r="B69" s="27"/>
      <c r="C69" s="27"/>
      <c r="D69" s="27"/>
      <c r="E69" s="32"/>
    </row>
    <row r="70" customFormat="false" ht="15" hidden="false" customHeight="false" outlineLevel="0" collapsed="false">
      <c r="A70" s="27"/>
      <c r="B70" s="27"/>
      <c r="C70" s="27"/>
      <c r="D70" s="27"/>
      <c r="E70" s="32"/>
    </row>
    <row r="71" customFormat="false" ht="15" hidden="false" customHeight="false" outlineLevel="0" collapsed="false">
      <c r="A71" s="27"/>
      <c r="B71" s="27"/>
      <c r="C71" s="27"/>
      <c r="D71" s="27"/>
      <c r="E71" s="32"/>
    </row>
    <row r="72" customFormat="false" ht="15" hidden="false" customHeight="false" outlineLevel="0" collapsed="false">
      <c r="A72" s="27"/>
      <c r="B72" s="27"/>
      <c r="C72" s="27"/>
      <c r="D72" s="27"/>
      <c r="E72" s="32"/>
    </row>
    <row r="73" customFormat="false" ht="15" hidden="false" customHeight="false" outlineLevel="0" collapsed="false">
      <c r="A73" s="27"/>
      <c r="B73" s="27"/>
      <c r="C73" s="27"/>
      <c r="D73" s="27"/>
      <c r="E73" s="32"/>
    </row>
    <row r="74" customFormat="false" ht="15" hidden="false" customHeight="false" outlineLevel="0" collapsed="false">
      <c r="A74" s="27"/>
      <c r="B74" s="27"/>
      <c r="C74" s="27"/>
      <c r="D74" s="27"/>
      <c r="E74" s="32"/>
    </row>
    <row r="75" customFormat="false" ht="15" hidden="false" customHeight="false" outlineLevel="0" collapsed="false">
      <c r="A75" s="27"/>
      <c r="B75" s="27"/>
      <c r="C75" s="27"/>
      <c r="D75" s="27"/>
      <c r="E75" s="32"/>
    </row>
    <row r="76" customFormat="false" ht="15" hidden="false" customHeight="false" outlineLevel="0" collapsed="false">
      <c r="A76" s="27"/>
      <c r="B76" s="27"/>
      <c r="C76" s="27"/>
      <c r="D76" s="27"/>
      <c r="E76" s="32"/>
    </row>
    <row r="77" customFormat="false" ht="15" hidden="false" customHeight="false" outlineLevel="0" collapsed="false">
      <c r="A77" s="27"/>
      <c r="B77" s="27"/>
      <c r="C77" s="27"/>
      <c r="D77" s="27"/>
      <c r="E77" s="32"/>
    </row>
    <row r="78" customFormat="false" ht="15" hidden="false" customHeight="false" outlineLevel="0" collapsed="false">
      <c r="A78" s="27"/>
      <c r="B78" s="27"/>
      <c r="C78" s="27"/>
      <c r="D78" s="27"/>
      <c r="E78" s="32"/>
    </row>
    <row r="79" customFormat="false" ht="15" hidden="false" customHeight="false" outlineLevel="0" collapsed="false">
      <c r="A79" s="27"/>
      <c r="B79" s="27"/>
      <c r="C79" s="27"/>
      <c r="D79" s="27"/>
      <c r="E79" s="32"/>
    </row>
    <row r="80" customFormat="false" ht="15" hidden="false" customHeight="false" outlineLevel="0" collapsed="false">
      <c r="A80" s="27"/>
      <c r="B80" s="27"/>
      <c r="C80" s="27"/>
      <c r="D80" s="27"/>
      <c r="E80" s="32"/>
    </row>
    <row r="81" customFormat="false" ht="15" hidden="false" customHeight="false" outlineLevel="0" collapsed="false">
      <c r="A81" s="27"/>
      <c r="B81" s="27"/>
      <c r="C81" s="27"/>
      <c r="D81" s="27"/>
      <c r="E81" s="32"/>
    </row>
    <row r="82" customFormat="false" ht="15" hidden="false" customHeight="false" outlineLevel="0" collapsed="false">
      <c r="A82" s="27"/>
      <c r="B82" s="27"/>
      <c r="C82" s="27"/>
      <c r="D82" s="27"/>
      <c r="E82" s="32"/>
    </row>
    <row r="83" customFormat="false" ht="15" hidden="false" customHeight="false" outlineLevel="0" collapsed="false">
      <c r="A83" s="27"/>
      <c r="B83" s="27"/>
      <c r="C83" s="27"/>
      <c r="D83" s="27"/>
      <c r="E83" s="32"/>
    </row>
    <row r="84" customFormat="false" ht="15" hidden="false" customHeight="false" outlineLevel="0" collapsed="false">
      <c r="A84" s="27"/>
      <c r="B84" s="27"/>
      <c r="C84" s="27"/>
      <c r="D84" s="27"/>
      <c r="E84" s="32"/>
    </row>
    <row r="85" customFormat="false" ht="15" hidden="false" customHeight="false" outlineLevel="0" collapsed="false">
      <c r="A85" s="27"/>
      <c r="B85" s="27"/>
      <c r="C85" s="27"/>
      <c r="D85" s="27"/>
      <c r="E85" s="32"/>
    </row>
    <row r="86" customFormat="false" ht="15" hidden="false" customHeight="false" outlineLevel="0" collapsed="false">
      <c r="A86" s="27"/>
      <c r="B86" s="27"/>
      <c r="C86" s="27"/>
      <c r="D86" s="27"/>
      <c r="E86" s="32"/>
    </row>
    <row r="87" customFormat="false" ht="15" hidden="false" customHeight="false" outlineLevel="0" collapsed="false">
      <c r="A87" s="27"/>
      <c r="B87" s="27"/>
      <c r="C87" s="27"/>
      <c r="D87" s="27"/>
      <c r="E87" s="32"/>
    </row>
    <row r="88" customFormat="false" ht="15" hidden="false" customHeight="false" outlineLevel="0" collapsed="false">
      <c r="A88" s="27"/>
      <c r="B88" s="27"/>
      <c r="C88" s="27"/>
      <c r="D88" s="27"/>
      <c r="E88" s="32"/>
    </row>
    <row r="89" customFormat="false" ht="15" hidden="false" customHeight="false" outlineLevel="0" collapsed="false">
      <c r="A89" s="27"/>
      <c r="B89" s="27"/>
      <c r="C89" s="27"/>
      <c r="D89" s="27"/>
      <c r="E89" s="32"/>
    </row>
    <row r="90" customFormat="false" ht="15" hidden="false" customHeight="false" outlineLevel="0" collapsed="false">
      <c r="A90" s="27"/>
      <c r="B90" s="27"/>
      <c r="C90" s="27"/>
      <c r="D90" s="27"/>
      <c r="E90" s="32"/>
    </row>
    <row r="91" customFormat="false" ht="15" hidden="false" customHeight="false" outlineLevel="0" collapsed="false">
      <c r="A91" s="27"/>
      <c r="B91" s="27"/>
      <c r="C91" s="27"/>
      <c r="D91" s="27"/>
      <c r="E91" s="32"/>
    </row>
    <row r="92" customFormat="false" ht="15" hidden="false" customHeight="false" outlineLevel="0" collapsed="false">
      <c r="A92" s="27"/>
      <c r="B92" s="27"/>
      <c r="C92" s="27"/>
      <c r="D92" s="27"/>
      <c r="E92" s="32"/>
    </row>
    <row r="93" customFormat="false" ht="15" hidden="false" customHeight="false" outlineLevel="0" collapsed="false">
      <c r="A93" s="27"/>
      <c r="B93" s="27"/>
      <c r="C93" s="27"/>
      <c r="D93" s="27"/>
      <c r="E93" s="32"/>
    </row>
    <row r="94" customFormat="false" ht="15" hidden="false" customHeight="false" outlineLevel="0" collapsed="false">
      <c r="A94" s="27"/>
      <c r="B94" s="27"/>
      <c r="C94" s="27"/>
      <c r="D94" s="27"/>
      <c r="E94" s="32"/>
    </row>
    <row r="95" customFormat="false" ht="15" hidden="false" customHeight="false" outlineLevel="0" collapsed="false">
      <c r="A95" s="27"/>
      <c r="B95" s="27"/>
      <c r="C95" s="27"/>
      <c r="D95" s="27"/>
      <c r="E95" s="32"/>
    </row>
    <row r="96" customFormat="false" ht="15" hidden="false" customHeight="false" outlineLevel="0" collapsed="false">
      <c r="A96" s="27"/>
      <c r="B96" s="27"/>
      <c r="C96" s="27"/>
      <c r="D96" s="27"/>
      <c r="E96" s="32"/>
    </row>
    <row r="97" customFormat="false" ht="15" hidden="false" customHeight="false" outlineLevel="0" collapsed="false">
      <c r="A97" s="27"/>
      <c r="B97" s="27"/>
      <c r="C97" s="27"/>
      <c r="D97" s="27"/>
      <c r="E97" s="32"/>
    </row>
    <row r="98" customFormat="false" ht="15" hidden="false" customHeight="false" outlineLevel="0" collapsed="false">
      <c r="A98" s="27"/>
      <c r="B98" s="27"/>
      <c r="C98" s="27"/>
      <c r="D98" s="27"/>
      <c r="E98" s="32"/>
    </row>
    <row r="99" customFormat="false" ht="15" hidden="false" customHeight="false" outlineLevel="0" collapsed="false">
      <c r="A99" s="27"/>
      <c r="B99" s="27"/>
      <c r="C99" s="27"/>
      <c r="D99" s="27"/>
      <c r="E99" s="32"/>
    </row>
    <row r="100" customFormat="false" ht="15" hidden="false" customHeight="false" outlineLevel="0" collapsed="false">
      <c r="A100" s="27"/>
      <c r="B100" s="27"/>
      <c r="C100" s="27"/>
      <c r="D100" s="27"/>
      <c r="E100" s="32"/>
    </row>
    <row r="101" customFormat="false" ht="15" hidden="false" customHeight="false" outlineLevel="0" collapsed="false">
      <c r="A101" s="27"/>
      <c r="B101" s="27"/>
      <c r="C101" s="27"/>
      <c r="D101" s="27"/>
      <c r="E101" s="32"/>
    </row>
    <row r="102" customFormat="false" ht="15" hidden="false" customHeight="false" outlineLevel="0" collapsed="false">
      <c r="A102" s="27"/>
      <c r="B102" s="27"/>
      <c r="C102" s="27"/>
      <c r="D102" s="27"/>
      <c r="E102" s="32"/>
    </row>
    <row r="103" customFormat="false" ht="15" hidden="false" customHeight="false" outlineLevel="0" collapsed="false">
      <c r="A103" s="27"/>
      <c r="B103" s="27"/>
      <c r="C103" s="27"/>
      <c r="D103" s="27"/>
      <c r="E103" s="32"/>
    </row>
    <row r="104" customFormat="false" ht="15" hidden="false" customHeight="false" outlineLevel="0" collapsed="false">
      <c r="A104" s="27"/>
      <c r="B104" s="27"/>
      <c r="C104" s="27"/>
      <c r="D104" s="27"/>
      <c r="E104" s="32"/>
    </row>
    <row r="105" customFormat="false" ht="15" hidden="false" customHeight="false" outlineLevel="0" collapsed="false">
      <c r="A105" s="27"/>
      <c r="B105" s="27"/>
      <c r="C105" s="27"/>
      <c r="D105" s="27"/>
      <c r="E105" s="32"/>
    </row>
    <row r="106" customFormat="false" ht="15" hidden="false" customHeight="false" outlineLevel="0" collapsed="false">
      <c r="A106" s="27"/>
      <c r="B106" s="27"/>
      <c r="C106" s="27"/>
      <c r="D106" s="27"/>
      <c r="E106" s="32"/>
    </row>
    <row r="107" customFormat="false" ht="15" hidden="false" customHeight="false" outlineLevel="0" collapsed="false">
      <c r="A107" s="27"/>
      <c r="B107" s="27"/>
      <c r="C107" s="27"/>
      <c r="D107" s="27"/>
      <c r="E107" s="32"/>
    </row>
    <row r="108" customFormat="false" ht="15" hidden="false" customHeight="false" outlineLevel="0" collapsed="false">
      <c r="A108" s="27"/>
      <c r="B108" s="27"/>
      <c r="C108" s="27"/>
      <c r="D108" s="27"/>
      <c r="E108" s="32"/>
    </row>
    <row r="109" customFormat="false" ht="15" hidden="false" customHeight="false" outlineLevel="0" collapsed="false">
      <c r="A109" s="27"/>
      <c r="B109" s="27"/>
      <c r="C109" s="27"/>
      <c r="D109" s="27"/>
      <c r="E109" s="32"/>
    </row>
    <row r="110" customFormat="false" ht="15" hidden="false" customHeight="false" outlineLevel="0" collapsed="false">
      <c r="A110" s="27"/>
      <c r="B110" s="27"/>
      <c r="C110" s="27"/>
      <c r="D110" s="27"/>
      <c r="E110" s="32"/>
    </row>
    <row r="111" customFormat="false" ht="15" hidden="false" customHeight="false" outlineLevel="0" collapsed="false">
      <c r="A111" s="27"/>
      <c r="B111" s="27"/>
      <c r="C111" s="27"/>
      <c r="D111" s="27"/>
      <c r="E111" s="32"/>
    </row>
    <row r="112" customFormat="false" ht="15" hidden="false" customHeight="false" outlineLevel="0" collapsed="false">
      <c r="A112" s="27"/>
      <c r="B112" s="27"/>
      <c r="C112" s="27"/>
      <c r="D112" s="27"/>
      <c r="E112" s="32"/>
    </row>
    <row r="113" customFormat="false" ht="15" hidden="false" customHeight="false" outlineLevel="0" collapsed="false">
      <c r="A113" s="27"/>
      <c r="B113" s="27"/>
      <c r="C113" s="27"/>
      <c r="D113" s="27"/>
      <c r="E113" s="32"/>
    </row>
    <row r="114" customFormat="false" ht="15" hidden="false" customHeight="false" outlineLevel="0" collapsed="false">
      <c r="A114" s="27"/>
      <c r="B114" s="27"/>
      <c r="C114" s="27"/>
      <c r="D114" s="27"/>
      <c r="E114" s="32"/>
    </row>
    <row r="115" customFormat="false" ht="15" hidden="false" customHeight="false" outlineLevel="0" collapsed="false">
      <c r="A115" s="27"/>
      <c r="B115" s="27"/>
      <c r="C115" s="27"/>
      <c r="D115" s="27"/>
      <c r="E115" s="32"/>
    </row>
    <row r="116" customFormat="false" ht="15" hidden="false" customHeight="false" outlineLevel="0" collapsed="false">
      <c r="A116" s="27"/>
      <c r="B116" s="27"/>
      <c r="C116" s="27"/>
      <c r="D116" s="27"/>
      <c r="E116" s="32"/>
    </row>
    <row r="117" customFormat="false" ht="15" hidden="false" customHeight="false" outlineLevel="0" collapsed="false">
      <c r="A117" s="27"/>
      <c r="B117" s="27"/>
      <c r="C117" s="27"/>
      <c r="D117" s="27"/>
      <c r="E117" s="32"/>
    </row>
    <row r="118" customFormat="false" ht="15" hidden="false" customHeight="false" outlineLevel="0" collapsed="false">
      <c r="A118" s="27"/>
      <c r="B118" s="27"/>
      <c r="C118" s="27"/>
      <c r="D118" s="27"/>
      <c r="E118" s="32"/>
    </row>
    <row r="119" customFormat="false" ht="15" hidden="false" customHeight="false" outlineLevel="0" collapsed="false">
      <c r="A119" s="27"/>
      <c r="B119" s="27"/>
      <c r="C119" s="27"/>
      <c r="D119" s="27"/>
      <c r="E119" s="32"/>
    </row>
    <row r="120" customFormat="false" ht="15" hidden="false" customHeight="false" outlineLevel="0" collapsed="false">
      <c r="A120" s="27"/>
      <c r="B120" s="27"/>
      <c r="C120" s="27"/>
      <c r="D120" s="27"/>
      <c r="E120" s="32"/>
    </row>
    <row r="121" customFormat="false" ht="15" hidden="false" customHeight="false" outlineLevel="0" collapsed="false">
      <c r="A121" s="27"/>
      <c r="B121" s="27"/>
      <c r="C121" s="27"/>
      <c r="D121" s="27"/>
      <c r="E121" s="32"/>
    </row>
    <row r="122" customFormat="false" ht="15" hidden="false" customHeight="false" outlineLevel="0" collapsed="false">
      <c r="A122" s="27"/>
      <c r="B122" s="27"/>
      <c r="C122" s="27"/>
      <c r="D122" s="27"/>
      <c r="E122" s="32"/>
    </row>
    <row r="123" customFormat="false" ht="15" hidden="false" customHeight="false" outlineLevel="0" collapsed="false">
      <c r="A123" s="27"/>
      <c r="B123" s="27"/>
      <c r="C123" s="27"/>
      <c r="D123" s="27"/>
      <c r="E123" s="32"/>
    </row>
    <row r="124" customFormat="false" ht="15" hidden="false" customHeight="false" outlineLevel="0" collapsed="false">
      <c r="A124" s="27"/>
      <c r="B124" s="27"/>
      <c r="C124" s="27"/>
      <c r="D124" s="27"/>
      <c r="E124" s="32"/>
    </row>
    <row r="125" customFormat="false" ht="15" hidden="false" customHeight="false" outlineLevel="0" collapsed="false">
      <c r="A125" s="27"/>
      <c r="B125" s="27"/>
      <c r="C125" s="27"/>
      <c r="D125" s="27"/>
      <c r="E125" s="32"/>
    </row>
    <row r="126" customFormat="false" ht="15" hidden="false" customHeight="false" outlineLevel="0" collapsed="false">
      <c r="A126" s="27"/>
      <c r="B126" s="27"/>
      <c r="C126" s="27"/>
      <c r="D126" s="27"/>
      <c r="E126" s="32"/>
    </row>
    <row r="127" customFormat="false" ht="15" hidden="false" customHeight="false" outlineLevel="0" collapsed="false">
      <c r="A127" s="27"/>
      <c r="B127" s="27"/>
      <c r="C127" s="27"/>
      <c r="D127" s="27"/>
      <c r="E127" s="32"/>
    </row>
    <row r="128" customFormat="false" ht="15" hidden="false" customHeight="false" outlineLevel="0" collapsed="false">
      <c r="A128" s="27"/>
      <c r="B128" s="27"/>
      <c r="C128" s="27"/>
      <c r="D128" s="27"/>
      <c r="E128" s="32"/>
    </row>
    <row r="129" customFormat="false" ht="15" hidden="false" customHeight="false" outlineLevel="0" collapsed="false">
      <c r="A129" s="27"/>
      <c r="B129" s="27"/>
      <c r="C129" s="27"/>
      <c r="D129" s="27"/>
      <c r="E129" s="32"/>
    </row>
    <row r="130" customFormat="false" ht="15" hidden="false" customHeight="false" outlineLevel="0" collapsed="false">
      <c r="A130" s="27"/>
      <c r="B130" s="27"/>
      <c r="C130" s="27"/>
      <c r="D130" s="27"/>
      <c r="E130" s="32"/>
    </row>
    <row r="131" customFormat="false" ht="15" hidden="false" customHeight="false" outlineLevel="0" collapsed="false">
      <c r="A131" s="27"/>
      <c r="B131" s="27"/>
      <c r="C131" s="27"/>
      <c r="D131" s="27"/>
      <c r="E131" s="32"/>
    </row>
    <row r="132" customFormat="false" ht="15" hidden="false" customHeight="false" outlineLevel="0" collapsed="false">
      <c r="A132" s="27"/>
      <c r="B132" s="27"/>
      <c r="C132" s="27"/>
      <c r="D132" s="27"/>
      <c r="E132" s="32"/>
    </row>
    <row r="133" customFormat="false" ht="15" hidden="false" customHeight="false" outlineLevel="0" collapsed="false">
      <c r="A133" s="27"/>
      <c r="B133" s="27"/>
      <c r="C133" s="27"/>
      <c r="D133" s="27"/>
      <c r="E133" s="32"/>
    </row>
    <row r="134" customFormat="false" ht="15" hidden="false" customHeight="false" outlineLevel="0" collapsed="false">
      <c r="A134" s="27"/>
      <c r="B134" s="27"/>
      <c r="C134" s="27"/>
      <c r="D134" s="27"/>
      <c r="E134" s="32"/>
    </row>
    <row r="135" customFormat="false" ht="15" hidden="false" customHeight="false" outlineLevel="0" collapsed="false">
      <c r="A135" s="27"/>
      <c r="B135" s="27"/>
      <c r="C135" s="27"/>
      <c r="D135" s="27"/>
      <c r="E135" s="32"/>
    </row>
    <row r="136" customFormat="false" ht="15" hidden="false" customHeight="false" outlineLevel="0" collapsed="false">
      <c r="A136" s="27"/>
      <c r="B136" s="27"/>
      <c r="C136" s="27"/>
      <c r="D136" s="27"/>
      <c r="E136" s="32"/>
    </row>
    <row r="137" customFormat="false" ht="15" hidden="false" customHeight="false" outlineLevel="0" collapsed="false">
      <c r="A137" s="27"/>
      <c r="B137" s="27"/>
      <c r="C137" s="27"/>
      <c r="D137" s="27"/>
      <c r="E137" s="32"/>
    </row>
    <row r="138" customFormat="false" ht="15" hidden="false" customHeight="false" outlineLevel="0" collapsed="false">
      <c r="A138" s="27"/>
      <c r="B138" s="27"/>
      <c r="C138" s="27"/>
      <c r="D138" s="27"/>
      <c r="E138" s="32"/>
    </row>
    <row r="139" customFormat="false" ht="15" hidden="false" customHeight="false" outlineLevel="0" collapsed="false">
      <c r="A139" s="27"/>
      <c r="B139" s="27"/>
      <c r="C139" s="27"/>
      <c r="D139" s="27"/>
      <c r="E139" s="32"/>
    </row>
    <row r="140" customFormat="false" ht="15" hidden="false" customHeight="false" outlineLevel="0" collapsed="false">
      <c r="A140" s="27"/>
      <c r="B140" s="27"/>
      <c r="C140" s="27"/>
      <c r="D140" s="27"/>
      <c r="E140" s="32"/>
    </row>
    <row r="141" customFormat="false" ht="15" hidden="false" customHeight="false" outlineLevel="0" collapsed="false">
      <c r="A141" s="27"/>
      <c r="B141" s="27"/>
      <c r="C141" s="27"/>
      <c r="D141" s="27"/>
      <c r="E141" s="32"/>
    </row>
    <row r="142" customFormat="false" ht="15" hidden="false" customHeight="false" outlineLevel="0" collapsed="false">
      <c r="A142" s="27"/>
      <c r="B142" s="27"/>
      <c r="C142" s="27"/>
      <c r="D142" s="27"/>
      <c r="E142" s="32"/>
    </row>
    <row r="143" customFormat="false" ht="15" hidden="false" customHeight="false" outlineLevel="0" collapsed="false">
      <c r="A143" s="27"/>
      <c r="B143" s="27"/>
      <c r="C143" s="27"/>
      <c r="D143" s="27"/>
      <c r="E143" s="32"/>
    </row>
    <row r="144" customFormat="false" ht="15" hidden="false" customHeight="false" outlineLevel="0" collapsed="false">
      <c r="A144" s="27"/>
      <c r="B144" s="27"/>
      <c r="C144" s="27"/>
      <c r="D144" s="27"/>
      <c r="E144" s="32"/>
    </row>
    <row r="145" customFormat="false" ht="15" hidden="false" customHeight="false" outlineLevel="0" collapsed="false">
      <c r="A145" s="27"/>
      <c r="B145" s="27"/>
      <c r="C145" s="27"/>
      <c r="D145" s="27"/>
      <c r="E145" s="32"/>
    </row>
    <row r="146" customFormat="false" ht="15" hidden="false" customHeight="false" outlineLevel="0" collapsed="false">
      <c r="A146" s="27"/>
      <c r="B146" s="27"/>
      <c r="C146" s="27"/>
      <c r="D146" s="27"/>
      <c r="E146" s="32"/>
    </row>
    <row r="147" customFormat="false" ht="15" hidden="false" customHeight="false" outlineLevel="0" collapsed="false">
      <c r="A147" s="27"/>
      <c r="B147" s="27"/>
      <c r="C147" s="27"/>
      <c r="D147" s="27"/>
      <c r="E147" s="32"/>
    </row>
    <row r="148" customFormat="false" ht="15" hidden="false" customHeight="false" outlineLevel="0" collapsed="false">
      <c r="A148" s="27"/>
      <c r="B148" s="27"/>
      <c r="C148" s="27"/>
      <c r="D148" s="27"/>
      <c r="E148" s="32"/>
    </row>
    <row r="149" customFormat="false" ht="15" hidden="false" customHeight="false" outlineLevel="0" collapsed="false">
      <c r="A149" s="27"/>
      <c r="B149" s="27"/>
      <c r="C149" s="27"/>
      <c r="D149" s="27"/>
      <c r="E149" s="32"/>
    </row>
    <row r="150" customFormat="false" ht="15" hidden="false" customHeight="false" outlineLevel="0" collapsed="false">
      <c r="A150" s="27"/>
      <c r="B150" s="27"/>
      <c r="C150" s="27"/>
      <c r="D150" s="27"/>
      <c r="E150" s="32"/>
    </row>
    <row r="151" customFormat="false" ht="15" hidden="false" customHeight="false" outlineLevel="0" collapsed="false">
      <c r="A151" s="27"/>
      <c r="B151" s="27"/>
      <c r="C151" s="27"/>
      <c r="D151" s="27"/>
      <c r="E151" s="32"/>
    </row>
    <row r="152" customFormat="false" ht="15" hidden="false" customHeight="false" outlineLevel="0" collapsed="false">
      <c r="A152" s="27"/>
      <c r="B152" s="27"/>
      <c r="C152" s="27"/>
      <c r="D152" s="27"/>
      <c r="E152" s="32"/>
    </row>
    <row r="153" customFormat="false" ht="15" hidden="false" customHeight="false" outlineLevel="0" collapsed="false">
      <c r="A153" s="27"/>
      <c r="B153" s="27"/>
      <c r="C153" s="27"/>
      <c r="D153" s="27"/>
      <c r="E153" s="32"/>
    </row>
    <row r="154" customFormat="false" ht="15" hidden="false" customHeight="false" outlineLevel="0" collapsed="false">
      <c r="A154" s="27"/>
      <c r="B154" s="27"/>
      <c r="C154" s="27"/>
      <c r="D154" s="27"/>
      <c r="E154" s="32"/>
    </row>
    <row r="155" customFormat="false" ht="15" hidden="false" customHeight="false" outlineLevel="0" collapsed="false">
      <c r="A155" s="27"/>
      <c r="B155" s="27"/>
      <c r="C155" s="27"/>
      <c r="D155" s="27"/>
      <c r="E155" s="32"/>
    </row>
    <row r="156" customFormat="false" ht="15" hidden="false" customHeight="false" outlineLevel="0" collapsed="false">
      <c r="A156" s="27"/>
      <c r="B156" s="27"/>
      <c r="C156" s="27"/>
      <c r="D156" s="27"/>
      <c r="E156" s="32"/>
    </row>
    <row r="157" customFormat="false" ht="15" hidden="false" customHeight="false" outlineLevel="0" collapsed="false">
      <c r="A157" s="27"/>
      <c r="B157" s="27"/>
      <c r="C157" s="27"/>
      <c r="D157" s="27"/>
      <c r="E157" s="32"/>
    </row>
    <row r="158" customFormat="false" ht="15" hidden="false" customHeight="false" outlineLevel="0" collapsed="false">
      <c r="A158" s="27"/>
      <c r="B158" s="27"/>
      <c r="C158" s="27"/>
      <c r="D158" s="27"/>
      <c r="E158" s="32"/>
    </row>
    <row r="159" customFormat="false" ht="15" hidden="false" customHeight="false" outlineLevel="0" collapsed="false">
      <c r="A159" s="27"/>
      <c r="B159" s="27"/>
      <c r="C159" s="27"/>
      <c r="D159" s="27"/>
      <c r="E159" s="32"/>
    </row>
    <row r="160" customFormat="false" ht="15" hidden="false" customHeight="false" outlineLevel="0" collapsed="false">
      <c r="A160" s="27"/>
      <c r="B160" s="27"/>
      <c r="C160" s="27"/>
      <c r="D160" s="27"/>
      <c r="E160" s="32"/>
    </row>
    <row r="161" customFormat="false" ht="15" hidden="false" customHeight="false" outlineLevel="0" collapsed="false">
      <c r="A161" s="27"/>
      <c r="B161" s="27"/>
      <c r="C161" s="27"/>
      <c r="D161" s="27"/>
      <c r="E161" s="32"/>
    </row>
    <row r="162" customFormat="false" ht="15" hidden="false" customHeight="false" outlineLevel="0" collapsed="false">
      <c r="A162" s="27"/>
      <c r="B162" s="27"/>
      <c r="C162" s="27"/>
      <c r="D162" s="27"/>
      <c r="E162" s="32"/>
    </row>
    <row r="163" customFormat="false" ht="15" hidden="false" customHeight="false" outlineLevel="0" collapsed="false">
      <c r="A163" s="27"/>
      <c r="B163" s="27"/>
      <c r="C163" s="27"/>
      <c r="D163" s="27"/>
      <c r="E163" s="32"/>
    </row>
    <row r="164" customFormat="false" ht="15" hidden="false" customHeight="false" outlineLevel="0" collapsed="false">
      <c r="A164" s="27"/>
      <c r="B164" s="27"/>
      <c r="C164" s="27"/>
      <c r="D164" s="27"/>
      <c r="E164" s="32"/>
    </row>
    <row r="165" customFormat="false" ht="15" hidden="false" customHeight="false" outlineLevel="0" collapsed="false">
      <c r="A165" s="27"/>
      <c r="B165" s="27"/>
      <c r="C165" s="27"/>
      <c r="D165" s="27"/>
      <c r="E165" s="32"/>
    </row>
    <row r="166" customFormat="false" ht="15" hidden="false" customHeight="false" outlineLevel="0" collapsed="false">
      <c r="A166" s="27"/>
      <c r="B166" s="27"/>
      <c r="C166" s="27"/>
      <c r="D166" s="27"/>
      <c r="E166" s="32"/>
    </row>
    <row r="167" customFormat="false" ht="15" hidden="false" customHeight="false" outlineLevel="0" collapsed="false">
      <c r="A167" s="27"/>
      <c r="B167" s="27"/>
      <c r="C167" s="27"/>
      <c r="D167" s="27"/>
      <c r="E167" s="32"/>
    </row>
    <row r="168" customFormat="false" ht="15" hidden="false" customHeight="false" outlineLevel="0" collapsed="false">
      <c r="A168" s="27"/>
      <c r="B168" s="27"/>
      <c r="C168" s="27"/>
      <c r="D168" s="27"/>
      <c r="E168" s="32"/>
    </row>
    <row r="169" customFormat="false" ht="15" hidden="false" customHeight="false" outlineLevel="0" collapsed="false">
      <c r="A169" s="27"/>
      <c r="B169" s="27"/>
      <c r="C169" s="27"/>
      <c r="D169" s="27"/>
      <c r="E169" s="32"/>
    </row>
    <row r="170" customFormat="false" ht="15" hidden="false" customHeight="false" outlineLevel="0" collapsed="false">
      <c r="A170" s="27"/>
      <c r="B170" s="27"/>
      <c r="C170" s="27"/>
      <c r="D170" s="27"/>
      <c r="E170" s="32"/>
    </row>
    <row r="171" customFormat="false" ht="15" hidden="false" customHeight="false" outlineLevel="0" collapsed="false">
      <c r="A171" s="27"/>
      <c r="B171" s="27"/>
      <c r="C171" s="27"/>
      <c r="D171" s="27"/>
      <c r="E171" s="32"/>
    </row>
    <row r="172" customFormat="false" ht="15" hidden="false" customHeight="false" outlineLevel="0" collapsed="false">
      <c r="A172" s="27"/>
      <c r="B172" s="27"/>
      <c r="C172" s="27"/>
      <c r="D172" s="27"/>
      <c r="E172" s="32"/>
    </row>
    <row r="173" customFormat="false" ht="15" hidden="false" customHeight="false" outlineLevel="0" collapsed="false">
      <c r="A173" s="27"/>
      <c r="B173" s="27"/>
      <c r="C173" s="27"/>
      <c r="D173" s="27"/>
      <c r="E173" s="32"/>
    </row>
    <row r="174" customFormat="false" ht="15" hidden="false" customHeight="false" outlineLevel="0" collapsed="false">
      <c r="A174" s="27"/>
      <c r="B174" s="27"/>
      <c r="C174" s="27"/>
      <c r="D174" s="27"/>
      <c r="E174" s="32"/>
    </row>
    <row r="175" customFormat="false" ht="15" hidden="false" customHeight="false" outlineLevel="0" collapsed="false">
      <c r="A175" s="27"/>
      <c r="B175" s="27"/>
      <c r="C175" s="27"/>
      <c r="D175" s="27"/>
      <c r="E175" s="32"/>
    </row>
    <row r="176" customFormat="false" ht="15" hidden="false" customHeight="false" outlineLevel="0" collapsed="false">
      <c r="A176" s="27"/>
      <c r="B176" s="27"/>
      <c r="C176" s="27"/>
      <c r="D176" s="27"/>
      <c r="E176" s="32"/>
    </row>
    <row r="177" customFormat="false" ht="15" hidden="false" customHeight="false" outlineLevel="0" collapsed="false">
      <c r="A177" s="27"/>
      <c r="B177" s="27"/>
      <c r="C177" s="27"/>
      <c r="D177" s="27"/>
      <c r="E177" s="32"/>
    </row>
    <row r="178" customFormat="false" ht="15" hidden="false" customHeight="false" outlineLevel="0" collapsed="false">
      <c r="A178" s="27"/>
      <c r="B178" s="27"/>
      <c r="C178" s="27"/>
      <c r="D178" s="27"/>
      <c r="E178" s="32"/>
    </row>
    <row r="179" customFormat="false" ht="15" hidden="false" customHeight="false" outlineLevel="0" collapsed="false">
      <c r="A179" s="27"/>
      <c r="B179" s="27"/>
      <c r="C179" s="27"/>
      <c r="D179" s="27"/>
      <c r="E179" s="32"/>
    </row>
    <row r="180" customFormat="false" ht="15" hidden="false" customHeight="false" outlineLevel="0" collapsed="false">
      <c r="A180" s="27"/>
      <c r="B180" s="27"/>
      <c r="C180" s="27"/>
      <c r="D180" s="27"/>
      <c r="E180" s="32"/>
    </row>
    <row r="181" customFormat="false" ht="15" hidden="false" customHeight="false" outlineLevel="0" collapsed="false">
      <c r="A181" s="27"/>
      <c r="B181" s="27"/>
      <c r="C181" s="27"/>
      <c r="D181" s="27"/>
      <c r="E181" s="32"/>
    </row>
    <row r="182" customFormat="false" ht="15" hidden="false" customHeight="false" outlineLevel="0" collapsed="false">
      <c r="A182" s="27"/>
      <c r="B182" s="27"/>
      <c r="C182" s="27"/>
      <c r="D182" s="27"/>
      <c r="E182" s="32"/>
    </row>
    <row r="183" customFormat="false" ht="15" hidden="false" customHeight="false" outlineLevel="0" collapsed="false">
      <c r="A183" s="27"/>
      <c r="B183" s="27"/>
      <c r="C183" s="27"/>
      <c r="D183" s="27"/>
      <c r="E183" s="32"/>
    </row>
    <row r="184" customFormat="false" ht="15" hidden="false" customHeight="false" outlineLevel="0" collapsed="false">
      <c r="A184" s="27"/>
      <c r="B184" s="27"/>
      <c r="C184" s="27"/>
      <c r="D184" s="27"/>
      <c r="E184" s="32"/>
    </row>
    <row r="185" customFormat="false" ht="15" hidden="false" customHeight="false" outlineLevel="0" collapsed="false">
      <c r="A185" s="27"/>
      <c r="B185" s="27"/>
      <c r="C185" s="27"/>
      <c r="D185" s="27"/>
      <c r="E185" s="32"/>
    </row>
    <row r="186" customFormat="false" ht="15" hidden="false" customHeight="false" outlineLevel="0" collapsed="false">
      <c r="A186" s="27"/>
      <c r="B186" s="27"/>
      <c r="C186" s="27"/>
      <c r="D186" s="27"/>
      <c r="E186" s="32"/>
    </row>
    <row r="187" customFormat="false" ht="15" hidden="false" customHeight="false" outlineLevel="0" collapsed="false">
      <c r="A187" s="27"/>
      <c r="B187" s="27"/>
      <c r="C187" s="27"/>
      <c r="D187" s="27"/>
      <c r="E187" s="32"/>
    </row>
    <row r="188" customFormat="false" ht="15" hidden="false" customHeight="false" outlineLevel="0" collapsed="false">
      <c r="A188" s="27"/>
      <c r="B188" s="27"/>
      <c r="C188" s="27"/>
      <c r="D188" s="27"/>
      <c r="E188" s="32"/>
    </row>
    <row r="189" customFormat="false" ht="15" hidden="false" customHeight="false" outlineLevel="0" collapsed="false">
      <c r="A189" s="27"/>
      <c r="B189" s="27"/>
      <c r="C189" s="27"/>
      <c r="D189" s="27"/>
      <c r="E189" s="32"/>
    </row>
    <row r="190" customFormat="false" ht="15" hidden="false" customHeight="false" outlineLevel="0" collapsed="false">
      <c r="A190" s="27"/>
      <c r="B190" s="27"/>
      <c r="C190" s="27"/>
      <c r="D190" s="27"/>
      <c r="E190" s="32"/>
    </row>
    <row r="191" customFormat="false" ht="15" hidden="false" customHeight="false" outlineLevel="0" collapsed="false">
      <c r="A191" s="27"/>
      <c r="B191" s="27"/>
      <c r="C191" s="27"/>
      <c r="D191" s="27"/>
      <c r="E191" s="32"/>
    </row>
    <row r="192" customFormat="false" ht="15" hidden="false" customHeight="false" outlineLevel="0" collapsed="false">
      <c r="A192" s="27"/>
      <c r="B192" s="27"/>
      <c r="C192" s="27"/>
      <c r="D192" s="27"/>
      <c r="E192" s="32"/>
    </row>
    <row r="193" customFormat="false" ht="15" hidden="false" customHeight="false" outlineLevel="0" collapsed="false">
      <c r="A193" s="27"/>
      <c r="B193" s="27"/>
      <c r="C193" s="27"/>
      <c r="D193" s="27"/>
      <c r="E193" s="32"/>
    </row>
    <row r="194" customFormat="false" ht="15" hidden="false" customHeight="false" outlineLevel="0" collapsed="false">
      <c r="A194" s="27"/>
      <c r="B194" s="27"/>
      <c r="C194" s="27"/>
      <c r="D194" s="27"/>
      <c r="E194" s="32"/>
    </row>
    <row r="195" customFormat="false" ht="15" hidden="false" customHeight="false" outlineLevel="0" collapsed="false">
      <c r="A195" s="27"/>
      <c r="B195" s="27"/>
      <c r="C195" s="27"/>
      <c r="D195" s="27"/>
      <c r="E195" s="32"/>
    </row>
    <row r="196" customFormat="false" ht="15" hidden="false" customHeight="false" outlineLevel="0" collapsed="false">
      <c r="A196" s="27"/>
      <c r="B196" s="27"/>
      <c r="C196" s="27"/>
      <c r="D196" s="27"/>
      <c r="E196" s="32"/>
    </row>
    <row r="197" customFormat="false" ht="15" hidden="false" customHeight="false" outlineLevel="0" collapsed="false">
      <c r="A197" s="27"/>
      <c r="B197" s="27"/>
      <c r="C197" s="27"/>
      <c r="D197" s="27"/>
      <c r="E197" s="32"/>
    </row>
    <row r="198" customFormat="false" ht="15" hidden="false" customHeight="false" outlineLevel="0" collapsed="false">
      <c r="A198" s="27"/>
      <c r="B198" s="27"/>
      <c r="C198" s="27"/>
      <c r="D198" s="27"/>
      <c r="E198" s="32"/>
    </row>
    <row r="199" customFormat="false" ht="15" hidden="false" customHeight="false" outlineLevel="0" collapsed="false">
      <c r="A199" s="27"/>
      <c r="B199" s="27"/>
      <c r="C199" s="27"/>
      <c r="D199" s="27"/>
      <c r="E199" s="32"/>
    </row>
    <row r="200" customFormat="false" ht="15" hidden="false" customHeight="false" outlineLevel="0" collapsed="false">
      <c r="A200" s="27"/>
      <c r="B200" s="27"/>
      <c r="C200" s="27"/>
      <c r="D200" s="27"/>
      <c r="E200" s="32"/>
    </row>
    <row r="201" customFormat="false" ht="15" hidden="false" customHeight="false" outlineLevel="0" collapsed="false">
      <c r="A201" s="27"/>
      <c r="B201" s="27"/>
      <c r="C201" s="27"/>
      <c r="D201" s="27"/>
      <c r="E201" s="32"/>
    </row>
    <row r="202" customFormat="false" ht="15" hidden="false" customHeight="false" outlineLevel="0" collapsed="false">
      <c r="A202" s="27"/>
      <c r="B202" s="27"/>
      <c r="C202" s="27"/>
      <c r="D202" s="27"/>
      <c r="E202" s="32"/>
    </row>
    <row r="203" customFormat="false" ht="15" hidden="false" customHeight="false" outlineLevel="0" collapsed="false">
      <c r="A203" s="27"/>
      <c r="B203" s="27"/>
      <c r="C203" s="27"/>
      <c r="D203" s="27"/>
      <c r="E203" s="32"/>
    </row>
    <row r="204" customFormat="false" ht="15" hidden="false" customHeight="false" outlineLevel="0" collapsed="false">
      <c r="A204" s="27"/>
      <c r="B204" s="27"/>
      <c r="C204" s="27"/>
      <c r="D204" s="27"/>
      <c r="E204" s="32"/>
    </row>
    <row r="205" customFormat="false" ht="15" hidden="false" customHeight="false" outlineLevel="0" collapsed="false">
      <c r="A205" s="27"/>
      <c r="B205" s="27"/>
      <c r="C205" s="27"/>
      <c r="D205" s="27"/>
      <c r="E205" s="32"/>
    </row>
    <row r="206" customFormat="false" ht="15" hidden="false" customHeight="false" outlineLevel="0" collapsed="false">
      <c r="A206" s="27"/>
      <c r="B206" s="27"/>
      <c r="C206" s="27"/>
      <c r="D206" s="27"/>
      <c r="E206" s="32"/>
    </row>
    <row r="207" customFormat="false" ht="15" hidden="false" customHeight="false" outlineLevel="0" collapsed="false">
      <c r="A207" s="27"/>
      <c r="B207" s="27"/>
      <c r="C207" s="27"/>
      <c r="D207" s="27"/>
      <c r="E207" s="32"/>
    </row>
    <row r="208" customFormat="false" ht="15" hidden="false" customHeight="false" outlineLevel="0" collapsed="false">
      <c r="A208" s="27"/>
      <c r="B208" s="27"/>
      <c r="C208" s="27"/>
      <c r="D208" s="27"/>
      <c r="E208" s="32"/>
    </row>
    <row r="209" customFormat="false" ht="15" hidden="false" customHeight="false" outlineLevel="0" collapsed="false">
      <c r="A209" s="27"/>
      <c r="B209" s="27"/>
      <c r="C209" s="27"/>
      <c r="D209" s="27"/>
      <c r="E209" s="32"/>
    </row>
    <row r="210" customFormat="false" ht="15" hidden="false" customHeight="false" outlineLevel="0" collapsed="false">
      <c r="A210" s="27"/>
      <c r="B210" s="27"/>
      <c r="C210" s="27"/>
      <c r="D210" s="27"/>
      <c r="E210" s="32"/>
    </row>
    <row r="211" customFormat="false" ht="15" hidden="false" customHeight="false" outlineLevel="0" collapsed="false">
      <c r="A211" s="27"/>
      <c r="B211" s="27"/>
      <c r="C211" s="27"/>
      <c r="D211" s="27"/>
      <c r="E211" s="32"/>
    </row>
    <row r="212" customFormat="false" ht="15" hidden="false" customHeight="false" outlineLevel="0" collapsed="false">
      <c r="A212" s="27"/>
      <c r="B212" s="27"/>
      <c r="C212" s="27"/>
      <c r="D212" s="27"/>
      <c r="E212" s="32"/>
    </row>
    <row r="213" customFormat="false" ht="15" hidden="false" customHeight="false" outlineLevel="0" collapsed="false">
      <c r="A213" s="27"/>
      <c r="B213" s="27"/>
      <c r="C213" s="27"/>
      <c r="D213" s="27"/>
      <c r="E213" s="32"/>
    </row>
    <row r="214" customFormat="false" ht="15" hidden="false" customHeight="false" outlineLevel="0" collapsed="false">
      <c r="A214" s="27"/>
      <c r="B214" s="27"/>
      <c r="C214" s="27"/>
      <c r="D214" s="27"/>
      <c r="E214" s="32"/>
    </row>
    <row r="215" customFormat="false" ht="15" hidden="false" customHeight="false" outlineLevel="0" collapsed="false">
      <c r="A215" s="27"/>
      <c r="B215" s="27"/>
      <c r="C215" s="27"/>
      <c r="D215" s="27"/>
      <c r="E215" s="32"/>
    </row>
    <row r="216" customFormat="false" ht="15" hidden="false" customHeight="false" outlineLevel="0" collapsed="false">
      <c r="A216" s="27"/>
      <c r="B216" s="27"/>
      <c r="C216" s="27"/>
      <c r="D216" s="27"/>
      <c r="E216" s="32"/>
    </row>
    <row r="217" customFormat="false" ht="15" hidden="false" customHeight="false" outlineLevel="0" collapsed="false">
      <c r="A217" s="27"/>
      <c r="B217" s="27"/>
      <c r="C217" s="27"/>
      <c r="D217" s="27"/>
      <c r="E217" s="32"/>
    </row>
    <row r="218" customFormat="false" ht="15" hidden="false" customHeight="false" outlineLevel="0" collapsed="false">
      <c r="A218" s="27"/>
      <c r="B218" s="27"/>
      <c r="C218" s="27"/>
      <c r="D218" s="27"/>
      <c r="E218" s="32"/>
    </row>
    <row r="219" customFormat="false" ht="15" hidden="false" customHeight="false" outlineLevel="0" collapsed="false">
      <c r="A219" s="27"/>
      <c r="B219" s="27"/>
      <c r="C219" s="27"/>
      <c r="D219" s="27"/>
      <c r="E219" s="32"/>
    </row>
    <row r="220" customFormat="false" ht="15" hidden="false" customHeight="false" outlineLevel="0" collapsed="false">
      <c r="A220" s="27"/>
      <c r="B220" s="27"/>
      <c r="C220" s="27"/>
      <c r="D220" s="27"/>
      <c r="E220" s="32"/>
    </row>
    <row r="221" customFormat="false" ht="15" hidden="false" customHeight="false" outlineLevel="0" collapsed="false">
      <c r="A221" s="27"/>
      <c r="B221" s="27"/>
      <c r="C221" s="27"/>
      <c r="D221" s="27"/>
      <c r="E221" s="32"/>
    </row>
    <row r="222" customFormat="false" ht="15" hidden="false" customHeight="false" outlineLevel="0" collapsed="false">
      <c r="A222" s="27"/>
      <c r="B222" s="27"/>
      <c r="C222" s="27"/>
      <c r="D222" s="27"/>
      <c r="E222" s="32"/>
    </row>
    <row r="223" customFormat="false" ht="15" hidden="false" customHeight="false" outlineLevel="0" collapsed="false">
      <c r="A223" s="27"/>
      <c r="B223" s="27"/>
      <c r="C223" s="27"/>
      <c r="D223" s="27"/>
      <c r="E223" s="32"/>
    </row>
    <row r="224" customFormat="false" ht="15" hidden="false" customHeight="false" outlineLevel="0" collapsed="false">
      <c r="A224" s="27"/>
      <c r="B224" s="27"/>
      <c r="C224" s="27"/>
      <c r="D224" s="27"/>
      <c r="E224" s="32"/>
    </row>
    <row r="225" customFormat="false" ht="15" hidden="false" customHeight="false" outlineLevel="0" collapsed="false">
      <c r="A225" s="27"/>
      <c r="B225" s="27"/>
      <c r="C225" s="27"/>
      <c r="D225" s="27"/>
      <c r="E225" s="32"/>
    </row>
    <row r="226" customFormat="false" ht="15" hidden="false" customHeight="false" outlineLevel="0" collapsed="false">
      <c r="A226" s="27"/>
      <c r="B226" s="27"/>
      <c r="C226" s="27"/>
      <c r="D226" s="27"/>
      <c r="E226" s="32"/>
    </row>
    <row r="227" customFormat="false" ht="15" hidden="false" customHeight="false" outlineLevel="0" collapsed="false">
      <c r="A227" s="27"/>
      <c r="B227" s="27"/>
      <c r="C227" s="27"/>
      <c r="D227" s="27"/>
      <c r="E227" s="32"/>
    </row>
    <row r="228" customFormat="false" ht="15" hidden="false" customHeight="false" outlineLevel="0" collapsed="false">
      <c r="A228" s="27"/>
      <c r="B228" s="27"/>
      <c r="C228" s="27"/>
      <c r="D228" s="27"/>
      <c r="E228" s="32"/>
    </row>
    <row r="229" customFormat="false" ht="15" hidden="false" customHeight="false" outlineLevel="0" collapsed="false">
      <c r="A229" s="27"/>
      <c r="B229" s="27"/>
      <c r="C229" s="27"/>
      <c r="D229" s="27"/>
      <c r="E229" s="32"/>
    </row>
    <row r="230" customFormat="false" ht="15" hidden="false" customHeight="false" outlineLevel="0" collapsed="false">
      <c r="A230" s="27"/>
      <c r="B230" s="27"/>
      <c r="C230" s="27"/>
      <c r="D230" s="27"/>
      <c r="E230" s="32"/>
    </row>
    <row r="231" customFormat="false" ht="15" hidden="false" customHeight="false" outlineLevel="0" collapsed="false">
      <c r="A231" s="27"/>
      <c r="B231" s="27"/>
      <c r="C231" s="27"/>
      <c r="D231" s="27"/>
      <c r="E231" s="32"/>
    </row>
    <row r="232" customFormat="false" ht="15" hidden="false" customHeight="false" outlineLevel="0" collapsed="false">
      <c r="A232" s="27"/>
      <c r="B232" s="27"/>
      <c r="C232" s="27"/>
      <c r="D232" s="27"/>
      <c r="E232" s="32"/>
    </row>
    <row r="233" customFormat="false" ht="15" hidden="false" customHeight="false" outlineLevel="0" collapsed="false">
      <c r="A233" s="27"/>
      <c r="B233" s="27"/>
      <c r="C233" s="27"/>
      <c r="D233" s="27"/>
      <c r="E233" s="32"/>
    </row>
    <row r="234" customFormat="false" ht="15" hidden="false" customHeight="false" outlineLevel="0" collapsed="false">
      <c r="A234" s="27"/>
      <c r="B234" s="27"/>
      <c r="C234" s="27"/>
      <c r="D234" s="27"/>
      <c r="E234" s="32"/>
    </row>
    <row r="235" customFormat="false" ht="15" hidden="false" customHeight="false" outlineLevel="0" collapsed="false">
      <c r="A235" s="27"/>
      <c r="B235" s="27"/>
      <c r="C235" s="27"/>
      <c r="D235" s="27"/>
      <c r="E235" s="32"/>
    </row>
    <row r="236" customFormat="false" ht="15" hidden="false" customHeight="false" outlineLevel="0" collapsed="false">
      <c r="A236" s="27"/>
      <c r="B236" s="27"/>
      <c r="C236" s="27"/>
      <c r="D236" s="27"/>
      <c r="E236" s="32"/>
    </row>
    <row r="237" customFormat="false" ht="15" hidden="false" customHeight="false" outlineLevel="0" collapsed="false">
      <c r="A237" s="27"/>
      <c r="B237" s="27"/>
      <c r="C237" s="27"/>
      <c r="D237" s="27"/>
      <c r="E237" s="32"/>
    </row>
    <row r="238" customFormat="false" ht="15" hidden="false" customHeight="false" outlineLevel="0" collapsed="false">
      <c r="A238" s="27"/>
      <c r="B238" s="27"/>
      <c r="C238" s="27"/>
      <c r="D238" s="27"/>
      <c r="E238" s="32"/>
    </row>
    <row r="239" customFormat="false" ht="15" hidden="false" customHeight="false" outlineLevel="0" collapsed="false">
      <c r="A239" s="27"/>
      <c r="B239" s="27"/>
      <c r="C239" s="27"/>
      <c r="D239" s="27"/>
      <c r="E239" s="32"/>
    </row>
    <row r="240" customFormat="false" ht="15" hidden="false" customHeight="false" outlineLevel="0" collapsed="false">
      <c r="A240" s="27"/>
      <c r="B240" s="27"/>
      <c r="C240" s="27"/>
      <c r="D240" s="27"/>
      <c r="E240" s="32"/>
    </row>
    <row r="241" customFormat="false" ht="15" hidden="false" customHeight="false" outlineLevel="0" collapsed="false">
      <c r="A241" s="27"/>
      <c r="B241" s="27"/>
      <c r="C241" s="27"/>
      <c r="D241" s="27"/>
      <c r="E241" s="32"/>
    </row>
    <row r="242" customFormat="false" ht="15" hidden="false" customHeight="false" outlineLevel="0" collapsed="false">
      <c r="A242" s="27"/>
      <c r="B242" s="27"/>
      <c r="C242" s="27"/>
      <c r="D242" s="27"/>
      <c r="E242" s="32"/>
    </row>
    <row r="243" customFormat="false" ht="15" hidden="false" customHeight="false" outlineLevel="0" collapsed="false">
      <c r="A243" s="27"/>
      <c r="B243" s="27"/>
      <c r="C243" s="27"/>
      <c r="D243" s="27"/>
      <c r="E243" s="32"/>
    </row>
    <row r="244" customFormat="false" ht="15" hidden="false" customHeight="false" outlineLevel="0" collapsed="false">
      <c r="A244" s="27"/>
      <c r="B244" s="27"/>
      <c r="C244" s="27"/>
      <c r="D244" s="27"/>
      <c r="E244" s="32"/>
    </row>
    <row r="245" customFormat="false" ht="15" hidden="false" customHeight="false" outlineLevel="0" collapsed="false">
      <c r="A245" s="27"/>
      <c r="B245" s="27"/>
      <c r="C245" s="27"/>
      <c r="D245" s="27"/>
      <c r="E245" s="32"/>
    </row>
    <row r="246" customFormat="false" ht="15" hidden="false" customHeight="false" outlineLevel="0" collapsed="false">
      <c r="A246" s="27"/>
      <c r="B246" s="27"/>
      <c r="C246" s="27"/>
      <c r="D246" s="27"/>
      <c r="E246" s="32"/>
    </row>
    <row r="247" customFormat="false" ht="15" hidden="false" customHeight="false" outlineLevel="0" collapsed="false">
      <c r="A247" s="27"/>
      <c r="B247" s="27"/>
      <c r="C247" s="27"/>
      <c r="D247" s="27"/>
      <c r="E247" s="32"/>
    </row>
    <row r="248" customFormat="false" ht="15" hidden="false" customHeight="false" outlineLevel="0" collapsed="false">
      <c r="A248" s="27"/>
      <c r="B248" s="27"/>
      <c r="C248" s="27"/>
      <c r="D248" s="27"/>
      <c r="E248" s="32"/>
    </row>
    <row r="249" customFormat="false" ht="15" hidden="false" customHeight="false" outlineLevel="0" collapsed="false">
      <c r="A249" s="27"/>
      <c r="B249" s="27"/>
      <c r="C249" s="27"/>
      <c r="D249" s="27"/>
      <c r="E249" s="32"/>
    </row>
    <row r="250" customFormat="false" ht="15" hidden="false" customHeight="false" outlineLevel="0" collapsed="false">
      <c r="A250" s="27"/>
      <c r="B250" s="27"/>
      <c r="C250" s="27"/>
      <c r="D250" s="27"/>
      <c r="E250" s="32"/>
    </row>
    <row r="251" customFormat="false" ht="15" hidden="false" customHeight="false" outlineLevel="0" collapsed="false">
      <c r="A251" s="27"/>
      <c r="B251" s="27"/>
      <c r="C251" s="27"/>
      <c r="D251" s="27"/>
      <c r="E251" s="32"/>
    </row>
    <row r="252" customFormat="false" ht="15" hidden="false" customHeight="false" outlineLevel="0" collapsed="false">
      <c r="A252" s="27"/>
      <c r="B252" s="27"/>
      <c r="C252" s="27"/>
      <c r="D252" s="27"/>
      <c r="E252" s="32"/>
    </row>
    <row r="253" customFormat="false" ht="15" hidden="false" customHeight="false" outlineLevel="0" collapsed="false">
      <c r="A253" s="27"/>
      <c r="B253" s="27"/>
      <c r="C253" s="27"/>
      <c r="D253" s="27"/>
      <c r="E253" s="32"/>
    </row>
    <row r="254" customFormat="false" ht="15" hidden="false" customHeight="false" outlineLevel="0" collapsed="false">
      <c r="A254" s="27"/>
      <c r="B254" s="27"/>
      <c r="C254" s="27"/>
      <c r="D254" s="27"/>
      <c r="E254" s="32"/>
    </row>
    <row r="255" customFormat="false" ht="15" hidden="false" customHeight="false" outlineLevel="0" collapsed="false">
      <c r="A255" s="27"/>
      <c r="B255" s="27"/>
      <c r="C255" s="27"/>
      <c r="D255" s="27"/>
      <c r="E255" s="32"/>
    </row>
    <row r="256" customFormat="false" ht="15" hidden="false" customHeight="false" outlineLevel="0" collapsed="false">
      <c r="A256" s="27"/>
      <c r="B256" s="27"/>
      <c r="C256" s="27"/>
      <c r="D256" s="27"/>
      <c r="E256" s="32"/>
    </row>
    <row r="257" customFormat="false" ht="15" hidden="false" customHeight="false" outlineLevel="0" collapsed="false">
      <c r="A257" s="27"/>
      <c r="B257" s="27"/>
      <c r="C257" s="27"/>
      <c r="D257" s="27"/>
      <c r="E257" s="32"/>
    </row>
    <row r="258" customFormat="false" ht="15" hidden="false" customHeight="false" outlineLevel="0" collapsed="false">
      <c r="A258" s="27"/>
      <c r="B258" s="27"/>
      <c r="C258" s="27"/>
      <c r="D258" s="27"/>
      <c r="E258" s="32"/>
    </row>
    <row r="259" customFormat="false" ht="15" hidden="false" customHeight="false" outlineLevel="0" collapsed="false">
      <c r="A259" s="27"/>
      <c r="B259" s="27"/>
      <c r="C259" s="27"/>
      <c r="D259" s="27"/>
      <c r="E259" s="32"/>
    </row>
    <row r="260" customFormat="false" ht="15" hidden="false" customHeight="false" outlineLevel="0" collapsed="false">
      <c r="A260" s="27"/>
      <c r="B260" s="27"/>
      <c r="C260" s="27"/>
      <c r="D260" s="27"/>
      <c r="E260" s="32"/>
    </row>
    <row r="261" customFormat="false" ht="15" hidden="false" customHeight="false" outlineLevel="0" collapsed="false">
      <c r="A261" s="27"/>
      <c r="B261" s="27"/>
      <c r="C261" s="27"/>
      <c r="D261" s="27"/>
      <c r="E261" s="32"/>
    </row>
    <row r="262" customFormat="false" ht="15" hidden="false" customHeight="false" outlineLevel="0" collapsed="false">
      <c r="A262" s="27"/>
      <c r="B262" s="27"/>
      <c r="C262" s="27"/>
      <c r="D262" s="27"/>
      <c r="E262" s="32"/>
    </row>
    <row r="263" customFormat="false" ht="15" hidden="false" customHeight="false" outlineLevel="0" collapsed="false">
      <c r="A263" s="27"/>
      <c r="B263" s="27"/>
      <c r="C263" s="27"/>
      <c r="D263" s="27"/>
      <c r="E263" s="32"/>
    </row>
    <row r="264" customFormat="false" ht="15" hidden="false" customHeight="false" outlineLevel="0" collapsed="false">
      <c r="A264" s="27"/>
      <c r="B264" s="27"/>
      <c r="C264" s="27"/>
      <c r="D264" s="27"/>
      <c r="E264" s="32"/>
    </row>
    <row r="265" customFormat="false" ht="15" hidden="false" customHeight="false" outlineLevel="0" collapsed="false">
      <c r="A265" s="27"/>
      <c r="B265" s="27"/>
      <c r="C265" s="27"/>
      <c r="D265" s="27"/>
      <c r="E265" s="32"/>
    </row>
    <row r="266" customFormat="false" ht="15" hidden="false" customHeight="false" outlineLevel="0" collapsed="false">
      <c r="A266" s="27"/>
      <c r="B266" s="27"/>
      <c r="C266" s="27"/>
      <c r="D266" s="27"/>
      <c r="E266" s="32"/>
    </row>
    <row r="267" customFormat="false" ht="15" hidden="false" customHeight="false" outlineLevel="0" collapsed="false">
      <c r="A267" s="27"/>
      <c r="B267" s="27"/>
      <c r="C267" s="27"/>
      <c r="D267" s="27"/>
      <c r="E267" s="32"/>
    </row>
    <row r="268" customFormat="false" ht="15" hidden="false" customHeight="false" outlineLevel="0" collapsed="false">
      <c r="A268" s="27"/>
      <c r="B268" s="27"/>
      <c r="C268" s="27"/>
      <c r="D268" s="27"/>
      <c r="E268" s="32"/>
    </row>
    <row r="269" customFormat="false" ht="15" hidden="false" customHeight="false" outlineLevel="0" collapsed="false">
      <c r="A269" s="27"/>
      <c r="B269" s="27"/>
      <c r="C269" s="27"/>
      <c r="D269" s="27"/>
      <c r="E269" s="32"/>
    </row>
    <row r="270" customFormat="false" ht="15" hidden="false" customHeight="false" outlineLevel="0" collapsed="false">
      <c r="A270" s="27"/>
      <c r="B270" s="27"/>
      <c r="C270" s="27"/>
      <c r="D270" s="27"/>
      <c r="E270" s="32"/>
    </row>
    <row r="271" customFormat="false" ht="15" hidden="false" customHeight="false" outlineLevel="0" collapsed="false">
      <c r="A271" s="27"/>
      <c r="B271" s="27"/>
      <c r="C271" s="27"/>
      <c r="D271" s="27"/>
      <c r="E271" s="32"/>
    </row>
    <row r="272" customFormat="false" ht="15" hidden="false" customHeight="false" outlineLevel="0" collapsed="false">
      <c r="A272" s="27"/>
      <c r="B272" s="27"/>
      <c r="C272" s="27"/>
      <c r="D272" s="27"/>
      <c r="E272" s="32"/>
    </row>
    <row r="273" customFormat="false" ht="15" hidden="false" customHeight="false" outlineLevel="0" collapsed="false">
      <c r="A273" s="27"/>
      <c r="B273" s="27"/>
      <c r="C273" s="27"/>
      <c r="D273" s="27"/>
      <c r="E273" s="32"/>
    </row>
    <row r="274" customFormat="false" ht="15" hidden="false" customHeight="false" outlineLevel="0" collapsed="false">
      <c r="A274" s="27"/>
      <c r="B274" s="27"/>
      <c r="C274" s="27"/>
      <c r="D274" s="27"/>
      <c r="E274" s="32"/>
    </row>
    <row r="275" customFormat="false" ht="15" hidden="false" customHeight="false" outlineLevel="0" collapsed="false">
      <c r="A275" s="27"/>
      <c r="B275" s="27"/>
      <c r="C275" s="27"/>
      <c r="D275" s="27"/>
      <c r="E275" s="32"/>
    </row>
    <row r="276" customFormat="false" ht="15" hidden="false" customHeight="false" outlineLevel="0" collapsed="false">
      <c r="A276" s="27"/>
      <c r="B276" s="27"/>
      <c r="C276" s="27"/>
      <c r="D276" s="27"/>
      <c r="E276" s="32"/>
    </row>
    <row r="277" customFormat="false" ht="15" hidden="false" customHeight="false" outlineLevel="0" collapsed="false">
      <c r="A277" s="27"/>
      <c r="B277" s="27"/>
      <c r="C277" s="27"/>
      <c r="D277" s="27"/>
      <c r="E277" s="32"/>
    </row>
    <row r="278" customFormat="false" ht="15" hidden="false" customHeight="false" outlineLevel="0" collapsed="false">
      <c r="A278" s="27"/>
      <c r="B278" s="27"/>
      <c r="C278" s="27"/>
      <c r="D278" s="27"/>
      <c r="E278" s="32"/>
    </row>
    <row r="279" customFormat="false" ht="15" hidden="false" customHeight="false" outlineLevel="0" collapsed="false">
      <c r="A279" s="27"/>
      <c r="B279" s="27"/>
      <c r="C279" s="27"/>
      <c r="D279" s="27"/>
      <c r="E279" s="32"/>
    </row>
    <row r="280" customFormat="false" ht="15" hidden="false" customHeight="false" outlineLevel="0" collapsed="false">
      <c r="A280" s="27"/>
      <c r="B280" s="27"/>
      <c r="C280" s="27"/>
      <c r="D280" s="27"/>
      <c r="E280" s="32"/>
    </row>
    <row r="281" customFormat="false" ht="15" hidden="false" customHeight="false" outlineLevel="0" collapsed="false">
      <c r="A281" s="27"/>
      <c r="B281" s="27"/>
      <c r="C281" s="27"/>
      <c r="D281" s="27"/>
      <c r="E281" s="32"/>
    </row>
    <row r="282" customFormat="false" ht="15" hidden="false" customHeight="false" outlineLevel="0" collapsed="false">
      <c r="A282" s="27"/>
      <c r="B282" s="27"/>
      <c r="C282" s="27"/>
      <c r="D282" s="27"/>
      <c r="E282" s="32"/>
    </row>
    <row r="283" customFormat="false" ht="15" hidden="false" customHeight="false" outlineLevel="0" collapsed="false">
      <c r="A283" s="27"/>
      <c r="B283" s="27"/>
      <c r="C283" s="27"/>
      <c r="D283" s="27"/>
      <c r="E283" s="32"/>
    </row>
    <row r="284" customFormat="false" ht="15" hidden="false" customHeight="false" outlineLevel="0" collapsed="false">
      <c r="A284" s="27"/>
      <c r="B284" s="27"/>
      <c r="C284" s="27"/>
      <c r="D284" s="27"/>
      <c r="E284" s="32"/>
    </row>
    <row r="285" customFormat="false" ht="15" hidden="false" customHeight="false" outlineLevel="0" collapsed="false">
      <c r="A285" s="27"/>
      <c r="B285" s="27"/>
      <c r="C285" s="27"/>
      <c r="D285" s="27"/>
      <c r="E285" s="32"/>
    </row>
    <row r="286" customFormat="false" ht="15" hidden="false" customHeight="false" outlineLevel="0" collapsed="false">
      <c r="A286" s="27"/>
      <c r="B286" s="27"/>
      <c r="C286" s="27"/>
      <c r="D286" s="27"/>
      <c r="E286" s="32"/>
    </row>
    <row r="287" customFormat="false" ht="15" hidden="false" customHeight="false" outlineLevel="0" collapsed="false">
      <c r="A287" s="27"/>
      <c r="B287" s="27"/>
      <c r="C287" s="27"/>
      <c r="D287" s="27"/>
      <c r="E287" s="32"/>
    </row>
    <row r="288" customFormat="false" ht="15" hidden="false" customHeight="false" outlineLevel="0" collapsed="false">
      <c r="A288" s="27"/>
      <c r="B288" s="27"/>
      <c r="C288" s="27"/>
      <c r="D288" s="27"/>
      <c r="E288" s="32"/>
    </row>
    <row r="289" customFormat="false" ht="15" hidden="false" customHeight="false" outlineLevel="0" collapsed="false">
      <c r="A289" s="27"/>
      <c r="B289" s="27"/>
      <c r="C289" s="27"/>
      <c r="D289" s="27"/>
      <c r="E289" s="32"/>
    </row>
    <row r="290" customFormat="false" ht="15" hidden="false" customHeight="false" outlineLevel="0" collapsed="false">
      <c r="A290" s="27"/>
      <c r="B290" s="27"/>
      <c r="C290" s="27"/>
      <c r="D290" s="27"/>
      <c r="E290" s="32"/>
    </row>
    <row r="291" customFormat="false" ht="15" hidden="false" customHeight="false" outlineLevel="0" collapsed="false">
      <c r="A291" s="27"/>
      <c r="B291" s="27"/>
      <c r="C291" s="27"/>
      <c r="D291" s="27"/>
      <c r="E291" s="32"/>
    </row>
    <row r="292" customFormat="false" ht="15" hidden="false" customHeight="false" outlineLevel="0" collapsed="false">
      <c r="A292" s="27"/>
      <c r="B292" s="27"/>
      <c r="C292" s="27"/>
      <c r="D292" s="27"/>
      <c r="E292" s="32"/>
    </row>
    <row r="293" customFormat="false" ht="15" hidden="false" customHeight="false" outlineLevel="0" collapsed="false">
      <c r="A293" s="27"/>
      <c r="B293" s="27"/>
      <c r="C293" s="27"/>
      <c r="D293" s="27"/>
      <c r="E293" s="32"/>
    </row>
    <row r="294" customFormat="false" ht="15" hidden="false" customHeight="false" outlineLevel="0" collapsed="false">
      <c r="A294" s="27"/>
      <c r="B294" s="27"/>
      <c r="C294" s="27"/>
      <c r="D294" s="27"/>
      <c r="E294" s="32"/>
    </row>
    <row r="295" customFormat="false" ht="15" hidden="false" customHeight="false" outlineLevel="0" collapsed="false">
      <c r="A295" s="27"/>
      <c r="B295" s="27"/>
      <c r="C295" s="27"/>
      <c r="D295" s="27"/>
      <c r="E295" s="32"/>
    </row>
    <row r="296" customFormat="false" ht="15" hidden="false" customHeight="false" outlineLevel="0" collapsed="false">
      <c r="A296" s="27"/>
      <c r="B296" s="27"/>
      <c r="C296" s="27"/>
      <c r="D296" s="27"/>
      <c r="E296" s="32"/>
    </row>
    <row r="297" customFormat="false" ht="15" hidden="false" customHeight="false" outlineLevel="0" collapsed="false">
      <c r="A297" s="27"/>
      <c r="B297" s="27"/>
      <c r="C297" s="27"/>
      <c r="D297" s="27"/>
      <c r="E297" s="32"/>
    </row>
    <row r="298" customFormat="false" ht="15" hidden="false" customHeight="false" outlineLevel="0" collapsed="false">
      <c r="A298" s="27"/>
      <c r="B298" s="27"/>
      <c r="C298" s="27"/>
      <c r="D298" s="27"/>
      <c r="E298" s="32"/>
    </row>
    <row r="299" customFormat="false" ht="15" hidden="false" customHeight="false" outlineLevel="0" collapsed="false">
      <c r="A299" s="27"/>
      <c r="B299" s="27"/>
      <c r="C299" s="27"/>
      <c r="D299" s="27"/>
      <c r="E299" s="32"/>
    </row>
    <row r="300" customFormat="false" ht="15" hidden="false" customHeight="false" outlineLevel="0" collapsed="false">
      <c r="A300" s="27"/>
      <c r="B300" s="27"/>
      <c r="C300" s="27"/>
      <c r="D300" s="27"/>
      <c r="E300" s="32"/>
    </row>
    <row r="301" customFormat="false" ht="15" hidden="false" customHeight="false" outlineLevel="0" collapsed="false">
      <c r="A301" s="27"/>
      <c r="B301" s="27"/>
      <c r="C301" s="27"/>
      <c r="D301" s="27"/>
      <c r="E301" s="32"/>
    </row>
    <row r="302" customFormat="false" ht="15" hidden="false" customHeight="false" outlineLevel="0" collapsed="false">
      <c r="A302" s="27"/>
      <c r="B302" s="27"/>
      <c r="C302" s="27"/>
      <c r="D302" s="27"/>
      <c r="E302" s="32"/>
    </row>
    <row r="303" customFormat="false" ht="15" hidden="false" customHeight="false" outlineLevel="0" collapsed="false">
      <c r="A303" s="27"/>
      <c r="B303" s="27"/>
      <c r="C303" s="27"/>
      <c r="D303" s="27"/>
      <c r="E303" s="32"/>
    </row>
    <row r="304" customFormat="false" ht="15" hidden="false" customHeight="false" outlineLevel="0" collapsed="false">
      <c r="A304" s="27"/>
      <c r="B304" s="27"/>
      <c r="C304" s="27"/>
      <c r="D304" s="27"/>
      <c r="E304" s="32"/>
    </row>
    <row r="305" customFormat="false" ht="15" hidden="false" customHeight="false" outlineLevel="0" collapsed="false">
      <c r="A305" s="27"/>
      <c r="B305" s="27"/>
      <c r="C305" s="27"/>
      <c r="D305" s="27"/>
      <c r="E305" s="32"/>
    </row>
    <row r="306" customFormat="false" ht="15" hidden="false" customHeight="false" outlineLevel="0" collapsed="false">
      <c r="A306" s="27"/>
      <c r="B306" s="27"/>
      <c r="C306" s="27"/>
      <c r="D306" s="27"/>
      <c r="E306" s="32"/>
    </row>
    <row r="307" customFormat="false" ht="15" hidden="false" customHeight="false" outlineLevel="0" collapsed="false">
      <c r="A307" s="27"/>
      <c r="B307" s="27"/>
      <c r="C307" s="27"/>
      <c r="D307" s="27"/>
      <c r="E307" s="32"/>
    </row>
    <row r="308" customFormat="false" ht="15" hidden="false" customHeight="false" outlineLevel="0" collapsed="false">
      <c r="A308" s="27"/>
      <c r="B308" s="27"/>
      <c r="C308" s="27"/>
      <c r="D308" s="27"/>
      <c r="E308" s="32"/>
    </row>
    <row r="309" customFormat="false" ht="15" hidden="false" customHeight="false" outlineLevel="0" collapsed="false">
      <c r="A309" s="27"/>
      <c r="B309" s="27"/>
      <c r="C309" s="27"/>
      <c r="D309" s="27"/>
      <c r="E309" s="32"/>
    </row>
    <row r="310" customFormat="false" ht="15" hidden="false" customHeight="false" outlineLevel="0" collapsed="false">
      <c r="A310" s="27"/>
      <c r="B310" s="27"/>
      <c r="C310" s="27"/>
      <c r="D310" s="27"/>
      <c r="E310" s="32"/>
    </row>
    <row r="311" customFormat="false" ht="15" hidden="false" customHeight="false" outlineLevel="0" collapsed="false">
      <c r="A311" s="27"/>
      <c r="B311" s="27"/>
      <c r="C311" s="27"/>
      <c r="D311" s="27"/>
      <c r="E311" s="32"/>
    </row>
    <row r="312" customFormat="false" ht="15" hidden="false" customHeight="false" outlineLevel="0" collapsed="false">
      <c r="A312" s="27"/>
      <c r="B312" s="27"/>
      <c r="C312" s="27"/>
      <c r="D312" s="27"/>
      <c r="E312" s="32"/>
    </row>
    <row r="313" customFormat="false" ht="15" hidden="false" customHeight="false" outlineLevel="0" collapsed="false">
      <c r="A313" s="27"/>
      <c r="B313" s="27"/>
      <c r="C313" s="27"/>
      <c r="D313" s="27"/>
      <c r="E313" s="32"/>
    </row>
    <row r="314" customFormat="false" ht="15" hidden="false" customHeight="false" outlineLevel="0" collapsed="false">
      <c r="A314" s="27"/>
      <c r="B314" s="27"/>
      <c r="C314" s="27"/>
      <c r="D314" s="27"/>
      <c r="E314" s="32"/>
    </row>
    <row r="315" customFormat="false" ht="15" hidden="false" customHeight="false" outlineLevel="0" collapsed="false">
      <c r="A315" s="27"/>
      <c r="B315" s="27"/>
      <c r="C315" s="27"/>
      <c r="D315" s="27"/>
      <c r="E315" s="32"/>
    </row>
    <row r="316" customFormat="false" ht="15" hidden="false" customHeight="false" outlineLevel="0" collapsed="false">
      <c r="A316" s="27"/>
      <c r="B316" s="27"/>
      <c r="C316" s="27"/>
      <c r="D316" s="27"/>
      <c r="E316" s="32"/>
    </row>
    <row r="317" customFormat="false" ht="15" hidden="false" customHeight="false" outlineLevel="0" collapsed="false">
      <c r="A317" s="27"/>
      <c r="B317" s="27"/>
      <c r="C317" s="27"/>
      <c r="D317" s="27"/>
      <c r="E317" s="32"/>
    </row>
    <row r="318" customFormat="false" ht="15" hidden="false" customHeight="false" outlineLevel="0" collapsed="false">
      <c r="A318" s="27"/>
      <c r="B318" s="27"/>
      <c r="C318" s="27"/>
      <c r="D318" s="27"/>
      <c r="E318" s="32"/>
    </row>
    <row r="319" customFormat="false" ht="15" hidden="false" customHeight="false" outlineLevel="0" collapsed="false">
      <c r="A319" s="27"/>
      <c r="B319" s="27"/>
      <c r="C319" s="27"/>
      <c r="D319" s="27"/>
      <c r="E319" s="32"/>
    </row>
    <row r="320" customFormat="false" ht="15" hidden="false" customHeight="false" outlineLevel="0" collapsed="false">
      <c r="A320" s="27"/>
      <c r="B320" s="27"/>
      <c r="C320" s="27"/>
      <c r="D320" s="27"/>
      <c r="E320" s="32"/>
    </row>
    <row r="321" customFormat="false" ht="15" hidden="false" customHeight="false" outlineLevel="0" collapsed="false">
      <c r="A321" s="27"/>
      <c r="B321" s="27"/>
      <c r="C321" s="27"/>
      <c r="D321" s="27"/>
      <c r="E321" s="32"/>
    </row>
    <row r="322" customFormat="false" ht="15" hidden="false" customHeight="false" outlineLevel="0" collapsed="false">
      <c r="A322" s="27"/>
      <c r="B322" s="27"/>
      <c r="C322" s="27"/>
      <c r="D322" s="27"/>
      <c r="E322" s="32"/>
    </row>
    <row r="323" customFormat="false" ht="15" hidden="false" customHeight="false" outlineLevel="0" collapsed="false">
      <c r="A323" s="27"/>
      <c r="B323" s="27"/>
      <c r="C323" s="27"/>
      <c r="D323" s="27"/>
      <c r="E323" s="32"/>
    </row>
    <row r="324" customFormat="false" ht="15" hidden="false" customHeight="false" outlineLevel="0" collapsed="false">
      <c r="A324" s="27"/>
      <c r="B324" s="27"/>
      <c r="C324" s="27"/>
      <c r="D324" s="27"/>
      <c r="E324" s="32"/>
    </row>
    <row r="325" customFormat="false" ht="15" hidden="false" customHeight="false" outlineLevel="0" collapsed="false">
      <c r="A325" s="27"/>
      <c r="B325" s="27"/>
      <c r="C325" s="27"/>
      <c r="D325" s="27"/>
      <c r="E325" s="32"/>
    </row>
    <row r="326" customFormat="false" ht="15" hidden="false" customHeight="false" outlineLevel="0" collapsed="false">
      <c r="A326" s="27"/>
      <c r="B326" s="27"/>
      <c r="C326" s="27"/>
      <c r="D326" s="27"/>
      <c r="E326" s="32"/>
    </row>
    <row r="327" customFormat="false" ht="15" hidden="false" customHeight="false" outlineLevel="0" collapsed="false">
      <c r="A327" s="27"/>
      <c r="B327" s="27"/>
      <c r="C327" s="27"/>
      <c r="D327" s="27"/>
      <c r="E327" s="32"/>
    </row>
    <row r="328" customFormat="false" ht="15" hidden="false" customHeight="false" outlineLevel="0" collapsed="false">
      <c r="A328" s="27"/>
      <c r="B328" s="27"/>
      <c r="C328" s="27"/>
      <c r="D328" s="27"/>
      <c r="E328" s="32"/>
    </row>
    <row r="329" customFormat="false" ht="15" hidden="false" customHeight="false" outlineLevel="0" collapsed="false">
      <c r="A329" s="27"/>
      <c r="B329" s="27"/>
      <c r="C329" s="27"/>
      <c r="D329" s="27"/>
      <c r="E329" s="32"/>
    </row>
    <row r="330" customFormat="false" ht="15" hidden="false" customHeight="false" outlineLevel="0" collapsed="false">
      <c r="A330" s="27"/>
      <c r="B330" s="27"/>
      <c r="C330" s="27"/>
      <c r="D330" s="27"/>
      <c r="E330" s="32"/>
    </row>
    <row r="331" customFormat="false" ht="15" hidden="false" customHeight="false" outlineLevel="0" collapsed="false">
      <c r="A331" s="27"/>
      <c r="B331" s="27"/>
      <c r="C331" s="27"/>
      <c r="D331" s="27"/>
      <c r="E331" s="32"/>
    </row>
    <row r="332" customFormat="false" ht="15" hidden="false" customHeight="false" outlineLevel="0" collapsed="false">
      <c r="A332" s="27"/>
      <c r="B332" s="27"/>
      <c r="C332" s="27"/>
      <c r="D332" s="27"/>
      <c r="E332" s="32"/>
    </row>
    <row r="333" customFormat="false" ht="15" hidden="false" customHeight="false" outlineLevel="0" collapsed="false">
      <c r="A333" s="27"/>
      <c r="B333" s="27"/>
      <c r="C333" s="27"/>
      <c r="D333" s="27"/>
      <c r="E333" s="32"/>
    </row>
    <row r="334" customFormat="false" ht="15" hidden="false" customHeight="false" outlineLevel="0" collapsed="false">
      <c r="A334" s="27"/>
      <c r="B334" s="27"/>
      <c r="C334" s="27"/>
      <c r="D334" s="27"/>
      <c r="E334" s="32"/>
    </row>
    <row r="335" customFormat="false" ht="15" hidden="false" customHeight="false" outlineLevel="0" collapsed="false">
      <c r="A335" s="27"/>
      <c r="B335" s="27"/>
      <c r="C335" s="27"/>
      <c r="D335" s="27"/>
      <c r="E335" s="32"/>
    </row>
    <row r="336" customFormat="false" ht="15" hidden="false" customHeight="false" outlineLevel="0" collapsed="false">
      <c r="A336" s="27"/>
      <c r="B336" s="27"/>
      <c r="C336" s="27"/>
      <c r="D336" s="27"/>
      <c r="E336" s="32"/>
    </row>
    <row r="337" customFormat="false" ht="15" hidden="false" customHeight="false" outlineLevel="0" collapsed="false">
      <c r="A337" s="27"/>
      <c r="B337" s="27"/>
      <c r="C337" s="27"/>
      <c r="D337" s="27"/>
      <c r="E337" s="32"/>
    </row>
    <row r="338" customFormat="false" ht="15" hidden="false" customHeight="false" outlineLevel="0" collapsed="false">
      <c r="A338" s="27"/>
      <c r="B338" s="27"/>
      <c r="C338" s="27"/>
      <c r="D338" s="27"/>
      <c r="E338" s="32"/>
    </row>
    <row r="339" customFormat="false" ht="15" hidden="false" customHeight="false" outlineLevel="0" collapsed="false">
      <c r="A339" s="27"/>
      <c r="B339" s="27"/>
      <c r="C339" s="27"/>
      <c r="D339" s="27"/>
      <c r="E339" s="32"/>
    </row>
    <row r="340" customFormat="false" ht="15" hidden="false" customHeight="false" outlineLevel="0" collapsed="false">
      <c r="A340" s="27"/>
      <c r="B340" s="27"/>
      <c r="C340" s="27"/>
      <c r="D340" s="27"/>
      <c r="E340" s="32"/>
    </row>
    <row r="341" customFormat="false" ht="15" hidden="false" customHeight="false" outlineLevel="0" collapsed="false">
      <c r="A341" s="27"/>
      <c r="B341" s="27"/>
      <c r="C341" s="27"/>
      <c r="D341" s="27"/>
      <c r="E341" s="32"/>
    </row>
    <row r="342" customFormat="false" ht="15" hidden="false" customHeight="false" outlineLevel="0" collapsed="false">
      <c r="A342" s="27"/>
      <c r="B342" s="27"/>
      <c r="C342" s="27"/>
      <c r="D342" s="27"/>
      <c r="E342" s="32"/>
    </row>
    <row r="343" customFormat="false" ht="15" hidden="false" customHeight="false" outlineLevel="0" collapsed="false">
      <c r="A343" s="27"/>
      <c r="B343" s="27"/>
      <c r="C343" s="27"/>
      <c r="D343" s="27"/>
      <c r="E343" s="32"/>
    </row>
    <row r="344" customFormat="false" ht="15" hidden="false" customHeight="false" outlineLevel="0" collapsed="false">
      <c r="A344" s="27"/>
      <c r="B344" s="27"/>
      <c r="C344" s="27"/>
      <c r="D344" s="27"/>
      <c r="E344" s="32"/>
    </row>
    <row r="345" customFormat="false" ht="15" hidden="false" customHeight="false" outlineLevel="0" collapsed="false">
      <c r="A345" s="27"/>
      <c r="B345" s="27"/>
      <c r="C345" s="27"/>
      <c r="D345" s="27"/>
      <c r="E345" s="32"/>
    </row>
    <row r="346" customFormat="false" ht="15" hidden="false" customHeight="false" outlineLevel="0" collapsed="false">
      <c r="A346" s="27"/>
      <c r="B346" s="27"/>
      <c r="C346" s="27"/>
      <c r="D346" s="27"/>
      <c r="E346" s="32"/>
    </row>
    <row r="347" customFormat="false" ht="15" hidden="false" customHeight="false" outlineLevel="0" collapsed="false">
      <c r="A347" s="27"/>
      <c r="B347" s="27"/>
      <c r="C347" s="27"/>
      <c r="D347" s="27"/>
      <c r="E347" s="32"/>
    </row>
    <row r="348" customFormat="false" ht="15" hidden="false" customHeight="false" outlineLevel="0" collapsed="false">
      <c r="A348" s="27"/>
      <c r="B348" s="27"/>
      <c r="C348" s="27"/>
      <c r="D348" s="27"/>
      <c r="E348" s="32"/>
    </row>
    <row r="349" customFormat="false" ht="15" hidden="false" customHeight="false" outlineLevel="0" collapsed="false">
      <c r="A349" s="27"/>
      <c r="B349" s="27"/>
      <c r="C349" s="27"/>
      <c r="D349" s="27"/>
      <c r="E349" s="32"/>
    </row>
    <row r="350" customFormat="false" ht="15" hidden="false" customHeight="false" outlineLevel="0" collapsed="false">
      <c r="A350" s="27"/>
      <c r="B350" s="27"/>
      <c r="C350" s="27"/>
      <c r="D350" s="27"/>
      <c r="E350" s="32"/>
    </row>
    <row r="351" customFormat="false" ht="15" hidden="false" customHeight="false" outlineLevel="0" collapsed="false">
      <c r="A351" s="27"/>
      <c r="B351" s="27"/>
      <c r="C351" s="27"/>
      <c r="D351" s="27"/>
      <c r="E351" s="32"/>
    </row>
    <row r="352" customFormat="false" ht="15" hidden="false" customHeight="false" outlineLevel="0" collapsed="false">
      <c r="A352" s="27"/>
      <c r="B352" s="27"/>
      <c r="C352" s="27"/>
      <c r="D352" s="27"/>
      <c r="E352" s="32"/>
    </row>
    <row r="353" customFormat="false" ht="15" hidden="false" customHeight="false" outlineLevel="0" collapsed="false">
      <c r="A353" s="27"/>
      <c r="B353" s="27"/>
      <c r="C353" s="27"/>
      <c r="D353" s="27"/>
      <c r="E353" s="32"/>
    </row>
    <row r="354" customFormat="false" ht="15" hidden="false" customHeight="false" outlineLevel="0" collapsed="false">
      <c r="A354" s="27"/>
      <c r="B354" s="27"/>
      <c r="C354" s="27"/>
      <c r="D354" s="27"/>
      <c r="E354" s="32"/>
    </row>
    <row r="355" customFormat="false" ht="15" hidden="false" customHeight="false" outlineLevel="0" collapsed="false">
      <c r="A355" s="27"/>
      <c r="B355" s="27"/>
      <c r="C355" s="27"/>
      <c r="D355" s="27"/>
      <c r="E355" s="32"/>
    </row>
    <row r="356" customFormat="false" ht="15" hidden="false" customHeight="false" outlineLevel="0" collapsed="false">
      <c r="A356" s="27"/>
      <c r="B356" s="27"/>
      <c r="C356" s="27"/>
      <c r="D356" s="27"/>
      <c r="E356" s="32"/>
    </row>
    <row r="357" customFormat="false" ht="15" hidden="false" customHeight="false" outlineLevel="0" collapsed="false">
      <c r="A357" s="27"/>
      <c r="B357" s="27"/>
      <c r="C357" s="27"/>
      <c r="D357" s="27"/>
      <c r="E357" s="32"/>
    </row>
    <row r="358" customFormat="false" ht="15" hidden="false" customHeight="false" outlineLevel="0" collapsed="false">
      <c r="A358" s="27"/>
      <c r="B358" s="27"/>
      <c r="C358" s="27"/>
      <c r="D358" s="27"/>
      <c r="E358" s="32"/>
    </row>
    <row r="359" customFormat="false" ht="15" hidden="false" customHeight="false" outlineLevel="0" collapsed="false">
      <c r="A359" s="27"/>
      <c r="B359" s="27"/>
      <c r="C359" s="27"/>
      <c r="D359" s="27"/>
      <c r="E359" s="32"/>
    </row>
    <row r="360" customFormat="false" ht="15" hidden="false" customHeight="false" outlineLevel="0" collapsed="false">
      <c r="A360" s="27"/>
      <c r="B360" s="27"/>
      <c r="C360" s="27"/>
      <c r="D360" s="27"/>
      <c r="E360" s="32"/>
    </row>
    <row r="361" customFormat="false" ht="15" hidden="false" customHeight="false" outlineLevel="0" collapsed="false">
      <c r="A361" s="27"/>
      <c r="B361" s="27"/>
      <c r="C361" s="27"/>
      <c r="D361" s="27"/>
      <c r="E361" s="32"/>
    </row>
    <row r="362" customFormat="false" ht="15" hidden="false" customHeight="false" outlineLevel="0" collapsed="false">
      <c r="A362" s="27"/>
      <c r="B362" s="27"/>
      <c r="C362" s="27"/>
      <c r="D362" s="27"/>
      <c r="E362" s="32"/>
    </row>
    <row r="363" customFormat="false" ht="15" hidden="false" customHeight="false" outlineLevel="0" collapsed="false">
      <c r="A363" s="27"/>
      <c r="B363" s="27"/>
      <c r="C363" s="27"/>
      <c r="D363" s="27"/>
      <c r="E363" s="32"/>
    </row>
    <row r="364" customFormat="false" ht="15" hidden="false" customHeight="false" outlineLevel="0" collapsed="false">
      <c r="A364" s="27"/>
      <c r="B364" s="27"/>
      <c r="C364" s="27"/>
      <c r="D364" s="27"/>
      <c r="E364" s="32"/>
    </row>
    <row r="365" customFormat="false" ht="15" hidden="false" customHeight="false" outlineLevel="0" collapsed="false">
      <c r="A365" s="27"/>
      <c r="B365" s="27"/>
      <c r="C365" s="27"/>
      <c r="D365" s="27"/>
      <c r="E365" s="32"/>
    </row>
    <row r="366" customFormat="false" ht="15" hidden="false" customHeight="false" outlineLevel="0" collapsed="false">
      <c r="A366" s="27"/>
      <c r="B366" s="27"/>
      <c r="C366" s="27"/>
      <c r="D366" s="27"/>
      <c r="E366" s="32"/>
    </row>
    <row r="367" customFormat="false" ht="15" hidden="false" customHeight="false" outlineLevel="0" collapsed="false">
      <c r="A367" s="27"/>
      <c r="B367" s="27"/>
      <c r="C367" s="27"/>
      <c r="D367" s="27"/>
      <c r="E367" s="32"/>
    </row>
    <row r="368" customFormat="false" ht="15" hidden="false" customHeight="false" outlineLevel="0" collapsed="false">
      <c r="A368" s="27"/>
      <c r="B368" s="27"/>
      <c r="C368" s="27"/>
      <c r="D368" s="27"/>
      <c r="E368" s="32"/>
    </row>
    <row r="369" customFormat="false" ht="15" hidden="false" customHeight="false" outlineLevel="0" collapsed="false">
      <c r="A369" s="27"/>
      <c r="B369" s="27"/>
      <c r="C369" s="27"/>
      <c r="D369" s="27"/>
      <c r="E369" s="32"/>
    </row>
    <row r="370" customFormat="false" ht="15" hidden="false" customHeight="false" outlineLevel="0" collapsed="false">
      <c r="A370" s="27"/>
      <c r="B370" s="27"/>
      <c r="C370" s="27"/>
      <c r="D370" s="27"/>
      <c r="E370" s="32"/>
    </row>
    <row r="371" customFormat="false" ht="15" hidden="false" customHeight="false" outlineLevel="0" collapsed="false">
      <c r="A371" s="27"/>
      <c r="B371" s="27"/>
      <c r="C371" s="27"/>
      <c r="D371" s="27"/>
      <c r="E371" s="32"/>
    </row>
    <row r="372" customFormat="false" ht="15" hidden="false" customHeight="false" outlineLevel="0" collapsed="false">
      <c r="A372" s="27"/>
      <c r="B372" s="27"/>
      <c r="C372" s="27"/>
      <c r="D372" s="27"/>
      <c r="E372" s="32"/>
    </row>
    <row r="373" customFormat="false" ht="15" hidden="false" customHeight="false" outlineLevel="0" collapsed="false">
      <c r="A373" s="27"/>
      <c r="B373" s="27"/>
      <c r="C373" s="27"/>
      <c r="D373" s="27"/>
      <c r="E373" s="32"/>
    </row>
    <row r="374" customFormat="false" ht="15" hidden="false" customHeight="false" outlineLevel="0" collapsed="false">
      <c r="A374" s="27"/>
      <c r="B374" s="27"/>
      <c r="C374" s="27"/>
      <c r="D374" s="27"/>
      <c r="E374" s="32"/>
    </row>
    <row r="375" customFormat="false" ht="15" hidden="false" customHeight="false" outlineLevel="0" collapsed="false">
      <c r="A375" s="27"/>
      <c r="B375" s="27"/>
      <c r="C375" s="27"/>
      <c r="D375" s="27"/>
      <c r="E375" s="32"/>
    </row>
    <row r="376" customFormat="false" ht="15" hidden="false" customHeight="false" outlineLevel="0" collapsed="false">
      <c r="A376" s="27"/>
      <c r="B376" s="27"/>
      <c r="C376" s="27"/>
      <c r="D376" s="27"/>
      <c r="E376" s="32"/>
    </row>
    <row r="377" customFormat="false" ht="15" hidden="false" customHeight="false" outlineLevel="0" collapsed="false">
      <c r="A377" s="27"/>
      <c r="B377" s="27"/>
      <c r="C377" s="27"/>
      <c r="D377" s="27"/>
      <c r="E377" s="32"/>
    </row>
    <row r="378" customFormat="false" ht="15" hidden="false" customHeight="false" outlineLevel="0" collapsed="false">
      <c r="A378" s="27"/>
      <c r="B378" s="27"/>
      <c r="C378" s="27"/>
      <c r="D378" s="27"/>
      <c r="E378" s="32"/>
    </row>
    <row r="379" customFormat="false" ht="15" hidden="false" customHeight="false" outlineLevel="0" collapsed="false">
      <c r="A379" s="27"/>
      <c r="B379" s="27"/>
      <c r="C379" s="27"/>
      <c r="D379" s="27"/>
      <c r="E379" s="32"/>
    </row>
    <row r="380" customFormat="false" ht="15" hidden="false" customHeight="false" outlineLevel="0" collapsed="false">
      <c r="A380" s="27"/>
      <c r="B380" s="27"/>
      <c r="C380" s="27"/>
      <c r="D380" s="27"/>
      <c r="E380" s="32"/>
    </row>
    <row r="381" customFormat="false" ht="15" hidden="false" customHeight="false" outlineLevel="0" collapsed="false">
      <c r="A381" s="27"/>
      <c r="B381" s="27"/>
      <c r="C381" s="27"/>
      <c r="D381" s="27"/>
      <c r="E381" s="32"/>
    </row>
    <row r="382" customFormat="false" ht="15" hidden="false" customHeight="false" outlineLevel="0" collapsed="false">
      <c r="A382" s="27"/>
      <c r="B382" s="27"/>
      <c r="C382" s="27"/>
      <c r="D382" s="27"/>
      <c r="E382" s="32"/>
    </row>
    <row r="383" customFormat="false" ht="15" hidden="false" customHeight="false" outlineLevel="0" collapsed="false">
      <c r="A383" s="27"/>
      <c r="B383" s="27"/>
      <c r="C383" s="27"/>
      <c r="D383" s="27"/>
      <c r="E383" s="32"/>
    </row>
    <row r="384" customFormat="false" ht="15" hidden="false" customHeight="false" outlineLevel="0" collapsed="false">
      <c r="A384" s="27"/>
      <c r="B384" s="27"/>
      <c r="C384" s="27"/>
      <c r="D384" s="27"/>
      <c r="E384" s="32"/>
    </row>
    <row r="385" customFormat="false" ht="15" hidden="false" customHeight="false" outlineLevel="0" collapsed="false">
      <c r="A385" s="27"/>
      <c r="B385" s="27"/>
      <c r="C385" s="27"/>
      <c r="D385" s="27"/>
      <c r="E385" s="32"/>
    </row>
    <row r="386" customFormat="false" ht="15" hidden="false" customHeight="false" outlineLevel="0" collapsed="false">
      <c r="A386" s="27"/>
      <c r="B386" s="27"/>
      <c r="C386" s="27"/>
      <c r="D386" s="27"/>
      <c r="E386" s="32"/>
    </row>
    <row r="387" customFormat="false" ht="15" hidden="false" customHeight="false" outlineLevel="0" collapsed="false">
      <c r="A387" s="27"/>
      <c r="B387" s="27"/>
      <c r="C387" s="27"/>
      <c r="D387" s="27"/>
      <c r="E387" s="32"/>
    </row>
    <row r="388" customFormat="false" ht="15" hidden="false" customHeight="false" outlineLevel="0" collapsed="false">
      <c r="A388" s="27"/>
      <c r="B388" s="27"/>
      <c r="C388" s="27"/>
      <c r="D388" s="27"/>
      <c r="E388" s="32"/>
    </row>
    <row r="389" customFormat="false" ht="15" hidden="false" customHeight="false" outlineLevel="0" collapsed="false">
      <c r="A389" s="27"/>
      <c r="B389" s="27"/>
      <c r="C389" s="27"/>
      <c r="D389" s="27"/>
      <c r="E389" s="32"/>
    </row>
    <row r="390" customFormat="false" ht="15" hidden="false" customHeight="false" outlineLevel="0" collapsed="false">
      <c r="A390" s="27"/>
      <c r="B390" s="27"/>
      <c r="C390" s="27"/>
      <c r="D390" s="27"/>
      <c r="E390" s="32"/>
    </row>
    <row r="391" customFormat="false" ht="15" hidden="false" customHeight="false" outlineLevel="0" collapsed="false">
      <c r="A391" s="27"/>
      <c r="B391" s="27"/>
      <c r="C391" s="27"/>
      <c r="D391" s="27"/>
      <c r="E391" s="32"/>
    </row>
    <row r="392" customFormat="false" ht="15" hidden="false" customHeight="false" outlineLevel="0" collapsed="false">
      <c r="A392" s="27"/>
      <c r="B392" s="27"/>
      <c r="C392" s="27"/>
      <c r="D392" s="27"/>
      <c r="E392" s="32"/>
    </row>
    <row r="393" customFormat="false" ht="15" hidden="false" customHeight="false" outlineLevel="0" collapsed="false">
      <c r="A393" s="27"/>
      <c r="B393" s="27"/>
      <c r="C393" s="27"/>
      <c r="D393" s="27"/>
      <c r="E393" s="32"/>
    </row>
    <row r="394" customFormat="false" ht="15" hidden="false" customHeight="false" outlineLevel="0" collapsed="false">
      <c r="A394" s="27"/>
      <c r="B394" s="27"/>
      <c r="C394" s="27"/>
      <c r="D394" s="27"/>
      <c r="E394" s="32"/>
    </row>
    <row r="395" customFormat="false" ht="15" hidden="false" customHeight="false" outlineLevel="0" collapsed="false">
      <c r="A395" s="27"/>
      <c r="B395" s="27"/>
      <c r="C395" s="27"/>
      <c r="D395" s="27"/>
      <c r="E395" s="32"/>
    </row>
    <row r="396" customFormat="false" ht="15" hidden="false" customHeight="false" outlineLevel="0" collapsed="false">
      <c r="A396" s="27"/>
      <c r="B396" s="27"/>
      <c r="C396" s="27"/>
      <c r="D396" s="27"/>
      <c r="E396" s="32"/>
    </row>
    <row r="397" customFormat="false" ht="15" hidden="false" customHeight="false" outlineLevel="0" collapsed="false">
      <c r="A397" s="27"/>
      <c r="B397" s="27"/>
      <c r="C397" s="27"/>
      <c r="D397" s="27"/>
      <c r="E397" s="32"/>
    </row>
    <row r="398" customFormat="false" ht="15" hidden="false" customHeight="false" outlineLevel="0" collapsed="false">
      <c r="A398" s="27"/>
      <c r="B398" s="27"/>
      <c r="C398" s="27"/>
      <c r="D398" s="27"/>
      <c r="E398" s="32"/>
    </row>
    <row r="399" customFormat="false" ht="15" hidden="false" customHeight="false" outlineLevel="0" collapsed="false">
      <c r="A399" s="27"/>
      <c r="B399" s="27"/>
      <c r="C399" s="27"/>
      <c r="D399" s="27"/>
      <c r="E399" s="32"/>
    </row>
    <row r="400" customFormat="false" ht="15" hidden="false" customHeight="false" outlineLevel="0" collapsed="false">
      <c r="A400" s="27"/>
      <c r="B400" s="27"/>
      <c r="C400" s="27"/>
      <c r="D400" s="27"/>
      <c r="E400" s="32"/>
    </row>
    <row r="401" customFormat="false" ht="15" hidden="false" customHeight="false" outlineLevel="0" collapsed="false">
      <c r="A401" s="27"/>
      <c r="B401" s="27"/>
      <c r="C401" s="27"/>
      <c r="D401" s="27"/>
      <c r="E401" s="32"/>
    </row>
    <row r="402" customFormat="false" ht="15" hidden="false" customHeight="false" outlineLevel="0" collapsed="false">
      <c r="A402" s="27"/>
      <c r="B402" s="27"/>
      <c r="C402" s="27"/>
      <c r="D402" s="27"/>
      <c r="E402" s="32"/>
    </row>
    <row r="403" customFormat="false" ht="15" hidden="false" customHeight="false" outlineLevel="0" collapsed="false">
      <c r="A403" s="27"/>
      <c r="B403" s="27"/>
      <c r="C403" s="27"/>
      <c r="D403" s="27"/>
      <c r="E403" s="32"/>
    </row>
    <row r="404" customFormat="false" ht="15" hidden="false" customHeight="false" outlineLevel="0" collapsed="false">
      <c r="A404" s="27"/>
      <c r="B404" s="27"/>
      <c r="C404" s="27"/>
      <c r="D404" s="27"/>
      <c r="E404" s="32"/>
    </row>
    <row r="405" customFormat="false" ht="15" hidden="false" customHeight="false" outlineLevel="0" collapsed="false">
      <c r="A405" s="27"/>
      <c r="B405" s="27"/>
      <c r="C405" s="27"/>
      <c r="D405" s="27"/>
      <c r="E405" s="32"/>
    </row>
    <row r="406" customFormat="false" ht="15" hidden="false" customHeight="false" outlineLevel="0" collapsed="false">
      <c r="A406" s="27"/>
      <c r="B406" s="27"/>
      <c r="C406" s="27"/>
      <c r="D406" s="27"/>
      <c r="E406" s="32"/>
    </row>
    <row r="407" customFormat="false" ht="15" hidden="false" customHeight="false" outlineLevel="0" collapsed="false">
      <c r="A407" s="27"/>
      <c r="B407" s="27"/>
      <c r="C407" s="27"/>
      <c r="D407" s="27"/>
      <c r="E407" s="32"/>
    </row>
    <row r="408" customFormat="false" ht="15" hidden="false" customHeight="false" outlineLevel="0" collapsed="false">
      <c r="A408" s="27"/>
      <c r="B408" s="27"/>
      <c r="C408" s="27"/>
      <c r="D408" s="27"/>
      <c r="E408" s="32"/>
    </row>
    <row r="409" customFormat="false" ht="15" hidden="false" customHeight="false" outlineLevel="0" collapsed="false">
      <c r="A409" s="27"/>
      <c r="B409" s="27"/>
      <c r="C409" s="27"/>
      <c r="D409" s="27"/>
      <c r="E409" s="32"/>
    </row>
    <row r="410" customFormat="false" ht="15" hidden="false" customHeight="false" outlineLevel="0" collapsed="false">
      <c r="A410" s="27"/>
      <c r="B410" s="27"/>
      <c r="C410" s="27"/>
      <c r="D410" s="27"/>
      <c r="E410" s="32"/>
    </row>
    <row r="411" customFormat="false" ht="15" hidden="false" customHeight="false" outlineLevel="0" collapsed="false">
      <c r="A411" s="27"/>
      <c r="B411" s="27"/>
      <c r="C411" s="27"/>
      <c r="D411" s="27"/>
      <c r="E411" s="32"/>
    </row>
    <row r="412" customFormat="false" ht="15" hidden="false" customHeight="false" outlineLevel="0" collapsed="false">
      <c r="A412" s="27"/>
      <c r="B412" s="27"/>
      <c r="C412" s="27"/>
      <c r="D412" s="27"/>
      <c r="E412" s="32"/>
    </row>
    <row r="413" customFormat="false" ht="15" hidden="false" customHeight="false" outlineLevel="0" collapsed="false">
      <c r="A413" s="27"/>
      <c r="B413" s="27"/>
      <c r="C413" s="27"/>
      <c r="D413" s="27"/>
      <c r="E413" s="32"/>
    </row>
    <row r="414" customFormat="false" ht="15" hidden="false" customHeight="false" outlineLevel="0" collapsed="false">
      <c r="A414" s="27"/>
      <c r="B414" s="27"/>
      <c r="C414" s="27"/>
      <c r="D414" s="27"/>
      <c r="E414" s="32"/>
    </row>
    <row r="415" customFormat="false" ht="15" hidden="false" customHeight="false" outlineLevel="0" collapsed="false">
      <c r="A415" s="27"/>
      <c r="B415" s="27"/>
      <c r="C415" s="27"/>
      <c r="D415" s="27"/>
      <c r="E415" s="32"/>
    </row>
    <row r="416" customFormat="false" ht="15" hidden="false" customHeight="false" outlineLevel="0" collapsed="false">
      <c r="A416" s="27"/>
      <c r="B416" s="27"/>
      <c r="C416" s="27"/>
      <c r="D416" s="27"/>
      <c r="E416" s="32"/>
    </row>
    <row r="417" customFormat="false" ht="15" hidden="false" customHeight="false" outlineLevel="0" collapsed="false">
      <c r="A417" s="27"/>
      <c r="B417" s="27"/>
      <c r="C417" s="27"/>
      <c r="D417" s="27"/>
      <c r="E417" s="32"/>
    </row>
    <row r="418" customFormat="false" ht="15" hidden="false" customHeight="false" outlineLevel="0" collapsed="false">
      <c r="A418" s="27"/>
      <c r="B418" s="27"/>
      <c r="C418" s="27"/>
      <c r="D418" s="27"/>
      <c r="E418" s="32"/>
    </row>
    <row r="419" customFormat="false" ht="15" hidden="false" customHeight="false" outlineLevel="0" collapsed="false">
      <c r="A419" s="27"/>
      <c r="B419" s="27"/>
      <c r="C419" s="27"/>
      <c r="D419" s="27"/>
      <c r="E419" s="32"/>
    </row>
    <row r="420" customFormat="false" ht="15" hidden="false" customHeight="false" outlineLevel="0" collapsed="false">
      <c r="A420" s="27"/>
      <c r="B420" s="27"/>
      <c r="C420" s="27"/>
      <c r="D420" s="27"/>
      <c r="E420" s="32"/>
    </row>
    <row r="421" customFormat="false" ht="15" hidden="false" customHeight="false" outlineLevel="0" collapsed="false">
      <c r="A421" s="27"/>
      <c r="B421" s="27"/>
      <c r="C421" s="27"/>
      <c r="D421" s="27"/>
      <c r="E421" s="32"/>
    </row>
    <row r="422" customFormat="false" ht="15" hidden="false" customHeight="false" outlineLevel="0" collapsed="false">
      <c r="A422" s="27"/>
      <c r="B422" s="27"/>
      <c r="C422" s="27"/>
      <c r="D422" s="27"/>
      <c r="E422" s="32"/>
    </row>
    <row r="423" customFormat="false" ht="15" hidden="false" customHeight="false" outlineLevel="0" collapsed="false">
      <c r="A423" s="27"/>
      <c r="B423" s="27"/>
      <c r="C423" s="27"/>
      <c r="D423" s="27"/>
      <c r="E423" s="32"/>
    </row>
    <row r="424" customFormat="false" ht="15" hidden="false" customHeight="false" outlineLevel="0" collapsed="false">
      <c r="A424" s="27"/>
      <c r="B424" s="27"/>
      <c r="C424" s="27"/>
      <c r="D424" s="27"/>
      <c r="E424" s="32"/>
    </row>
    <row r="425" customFormat="false" ht="15" hidden="false" customHeight="false" outlineLevel="0" collapsed="false">
      <c r="A425" s="27"/>
      <c r="B425" s="27"/>
      <c r="C425" s="27"/>
      <c r="D425" s="27"/>
      <c r="E425" s="32"/>
    </row>
    <row r="426" customFormat="false" ht="15" hidden="false" customHeight="false" outlineLevel="0" collapsed="false">
      <c r="A426" s="27"/>
      <c r="B426" s="27"/>
      <c r="C426" s="27"/>
      <c r="D426" s="27"/>
      <c r="E426" s="32"/>
    </row>
    <row r="427" customFormat="false" ht="15" hidden="false" customHeight="false" outlineLevel="0" collapsed="false">
      <c r="A427" s="27"/>
      <c r="B427" s="27"/>
      <c r="C427" s="27"/>
      <c r="D427" s="27"/>
      <c r="E427" s="32"/>
    </row>
    <row r="428" customFormat="false" ht="15" hidden="false" customHeight="false" outlineLevel="0" collapsed="false">
      <c r="A428" s="27"/>
      <c r="B428" s="27"/>
      <c r="C428" s="27"/>
      <c r="D428" s="27"/>
      <c r="E428" s="32"/>
    </row>
    <row r="429" customFormat="false" ht="15" hidden="false" customHeight="false" outlineLevel="0" collapsed="false">
      <c r="A429" s="27"/>
      <c r="B429" s="27"/>
      <c r="C429" s="27"/>
      <c r="D429" s="27"/>
      <c r="E429" s="32"/>
    </row>
    <row r="430" customFormat="false" ht="15" hidden="false" customHeight="false" outlineLevel="0" collapsed="false">
      <c r="A430" s="27"/>
      <c r="B430" s="27"/>
      <c r="C430" s="27"/>
      <c r="D430" s="27"/>
      <c r="E430" s="32"/>
    </row>
    <row r="431" customFormat="false" ht="15" hidden="false" customHeight="false" outlineLevel="0" collapsed="false">
      <c r="A431" s="27"/>
      <c r="B431" s="27"/>
      <c r="C431" s="27"/>
      <c r="D431" s="27"/>
      <c r="E431" s="32"/>
    </row>
    <row r="432" customFormat="false" ht="15" hidden="false" customHeight="false" outlineLevel="0" collapsed="false">
      <c r="A432" s="27"/>
      <c r="B432" s="27"/>
      <c r="C432" s="27"/>
      <c r="D432" s="27"/>
      <c r="E432" s="32"/>
    </row>
    <row r="433" customFormat="false" ht="15" hidden="false" customHeight="false" outlineLevel="0" collapsed="false">
      <c r="A433" s="27"/>
      <c r="B433" s="27"/>
      <c r="C433" s="27"/>
      <c r="D433" s="27"/>
      <c r="E433" s="32"/>
    </row>
    <row r="434" customFormat="false" ht="15" hidden="false" customHeight="false" outlineLevel="0" collapsed="false">
      <c r="A434" s="27"/>
      <c r="B434" s="27"/>
      <c r="C434" s="27"/>
      <c r="D434" s="27"/>
      <c r="E434" s="32"/>
    </row>
    <row r="435" customFormat="false" ht="15" hidden="false" customHeight="false" outlineLevel="0" collapsed="false">
      <c r="A435" s="27"/>
      <c r="B435" s="27"/>
      <c r="C435" s="27"/>
      <c r="D435" s="27"/>
      <c r="E435" s="32"/>
    </row>
    <row r="436" customFormat="false" ht="15" hidden="false" customHeight="false" outlineLevel="0" collapsed="false">
      <c r="A436" s="27"/>
      <c r="B436" s="27"/>
      <c r="C436" s="27"/>
      <c r="D436" s="27"/>
      <c r="E436" s="32"/>
    </row>
    <row r="437" customFormat="false" ht="15" hidden="false" customHeight="false" outlineLevel="0" collapsed="false">
      <c r="A437" s="27"/>
      <c r="B437" s="27"/>
      <c r="C437" s="27"/>
      <c r="D437" s="27"/>
      <c r="E437" s="32"/>
    </row>
    <row r="438" customFormat="false" ht="15" hidden="false" customHeight="false" outlineLevel="0" collapsed="false">
      <c r="A438" s="27"/>
      <c r="B438" s="27"/>
      <c r="C438" s="27"/>
      <c r="D438" s="27"/>
      <c r="E438" s="32"/>
    </row>
    <row r="439" customFormat="false" ht="15" hidden="false" customHeight="false" outlineLevel="0" collapsed="false">
      <c r="A439" s="27"/>
      <c r="B439" s="27"/>
      <c r="C439" s="27"/>
      <c r="D439" s="27"/>
      <c r="E439" s="32"/>
    </row>
    <row r="440" customFormat="false" ht="15" hidden="false" customHeight="false" outlineLevel="0" collapsed="false">
      <c r="A440" s="27"/>
      <c r="B440" s="27"/>
      <c r="C440" s="27"/>
      <c r="D440" s="27"/>
      <c r="E440" s="32"/>
    </row>
    <row r="441" customFormat="false" ht="15" hidden="false" customHeight="false" outlineLevel="0" collapsed="false">
      <c r="A441" s="27"/>
      <c r="B441" s="27"/>
      <c r="C441" s="27"/>
      <c r="D441" s="27"/>
      <c r="E441" s="32"/>
    </row>
    <row r="442" customFormat="false" ht="15" hidden="false" customHeight="false" outlineLevel="0" collapsed="false">
      <c r="A442" s="27"/>
      <c r="B442" s="27"/>
      <c r="C442" s="27"/>
      <c r="D442" s="27"/>
      <c r="E442" s="32"/>
    </row>
    <row r="443" customFormat="false" ht="15" hidden="false" customHeight="false" outlineLevel="0" collapsed="false">
      <c r="A443" s="27"/>
      <c r="B443" s="27"/>
      <c r="C443" s="27"/>
      <c r="D443" s="27"/>
      <c r="E443" s="32"/>
    </row>
    <row r="444" customFormat="false" ht="15" hidden="false" customHeight="false" outlineLevel="0" collapsed="false">
      <c r="A444" s="27"/>
      <c r="B444" s="27"/>
      <c r="C444" s="27"/>
      <c r="D444" s="27"/>
      <c r="E444" s="32"/>
    </row>
    <row r="445" customFormat="false" ht="15" hidden="false" customHeight="false" outlineLevel="0" collapsed="false">
      <c r="A445" s="27"/>
      <c r="B445" s="27"/>
      <c r="C445" s="27"/>
      <c r="D445" s="27"/>
      <c r="E445" s="32"/>
    </row>
    <row r="446" customFormat="false" ht="15" hidden="false" customHeight="false" outlineLevel="0" collapsed="false">
      <c r="A446" s="27"/>
      <c r="B446" s="27"/>
      <c r="C446" s="27"/>
      <c r="D446" s="27"/>
      <c r="E446" s="32"/>
    </row>
    <row r="447" customFormat="false" ht="15" hidden="false" customHeight="false" outlineLevel="0" collapsed="false">
      <c r="A447" s="27"/>
      <c r="B447" s="27"/>
      <c r="C447" s="27"/>
      <c r="D447" s="27"/>
      <c r="E447" s="32"/>
    </row>
    <row r="448" customFormat="false" ht="15" hidden="false" customHeight="false" outlineLevel="0" collapsed="false">
      <c r="A448" s="27"/>
      <c r="B448" s="27"/>
      <c r="C448" s="27"/>
      <c r="D448" s="27"/>
      <c r="E448" s="32"/>
    </row>
    <row r="449" customFormat="false" ht="15" hidden="false" customHeight="false" outlineLevel="0" collapsed="false">
      <c r="A449" s="27"/>
      <c r="B449" s="27"/>
      <c r="C449" s="27"/>
      <c r="D449" s="27"/>
      <c r="E449" s="32"/>
    </row>
    <row r="450" customFormat="false" ht="15" hidden="false" customHeight="false" outlineLevel="0" collapsed="false">
      <c r="A450" s="27"/>
      <c r="B450" s="27"/>
      <c r="C450" s="27"/>
      <c r="D450" s="27"/>
      <c r="E450" s="32"/>
    </row>
    <row r="451" customFormat="false" ht="15" hidden="false" customHeight="false" outlineLevel="0" collapsed="false">
      <c r="A451" s="27"/>
      <c r="B451" s="27"/>
      <c r="C451" s="27"/>
      <c r="D451" s="27"/>
      <c r="E451" s="32"/>
    </row>
    <row r="452" customFormat="false" ht="15" hidden="false" customHeight="false" outlineLevel="0" collapsed="false">
      <c r="A452" s="27"/>
      <c r="B452" s="27"/>
      <c r="C452" s="27"/>
      <c r="D452" s="27"/>
      <c r="E452" s="32"/>
    </row>
    <row r="453" customFormat="false" ht="15" hidden="false" customHeight="false" outlineLevel="0" collapsed="false">
      <c r="A453" s="27"/>
      <c r="B453" s="27"/>
      <c r="C453" s="27"/>
      <c r="D453" s="27"/>
      <c r="E453" s="32"/>
    </row>
    <row r="454" customFormat="false" ht="15" hidden="false" customHeight="false" outlineLevel="0" collapsed="false">
      <c r="A454" s="27"/>
      <c r="B454" s="27"/>
      <c r="C454" s="27"/>
      <c r="D454" s="27"/>
      <c r="E454" s="32"/>
    </row>
    <row r="455" customFormat="false" ht="15" hidden="false" customHeight="false" outlineLevel="0" collapsed="false">
      <c r="A455" s="27"/>
      <c r="B455" s="27"/>
      <c r="C455" s="27"/>
      <c r="D455" s="27"/>
      <c r="E455" s="32"/>
    </row>
    <row r="456" customFormat="false" ht="15" hidden="false" customHeight="false" outlineLevel="0" collapsed="false">
      <c r="A456" s="27"/>
      <c r="B456" s="27"/>
      <c r="C456" s="27"/>
      <c r="D456" s="27"/>
      <c r="E456" s="32"/>
    </row>
    <row r="457" customFormat="false" ht="15" hidden="false" customHeight="false" outlineLevel="0" collapsed="false">
      <c r="A457" s="27"/>
      <c r="B457" s="27"/>
      <c r="C457" s="27"/>
      <c r="D457" s="27"/>
      <c r="E457" s="32"/>
    </row>
    <row r="458" customFormat="false" ht="15" hidden="false" customHeight="false" outlineLevel="0" collapsed="false">
      <c r="A458" s="27"/>
      <c r="B458" s="27"/>
      <c r="C458" s="27"/>
      <c r="D458" s="27"/>
      <c r="E458" s="32"/>
    </row>
    <row r="459" customFormat="false" ht="15" hidden="false" customHeight="false" outlineLevel="0" collapsed="false">
      <c r="A459" s="27"/>
      <c r="B459" s="27"/>
      <c r="C459" s="27"/>
      <c r="D459" s="27"/>
      <c r="E459" s="32"/>
    </row>
    <row r="460" customFormat="false" ht="15" hidden="false" customHeight="false" outlineLevel="0" collapsed="false">
      <c r="A460" s="27"/>
      <c r="B460" s="27"/>
      <c r="C460" s="27"/>
      <c r="D460" s="27"/>
      <c r="E460" s="32"/>
    </row>
    <row r="461" customFormat="false" ht="15" hidden="false" customHeight="false" outlineLevel="0" collapsed="false">
      <c r="A461" s="27"/>
      <c r="B461" s="27"/>
      <c r="C461" s="27"/>
      <c r="D461" s="27"/>
      <c r="E461" s="32"/>
    </row>
    <row r="462" customFormat="false" ht="15" hidden="false" customHeight="false" outlineLevel="0" collapsed="false">
      <c r="A462" s="27"/>
      <c r="B462" s="27"/>
      <c r="C462" s="27"/>
      <c r="D462" s="27"/>
      <c r="E462" s="32"/>
    </row>
    <row r="463" customFormat="false" ht="15" hidden="false" customHeight="false" outlineLevel="0" collapsed="false">
      <c r="A463" s="27"/>
      <c r="B463" s="27"/>
      <c r="C463" s="27"/>
      <c r="D463" s="27"/>
      <c r="E463" s="32"/>
    </row>
    <row r="464" customFormat="false" ht="15" hidden="false" customHeight="false" outlineLevel="0" collapsed="false">
      <c r="A464" s="27"/>
      <c r="B464" s="27"/>
      <c r="C464" s="27"/>
      <c r="D464" s="27"/>
      <c r="E464" s="32"/>
    </row>
    <row r="465" customFormat="false" ht="15" hidden="false" customHeight="false" outlineLevel="0" collapsed="false">
      <c r="A465" s="27"/>
      <c r="B465" s="27"/>
      <c r="C465" s="27"/>
      <c r="D465" s="27"/>
      <c r="E465" s="32"/>
    </row>
    <row r="466" customFormat="false" ht="15" hidden="false" customHeight="false" outlineLevel="0" collapsed="false">
      <c r="A466" s="27"/>
      <c r="B466" s="27"/>
      <c r="C466" s="27"/>
      <c r="D466" s="27"/>
      <c r="E466" s="32"/>
    </row>
    <row r="467" customFormat="false" ht="15" hidden="false" customHeight="false" outlineLevel="0" collapsed="false">
      <c r="A467" s="27"/>
      <c r="B467" s="27"/>
      <c r="C467" s="27"/>
      <c r="D467" s="27"/>
      <c r="E467" s="32"/>
    </row>
    <row r="468" customFormat="false" ht="15" hidden="false" customHeight="false" outlineLevel="0" collapsed="false">
      <c r="A468" s="27"/>
      <c r="B468" s="27"/>
      <c r="C468" s="27"/>
      <c r="D468" s="27"/>
      <c r="E468" s="32"/>
    </row>
    <row r="469" customFormat="false" ht="15" hidden="false" customHeight="false" outlineLevel="0" collapsed="false">
      <c r="A469" s="27"/>
      <c r="B469" s="27"/>
      <c r="C469" s="27"/>
      <c r="D469" s="27"/>
      <c r="E469" s="32"/>
    </row>
    <row r="470" customFormat="false" ht="15" hidden="false" customHeight="false" outlineLevel="0" collapsed="false">
      <c r="A470" s="27"/>
      <c r="B470" s="27"/>
      <c r="C470" s="27"/>
      <c r="D470" s="27"/>
      <c r="E470" s="32"/>
    </row>
    <row r="471" customFormat="false" ht="15" hidden="false" customHeight="false" outlineLevel="0" collapsed="false">
      <c r="A471" s="27"/>
      <c r="B471" s="27"/>
      <c r="C471" s="27"/>
      <c r="D471" s="27"/>
      <c r="E471" s="32"/>
    </row>
    <row r="472" customFormat="false" ht="15" hidden="false" customHeight="false" outlineLevel="0" collapsed="false">
      <c r="A472" s="27"/>
      <c r="B472" s="27"/>
      <c r="C472" s="27"/>
      <c r="D472" s="27"/>
      <c r="E472" s="32"/>
    </row>
    <row r="473" customFormat="false" ht="15" hidden="false" customHeight="false" outlineLevel="0" collapsed="false">
      <c r="A473" s="27"/>
      <c r="B473" s="27"/>
      <c r="C473" s="27"/>
      <c r="D473" s="27"/>
      <c r="E473" s="32"/>
    </row>
    <row r="474" customFormat="false" ht="15" hidden="false" customHeight="false" outlineLevel="0" collapsed="false">
      <c r="A474" s="27"/>
      <c r="B474" s="27"/>
      <c r="C474" s="27"/>
      <c r="D474" s="27"/>
      <c r="E474" s="32"/>
    </row>
    <row r="475" customFormat="false" ht="15" hidden="false" customHeight="false" outlineLevel="0" collapsed="false">
      <c r="A475" s="27"/>
      <c r="B475" s="27"/>
      <c r="C475" s="27"/>
      <c r="D475" s="27"/>
      <c r="E475" s="32"/>
    </row>
    <row r="476" customFormat="false" ht="15" hidden="false" customHeight="false" outlineLevel="0" collapsed="false">
      <c r="A476" s="27"/>
      <c r="B476" s="27"/>
      <c r="C476" s="27"/>
      <c r="D476" s="27"/>
      <c r="E476" s="32"/>
    </row>
    <row r="477" customFormat="false" ht="15" hidden="false" customHeight="false" outlineLevel="0" collapsed="false">
      <c r="A477" s="27"/>
      <c r="B477" s="27"/>
      <c r="C477" s="27"/>
      <c r="D477" s="27"/>
      <c r="E477" s="32"/>
    </row>
    <row r="478" customFormat="false" ht="15" hidden="false" customHeight="false" outlineLevel="0" collapsed="false">
      <c r="A478" s="27"/>
      <c r="B478" s="27"/>
      <c r="C478" s="27"/>
      <c r="D478" s="27"/>
      <c r="E478" s="32"/>
    </row>
    <row r="479" customFormat="false" ht="15" hidden="false" customHeight="false" outlineLevel="0" collapsed="false">
      <c r="A479" s="27"/>
      <c r="B479" s="27"/>
      <c r="C479" s="27"/>
      <c r="D479" s="27"/>
      <c r="E479" s="32"/>
    </row>
    <row r="480" customFormat="false" ht="15" hidden="false" customHeight="false" outlineLevel="0" collapsed="false">
      <c r="A480" s="27"/>
      <c r="B480" s="27"/>
      <c r="C480" s="27"/>
      <c r="D480" s="27"/>
      <c r="E480" s="32"/>
    </row>
    <row r="481" customFormat="false" ht="15" hidden="false" customHeight="false" outlineLevel="0" collapsed="false">
      <c r="A481" s="27"/>
      <c r="B481" s="27"/>
      <c r="C481" s="27"/>
      <c r="D481" s="27"/>
      <c r="E481" s="32"/>
    </row>
    <row r="482" customFormat="false" ht="15" hidden="false" customHeight="false" outlineLevel="0" collapsed="false">
      <c r="A482" s="27"/>
      <c r="B482" s="27"/>
      <c r="C482" s="27"/>
      <c r="D482" s="27"/>
      <c r="E482" s="32"/>
    </row>
    <row r="483" customFormat="false" ht="15" hidden="false" customHeight="false" outlineLevel="0" collapsed="false">
      <c r="A483" s="27"/>
      <c r="B483" s="27"/>
      <c r="C483" s="27"/>
      <c r="D483" s="27"/>
      <c r="E483" s="32"/>
    </row>
    <row r="484" customFormat="false" ht="15" hidden="false" customHeight="false" outlineLevel="0" collapsed="false">
      <c r="A484" s="27"/>
      <c r="B484" s="27"/>
      <c r="C484" s="27"/>
      <c r="D484" s="27"/>
      <c r="E484" s="32"/>
    </row>
    <row r="485" customFormat="false" ht="15" hidden="false" customHeight="false" outlineLevel="0" collapsed="false">
      <c r="A485" s="27"/>
      <c r="B485" s="27"/>
      <c r="C485" s="27"/>
      <c r="D485" s="27"/>
      <c r="E485" s="32"/>
    </row>
    <row r="486" customFormat="false" ht="15" hidden="false" customHeight="false" outlineLevel="0" collapsed="false">
      <c r="A486" s="27"/>
      <c r="B486" s="27"/>
      <c r="C486" s="27"/>
      <c r="D486" s="27"/>
      <c r="E486" s="32"/>
    </row>
    <row r="487" customFormat="false" ht="15" hidden="false" customHeight="false" outlineLevel="0" collapsed="false">
      <c r="A487" s="27"/>
      <c r="B487" s="27"/>
      <c r="C487" s="27"/>
      <c r="D487" s="27"/>
      <c r="E487" s="32"/>
    </row>
    <row r="488" customFormat="false" ht="15" hidden="false" customHeight="false" outlineLevel="0" collapsed="false">
      <c r="A488" s="27"/>
      <c r="B488" s="27"/>
      <c r="C488" s="27"/>
      <c r="D488" s="27"/>
      <c r="E488" s="32"/>
    </row>
    <row r="489" customFormat="false" ht="15" hidden="false" customHeight="false" outlineLevel="0" collapsed="false">
      <c r="A489" s="27"/>
      <c r="B489" s="27"/>
      <c r="C489" s="27"/>
      <c r="D489" s="27"/>
      <c r="E489" s="32"/>
    </row>
    <row r="490" customFormat="false" ht="15" hidden="false" customHeight="false" outlineLevel="0" collapsed="false">
      <c r="A490" s="27"/>
      <c r="B490" s="27"/>
      <c r="C490" s="27"/>
      <c r="D490" s="27"/>
      <c r="E490" s="32"/>
    </row>
    <row r="491" customFormat="false" ht="15" hidden="false" customHeight="false" outlineLevel="0" collapsed="false">
      <c r="A491" s="27"/>
      <c r="B491" s="27"/>
      <c r="C491" s="27"/>
      <c r="D491" s="27"/>
      <c r="E491" s="32"/>
    </row>
    <row r="492" customFormat="false" ht="15" hidden="false" customHeight="false" outlineLevel="0" collapsed="false">
      <c r="A492" s="27"/>
      <c r="B492" s="27"/>
      <c r="C492" s="27"/>
      <c r="D492" s="27"/>
      <c r="E492" s="32"/>
    </row>
    <row r="493" customFormat="false" ht="15" hidden="false" customHeight="false" outlineLevel="0" collapsed="false">
      <c r="A493" s="27"/>
      <c r="B493" s="27"/>
      <c r="C493" s="27"/>
      <c r="D493" s="27"/>
      <c r="E493" s="32"/>
    </row>
    <row r="494" customFormat="false" ht="15" hidden="false" customHeight="false" outlineLevel="0" collapsed="false">
      <c r="A494" s="27"/>
      <c r="B494" s="27"/>
      <c r="C494" s="27"/>
      <c r="D494" s="27"/>
      <c r="E494" s="32"/>
    </row>
    <row r="495" customFormat="false" ht="15" hidden="false" customHeight="false" outlineLevel="0" collapsed="false">
      <c r="A495" s="27"/>
      <c r="B495" s="27"/>
      <c r="C495" s="27"/>
      <c r="D495" s="27"/>
      <c r="E495" s="32"/>
    </row>
    <row r="496" customFormat="false" ht="15" hidden="false" customHeight="false" outlineLevel="0" collapsed="false">
      <c r="A496" s="27"/>
      <c r="B496" s="27"/>
      <c r="C496" s="27"/>
      <c r="D496" s="27"/>
      <c r="E496" s="32"/>
    </row>
    <row r="497" customFormat="false" ht="15" hidden="false" customHeight="false" outlineLevel="0" collapsed="false">
      <c r="A497" s="27"/>
      <c r="B497" s="27"/>
      <c r="C497" s="27"/>
      <c r="D497" s="27"/>
      <c r="E497" s="32"/>
    </row>
    <row r="498" customFormat="false" ht="15" hidden="false" customHeight="false" outlineLevel="0" collapsed="false">
      <c r="A498" s="27"/>
      <c r="B498" s="27"/>
      <c r="C498" s="27"/>
      <c r="D498" s="27"/>
      <c r="E498" s="32"/>
    </row>
    <row r="499" customFormat="false" ht="15" hidden="false" customHeight="false" outlineLevel="0" collapsed="false">
      <c r="A499" s="27"/>
      <c r="B499" s="27"/>
      <c r="C499" s="27"/>
      <c r="D499" s="27"/>
      <c r="E499" s="32"/>
    </row>
    <row r="500" customFormat="false" ht="15" hidden="false" customHeight="false" outlineLevel="0" collapsed="false">
      <c r="A500" s="27"/>
      <c r="B500" s="27"/>
      <c r="C500" s="27"/>
      <c r="D500" s="27"/>
      <c r="E500" s="32"/>
    </row>
    <row r="501" customFormat="false" ht="15" hidden="false" customHeight="false" outlineLevel="0" collapsed="false">
      <c r="A501" s="27"/>
      <c r="B501" s="27"/>
      <c r="C501" s="27"/>
      <c r="D501" s="27"/>
      <c r="E501" s="32"/>
    </row>
    <row r="502" customFormat="false" ht="15" hidden="false" customHeight="false" outlineLevel="0" collapsed="false">
      <c r="A502" s="27"/>
      <c r="B502" s="27"/>
      <c r="C502" s="27"/>
      <c r="D502" s="27"/>
      <c r="E502" s="32"/>
    </row>
    <row r="503" customFormat="false" ht="15" hidden="false" customHeight="false" outlineLevel="0" collapsed="false">
      <c r="A503" s="27"/>
      <c r="B503" s="27"/>
      <c r="C503" s="27"/>
      <c r="D503" s="27"/>
      <c r="E503" s="32"/>
    </row>
    <row r="504" customFormat="false" ht="15" hidden="false" customHeight="false" outlineLevel="0" collapsed="false">
      <c r="A504" s="27"/>
      <c r="B504" s="27"/>
      <c r="C504" s="27"/>
      <c r="D504" s="27"/>
      <c r="E504" s="32"/>
    </row>
    <row r="505" customFormat="false" ht="15" hidden="false" customHeight="false" outlineLevel="0" collapsed="false">
      <c r="A505" s="27"/>
      <c r="B505" s="27"/>
      <c r="C505" s="27"/>
      <c r="D505" s="27"/>
      <c r="E505" s="32"/>
    </row>
    <row r="506" customFormat="false" ht="15" hidden="false" customHeight="false" outlineLevel="0" collapsed="false">
      <c r="A506" s="27"/>
      <c r="B506" s="27"/>
      <c r="C506" s="27"/>
      <c r="D506" s="27"/>
      <c r="E506" s="32"/>
    </row>
    <row r="507" customFormat="false" ht="15" hidden="false" customHeight="false" outlineLevel="0" collapsed="false">
      <c r="A507" s="27"/>
      <c r="B507" s="27"/>
      <c r="C507" s="27"/>
      <c r="D507" s="27"/>
      <c r="E507" s="32"/>
    </row>
    <row r="508" customFormat="false" ht="15" hidden="false" customHeight="false" outlineLevel="0" collapsed="false">
      <c r="A508" s="27"/>
      <c r="B508" s="27"/>
      <c r="C508" s="27"/>
      <c r="D508" s="27"/>
      <c r="E508" s="32"/>
    </row>
    <row r="509" customFormat="false" ht="15" hidden="false" customHeight="false" outlineLevel="0" collapsed="false">
      <c r="A509" s="27"/>
      <c r="B509" s="27"/>
      <c r="C509" s="27"/>
      <c r="D509" s="27"/>
      <c r="E509" s="32"/>
    </row>
    <row r="510" customFormat="false" ht="15" hidden="false" customHeight="false" outlineLevel="0" collapsed="false">
      <c r="A510" s="27"/>
      <c r="B510" s="27"/>
      <c r="C510" s="27"/>
      <c r="D510" s="27"/>
      <c r="E510" s="32"/>
    </row>
    <row r="511" customFormat="false" ht="15" hidden="false" customHeight="false" outlineLevel="0" collapsed="false">
      <c r="A511" s="27"/>
      <c r="B511" s="27"/>
      <c r="C511" s="27"/>
      <c r="D511" s="27"/>
      <c r="E511" s="32"/>
    </row>
    <row r="512" customFormat="false" ht="15" hidden="false" customHeight="false" outlineLevel="0" collapsed="false">
      <c r="A512" s="27"/>
      <c r="B512" s="27"/>
      <c r="C512" s="27"/>
      <c r="D512" s="27"/>
      <c r="E512" s="32"/>
    </row>
    <row r="513" customFormat="false" ht="15" hidden="false" customHeight="false" outlineLevel="0" collapsed="false">
      <c r="A513" s="27"/>
      <c r="B513" s="27"/>
      <c r="C513" s="27"/>
      <c r="D513" s="27"/>
      <c r="E513" s="32"/>
    </row>
    <row r="514" customFormat="false" ht="15" hidden="false" customHeight="false" outlineLevel="0" collapsed="false">
      <c r="A514" s="27"/>
      <c r="B514" s="27"/>
      <c r="C514" s="27"/>
      <c r="D514" s="27"/>
      <c r="E514" s="32"/>
    </row>
    <row r="515" customFormat="false" ht="15" hidden="false" customHeight="false" outlineLevel="0" collapsed="false">
      <c r="A515" s="27"/>
      <c r="B515" s="27"/>
      <c r="C515" s="27"/>
      <c r="D515" s="27"/>
      <c r="E515" s="32"/>
    </row>
    <row r="516" customFormat="false" ht="15" hidden="false" customHeight="false" outlineLevel="0" collapsed="false">
      <c r="A516" s="27"/>
      <c r="B516" s="27"/>
      <c r="C516" s="27"/>
      <c r="D516" s="27"/>
      <c r="E516" s="32"/>
    </row>
    <row r="517" customFormat="false" ht="15" hidden="false" customHeight="false" outlineLevel="0" collapsed="false">
      <c r="A517" s="27"/>
      <c r="B517" s="27"/>
      <c r="C517" s="27"/>
      <c r="D517" s="27"/>
      <c r="E517" s="32"/>
    </row>
    <row r="518" customFormat="false" ht="15" hidden="false" customHeight="false" outlineLevel="0" collapsed="false">
      <c r="A518" s="27"/>
      <c r="B518" s="27"/>
      <c r="C518" s="27"/>
      <c r="D518" s="27"/>
      <c r="E518" s="32"/>
    </row>
    <row r="519" customFormat="false" ht="15" hidden="false" customHeight="false" outlineLevel="0" collapsed="false">
      <c r="A519" s="27"/>
      <c r="B519" s="27"/>
      <c r="C519" s="27"/>
      <c r="D519" s="27"/>
      <c r="E519" s="32"/>
    </row>
    <row r="520" customFormat="false" ht="15" hidden="false" customHeight="false" outlineLevel="0" collapsed="false">
      <c r="A520" s="27"/>
      <c r="B520" s="27"/>
      <c r="C520" s="27"/>
      <c r="D520" s="27"/>
      <c r="E520" s="32"/>
    </row>
    <row r="521" customFormat="false" ht="15" hidden="false" customHeight="false" outlineLevel="0" collapsed="false">
      <c r="A521" s="27"/>
      <c r="B521" s="27"/>
      <c r="C521" s="27"/>
      <c r="D521" s="27"/>
      <c r="E521" s="32"/>
    </row>
    <row r="522" customFormat="false" ht="15" hidden="false" customHeight="false" outlineLevel="0" collapsed="false">
      <c r="A522" s="27"/>
      <c r="B522" s="27"/>
      <c r="C522" s="27"/>
      <c r="D522" s="27"/>
      <c r="E522" s="32"/>
    </row>
    <row r="523" customFormat="false" ht="15" hidden="false" customHeight="false" outlineLevel="0" collapsed="false">
      <c r="A523" s="27"/>
      <c r="B523" s="27"/>
      <c r="C523" s="27"/>
      <c r="D523" s="27"/>
      <c r="E523" s="32"/>
    </row>
    <row r="524" customFormat="false" ht="15" hidden="false" customHeight="false" outlineLevel="0" collapsed="false">
      <c r="A524" s="27"/>
      <c r="B524" s="27"/>
      <c r="C524" s="27"/>
      <c r="D524" s="27"/>
      <c r="E524" s="32"/>
    </row>
    <row r="525" customFormat="false" ht="15" hidden="false" customHeight="false" outlineLevel="0" collapsed="false">
      <c r="A525" s="27"/>
      <c r="B525" s="27"/>
      <c r="C525" s="27"/>
      <c r="D525" s="27"/>
      <c r="E525" s="32"/>
    </row>
    <row r="526" customFormat="false" ht="15" hidden="false" customHeight="false" outlineLevel="0" collapsed="false">
      <c r="A526" s="27"/>
      <c r="B526" s="27"/>
      <c r="C526" s="27"/>
      <c r="D526" s="27"/>
      <c r="E526" s="32"/>
    </row>
    <row r="527" customFormat="false" ht="15" hidden="false" customHeight="false" outlineLevel="0" collapsed="false">
      <c r="A527" s="27"/>
      <c r="B527" s="27"/>
      <c r="C527" s="27"/>
      <c r="D527" s="27"/>
      <c r="E527" s="32"/>
    </row>
    <row r="528" customFormat="false" ht="15" hidden="false" customHeight="false" outlineLevel="0" collapsed="false">
      <c r="A528" s="27"/>
      <c r="B528" s="27"/>
      <c r="C528" s="27"/>
      <c r="D528" s="27"/>
      <c r="E528" s="32"/>
    </row>
    <row r="529" customFormat="false" ht="15" hidden="false" customHeight="false" outlineLevel="0" collapsed="false">
      <c r="A529" s="27"/>
      <c r="B529" s="27"/>
      <c r="C529" s="27"/>
      <c r="D529" s="27"/>
      <c r="E529" s="32"/>
    </row>
    <row r="530" customFormat="false" ht="15" hidden="false" customHeight="false" outlineLevel="0" collapsed="false">
      <c r="A530" s="27"/>
      <c r="B530" s="27"/>
      <c r="C530" s="27"/>
      <c r="D530" s="27"/>
      <c r="E530" s="32"/>
    </row>
    <row r="531" customFormat="false" ht="15" hidden="false" customHeight="false" outlineLevel="0" collapsed="false">
      <c r="A531" s="27"/>
      <c r="B531" s="27"/>
      <c r="C531" s="27"/>
      <c r="D531" s="27"/>
      <c r="E531" s="32"/>
    </row>
    <row r="532" customFormat="false" ht="15" hidden="false" customHeight="false" outlineLevel="0" collapsed="false">
      <c r="A532" s="27"/>
      <c r="B532" s="27"/>
      <c r="C532" s="27"/>
      <c r="D532" s="27"/>
      <c r="E532" s="32"/>
    </row>
    <row r="533" customFormat="false" ht="15" hidden="false" customHeight="false" outlineLevel="0" collapsed="false">
      <c r="A533" s="27"/>
      <c r="B533" s="27"/>
      <c r="C533" s="27"/>
      <c r="D533" s="27"/>
      <c r="E533" s="32"/>
    </row>
    <row r="534" customFormat="false" ht="15" hidden="false" customHeight="false" outlineLevel="0" collapsed="false">
      <c r="A534" s="27"/>
      <c r="B534" s="27"/>
      <c r="C534" s="27"/>
      <c r="D534" s="27"/>
      <c r="E534" s="32"/>
    </row>
    <row r="535" customFormat="false" ht="15" hidden="false" customHeight="false" outlineLevel="0" collapsed="false">
      <c r="A535" s="27"/>
      <c r="B535" s="27"/>
      <c r="C535" s="27"/>
      <c r="D535" s="27"/>
      <c r="E535" s="32"/>
    </row>
    <row r="536" customFormat="false" ht="15" hidden="false" customHeight="false" outlineLevel="0" collapsed="false">
      <c r="A536" s="27"/>
      <c r="B536" s="27"/>
      <c r="C536" s="27"/>
      <c r="D536" s="27"/>
      <c r="E536" s="32"/>
    </row>
    <row r="537" customFormat="false" ht="15" hidden="false" customHeight="false" outlineLevel="0" collapsed="false">
      <c r="A537" s="27"/>
      <c r="B537" s="27"/>
      <c r="C537" s="27"/>
      <c r="D537" s="27"/>
      <c r="E537" s="32"/>
    </row>
    <row r="538" customFormat="false" ht="15" hidden="false" customHeight="false" outlineLevel="0" collapsed="false">
      <c r="A538" s="27"/>
      <c r="B538" s="27"/>
      <c r="C538" s="27"/>
      <c r="D538" s="27"/>
      <c r="E538" s="32"/>
    </row>
    <row r="539" customFormat="false" ht="15" hidden="false" customHeight="false" outlineLevel="0" collapsed="false">
      <c r="A539" s="27"/>
      <c r="B539" s="27"/>
      <c r="C539" s="27"/>
      <c r="D539" s="27"/>
      <c r="E539" s="32"/>
    </row>
    <row r="540" customFormat="false" ht="15" hidden="false" customHeight="false" outlineLevel="0" collapsed="false">
      <c r="A540" s="27"/>
      <c r="B540" s="27"/>
      <c r="C540" s="27"/>
      <c r="D540" s="27"/>
      <c r="E540" s="32"/>
    </row>
    <row r="541" customFormat="false" ht="15" hidden="false" customHeight="false" outlineLevel="0" collapsed="false">
      <c r="A541" s="27"/>
      <c r="B541" s="27"/>
      <c r="C541" s="27"/>
      <c r="D541" s="27"/>
      <c r="E541" s="32"/>
    </row>
    <row r="542" customFormat="false" ht="15" hidden="false" customHeight="false" outlineLevel="0" collapsed="false">
      <c r="A542" s="27"/>
      <c r="B542" s="27"/>
      <c r="C542" s="27"/>
      <c r="D542" s="27"/>
      <c r="E542" s="32"/>
    </row>
    <row r="543" customFormat="false" ht="15" hidden="false" customHeight="false" outlineLevel="0" collapsed="false">
      <c r="A543" s="27"/>
      <c r="B543" s="27"/>
      <c r="C543" s="27"/>
      <c r="D543" s="27"/>
      <c r="E543" s="32"/>
    </row>
    <row r="544" customFormat="false" ht="15" hidden="false" customHeight="false" outlineLevel="0" collapsed="false">
      <c r="A544" s="27"/>
      <c r="B544" s="27"/>
      <c r="C544" s="27"/>
      <c r="D544" s="27"/>
      <c r="E544" s="32"/>
    </row>
    <row r="545" customFormat="false" ht="15" hidden="false" customHeight="false" outlineLevel="0" collapsed="false">
      <c r="A545" s="27"/>
      <c r="B545" s="27"/>
      <c r="C545" s="27"/>
      <c r="D545" s="27"/>
      <c r="E545" s="32"/>
    </row>
    <row r="546" customFormat="false" ht="15" hidden="false" customHeight="false" outlineLevel="0" collapsed="false">
      <c r="A546" s="27"/>
      <c r="B546" s="27"/>
      <c r="C546" s="27"/>
      <c r="D546" s="27"/>
      <c r="E546" s="32"/>
    </row>
    <row r="547" customFormat="false" ht="15" hidden="false" customHeight="false" outlineLevel="0" collapsed="false">
      <c r="A547" s="27"/>
      <c r="B547" s="27"/>
      <c r="C547" s="27"/>
      <c r="D547" s="27"/>
      <c r="E547" s="32"/>
    </row>
    <row r="548" customFormat="false" ht="15" hidden="false" customHeight="false" outlineLevel="0" collapsed="false">
      <c r="A548" s="27"/>
      <c r="B548" s="27"/>
      <c r="C548" s="27"/>
      <c r="D548" s="27"/>
      <c r="E548" s="32"/>
    </row>
    <row r="549" customFormat="false" ht="15" hidden="false" customHeight="false" outlineLevel="0" collapsed="false">
      <c r="A549" s="27"/>
      <c r="B549" s="27"/>
      <c r="C549" s="27"/>
      <c r="D549" s="27"/>
      <c r="E549" s="32"/>
    </row>
    <row r="550" customFormat="false" ht="15" hidden="false" customHeight="false" outlineLevel="0" collapsed="false">
      <c r="A550" s="27"/>
      <c r="B550" s="27"/>
      <c r="C550" s="27"/>
      <c r="D550" s="27"/>
      <c r="E550" s="32"/>
    </row>
    <row r="551" customFormat="false" ht="15" hidden="false" customHeight="false" outlineLevel="0" collapsed="false">
      <c r="A551" s="27"/>
      <c r="B551" s="27"/>
      <c r="C551" s="27"/>
      <c r="D551" s="27"/>
      <c r="E551" s="32"/>
    </row>
    <row r="552" customFormat="false" ht="15" hidden="false" customHeight="false" outlineLevel="0" collapsed="false">
      <c r="A552" s="27"/>
      <c r="B552" s="27"/>
      <c r="C552" s="27"/>
      <c r="D552" s="27"/>
      <c r="E552" s="32"/>
    </row>
    <row r="553" customFormat="false" ht="15" hidden="false" customHeight="false" outlineLevel="0" collapsed="false">
      <c r="A553" s="27"/>
      <c r="B553" s="27"/>
      <c r="C553" s="27"/>
      <c r="D553" s="27"/>
      <c r="E553" s="32"/>
    </row>
    <row r="554" customFormat="false" ht="15" hidden="false" customHeight="false" outlineLevel="0" collapsed="false">
      <c r="A554" s="27"/>
      <c r="B554" s="27"/>
      <c r="C554" s="27"/>
      <c r="D554" s="27"/>
      <c r="E554" s="32"/>
    </row>
    <row r="555" customFormat="false" ht="15" hidden="false" customHeight="false" outlineLevel="0" collapsed="false">
      <c r="A555" s="27"/>
      <c r="B555" s="27"/>
      <c r="C555" s="27"/>
      <c r="D555" s="27"/>
      <c r="E555" s="32"/>
    </row>
    <row r="556" customFormat="false" ht="15" hidden="false" customHeight="false" outlineLevel="0" collapsed="false">
      <c r="A556" s="27"/>
      <c r="B556" s="27"/>
      <c r="C556" s="27"/>
      <c r="D556" s="27"/>
      <c r="E556" s="32"/>
    </row>
    <row r="557" customFormat="false" ht="15" hidden="false" customHeight="false" outlineLevel="0" collapsed="false">
      <c r="A557" s="27"/>
      <c r="B557" s="27"/>
      <c r="C557" s="27"/>
      <c r="D557" s="27"/>
      <c r="E557" s="32"/>
    </row>
    <row r="558" customFormat="false" ht="15" hidden="false" customHeight="false" outlineLevel="0" collapsed="false">
      <c r="A558" s="27"/>
      <c r="B558" s="27"/>
      <c r="C558" s="27"/>
      <c r="D558" s="27"/>
      <c r="E558" s="32"/>
    </row>
    <row r="559" customFormat="false" ht="15" hidden="false" customHeight="false" outlineLevel="0" collapsed="false">
      <c r="A559" s="27"/>
      <c r="B559" s="27"/>
      <c r="C559" s="27"/>
      <c r="D559" s="27"/>
      <c r="E559" s="32"/>
    </row>
    <row r="560" customFormat="false" ht="15" hidden="false" customHeight="false" outlineLevel="0" collapsed="false">
      <c r="A560" s="27"/>
      <c r="B560" s="27"/>
      <c r="C560" s="27"/>
      <c r="D560" s="27"/>
      <c r="E560" s="32"/>
    </row>
    <row r="561" customFormat="false" ht="15" hidden="false" customHeight="false" outlineLevel="0" collapsed="false">
      <c r="A561" s="27"/>
      <c r="B561" s="27"/>
      <c r="C561" s="27"/>
      <c r="D561" s="27"/>
      <c r="E561" s="32"/>
    </row>
    <row r="562" customFormat="false" ht="15" hidden="false" customHeight="false" outlineLevel="0" collapsed="false">
      <c r="A562" s="27"/>
      <c r="B562" s="27"/>
      <c r="C562" s="27"/>
      <c r="D562" s="27"/>
      <c r="E562" s="32"/>
    </row>
    <row r="563" customFormat="false" ht="15" hidden="false" customHeight="false" outlineLevel="0" collapsed="false">
      <c r="A563" s="27"/>
      <c r="B563" s="27"/>
      <c r="C563" s="27"/>
      <c r="D563" s="27"/>
      <c r="E563" s="32"/>
    </row>
    <row r="564" customFormat="false" ht="15" hidden="false" customHeight="false" outlineLevel="0" collapsed="false">
      <c r="A564" s="27"/>
      <c r="B564" s="27"/>
      <c r="C564" s="27"/>
      <c r="D564" s="27"/>
      <c r="E564" s="32"/>
    </row>
    <row r="565" customFormat="false" ht="15" hidden="false" customHeight="false" outlineLevel="0" collapsed="false">
      <c r="A565" s="27"/>
      <c r="B565" s="27"/>
      <c r="C565" s="27"/>
      <c r="D565" s="27"/>
      <c r="E565" s="32"/>
    </row>
    <row r="566" customFormat="false" ht="15" hidden="false" customHeight="false" outlineLevel="0" collapsed="false">
      <c r="A566" s="27"/>
      <c r="B566" s="27"/>
      <c r="C566" s="27"/>
      <c r="D566" s="27"/>
      <c r="E566" s="32"/>
    </row>
    <row r="567" customFormat="false" ht="15" hidden="false" customHeight="false" outlineLevel="0" collapsed="false">
      <c r="A567" s="27"/>
      <c r="B567" s="27"/>
      <c r="C567" s="27"/>
      <c r="D567" s="27"/>
      <c r="E567" s="32"/>
    </row>
    <row r="568" customFormat="false" ht="15" hidden="false" customHeight="false" outlineLevel="0" collapsed="false">
      <c r="A568" s="27"/>
      <c r="B568" s="27"/>
      <c r="C568" s="27"/>
      <c r="D568" s="27"/>
      <c r="E568" s="32"/>
    </row>
    <row r="569" customFormat="false" ht="15" hidden="false" customHeight="false" outlineLevel="0" collapsed="false">
      <c r="A569" s="27"/>
      <c r="B569" s="27"/>
      <c r="C569" s="27"/>
      <c r="D569" s="27"/>
      <c r="E569" s="32"/>
    </row>
    <row r="570" customFormat="false" ht="15" hidden="false" customHeight="false" outlineLevel="0" collapsed="false">
      <c r="A570" s="27"/>
      <c r="B570" s="27"/>
      <c r="C570" s="27"/>
      <c r="D570" s="27"/>
      <c r="E570" s="32"/>
    </row>
    <row r="571" customFormat="false" ht="15" hidden="false" customHeight="false" outlineLevel="0" collapsed="false">
      <c r="A571" s="27"/>
      <c r="B571" s="27"/>
      <c r="C571" s="27"/>
      <c r="D571" s="27"/>
      <c r="E571" s="32"/>
    </row>
    <row r="572" customFormat="false" ht="15" hidden="false" customHeight="false" outlineLevel="0" collapsed="false">
      <c r="A572" s="27"/>
      <c r="B572" s="27"/>
      <c r="C572" s="27"/>
      <c r="D572" s="27"/>
      <c r="E572" s="32"/>
    </row>
    <row r="573" customFormat="false" ht="15" hidden="false" customHeight="false" outlineLevel="0" collapsed="false">
      <c r="A573" s="27"/>
      <c r="B573" s="27"/>
      <c r="C573" s="27"/>
      <c r="D573" s="27"/>
      <c r="E573" s="32"/>
    </row>
    <row r="574" customFormat="false" ht="15" hidden="false" customHeight="false" outlineLevel="0" collapsed="false">
      <c r="A574" s="27"/>
      <c r="B574" s="27"/>
      <c r="C574" s="27"/>
      <c r="D574" s="27"/>
      <c r="E574" s="32"/>
    </row>
    <row r="575" customFormat="false" ht="15" hidden="false" customHeight="false" outlineLevel="0" collapsed="false">
      <c r="A575" s="27"/>
      <c r="B575" s="27"/>
      <c r="C575" s="27"/>
      <c r="D575" s="27"/>
      <c r="E575" s="32"/>
    </row>
    <row r="576" customFormat="false" ht="15" hidden="false" customHeight="false" outlineLevel="0" collapsed="false">
      <c r="A576" s="27"/>
      <c r="B576" s="27"/>
      <c r="C576" s="27"/>
      <c r="D576" s="27"/>
      <c r="E576" s="32"/>
    </row>
    <row r="577" customFormat="false" ht="15" hidden="false" customHeight="false" outlineLevel="0" collapsed="false">
      <c r="A577" s="27"/>
      <c r="B577" s="27"/>
      <c r="C577" s="27"/>
      <c r="D577" s="27"/>
      <c r="E577" s="32"/>
    </row>
    <row r="578" customFormat="false" ht="15" hidden="false" customHeight="false" outlineLevel="0" collapsed="false">
      <c r="A578" s="27"/>
      <c r="B578" s="27"/>
      <c r="C578" s="27"/>
      <c r="D578" s="27"/>
      <c r="E578" s="32"/>
    </row>
    <row r="579" customFormat="false" ht="15" hidden="false" customHeight="false" outlineLevel="0" collapsed="false">
      <c r="A579" s="27"/>
      <c r="B579" s="27"/>
      <c r="C579" s="27"/>
      <c r="D579" s="27"/>
      <c r="E579" s="32"/>
    </row>
    <row r="580" customFormat="false" ht="15" hidden="false" customHeight="false" outlineLevel="0" collapsed="false">
      <c r="A580" s="27"/>
      <c r="B580" s="27"/>
      <c r="C580" s="27"/>
      <c r="D580" s="27"/>
      <c r="E580" s="32"/>
    </row>
    <row r="581" customFormat="false" ht="15" hidden="false" customHeight="false" outlineLevel="0" collapsed="false">
      <c r="A581" s="27"/>
      <c r="B581" s="27"/>
      <c r="C581" s="27"/>
      <c r="D581" s="27"/>
      <c r="E581" s="32"/>
    </row>
    <row r="582" customFormat="false" ht="15" hidden="false" customHeight="false" outlineLevel="0" collapsed="false">
      <c r="A582" s="27"/>
      <c r="B582" s="27"/>
      <c r="C582" s="27"/>
      <c r="D582" s="27"/>
      <c r="E582" s="32"/>
    </row>
    <row r="583" customFormat="false" ht="15" hidden="false" customHeight="false" outlineLevel="0" collapsed="false">
      <c r="A583" s="27"/>
      <c r="B583" s="27"/>
      <c r="C583" s="27"/>
      <c r="D583" s="27"/>
      <c r="E583" s="32"/>
    </row>
    <row r="584" customFormat="false" ht="15" hidden="false" customHeight="false" outlineLevel="0" collapsed="false">
      <c r="A584" s="27"/>
      <c r="B584" s="27"/>
      <c r="C584" s="27"/>
      <c r="D584" s="27"/>
      <c r="E584" s="32"/>
    </row>
    <row r="585" customFormat="false" ht="15" hidden="false" customHeight="false" outlineLevel="0" collapsed="false">
      <c r="A585" s="27"/>
      <c r="B585" s="27"/>
      <c r="C585" s="27"/>
      <c r="D585" s="27"/>
      <c r="E585" s="32"/>
    </row>
    <row r="586" customFormat="false" ht="15" hidden="false" customHeight="false" outlineLevel="0" collapsed="false">
      <c r="A586" s="27"/>
      <c r="B586" s="27"/>
      <c r="C586" s="27"/>
      <c r="D586" s="27"/>
      <c r="E586" s="32"/>
    </row>
    <row r="587" customFormat="false" ht="15" hidden="false" customHeight="false" outlineLevel="0" collapsed="false">
      <c r="A587" s="27"/>
      <c r="B587" s="27"/>
      <c r="C587" s="27"/>
      <c r="D587" s="27"/>
      <c r="E587" s="32"/>
    </row>
    <row r="588" customFormat="false" ht="15" hidden="false" customHeight="false" outlineLevel="0" collapsed="false">
      <c r="A588" s="27"/>
      <c r="B588" s="27"/>
      <c r="C588" s="27"/>
      <c r="D588" s="27"/>
      <c r="E588" s="32"/>
    </row>
    <row r="589" customFormat="false" ht="15" hidden="false" customHeight="false" outlineLevel="0" collapsed="false">
      <c r="A589" s="27"/>
      <c r="B589" s="27"/>
      <c r="C589" s="27"/>
      <c r="D589" s="27"/>
      <c r="E589" s="32"/>
    </row>
    <row r="590" customFormat="false" ht="15" hidden="false" customHeight="false" outlineLevel="0" collapsed="false">
      <c r="A590" s="27"/>
      <c r="B590" s="27"/>
      <c r="C590" s="27"/>
      <c r="D590" s="27"/>
      <c r="E590" s="32"/>
    </row>
    <row r="591" customFormat="false" ht="15" hidden="false" customHeight="false" outlineLevel="0" collapsed="false">
      <c r="A591" s="27"/>
      <c r="B591" s="27"/>
      <c r="C591" s="27"/>
      <c r="D591" s="27"/>
      <c r="E591" s="32"/>
    </row>
    <row r="592" customFormat="false" ht="15" hidden="false" customHeight="false" outlineLevel="0" collapsed="false">
      <c r="A592" s="27"/>
      <c r="B592" s="27"/>
      <c r="C592" s="27"/>
      <c r="D592" s="27"/>
      <c r="E592" s="32"/>
    </row>
    <row r="593" customFormat="false" ht="15" hidden="false" customHeight="false" outlineLevel="0" collapsed="false">
      <c r="A593" s="27"/>
      <c r="B593" s="27"/>
      <c r="C593" s="27"/>
      <c r="D593" s="27"/>
      <c r="E593" s="32"/>
    </row>
    <row r="594" customFormat="false" ht="15" hidden="false" customHeight="false" outlineLevel="0" collapsed="false">
      <c r="A594" s="27"/>
      <c r="B594" s="27"/>
      <c r="C594" s="27"/>
      <c r="D594" s="27"/>
      <c r="E594" s="32"/>
    </row>
    <row r="595" customFormat="false" ht="15" hidden="false" customHeight="false" outlineLevel="0" collapsed="false">
      <c r="A595" s="27"/>
      <c r="B595" s="27"/>
      <c r="C595" s="27"/>
      <c r="D595" s="27"/>
      <c r="E595" s="32"/>
    </row>
    <row r="596" customFormat="false" ht="15" hidden="false" customHeight="false" outlineLevel="0" collapsed="false">
      <c r="A596" s="27"/>
      <c r="B596" s="27"/>
      <c r="C596" s="27"/>
      <c r="D596" s="27"/>
      <c r="E596" s="32"/>
    </row>
    <row r="597" customFormat="false" ht="15" hidden="false" customHeight="false" outlineLevel="0" collapsed="false">
      <c r="A597" s="27"/>
      <c r="B597" s="27"/>
      <c r="C597" s="27"/>
      <c r="D597" s="27"/>
      <c r="E597" s="32"/>
    </row>
    <row r="598" customFormat="false" ht="15" hidden="false" customHeight="false" outlineLevel="0" collapsed="false">
      <c r="A598" s="27"/>
      <c r="B598" s="27"/>
      <c r="C598" s="27"/>
      <c r="D598" s="27"/>
      <c r="E598" s="32"/>
    </row>
    <row r="599" customFormat="false" ht="15" hidden="false" customHeight="false" outlineLevel="0" collapsed="false">
      <c r="A599" s="27"/>
      <c r="B599" s="27"/>
      <c r="C599" s="27"/>
      <c r="D599" s="27"/>
      <c r="E599" s="32"/>
    </row>
    <row r="600" customFormat="false" ht="15" hidden="false" customHeight="false" outlineLevel="0" collapsed="false">
      <c r="A600" s="27"/>
      <c r="B600" s="27"/>
      <c r="C600" s="27"/>
      <c r="D600" s="27"/>
      <c r="E600" s="32"/>
    </row>
    <row r="601" customFormat="false" ht="15" hidden="false" customHeight="false" outlineLevel="0" collapsed="false">
      <c r="A601" s="27"/>
      <c r="B601" s="27"/>
      <c r="C601" s="27"/>
      <c r="D601" s="27"/>
      <c r="E601" s="32"/>
    </row>
    <row r="602" customFormat="false" ht="15" hidden="false" customHeight="false" outlineLevel="0" collapsed="false">
      <c r="A602" s="27"/>
      <c r="B602" s="27"/>
      <c r="C602" s="27"/>
      <c r="D602" s="27"/>
      <c r="E602" s="32"/>
    </row>
    <row r="603" customFormat="false" ht="15" hidden="false" customHeight="false" outlineLevel="0" collapsed="false">
      <c r="A603" s="27"/>
      <c r="B603" s="27"/>
      <c r="C603" s="27"/>
      <c r="D603" s="27"/>
      <c r="E603" s="32"/>
    </row>
    <row r="604" customFormat="false" ht="15" hidden="false" customHeight="false" outlineLevel="0" collapsed="false">
      <c r="A604" s="27"/>
      <c r="B604" s="27"/>
      <c r="C604" s="27"/>
      <c r="D604" s="27"/>
      <c r="E604" s="32"/>
    </row>
    <row r="605" customFormat="false" ht="15" hidden="false" customHeight="false" outlineLevel="0" collapsed="false">
      <c r="A605" s="27"/>
      <c r="B605" s="27"/>
      <c r="C605" s="27"/>
      <c r="D605" s="27"/>
      <c r="E605" s="32"/>
    </row>
    <row r="606" customFormat="false" ht="15" hidden="false" customHeight="false" outlineLevel="0" collapsed="false">
      <c r="A606" s="27"/>
      <c r="B606" s="27"/>
      <c r="C606" s="27"/>
      <c r="D606" s="27"/>
      <c r="E606" s="32"/>
    </row>
    <row r="607" customFormat="false" ht="15" hidden="false" customHeight="false" outlineLevel="0" collapsed="false">
      <c r="A607" s="27"/>
      <c r="B607" s="27"/>
      <c r="C607" s="27"/>
      <c r="D607" s="27"/>
      <c r="E607" s="32"/>
    </row>
    <row r="608" customFormat="false" ht="15" hidden="false" customHeight="false" outlineLevel="0" collapsed="false">
      <c r="A608" s="27"/>
      <c r="B608" s="27"/>
      <c r="C608" s="27"/>
      <c r="D608" s="27"/>
      <c r="E608" s="32"/>
    </row>
    <row r="609" customFormat="false" ht="15" hidden="false" customHeight="false" outlineLevel="0" collapsed="false">
      <c r="A609" s="27"/>
      <c r="B609" s="27"/>
      <c r="C609" s="27"/>
      <c r="D609" s="27"/>
      <c r="E609" s="32"/>
    </row>
    <row r="610" customFormat="false" ht="15" hidden="false" customHeight="false" outlineLevel="0" collapsed="false">
      <c r="A610" s="27"/>
      <c r="B610" s="27"/>
      <c r="C610" s="27"/>
      <c r="D610" s="27"/>
      <c r="E610" s="32"/>
    </row>
    <row r="611" customFormat="false" ht="15" hidden="false" customHeight="false" outlineLevel="0" collapsed="false">
      <c r="A611" s="27"/>
      <c r="B611" s="27"/>
      <c r="C611" s="27"/>
      <c r="D611" s="27"/>
      <c r="E611" s="32"/>
    </row>
    <row r="612" customFormat="false" ht="15" hidden="false" customHeight="false" outlineLevel="0" collapsed="false">
      <c r="A612" s="27"/>
      <c r="B612" s="27"/>
      <c r="C612" s="27"/>
      <c r="D612" s="27"/>
      <c r="E612" s="32"/>
    </row>
    <row r="613" customFormat="false" ht="15" hidden="false" customHeight="false" outlineLevel="0" collapsed="false">
      <c r="A613" s="27"/>
      <c r="B613" s="27"/>
      <c r="C613" s="27"/>
      <c r="D613" s="27"/>
      <c r="E613" s="32"/>
    </row>
    <row r="614" customFormat="false" ht="15" hidden="false" customHeight="false" outlineLevel="0" collapsed="false">
      <c r="A614" s="27"/>
      <c r="B614" s="27"/>
      <c r="C614" s="27"/>
      <c r="D614" s="27"/>
      <c r="E614" s="32"/>
    </row>
    <row r="615" customFormat="false" ht="15" hidden="false" customHeight="false" outlineLevel="0" collapsed="false">
      <c r="A615" s="27"/>
      <c r="B615" s="27"/>
      <c r="C615" s="27"/>
      <c r="D615" s="27"/>
      <c r="E615" s="32"/>
    </row>
    <row r="616" customFormat="false" ht="15" hidden="false" customHeight="false" outlineLevel="0" collapsed="false">
      <c r="A616" s="27"/>
      <c r="B616" s="27"/>
      <c r="C616" s="27"/>
      <c r="D616" s="27"/>
      <c r="E616" s="32"/>
    </row>
    <row r="617" customFormat="false" ht="15" hidden="false" customHeight="false" outlineLevel="0" collapsed="false">
      <c r="A617" s="27"/>
      <c r="B617" s="27"/>
      <c r="C617" s="27"/>
      <c r="D617" s="27"/>
      <c r="E617" s="32"/>
    </row>
    <row r="618" customFormat="false" ht="15" hidden="false" customHeight="false" outlineLevel="0" collapsed="false">
      <c r="A618" s="27"/>
      <c r="B618" s="27"/>
      <c r="C618" s="27"/>
      <c r="D618" s="27"/>
      <c r="E618" s="32"/>
    </row>
    <row r="619" customFormat="false" ht="15" hidden="false" customHeight="false" outlineLevel="0" collapsed="false">
      <c r="A619" s="27"/>
      <c r="B619" s="27"/>
      <c r="C619" s="27"/>
      <c r="D619" s="27"/>
      <c r="E619" s="32"/>
    </row>
    <row r="620" customFormat="false" ht="15" hidden="false" customHeight="false" outlineLevel="0" collapsed="false">
      <c r="A620" s="27"/>
      <c r="B620" s="27"/>
      <c r="C620" s="27"/>
      <c r="D620" s="27"/>
      <c r="E620" s="32"/>
    </row>
    <row r="621" customFormat="false" ht="15" hidden="false" customHeight="false" outlineLevel="0" collapsed="false">
      <c r="A621" s="27"/>
      <c r="B621" s="27"/>
      <c r="C621" s="27"/>
      <c r="D621" s="27"/>
      <c r="E621" s="32"/>
    </row>
    <row r="622" customFormat="false" ht="15" hidden="false" customHeight="false" outlineLevel="0" collapsed="false">
      <c r="A622" s="27"/>
      <c r="B622" s="27"/>
      <c r="C622" s="27"/>
      <c r="D622" s="27"/>
      <c r="E622" s="32"/>
    </row>
    <row r="623" customFormat="false" ht="15" hidden="false" customHeight="false" outlineLevel="0" collapsed="false">
      <c r="A623" s="27"/>
      <c r="B623" s="27"/>
      <c r="C623" s="27"/>
      <c r="D623" s="27"/>
      <c r="E623" s="32"/>
    </row>
    <row r="624" customFormat="false" ht="15" hidden="false" customHeight="false" outlineLevel="0" collapsed="false">
      <c r="A624" s="27"/>
      <c r="B624" s="27"/>
      <c r="C624" s="27"/>
      <c r="D624" s="27"/>
      <c r="E624" s="32"/>
    </row>
    <row r="625" customFormat="false" ht="15" hidden="false" customHeight="false" outlineLevel="0" collapsed="false">
      <c r="A625" s="27"/>
      <c r="B625" s="27"/>
      <c r="C625" s="27"/>
      <c r="D625" s="27"/>
      <c r="E625" s="32"/>
    </row>
    <row r="626" customFormat="false" ht="15" hidden="false" customHeight="false" outlineLevel="0" collapsed="false">
      <c r="A626" s="27"/>
      <c r="B626" s="27"/>
      <c r="C626" s="27"/>
      <c r="D626" s="27"/>
      <c r="E626" s="32"/>
    </row>
    <row r="627" customFormat="false" ht="15" hidden="false" customHeight="false" outlineLevel="0" collapsed="false">
      <c r="A627" s="27"/>
      <c r="B627" s="27"/>
      <c r="C627" s="27"/>
      <c r="D627" s="27"/>
      <c r="E627" s="32"/>
    </row>
    <row r="628" customFormat="false" ht="15" hidden="false" customHeight="false" outlineLevel="0" collapsed="false">
      <c r="A628" s="27"/>
      <c r="B628" s="27"/>
      <c r="C628" s="27"/>
      <c r="D628" s="27"/>
      <c r="E628" s="32"/>
    </row>
    <row r="629" customFormat="false" ht="15" hidden="false" customHeight="false" outlineLevel="0" collapsed="false">
      <c r="A629" s="27"/>
      <c r="B629" s="27"/>
      <c r="C629" s="27"/>
      <c r="D629" s="27"/>
      <c r="E629" s="32"/>
    </row>
    <row r="630" customFormat="false" ht="15" hidden="false" customHeight="false" outlineLevel="0" collapsed="false">
      <c r="A630" s="27"/>
      <c r="B630" s="27"/>
      <c r="C630" s="27"/>
      <c r="D630" s="27"/>
      <c r="E630" s="32"/>
    </row>
    <row r="631" customFormat="false" ht="15" hidden="false" customHeight="false" outlineLevel="0" collapsed="false">
      <c r="A631" s="27"/>
      <c r="B631" s="27"/>
      <c r="C631" s="27"/>
      <c r="D631" s="27"/>
      <c r="E631" s="32"/>
    </row>
    <row r="632" customFormat="false" ht="15" hidden="false" customHeight="false" outlineLevel="0" collapsed="false">
      <c r="A632" s="27"/>
      <c r="B632" s="27"/>
      <c r="C632" s="27"/>
      <c r="D632" s="27"/>
      <c r="E632" s="32"/>
    </row>
    <row r="633" customFormat="false" ht="15" hidden="false" customHeight="false" outlineLevel="0" collapsed="false">
      <c r="A633" s="27"/>
      <c r="B633" s="27"/>
      <c r="C633" s="27"/>
      <c r="D633" s="27"/>
      <c r="E633" s="32"/>
    </row>
    <row r="634" customFormat="false" ht="15" hidden="false" customHeight="false" outlineLevel="0" collapsed="false">
      <c r="A634" s="27"/>
      <c r="B634" s="27"/>
      <c r="C634" s="27"/>
      <c r="D634" s="27"/>
      <c r="E634" s="32"/>
    </row>
    <row r="635" customFormat="false" ht="15" hidden="false" customHeight="false" outlineLevel="0" collapsed="false">
      <c r="A635" s="27"/>
      <c r="B635" s="27"/>
      <c r="C635" s="27"/>
      <c r="D635" s="27"/>
      <c r="E635" s="32"/>
    </row>
    <row r="636" customFormat="false" ht="15" hidden="false" customHeight="false" outlineLevel="0" collapsed="false">
      <c r="A636" s="27"/>
      <c r="B636" s="27"/>
      <c r="C636" s="27"/>
      <c r="D636" s="27"/>
      <c r="E636" s="32"/>
    </row>
    <row r="637" customFormat="false" ht="15" hidden="false" customHeight="false" outlineLevel="0" collapsed="false">
      <c r="A637" s="27"/>
      <c r="B637" s="27"/>
      <c r="C637" s="27"/>
      <c r="D637" s="27"/>
      <c r="E637" s="32"/>
    </row>
    <row r="638" customFormat="false" ht="15" hidden="false" customHeight="false" outlineLevel="0" collapsed="false">
      <c r="A638" s="27"/>
      <c r="B638" s="27"/>
      <c r="C638" s="27"/>
      <c r="D638" s="27"/>
      <c r="E638" s="32"/>
    </row>
    <row r="639" customFormat="false" ht="15" hidden="false" customHeight="false" outlineLevel="0" collapsed="false">
      <c r="A639" s="27"/>
      <c r="B639" s="27"/>
      <c r="C639" s="27"/>
      <c r="D639" s="27"/>
      <c r="E639" s="32"/>
    </row>
    <row r="640" customFormat="false" ht="15" hidden="false" customHeight="false" outlineLevel="0" collapsed="false">
      <c r="A640" s="27"/>
      <c r="B640" s="27"/>
      <c r="C640" s="27"/>
      <c r="D640" s="27"/>
      <c r="E640" s="32"/>
    </row>
    <row r="641" customFormat="false" ht="15" hidden="false" customHeight="false" outlineLevel="0" collapsed="false">
      <c r="A641" s="27"/>
      <c r="B641" s="27"/>
      <c r="C641" s="27"/>
      <c r="D641" s="27"/>
      <c r="E641" s="32"/>
    </row>
    <row r="642" customFormat="false" ht="15" hidden="false" customHeight="false" outlineLevel="0" collapsed="false">
      <c r="A642" s="27"/>
      <c r="B642" s="27"/>
      <c r="C642" s="27"/>
      <c r="D642" s="27"/>
      <c r="E642" s="32"/>
    </row>
    <row r="643" customFormat="false" ht="15" hidden="false" customHeight="false" outlineLevel="0" collapsed="false">
      <c r="A643" s="27"/>
      <c r="B643" s="27"/>
      <c r="C643" s="27"/>
      <c r="D643" s="27"/>
      <c r="E643" s="32"/>
    </row>
    <row r="644" customFormat="false" ht="15" hidden="false" customHeight="false" outlineLevel="0" collapsed="false">
      <c r="A644" s="27"/>
      <c r="B644" s="27"/>
      <c r="C644" s="27"/>
      <c r="D644" s="27"/>
      <c r="E644" s="32"/>
    </row>
    <row r="645" customFormat="false" ht="15" hidden="false" customHeight="false" outlineLevel="0" collapsed="false">
      <c r="A645" s="27"/>
      <c r="B645" s="27"/>
      <c r="C645" s="27"/>
      <c r="D645" s="27"/>
      <c r="E645" s="32"/>
    </row>
    <row r="646" customFormat="false" ht="15" hidden="false" customHeight="false" outlineLevel="0" collapsed="false">
      <c r="A646" s="27"/>
      <c r="B646" s="27"/>
      <c r="C646" s="27"/>
      <c r="D646" s="27"/>
      <c r="E646" s="32"/>
    </row>
    <row r="647" customFormat="false" ht="15" hidden="false" customHeight="false" outlineLevel="0" collapsed="false">
      <c r="A647" s="27"/>
      <c r="B647" s="27"/>
      <c r="C647" s="27"/>
      <c r="D647" s="27"/>
      <c r="E647" s="32"/>
    </row>
    <row r="648" customFormat="false" ht="15" hidden="false" customHeight="false" outlineLevel="0" collapsed="false">
      <c r="A648" s="27"/>
      <c r="B648" s="27"/>
      <c r="C648" s="27"/>
      <c r="D648" s="27"/>
      <c r="E648" s="32"/>
    </row>
    <row r="649" customFormat="false" ht="15" hidden="false" customHeight="false" outlineLevel="0" collapsed="false">
      <c r="A649" s="27"/>
      <c r="B649" s="27"/>
      <c r="C649" s="27"/>
      <c r="D649" s="27"/>
      <c r="E649" s="32"/>
    </row>
    <row r="650" customFormat="false" ht="15" hidden="false" customHeight="false" outlineLevel="0" collapsed="false">
      <c r="A650" s="27"/>
      <c r="B650" s="27"/>
      <c r="C650" s="27"/>
      <c r="D650" s="27"/>
      <c r="E650" s="32"/>
    </row>
    <row r="651" customFormat="false" ht="15" hidden="false" customHeight="false" outlineLevel="0" collapsed="false">
      <c r="A651" s="27"/>
      <c r="B651" s="27"/>
      <c r="C651" s="27"/>
      <c r="D651" s="27"/>
      <c r="E651" s="32"/>
    </row>
    <row r="652" customFormat="false" ht="15" hidden="false" customHeight="false" outlineLevel="0" collapsed="false">
      <c r="A652" s="27"/>
      <c r="B652" s="27"/>
      <c r="C652" s="27"/>
      <c r="D652" s="27"/>
      <c r="E652" s="32"/>
    </row>
    <row r="653" customFormat="false" ht="15" hidden="false" customHeight="false" outlineLevel="0" collapsed="false">
      <c r="A653" s="27"/>
      <c r="B653" s="27"/>
      <c r="C653" s="27"/>
      <c r="D653" s="27"/>
      <c r="E653" s="32"/>
    </row>
    <row r="654" customFormat="false" ht="15" hidden="false" customHeight="false" outlineLevel="0" collapsed="false">
      <c r="A654" s="27"/>
      <c r="B654" s="27"/>
      <c r="C654" s="27"/>
      <c r="D654" s="27"/>
      <c r="E654" s="32"/>
    </row>
    <row r="655" customFormat="false" ht="15" hidden="false" customHeight="false" outlineLevel="0" collapsed="false">
      <c r="A655" s="27"/>
      <c r="B655" s="27"/>
      <c r="C655" s="27"/>
      <c r="D655" s="27"/>
      <c r="E655" s="32"/>
    </row>
    <row r="656" customFormat="false" ht="15" hidden="false" customHeight="false" outlineLevel="0" collapsed="false">
      <c r="A656" s="27"/>
      <c r="B656" s="27"/>
      <c r="C656" s="27"/>
      <c r="D656" s="27"/>
      <c r="E656" s="32"/>
    </row>
    <row r="657" customFormat="false" ht="15" hidden="false" customHeight="false" outlineLevel="0" collapsed="false">
      <c r="A657" s="27"/>
      <c r="B657" s="27"/>
      <c r="C657" s="27"/>
      <c r="D657" s="27"/>
      <c r="E657" s="32"/>
    </row>
    <row r="658" customFormat="false" ht="15" hidden="false" customHeight="false" outlineLevel="0" collapsed="false">
      <c r="A658" s="27"/>
      <c r="B658" s="27"/>
      <c r="C658" s="27"/>
      <c r="D658" s="27"/>
      <c r="E658" s="32"/>
    </row>
    <row r="659" customFormat="false" ht="15" hidden="false" customHeight="false" outlineLevel="0" collapsed="false">
      <c r="A659" s="27"/>
      <c r="B659" s="27"/>
      <c r="C659" s="27"/>
      <c r="D659" s="27"/>
      <c r="E659" s="32"/>
    </row>
    <row r="660" customFormat="false" ht="15" hidden="false" customHeight="false" outlineLevel="0" collapsed="false">
      <c r="A660" s="27"/>
      <c r="B660" s="27"/>
      <c r="C660" s="27"/>
      <c r="D660" s="27"/>
      <c r="E660" s="32"/>
    </row>
    <row r="661" customFormat="false" ht="15" hidden="false" customHeight="false" outlineLevel="0" collapsed="false">
      <c r="A661" s="27"/>
      <c r="B661" s="27"/>
      <c r="C661" s="27"/>
      <c r="D661" s="27"/>
      <c r="E661" s="32"/>
    </row>
    <row r="662" customFormat="false" ht="15" hidden="false" customHeight="false" outlineLevel="0" collapsed="false">
      <c r="A662" s="27"/>
      <c r="B662" s="27"/>
      <c r="C662" s="27"/>
      <c r="D662" s="27"/>
      <c r="E662" s="32"/>
    </row>
    <row r="663" customFormat="false" ht="15" hidden="false" customHeight="false" outlineLevel="0" collapsed="false">
      <c r="A663" s="27"/>
      <c r="B663" s="27"/>
      <c r="C663" s="27"/>
      <c r="D663" s="27"/>
      <c r="E663" s="32"/>
    </row>
    <row r="664" customFormat="false" ht="15" hidden="false" customHeight="false" outlineLevel="0" collapsed="false">
      <c r="A664" s="27"/>
      <c r="B664" s="27"/>
      <c r="C664" s="27"/>
      <c r="D664" s="27"/>
      <c r="E664" s="32"/>
    </row>
    <row r="665" customFormat="false" ht="15" hidden="false" customHeight="false" outlineLevel="0" collapsed="false">
      <c r="A665" s="27"/>
      <c r="B665" s="27"/>
      <c r="C665" s="27"/>
      <c r="D665" s="27"/>
      <c r="E665" s="32"/>
    </row>
    <row r="666" customFormat="false" ht="15" hidden="false" customHeight="false" outlineLevel="0" collapsed="false">
      <c r="A666" s="27"/>
      <c r="B666" s="27"/>
      <c r="C666" s="27"/>
      <c r="D666" s="27"/>
      <c r="E666" s="32"/>
    </row>
    <row r="667" customFormat="false" ht="15" hidden="false" customHeight="false" outlineLevel="0" collapsed="false">
      <c r="A667" s="27"/>
      <c r="B667" s="27"/>
      <c r="C667" s="27"/>
      <c r="D667" s="27"/>
      <c r="E667" s="32"/>
    </row>
    <row r="668" customFormat="false" ht="15" hidden="false" customHeight="false" outlineLevel="0" collapsed="false">
      <c r="A668" s="27"/>
      <c r="B668" s="27"/>
      <c r="C668" s="27"/>
      <c r="D668" s="27"/>
      <c r="E668" s="32"/>
    </row>
    <row r="669" customFormat="false" ht="15" hidden="false" customHeight="false" outlineLevel="0" collapsed="false">
      <c r="A669" s="27"/>
      <c r="B669" s="27"/>
      <c r="C669" s="27"/>
      <c r="D669" s="27"/>
      <c r="E669" s="32"/>
    </row>
    <row r="670" customFormat="false" ht="15" hidden="false" customHeight="false" outlineLevel="0" collapsed="false">
      <c r="A670" s="27"/>
      <c r="B670" s="27"/>
      <c r="C670" s="27"/>
      <c r="D670" s="27"/>
      <c r="E670" s="32"/>
    </row>
    <row r="671" customFormat="false" ht="15" hidden="false" customHeight="false" outlineLevel="0" collapsed="false">
      <c r="A671" s="27"/>
      <c r="B671" s="27"/>
      <c r="C671" s="27"/>
      <c r="D671" s="27"/>
      <c r="E671" s="32"/>
    </row>
    <row r="672" customFormat="false" ht="15" hidden="false" customHeight="false" outlineLevel="0" collapsed="false">
      <c r="A672" s="27"/>
      <c r="B672" s="27"/>
      <c r="C672" s="27"/>
      <c r="D672" s="27"/>
      <c r="E672" s="32"/>
    </row>
    <row r="673" customFormat="false" ht="15" hidden="false" customHeight="false" outlineLevel="0" collapsed="false">
      <c r="A673" s="27"/>
      <c r="B673" s="27"/>
      <c r="C673" s="27"/>
      <c r="D673" s="27"/>
      <c r="E673" s="32"/>
    </row>
    <row r="674" customFormat="false" ht="15" hidden="false" customHeight="false" outlineLevel="0" collapsed="false">
      <c r="A674" s="27"/>
      <c r="B674" s="27"/>
      <c r="C674" s="27"/>
      <c r="D674" s="27"/>
      <c r="E674" s="32"/>
    </row>
    <row r="675" customFormat="false" ht="15" hidden="false" customHeight="false" outlineLevel="0" collapsed="false">
      <c r="A675" s="27"/>
      <c r="B675" s="27"/>
      <c r="C675" s="27"/>
      <c r="D675" s="27"/>
      <c r="E675" s="32"/>
    </row>
    <row r="676" customFormat="false" ht="15" hidden="false" customHeight="false" outlineLevel="0" collapsed="false">
      <c r="A676" s="27"/>
      <c r="B676" s="27"/>
      <c r="C676" s="27"/>
      <c r="D676" s="27"/>
      <c r="E676" s="32"/>
    </row>
    <row r="677" customFormat="false" ht="15" hidden="false" customHeight="false" outlineLevel="0" collapsed="false">
      <c r="A677" s="27"/>
      <c r="B677" s="27"/>
      <c r="C677" s="27"/>
      <c r="D677" s="27"/>
      <c r="E677" s="32"/>
    </row>
    <row r="678" customFormat="false" ht="15" hidden="false" customHeight="false" outlineLevel="0" collapsed="false">
      <c r="A678" s="27"/>
      <c r="B678" s="27"/>
      <c r="C678" s="27"/>
      <c r="D678" s="27"/>
      <c r="E678" s="32"/>
    </row>
    <row r="679" customFormat="false" ht="15" hidden="false" customHeight="false" outlineLevel="0" collapsed="false">
      <c r="A679" s="27"/>
      <c r="B679" s="27"/>
      <c r="C679" s="27"/>
      <c r="D679" s="27"/>
      <c r="E679" s="32"/>
    </row>
    <row r="680" customFormat="false" ht="15" hidden="false" customHeight="false" outlineLevel="0" collapsed="false">
      <c r="A680" s="27"/>
      <c r="B680" s="27"/>
      <c r="C680" s="27"/>
      <c r="D680" s="27"/>
      <c r="E680" s="32"/>
    </row>
    <row r="681" customFormat="false" ht="15" hidden="false" customHeight="false" outlineLevel="0" collapsed="false">
      <c r="A681" s="27"/>
      <c r="B681" s="27"/>
      <c r="C681" s="27"/>
      <c r="D681" s="27"/>
      <c r="E681" s="32"/>
    </row>
    <row r="682" customFormat="false" ht="15" hidden="false" customHeight="false" outlineLevel="0" collapsed="false">
      <c r="A682" s="27"/>
      <c r="B682" s="27"/>
      <c r="C682" s="27"/>
      <c r="D682" s="27"/>
      <c r="E682" s="32"/>
    </row>
    <row r="683" customFormat="false" ht="15" hidden="false" customHeight="false" outlineLevel="0" collapsed="false">
      <c r="A683" s="27"/>
      <c r="B683" s="27"/>
      <c r="C683" s="27"/>
      <c r="D683" s="27"/>
      <c r="E683" s="32"/>
    </row>
    <row r="684" customFormat="false" ht="15" hidden="false" customHeight="false" outlineLevel="0" collapsed="false">
      <c r="A684" s="27"/>
      <c r="B684" s="27"/>
      <c r="C684" s="27"/>
      <c r="D684" s="27"/>
      <c r="E684" s="32"/>
    </row>
    <row r="685" customFormat="false" ht="15" hidden="false" customHeight="false" outlineLevel="0" collapsed="false">
      <c r="A685" s="27"/>
      <c r="B685" s="27"/>
      <c r="C685" s="27"/>
      <c r="D685" s="27"/>
      <c r="E685" s="32"/>
    </row>
    <row r="686" customFormat="false" ht="15" hidden="false" customHeight="false" outlineLevel="0" collapsed="false">
      <c r="A686" s="27"/>
      <c r="B686" s="27"/>
      <c r="C686" s="27"/>
      <c r="D686" s="27"/>
      <c r="E686" s="32"/>
    </row>
    <row r="687" customFormat="false" ht="15" hidden="false" customHeight="false" outlineLevel="0" collapsed="false">
      <c r="A687" s="27"/>
      <c r="B687" s="27"/>
      <c r="C687" s="27"/>
      <c r="D687" s="27"/>
      <c r="E687" s="32"/>
    </row>
    <row r="688" customFormat="false" ht="15" hidden="false" customHeight="false" outlineLevel="0" collapsed="false">
      <c r="A688" s="27"/>
      <c r="B688" s="27"/>
      <c r="C688" s="27"/>
      <c r="D688" s="27"/>
      <c r="E688" s="32"/>
    </row>
    <row r="689" customFormat="false" ht="15" hidden="false" customHeight="false" outlineLevel="0" collapsed="false">
      <c r="A689" s="27"/>
      <c r="B689" s="27"/>
      <c r="C689" s="27"/>
      <c r="D689" s="27"/>
      <c r="E689" s="32"/>
    </row>
    <row r="690" customFormat="false" ht="15" hidden="false" customHeight="false" outlineLevel="0" collapsed="false">
      <c r="A690" s="27"/>
      <c r="B690" s="27"/>
      <c r="C690" s="27"/>
      <c r="D690" s="27"/>
      <c r="E690" s="32"/>
    </row>
    <row r="691" customFormat="false" ht="15" hidden="false" customHeight="false" outlineLevel="0" collapsed="false">
      <c r="A691" s="27"/>
      <c r="B691" s="27"/>
      <c r="C691" s="27"/>
      <c r="D691" s="27"/>
      <c r="E691" s="32"/>
    </row>
    <row r="692" customFormat="false" ht="15" hidden="false" customHeight="false" outlineLevel="0" collapsed="false">
      <c r="A692" s="27"/>
      <c r="B692" s="27"/>
      <c r="C692" s="27"/>
      <c r="D692" s="27"/>
      <c r="E692" s="32"/>
    </row>
    <row r="693" customFormat="false" ht="15" hidden="false" customHeight="false" outlineLevel="0" collapsed="false">
      <c r="A693" s="27"/>
      <c r="B693" s="27"/>
      <c r="C693" s="27"/>
      <c r="D693" s="27"/>
      <c r="E693" s="32"/>
    </row>
    <row r="694" customFormat="false" ht="15" hidden="false" customHeight="false" outlineLevel="0" collapsed="false">
      <c r="A694" s="27"/>
      <c r="B694" s="27"/>
      <c r="C694" s="27"/>
      <c r="D694" s="27"/>
      <c r="E694" s="32"/>
    </row>
    <row r="695" customFormat="false" ht="15" hidden="false" customHeight="false" outlineLevel="0" collapsed="false">
      <c r="A695" s="27"/>
      <c r="B695" s="27"/>
      <c r="C695" s="27"/>
      <c r="D695" s="27"/>
      <c r="E695" s="32"/>
    </row>
    <row r="696" customFormat="false" ht="15" hidden="false" customHeight="false" outlineLevel="0" collapsed="false">
      <c r="A696" s="27"/>
      <c r="B696" s="27"/>
      <c r="C696" s="27"/>
      <c r="D696" s="27"/>
      <c r="E696" s="32"/>
    </row>
    <row r="697" customFormat="false" ht="15" hidden="false" customHeight="false" outlineLevel="0" collapsed="false">
      <c r="A697" s="27"/>
      <c r="B697" s="27"/>
      <c r="C697" s="27"/>
      <c r="D697" s="27"/>
      <c r="E697" s="32"/>
    </row>
    <row r="698" customFormat="false" ht="15" hidden="false" customHeight="false" outlineLevel="0" collapsed="false">
      <c r="A698" s="27"/>
      <c r="B698" s="27"/>
      <c r="C698" s="27"/>
      <c r="D698" s="27"/>
      <c r="E698" s="32"/>
    </row>
    <row r="699" customFormat="false" ht="15" hidden="false" customHeight="false" outlineLevel="0" collapsed="false">
      <c r="A699" s="27"/>
      <c r="B699" s="27"/>
      <c r="C699" s="27"/>
      <c r="D699" s="27"/>
      <c r="E699" s="32"/>
    </row>
    <row r="700" customFormat="false" ht="15" hidden="false" customHeight="false" outlineLevel="0" collapsed="false">
      <c r="A700" s="27"/>
      <c r="B700" s="27"/>
      <c r="C700" s="27"/>
      <c r="D700" s="27"/>
      <c r="E700" s="32"/>
    </row>
    <row r="701" customFormat="false" ht="15" hidden="false" customHeight="false" outlineLevel="0" collapsed="false">
      <c r="A701" s="27"/>
      <c r="B701" s="27"/>
      <c r="C701" s="27"/>
      <c r="D701" s="27"/>
      <c r="E701" s="32"/>
    </row>
    <row r="702" customFormat="false" ht="15" hidden="false" customHeight="false" outlineLevel="0" collapsed="false">
      <c r="A702" s="27"/>
      <c r="B702" s="27"/>
      <c r="C702" s="27"/>
      <c r="D702" s="27"/>
      <c r="E702" s="32"/>
    </row>
    <row r="703" customFormat="false" ht="15" hidden="false" customHeight="false" outlineLevel="0" collapsed="false">
      <c r="A703" s="27"/>
      <c r="B703" s="27"/>
      <c r="C703" s="27"/>
      <c r="D703" s="27"/>
      <c r="E703" s="32"/>
    </row>
    <row r="704" customFormat="false" ht="15" hidden="false" customHeight="false" outlineLevel="0" collapsed="false">
      <c r="A704" s="27"/>
      <c r="B704" s="27"/>
      <c r="C704" s="27"/>
      <c r="D704" s="27"/>
      <c r="E704" s="32"/>
    </row>
    <row r="705" customFormat="false" ht="15" hidden="false" customHeight="false" outlineLevel="0" collapsed="false">
      <c r="A705" s="27"/>
      <c r="B705" s="27"/>
      <c r="C705" s="27"/>
      <c r="D705" s="27"/>
      <c r="E705" s="32"/>
    </row>
    <row r="706" customFormat="false" ht="15" hidden="false" customHeight="false" outlineLevel="0" collapsed="false">
      <c r="A706" s="27"/>
      <c r="B706" s="27"/>
      <c r="C706" s="27"/>
      <c r="D706" s="27"/>
      <c r="E706" s="32"/>
    </row>
    <row r="707" customFormat="false" ht="15" hidden="false" customHeight="false" outlineLevel="0" collapsed="false">
      <c r="A707" s="27"/>
      <c r="B707" s="27"/>
      <c r="C707" s="27"/>
      <c r="D707" s="27"/>
      <c r="E707" s="32"/>
    </row>
    <row r="708" customFormat="false" ht="15" hidden="false" customHeight="false" outlineLevel="0" collapsed="false">
      <c r="A708" s="27"/>
      <c r="B708" s="27"/>
      <c r="C708" s="27"/>
      <c r="D708" s="27"/>
      <c r="E708" s="32"/>
    </row>
    <row r="709" customFormat="false" ht="15" hidden="false" customHeight="false" outlineLevel="0" collapsed="false">
      <c r="A709" s="27"/>
      <c r="B709" s="27"/>
      <c r="C709" s="27"/>
      <c r="D709" s="27"/>
      <c r="E709" s="32"/>
    </row>
    <row r="710" customFormat="false" ht="15" hidden="false" customHeight="false" outlineLevel="0" collapsed="false">
      <c r="A710" s="27"/>
      <c r="B710" s="27"/>
      <c r="C710" s="27"/>
      <c r="D710" s="27"/>
      <c r="E710" s="32"/>
    </row>
    <row r="711" customFormat="false" ht="15" hidden="false" customHeight="false" outlineLevel="0" collapsed="false">
      <c r="A711" s="27"/>
      <c r="B711" s="27"/>
      <c r="C711" s="27"/>
      <c r="D711" s="27"/>
      <c r="E711" s="32"/>
    </row>
    <row r="712" customFormat="false" ht="15" hidden="false" customHeight="false" outlineLevel="0" collapsed="false">
      <c r="A712" s="27"/>
      <c r="B712" s="27"/>
      <c r="C712" s="27"/>
      <c r="D712" s="27"/>
      <c r="E712" s="32"/>
    </row>
    <row r="713" customFormat="false" ht="15" hidden="false" customHeight="false" outlineLevel="0" collapsed="false">
      <c r="A713" s="27"/>
      <c r="B713" s="27"/>
      <c r="C713" s="27"/>
      <c r="D713" s="27"/>
      <c r="E713" s="32"/>
    </row>
    <row r="714" customFormat="false" ht="15" hidden="false" customHeight="false" outlineLevel="0" collapsed="false">
      <c r="A714" s="27"/>
      <c r="B714" s="27"/>
      <c r="C714" s="27"/>
      <c r="D714" s="27"/>
      <c r="E714" s="32"/>
    </row>
    <row r="715" customFormat="false" ht="15" hidden="false" customHeight="false" outlineLevel="0" collapsed="false">
      <c r="A715" s="27"/>
      <c r="B715" s="27"/>
      <c r="C715" s="27"/>
      <c r="D715" s="27"/>
      <c r="E715" s="32"/>
    </row>
    <row r="716" customFormat="false" ht="15" hidden="false" customHeight="false" outlineLevel="0" collapsed="false">
      <c r="A716" s="27"/>
      <c r="B716" s="27"/>
      <c r="C716" s="27"/>
      <c r="D716" s="27"/>
      <c r="E716" s="32"/>
    </row>
    <row r="717" customFormat="false" ht="15" hidden="false" customHeight="false" outlineLevel="0" collapsed="false">
      <c r="A717" s="27"/>
      <c r="B717" s="27"/>
      <c r="C717" s="27"/>
      <c r="D717" s="27"/>
      <c r="E717" s="32"/>
    </row>
    <row r="718" customFormat="false" ht="15" hidden="false" customHeight="false" outlineLevel="0" collapsed="false">
      <c r="A718" s="27"/>
      <c r="B718" s="27"/>
      <c r="C718" s="27"/>
      <c r="D718" s="27"/>
      <c r="E718" s="32"/>
    </row>
    <row r="719" customFormat="false" ht="15" hidden="false" customHeight="false" outlineLevel="0" collapsed="false">
      <c r="A719" s="27"/>
      <c r="B719" s="27"/>
      <c r="C719" s="27"/>
      <c r="D719" s="27"/>
      <c r="E719" s="32"/>
    </row>
    <row r="720" customFormat="false" ht="15" hidden="false" customHeight="false" outlineLevel="0" collapsed="false">
      <c r="A720" s="27"/>
      <c r="B720" s="27"/>
      <c r="C720" s="27"/>
      <c r="D720" s="27"/>
      <c r="E720" s="32"/>
    </row>
    <row r="721" customFormat="false" ht="15" hidden="false" customHeight="false" outlineLevel="0" collapsed="false">
      <c r="A721" s="27"/>
      <c r="B721" s="27"/>
      <c r="C721" s="27"/>
      <c r="D721" s="27"/>
      <c r="E721" s="32"/>
    </row>
    <row r="722" customFormat="false" ht="15" hidden="false" customHeight="false" outlineLevel="0" collapsed="false">
      <c r="A722" s="27"/>
      <c r="B722" s="27"/>
      <c r="C722" s="27"/>
      <c r="D722" s="27"/>
      <c r="E722" s="32"/>
    </row>
    <row r="723" customFormat="false" ht="15" hidden="false" customHeight="false" outlineLevel="0" collapsed="false">
      <c r="A723" s="27"/>
      <c r="B723" s="27"/>
      <c r="C723" s="27"/>
      <c r="D723" s="27"/>
      <c r="E723" s="32"/>
    </row>
    <row r="724" customFormat="false" ht="15" hidden="false" customHeight="false" outlineLevel="0" collapsed="false">
      <c r="A724" s="27"/>
      <c r="B724" s="27"/>
      <c r="C724" s="27"/>
      <c r="D724" s="27"/>
      <c r="E724" s="32"/>
    </row>
    <row r="725" customFormat="false" ht="15" hidden="false" customHeight="false" outlineLevel="0" collapsed="false">
      <c r="A725" s="27"/>
      <c r="B725" s="27"/>
      <c r="C725" s="27"/>
      <c r="D725" s="27"/>
      <c r="E725" s="32"/>
    </row>
    <row r="726" customFormat="false" ht="15" hidden="false" customHeight="false" outlineLevel="0" collapsed="false">
      <c r="A726" s="27"/>
      <c r="B726" s="27"/>
      <c r="C726" s="27"/>
      <c r="D726" s="27"/>
      <c r="E726" s="32"/>
    </row>
    <row r="727" customFormat="false" ht="15" hidden="false" customHeight="false" outlineLevel="0" collapsed="false">
      <c r="A727" s="27"/>
      <c r="B727" s="27"/>
      <c r="C727" s="27"/>
      <c r="D727" s="27"/>
      <c r="E727" s="32"/>
    </row>
    <row r="728" customFormat="false" ht="15" hidden="false" customHeight="false" outlineLevel="0" collapsed="false">
      <c r="A728" s="27"/>
      <c r="B728" s="27"/>
      <c r="C728" s="27"/>
      <c r="D728" s="27"/>
      <c r="E728" s="32"/>
    </row>
    <row r="729" customFormat="false" ht="15" hidden="false" customHeight="false" outlineLevel="0" collapsed="false">
      <c r="A729" s="27"/>
      <c r="B729" s="27"/>
      <c r="C729" s="27"/>
      <c r="D729" s="27"/>
      <c r="E729" s="32"/>
    </row>
    <row r="730" customFormat="false" ht="15" hidden="false" customHeight="false" outlineLevel="0" collapsed="false">
      <c r="A730" s="27"/>
      <c r="B730" s="27"/>
      <c r="C730" s="27"/>
      <c r="D730" s="27"/>
      <c r="E730" s="32"/>
    </row>
    <row r="731" customFormat="false" ht="15" hidden="false" customHeight="false" outlineLevel="0" collapsed="false">
      <c r="A731" s="27"/>
      <c r="B731" s="27"/>
      <c r="C731" s="27"/>
      <c r="D731" s="27"/>
      <c r="E731" s="32"/>
    </row>
    <row r="732" customFormat="false" ht="15" hidden="false" customHeight="false" outlineLevel="0" collapsed="false">
      <c r="A732" s="27"/>
      <c r="B732" s="27"/>
      <c r="C732" s="27"/>
      <c r="D732" s="27"/>
      <c r="E732" s="32"/>
    </row>
    <row r="733" customFormat="false" ht="15" hidden="false" customHeight="false" outlineLevel="0" collapsed="false">
      <c r="A733" s="27"/>
      <c r="B733" s="27"/>
      <c r="C733" s="27"/>
      <c r="D733" s="27"/>
      <c r="E733" s="32"/>
    </row>
    <row r="734" customFormat="false" ht="15" hidden="false" customHeight="false" outlineLevel="0" collapsed="false">
      <c r="A734" s="27"/>
      <c r="B734" s="27"/>
      <c r="C734" s="27"/>
      <c r="D734" s="27"/>
      <c r="E734" s="32"/>
    </row>
    <row r="735" customFormat="false" ht="15" hidden="false" customHeight="false" outlineLevel="0" collapsed="false">
      <c r="A735" s="27"/>
      <c r="B735" s="27"/>
      <c r="C735" s="27"/>
      <c r="D735" s="27"/>
      <c r="E735" s="32"/>
    </row>
    <row r="736" customFormat="false" ht="15" hidden="false" customHeight="false" outlineLevel="0" collapsed="false">
      <c r="A736" s="27"/>
      <c r="B736" s="27"/>
      <c r="C736" s="27"/>
      <c r="D736" s="27"/>
      <c r="E736" s="32"/>
    </row>
    <row r="737" customFormat="false" ht="15" hidden="false" customHeight="false" outlineLevel="0" collapsed="false">
      <c r="A737" s="27"/>
      <c r="B737" s="27"/>
      <c r="C737" s="27"/>
      <c r="D737" s="27"/>
      <c r="E737" s="32"/>
    </row>
    <row r="738" customFormat="false" ht="15" hidden="false" customHeight="false" outlineLevel="0" collapsed="false">
      <c r="A738" s="27"/>
      <c r="B738" s="27"/>
      <c r="C738" s="27"/>
      <c r="D738" s="27"/>
      <c r="E738" s="32"/>
    </row>
    <row r="739" customFormat="false" ht="15" hidden="false" customHeight="false" outlineLevel="0" collapsed="false">
      <c r="A739" s="27"/>
      <c r="B739" s="27"/>
      <c r="C739" s="27"/>
      <c r="D739" s="27"/>
      <c r="E739" s="32"/>
    </row>
    <row r="740" customFormat="false" ht="15" hidden="false" customHeight="false" outlineLevel="0" collapsed="false">
      <c r="A740" s="27"/>
      <c r="B740" s="27"/>
      <c r="C740" s="27"/>
      <c r="D740" s="27"/>
      <c r="E740" s="32"/>
    </row>
    <row r="741" customFormat="false" ht="15" hidden="false" customHeight="false" outlineLevel="0" collapsed="false">
      <c r="A741" s="27"/>
      <c r="B741" s="27"/>
      <c r="C741" s="27"/>
      <c r="D741" s="27"/>
      <c r="E741" s="32"/>
    </row>
    <row r="742" customFormat="false" ht="15" hidden="false" customHeight="false" outlineLevel="0" collapsed="false">
      <c r="A742" s="27"/>
      <c r="B742" s="27"/>
      <c r="C742" s="27"/>
      <c r="D742" s="27"/>
      <c r="E742" s="32"/>
    </row>
    <row r="743" customFormat="false" ht="15" hidden="false" customHeight="false" outlineLevel="0" collapsed="false">
      <c r="A743" s="27"/>
      <c r="B743" s="27"/>
      <c r="C743" s="27"/>
      <c r="D743" s="27"/>
      <c r="E743" s="32"/>
    </row>
    <row r="744" customFormat="false" ht="15" hidden="false" customHeight="false" outlineLevel="0" collapsed="false">
      <c r="A744" s="27"/>
      <c r="B744" s="27"/>
      <c r="C744" s="27"/>
      <c r="D744" s="27"/>
      <c r="E744" s="32"/>
    </row>
    <row r="745" customFormat="false" ht="15" hidden="false" customHeight="false" outlineLevel="0" collapsed="false">
      <c r="A745" s="27"/>
      <c r="B745" s="27"/>
      <c r="C745" s="27"/>
      <c r="D745" s="27"/>
      <c r="E745" s="32"/>
    </row>
    <row r="746" customFormat="false" ht="15" hidden="false" customHeight="false" outlineLevel="0" collapsed="false">
      <c r="A746" s="27"/>
      <c r="B746" s="27"/>
      <c r="C746" s="27"/>
      <c r="D746" s="27"/>
      <c r="E746" s="32"/>
    </row>
    <row r="747" customFormat="false" ht="15" hidden="false" customHeight="false" outlineLevel="0" collapsed="false">
      <c r="A747" s="27"/>
      <c r="B747" s="27"/>
      <c r="C747" s="27"/>
      <c r="D747" s="27"/>
      <c r="E747" s="32"/>
    </row>
    <row r="748" customFormat="false" ht="15" hidden="false" customHeight="false" outlineLevel="0" collapsed="false">
      <c r="A748" s="27"/>
      <c r="B748" s="27"/>
      <c r="C748" s="27"/>
      <c r="D748" s="27"/>
      <c r="E748" s="32"/>
    </row>
    <row r="749" customFormat="false" ht="15" hidden="false" customHeight="false" outlineLevel="0" collapsed="false">
      <c r="A749" s="27"/>
      <c r="B749" s="27"/>
      <c r="C749" s="27"/>
      <c r="D749" s="27"/>
      <c r="E749" s="32"/>
    </row>
    <row r="750" customFormat="false" ht="15" hidden="false" customHeight="false" outlineLevel="0" collapsed="false">
      <c r="A750" s="27"/>
      <c r="B750" s="27"/>
      <c r="C750" s="27"/>
      <c r="D750" s="27"/>
      <c r="E750" s="32"/>
    </row>
    <row r="751" customFormat="false" ht="15" hidden="false" customHeight="false" outlineLevel="0" collapsed="false">
      <c r="A751" s="27"/>
      <c r="B751" s="27"/>
      <c r="C751" s="27"/>
      <c r="D751" s="27"/>
      <c r="E751" s="32"/>
    </row>
    <row r="752" customFormat="false" ht="15" hidden="false" customHeight="false" outlineLevel="0" collapsed="false">
      <c r="A752" s="27"/>
      <c r="B752" s="27"/>
      <c r="C752" s="27"/>
      <c r="D752" s="27"/>
      <c r="E752" s="32"/>
    </row>
    <row r="753" customFormat="false" ht="15" hidden="false" customHeight="false" outlineLevel="0" collapsed="false">
      <c r="A753" s="27"/>
      <c r="B753" s="27"/>
      <c r="C753" s="27"/>
      <c r="D753" s="27"/>
      <c r="E753" s="32"/>
    </row>
    <row r="754" customFormat="false" ht="15" hidden="false" customHeight="false" outlineLevel="0" collapsed="false">
      <c r="A754" s="27"/>
      <c r="B754" s="27"/>
      <c r="C754" s="27"/>
      <c r="D754" s="27"/>
      <c r="E754" s="32"/>
    </row>
    <row r="755" customFormat="false" ht="15" hidden="false" customHeight="false" outlineLevel="0" collapsed="false">
      <c r="A755" s="27"/>
      <c r="B755" s="27"/>
      <c r="C755" s="27"/>
      <c r="D755" s="27"/>
      <c r="E755" s="32"/>
    </row>
    <row r="756" customFormat="false" ht="15" hidden="false" customHeight="false" outlineLevel="0" collapsed="false">
      <c r="A756" s="27"/>
      <c r="B756" s="27"/>
      <c r="C756" s="27"/>
      <c r="D756" s="27"/>
      <c r="E756" s="32"/>
    </row>
    <row r="757" customFormat="false" ht="15" hidden="false" customHeight="false" outlineLevel="0" collapsed="false">
      <c r="A757" s="27"/>
      <c r="B757" s="27"/>
      <c r="C757" s="27"/>
      <c r="D757" s="27"/>
      <c r="E757" s="32"/>
    </row>
    <row r="758" customFormat="false" ht="15" hidden="false" customHeight="false" outlineLevel="0" collapsed="false">
      <c r="A758" s="27"/>
      <c r="B758" s="27"/>
      <c r="C758" s="27"/>
      <c r="D758" s="27"/>
      <c r="E758" s="32"/>
    </row>
    <row r="759" customFormat="false" ht="15" hidden="false" customHeight="false" outlineLevel="0" collapsed="false">
      <c r="A759" s="27"/>
      <c r="B759" s="27"/>
      <c r="C759" s="27"/>
      <c r="D759" s="27"/>
      <c r="E759" s="32"/>
    </row>
    <row r="760" customFormat="false" ht="15" hidden="false" customHeight="false" outlineLevel="0" collapsed="false">
      <c r="A760" s="27"/>
      <c r="B760" s="27"/>
      <c r="C760" s="27"/>
      <c r="D760" s="27"/>
      <c r="E760" s="32"/>
    </row>
    <row r="761" customFormat="false" ht="15" hidden="false" customHeight="false" outlineLevel="0" collapsed="false">
      <c r="A761" s="27"/>
      <c r="B761" s="27"/>
      <c r="C761" s="27"/>
      <c r="D761" s="27"/>
      <c r="E761" s="32"/>
    </row>
    <row r="762" customFormat="false" ht="15" hidden="false" customHeight="false" outlineLevel="0" collapsed="false">
      <c r="A762" s="27"/>
      <c r="B762" s="27"/>
      <c r="C762" s="27"/>
      <c r="D762" s="27"/>
      <c r="E762" s="32"/>
    </row>
    <row r="763" customFormat="false" ht="15" hidden="false" customHeight="false" outlineLevel="0" collapsed="false">
      <c r="A763" s="27"/>
      <c r="B763" s="27"/>
      <c r="C763" s="27"/>
      <c r="D763" s="27"/>
      <c r="E763" s="32"/>
    </row>
    <row r="764" customFormat="false" ht="15" hidden="false" customHeight="false" outlineLevel="0" collapsed="false">
      <c r="A764" s="27"/>
      <c r="B764" s="27"/>
      <c r="C764" s="27"/>
      <c r="D764" s="27"/>
      <c r="E764" s="32"/>
    </row>
    <row r="765" customFormat="false" ht="15" hidden="false" customHeight="false" outlineLevel="0" collapsed="false">
      <c r="A765" s="27"/>
      <c r="B765" s="27"/>
      <c r="C765" s="27"/>
      <c r="D765" s="27"/>
      <c r="E765" s="32"/>
    </row>
    <row r="766" customFormat="false" ht="15" hidden="false" customHeight="false" outlineLevel="0" collapsed="false">
      <c r="A766" s="27"/>
      <c r="B766" s="27"/>
      <c r="C766" s="27"/>
      <c r="D766" s="27"/>
      <c r="E766" s="32"/>
    </row>
    <row r="767" customFormat="false" ht="15" hidden="false" customHeight="false" outlineLevel="0" collapsed="false">
      <c r="A767" s="27"/>
      <c r="B767" s="27"/>
      <c r="C767" s="27"/>
      <c r="D767" s="27"/>
      <c r="E767" s="32"/>
    </row>
    <row r="768" customFormat="false" ht="15" hidden="false" customHeight="false" outlineLevel="0" collapsed="false">
      <c r="A768" s="27"/>
      <c r="B768" s="27"/>
      <c r="C768" s="27"/>
      <c r="D768" s="27"/>
      <c r="E768" s="32"/>
    </row>
    <row r="769" customFormat="false" ht="15" hidden="false" customHeight="false" outlineLevel="0" collapsed="false">
      <c r="A769" s="27"/>
      <c r="B769" s="27"/>
      <c r="C769" s="27"/>
      <c r="D769" s="27"/>
      <c r="E769" s="32"/>
    </row>
    <row r="770" customFormat="false" ht="15" hidden="false" customHeight="false" outlineLevel="0" collapsed="false">
      <c r="A770" s="27"/>
      <c r="B770" s="27"/>
      <c r="C770" s="27"/>
      <c r="D770" s="27"/>
      <c r="E770" s="32"/>
    </row>
    <row r="771" customFormat="false" ht="15" hidden="false" customHeight="false" outlineLevel="0" collapsed="false">
      <c r="A771" s="27"/>
      <c r="B771" s="27"/>
      <c r="C771" s="27"/>
      <c r="D771" s="27"/>
      <c r="E771" s="32"/>
    </row>
    <row r="772" customFormat="false" ht="15" hidden="false" customHeight="false" outlineLevel="0" collapsed="false">
      <c r="A772" s="27"/>
      <c r="B772" s="27"/>
      <c r="C772" s="27"/>
      <c r="D772" s="27"/>
      <c r="E772" s="32"/>
    </row>
    <row r="773" customFormat="false" ht="15" hidden="false" customHeight="false" outlineLevel="0" collapsed="false">
      <c r="A773" s="27"/>
      <c r="B773" s="27"/>
      <c r="C773" s="27"/>
      <c r="D773" s="27"/>
      <c r="E773" s="32"/>
    </row>
    <row r="774" customFormat="false" ht="15" hidden="false" customHeight="false" outlineLevel="0" collapsed="false">
      <c r="A774" s="27"/>
      <c r="B774" s="27"/>
      <c r="C774" s="27"/>
      <c r="D774" s="27"/>
      <c r="E774" s="32"/>
    </row>
    <row r="775" customFormat="false" ht="15" hidden="false" customHeight="false" outlineLevel="0" collapsed="false">
      <c r="A775" s="27"/>
      <c r="B775" s="27"/>
      <c r="C775" s="27"/>
      <c r="D775" s="27"/>
      <c r="E775" s="32"/>
    </row>
    <row r="776" customFormat="false" ht="15" hidden="false" customHeight="false" outlineLevel="0" collapsed="false">
      <c r="A776" s="27"/>
      <c r="B776" s="27"/>
      <c r="C776" s="27"/>
      <c r="D776" s="27"/>
      <c r="E776" s="32"/>
    </row>
    <row r="777" customFormat="false" ht="15" hidden="false" customHeight="false" outlineLevel="0" collapsed="false">
      <c r="A777" s="27"/>
      <c r="B777" s="27"/>
      <c r="C777" s="27"/>
      <c r="D777" s="27"/>
      <c r="E777" s="32"/>
    </row>
    <row r="778" customFormat="false" ht="15" hidden="false" customHeight="false" outlineLevel="0" collapsed="false">
      <c r="A778" s="27"/>
      <c r="B778" s="27"/>
      <c r="C778" s="27"/>
      <c r="D778" s="27"/>
      <c r="E778" s="32"/>
    </row>
    <row r="779" customFormat="false" ht="15" hidden="false" customHeight="false" outlineLevel="0" collapsed="false">
      <c r="A779" s="27"/>
      <c r="B779" s="27"/>
      <c r="C779" s="27"/>
      <c r="D779" s="27"/>
      <c r="E779" s="32"/>
    </row>
    <row r="780" customFormat="false" ht="15" hidden="false" customHeight="false" outlineLevel="0" collapsed="false">
      <c r="A780" s="27"/>
      <c r="B780" s="27"/>
      <c r="C780" s="27"/>
      <c r="D780" s="27"/>
      <c r="E780" s="32"/>
    </row>
    <row r="781" customFormat="false" ht="15" hidden="false" customHeight="false" outlineLevel="0" collapsed="false">
      <c r="A781" s="27"/>
      <c r="B781" s="27"/>
      <c r="C781" s="27"/>
      <c r="D781" s="27"/>
      <c r="E781" s="32"/>
    </row>
    <row r="782" customFormat="false" ht="15" hidden="false" customHeight="false" outlineLevel="0" collapsed="false">
      <c r="A782" s="27"/>
      <c r="B782" s="27"/>
      <c r="C782" s="27"/>
      <c r="D782" s="27"/>
      <c r="E782" s="32"/>
    </row>
    <row r="783" customFormat="false" ht="15" hidden="false" customHeight="false" outlineLevel="0" collapsed="false">
      <c r="A783" s="27"/>
      <c r="B783" s="27"/>
      <c r="C783" s="27"/>
      <c r="D783" s="27"/>
      <c r="E783" s="32"/>
    </row>
    <row r="784" customFormat="false" ht="15" hidden="false" customHeight="false" outlineLevel="0" collapsed="false">
      <c r="A784" s="27"/>
      <c r="B784" s="27"/>
      <c r="C784" s="27"/>
      <c r="D784" s="27"/>
      <c r="E784" s="32"/>
    </row>
    <row r="785" customFormat="false" ht="15" hidden="false" customHeight="false" outlineLevel="0" collapsed="false">
      <c r="A785" s="27"/>
      <c r="B785" s="27"/>
      <c r="C785" s="27"/>
      <c r="D785" s="27"/>
      <c r="E785" s="32"/>
    </row>
    <row r="786" customFormat="false" ht="15" hidden="false" customHeight="false" outlineLevel="0" collapsed="false">
      <c r="A786" s="27"/>
      <c r="B786" s="27"/>
      <c r="C786" s="27"/>
      <c r="D786" s="27"/>
      <c r="E786" s="32"/>
    </row>
    <row r="787" customFormat="false" ht="15" hidden="false" customHeight="false" outlineLevel="0" collapsed="false">
      <c r="A787" s="27"/>
      <c r="B787" s="27"/>
      <c r="C787" s="27"/>
      <c r="D787" s="27"/>
      <c r="E787" s="32"/>
    </row>
    <row r="788" customFormat="false" ht="15" hidden="false" customHeight="false" outlineLevel="0" collapsed="false">
      <c r="A788" s="27"/>
      <c r="B788" s="27"/>
      <c r="C788" s="27"/>
      <c r="D788" s="27"/>
      <c r="E788" s="32"/>
    </row>
    <row r="789" customFormat="false" ht="15" hidden="false" customHeight="false" outlineLevel="0" collapsed="false">
      <c r="A789" s="27"/>
      <c r="B789" s="27"/>
      <c r="C789" s="27"/>
      <c r="D789" s="27"/>
      <c r="E789" s="32"/>
    </row>
    <row r="790" customFormat="false" ht="15" hidden="false" customHeight="false" outlineLevel="0" collapsed="false">
      <c r="A790" s="27"/>
      <c r="B790" s="27"/>
      <c r="C790" s="27"/>
      <c r="D790" s="27"/>
      <c r="E790" s="32"/>
    </row>
    <row r="791" customFormat="false" ht="15" hidden="false" customHeight="false" outlineLevel="0" collapsed="false">
      <c r="A791" s="27"/>
      <c r="B791" s="27"/>
      <c r="C791" s="27"/>
      <c r="D791" s="27"/>
      <c r="E791" s="32"/>
    </row>
    <row r="792" customFormat="false" ht="15" hidden="false" customHeight="false" outlineLevel="0" collapsed="false">
      <c r="A792" s="27"/>
      <c r="B792" s="27"/>
      <c r="C792" s="27"/>
      <c r="D792" s="27"/>
      <c r="E792" s="32"/>
    </row>
    <row r="793" customFormat="false" ht="15" hidden="false" customHeight="false" outlineLevel="0" collapsed="false">
      <c r="A793" s="27"/>
      <c r="B793" s="27"/>
      <c r="C793" s="27"/>
      <c r="D793" s="27"/>
      <c r="E793" s="32"/>
    </row>
    <row r="794" customFormat="false" ht="15" hidden="false" customHeight="false" outlineLevel="0" collapsed="false">
      <c r="A794" s="27"/>
      <c r="B794" s="27"/>
      <c r="C794" s="27"/>
      <c r="D794" s="27"/>
      <c r="E794" s="32"/>
    </row>
    <row r="795" customFormat="false" ht="15" hidden="false" customHeight="false" outlineLevel="0" collapsed="false">
      <c r="A795" s="27"/>
      <c r="B795" s="27"/>
      <c r="C795" s="27"/>
      <c r="D795" s="27"/>
      <c r="E795" s="32"/>
    </row>
    <row r="796" customFormat="false" ht="15" hidden="false" customHeight="false" outlineLevel="0" collapsed="false">
      <c r="A796" s="27"/>
      <c r="B796" s="27"/>
      <c r="C796" s="27"/>
      <c r="D796" s="27"/>
      <c r="E796" s="32"/>
    </row>
    <row r="797" customFormat="false" ht="15" hidden="false" customHeight="false" outlineLevel="0" collapsed="false">
      <c r="A797" s="27"/>
      <c r="B797" s="27"/>
      <c r="C797" s="27"/>
      <c r="D797" s="27"/>
      <c r="E797" s="32"/>
    </row>
    <row r="798" customFormat="false" ht="15" hidden="false" customHeight="false" outlineLevel="0" collapsed="false">
      <c r="A798" s="27"/>
      <c r="B798" s="27"/>
      <c r="C798" s="27"/>
      <c r="D798" s="27"/>
      <c r="E798" s="32"/>
    </row>
    <row r="799" customFormat="false" ht="15" hidden="false" customHeight="false" outlineLevel="0" collapsed="false">
      <c r="A799" s="27"/>
      <c r="B799" s="27"/>
      <c r="C799" s="27"/>
      <c r="D799" s="27"/>
      <c r="E799" s="32"/>
    </row>
    <row r="800" customFormat="false" ht="15" hidden="false" customHeight="false" outlineLevel="0" collapsed="false">
      <c r="A800" s="27"/>
      <c r="B800" s="27"/>
      <c r="C800" s="27"/>
      <c r="D800" s="27"/>
      <c r="E800" s="32"/>
    </row>
    <row r="801" customFormat="false" ht="15" hidden="false" customHeight="false" outlineLevel="0" collapsed="false">
      <c r="A801" s="27"/>
      <c r="B801" s="27"/>
      <c r="C801" s="27"/>
      <c r="D801" s="27"/>
      <c r="E801" s="32"/>
    </row>
    <row r="802" customFormat="false" ht="15" hidden="false" customHeight="false" outlineLevel="0" collapsed="false">
      <c r="A802" s="27"/>
      <c r="B802" s="27"/>
      <c r="C802" s="27"/>
      <c r="D802" s="27"/>
      <c r="E802" s="32"/>
    </row>
    <row r="803" customFormat="false" ht="15" hidden="false" customHeight="false" outlineLevel="0" collapsed="false">
      <c r="A803" s="27"/>
      <c r="B803" s="27"/>
      <c r="C803" s="27"/>
      <c r="D803" s="27"/>
      <c r="E803" s="32"/>
    </row>
    <row r="804" customFormat="false" ht="15" hidden="false" customHeight="false" outlineLevel="0" collapsed="false">
      <c r="A804" s="27"/>
      <c r="B804" s="27"/>
      <c r="C804" s="27"/>
      <c r="D804" s="27"/>
      <c r="E804" s="32"/>
    </row>
    <row r="805" customFormat="false" ht="15" hidden="false" customHeight="false" outlineLevel="0" collapsed="false">
      <c r="A805" s="27"/>
      <c r="B805" s="27"/>
      <c r="C805" s="27"/>
      <c r="D805" s="27"/>
      <c r="E805" s="32"/>
    </row>
    <row r="806" customFormat="false" ht="15" hidden="false" customHeight="false" outlineLevel="0" collapsed="false">
      <c r="A806" s="27"/>
      <c r="B806" s="27"/>
      <c r="C806" s="27"/>
      <c r="D806" s="27"/>
      <c r="E806" s="32"/>
    </row>
    <row r="807" customFormat="false" ht="15" hidden="false" customHeight="false" outlineLevel="0" collapsed="false">
      <c r="A807" s="27"/>
      <c r="B807" s="27"/>
      <c r="C807" s="27"/>
      <c r="D807" s="27"/>
      <c r="E807" s="32"/>
    </row>
    <row r="808" customFormat="false" ht="15" hidden="false" customHeight="false" outlineLevel="0" collapsed="false">
      <c r="A808" s="27"/>
      <c r="B808" s="27"/>
      <c r="C808" s="27"/>
      <c r="D808" s="27"/>
      <c r="E808" s="32"/>
    </row>
    <row r="809" customFormat="false" ht="15" hidden="false" customHeight="false" outlineLevel="0" collapsed="false">
      <c r="A809" s="27"/>
      <c r="B809" s="27"/>
      <c r="C809" s="27"/>
      <c r="D809" s="27"/>
      <c r="E809" s="32"/>
    </row>
    <row r="810" customFormat="false" ht="15" hidden="false" customHeight="false" outlineLevel="0" collapsed="false">
      <c r="A810" s="27"/>
      <c r="B810" s="27"/>
      <c r="C810" s="27"/>
      <c r="D810" s="27"/>
      <c r="E810" s="32"/>
    </row>
    <row r="811" customFormat="false" ht="15" hidden="false" customHeight="false" outlineLevel="0" collapsed="false">
      <c r="A811" s="27"/>
      <c r="B811" s="27"/>
      <c r="C811" s="27"/>
      <c r="D811" s="27"/>
      <c r="E811" s="32"/>
    </row>
    <row r="812" customFormat="false" ht="15" hidden="false" customHeight="false" outlineLevel="0" collapsed="false">
      <c r="A812" s="27"/>
      <c r="B812" s="27"/>
      <c r="C812" s="27"/>
      <c r="D812" s="27"/>
      <c r="E812" s="32"/>
    </row>
    <row r="813" customFormat="false" ht="15" hidden="false" customHeight="false" outlineLevel="0" collapsed="false">
      <c r="A813" s="27"/>
      <c r="B813" s="27"/>
      <c r="C813" s="27"/>
      <c r="D813" s="27"/>
      <c r="E813" s="32"/>
    </row>
    <row r="814" customFormat="false" ht="15" hidden="false" customHeight="false" outlineLevel="0" collapsed="false">
      <c r="A814" s="27"/>
      <c r="B814" s="27"/>
      <c r="C814" s="27"/>
      <c r="D814" s="27"/>
      <c r="E814" s="32"/>
    </row>
    <row r="815" customFormat="false" ht="15" hidden="false" customHeight="false" outlineLevel="0" collapsed="false">
      <c r="A815" s="27"/>
      <c r="B815" s="27"/>
      <c r="C815" s="27"/>
      <c r="D815" s="27"/>
      <c r="E815" s="32"/>
    </row>
    <row r="816" customFormat="false" ht="15" hidden="false" customHeight="false" outlineLevel="0" collapsed="false">
      <c r="A816" s="27"/>
      <c r="B816" s="27"/>
      <c r="C816" s="27"/>
      <c r="D816" s="27"/>
      <c r="E816" s="32"/>
    </row>
    <row r="817" customFormat="false" ht="15" hidden="false" customHeight="false" outlineLevel="0" collapsed="false">
      <c r="A817" s="27"/>
      <c r="B817" s="27"/>
      <c r="C817" s="27"/>
      <c r="D817" s="27"/>
      <c r="E817" s="32"/>
    </row>
    <row r="818" customFormat="false" ht="15" hidden="false" customHeight="false" outlineLevel="0" collapsed="false">
      <c r="A818" s="27"/>
      <c r="B818" s="27"/>
      <c r="C818" s="27"/>
      <c r="D818" s="27"/>
      <c r="E818" s="32"/>
    </row>
    <row r="819" customFormat="false" ht="15" hidden="false" customHeight="false" outlineLevel="0" collapsed="false">
      <c r="A819" s="27"/>
      <c r="B819" s="27"/>
      <c r="C819" s="27"/>
      <c r="D819" s="27"/>
      <c r="E819" s="32"/>
    </row>
    <row r="820" customFormat="false" ht="15" hidden="false" customHeight="false" outlineLevel="0" collapsed="false">
      <c r="A820" s="27"/>
      <c r="B820" s="27"/>
      <c r="C820" s="27"/>
      <c r="D820" s="27"/>
      <c r="E820" s="32"/>
    </row>
    <row r="821" customFormat="false" ht="15" hidden="false" customHeight="false" outlineLevel="0" collapsed="false">
      <c r="A821" s="27"/>
      <c r="B821" s="27"/>
      <c r="C821" s="27"/>
      <c r="D821" s="27"/>
      <c r="E821" s="32"/>
    </row>
    <row r="822" customFormat="false" ht="15" hidden="false" customHeight="false" outlineLevel="0" collapsed="false">
      <c r="A822" s="27"/>
      <c r="B822" s="27"/>
      <c r="C822" s="27"/>
      <c r="D822" s="27"/>
      <c r="E822" s="32"/>
    </row>
    <row r="823" customFormat="false" ht="15" hidden="false" customHeight="false" outlineLevel="0" collapsed="false">
      <c r="A823" s="27"/>
      <c r="B823" s="27"/>
      <c r="C823" s="27"/>
      <c r="D823" s="27"/>
      <c r="E823" s="32"/>
    </row>
    <row r="824" customFormat="false" ht="15" hidden="false" customHeight="false" outlineLevel="0" collapsed="false">
      <c r="A824" s="27"/>
      <c r="B824" s="27"/>
      <c r="C824" s="27"/>
      <c r="D824" s="27"/>
      <c r="E824" s="32"/>
    </row>
    <row r="825" customFormat="false" ht="15" hidden="false" customHeight="false" outlineLevel="0" collapsed="false">
      <c r="A825" s="27"/>
      <c r="B825" s="27"/>
      <c r="C825" s="27"/>
      <c r="D825" s="27"/>
      <c r="E825" s="32"/>
    </row>
    <row r="826" customFormat="false" ht="15" hidden="false" customHeight="false" outlineLevel="0" collapsed="false">
      <c r="A826" s="27"/>
      <c r="B826" s="27"/>
      <c r="C826" s="27"/>
      <c r="D826" s="27"/>
      <c r="E826" s="32"/>
    </row>
    <row r="827" customFormat="false" ht="15" hidden="false" customHeight="false" outlineLevel="0" collapsed="false">
      <c r="A827" s="27"/>
      <c r="B827" s="27"/>
      <c r="C827" s="27"/>
      <c r="D827" s="27"/>
      <c r="E827" s="32"/>
    </row>
    <row r="828" customFormat="false" ht="15" hidden="false" customHeight="false" outlineLevel="0" collapsed="false">
      <c r="A828" s="27"/>
      <c r="B828" s="27"/>
      <c r="C828" s="27"/>
      <c r="D828" s="27"/>
      <c r="E828" s="32"/>
    </row>
    <row r="829" customFormat="false" ht="15" hidden="false" customHeight="false" outlineLevel="0" collapsed="false">
      <c r="A829" s="27"/>
      <c r="B829" s="27"/>
      <c r="C829" s="27"/>
      <c r="D829" s="27"/>
      <c r="E829" s="32"/>
    </row>
    <row r="830" customFormat="false" ht="15" hidden="false" customHeight="false" outlineLevel="0" collapsed="false">
      <c r="A830" s="27"/>
      <c r="B830" s="27"/>
      <c r="C830" s="27"/>
      <c r="D830" s="27"/>
      <c r="E830" s="32"/>
    </row>
    <row r="831" customFormat="false" ht="15" hidden="false" customHeight="false" outlineLevel="0" collapsed="false">
      <c r="A831" s="27"/>
      <c r="B831" s="27"/>
      <c r="C831" s="27"/>
      <c r="D831" s="27"/>
      <c r="E831" s="32"/>
    </row>
    <row r="832" customFormat="false" ht="15" hidden="false" customHeight="false" outlineLevel="0" collapsed="false">
      <c r="A832" s="27"/>
      <c r="B832" s="27"/>
      <c r="C832" s="27"/>
      <c r="D832" s="27"/>
      <c r="E832" s="32"/>
    </row>
    <row r="833" customFormat="false" ht="15" hidden="false" customHeight="false" outlineLevel="0" collapsed="false">
      <c r="A833" s="27"/>
      <c r="B833" s="27"/>
      <c r="C833" s="27"/>
      <c r="D833" s="27"/>
      <c r="E833" s="32"/>
    </row>
    <row r="834" customFormat="false" ht="15" hidden="false" customHeight="false" outlineLevel="0" collapsed="false">
      <c r="A834" s="27"/>
      <c r="B834" s="27"/>
      <c r="C834" s="27"/>
      <c r="D834" s="27"/>
      <c r="E834" s="32"/>
    </row>
    <row r="835" customFormat="false" ht="15" hidden="false" customHeight="false" outlineLevel="0" collapsed="false">
      <c r="A835" s="27"/>
      <c r="B835" s="27"/>
      <c r="C835" s="27"/>
      <c r="D835" s="27"/>
      <c r="E835" s="32"/>
    </row>
    <row r="836" customFormat="false" ht="15" hidden="false" customHeight="false" outlineLevel="0" collapsed="false">
      <c r="A836" s="27"/>
      <c r="B836" s="27"/>
      <c r="C836" s="27"/>
      <c r="D836" s="27"/>
      <c r="E836" s="32"/>
    </row>
    <row r="837" customFormat="false" ht="15" hidden="false" customHeight="false" outlineLevel="0" collapsed="false">
      <c r="A837" s="27"/>
      <c r="B837" s="27"/>
      <c r="C837" s="27"/>
      <c r="D837" s="27"/>
      <c r="E837" s="32"/>
    </row>
    <row r="838" customFormat="false" ht="15" hidden="false" customHeight="false" outlineLevel="0" collapsed="false">
      <c r="A838" s="27"/>
      <c r="B838" s="27"/>
      <c r="C838" s="27"/>
      <c r="D838" s="27"/>
      <c r="E838" s="32"/>
    </row>
    <row r="839" customFormat="false" ht="15" hidden="false" customHeight="false" outlineLevel="0" collapsed="false">
      <c r="A839" s="27"/>
      <c r="B839" s="27"/>
      <c r="C839" s="27"/>
      <c r="D839" s="27"/>
      <c r="E839" s="32"/>
    </row>
    <row r="840" customFormat="false" ht="15" hidden="false" customHeight="false" outlineLevel="0" collapsed="false">
      <c r="A840" s="27"/>
      <c r="B840" s="27"/>
      <c r="C840" s="27"/>
      <c r="D840" s="27"/>
      <c r="E840" s="32"/>
    </row>
    <row r="841" customFormat="false" ht="15" hidden="false" customHeight="false" outlineLevel="0" collapsed="false">
      <c r="A841" s="27"/>
      <c r="B841" s="27"/>
      <c r="C841" s="27"/>
      <c r="D841" s="27"/>
      <c r="E841" s="32"/>
    </row>
    <row r="842" customFormat="false" ht="15" hidden="false" customHeight="false" outlineLevel="0" collapsed="false">
      <c r="A842" s="27"/>
      <c r="B842" s="27"/>
      <c r="C842" s="27"/>
      <c r="D842" s="27"/>
      <c r="E842" s="32"/>
    </row>
    <row r="843" customFormat="false" ht="15" hidden="false" customHeight="false" outlineLevel="0" collapsed="false">
      <c r="A843" s="27"/>
      <c r="B843" s="27"/>
      <c r="C843" s="27"/>
      <c r="D843" s="27"/>
      <c r="E843" s="32"/>
    </row>
    <row r="844" customFormat="false" ht="15" hidden="false" customHeight="false" outlineLevel="0" collapsed="false">
      <c r="A844" s="27"/>
      <c r="B844" s="27"/>
      <c r="C844" s="27"/>
      <c r="D844" s="27"/>
      <c r="E844" s="32"/>
    </row>
    <row r="845" customFormat="false" ht="15" hidden="false" customHeight="false" outlineLevel="0" collapsed="false">
      <c r="A845" s="27"/>
      <c r="B845" s="27"/>
      <c r="C845" s="27"/>
      <c r="D845" s="27"/>
      <c r="E845" s="32"/>
    </row>
    <row r="846" customFormat="false" ht="15" hidden="false" customHeight="false" outlineLevel="0" collapsed="false">
      <c r="A846" s="27"/>
      <c r="B846" s="27"/>
      <c r="C846" s="27"/>
      <c r="D846" s="27"/>
      <c r="E846" s="32"/>
    </row>
    <row r="847" customFormat="false" ht="15" hidden="false" customHeight="false" outlineLevel="0" collapsed="false">
      <c r="A847" s="27"/>
      <c r="B847" s="27"/>
      <c r="C847" s="27"/>
      <c r="D847" s="27"/>
      <c r="E847" s="32"/>
    </row>
    <row r="848" customFormat="false" ht="15" hidden="false" customHeight="false" outlineLevel="0" collapsed="false">
      <c r="A848" s="27"/>
      <c r="B848" s="27"/>
      <c r="C848" s="27"/>
      <c r="D848" s="27"/>
      <c r="E848" s="32"/>
    </row>
    <row r="849" customFormat="false" ht="15" hidden="false" customHeight="false" outlineLevel="0" collapsed="false">
      <c r="A849" s="27"/>
      <c r="B849" s="27"/>
      <c r="C849" s="27"/>
      <c r="D849" s="27"/>
      <c r="E849" s="32"/>
    </row>
    <row r="850" customFormat="false" ht="15" hidden="false" customHeight="false" outlineLevel="0" collapsed="false">
      <c r="A850" s="27"/>
      <c r="B850" s="27"/>
      <c r="C850" s="27"/>
      <c r="D850" s="27"/>
      <c r="E850" s="32"/>
    </row>
    <row r="851" customFormat="false" ht="15" hidden="false" customHeight="false" outlineLevel="0" collapsed="false">
      <c r="A851" s="27"/>
      <c r="B851" s="27"/>
      <c r="C851" s="27"/>
      <c r="D851" s="27"/>
      <c r="E851" s="32"/>
    </row>
    <row r="852" customFormat="false" ht="15" hidden="false" customHeight="false" outlineLevel="0" collapsed="false">
      <c r="A852" s="27"/>
      <c r="B852" s="27"/>
      <c r="C852" s="27"/>
      <c r="D852" s="27"/>
      <c r="E852" s="32"/>
    </row>
    <row r="853" customFormat="false" ht="15" hidden="false" customHeight="false" outlineLevel="0" collapsed="false">
      <c r="A853" s="27"/>
      <c r="B853" s="27"/>
      <c r="C853" s="27"/>
      <c r="D853" s="27"/>
      <c r="E853" s="32"/>
    </row>
    <row r="854" customFormat="false" ht="15" hidden="false" customHeight="false" outlineLevel="0" collapsed="false">
      <c r="A854" s="27"/>
      <c r="B854" s="27"/>
      <c r="C854" s="27"/>
      <c r="D854" s="27"/>
      <c r="E854" s="32"/>
    </row>
    <row r="855" customFormat="false" ht="15" hidden="false" customHeight="false" outlineLevel="0" collapsed="false">
      <c r="A855" s="27"/>
      <c r="B855" s="27"/>
      <c r="C855" s="27"/>
      <c r="D855" s="27"/>
      <c r="E855" s="32"/>
    </row>
    <row r="856" customFormat="false" ht="15" hidden="false" customHeight="false" outlineLevel="0" collapsed="false">
      <c r="A856" s="27"/>
      <c r="B856" s="27"/>
      <c r="C856" s="27"/>
      <c r="D856" s="27"/>
      <c r="E856" s="32"/>
    </row>
    <row r="857" customFormat="false" ht="15" hidden="false" customHeight="false" outlineLevel="0" collapsed="false">
      <c r="A857" s="27"/>
      <c r="B857" s="27"/>
      <c r="C857" s="27"/>
      <c r="D857" s="27"/>
      <c r="E857" s="32"/>
    </row>
    <row r="858" customFormat="false" ht="15" hidden="false" customHeight="false" outlineLevel="0" collapsed="false">
      <c r="A858" s="27"/>
      <c r="B858" s="27"/>
      <c r="C858" s="27"/>
      <c r="D858" s="27"/>
      <c r="E858" s="32"/>
    </row>
    <row r="859" customFormat="false" ht="15" hidden="false" customHeight="false" outlineLevel="0" collapsed="false">
      <c r="A859" s="27"/>
      <c r="B859" s="27"/>
      <c r="C859" s="27"/>
      <c r="D859" s="27"/>
      <c r="E859" s="32"/>
    </row>
    <row r="860" customFormat="false" ht="15" hidden="false" customHeight="false" outlineLevel="0" collapsed="false">
      <c r="A860" s="27"/>
      <c r="B860" s="27"/>
      <c r="C860" s="27"/>
      <c r="D860" s="27"/>
      <c r="E860" s="32"/>
    </row>
    <row r="861" customFormat="false" ht="15" hidden="false" customHeight="false" outlineLevel="0" collapsed="false">
      <c r="A861" s="27"/>
      <c r="B861" s="27"/>
      <c r="C861" s="27"/>
      <c r="D861" s="27"/>
      <c r="E861" s="32"/>
    </row>
    <row r="862" customFormat="false" ht="15" hidden="false" customHeight="false" outlineLevel="0" collapsed="false">
      <c r="A862" s="27"/>
      <c r="B862" s="27"/>
      <c r="C862" s="27"/>
      <c r="D862" s="27"/>
      <c r="E862" s="32"/>
    </row>
    <row r="863" customFormat="false" ht="15" hidden="false" customHeight="false" outlineLevel="0" collapsed="false">
      <c r="A863" s="27"/>
      <c r="B863" s="27"/>
      <c r="C863" s="27"/>
      <c r="D863" s="27"/>
      <c r="E863" s="32"/>
    </row>
    <row r="864" customFormat="false" ht="15" hidden="false" customHeight="false" outlineLevel="0" collapsed="false">
      <c r="A864" s="27"/>
      <c r="B864" s="27"/>
      <c r="C864" s="27"/>
      <c r="D864" s="27"/>
      <c r="E864" s="32"/>
    </row>
    <row r="865" customFormat="false" ht="15" hidden="false" customHeight="false" outlineLevel="0" collapsed="false">
      <c r="A865" s="27"/>
      <c r="B865" s="27"/>
      <c r="C865" s="27"/>
      <c r="D865" s="27"/>
      <c r="E865" s="32"/>
    </row>
    <row r="866" customFormat="false" ht="15" hidden="false" customHeight="false" outlineLevel="0" collapsed="false">
      <c r="A866" s="27"/>
      <c r="B866" s="27"/>
      <c r="C866" s="27"/>
      <c r="D866" s="27"/>
      <c r="E866" s="32"/>
    </row>
    <row r="867" customFormat="false" ht="15" hidden="false" customHeight="false" outlineLevel="0" collapsed="false">
      <c r="A867" s="27"/>
      <c r="B867" s="27"/>
      <c r="C867" s="27"/>
      <c r="D867" s="27"/>
      <c r="E867" s="32"/>
    </row>
    <row r="868" customFormat="false" ht="15" hidden="false" customHeight="false" outlineLevel="0" collapsed="false">
      <c r="A868" s="27"/>
      <c r="B868" s="27"/>
      <c r="C868" s="27"/>
      <c r="D868" s="27"/>
      <c r="E868" s="32"/>
    </row>
    <row r="869" customFormat="false" ht="15" hidden="false" customHeight="false" outlineLevel="0" collapsed="false">
      <c r="A869" s="27"/>
      <c r="B869" s="27"/>
      <c r="C869" s="27"/>
      <c r="D869" s="27"/>
      <c r="E869" s="32"/>
    </row>
    <row r="870" customFormat="false" ht="15" hidden="false" customHeight="false" outlineLevel="0" collapsed="false">
      <c r="A870" s="27"/>
      <c r="B870" s="27"/>
      <c r="C870" s="27"/>
      <c r="D870" s="27"/>
      <c r="E870" s="32"/>
    </row>
    <row r="871" customFormat="false" ht="15" hidden="false" customHeight="false" outlineLevel="0" collapsed="false">
      <c r="A871" s="27"/>
      <c r="B871" s="27"/>
      <c r="C871" s="27"/>
      <c r="D871" s="27"/>
      <c r="E871" s="32"/>
    </row>
    <row r="872" customFormat="false" ht="15" hidden="false" customHeight="false" outlineLevel="0" collapsed="false">
      <c r="A872" s="27"/>
      <c r="B872" s="27"/>
      <c r="C872" s="27"/>
      <c r="D872" s="27"/>
      <c r="E872" s="32"/>
    </row>
    <row r="873" customFormat="false" ht="15" hidden="false" customHeight="false" outlineLevel="0" collapsed="false">
      <c r="A873" s="27"/>
      <c r="B873" s="27"/>
      <c r="C873" s="27"/>
      <c r="D873" s="27"/>
      <c r="E873" s="32"/>
    </row>
    <row r="874" customFormat="false" ht="15" hidden="false" customHeight="false" outlineLevel="0" collapsed="false">
      <c r="A874" s="27"/>
      <c r="B874" s="27"/>
      <c r="C874" s="27"/>
      <c r="D874" s="27"/>
      <c r="E874" s="32"/>
    </row>
    <row r="875" customFormat="false" ht="15" hidden="false" customHeight="false" outlineLevel="0" collapsed="false">
      <c r="A875" s="27"/>
      <c r="B875" s="27"/>
      <c r="C875" s="27"/>
      <c r="D875" s="27"/>
      <c r="E875" s="32"/>
    </row>
    <row r="876" customFormat="false" ht="15" hidden="false" customHeight="false" outlineLevel="0" collapsed="false">
      <c r="A876" s="27"/>
      <c r="B876" s="27"/>
      <c r="C876" s="27"/>
      <c r="D876" s="27"/>
      <c r="E876" s="32"/>
    </row>
    <row r="877" customFormat="false" ht="15" hidden="false" customHeight="false" outlineLevel="0" collapsed="false">
      <c r="A877" s="27"/>
      <c r="B877" s="27"/>
      <c r="C877" s="27"/>
      <c r="D877" s="27"/>
      <c r="E877" s="32"/>
    </row>
    <row r="878" customFormat="false" ht="15" hidden="false" customHeight="false" outlineLevel="0" collapsed="false">
      <c r="A878" s="27"/>
      <c r="B878" s="27"/>
      <c r="C878" s="27"/>
      <c r="D878" s="27"/>
      <c r="E878" s="32"/>
    </row>
    <row r="879" customFormat="false" ht="15" hidden="false" customHeight="false" outlineLevel="0" collapsed="false">
      <c r="A879" s="27"/>
      <c r="B879" s="27"/>
      <c r="C879" s="27"/>
      <c r="D879" s="27"/>
      <c r="E879" s="32"/>
    </row>
    <row r="880" customFormat="false" ht="15" hidden="false" customHeight="false" outlineLevel="0" collapsed="false">
      <c r="A880" s="27"/>
      <c r="B880" s="27"/>
      <c r="C880" s="27"/>
      <c r="D880" s="27"/>
      <c r="E880" s="32"/>
    </row>
    <row r="881" customFormat="false" ht="15" hidden="false" customHeight="false" outlineLevel="0" collapsed="false">
      <c r="A881" s="27"/>
      <c r="B881" s="27"/>
      <c r="C881" s="27"/>
      <c r="D881" s="27"/>
      <c r="E881" s="32"/>
    </row>
    <row r="882" customFormat="false" ht="15" hidden="false" customHeight="false" outlineLevel="0" collapsed="false">
      <c r="A882" s="27"/>
      <c r="B882" s="27"/>
      <c r="C882" s="27"/>
      <c r="D882" s="27"/>
      <c r="E882" s="32"/>
    </row>
    <row r="883" customFormat="false" ht="15" hidden="false" customHeight="false" outlineLevel="0" collapsed="false">
      <c r="A883" s="27"/>
      <c r="B883" s="27"/>
      <c r="C883" s="27"/>
      <c r="D883" s="27"/>
      <c r="E883" s="32"/>
    </row>
    <row r="884" customFormat="false" ht="15" hidden="false" customHeight="false" outlineLevel="0" collapsed="false">
      <c r="A884" s="27"/>
      <c r="B884" s="27"/>
      <c r="C884" s="27"/>
      <c r="D884" s="27"/>
      <c r="E884" s="32"/>
    </row>
    <row r="885" customFormat="false" ht="15" hidden="false" customHeight="false" outlineLevel="0" collapsed="false">
      <c r="A885" s="27"/>
      <c r="B885" s="27"/>
      <c r="C885" s="27"/>
      <c r="D885" s="27"/>
      <c r="E885" s="32"/>
    </row>
    <row r="886" customFormat="false" ht="15" hidden="false" customHeight="false" outlineLevel="0" collapsed="false">
      <c r="A886" s="27"/>
      <c r="B886" s="27"/>
      <c r="C886" s="27"/>
      <c r="D886" s="27"/>
      <c r="E886" s="32"/>
    </row>
    <row r="887" customFormat="false" ht="15" hidden="false" customHeight="false" outlineLevel="0" collapsed="false">
      <c r="A887" s="27"/>
      <c r="B887" s="27"/>
      <c r="C887" s="27"/>
      <c r="D887" s="27"/>
      <c r="E887" s="32"/>
    </row>
    <row r="888" customFormat="false" ht="15" hidden="false" customHeight="false" outlineLevel="0" collapsed="false">
      <c r="A888" s="27"/>
      <c r="B888" s="27"/>
      <c r="C888" s="27"/>
      <c r="D888" s="27"/>
      <c r="E888" s="32"/>
    </row>
    <row r="889" customFormat="false" ht="15" hidden="false" customHeight="false" outlineLevel="0" collapsed="false">
      <c r="A889" s="27"/>
      <c r="B889" s="27"/>
      <c r="C889" s="27"/>
      <c r="D889" s="27"/>
      <c r="E889" s="32"/>
    </row>
    <row r="890" customFormat="false" ht="15" hidden="false" customHeight="false" outlineLevel="0" collapsed="false">
      <c r="A890" s="27"/>
      <c r="B890" s="27"/>
      <c r="C890" s="27"/>
      <c r="D890" s="27"/>
      <c r="E890" s="32"/>
    </row>
    <row r="891" customFormat="false" ht="15" hidden="false" customHeight="false" outlineLevel="0" collapsed="false">
      <c r="A891" s="27"/>
      <c r="B891" s="27"/>
      <c r="C891" s="27"/>
      <c r="D891" s="27"/>
      <c r="E891" s="32"/>
    </row>
    <row r="892" customFormat="false" ht="15" hidden="false" customHeight="false" outlineLevel="0" collapsed="false">
      <c r="A892" s="27"/>
      <c r="B892" s="27"/>
      <c r="C892" s="27"/>
      <c r="D892" s="27"/>
      <c r="E892" s="32"/>
    </row>
    <row r="893" customFormat="false" ht="15" hidden="false" customHeight="false" outlineLevel="0" collapsed="false">
      <c r="A893" s="27"/>
      <c r="B893" s="27"/>
      <c r="C893" s="27"/>
      <c r="D893" s="27"/>
      <c r="E893" s="32"/>
    </row>
    <row r="894" customFormat="false" ht="15" hidden="false" customHeight="false" outlineLevel="0" collapsed="false">
      <c r="A894" s="27"/>
      <c r="B894" s="27"/>
      <c r="C894" s="27"/>
      <c r="D894" s="27"/>
      <c r="E894" s="32"/>
    </row>
    <row r="895" customFormat="false" ht="15" hidden="false" customHeight="false" outlineLevel="0" collapsed="false">
      <c r="A895" s="27"/>
      <c r="B895" s="27"/>
      <c r="C895" s="27"/>
      <c r="D895" s="27"/>
      <c r="E895" s="32"/>
    </row>
    <row r="896" customFormat="false" ht="15" hidden="false" customHeight="false" outlineLevel="0" collapsed="false">
      <c r="A896" s="27"/>
      <c r="B896" s="27"/>
      <c r="C896" s="27"/>
      <c r="D896" s="27"/>
      <c r="E896" s="32"/>
    </row>
    <row r="897" customFormat="false" ht="15" hidden="false" customHeight="false" outlineLevel="0" collapsed="false">
      <c r="A897" s="27"/>
      <c r="B897" s="27"/>
      <c r="C897" s="27"/>
      <c r="D897" s="27"/>
      <c r="E897" s="32"/>
    </row>
    <row r="898" customFormat="false" ht="15" hidden="false" customHeight="false" outlineLevel="0" collapsed="false">
      <c r="A898" s="27"/>
      <c r="B898" s="27"/>
      <c r="C898" s="27"/>
      <c r="D898" s="27"/>
      <c r="E898" s="32"/>
    </row>
    <row r="899" customFormat="false" ht="15" hidden="false" customHeight="false" outlineLevel="0" collapsed="false">
      <c r="A899" s="27"/>
      <c r="B899" s="27"/>
      <c r="C899" s="27"/>
      <c r="D899" s="27"/>
      <c r="E899" s="32"/>
    </row>
    <row r="900" customFormat="false" ht="15" hidden="false" customHeight="false" outlineLevel="0" collapsed="false">
      <c r="A900" s="27"/>
      <c r="B900" s="27"/>
      <c r="C900" s="27"/>
      <c r="D900" s="27"/>
      <c r="E900" s="32"/>
    </row>
    <row r="901" customFormat="false" ht="15" hidden="false" customHeight="false" outlineLevel="0" collapsed="false">
      <c r="A901" s="27"/>
      <c r="B901" s="27"/>
      <c r="C901" s="27"/>
      <c r="D901" s="27"/>
      <c r="E901" s="32"/>
    </row>
    <row r="902" customFormat="false" ht="15" hidden="false" customHeight="false" outlineLevel="0" collapsed="false">
      <c r="A902" s="27"/>
      <c r="B902" s="27"/>
      <c r="C902" s="27"/>
      <c r="D902" s="27"/>
      <c r="E902" s="32"/>
    </row>
    <row r="903" customFormat="false" ht="15" hidden="false" customHeight="false" outlineLevel="0" collapsed="false">
      <c r="A903" s="27"/>
      <c r="B903" s="27"/>
      <c r="C903" s="27"/>
      <c r="D903" s="27"/>
      <c r="E903" s="32"/>
    </row>
    <row r="904" customFormat="false" ht="15" hidden="false" customHeight="false" outlineLevel="0" collapsed="false">
      <c r="A904" s="27"/>
      <c r="B904" s="27"/>
      <c r="C904" s="27"/>
      <c r="D904" s="27"/>
      <c r="E904" s="32"/>
    </row>
    <row r="905" customFormat="false" ht="15" hidden="false" customHeight="false" outlineLevel="0" collapsed="false">
      <c r="A905" s="27"/>
      <c r="B905" s="27"/>
      <c r="C905" s="27"/>
      <c r="D905" s="27"/>
      <c r="E905" s="32"/>
    </row>
    <row r="906" customFormat="false" ht="15" hidden="false" customHeight="false" outlineLevel="0" collapsed="false">
      <c r="A906" s="27"/>
      <c r="B906" s="27"/>
      <c r="C906" s="27"/>
      <c r="D906" s="27"/>
      <c r="E906" s="32"/>
    </row>
    <row r="907" customFormat="false" ht="15" hidden="false" customHeight="false" outlineLevel="0" collapsed="false">
      <c r="A907" s="27"/>
      <c r="B907" s="27"/>
      <c r="C907" s="27"/>
      <c r="D907" s="27"/>
      <c r="E907" s="32"/>
    </row>
    <row r="908" customFormat="false" ht="15" hidden="false" customHeight="false" outlineLevel="0" collapsed="false">
      <c r="A908" s="27"/>
      <c r="B908" s="27"/>
      <c r="C908" s="27"/>
      <c r="D908" s="27"/>
      <c r="E908" s="32"/>
    </row>
    <row r="909" customFormat="false" ht="15" hidden="false" customHeight="false" outlineLevel="0" collapsed="false">
      <c r="A909" s="27"/>
      <c r="B909" s="27"/>
      <c r="C909" s="27"/>
      <c r="D909" s="27"/>
      <c r="E909" s="32"/>
    </row>
    <row r="910" customFormat="false" ht="15" hidden="false" customHeight="false" outlineLevel="0" collapsed="false">
      <c r="A910" s="27"/>
      <c r="B910" s="27"/>
      <c r="C910" s="27"/>
      <c r="D910" s="27"/>
      <c r="E910" s="32"/>
    </row>
    <row r="911" customFormat="false" ht="15" hidden="false" customHeight="false" outlineLevel="0" collapsed="false">
      <c r="A911" s="27"/>
      <c r="B911" s="27"/>
      <c r="C911" s="27"/>
      <c r="D911" s="27"/>
      <c r="E911" s="32"/>
    </row>
    <row r="912" customFormat="false" ht="15" hidden="false" customHeight="false" outlineLevel="0" collapsed="false">
      <c r="A912" s="27"/>
      <c r="B912" s="27"/>
      <c r="C912" s="27"/>
      <c r="D912" s="27"/>
      <c r="E912" s="32"/>
    </row>
    <row r="913" customFormat="false" ht="15" hidden="false" customHeight="false" outlineLevel="0" collapsed="false">
      <c r="A913" s="27"/>
      <c r="B913" s="27"/>
      <c r="C913" s="27"/>
      <c r="D913" s="27"/>
      <c r="E913" s="32"/>
    </row>
    <row r="914" customFormat="false" ht="15" hidden="false" customHeight="false" outlineLevel="0" collapsed="false">
      <c r="A914" s="27"/>
      <c r="B914" s="27"/>
      <c r="C914" s="27"/>
      <c r="D914" s="27"/>
      <c r="E914" s="32"/>
    </row>
    <row r="915" customFormat="false" ht="15" hidden="false" customHeight="false" outlineLevel="0" collapsed="false">
      <c r="A915" s="27"/>
      <c r="B915" s="27"/>
      <c r="C915" s="27"/>
      <c r="D915" s="27"/>
      <c r="E915" s="32"/>
    </row>
    <row r="916" customFormat="false" ht="15" hidden="false" customHeight="false" outlineLevel="0" collapsed="false">
      <c r="A916" s="27"/>
      <c r="B916" s="27"/>
      <c r="C916" s="27"/>
      <c r="D916" s="27"/>
      <c r="E916" s="32"/>
    </row>
    <row r="917" customFormat="false" ht="15" hidden="false" customHeight="false" outlineLevel="0" collapsed="false">
      <c r="A917" s="27"/>
      <c r="B917" s="27"/>
      <c r="C917" s="27"/>
      <c r="D917" s="27"/>
      <c r="E917" s="32"/>
    </row>
    <row r="918" customFormat="false" ht="15" hidden="false" customHeight="false" outlineLevel="0" collapsed="false">
      <c r="A918" s="27"/>
      <c r="B918" s="27"/>
      <c r="C918" s="27"/>
      <c r="D918" s="27"/>
      <c r="E918" s="32"/>
    </row>
    <row r="919" customFormat="false" ht="15" hidden="false" customHeight="false" outlineLevel="0" collapsed="false">
      <c r="A919" s="27"/>
      <c r="B919" s="27"/>
      <c r="C919" s="27"/>
      <c r="D919" s="27"/>
      <c r="E919" s="32"/>
    </row>
    <row r="920" customFormat="false" ht="15" hidden="false" customHeight="false" outlineLevel="0" collapsed="false">
      <c r="A920" s="27"/>
      <c r="B920" s="27"/>
      <c r="C920" s="27"/>
      <c r="D920" s="27"/>
      <c r="E920" s="32"/>
    </row>
    <row r="921" customFormat="false" ht="15" hidden="false" customHeight="false" outlineLevel="0" collapsed="false">
      <c r="A921" s="27"/>
      <c r="B921" s="27"/>
      <c r="C921" s="27"/>
      <c r="D921" s="27"/>
      <c r="E921" s="32"/>
    </row>
    <row r="922" customFormat="false" ht="15" hidden="false" customHeight="false" outlineLevel="0" collapsed="false">
      <c r="A922" s="27"/>
      <c r="B922" s="27"/>
      <c r="C922" s="27"/>
      <c r="D922" s="27"/>
      <c r="E922" s="32"/>
    </row>
    <row r="923" customFormat="false" ht="15" hidden="false" customHeight="false" outlineLevel="0" collapsed="false">
      <c r="A923" s="27"/>
      <c r="B923" s="27"/>
      <c r="C923" s="27"/>
      <c r="D923" s="27"/>
      <c r="E923" s="32"/>
    </row>
    <row r="924" customFormat="false" ht="15" hidden="false" customHeight="false" outlineLevel="0" collapsed="false">
      <c r="A924" s="27"/>
      <c r="B924" s="27"/>
      <c r="C924" s="27"/>
      <c r="D924" s="27"/>
      <c r="E924" s="32"/>
    </row>
    <row r="925" customFormat="false" ht="15" hidden="false" customHeight="false" outlineLevel="0" collapsed="false">
      <c r="A925" s="27"/>
      <c r="B925" s="27"/>
      <c r="C925" s="27"/>
      <c r="D925" s="27"/>
      <c r="E925" s="32"/>
    </row>
    <row r="926" customFormat="false" ht="15" hidden="false" customHeight="false" outlineLevel="0" collapsed="false">
      <c r="A926" s="27"/>
      <c r="B926" s="27"/>
      <c r="C926" s="27"/>
      <c r="D926" s="27"/>
      <c r="E926" s="32"/>
    </row>
    <row r="927" customFormat="false" ht="15" hidden="false" customHeight="false" outlineLevel="0" collapsed="false">
      <c r="A927" s="27"/>
      <c r="B927" s="27"/>
      <c r="C927" s="27"/>
      <c r="D927" s="27"/>
      <c r="E927" s="32"/>
    </row>
    <row r="928" customFormat="false" ht="15" hidden="false" customHeight="false" outlineLevel="0" collapsed="false">
      <c r="A928" s="27"/>
      <c r="B928" s="27"/>
      <c r="C928" s="27"/>
      <c r="D928" s="27"/>
      <c r="E928" s="32"/>
    </row>
    <row r="929" customFormat="false" ht="15" hidden="false" customHeight="false" outlineLevel="0" collapsed="false">
      <c r="A929" s="27"/>
      <c r="B929" s="27"/>
      <c r="C929" s="27"/>
      <c r="D929" s="27"/>
      <c r="E929" s="32"/>
    </row>
    <row r="930" customFormat="false" ht="15" hidden="false" customHeight="false" outlineLevel="0" collapsed="false">
      <c r="A930" s="27"/>
      <c r="B930" s="27"/>
      <c r="C930" s="27"/>
      <c r="D930" s="27"/>
      <c r="E930" s="32"/>
    </row>
    <row r="931" customFormat="false" ht="15" hidden="false" customHeight="false" outlineLevel="0" collapsed="false">
      <c r="A931" s="27"/>
      <c r="B931" s="27"/>
      <c r="C931" s="27"/>
      <c r="D931" s="27"/>
      <c r="E931" s="32"/>
    </row>
    <row r="932" customFormat="false" ht="15" hidden="false" customHeight="false" outlineLevel="0" collapsed="false">
      <c r="A932" s="27"/>
      <c r="B932" s="27"/>
      <c r="C932" s="27"/>
      <c r="D932" s="27"/>
      <c r="E932" s="32"/>
    </row>
    <row r="933" customFormat="false" ht="15" hidden="false" customHeight="false" outlineLevel="0" collapsed="false">
      <c r="A933" s="27"/>
      <c r="B933" s="27"/>
      <c r="C933" s="27"/>
      <c r="D933" s="27"/>
      <c r="E933" s="32"/>
    </row>
    <row r="934" customFormat="false" ht="15" hidden="false" customHeight="false" outlineLevel="0" collapsed="false">
      <c r="A934" s="27"/>
      <c r="B934" s="27"/>
      <c r="C934" s="27"/>
      <c r="D934" s="27"/>
      <c r="E934" s="32"/>
    </row>
    <row r="935" customFormat="false" ht="15" hidden="false" customHeight="false" outlineLevel="0" collapsed="false">
      <c r="A935" s="27"/>
      <c r="B935" s="27"/>
      <c r="C935" s="27"/>
      <c r="D935" s="27"/>
      <c r="E935" s="32"/>
    </row>
    <row r="936" customFormat="false" ht="15" hidden="false" customHeight="false" outlineLevel="0" collapsed="false">
      <c r="A936" s="27"/>
      <c r="B936" s="27"/>
      <c r="C936" s="27"/>
      <c r="D936" s="27"/>
      <c r="E936" s="32"/>
    </row>
    <row r="937" customFormat="false" ht="15" hidden="false" customHeight="false" outlineLevel="0" collapsed="false">
      <c r="A937" s="27"/>
      <c r="B937" s="27"/>
      <c r="C937" s="27"/>
      <c r="D937" s="27"/>
      <c r="E937" s="32"/>
    </row>
    <row r="938" customFormat="false" ht="15" hidden="false" customHeight="false" outlineLevel="0" collapsed="false">
      <c r="A938" s="27"/>
      <c r="B938" s="27"/>
      <c r="C938" s="27"/>
      <c r="D938" s="27"/>
      <c r="E938" s="32"/>
    </row>
    <row r="939" customFormat="false" ht="15" hidden="false" customHeight="false" outlineLevel="0" collapsed="false">
      <c r="A939" s="27"/>
      <c r="B939" s="27"/>
      <c r="C939" s="27"/>
      <c r="D939" s="27"/>
      <c r="E939" s="32"/>
    </row>
    <row r="940" customFormat="false" ht="15" hidden="false" customHeight="false" outlineLevel="0" collapsed="false">
      <c r="A940" s="27"/>
      <c r="B940" s="27"/>
      <c r="C940" s="27"/>
      <c r="D940" s="27"/>
      <c r="E940" s="32"/>
    </row>
    <row r="941" customFormat="false" ht="15" hidden="false" customHeight="false" outlineLevel="0" collapsed="false">
      <c r="A941" s="27"/>
      <c r="B941" s="27"/>
      <c r="C941" s="27"/>
      <c r="D941" s="27"/>
      <c r="E941" s="32"/>
    </row>
    <row r="942" customFormat="false" ht="15" hidden="false" customHeight="false" outlineLevel="0" collapsed="false">
      <c r="A942" s="27"/>
      <c r="B942" s="27"/>
      <c r="C942" s="27"/>
      <c r="D942" s="27"/>
      <c r="E942" s="32"/>
    </row>
    <row r="943" customFormat="false" ht="15" hidden="false" customHeight="false" outlineLevel="0" collapsed="false">
      <c r="A943" s="27"/>
      <c r="B943" s="27"/>
      <c r="C943" s="27"/>
      <c r="D943" s="27"/>
      <c r="E943" s="32"/>
    </row>
    <row r="944" customFormat="false" ht="15" hidden="false" customHeight="false" outlineLevel="0" collapsed="false">
      <c r="A944" s="27"/>
      <c r="B944" s="27"/>
      <c r="C944" s="27"/>
      <c r="D944" s="27"/>
      <c r="E944" s="32"/>
    </row>
    <row r="945" customFormat="false" ht="15" hidden="false" customHeight="false" outlineLevel="0" collapsed="false">
      <c r="A945" s="27"/>
      <c r="B945" s="27"/>
      <c r="C945" s="27"/>
      <c r="D945" s="27"/>
      <c r="E945" s="32"/>
    </row>
    <row r="946" customFormat="false" ht="15" hidden="false" customHeight="false" outlineLevel="0" collapsed="false">
      <c r="A946" s="27"/>
      <c r="B946" s="27"/>
      <c r="C946" s="27"/>
      <c r="D946" s="27"/>
      <c r="E946" s="32"/>
    </row>
    <row r="947" customFormat="false" ht="15" hidden="false" customHeight="false" outlineLevel="0" collapsed="false">
      <c r="A947" s="27"/>
      <c r="B947" s="27"/>
      <c r="C947" s="27"/>
      <c r="D947" s="27"/>
      <c r="E947" s="32"/>
    </row>
    <row r="948" customFormat="false" ht="15" hidden="false" customHeight="false" outlineLevel="0" collapsed="false">
      <c r="A948" s="27"/>
      <c r="B948" s="27"/>
      <c r="C948" s="27"/>
      <c r="D948" s="27"/>
      <c r="E948" s="32"/>
    </row>
    <row r="949" customFormat="false" ht="15" hidden="false" customHeight="false" outlineLevel="0" collapsed="false">
      <c r="A949" s="27"/>
      <c r="B949" s="27"/>
      <c r="C949" s="27"/>
      <c r="D949" s="27"/>
      <c r="E949" s="32"/>
    </row>
    <row r="950" customFormat="false" ht="15" hidden="false" customHeight="false" outlineLevel="0" collapsed="false">
      <c r="A950" s="27"/>
      <c r="B950" s="27"/>
      <c r="C950" s="27"/>
      <c r="D950" s="27"/>
      <c r="E950" s="32"/>
    </row>
    <row r="951" customFormat="false" ht="15" hidden="false" customHeight="false" outlineLevel="0" collapsed="false">
      <c r="A951" s="27"/>
      <c r="B951" s="27"/>
      <c r="C951" s="27"/>
      <c r="D951" s="27"/>
      <c r="E951" s="32"/>
    </row>
    <row r="952" customFormat="false" ht="15" hidden="false" customHeight="false" outlineLevel="0" collapsed="false">
      <c r="A952" s="27"/>
      <c r="B952" s="27"/>
      <c r="C952" s="27"/>
      <c r="D952" s="27"/>
      <c r="E952" s="32"/>
    </row>
    <row r="953" customFormat="false" ht="15" hidden="false" customHeight="false" outlineLevel="0" collapsed="false">
      <c r="A953" s="27"/>
      <c r="B953" s="27"/>
      <c r="C953" s="27"/>
      <c r="D953" s="27"/>
      <c r="E953" s="32"/>
    </row>
    <row r="954" customFormat="false" ht="15" hidden="false" customHeight="false" outlineLevel="0" collapsed="false">
      <c r="A954" s="27"/>
      <c r="B954" s="27"/>
      <c r="C954" s="27"/>
      <c r="D954" s="27"/>
      <c r="E954" s="32"/>
    </row>
    <row r="955" customFormat="false" ht="15" hidden="false" customHeight="false" outlineLevel="0" collapsed="false">
      <c r="A955" s="27"/>
      <c r="B955" s="27"/>
      <c r="C955" s="27"/>
      <c r="D955" s="27"/>
      <c r="E955" s="32"/>
    </row>
    <row r="956" customFormat="false" ht="15" hidden="false" customHeight="false" outlineLevel="0" collapsed="false">
      <c r="A956" s="27"/>
      <c r="B956" s="27"/>
      <c r="C956" s="27"/>
      <c r="D956" s="27"/>
      <c r="E956" s="32"/>
    </row>
    <row r="957" customFormat="false" ht="15" hidden="false" customHeight="false" outlineLevel="0" collapsed="false">
      <c r="A957" s="27"/>
      <c r="B957" s="27"/>
      <c r="C957" s="27"/>
      <c r="D957" s="27"/>
      <c r="E957" s="32"/>
    </row>
    <row r="958" customFormat="false" ht="15" hidden="false" customHeight="false" outlineLevel="0" collapsed="false">
      <c r="A958" s="27"/>
      <c r="B958" s="27"/>
      <c r="C958" s="27"/>
      <c r="D958" s="27"/>
      <c r="E958" s="32"/>
    </row>
    <row r="959" customFormat="false" ht="15" hidden="false" customHeight="false" outlineLevel="0" collapsed="false">
      <c r="A959" s="27"/>
      <c r="B959" s="27"/>
      <c r="C959" s="27"/>
      <c r="D959" s="27"/>
      <c r="E959" s="32"/>
    </row>
    <row r="960" customFormat="false" ht="15" hidden="false" customHeight="false" outlineLevel="0" collapsed="false">
      <c r="A960" s="27"/>
      <c r="B960" s="27"/>
      <c r="C960" s="27"/>
      <c r="D960" s="27"/>
      <c r="E960" s="32"/>
    </row>
    <row r="961" customFormat="false" ht="15" hidden="false" customHeight="false" outlineLevel="0" collapsed="false">
      <c r="A961" s="27"/>
      <c r="B961" s="27"/>
      <c r="C961" s="27"/>
      <c r="D961" s="27"/>
      <c r="E961" s="32"/>
    </row>
    <row r="962" customFormat="false" ht="15" hidden="false" customHeight="false" outlineLevel="0" collapsed="false">
      <c r="A962" s="27"/>
      <c r="B962" s="27"/>
      <c r="C962" s="27"/>
      <c r="D962" s="27"/>
      <c r="E962" s="32"/>
    </row>
    <row r="963" customFormat="false" ht="15" hidden="false" customHeight="false" outlineLevel="0" collapsed="false">
      <c r="A963" s="27"/>
      <c r="B963" s="27"/>
      <c r="C963" s="27"/>
      <c r="D963" s="27"/>
      <c r="E963" s="32"/>
    </row>
    <row r="964" customFormat="false" ht="15" hidden="false" customHeight="false" outlineLevel="0" collapsed="false">
      <c r="A964" s="27"/>
      <c r="B964" s="27"/>
      <c r="C964" s="27"/>
      <c r="D964" s="27"/>
      <c r="E964" s="32"/>
    </row>
    <row r="965" customFormat="false" ht="15" hidden="false" customHeight="false" outlineLevel="0" collapsed="false">
      <c r="A965" s="27"/>
      <c r="B965" s="27"/>
      <c r="C965" s="27"/>
      <c r="D965" s="27"/>
      <c r="E965" s="32"/>
    </row>
    <row r="966" customFormat="false" ht="15" hidden="false" customHeight="false" outlineLevel="0" collapsed="false">
      <c r="A966" s="27"/>
      <c r="B966" s="27"/>
      <c r="C966" s="27"/>
      <c r="D966" s="27"/>
      <c r="E966" s="32"/>
    </row>
    <row r="967" customFormat="false" ht="15" hidden="false" customHeight="false" outlineLevel="0" collapsed="false">
      <c r="A967" s="27"/>
      <c r="B967" s="27"/>
      <c r="C967" s="27"/>
      <c r="D967" s="27"/>
      <c r="E967" s="32"/>
    </row>
    <row r="968" customFormat="false" ht="15" hidden="false" customHeight="false" outlineLevel="0" collapsed="false">
      <c r="A968" s="27"/>
      <c r="B968" s="27"/>
      <c r="C968" s="27"/>
      <c r="D968" s="27"/>
      <c r="E968" s="32"/>
    </row>
    <row r="969" customFormat="false" ht="15" hidden="false" customHeight="false" outlineLevel="0" collapsed="false">
      <c r="A969" s="27"/>
      <c r="B969" s="27"/>
      <c r="C969" s="27"/>
      <c r="D969" s="27"/>
      <c r="E969" s="32"/>
    </row>
    <row r="970" customFormat="false" ht="15" hidden="false" customHeight="false" outlineLevel="0" collapsed="false">
      <c r="A970" s="27"/>
      <c r="B970" s="27"/>
      <c r="C970" s="27"/>
      <c r="D970" s="27"/>
      <c r="E970" s="32"/>
    </row>
    <row r="971" customFormat="false" ht="15" hidden="false" customHeight="false" outlineLevel="0" collapsed="false">
      <c r="A971" s="27"/>
      <c r="B971" s="27"/>
      <c r="C971" s="27"/>
      <c r="D971" s="27"/>
      <c r="E971" s="32"/>
    </row>
    <row r="972" customFormat="false" ht="15" hidden="false" customHeight="false" outlineLevel="0" collapsed="false">
      <c r="A972" s="27"/>
      <c r="B972" s="27"/>
      <c r="C972" s="27"/>
      <c r="D972" s="27"/>
      <c r="E972" s="32"/>
    </row>
    <row r="973" customFormat="false" ht="15" hidden="false" customHeight="false" outlineLevel="0" collapsed="false">
      <c r="A973" s="27"/>
      <c r="B973" s="27"/>
      <c r="C973" s="27"/>
      <c r="D973" s="27"/>
      <c r="E973" s="32"/>
    </row>
    <row r="974" customFormat="false" ht="15" hidden="false" customHeight="false" outlineLevel="0" collapsed="false">
      <c r="A974" s="27"/>
      <c r="B974" s="27"/>
      <c r="C974" s="27"/>
      <c r="D974" s="27"/>
      <c r="E974" s="32"/>
    </row>
    <row r="975" customFormat="false" ht="15" hidden="false" customHeight="false" outlineLevel="0" collapsed="false">
      <c r="A975" s="27"/>
      <c r="B975" s="27"/>
      <c r="C975" s="27"/>
      <c r="D975" s="27"/>
      <c r="E975" s="32"/>
    </row>
    <row r="976" customFormat="false" ht="15" hidden="false" customHeight="false" outlineLevel="0" collapsed="false">
      <c r="A976" s="27"/>
      <c r="B976" s="27"/>
      <c r="C976" s="27"/>
      <c r="D976" s="27"/>
      <c r="E976" s="32"/>
    </row>
    <row r="977" customFormat="false" ht="15" hidden="false" customHeight="false" outlineLevel="0" collapsed="false">
      <c r="A977" s="27"/>
      <c r="B977" s="27"/>
      <c r="C977" s="27"/>
      <c r="D977" s="27"/>
      <c r="E977" s="32"/>
    </row>
    <row r="978" customFormat="false" ht="15" hidden="false" customHeight="false" outlineLevel="0" collapsed="false">
      <c r="A978" s="27"/>
      <c r="B978" s="27"/>
      <c r="C978" s="27"/>
      <c r="D978" s="27"/>
      <c r="E978" s="32"/>
    </row>
    <row r="979" customFormat="false" ht="15" hidden="false" customHeight="false" outlineLevel="0" collapsed="false">
      <c r="A979" s="27"/>
      <c r="B979" s="27"/>
      <c r="C979" s="27"/>
      <c r="D979" s="27"/>
      <c r="E979" s="32"/>
    </row>
    <row r="980" customFormat="false" ht="15" hidden="false" customHeight="false" outlineLevel="0" collapsed="false">
      <c r="A980" s="27"/>
      <c r="B980" s="27"/>
      <c r="C980" s="27"/>
      <c r="D980" s="27"/>
      <c r="E980" s="32"/>
    </row>
    <row r="981" customFormat="false" ht="15" hidden="false" customHeight="false" outlineLevel="0" collapsed="false">
      <c r="A981" s="27"/>
      <c r="B981" s="27"/>
      <c r="C981" s="27"/>
      <c r="D981" s="27"/>
      <c r="E981" s="32"/>
    </row>
    <row r="982" customFormat="false" ht="15" hidden="false" customHeight="false" outlineLevel="0" collapsed="false">
      <c r="A982" s="27"/>
      <c r="B982" s="27"/>
      <c r="C982" s="27"/>
      <c r="D982" s="27"/>
      <c r="E982" s="32"/>
    </row>
    <row r="983" customFormat="false" ht="15" hidden="false" customHeight="false" outlineLevel="0" collapsed="false">
      <c r="A983" s="27"/>
      <c r="B983" s="27"/>
      <c r="C983" s="27"/>
      <c r="D983" s="27"/>
      <c r="E983" s="32"/>
    </row>
    <row r="984" customFormat="false" ht="15" hidden="false" customHeight="false" outlineLevel="0" collapsed="false">
      <c r="A984" s="27"/>
      <c r="B984" s="27"/>
      <c r="C984" s="27"/>
      <c r="D984" s="27"/>
      <c r="E984" s="32"/>
    </row>
    <row r="985" customFormat="false" ht="15" hidden="false" customHeight="false" outlineLevel="0" collapsed="false">
      <c r="A985" s="27"/>
      <c r="B985" s="27"/>
      <c r="C985" s="27"/>
      <c r="D985" s="27"/>
      <c r="E985" s="32"/>
    </row>
    <row r="986" customFormat="false" ht="15" hidden="false" customHeight="false" outlineLevel="0" collapsed="false">
      <c r="A986" s="27"/>
      <c r="B986" s="27"/>
      <c r="C986" s="27"/>
      <c r="D986" s="27"/>
      <c r="E986" s="32"/>
    </row>
    <row r="987" customFormat="false" ht="15" hidden="false" customHeight="false" outlineLevel="0" collapsed="false">
      <c r="A987" s="27"/>
      <c r="B987" s="27"/>
      <c r="C987" s="27"/>
      <c r="D987" s="27"/>
      <c r="E987" s="32"/>
    </row>
    <row r="988" customFormat="false" ht="15" hidden="false" customHeight="false" outlineLevel="0" collapsed="false">
      <c r="A988" s="27"/>
      <c r="B988" s="27"/>
      <c r="C988" s="27"/>
      <c r="D988" s="27"/>
      <c r="E988" s="32"/>
    </row>
    <row r="989" customFormat="false" ht="15" hidden="false" customHeight="false" outlineLevel="0" collapsed="false">
      <c r="A989" s="27"/>
      <c r="B989" s="27"/>
      <c r="C989" s="27"/>
      <c r="D989" s="27"/>
      <c r="E989" s="32"/>
    </row>
    <row r="990" customFormat="false" ht="15" hidden="false" customHeight="false" outlineLevel="0" collapsed="false">
      <c r="A990" s="27"/>
      <c r="B990" s="27"/>
      <c r="C990" s="27"/>
      <c r="D990" s="27"/>
      <c r="E990" s="32"/>
    </row>
    <row r="991" customFormat="false" ht="15" hidden="false" customHeight="false" outlineLevel="0" collapsed="false">
      <c r="A991" s="27"/>
      <c r="B991" s="27"/>
      <c r="C991" s="27"/>
      <c r="D991" s="27"/>
      <c r="E991" s="32"/>
    </row>
    <row r="992" customFormat="false" ht="15" hidden="false" customHeight="false" outlineLevel="0" collapsed="false">
      <c r="A992" s="27"/>
      <c r="B992" s="27"/>
      <c r="C992" s="27"/>
      <c r="D992" s="27"/>
      <c r="E992" s="32"/>
    </row>
    <row r="993" customFormat="false" ht="15" hidden="false" customHeight="false" outlineLevel="0" collapsed="false">
      <c r="A993" s="27"/>
      <c r="B993" s="27"/>
      <c r="C993" s="27"/>
      <c r="D993" s="27"/>
      <c r="E993" s="32"/>
    </row>
    <row r="994" customFormat="false" ht="15" hidden="false" customHeight="false" outlineLevel="0" collapsed="false">
      <c r="A994" s="27"/>
      <c r="B994" s="27"/>
      <c r="C994" s="27"/>
      <c r="D994" s="27"/>
      <c r="E994" s="32"/>
    </row>
    <row r="995" customFormat="false" ht="15" hidden="false" customHeight="false" outlineLevel="0" collapsed="false">
      <c r="A995" s="27"/>
      <c r="B995" s="27"/>
      <c r="C995" s="27"/>
      <c r="D995" s="27"/>
      <c r="E995" s="32"/>
    </row>
    <row r="996" customFormat="false" ht="15" hidden="false" customHeight="false" outlineLevel="0" collapsed="false">
      <c r="A996" s="27"/>
      <c r="B996" s="27"/>
      <c r="C996" s="27"/>
      <c r="D996" s="27"/>
      <c r="E996" s="32"/>
    </row>
    <row r="997" customFormat="false" ht="15" hidden="false" customHeight="false" outlineLevel="0" collapsed="false">
      <c r="A997" s="27"/>
      <c r="B997" s="27"/>
      <c r="C997" s="27"/>
      <c r="D997" s="27"/>
      <c r="E997" s="32"/>
    </row>
    <row r="998" customFormat="false" ht="15" hidden="false" customHeight="false" outlineLevel="0" collapsed="false">
      <c r="A998" s="27"/>
      <c r="B998" s="27"/>
      <c r="C998" s="27"/>
      <c r="D998" s="27"/>
      <c r="E998" s="32"/>
    </row>
    <row r="999" customFormat="false" ht="15" hidden="false" customHeight="false" outlineLevel="0" collapsed="false">
      <c r="A999" s="27"/>
      <c r="B999" s="27"/>
      <c r="C999" s="27"/>
      <c r="D999" s="27"/>
      <c r="E999" s="32"/>
    </row>
    <row r="1000" customFormat="false" ht="15" hidden="false" customHeight="false" outlineLevel="0" collapsed="false">
      <c r="A1000" s="27"/>
      <c r="B1000" s="27"/>
      <c r="C1000" s="27"/>
      <c r="D1000" s="27"/>
      <c r="E1000" s="32"/>
    </row>
    <row r="1001" customFormat="false" ht="15" hidden="false" customHeight="false" outlineLevel="0" collapsed="false">
      <c r="A1001" s="27"/>
      <c r="B1001" s="27"/>
      <c r="C1001" s="27"/>
      <c r="D1001" s="27"/>
      <c r="E1001" s="32"/>
    </row>
    <row r="1002" customFormat="false" ht="15" hidden="false" customHeight="false" outlineLevel="0" collapsed="false">
      <c r="A1002" s="27"/>
      <c r="B1002" s="27"/>
      <c r="C1002" s="27"/>
      <c r="D1002" s="27"/>
      <c r="E1002" s="32"/>
    </row>
    <row r="1003" customFormat="false" ht="15" hidden="false" customHeight="false" outlineLevel="0" collapsed="false">
      <c r="A1003" s="27"/>
      <c r="B1003" s="27"/>
      <c r="C1003" s="27"/>
      <c r="D1003" s="27"/>
      <c r="E1003" s="32"/>
    </row>
    <row r="1004" customFormat="false" ht="15" hidden="false" customHeight="false" outlineLevel="0" collapsed="false">
      <c r="A1004" s="27"/>
      <c r="B1004" s="27"/>
      <c r="C1004" s="27"/>
      <c r="D1004" s="27"/>
    </row>
    <row r="1006" customFormat="false" ht="19.5" hidden="false" customHeight="true" outlineLevel="0" collapsed="false">
      <c r="A1006" s="11" t="s">
        <v>84</v>
      </c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</row>
  </sheetData>
  <sheetProtection sheet="true" password="cc3d" objects="true" scenarios="true" deleteColumns="false" deleteRows="false"/>
  <mergeCells count="2">
    <mergeCell ref="A1:AD1"/>
    <mergeCell ref="A1006:AN1006"/>
  </mergeCells>
  <conditionalFormatting sqref="E6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E7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conditionalFormatting sqref="E8">
    <cfRule type="cellIs" priority="6" operator="greaterThan" aboveAverage="0" equalAverage="0" bottom="0" percent="0" rank="0" text="" dxfId="0">
      <formula>0</formula>
    </cfRule>
    <cfRule type="cellIs" priority="7" operator="lessThan" aboveAverage="0" equalAverage="0" bottom="0" percent="0" rank="0" text="" dxfId="1">
      <formula>0</formula>
    </cfRule>
  </conditionalFormatting>
  <conditionalFormatting sqref="E9">
    <cfRule type="cellIs" priority="8" operator="greaterThan" aboveAverage="0" equalAverage="0" bottom="0" percent="0" rank="0" text="" dxfId="0">
      <formula>0</formula>
    </cfRule>
    <cfRule type="cellIs" priority="9" operator="lessThan" aboveAverage="0" equalAverage="0" bottom="0" percent="0" rank="0" text="" dxfId="1">
      <formula>0</formula>
    </cfRule>
  </conditionalFormatting>
  <conditionalFormatting sqref="E10">
    <cfRule type="cellIs" priority="10" operator="greaterThan" aboveAverage="0" equalAverage="0" bottom="0" percent="0" rank="0" text="" dxfId="0">
      <formula>0</formula>
    </cfRule>
    <cfRule type="cellIs" priority="11" operator="lessThan" aboveAverage="0" equalAverage="0" bottom="0" percent="0" rank="0" text="" dxfId="1">
      <formula>0</formula>
    </cfRule>
  </conditionalFormatting>
  <conditionalFormatting sqref="E11">
    <cfRule type="cellIs" priority="12" operator="greaterThan" aboveAverage="0" equalAverage="0" bottom="0" percent="0" rank="0" text="" dxfId="0">
      <formula>0</formula>
    </cfRule>
    <cfRule type="cellIs" priority="13" operator="lessThan" aboveAverage="0" equalAverage="0" bottom="0" percent="0" rank="0" text="" dxfId="1">
      <formula>0</formula>
    </cfRule>
  </conditionalFormatting>
  <conditionalFormatting sqref="E12">
    <cfRule type="cellIs" priority="14" operator="greaterThan" aboveAverage="0" equalAverage="0" bottom="0" percent="0" rank="0" text="" dxfId="0">
      <formula>0</formula>
    </cfRule>
    <cfRule type="cellIs" priority="15" operator="lessThan" aboveAverage="0" equalAverage="0" bottom="0" percent="0" rank="0" text="" dxfId="1">
      <formula>0</formula>
    </cfRule>
  </conditionalFormatting>
  <conditionalFormatting sqref="E13">
    <cfRule type="cellIs" priority="16" operator="greaterThan" aboveAverage="0" equalAverage="0" bottom="0" percent="0" rank="0" text="" dxfId="0">
      <formula>0</formula>
    </cfRule>
    <cfRule type="cellIs" priority="17" operator="lessThan" aboveAverage="0" equalAverage="0" bottom="0" percent="0" rank="0" text="" dxfId="1">
      <formula>0</formula>
    </cfRule>
  </conditionalFormatting>
  <conditionalFormatting sqref="E14">
    <cfRule type="cellIs" priority="18" operator="greaterThan" aboveAverage="0" equalAverage="0" bottom="0" percent="0" rank="0" text="" dxfId="0">
      <formula>0</formula>
    </cfRule>
    <cfRule type="cellIs" priority="19" operator="lessThan" aboveAverage="0" equalAverage="0" bottom="0" percent="0" rank="0" text="" dxfId="1">
      <formula>0</formula>
    </cfRule>
  </conditionalFormatting>
  <conditionalFormatting sqref="E15">
    <cfRule type="cellIs" priority="20" operator="greaterThan" aboveAverage="0" equalAverage="0" bottom="0" percent="0" rank="0" text="" dxfId="0">
      <formula>0</formula>
    </cfRule>
    <cfRule type="cellIs" priority="21" operator="lessThan" aboveAverage="0" equalAverage="0" bottom="0" percent="0" rank="0" text="" dxfId="1">
      <formula>0</formula>
    </cfRule>
  </conditionalFormatting>
  <conditionalFormatting sqref="E16">
    <cfRule type="cellIs" priority="22" operator="greaterThan" aboveAverage="0" equalAverage="0" bottom="0" percent="0" rank="0" text="" dxfId="0">
      <formula>0</formula>
    </cfRule>
    <cfRule type="cellIs" priority="23" operator="lessThan" aboveAverage="0" equalAverage="0" bottom="0" percent="0" rank="0" text="" dxfId="1">
      <formula>0</formula>
    </cfRule>
  </conditionalFormatting>
  <conditionalFormatting sqref="E17">
    <cfRule type="cellIs" priority="24" operator="greaterThan" aboveAverage="0" equalAverage="0" bottom="0" percent="0" rank="0" text="" dxfId="0">
      <formula>0</formula>
    </cfRule>
    <cfRule type="cellIs" priority="25" operator="lessThan" aboveAverage="0" equalAverage="0" bottom="0" percent="0" rank="0" text="" dxfId="1">
      <formula>0</formula>
    </cfRule>
  </conditionalFormatting>
  <conditionalFormatting sqref="E18">
    <cfRule type="cellIs" priority="26" operator="greaterThan" aboveAverage="0" equalAverage="0" bottom="0" percent="0" rank="0" text="" dxfId="0">
      <formula>0</formula>
    </cfRule>
    <cfRule type="cellIs" priority="27" operator="lessThan" aboveAverage="0" equalAverage="0" bottom="0" percent="0" rank="0" text="" dxfId="1">
      <formula>0</formula>
    </cfRule>
  </conditionalFormatting>
  <conditionalFormatting sqref="E19">
    <cfRule type="cellIs" priority="28" operator="greaterThan" aboveAverage="0" equalAverage="0" bottom="0" percent="0" rank="0" text="" dxfId="0">
      <formula>0</formula>
    </cfRule>
    <cfRule type="cellIs" priority="29" operator="lessThan" aboveAverage="0" equalAverage="0" bottom="0" percent="0" rank="0" text="" dxfId="1">
      <formula>0</formula>
    </cfRule>
  </conditionalFormatting>
  <conditionalFormatting sqref="E20">
    <cfRule type="cellIs" priority="30" operator="greaterThan" aboveAverage="0" equalAverage="0" bottom="0" percent="0" rank="0" text="" dxfId="0">
      <formula>0</formula>
    </cfRule>
    <cfRule type="cellIs" priority="31" operator="lessThan" aboveAverage="0" equalAverage="0" bottom="0" percent="0" rank="0" text="" dxfId="1">
      <formula>0</formula>
    </cfRule>
  </conditionalFormatting>
  <conditionalFormatting sqref="E21">
    <cfRule type="cellIs" priority="32" operator="greaterThan" aboveAverage="0" equalAverage="0" bottom="0" percent="0" rank="0" text="" dxfId="0">
      <formula>0</formula>
    </cfRule>
    <cfRule type="cellIs" priority="33" operator="lessThan" aboveAverage="0" equalAverage="0" bottom="0" percent="0" rank="0" text="" dxfId="1">
      <formula>0</formula>
    </cfRule>
  </conditionalFormatting>
  <conditionalFormatting sqref="E22">
    <cfRule type="cellIs" priority="34" operator="greaterThan" aboveAverage="0" equalAverage="0" bottom="0" percent="0" rank="0" text="" dxfId="0">
      <formula>0</formula>
    </cfRule>
    <cfRule type="cellIs" priority="35" operator="lessThan" aboveAverage="0" equalAverage="0" bottom="0" percent="0" rank="0" text="" dxfId="1">
      <formula>0</formula>
    </cfRule>
  </conditionalFormatting>
  <conditionalFormatting sqref="E23">
    <cfRule type="cellIs" priority="36" operator="greaterThan" aboveAverage="0" equalAverage="0" bottom="0" percent="0" rank="0" text="" dxfId="0">
      <formula>0</formula>
    </cfRule>
    <cfRule type="cellIs" priority="37" operator="lessThan" aboveAverage="0" equalAverage="0" bottom="0" percent="0" rank="0" text="" dxfId="1">
      <formula>0</formula>
    </cfRule>
  </conditionalFormatting>
  <conditionalFormatting sqref="E24">
    <cfRule type="cellIs" priority="38" operator="greaterThan" aboveAverage="0" equalAverage="0" bottom="0" percent="0" rank="0" text="" dxfId="0">
      <formula>0</formula>
    </cfRule>
    <cfRule type="cellIs" priority="39" operator="lessThan" aboveAverage="0" equalAverage="0" bottom="0" percent="0" rank="0" text="" dxfId="1">
      <formula>0</formula>
    </cfRule>
  </conditionalFormatting>
  <conditionalFormatting sqref="E25">
    <cfRule type="cellIs" priority="40" operator="greaterThan" aboveAverage="0" equalAverage="0" bottom="0" percent="0" rank="0" text="" dxfId="0">
      <formula>0</formula>
    </cfRule>
    <cfRule type="cellIs" priority="41" operator="lessThan" aboveAverage="0" equalAverage="0" bottom="0" percent="0" rank="0" text="" dxfId="1">
      <formula>0</formula>
    </cfRule>
  </conditionalFormatting>
  <conditionalFormatting sqref="E26">
    <cfRule type="cellIs" priority="42" operator="greaterThan" aboveAverage="0" equalAverage="0" bottom="0" percent="0" rank="0" text="" dxfId="0">
      <formula>0</formula>
    </cfRule>
    <cfRule type="cellIs" priority="43" operator="lessThan" aboveAverage="0" equalAverage="0" bottom="0" percent="0" rank="0" text="" dxfId="1">
      <formula>0</formula>
    </cfRule>
  </conditionalFormatting>
  <conditionalFormatting sqref="E27">
    <cfRule type="cellIs" priority="44" operator="greaterThan" aboveAverage="0" equalAverage="0" bottom="0" percent="0" rank="0" text="" dxfId="0">
      <formula>0</formula>
    </cfRule>
    <cfRule type="cellIs" priority="45" operator="lessThan" aboveAverage="0" equalAverage="0" bottom="0" percent="0" rank="0" text="" dxfId="1">
      <formula>0</formula>
    </cfRule>
  </conditionalFormatting>
  <conditionalFormatting sqref="E28">
    <cfRule type="cellIs" priority="46" operator="greaterThan" aboveAverage="0" equalAverage="0" bottom="0" percent="0" rank="0" text="" dxfId="0">
      <formula>0</formula>
    </cfRule>
    <cfRule type="cellIs" priority="47" operator="lessThan" aboveAverage="0" equalAverage="0" bottom="0" percent="0" rank="0" text="" dxfId="1">
      <formula>0</formula>
    </cfRule>
  </conditionalFormatting>
  <conditionalFormatting sqref="E29">
    <cfRule type="cellIs" priority="48" operator="greaterThan" aboveAverage="0" equalAverage="0" bottom="0" percent="0" rank="0" text="" dxfId="0">
      <formula>0</formula>
    </cfRule>
    <cfRule type="cellIs" priority="49" operator="lessThan" aboveAverage="0" equalAverage="0" bottom="0" percent="0" rank="0" text="" dxfId="1">
      <formula>0</formula>
    </cfRule>
  </conditionalFormatting>
  <conditionalFormatting sqref="E30">
    <cfRule type="cellIs" priority="50" operator="greaterThan" aboveAverage="0" equalAverage="0" bottom="0" percent="0" rank="0" text="" dxfId="0">
      <formula>0</formula>
    </cfRule>
    <cfRule type="cellIs" priority="51" operator="lessThan" aboveAverage="0" equalAverage="0" bottom="0" percent="0" rank="0" text="" dxfId="1">
      <formula>0</formula>
    </cfRule>
  </conditionalFormatting>
  <conditionalFormatting sqref="E31">
    <cfRule type="cellIs" priority="52" operator="greaterThan" aboveAverage="0" equalAverage="0" bottom="0" percent="0" rank="0" text="" dxfId="0">
      <formula>0</formula>
    </cfRule>
    <cfRule type="cellIs" priority="53" operator="lessThan" aboveAverage="0" equalAverage="0" bottom="0" percent="0" rank="0" text="" dxfId="1">
      <formula>0</formula>
    </cfRule>
  </conditionalFormatting>
  <conditionalFormatting sqref="E32">
    <cfRule type="cellIs" priority="54" operator="greaterThan" aboveAverage="0" equalAverage="0" bottom="0" percent="0" rank="0" text="" dxfId="0">
      <formula>0</formula>
    </cfRule>
    <cfRule type="cellIs" priority="55" operator="lessThan" aboveAverage="0" equalAverage="0" bottom="0" percent="0" rank="0" text="" dxfId="1">
      <formula>0</formula>
    </cfRule>
  </conditionalFormatting>
  <conditionalFormatting sqref="E33">
    <cfRule type="cellIs" priority="56" operator="greaterThan" aboveAverage="0" equalAverage="0" bottom="0" percent="0" rank="0" text="" dxfId="0">
      <formula>0</formula>
    </cfRule>
    <cfRule type="cellIs" priority="57" operator="lessThan" aboveAverage="0" equalAverage="0" bottom="0" percent="0" rank="0" text="" dxfId="1">
      <formula>0</formula>
    </cfRule>
  </conditionalFormatting>
  <conditionalFormatting sqref="E34">
    <cfRule type="cellIs" priority="58" operator="greaterThan" aboveAverage="0" equalAverage="0" bottom="0" percent="0" rank="0" text="" dxfId="0">
      <formula>0</formula>
    </cfRule>
    <cfRule type="cellIs" priority="59" operator="lessThan" aboveAverage="0" equalAverage="0" bottom="0" percent="0" rank="0" text="" dxfId="1">
      <formula>0</formula>
    </cfRule>
  </conditionalFormatting>
  <conditionalFormatting sqref="E35">
    <cfRule type="cellIs" priority="60" operator="greaterThan" aboveAverage="0" equalAverage="0" bottom="0" percent="0" rank="0" text="" dxfId="0">
      <formula>0</formula>
    </cfRule>
    <cfRule type="cellIs" priority="61" operator="lessThan" aboveAverage="0" equalAverage="0" bottom="0" percent="0" rank="0" text="" dxfId="1">
      <formula>0</formula>
    </cfRule>
  </conditionalFormatting>
  <conditionalFormatting sqref="E36">
    <cfRule type="cellIs" priority="62" operator="greaterThan" aboveAverage="0" equalAverage="0" bottom="0" percent="0" rank="0" text="" dxfId="0">
      <formula>0</formula>
    </cfRule>
    <cfRule type="cellIs" priority="63" operator="lessThan" aboveAverage="0" equalAverage="0" bottom="0" percent="0" rank="0" text="" dxfId="1">
      <formula>0</formula>
    </cfRule>
  </conditionalFormatting>
  <conditionalFormatting sqref="E37">
    <cfRule type="cellIs" priority="64" operator="greaterThan" aboveAverage="0" equalAverage="0" bottom="0" percent="0" rank="0" text="" dxfId="0">
      <formula>0</formula>
    </cfRule>
    <cfRule type="cellIs" priority="65" operator="lessThan" aboveAverage="0" equalAverage="0" bottom="0" percent="0" rank="0" text="" dxfId="1">
      <formula>0</formula>
    </cfRule>
  </conditionalFormatting>
  <conditionalFormatting sqref="E38">
    <cfRule type="cellIs" priority="66" operator="greaterThan" aboveAverage="0" equalAverage="0" bottom="0" percent="0" rank="0" text="" dxfId="0">
      <formula>0</formula>
    </cfRule>
    <cfRule type="cellIs" priority="67" operator="lessThan" aboveAverage="0" equalAverage="0" bottom="0" percent="0" rank="0" text="" dxfId="1">
      <formula>0</formula>
    </cfRule>
  </conditionalFormatting>
  <conditionalFormatting sqref="E39">
    <cfRule type="cellIs" priority="68" operator="greaterThan" aboveAverage="0" equalAverage="0" bottom="0" percent="0" rank="0" text="" dxfId="0">
      <formula>0</formula>
    </cfRule>
    <cfRule type="cellIs" priority="69" operator="lessThan" aboveAverage="0" equalAverage="0" bottom="0" percent="0" rank="0" text="" dxfId="1">
      <formula>0</formula>
    </cfRule>
  </conditionalFormatting>
  <conditionalFormatting sqref="E40">
    <cfRule type="cellIs" priority="70" operator="greaterThan" aboveAverage="0" equalAverage="0" bottom="0" percent="0" rank="0" text="" dxfId="0">
      <formula>0</formula>
    </cfRule>
    <cfRule type="cellIs" priority="71" operator="lessThan" aboveAverage="0" equalAverage="0" bottom="0" percent="0" rank="0" text="" dxfId="1">
      <formula>0</formula>
    </cfRule>
  </conditionalFormatting>
  <conditionalFormatting sqref="E41">
    <cfRule type="cellIs" priority="72" operator="greaterThan" aboveAverage="0" equalAverage="0" bottom="0" percent="0" rank="0" text="" dxfId="0">
      <formula>0</formula>
    </cfRule>
    <cfRule type="cellIs" priority="73" operator="lessThan" aboveAverage="0" equalAverage="0" bottom="0" percent="0" rank="0" text="" dxfId="1">
      <formula>0</formula>
    </cfRule>
  </conditionalFormatting>
  <conditionalFormatting sqref="E42">
    <cfRule type="cellIs" priority="74" operator="greaterThan" aboveAverage="0" equalAverage="0" bottom="0" percent="0" rank="0" text="" dxfId="0">
      <formula>0</formula>
    </cfRule>
    <cfRule type="cellIs" priority="75" operator="lessThan" aboveAverage="0" equalAverage="0" bottom="0" percent="0" rank="0" text="" dxfId="1">
      <formula>0</formula>
    </cfRule>
  </conditionalFormatting>
  <conditionalFormatting sqref="E43">
    <cfRule type="cellIs" priority="76" operator="greaterThan" aboveAverage="0" equalAverage="0" bottom="0" percent="0" rank="0" text="" dxfId="0">
      <formula>0</formula>
    </cfRule>
    <cfRule type="cellIs" priority="77" operator="lessThan" aboveAverage="0" equalAverage="0" bottom="0" percent="0" rank="0" text="" dxfId="1">
      <formula>0</formula>
    </cfRule>
  </conditionalFormatting>
  <conditionalFormatting sqref="E44">
    <cfRule type="cellIs" priority="78" operator="greaterThan" aboveAverage="0" equalAverage="0" bottom="0" percent="0" rank="0" text="" dxfId="0">
      <formula>0</formula>
    </cfRule>
    <cfRule type="cellIs" priority="79" operator="lessThan" aboveAverage="0" equalAverage="0" bottom="0" percent="0" rank="0" text="" dxfId="1">
      <formula>0</formula>
    </cfRule>
  </conditionalFormatting>
  <conditionalFormatting sqref="E45">
    <cfRule type="cellIs" priority="80" operator="greaterThan" aboveAverage="0" equalAverage="0" bottom="0" percent="0" rank="0" text="" dxfId="0">
      <formula>0</formula>
    </cfRule>
    <cfRule type="cellIs" priority="81" operator="lessThan" aboveAverage="0" equalAverage="0" bottom="0" percent="0" rank="0" text="" dxfId="1">
      <formula>0</formula>
    </cfRule>
  </conditionalFormatting>
  <conditionalFormatting sqref="E46">
    <cfRule type="cellIs" priority="82" operator="greaterThan" aboveAverage="0" equalAverage="0" bottom="0" percent="0" rank="0" text="" dxfId="0">
      <formula>0</formula>
    </cfRule>
    <cfRule type="cellIs" priority="83" operator="lessThan" aboveAverage="0" equalAverage="0" bottom="0" percent="0" rank="0" text="" dxfId="1">
      <formula>0</formula>
    </cfRule>
  </conditionalFormatting>
  <conditionalFormatting sqref="E47">
    <cfRule type="cellIs" priority="84" operator="greaterThan" aboveAverage="0" equalAverage="0" bottom="0" percent="0" rank="0" text="" dxfId="0">
      <formula>0</formula>
    </cfRule>
    <cfRule type="cellIs" priority="85" operator="lessThan" aboveAverage="0" equalAverage="0" bottom="0" percent="0" rank="0" text="" dxfId="1">
      <formula>0</formula>
    </cfRule>
  </conditionalFormatting>
  <conditionalFormatting sqref="E48">
    <cfRule type="cellIs" priority="86" operator="greaterThan" aboveAverage="0" equalAverage="0" bottom="0" percent="0" rank="0" text="" dxfId="0">
      <formula>0</formula>
    </cfRule>
    <cfRule type="cellIs" priority="87" operator="lessThan" aboveAverage="0" equalAverage="0" bottom="0" percent="0" rank="0" text="" dxfId="1">
      <formula>0</formula>
    </cfRule>
  </conditionalFormatting>
  <conditionalFormatting sqref="E49">
    <cfRule type="cellIs" priority="88" operator="greaterThan" aboveAverage="0" equalAverage="0" bottom="0" percent="0" rank="0" text="" dxfId="0">
      <formula>0</formula>
    </cfRule>
    <cfRule type="cellIs" priority="89" operator="lessThan" aboveAverage="0" equalAverage="0" bottom="0" percent="0" rank="0" text="" dxfId="1">
      <formula>0</formula>
    </cfRule>
  </conditionalFormatting>
  <conditionalFormatting sqref="E50">
    <cfRule type="cellIs" priority="90" operator="greaterThan" aboveAverage="0" equalAverage="0" bottom="0" percent="0" rank="0" text="" dxfId="0">
      <formula>0</formula>
    </cfRule>
    <cfRule type="cellIs" priority="91" operator="lessThan" aboveAverage="0" equalAverage="0" bottom="0" percent="0" rank="0" text="" dxfId="1">
      <formula>0</formula>
    </cfRule>
  </conditionalFormatting>
  <conditionalFormatting sqref="E51">
    <cfRule type="cellIs" priority="92" operator="greaterThan" aboveAverage="0" equalAverage="0" bottom="0" percent="0" rank="0" text="" dxfId="0">
      <formula>0</formula>
    </cfRule>
    <cfRule type="cellIs" priority="93" operator="lessThan" aboveAverage="0" equalAverage="0" bottom="0" percent="0" rank="0" text="" dxfId="1">
      <formula>0</formula>
    </cfRule>
  </conditionalFormatting>
  <conditionalFormatting sqref="E52">
    <cfRule type="cellIs" priority="94" operator="greaterThan" aboveAverage="0" equalAverage="0" bottom="0" percent="0" rank="0" text="" dxfId="0">
      <formula>0</formula>
    </cfRule>
    <cfRule type="cellIs" priority="95" operator="lessThan" aboveAverage="0" equalAverage="0" bottom="0" percent="0" rank="0" text="" dxfId="1">
      <formula>0</formula>
    </cfRule>
  </conditionalFormatting>
  <conditionalFormatting sqref="E53">
    <cfRule type="cellIs" priority="96" operator="greaterThan" aboveAverage="0" equalAverage="0" bottom="0" percent="0" rank="0" text="" dxfId="0">
      <formula>0</formula>
    </cfRule>
    <cfRule type="cellIs" priority="97" operator="lessThan" aboveAverage="0" equalAverage="0" bottom="0" percent="0" rank="0" text="" dxfId="1">
      <formula>0</formula>
    </cfRule>
  </conditionalFormatting>
  <conditionalFormatting sqref="E54">
    <cfRule type="cellIs" priority="98" operator="greaterThan" aboveAverage="0" equalAverage="0" bottom="0" percent="0" rank="0" text="" dxfId="0">
      <formula>0</formula>
    </cfRule>
    <cfRule type="cellIs" priority="99" operator="lessThan" aboveAverage="0" equalAverage="0" bottom="0" percent="0" rank="0" text="" dxfId="1">
      <formula>0</formula>
    </cfRule>
  </conditionalFormatting>
  <conditionalFormatting sqref="E55">
    <cfRule type="cellIs" priority="100" operator="greaterThan" aboveAverage="0" equalAverage="0" bottom="0" percent="0" rank="0" text="" dxfId="0">
      <formula>0</formula>
    </cfRule>
    <cfRule type="cellIs" priority="101" operator="lessThan" aboveAverage="0" equalAverage="0" bottom="0" percent="0" rank="0" text="" dxfId="1">
      <formula>0</formula>
    </cfRule>
  </conditionalFormatting>
  <conditionalFormatting sqref="E56">
    <cfRule type="cellIs" priority="102" operator="greaterThan" aboveAverage="0" equalAverage="0" bottom="0" percent="0" rank="0" text="" dxfId="0">
      <formula>0</formula>
    </cfRule>
    <cfRule type="cellIs" priority="103" operator="lessThan" aboveAverage="0" equalAverage="0" bottom="0" percent="0" rank="0" text="" dxfId="1">
      <formula>0</formula>
    </cfRule>
  </conditionalFormatting>
  <conditionalFormatting sqref="E57">
    <cfRule type="cellIs" priority="104" operator="greaterThan" aboveAverage="0" equalAverage="0" bottom="0" percent="0" rank="0" text="" dxfId="0">
      <formula>0</formula>
    </cfRule>
    <cfRule type="cellIs" priority="105" operator="lessThan" aboveAverage="0" equalAverage="0" bottom="0" percent="0" rank="0" text="" dxfId="1">
      <formula>0</formula>
    </cfRule>
  </conditionalFormatting>
  <conditionalFormatting sqref="E58">
    <cfRule type="cellIs" priority="106" operator="greaterThan" aboveAverage="0" equalAverage="0" bottom="0" percent="0" rank="0" text="" dxfId="0">
      <formula>0</formula>
    </cfRule>
    <cfRule type="cellIs" priority="107" operator="lessThan" aboveAverage="0" equalAverage="0" bottom="0" percent="0" rank="0" text="" dxfId="1">
      <formula>0</formula>
    </cfRule>
  </conditionalFormatting>
  <conditionalFormatting sqref="E59">
    <cfRule type="cellIs" priority="108" operator="greaterThan" aboveAverage="0" equalAverage="0" bottom="0" percent="0" rank="0" text="" dxfId="0">
      <formula>0</formula>
    </cfRule>
    <cfRule type="cellIs" priority="109" operator="lessThan" aboveAverage="0" equalAverage="0" bottom="0" percent="0" rank="0" text="" dxfId="1">
      <formula>0</formula>
    </cfRule>
  </conditionalFormatting>
  <conditionalFormatting sqref="E60">
    <cfRule type="cellIs" priority="110" operator="greaterThan" aboveAverage="0" equalAverage="0" bottom="0" percent="0" rank="0" text="" dxfId="0">
      <formula>0</formula>
    </cfRule>
    <cfRule type="cellIs" priority="111" operator="lessThan" aboveAverage="0" equalAverage="0" bottom="0" percent="0" rank="0" text="" dxfId="1">
      <formula>0</formula>
    </cfRule>
  </conditionalFormatting>
  <conditionalFormatting sqref="E61">
    <cfRule type="cellIs" priority="112" operator="greaterThan" aboveAverage="0" equalAverage="0" bottom="0" percent="0" rank="0" text="" dxfId="0">
      <formula>0</formula>
    </cfRule>
    <cfRule type="cellIs" priority="113" operator="lessThan" aboveAverage="0" equalAverage="0" bottom="0" percent="0" rank="0" text="" dxfId="1">
      <formula>0</formula>
    </cfRule>
  </conditionalFormatting>
  <conditionalFormatting sqref="E62">
    <cfRule type="cellIs" priority="114" operator="greaterThan" aboveAverage="0" equalAverage="0" bottom="0" percent="0" rank="0" text="" dxfId="0">
      <formula>0</formula>
    </cfRule>
    <cfRule type="cellIs" priority="115" operator="lessThan" aboveAverage="0" equalAverage="0" bottom="0" percent="0" rank="0" text="" dxfId="1">
      <formula>0</formula>
    </cfRule>
  </conditionalFormatting>
  <conditionalFormatting sqref="E63">
    <cfRule type="cellIs" priority="116" operator="greaterThan" aboveAverage="0" equalAverage="0" bottom="0" percent="0" rank="0" text="" dxfId="0">
      <formula>0</formula>
    </cfRule>
    <cfRule type="cellIs" priority="117" operator="lessThan" aboveAverage="0" equalAverage="0" bottom="0" percent="0" rank="0" text="" dxfId="1">
      <formula>0</formula>
    </cfRule>
  </conditionalFormatting>
  <conditionalFormatting sqref="E64">
    <cfRule type="cellIs" priority="118" operator="greaterThan" aboveAverage="0" equalAverage="0" bottom="0" percent="0" rank="0" text="" dxfId="0">
      <formula>0</formula>
    </cfRule>
    <cfRule type="cellIs" priority="119" operator="lessThan" aboveAverage="0" equalAverage="0" bottom="0" percent="0" rank="0" text="" dxfId="1">
      <formula>0</formula>
    </cfRule>
  </conditionalFormatting>
  <conditionalFormatting sqref="E65">
    <cfRule type="cellIs" priority="120" operator="greaterThan" aboveAverage="0" equalAverage="0" bottom="0" percent="0" rank="0" text="" dxfId="0">
      <formula>0</formula>
    </cfRule>
    <cfRule type="cellIs" priority="121" operator="lessThan" aboveAverage="0" equalAverage="0" bottom="0" percent="0" rank="0" text="" dxfId="1">
      <formula>0</formula>
    </cfRule>
  </conditionalFormatting>
  <conditionalFormatting sqref="E66">
    <cfRule type="cellIs" priority="122" operator="greaterThan" aboveAverage="0" equalAverage="0" bottom="0" percent="0" rank="0" text="" dxfId="0">
      <formula>0</formula>
    </cfRule>
    <cfRule type="cellIs" priority="123" operator="lessThan" aboveAverage="0" equalAverage="0" bottom="0" percent="0" rank="0" text="" dxfId="1">
      <formula>0</formula>
    </cfRule>
  </conditionalFormatting>
  <conditionalFormatting sqref="E67">
    <cfRule type="cellIs" priority="124" operator="greaterThan" aboveAverage="0" equalAverage="0" bottom="0" percent="0" rank="0" text="" dxfId="0">
      <formula>0</formula>
    </cfRule>
    <cfRule type="cellIs" priority="125" operator="lessThan" aboveAverage="0" equalAverage="0" bottom="0" percent="0" rank="0" text="" dxfId="1">
      <formula>0</formula>
    </cfRule>
  </conditionalFormatting>
  <conditionalFormatting sqref="E68">
    <cfRule type="cellIs" priority="126" operator="greaterThan" aboveAverage="0" equalAverage="0" bottom="0" percent="0" rank="0" text="" dxfId="0">
      <formula>0</formula>
    </cfRule>
    <cfRule type="cellIs" priority="127" operator="lessThan" aboveAverage="0" equalAverage="0" bottom="0" percent="0" rank="0" text="" dxfId="1">
      <formula>0</formula>
    </cfRule>
  </conditionalFormatting>
  <conditionalFormatting sqref="E69">
    <cfRule type="cellIs" priority="128" operator="greaterThan" aboveAverage="0" equalAverage="0" bottom="0" percent="0" rank="0" text="" dxfId="0">
      <formula>0</formula>
    </cfRule>
    <cfRule type="cellIs" priority="129" operator="lessThan" aboveAverage="0" equalAverage="0" bottom="0" percent="0" rank="0" text="" dxfId="1">
      <formula>0</formula>
    </cfRule>
  </conditionalFormatting>
  <conditionalFormatting sqref="E70">
    <cfRule type="cellIs" priority="130" operator="greaterThan" aboveAverage="0" equalAverage="0" bottom="0" percent="0" rank="0" text="" dxfId="0">
      <formula>0</formula>
    </cfRule>
    <cfRule type="cellIs" priority="131" operator="lessThan" aboveAverage="0" equalAverage="0" bottom="0" percent="0" rank="0" text="" dxfId="1">
      <formula>0</formula>
    </cfRule>
  </conditionalFormatting>
  <conditionalFormatting sqref="E71">
    <cfRule type="cellIs" priority="132" operator="greaterThan" aboveAverage="0" equalAverage="0" bottom="0" percent="0" rank="0" text="" dxfId="0">
      <formula>0</formula>
    </cfRule>
    <cfRule type="cellIs" priority="133" operator="lessThan" aboveAverage="0" equalAverage="0" bottom="0" percent="0" rank="0" text="" dxfId="1">
      <formula>0</formula>
    </cfRule>
  </conditionalFormatting>
  <conditionalFormatting sqref="E72">
    <cfRule type="cellIs" priority="134" operator="greaterThan" aboveAverage="0" equalAverage="0" bottom="0" percent="0" rank="0" text="" dxfId="0">
      <formula>0</formula>
    </cfRule>
    <cfRule type="cellIs" priority="135" operator="lessThan" aboveAverage="0" equalAverage="0" bottom="0" percent="0" rank="0" text="" dxfId="1">
      <formula>0</formula>
    </cfRule>
  </conditionalFormatting>
  <conditionalFormatting sqref="E73">
    <cfRule type="cellIs" priority="136" operator="greaterThan" aboveAverage="0" equalAverage="0" bottom="0" percent="0" rank="0" text="" dxfId="0">
      <formula>0</formula>
    </cfRule>
    <cfRule type="cellIs" priority="137" operator="lessThan" aboveAverage="0" equalAverage="0" bottom="0" percent="0" rank="0" text="" dxfId="1">
      <formula>0</formula>
    </cfRule>
  </conditionalFormatting>
  <conditionalFormatting sqref="E74">
    <cfRule type="cellIs" priority="138" operator="greaterThan" aboveAverage="0" equalAverage="0" bottom="0" percent="0" rank="0" text="" dxfId="0">
      <formula>0</formula>
    </cfRule>
    <cfRule type="cellIs" priority="139" operator="lessThan" aboveAverage="0" equalAverage="0" bottom="0" percent="0" rank="0" text="" dxfId="1">
      <formula>0</formula>
    </cfRule>
  </conditionalFormatting>
  <conditionalFormatting sqref="E75">
    <cfRule type="cellIs" priority="140" operator="greaterThan" aboveAverage="0" equalAverage="0" bottom="0" percent="0" rank="0" text="" dxfId="0">
      <formula>0</formula>
    </cfRule>
    <cfRule type="cellIs" priority="141" operator="lessThan" aboveAverage="0" equalAverage="0" bottom="0" percent="0" rank="0" text="" dxfId="1">
      <formula>0</formula>
    </cfRule>
  </conditionalFormatting>
  <conditionalFormatting sqref="E76">
    <cfRule type="cellIs" priority="142" operator="greaterThan" aboveAverage="0" equalAverage="0" bottom="0" percent="0" rank="0" text="" dxfId="0">
      <formula>0</formula>
    </cfRule>
    <cfRule type="cellIs" priority="143" operator="lessThan" aboveAverage="0" equalAverage="0" bottom="0" percent="0" rank="0" text="" dxfId="1">
      <formula>0</formula>
    </cfRule>
  </conditionalFormatting>
  <conditionalFormatting sqref="E77">
    <cfRule type="cellIs" priority="144" operator="greaterThan" aboveAverage="0" equalAverage="0" bottom="0" percent="0" rank="0" text="" dxfId="0">
      <formula>0</formula>
    </cfRule>
    <cfRule type="cellIs" priority="145" operator="lessThan" aboveAverage="0" equalAverage="0" bottom="0" percent="0" rank="0" text="" dxfId="1">
      <formula>0</formula>
    </cfRule>
  </conditionalFormatting>
  <conditionalFormatting sqref="E78">
    <cfRule type="cellIs" priority="146" operator="greaterThan" aboveAverage="0" equalAverage="0" bottom="0" percent="0" rank="0" text="" dxfId="0">
      <formula>0</formula>
    </cfRule>
    <cfRule type="cellIs" priority="147" operator="lessThan" aboveAverage="0" equalAverage="0" bottom="0" percent="0" rank="0" text="" dxfId="1">
      <formula>0</formula>
    </cfRule>
  </conditionalFormatting>
  <conditionalFormatting sqref="E79">
    <cfRule type="cellIs" priority="148" operator="greaterThan" aboveAverage="0" equalAverage="0" bottom="0" percent="0" rank="0" text="" dxfId="0">
      <formula>0</formula>
    </cfRule>
    <cfRule type="cellIs" priority="149" operator="lessThan" aboveAverage="0" equalAverage="0" bottom="0" percent="0" rank="0" text="" dxfId="1">
      <formula>0</formula>
    </cfRule>
  </conditionalFormatting>
  <conditionalFormatting sqref="E80">
    <cfRule type="cellIs" priority="150" operator="greaterThan" aboveAverage="0" equalAverage="0" bottom="0" percent="0" rank="0" text="" dxfId="0">
      <formula>0</formula>
    </cfRule>
    <cfRule type="cellIs" priority="151" operator="lessThan" aboveAverage="0" equalAverage="0" bottom="0" percent="0" rank="0" text="" dxfId="1">
      <formula>0</formula>
    </cfRule>
  </conditionalFormatting>
  <conditionalFormatting sqref="E81">
    <cfRule type="cellIs" priority="152" operator="greaterThan" aboveAverage="0" equalAverage="0" bottom="0" percent="0" rank="0" text="" dxfId="0">
      <formula>0</formula>
    </cfRule>
    <cfRule type="cellIs" priority="153" operator="lessThan" aboveAverage="0" equalAverage="0" bottom="0" percent="0" rank="0" text="" dxfId="1">
      <formula>0</formula>
    </cfRule>
  </conditionalFormatting>
  <conditionalFormatting sqref="E82">
    <cfRule type="cellIs" priority="154" operator="greaterThan" aboveAverage="0" equalAverage="0" bottom="0" percent="0" rank="0" text="" dxfId="0">
      <formula>0</formula>
    </cfRule>
    <cfRule type="cellIs" priority="155" operator="lessThan" aboveAverage="0" equalAverage="0" bottom="0" percent="0" rank="0" text="" dxfId="1">
      <formula>0</formula>
    </cfRule>
  </conditionalFormatting>
  <conditionalFormatting sqref="E83">
    <cfRule type="cellIs" priority="156" operator="greaterThan" aboveAverage="0" equalAverage="0" bottom="0" percent="0" rank="0" text="" dxfId="0">
      <formula>0</formula>
    </cfRule>
    <cfRule type="cellIs" priority="157" operator="lessThan" aboveAverage="0" equalAverage="0" bottom="0" percent="0" rank="0" text="" dxfId="1">
      <formula>0</formula>
    </cfRule>
  </conditionalFormatting>
  <conditionalFormatting sqref="E84">
    <cfRule type="cellIs" priority="158" operator="greaterThan" aboveAverage="0" equalAverage="0" bottom="0" percent="0" rank="0" text="" dxfId="0">
      <formula>0</formula>
    </cfRule>
    <cfRule type="cellIs" priority="159" operator="lessThan" aboveAverage="0" equalAverage="0" bottom="0" percent="0" rank="0" text="" dxfId="1">
      <formula>0</formula>
    </cfRule>
  </conditionalFormatting>
  <conditionalFormatting sqref="E85">
    <cfRule type="cellIs" priority="160" operator="greaterThan" aboveAverage="0" equalAverage="0" bottom="0" percent="0" rank="0" text="" dxfId="0">
      <formula>0</formula>
    </cfRule>
    <cfRule type="cellIs" priority="161" operator="lessThan" aboveAverage="0" equalAverage="0" bottom="0" percent="0" rank="0" text="" dxfId="1">
      <formula>0</formula>
    </cfRule>
  </conditionalFormatting>
  <conditionalFormatting sqref="E86">
    <cfRule type="cellIs" priority="162" operator="greaterThan" aboveAverage="0" equalAverage="0" bottom="0" percent="0" rank="0" text="" dxfId="0">
      <formula>0</formula>
    </cfRule>
    <cfRule type="cellIs" priority="163" operator="lessThan" aboveAverage="0" equalAverage="0" bottom="0" percent="0" rank="0" text="" dxfId="1">
      <formula>0</formula>
    </cfRule>
  </conditionalFormatting>
  <conditionalFormatting sqref="E87">
    <cfRule type="cellIs" priority="164" operator="greaterThan" aboveAverage="0" equalAverage="0" bottom="0" percent="0" rank="0" text="" dxfId="0">
      <formula>0</formula>
    </cfRule>
    <cfRule type="cellIs" priority="165" operator="lessThan" aboveAverage="0" equalAverage="0" bottom="0" percent="0" rank="0" text="" dxfId="1">
      <formula>0</formula>
    </cfRule>
  </conditionalFormatting>
  <conditionalFormatting sqref="E88">
    <cfRule type="cellIs" priority="166" operator="greaterThan" aboveAverage="0" equalAverage="0" bottom="0" percent="0" rank="0" text="" dxfId="0">
      <formula>0</formula>
    </cfRule>
    <cfRule type="cellIs" priority="167" operator="lessThan" aboveAverage="0" equalAverage="0" bottom="0" percent="0" rank="0" text="" dxfId="1">
      <formula>0</formula>
    </cfRule>
  </conditionalFormatting>
  <conditionalFormatting sqref="E89">
    <cfRule type="cellIs" priority="168" operator="greaterThan" aboveAverage="0" equalAverage="0" bottom="0" percent="0" rank="0" text="" dxfId="0">
      <formula>0</formula>
    </cfRule>
    <cfRule type="cellIs" priority="169" operator="lessThan" aboveAverage="0" equalAverage="0" bottom="0" percent="0" rank="0" text="" dxfId="1">
      <formula>0</formula>
    </cfRule>
  </conditionalFormatting>
  <conditionalFormatting sqref="E90">
    <cfRule type="cellIs" priority="170" operator="greaterThan" aboveAverage="0" equalAverage="0" bottom="0" percent="0" rank="0" text="" dxfId="0">
      <formula>0</formula>
    </cfRule>
    <cfRule type="cellIs" priority="171" operator="lessThan" aboveAverage="0" equalAverage="0" bottom="0" percent="0" rank="0" text="" dxfId="1">
      <formula>0</formula>
    </cfRule>
  </conditionalFormatting>
  <conditionalFormatting sqref="E91">
    <cfRule type="cellIs" priority="172" operator="greaterThan" aboveAverage="0" equalAverage="0" bottom="0" percent="0" rank="0" text="" dxfId="0">
      <formula>0</formula>
    </cfRule>
    <cfRule type="cellIs" priority="173" operator="lessThan" aboveAverage="0" equalAverage="0" bottom="0" percent="0" rank="0" text="" dxfId="1">
      <formula>0</formula>
    </cfRule>
  </conditionalFormatting>
  <conditionalFormatting sqref="E92">
    <cfRule type="cellIs" priority="174" operator="greaterThan" aboveAverage="0" equalAverage="0" bottom="0" percent="0" rank="0" text="" dxfId="0">
      <formula>0</formula>
    </cfRule>
    <cfRule type="cellIs" priority="175" operator="lessThan" aboveAverage="0" equalAverage="0" bottom="0" percent="0" rank="0" text="" dxfId="1">
      <formula>0</formula>
    </cfRule>
  </conditionalFormatting>
  <conditionalFormatting sqref="E93">
    <cfRule type="cellIs" priority="176" operator="greaterThan" aboveAverage="0" equalAverage="0" bottom="0" percent="0" rank="0" text="" dxfId="0">
      <formula>0</formula>
    </cfRule>
    <cfRule type="cellIs" priority="177" operator="lessThan" aboveAverage="0" equalAverage="0" bottom="0" percent="0" rank="0" text="" dxfId="1">
      <formula>0</formula>
    </cfRule>
  </conditionalFormatting>
  <conditionalFormatting sqref="E94">
    <cfRule type="cellIs" priority="178" operator="greaterThan" aboveAverage="0" equalAverage="0" bottom="0" percent="0" rank="0" text="" dxfId="0">
      <formula>0</formula>
    </cfRule>
    <cfRule type="cellIs" priority="179" operator="lessThan" aboveAverage="0" equalAverage="0" bottom="0" percent="0" rank="0" text="" dxfId="1">
      <formula>0</formula>
    </cfRule>
  </conditionalFormatting>
  <conditionalFormatting sqref="E95">
    <cfRule type="cellIs" priority="180" operator="greaterThan" aboveAverage="0" equalAverage="0" bottom="0" percent="0" rank="0" text="" dxfId="0">
      <formula>0</formula>
    </cfRule>
    <cfRule type="cellIs" priority="181" operator="lessThan" aboveAverage="0" equalAverage="0" bottom="0" percent="0" rank="0" text="" dxfId="1">
      <formula>0</formula>
    </cfRule>
  </conditionalFormatting>
  <conditionalFormatting sqref="E96">
    <cfRule type="cellIs" priority="182" operator="greaterThan" aboveAverage="0" equalAverage="0" bottom="0" percent="0" rank="0" text="" dxfId="0">
      <formula>0</formula>
    </cfRule>
    <cfRule type="cellIs" priority="183" operator="lessThan" aboveAverage="0" equalAverage="0" bottom="0" percent="0" rank="0" text="" dxfId="1">
      <formula>0</formula>
    </cfRule>
  </conditionalFormatting>
  <conditionalFormatting sqref="E97">
    <cfRule type="cellIs" priority="184" operator="greaterThan" aboveAverage="0" equalAverage="0" bottom="0" percent="0" rank="0" text="" dxfId="0">
      <formula>0</formula>
    </cfRule>
    <cfRule type="cellIs" priority="185" operator="lessThan" aboveAverage="0" equalAverage="0" bottom="0" percent="0" rank="0" text="" dxfId="1">
      <formula>0</formula>
    </cfRule>
  </conditionalFormatting>
  <conditionalFormatting sqref="E98">
    <cfRule type="cellIs" priority="186" operator="greaterThan" aboveAverage="0" equalAverage="0" bottom="0" percent="0" rank="0" text="" dxfId="0">
      <formula>0</formula>
    </cfRule>
    <cfRule type="cellIs" priority="187" operator="lessThan" aboveAverage="0" equalAverage="0" bottom="0" percent="0" rank="0" text="" dxfId="1">
      <formula>0</formula>
    </cfRule>
  </conditionalFormatting>
  <conditionalFormatting sqref="E99">
    <cfRule type="cellIs" priority="188" operator="greaterThan" aboveAverage="0" equalAverage="0" bottom="0" percent="0" rank="0" text="" dxfId="0">
      <formula>0</formula>
    </cfRule>
    <cfRule type="cellIs" priority="189" operator="lessThan" aboveAverage="0" equalAverage="0" bottom="0" percent="0" rank="0" text="" dxfId="1">
      <formula>0</formula>
    </cfRule>
  </conditionalFormatting>
  <conditionalFormatting sqref="E100">
    <cfRule type="cellIs" priority="190" operator="greaterThan" aboveAverage="0" equalAverage="0" bottom="0" percent="0" rank="0" text="" dxfId="0">
      <formula>0</formula>
    </cfRule>
    <cfRule type="cellIs" priority="191" operator="lessThan" aboveAverage="0" equalAverage="0" bottom="0" percent="0" rank="0" text="" dxfId="1">
      <formula>0</formula>
    </cfRule>
  </conditionalFormatting>
  <conditionalFormatting sqref="E101">
    <cfRule type="cellIs" priority="192" operator="greaterThan" aboveAverage="0" equalAverage="0" bottom="0" percent="0" rank="0" text="" dxfId="0">
      <formula>0</formula>
    </cfRule>
    <cfRule type="cellIs" priority="193" operator="lessThan" aboveAverage="0" equalAverage="0" bottom="0" percent="0" rank="0" text="" dxfId="1">
      <formula>0</formula>
    </cfRule>
  </conditionalFormatting>
  <conditionalFormatting sqref="E102">
    <cfRule type="cellIs" priority="194" operator="greaterThan" aboveAverage="0" equalAverage="0" bottom="0" percent="0" rank="0" text="" dxfId="0">
      <formula>0</formula>
    </cfRule>
    <cfRule type="cellIs" priority="195" operator="lessThan" aboveAverage="0" equalAverage="0" bottom="0" percent="0" rank="0" text="" dxfId="1">
      <formula>0</formula>
    </cfRule>
  </conditionalFormatting>
  <conditionalFormatting sqref="E103">
    <cfRule type="cellIs" priority="196" operator="greaterThan" aboveAverage="0" equalAverage="0" bottom="0" percent="0" rank="0" text="" dxfId="0">
      <formula>0</formula>
    </cfRule>
    <cfRule type="cellIs" priority="197" operator="lessThan" aboveAverage="0" equalAverage="0" bottom="0" percent="0" rank="0" text="" dxfId="1">
      <formula>0</formula>
    </cfRule>
  </conditionalFormatting>
  <conditionalFormatting sqref="E104">
    <cfRule type="cellIs" priority="198" operator="greaterThan" aboveAverage="0" equalAverage="0" bottom="0" percent="0" rank="0" text="" dxfId="0">
      <formula>0</formula>
    </cfRule>
    <cfRule type="cellIs" priority="199" operator="lessThan" aboveAverage="0" equalAverage="0" bottom="0" percent="0" rank="0" text="" dxfId="1">
      <formula>0</formula>
    </cfRule>
  </conditionalFormatting>
  <conditionalFormatting sqref="E105">
    <cfRule type="cellIs" priority="200" operator="greaterThan" aboveAverage="0" equalAverage="0" bottom="0" percent="0" rank="0" text="" dxfId="0">
      <formula>0</formula>
    </cfRule>
    <cfRule type="cellIs" priority="201" operator="lessThan" aboveAverage="0" equalAverage="0" bottom="0" percent="0" rank="0" text="" dxfId="1">
      <formula>0</formula>
    </cfRule>
  </conditionalFormatting>
  <conditionalFormatting sqref="E106">
    <cfRule type="cellIs" priority="202" operator="greaterThan" aboveAverage="0" equalAverage="0" bottom="0" percent="0" rank="0" text="" dxfId="0">
      <formula>0</formula>
    </cfRule>
    <cfRule type="cellIs" priority="203" operator="lessThan" aboveAverage="0" equalAverage="0" bottom="0" percent="0" rank="0" text="" dxfId="1">
      <formula>0</formula>
    </cfRule>
  </conditionalFormatting>
  <conditionalFormatting sqref="E107">
    <cfRule type="cellIs" priority="204" operator="greaterThan" aboveAverage="0" equalAverage="0" bottom="0" percent="0" rank="0" text="" dxfId="0">
      <formula>0</formula>
    </cfRule>
    <cfRule type="cellIs" priority="205" operator="lessThan" aboveAverage="0" equalAverage="0" bottom="0" percent="0" rank="0" text="" dxfId="1">
      <formula>0</formula>
    </cfRule>
  </conditionalFormatting>
  <conditionalFormatting sqref="E108">
    <cfRule type="cellIs" priority="206" operator="greaterThan" aboveAverage="0" equalAverage="0" bottom="0" percent="0" rank="0" text="" dxfId="0">
      <formula>0</formula>
    </cfRule>
    <cfRule type="cellIs" priority="207" operator="lessThan" aboveAverage="0" equalAverage="0" bottom="0" percent="0" rank="0" text="" dxfId="1">
      <formula>0</formula>
    </cfRule>
  </conditionalFormatting>
  <conditionalFormatting sqref="E109">
    <cfRule type="cellIs" priority="208" operator="greaterThan" aboveAverage="0" equalAverage="0" bottom="0" percent="0" rank="0" text="" dxfId="0">
      <formula>0</formula>
    </cfRule>
    <cfRule type="cellIs" priority="209" operator="lessThan" aboveAverage="0" equalAverage="0" bottom="0" percent="0" rank="0" text="" dxfId="1">
      <formula>0</formula>
    </cfRule>
  </conditionalFormatting>
  <conditionalFormatting sqref="E110">
    <cfRule type="cellIs" priority="210" operator="greaterThan" aboveAverage="0" equalAverage="0" bottom="0" percent="0" rank="0" text="" dxfId="0">
      <formula>0</formula>
    </cfRule>
    <cfRule type="cellIs" priority="211" operator="lessThan" aboveAverage="0" equalAverage="0" bottom="0" percent="0" rank="0" text="" dxfId="1">
      <formula>0</formula>
    </cfRule>
  </conditionalFormatting>
  <conditionalFormatting sqref="E111">
    <cfRule type="cellIs" priority="212" operator="greaterThan" aboveAverage="0" equalAverage="0" bottom="0" percent="0" rank="0" text="" dxfId="0">
      <formula>0</formula>
    </cfRule>
    <cfRule type="cellIs" priority="213" operator="lessThan" aboveAverage="0" equalAverage="0" bottom="0" percent="0" rank="0" text="" dxfId="1">
      <formula>0</formula>
    </cfRule>
  </conditionalFormatting>
  <conditionalFormatting sqref="E112">
    <cfRule type="cellIs" priority="214" operator="greaterThan" aboveAverage="0" equalAverage="0" bottom="0" percent="0" rank="0" text="" dxfId="0">
      <formula>0</formula>
    </cfRule>
    <cfRule type="cellIs" priority="215" operator="lessThan" aboveAverage="0" equalAverage="0" bottom="0" percent="0" rank="0" text="" dxfId="1">
      <formula>0</formula>
    </cfRule>
  </conditionalFormatting>
  <conditionalFormatting sqref="E113">
    <cfRule type="cellIs" priority="216" operator="greaterThan" aboveAverage="0" equalAverage="0" bottom="0" percent="0" rank="0" text="" dxfId="0">
      <formula>0</formula>
    </cfRule>
    <cfRule type="cellIs" priority="217" operator="lessThan" aboveAverage="0" equalAverage="0" bottom="0" percent="0" rank="0" text="" dxfId="1">
      <formula>0</formula>
    </cfRule>
  </conditionalFormatting>
  <conditionalFormatting sqref="E114">
    <cfRule type="cellIs" priority="218" operator="greaterThan" aboveAverage="0" equalAverage="0" bottom="0" percent="0" rank="0" text="" dxfId="0">
      <formula>0</formula>
    </cfRule>
    <cfRule type="cellIs" priority="219" operator="lessThan" aboveAverage="0" equalAverage="0" bottom="0" percent="0" rank="0" text="" dxfId="1">
      <formula>0</formula>
    </cfRule>
  </conditionalFormatting>
  <conditionalFormatting sqref="E115">
    <cfRule type="cellIs" priority="220" operator="greaterThan" aboveAverage="0" equalAverage="0" bottom="0" percent="0" rank="0" text="" dxfId="0">
      <formula>0</formula>
    </cfRule>
    <cfRule type="cellIs" priority="221" operator="lessThan" aboveAverage="0" equalAverage="0" bottom="0" percent="0" rank="0" text="" dxfId="1">
      <formula>0</formula>
    </cfRule>
  </conditionalFormatting>
  <conditionalFormatting sqref="E116">
    <cfRule type="cellIs" priority="222" operator="greaterThan" aboveAverage="0" equalAverage="0" bottom="0" percent="0" rank="0" text="" dxfId="0">
      <formula>0</formula>
    </cfRule>
    <cfRule type="cellIs" priority="223" operator="lessThan" aboveAverage="0" equalAverage="0" bottom="0" percent="0" rank="0" text="" dxfId="1">
      <formula>0</formula>
    </cfRule>
  </conditionalFormatting>
  <conditionalFormatting sqref="E117">
    <cfRule type="cellIs" priority="224" operator="greaterThan" aboveAverage="0" equalAverage="0" bottom="0" percent="0" rank="0" text="" dxfId="0">
      <formula>0</formula>
    </cfRule>
    <cfRule type="cellIs" priority="225" operator="lessThan" aboveAverage="0" equalAverage="0" bottom="0" percent="0" rank="0" text="" dxfId="1">
      <formula>0</formula>
    </cfRule>
  </conditionalFormatting>
  <conditionalFormatting sqref="E118">
    <cfRule type="cellIs" priority="226" operator="greaterThan" aboveAverage="0" equalAverage="0" bottom="0" percent="0" rank="0" text="" dxfId="0">
      <formula>0</formula>
    </cfRule>
    <cfRule type="cellIs" priority="227" operator="lessThan" aboveAverage="0" equalAverage="0" bottom="0" percent="0" rank="0" text="" dxfId="1">
      <formula>0</formula>
    </cfRule>
  </conditionalFormatting>
  <conditionalFormatting sqref="E119">
    <cfRule type="cellIs" priority="228" operator="greaterThan" aboveAverage="0" equalAverage="0" bottom="0" percent="0" rank="0" text="" dxfId="0">
      <formula>0</formula>
    </cfRule>
    <cfRule type="cellIs" priority="229" operator="lessThan" aboveAverage="0" equalAverage="0" bottom="0" percent="0" rank="0" text="" dxfId="1">
      <formula>0</formula>
    </cfRule>
  </conditionalFormatting>
  <conditionalFormatting sqref="E120">
    <cfRule type="cellIs" priority="230" operator="greaterThan" aboveAverage="0" equalAverage="0" bottom="0" percent="0" rank="0" text="" dxfId="0">
      <formula>0</formula>
    </cfRule>
    <cfRule type="cellIs" priority="231" operator="lessThan" aboveAverage="0" equalAverage="0" bottom="0" percent="0" rank="0" text="" dxfId="1">
      <formula>0</formula>
    </cfRule>
  </conditionalFormatting>
  <conditionalFormatting sqref="E121">
    <cfRule type="cellIs" priority="232" operator="greaterThan" aboveAverage="0" equalAverage="0" bottom="0" percent="0" rank="0" text="" dxfId="0">
      <formula>0</formula>
    </cfRule>
    <cfRule type="cellIs" priority="233" operator="lessThan" aboveAverage="0" equalAverage="0" bottom="0" percent="0" rank="0" text="" dxfId="1">
      <formula>0</formula>
    </cfRule>
  </conditionalFormatting>
  <conditionalFormatting sqref="E122">
    <cfRule type="cellIs" priority="234" operator="greaterThan" aboveAverage="0" equalAverage="0" bottom="0" percent="0" rank="0" text="" dxfId="0">
      <formula>0</formula>
    </cfRule>
    <cfRule type="cellIs" priority="235" operator="lessThan" aboveAverage="0" equalAverage="0" bottom="0" percent="0" rank="0" text="" dxfId="1">
      <formula>0</formula>
    </cfRule>
  </conditionalFormatting>
  <conditionalFormatting sqref="E123">
    <cfRule type="cellIs" priority="236" operator="greaterThan" aboveAverage="0" equalAverage="0" bottom="0" percent="0" rank="0" text="" dxfId="0">
      <formula>0</formula>
    </cfRule>
    <cfRule type="cellIs" priority="237" operator="lessThan" aboveAverage="0" equalAverage="0" bottom="0" percent="0" rank="0" text="" dxfId="1">
      <formula>0</formula>
    </cfRule>
  </conditionalFormatting>
  <conditionalFormatting sqref="E124">
    <cfRule type="cellIs" priority="238" operator="greaterThan" aboveAverage="0" equalAverage="0" bottom="0" percent="0" rank="0" text="" dxfId="0">
      <formula>0</formula>
    </cfRule>
    <cfRule type="cellIs" priority="239" operator="lessThan" aboveAverage="0" equalAverage="0" bottom="0" percent="0" rank="0" text="" dxfId="1">
      <formula>0</formula>
    </cfRule>
  </conditionalFormatting>
  <conditionalFormatting sqref="E125">
    <cfRule type="cellIs" priority="240" operator="greaterThan" aboveAverage="0" equalAverage="0" bottom="0" percent="0" rank="0" text="" dxfId="0">
      <formula>0</formula>
    </cfRule>
    <cfRule type="cellIs" priority="241" operator="lessThan" aboveAverage="0" equalAverage="0" bottom="0" percent="0" rank="0" text="" dxfId="1">
      <formula>0</formula>
    </cfRule>
  </conditionalFormatting>
  <conditionalFormatting sqref="E126">
    <cfRule type="cellIs" priority="242" operator="greaterThan" aboveAverage="0" equalAverage="0" bottom="0" percent="0" rank="0" text="" dxfId="0">
      <formula>0</formula>
    </cfRule>
    <cfRule type="cellIs" priority="243" operator="lessThan" aboveAverage="0" equalAverage="0" bottom="0" percent="0" rank="0" text="" dxfId="1">
      <formula>0</formula>
    </cfRule>
  </conditionalFormatting>
  <conditionalFormatting sqref="E127">
    <cfRule type="cellIs" priority="244" operator="greaterThan" aboveAverage="0" equalAverage="0" bottom="0" percent="0" rank="0" text="" dxfId="0">
      <formula>0</formula>
    </cfRule>
    <cfRule type="cellIs" priority="245" operator="lessThan" aboveAverage="0" equalAverage="0" bottom="0" percent="0" rank="0" text="" dxfId="1">
      <formula>0</formula>
    </cfRule>
  </conditionalFormatting>
  <conditionalFormatting sqref="E128">
    <cfRule type="cellIs" priority="246" operator="greaterThan" aboveAverage="0" equalAverage="0" bottom="0" percent="0" rank="0" text="" dxfId="0">
      <formula>0</formula>
    </cfRule>
    <cfRule type="cellIs" priority="247" operator="lessThan" aboveAverage="0" equalAverage="0" bottom="0" percent="0" rank="0" text="" dxfId="1">
      <formula>0</formula>
    </cfRule>
  </conditionalFormatting>
  <conditionalFormatting sqref="E129">
    <cfRule type="cellIs" priority="248" operator="greaterThan" aboveAverage="0" equalAverage="0" bottom="0" percent="0" rank="0" text="" dxfId="0">
      <formula>0</formula>
    </cfRule>
    <cfRule type="cellIs" priority="249" operator="lessThan" aboveAverage="0" equalAverage="0" bottom="0" percent="0" rank="0" text="" dxfId="1">
      <formula>0</formula>
    </cfRule>
  </conditionalFormatting>
  <conditionalFormatting sqref="E130">
    <cfRule type="cellIs" priority="250" operator="greaterThan" aboveAverage="0" equalAverage="0" bottom="0" percent="0" rank="0" text="" dxfId="0">
      <formula>0</formula>
    </cfRule>
    <cfRule type="cellIs" priority="251" operator="lessThan" aboveAverage="0" equalAverage="0" bottom="0" percent="0" rank="0" text="" dxfId="1">
      <formula>0</formula>
    </cfRule>
  </conditionalFormatting>
  <conditionalFormatting sqref="E131">
    <cfRule type="cellIs" priority="252" operator="greaterThan" aboveAverage="0" equalAverage="0" bottom="0" percent="0" rank="0" text="" dxfId="0">
      <formula>0</formula>
    </cfRule>
    <cfRule type="cellIs" priority="253" operator="lessThan" aboveAverage="0" equalAverage="0" bottom="0" percent="0" rank="0" text="" dxfId="1">
      <formula>0</formula>
    </cfRule>
  </conditionalFormatting>
  <conditionalFormatting sqref="E132">
    <cfRule type="cellIs" priority="254" operator="greaterThan" aboveAverage="0" equalAverage="0" bottom="0" percent="0" rank="0" text="" dxfId="0">
      <formula>0</formula>
    </cfRule>
    <cfRule type="cellIs" priority="255" operator="lessThan" aboveAverage="0" equalAverage="0" bottom="0" percent="0" rank="0" text="" dxfId="1">
      <formula>0</formula>
    </cfRule>
  </conditionalFormatting>
  <conditionalFormatting sqref="E133">
    <cfRule type="cellIs" priority="256" operator="greaterThan" aboveAverage="0" equalAverage="0" bottom="0" percent="0" rank="0" text="" dxfId="0">
      <formula>0</formula>
    </cfRule>
    <cfRule type="cellIs" priority="257" operator="lessThan" aboveAverage="0" equalAverage="0" bottom="0" percent="0" rank="0" text="" dxfId="1">
      <formula>0</formula>
    </cfRule>
  </conditionalFormatting>
  <conditionalFormatting sqref="E134">
    <cfRule type="cellIs" priority="258" operator="greaterThan" aboveAverage="0" equalAverage="0" bottom="0" percent="0" rank="0" text="" dxfId="0">
      <formula>0</formula>
    </cfRule>
    <cfRule type="cellIs" priority="259" operator="lessThan" aboveAverage="0" equalAverage="0" bottom="0" percent="0" rank="0" text="" dxfId="1">
      <formula>0</formula>
    </cfRule>
  </conditionalFormatting>
  <conditionalFormatting sqref="E135">
    <cfRule type="cellIs" priority="260" operator="greaterThan" aboveAverage="0" equalAverage="0" bottom="0" percent="0" rank="0" text="" dxfId="0">
      <formula>0</formula>
    </cfRule>
    <cfRule type="cellIs" priority="261" operator="lessThan" aboveAverage="0" equalAverage="0" bottom="0" percent="0" rank="0" text="" dxfId="1">
      <formula>0</formula>
    </cfRule>
  </conditionalFormatting>
  <conditionalFormatting sqref="E136">
    <cfRule type="cellIs" priority="262" operator="greaterThan" aboveAverage="0" equalAverage="0" bottom="0" percent="0" rank="0" text="" dxfId="0">
      <formula>0</formula>
    </cfRule>
    <cfRule type="cellIs" priority="263" operator="lessThan" aboveAverage="0" equalAverage="0" bottom="0" percent="0" rank="0" text="" dxfId="1">
      <formula>0</formula>
    </cfRule>
  </conditionalFormatting>
  <conditionalFormatting sqref="E137">
    <cfRule type="cellIs" priority="264" operator="greaterThan" aboveAverage="0" equalAverage="0" bottom="0" percent="0" rank="0" text="" dxfId="0">
      <formula>0</formula>
    </cfRule>
    <cfRule type="cellIs" priority="265" operator="lessThan" aboveAverage="0" equalAverage="0" bottom="0" percent="0" rank="0" text="" dxfId="1">
      <formula>0</formula>
    </cfRule>
  </conditionalFormatting>
  <conditionalFormatting sqref="E138">
    <cfRule type="cellIs" priority="266" operator="greaterThan" aboveAverage="0" equalAverage="0" bottom="0" percent="0" rank="0" text="" dxfId="0">
      <formula>0</formula>
    </cfRule>
    <cfRule type="cellIs" priority="267" operator="lessThan" aboveAverage="0" equalAverage="0" bottom="0" percent="0" rank="0" text="" dxfId="1">
      <formula>0</formula>
    </cfRule>
  </conditionalFormatting>
  <conditionalFormatting sqref="E139">
    <cfRule type="cellIs" priority="268" operator="greaterThan" aboveAverage="0" equalAverage="0" bottom="0" percent="0" rank="0" text="" dxfId="0">
      <formula>0</formula>
    </cfRule>
    <cfRule type="cellIs" priority="269" operator="lessThan" aboveAverage="0" equalAverage="0" bottom="0" percent="0" rank="0" text="" dxfId="1">
      <formula>0</formula>
    </cfRule>
  </conditionalFormatting>
  <conditionalFormatting sqref="E140">
    <cfRule type="cellIs" priority="270" operator="greaterThan" aboveAverage="0" equalAverage="0" bottom="0" percent="0" rank="0" text="" dxfId="0">
      <formula>0</formula>
    </cfRule>
    <cfRule type="cellIs" priority="271" operator="lessThan" aboveAverage="0" equalAverage="0" bottom="0" percent="0" rank="0" text="" dxfId="1">
      <formula>0</formula>
    </cfRule>
  </conditionalFormatting>
  <conditionalFormatting sqref="E141">
    <cfRule type="cellIs" priority="272" operator="greaterThan" aboveAverage="0" equalAverage="0" bottom="0" percent="0" rank="0" text="" dxfId="0">
      <formula>0</formula>
    </cfRule>
    <cfRule type="cellIs" priority="273" operator="lessThan" aboveAverage="0" equalAverage="0" bottom="0" percent="0" rank="0" text="" dxfId="1">
      <formula>0</formula>
    </cfRule>
  </conditionalFormatting>
  <conditionalFormatting sqref="E142">
    <cfRule type="cellIs" priority="274" operator="greaterThan" aboveAverage="0" equalAverage="0" bottom="0" percent="0" rank="0" text="" dxfId="0">
      <formula>0</formula>
    </cfRule>
    <cfRule type="cellIs" priority="275" operator="lessThan" aboveAverage="0" equalAverage="0" bottom="0" percent="0" rank="0" text="" dxfId="1">
      <formula>0</formula>
    </cfRule>
  </conditionalFormatting>
  <conditionalFormatting sqref="E143">
    <cfRule type="cellIs" priority="276" operator="greaterThan" aboveAverage="0" equalAverage="0" bottom="0" percent="0" rank="0" text="" dxfId="0">
      <formula>0</formula>
    </cfRule>
    <cfRule type="cellIs" priority="277" operator="lessThan" aboveAverage="0" equalAverage="0" bottom="0" percent="0" rank="0" text="" dxfId="1">
      <formula>0</formula>
    </cfRule>
  </conditionalFormatting>
  <conditionalFormatting sqref="E144">
    <cfRule type="cellIs" priority="278" operator="greaterThan" aboveAverage="0" equalAverage="0" bottom="0" percent="0" rank="0" text="" dxfId="0">
      <formula>0</formula>
    </cfRule>
    <cfRule type="cellIs" priority="279" operator="lessThan" aboveAverage="0" equalAverage="0" bottom="0" percent="0" rank="0" text="" dxfId="1">
      <formula>0</formula>
    </cfRule>
  </conditionalFormatting>
  <conditionalFormatting sqref="E145">
    <cfRule type="cellIs" priority="280" operator="greaterThan" aboveAverage="0" equalAverage="0" bottom="0" percent="0" rank="0" text="" dxfId="0">
      <formula>0</formula>
    </cfRule>
    <cfRule type="cellIs" priority="281" operator="lessThan" aboveAverage="0" equalAverage="0" bottom="0" percent="0" rank="0" text="" dxfId="1">
      <formula>0</formula>
    </cfRule>
  </conditionalFormatting>
  <conditionalFormatting sqref="E146">
    <cfRule type="cellIs" priority="282" operator="greaterThan" aboveAverage="0" equalAverage="0" bottom="0" percent="0" rank="0" text="" dxfId="0">
      <formula>0</formula>
    </cfRule>
    <cfRule type="cellIs" priority="283" operator="lessThan" aboveAverage="0" equalAverage="0" bottom="0" percent="0" rank="0" text="" dxfId="1">
      <formula>0</formula>
    </cfRule>
  </conditionalFormatting>
  <conditionalFormatting sqref="E147">
    <cfRule type="cellIs" priority="284" operator="greaterThan" aboveAverage="0" equalAverage="0" bottom="0" percent="0" rank="0" text="" dxfId="0">
      <formula>0</formula>
    </cfRule>
    <cfRule type="cellIs" priority="285" operator="lessThan" aboveAverage="0" equalAverage="0" bottom="0" percent="0" rank="0" text="" dxfId="1">
      <formula>0</formula>
    </cfRule>
  </conditionalFormatting>
  <conditionalFormatting sqref="E148">
    <cfRule type="cellIs" priority="286" operator="greaterThan" aboveAverage="0" equalAverage="0" bottom="0" percent="0" rank="0" text="" dxfId="0">
      <formula>0</formula>
    </cfRule>
    <cfRule type="cellIs" priority="287" operator="lessThan" aboveAverage="0" equalAverage="0" bottom="0" percent="0" rank="0" text="" dxfId="1">
      <formula>0</formula>
    </cfRule>
  </conditionalFormatting>
  <conditionalFormatting sqref="E149">
    <cfRule type="cellIs" priority="288" operator="greaterThan" aboveAverage="0" equalAverage="0" bottom="0" percent="0" rank="0" text="" dxfId="0">
      <formula>0</formula>
    </cfRule>
    <cfRule type="cellIs" priority="289" operator="lessThan" aboveAverage="0" equalAverage="0" bottom="0" percent="0" rank="0" text="" dxfId="1">
      <formula>0</formula>
    </cfRule>
  </conditionalFormatting>
  <conditionalFormatting sqref="E150">
    <cfRule type="cellIs" priority="290" operator="greaterThan" aboveAverage="0" equalAverage="0" bottom="0" percent="0" rank="0" text="" dxfId="0">
      <formula>0</formula>
    </cfRule>
    <cfRule type="cellIs" priority="291" operator="lessThan" aboveAverage="0" equalAverage="0" bottom="0" percent="0" rank="0" text="" dxfId="1">
      <formula>0</formula>
    </cfRule>
  </conditionalFormatting>
  <conditionalFormatting sqref="E151">
    <cfRule type="cellIs" priority="292" operator="greaterThan" aboveAverage="0" equalAverage="0" bottom="0" percent="0" rank="0" text="" dxfId="0">
      <formula>0</formula>
    </cfRule>
    <cfRule type="cellIs" priority="293" operator="lessThan" aboveAverage="0" equalAverage="0" bottom="0" percent="0" rank="0" text="" dxfId="1">
      <formula>0</formula>
    </cfRule>
  </conditionalFormatting>
  <conditionalFormatting sqref="E152">
    <cfRule type="cellIs" priority="294" operator="greaterThan" aboveAverage="0" equalAverage="0" bottom="0" percent="0" rank="0" text="" dxfId="0">
      <formula>0</formula>
    </cfRule>
    <cfRule type="cellIs" priority="295" operator="lessThan" aboveAverage="0" equalAverage="0" bottom="0" percent="0" rank="0" text="" dxfId="1">
      <formula>0</formula>
    </cfRule>
  </conditionalFormatting>
  <conditionalFormatting sqref="E153">
    <cfRule type="cellIs" priority="296" operator="greaterThan" aboveAverage="0" equalAverage="0" bottom="0" percent="0" rank="0" text="" dxfId="0">
      <formula>0</formula>
    </cfRule>
    <cfRule type="cellIs" priority="297" operator="lessThan" aboveAverage="0" equalAverage="0" bottom="0" percent="0" rank="0" text="" dxfId="1">
      <formula>0</formula>
    </cfRule>
  </conditionalFormatting>
  <conditionalFormatting sqref="E154">
    <cfRule type="cellIs" priority="298" operator="greaterThan" aboveAverage="0" equalAverage="0" bottom="0" percent="0" rank="0" text="" dxfId="0">
      <formula>0</formula>
    </cfRule>
    <cfRule type="cellIs" priority="299" operator="lessThan" aboveAverage="0" equalAverage="0" bottom="0" percent="0" rank="0" text="" dxfId="1">
      <formula>0</formula>
    </cfRule>
  </conditionalFormatting>
  <conditionalFormatting sqref="E155">
    <cfRule type="cellIs" priority="300" operator="greaterThan" aboveAverage="0" equalAverage="0" bottom="0" percent="0" rank="0" text="" dxfId="0">
      <formula>0</formula>
    </cfRule>
    <cfRule type="cellIs" priority="301" operator="lessThan" aboveAverage="0" equalAverage="0" bottom="0" percent="0" rank="0" text="" dxfId="1">
      <formula>0</formula>
    </cfRule>
  </conditionalFormatting>
  <conditionalFormatting sqref="E156">
    <cfRule type="cellIs" priority="302" operator="greaterThan" aboveAverage="0" equalAverage="0" bottom="0" percent="0" rank="0" text="" dxfId="0">
      <formula>0</formula>
    </cfRule>
    <cfRule type="cellIs" priority="303" operator="lessThan" aboveAverage="0" equalAverage="0" bottom="0" percent="0" rank="0" text="" dxfId="1">
      <formula>0</formula>
    </cfRule>
  </conditionalFormatting>
  <conditionalFormatting sqref="E157">
    <cfRule type="cellIs" priority="304" operator="greaterThan" aboveAverage="0" equalAverage="0" bottom="0" percent="0" rank="0" text="" dxfId="0">
      <formula>0</formula>
    </cfRule>
    <cfRule type="cellIs" priority="305" operator="lessThan" aboveAverage="0" equalAverage="0" bottom="0" percent="0" rank="0" text="" dxfId="1">
      <formula>0</formula>
    </cfRule>
  </conditionalFormatting>
  <conditionalFormatting sqref="E158">
    <cfRule type="cellIs" priority="306" operator="greaterThan" aboveAverage="0" equalAverage="0" bottom="0" percent="0" rank="0" text="" dxfId="0">
      <formula>0</formula>
    </cfRule>
    <cfRule type="cellIs" priority="307" operator="lessThan" aboveAverage="0" equalAverage="0" bottom="0" percent="0" rank="0" text="" dxfId="1">
      <formula>0</formula>
    </cfRule>
  </conditionalFormatting>
  <conditionalFormatting sqref="E159">
    <cfRule type="cellIs" priority="308" operator="greaterThan" aboveAverage="0" equalAverage="0" bottom="0" percent="0" rank="0" text="" dxfId="0">
      <formula>0</formula>
    </cfRule>
    <cfRule type="cellIs" priority="309" operator="lessThan" aboveAverage="0" equalAverage="0" bottom="0" percent="0" rank="0" text="" dxfId="1">
      <formula>0</formula>
    </cfRule>
  </conditionalFormatting>
  <conditionalFormatting sqref="E160">
    <cfRule type="cellIs" priority="310" operator="greaterThan" aboveAverage="0" equalAverage="0" bottom="0" percent="0" rank="0" text="" dxfId="0">
      <formula>0</formula>
    </cfRule>
    <cfRule type="cellIs" priority="311" operator="lessThan" aboveAverage="0" equalAverage="0" bottom="0" percent="0" rank="0" text="" dxfId="1">
      <formula>0</formula>
    </cfRule>
  </conditionalFormatting>
  <conditionalFormatting sqref="E161">
    <cfRule type="cellIs" priority="312" operator="greaterThan" aboveAverage="0" equalAverage="0" bottom="0" percent="0" rank="0" text="" dxfId="0">
      <formula>0</formula>
    </cfRule>
    <cfRule type="cellIs" priority="313" operator="lessThan" aboveAverage="0" equalAverage="0" bottom="0" percent="0" rank="0" text="" dxfId="1">
      <formula>0</formula>
    </cfRule>
  </conditionalFormatting>
  <conditionalFormatting sqref="E162">
    <cfRule type="cellIs" priority="314" operator="greaterThan" aboveAverage="0" equalAverage="0" bottom="0" percent="0" rank="0" text="" dxfId="0">
      <formula>0</formula>
    </cfRule>
    <cfRule type="cellIs" priority="315" operator="lessThan" aboveAverage="0" equalAverage="0" bottom="0" percent="0" rank="0" text="" dxfId="1">
      <formula>0</formula>
    </cfRule>
  </conditionalFormatting>
  <conditionalFormatting sqref="E163">
    <cfRule type="cellIs" priority="316" operator="greaterThan" aboveAverage="0" equalAverage="0" bottom="0" percent="0" rank="0" text="" dxfId="0">
      <formula>0</formula>
    </cfRule>
    <cfRule type="cellIs" priority="317" operator="lessThan" aboveAverage="0" equalAverage="0" bottom="0" percent="0" rank="0" text="" dxfId="1">
      <formula>0</formula>
    </cfRule>
  </conditionalFormatting>
  <conditionalFormatting sqref="E164">
    <cfRule type="cellIs" priority="318" operator="greaterThan" aboveAverage="0" equalAverage="0" bottom="0" percent="0" rank="0" text="" dxfId="0">
      <formula>0</formula>
    </cfRule>
    <cfRule type="cellIs" priority="319" operator="lessThan" aboveAverage="0" equalAverage="0" bottom="0" percent="0" rank="0" text="" dxfId="1">
      <formula>0</formula>
    </cfRule>
  </conditionalFormatting>
  <conditionalFormatting sqref="E165">
    <cfRule type="cellIs" priority="320" operator="greaterThan" aboveAverage="0" equalAverage="0" bottom="0" percent="0" rank="0" text="" dxfId="0">
      <formula>0</formula>
    </cfRule>
    <cfRule type="cellIs" priority="321" operator="lessThan" aboveAverage="0" equalAverage="0" bottom="0" percent="0" rank="0" text="" dxfId="1">
      <formula>0</formula>
    </cfRule>
  </conditionalFormatting>
  <conditionalFormatting sqref="E166">
    <cfRule type="cellIs" priority="322" operator="greaterThan" aboveAverage="0" equalAverage="0" bottom="0" percent="0" rank="0" text="" dxfId="0">
      <formula>0</formula>
    </cfRule>
    <cfRule type="cellIs" priority="323" operator="lessThan" aboveAverage="0" equalAverage="0" bottom="0" percent="0" rank="0" text="" dxfId="1">
      <formula>0</formula>
    </cfRule>
  </conditionalFormatting>
  <conditionalFormatting sqref="E167">
    <cfRule type="cellIs" priority="324" operator="greaterThan" aboveAverage="0" equalAverage="0" bottom="0" percent="0" rank="0" text="" dxfId="0">
      <formula>0</formula>
    </cfRule>
    <cfRule type="cellIs" priority="325" operator="lessThan" aboveAverage="0" equalAverage="0" bottom="0" percent="0" rank="0" text="" dxfId="1">
      <formula>0</formula>
    </cfRule>
  </conditionalFormatting>
  <conditionalFormatting sqref="E168">
    <cfRule type="cellIs" priority="326" operator="greaterThan" aboveAverage="0" equalAverage="0" bottom="0" percent="0" rank="0" text="" dxfId="0">
      <formula>0</formula>
    </cfRule>
    <cfRule type="cellIs" priority="327" operator="lessThan" aboveAverage="0" equalAverage="0" bottom="0" percent="0" rank="0" text="" dxfId="1">
      <formula>0</formula>
    </cfRule>
  </conditionalFormatting>
  <conditionalFormatting sqref="E169">
    <cfRule type="cellIs" priority="328" operator="greaterThan" aboveAverage="0" equalAverage="0" bottom="0" percent="0" rank="0" text="" dxfId="0">
      <formula>0</formula>
    </cfRule>
    <cfRule type="cellIs" priority="329" operator="lessThan" aboveAverage="0" equalAverage="0" bottom="0" percent="0" rank="0" text="" dxfId="1">
      <formula>0</formula>
    </cfRule>
  </conditionalFormatting>
  <conditionalFormatting sqref="E170">
    <cfRule type="cellIs" priority="330" operator="greaterThan" aboveAverage="0" equalAverage="0" bottom="0" percent="0" rank="0" text="" dxfId="0">
      <formula>0</formula>
    </cfRule>
    <cfRule type="cellIs" priority="331" operator="lessThan" aboveAverage="0" equalAverage="0" bottom="0" percent="0" rank="0" text="" dxfId="1">
      <formula>0</formula>
    </cfRule>
  </conditionalFormatting>
  <conditionalFormatting sqref="E171">
    <cfRule type="cellIs" priority="332" operator="greaterThan" aboveAverage="0" equalAverage="0" bottom="0" percent="0" rank="0" text="" dxfId="0">
      <formula>0</formula>
    </cfRule>
    <cfRule type="cellIs" priority="333" operator="lessThan" aboveAverage="0" equalAverage="0" bottom="0" percent="0" rank="0" text="" dxfId="1">
      <formula>0</formula>
    </cfRule>
  </conditionalFormatting>
  <conditionalFormatting sqref="E172">
    <cfRule type="cellIs" priority="334" operator="greaterThan" aboveAverage="0" equalAverage="0" bottom="0" percent="0" rank="0" text="" dxfId="0">
      <formula>0</formula>
    </cfRule>
    <cfRule type="cellIs" priority="335" operator="lessThan" aboveAverage="0" equalAverage="0" bottom="0" percent="0" rank="0" text="" dxfId="1">
      <formula>0</formula>
    </cfRule>
  </conditionalFormatting>
  <conditionalFormatting sqref="E173">
    <cfRule type="cellIs" priority="336" operator="greaterThan" aboveAverage="0" equalAverage="0" bottom="0" percent="0" rank="0" text="" dxfId="0">
      <formula>0</formula>
    </cfRule>
    <cfRule type="cellIs" priority="337" operator="lessThan" aboveAverage="0" equalAverage="0" bottom="0" percent="0" rank="0" text="" dxfId="1">
      <formula>0</formula>
    </cfRule>
  </conditionalFormatting>
  <conditionalFormatting sqref="E174">
    <cfRule type="cellIs" priority="338" operator="greaterThan" aboveAverage="0" equalAverage="0" bottom="0" percent="0" rank="0" text="" dxfId="0">
      <formula>0</formula>
    </cfRule>
    <cfRule type="cellIs" priority="339" operator="lessThan" aboveAverage="0" equalAverage="0" bottom="0" percent="0" rank="0" text="" dxfId="1">
      <formula>0</formula>
    </cfRule>
  </conditionalFormatting>
  <conditionalFormatting sqref="E175">
    <cfRule type="cellIs" priority="340" operator="greaterThan" aboveAverage="0" equalAverage="0" bottom="0" percent="0" rank="0" text="" dxfId="0">
      <formula>0</formula>
    </cfRule>
    <cfRule type="cellIs" priority="341" operator="lessThan" aboveAverage="0" equalAverage="0" bottom="0" percent="0" rank="0" text="" dxfId="1">
      <formula>0</formula>
    </cfRule>
  </conditionalFormatting>
  <conditionalFormatting sqref="E176">
    <cfRule type="cellIs" priority="342" operator="greaterThan" aboveAverage="0" equalAverage="0" bottom="0" percent="0" rank="0" text="" dxfId="0">
      <formula>0</formula>
    </cfRule>
    <cfRule type="cellIs" priority="343" operator="lessThan" aboveAverage="0" equalAverage="0" bottom="0" percent="0" rank="0" text="" dxfId="1">
      <formula>0</formula>
    </cfRule>
  </conditionalFormatting>
  <conditionalFormatting sqref="E177">
    <cfRule type="cellIs" priority="344" operator="greaterThan" aboveAverage="0" equalAverage="0" bottom="0" percent="0" rank="0" text="" dxfId="0">
      <formula>0</formula>
    </cfRule>
    <cfRule type="cellIs" priority="345" operator="lessThan" aboveAverage="0" equalAverage="0" bottom="0" percent="0" rank="0" text="" dxfId="1">
      <formula>0</formula>
    </cfRule>
  </conditionalFormatting>
  <conditionalFormatting sqref="E178">
    <cfRule type="cellIs" priority="346" operator="greaterThan" aboveAverage="0" equalAverage="0" bottom="0" percent="0" rank="0" text="" dxfId="0">
      <formula>0</formula>
    </cfRule>
    <cfRule type="cellIs" priority="347" operator="lessThan" aboveAverage="0" equalAverage="0" bottom="0" percent="0" rank="0" text="" dxfId="1">
      <formula>0</formula>
    </cfRule>
  </conditionalFormatting>
  <conditionalFormatting sqref="E179">
    <cfRule type="cellIs" priority="348" operator="greaterThan" aboveAverage="0" equalAverage="0" bottom="0" percent="0" rank="0" text="" dxfId="0">
      <formula>0</formula>
    </cfRule>
    <cfRule type="cellIs" priority="349" operator="lessThan" aboveAverage="0" equalAverage="0" bottom="0" percent="0" rank="0" text="" dxfId="1">
      <formula>0</formula>
    </cfRule>
  </conditionalFormatting>
  <conditionalFormatting sqref="E180">
    <cfRule type="cellIs" priority="350" operator="greaterThan" aboveAverage="0" equalAverage="0" bottom="0" percent="0" rank="0" text="" dxfId="0">
      <formula>0</formula>
    </cfRule>
    <cfRule type="cellIs" priority="351" operator="lessThan" aboveAverage="0" equalAverage="0" bottom="0" percent="0" rank="0" text="" dxfId="1">
      <formula>0</formula>
    </cfRule>
  </conditionalFormatting>
  <conditionalFormatting sqref="E181">
    <cfRule type="cellIs" priority="352" operator="greaterThan" aboveAverage="0" equalAverage="0" bottom="0" percent="0" rank="0" text="" dxfId="0">
      <formula>0</formula>
    </cfRule>
    <cfRule type="cellIs" priority="353" operator="lessThan" aboveAverage="0" equalAverage="0" bottom="0" percent="0" rank="0" text="" dxfId="1">
      <formula>0</formula>
    </cfRule>
  </conditionalFormatting>
  <conditionalFormatting sqref="E182">
    <cfRule type="cellIs" priority="354" operator="greaterThan" aboveAverage="0" equalAverage="0" bottom="0" percent="0" rank="0" text="" dxfId="0">
      <formula>0</formula>
    </cfRule>
    <cfRule type="cellIs" priority="355" operator="lessThan" aboveAverage="0" equalAverage="0" bottom="0" percent="0" rank="0" text="" dxfId="1">
      <formula>0</formula>
    </cfRule>
  </conditionalFormatting>
  <conditionalFormatting sqref="E183">
    <cfRule type="cellIs" priority="356" operator="greaterThan" aboveAverage="0" equalAverage="0" bottom="0" percent="0" rank="0" text="" dxfId="0">
      <formula>0</formula>
    </cfRule>
    <cfRule type="cellIs" priority="357" operator="lessThan" aboveAverage="0" equalAverage="0" bottom="0" percent="0" rank="0" text="" dxfId="1">
      <formula>0</formula>
    </cfRule>
  </conditionalFormatting>
  <conditionalFormatting sqref="E184">
    <cfRule type="cellIs" priority="358" operator="greaterThan" aboveAverage="0" equalAverage="0" bottom="0" percent="0" rank="0" text="" dxfId="0">
      <formula>0</formula>
    </cfRule>
    <cfRule type="cellIs" priority="359" operator="lessThan" aboveAverage="0" equalAverage="0" bottom="0" percent="0" rank="0" text="" dxfId="1">
      <formula>0</formula>
    </cfRule>
  </conditionalFormatting>
  <conditionalFormatting sqref="E185">
    <cfRule type="cellIs" priority="360" operator="greaterThan" aboveAverage="0" equalAverage="0" bottom="0" percent="0" rank="0" text="" dxfId="0">
      <formula>0</formula>
    </cfRule>
    <cfRule type="cellIs" priority="361" operator="lessThan" aboveAverage="0" equalAverage="0" bottom="0" percent="0" rank="0" text="" dxfId="1">
      <formula>0</formula>
    </cfRule>
  </conditionalFormatting>
  <conditionalFormatting sqref="E186">
    <cfRule type="cellIs" priority="362" operator="greaterThan" aboveAverage="0" equalAverage="0" bottom="0" percent="0" rank="0" text="" dxfId="0">
      <formula>0</formula>
    </cfRule>
    <cfRule type="cellIs" priority="363" operator="lessThan" aboveAverage="0" equalAverage="0" bottom="0" percent="0" rank="0" text="" dxfId="1">
      <formula>0</formula>
    </cfRule>
  </conditionalFormatting>
  <conditionalFormatting sqref="E187">
    <cfRule type="cellIs" priority="364" operator="greaterThan" aboveAverage="0" equalAverage="0" bottom="0" percent="0" rank="0" text="" dxfId="0">
      <formula>0</formula>
    </cfRule>
    <cfRule type="cellIs" priority="365" operator="lessThan" aboveAverage="0" equalAverage="0" bottom="0" percent="0" rank="0" text="" dxfId="1">
      <formula>0</formula>
    </cfRule>
  </conditionalFormatting>
  <conditionalFormatting sqref="E188">
    <cfRule type="cellIs" priority="366" operator="greaterThan" aboveAverage="0" equalAverage="0" bottom="0" percent="0" rank="0" text="" dxfId="0">
      <formula>0</formula>
    </cfRule>
    <cfRule type="cellIs" priority="367" operator="lessThan" aboveAverage="0" equalAverage="0" bottom="0" percent="0" rank="0" text="" dxfId="1">
      <formula>0</formula>
    </cfRule>
  </conditionalFormatting>
  <conditionalFormatting sqref="E189">
    <cfRule type="cellIs" priority="368" operator="greaterThan" aboveAverage="0" equalAverage="0" bottom="0" percent="0" rank="0" text="" dxfId="0">
      <formula>0</formula>
    </cfRule>
    <cfRule type="cellIs" priority="369" operator="lessThan" aboveAverage="0" equalAverage="0" bottom="0" percent="0" rank="0" text="" dxfId="1">
      <formula>0</formula>
    </cfRule>
  </conditionalFormatting>
  <conditionalFormatting sqref="E190">
    <cfRule type="cellIs" priority="370" operator="greaterThan" aboveAverage="0" equalAverage="0" bottom="0" percent="0" rank="0" text="" dxfId="0">
      <formula>0</formula>
    </cfRule>
    <cfRule type="cellIs" priority="371" operator="lessThan" aboveAverage="0" equalAverage="0" bottom="0" percent="0" rank="0" text="" dxfId="1">
      <formula>0</formula>
    </cfRule>
  </conditionalFormatting>
  <conditionalFormatting sqref="E191">
    <cfRule type="cellIs" priority="372" operator="greaterThan" aboveAverage="0" equalAverage="0" bottom="0" percent="0" rank="0" text="" dxfId="0">
      <formula>0</formula>
    </cfRule>
    <cfRule type="cellIs" priority="373" operator="lessThan" aboveAverage="0" equalAverage="0" bottom="0" percent="0" rank="0" text="" dxfId="1">
      <formula>0</formula>
    </cfRule>
  </conditionalFormatting>
  <conditionalFormatting sqref="E192">
    <cfRule type="cellIs" priority="374" operator="greaterThan" aboveAverage="0" equalAverage="0" bottom="0" percent="0" rank="0" text="" dxfId="0">
      <formula>0</formula>
    </cfRule>
    <cfRule type="cellIs" priority="375" operator="lessThan" aboveAverage="0" equalAverage="0" bottom="0" percent="0" rank="0" text="" dxfId="1">
      <formula>0</formula>
    </cfRule>
  </conditionalFormatting>
  <conditionalFormatting sqref="E193">
    <cfRule type="cellIs" priority="376" operator="greaterThan" aboveAverage="0" equalAverage="0" bottom="0" percent="0" rank="0" text="" dxfId="0">
      <formula>0</formula>
    </cfRule>
    <cfRule type="cellIs" priority="377" operator="lessThan" aboveAverage="0" equalAverage="0" bottom="0" percent="0" rank="0" text="" dxfId="1">
      <formula>0</formula>
    </cfRule>
  </conditionalFormatting>
  <conditionalFormatting sqref="E194">
    <cfRule type="cellIs" priority="378" operator="greaterThan" aboveAverage="0" equalAverage="0" bottom="0" percent="0" rank="0" text="" dxfId="0">
      <formula>0</formula>
    </cfRule>
    <cfRule type="cellIs" priority="379" operator="lessThan" aboveAverage="0" equalAverage="0" bottom="0" percent="0" rank="0" text="" dxfId="1">
      <formula>0</formula>
    </cfRule>
  </conditionalFormatting>
  <conditionalFormatting sqref="E195">
    <cfRule type="cellIs" priority="380" operator="greaterThan" aboveAverage="0" equalAverage="0" bottom="0" percent="0" rank="0" text="" dxfId="0">
      <formula>0</formula>
    </cfRule>
    <cfRule type="cellIs" priority="381" operator="lessThan" aboveAverage="0" equalAverage="0" bottom="0" percent="0" rank="0" text="" dxfId="1">
      <formula>0</formula>
    </cfRule>
  </conditionalFormatting>
  <conditionalFormatting sqref="E196">
    <cfRule type="cellIs" priority="382" operator="greaterThan" aboveAverage="0" equalAverage="0" bottom="0" percent="0" rank="0" text="" dxfId="0">
      <formula>0</formula>
    </cfRule>
    <cfRule type="cellIs" priority="383" operator="lessThan" aboveAverage="0" equalAverage="0" bottom="0" percent="0" rank="0" text="" dxfId="1">
      <formula>0</formula>
    </cfRule>
  </conditionalFormatting>
  <conditionalFormatting sqref="E197">
    <cfRule type="cellIs" priority="384" operator="greaterThan" aboveAverage="0" equalAverage="0" bottom="0" percent="0" rank="0" text="" dxfId="0">
      <formula>0</formula>
    </cfRule>
    <cfRule type="cellIs" priority="385" operator="lessThan" aboveAverage="0" equalAverage="0" bottom="0" percent="0" rank="0" text="" dxfId="1">
      <formula>0</formula>
    </cfRule>
  </conditionalFormatting>
  <conditionalFormatting sqref="E198">
    <cfRule type="cellIs" priority="386" operator="greaterThan" aboveAverage="0" equalAverage="0" bottom="0" percent="0" rank="0" text="" dxfId="0">
      <formula>0</formula>
    </cfRule>
    <cfRule type="cellIs" priority="387" operator="lessThan" aboveAverage="0" equalAverage="0" bottom="0" percent="0" rank="0" text="" dxfId="1">
      <formula>0</formula>
    </cfRule>
  </conditionalFormatting>
  <conditionalFormatting sqref="E199">
    <cfRule type="cellIs" priority="388" operator="greaterThan" aboveAverage="0" equalAverage="0" bottom="0" percent="0" rank="0" text="" dxfId="0">
      <formula>0</formula>
    </cfRule>
    <cfRule type="cellIs" priority="389" operator="lessThan" aboveAverage="0" equalAverage="0" bottom="0" percent="0" rank="0" text="" dxfId="1">
      <formula>0</formula>
    </cfRule>
  </conditionalFormatting>
  <conditionalFormatting sqref="E200">
    <cfRule type="cellIs" priority="390" operator="greaterThan" aboveAverage="0" equalAverage="0" bottom="0" percent="0" rank="0" text="" dxfId="0">
      <formula>0</formula>
    </cfRule>
    <cfRule type="cellIs" priority="391" operator="lessThan" aboveAverage="0" equalAverage="0" bottom="0" percent="0" rank="0" text="" dxfId="1">
      <formula>0</formula>
    </cfRule>
  </conditionalFormatting>
  <conditionalFormatting sqref="E201">
    <cfRule type="cellIs" priority="392" operator="greaterThan" aboveAverage="0" equalAverage="0" bottom="0" percent="0" rank="0" text="" dxfId="0">
      <formula>0</formula>
    </cfRule>
    <cfRule type="cellIs" priority="393" operator="lessThan" aboveAverage="0" equalAverage="0" bottom="0" percent="0" rank="0" text="" dxfId="1">
      <formula>0</formula>
    </cfRule>
  </conditionalFormatting>
  <conditionalFormatting sqref="E202">
    <cfRule type="cellIs" priority="394" operator="greaterThan" aboveAverage="0" equalAverage="0" bottom="0" percent="0" rank="0" text="" dxfId="0">
      <formula>0</formula>
    </cfRule>
    <cfRule type="cellIs" priority="395" operator="lessThan" aboveAverage="0" equalAverage="0" bottom="0" percent="0" rank="0" text="" dxfId="1">
      <formula>0</formula>
    </cfRule>
  </conditionalFormatting>
  <conditionalFormatting sqref="E203">
    <cfRule type="cellIs" priority="396" operator="greaterThan" aboveAverage="0" equalAverage="0" bottom="0" percent="0" rank="0" text="" dxfId="0">
      <formula>0</formula>
    </cfRule>
    <cfRule type="cellIs" priority="397" operator="lessThan" aboveAverage="0" equalAverage="0" bottom="0" percent="0" rank="0" text="" dxfId="1">
      <formula>0</formula>
    </cfRule>
  </conditionalFormatting>
  <conditionalFormatting sqref="E204">
    <cfRule type="cellIs" priority="398" operator="greaterThan" aboveAverage="0" equalAverage="0" bottom="0" percent="0" rank="0" text="" dxfId="0">
      <formula>0</formula>
    </cfRule>
    <cfRule type="cellIs" priority="399" operator="lessThan" aboveAverage="0" equalAverage="0" bottom="0" percent="0" rank="0" text="" dxfId="1">
      <formula>0</formula>
    </cfRule>
  </conditionalFormatting>
  <conditionalFormatting sqref="E205">
    <cfRule type="cellIs" priority="400" operator="greaterThan" aboveAverage="0" equalAverage="0" bottom="0" percent="0" rank="0" text="" dxfId="0">
      <formula>0</formula>
    </cfRule>
    <cfRule type="cellIs" priority="401" operator="lessThan" aboveAverage="0" equalAverage="0" bottom="0" percent="0" rank="0" text="" dxfId="1">
      <formula>0</formula>
    </cfRule>
  </conditionalFormatting>
  <conditionalFormatting sqref="E206">
    <cfRule type="cellIs" priority="402" operator="greaterThan" aboveAverage="0" equalAverage="0" bottom="0" percent="0" rank="0" text="" dxfId="0">
      <formula>0</formula>
    </cfRule>
    <cfRule type="cellIs" priority="403" operator="lessThan" aboveAverage="0" equalAverage="0" bottom="0" percent="0" rank="0" text="" dxfId="1">
      <formula>0</formula>
    </cfRule>
  </conditionalFormatting>
  <conditionalFormatting sqref="E207">
    <cfRule type="cellIs" priority="404" operator="greaterThan" aboveAverage="0" equalAverage="0" bottom="0" percent="0" rank="0" text="" dxfId="0">
      <formula>0</formula>
    </cfRule>
    <cfRule type="cellIs" priority="405" operator="lessThan" aboveAverage="0" equalAverage="0" bottom="0" percent="0" rank="0" text="" dxfId="1">
      <formula>0</formula>
    </cfRule>
  </conditionalFormatting>
  <conditionalFormatting sqref="E208">
    <cfRule type="cellIs" priority="406" operator="greaterThan" aboveAverage="0" equalAverage="0" bottom="0" percent="0" rank="0" text="" dxfId="0">
      <formula>0</formula>
    </cfRule>
    <cfRule type="cellIs" priority="407" operator="lessThan" aboveAverage="0" equalAverage="0" bottom="0" percent="0" rank="0" text="" dxfId="1">
      <formula>0</formula>
    </cfRule>
  </conditionalFormatting>
  <conditionalFormatting sqref="E209">
    <cfRule type="cellIs" priority="408" operator="greaterThan" aboveAverage="0" equalAverage="0" bottom="0" percent="0" rank="0" text="" dxfId="0">
      <formula>0</formula>
    </cfRule>
    <cfRule type="cellIs" priority="409" operator="lessThan" aboveAverage="0" equalAverage="0" bottom="0" percent="0" rank="0" text="" dxfId="1">
      <formula>0</formula>
    </cfRule>
  </conditionalFormatting>
  <conditionalFormatting sqref="E210">
    <cfRule type="cellIs" priority="410" operator="greaterThan" aboveAverage="0" equalAverage="0" bottom="0" percent="0" rank="0" text="" dxfId="0">
      <formula>0</formula>
    </cfRule>
    <cfRule type="cellIs" priority="411" operator="lessThan" aboveAverage="0" equalAverage="0" bottom="0" percent="0" rank="0" text="" dxfId="1">
      <formula>0</formula>
    </cfRule>
  </conditionalFormatting>
  <conditionalFormatting sqref="E211">
    <cfRule type="cellIs" priority="412" operator="greaterThan" aboveAverage="0" equalAverage="0" bottom="0" percent="0" rank="0" text="" dxfId="0">
      <formula>0</formula>
    </cfRule>
    <cfRule type="cellIs" priority="413" operator="lessThan" aboveAverage="0" equalAverage="0" bottom="0" percent="0" rank="0" text="" dxfId="1">
      <formula>0</formula>
    </cfRule>
  </conditionalFormatting>
  <conditionalFormatting sqref="E212">
    <cfRule type="cellIs" priority="414" operator="greaterThan" aboveAverage="0" equalAverage="0" bottom="0" percent="0" rank="0" text="" dxfId="0">
      <formula>0</formula>
    </cfRule>
    <cfRule type="cellIs" priority="415" operator="lessThan" aboveAverage="0" equalAverage="0" bottom="0" percent="0" rank="0" text="" dxfId="1">
      <formula>0</formula>
    </cfRule>
  </conditionalFormatting>
  <conditionalFormatting sqref="E213">
    <cfRule type="cellIs" priority="416" operator="greaterThan" aboveAverage="0" equalAverage="0" bottom="0" percent="0" rank="0" text="" dxfId="0">
      <formula>0</formula>
    </cfRule>
    <cfRule type="cellIs" priority="417" operator="lessThan" aboveAverage="0" equalAverage="0" bottom="0" percent="0" rank="0" text="" dxfId="1">
      <formula>0</formula>
    </cfRule>
  </conditionalFormatting>
  <conditionalFormatting sqref="E214">
    <cfRule type="cellIs" priority="418" operator="greaterThan" aboveAverage="0" equalAverage="0" bottom="0" percent="0" rank="0" text="" dxfId="0">
      <formula>0</formula>
    </cfRule>
    <cfRule type="cellIs" priority="419" operator="lessThan" aboveAverage="0" equalAverage="0" bottom="0" percent="0" rank="0" text="" dxfId="1">
      <formula>0</formula>
    </cfRule>
  </conditionalFormatting>
  <conditionalFormatting sqref="E215">
    <cfRule type="cellIs" priority="420" operator="greaterThan" aboveAverage="0" equalAverage="0" bottom="0" percent="0" rank="0" text="" dxfId="0">
      <formula>0</formula>
    </cfRule>
    <cfRule type="cellIs" priority="421" operator="lessThan" aboveAverage="0" equalAverage="0" bottom="0" percent="0" rank="0" text="" dxfId="1">
      <formula>0</formula>
    </cfRule>
  </conditionalFormatting>
  <conditionalFormatting sqref="E216">
    <cfRule type="cellIs" priority="422" operator="greaterThan" aboveAverage="0" equalAverage="0" bottom="0" percent="0" rank="0" text="" dxfId="0">
      <formula>0</formula>
    </cfRule>
    <cfRule type="cellIs" priority="423" operator="lessThan" aboveAverage="0" equalAverage="0" bottom="0" percent="0" rank="0" text="" dxfId="1">
      <formula>0</formula>
    </cfRule>
  </conditionalFormatting>
  <conditionalFormatting sqref="E217">
    <cfRule type="cellIs" priority="424" operator="greaterThan" aboveAverage="0" equalAverage="0" bottom="0" percent="0" rank="0" text="" dxfId="0">
      <formula>0</formula>
    </cfRule>
    <cfRule type="cellIs" priority="425" operator="lessThan" aboveAverage="0" equalAverage="0" bottom="0" percent="0" rank="0" text="" dxfId="1">
      <formula>0</formula>
    </cfRule>
  </conditionalFormatting>
  <conditionalFormatting sqref="E218">
    <cfRule type="cellIs" priority="426" operator="greaterThan" aboveAverage="0" equalAverage="0" bottom="0" percent="0" rank="0" text="" dxfId="0">
      <formula>0</formula>
    </cfRule>
    <cfRule type="cellIs" priority="427" operator="lessThan" aboveAverage="0" equalAverage="0" bottom="0" percent="0" rank="0" text="" dxfId="1">
      <formula>0</formula>
    </cfRule>
  </conditionalFormatting>
  <conditionalFormatting sqref="E219">
    <cfRule type="cellIs" priority="428" operator="greaterThan" aboveAverage="0" equalAverage="0" bottom="0" percent="0" rank="0" text="" dxfId="0">
      <formula>0</formula>
    </cfRule>
    <cfRule type="cellIs" priority="429" operator="lessThan" aboveAverage="0" equalAverage="0" bottom="0" percent="0" rank="0" text="" dxfId="1">
      <formula>0</formula>
    </cfRule>
  </conditionalFormatting>
  <conditionalFormatting sqref="E220">
    <cfRule type="cellIs" priority="430" operator="greaterThan" aboveAverage="0" equalAverage="0" bottom="0" percent="0" rank="0" text="" dxfId="0">
      <formula>0</formula>
    </cfRule>
    <cfRule type="cellIs" priority="431" operator="lessThan" aboveAverage="0" equalAverage="0" bottom="0" percent="0" rank="0" text="" dxfId="1">
      <formula>0</formula>
    </cfRule>
  </conditionalFormatting>
  <conditionalFormatting sqref="E221">
    <cfRule type="cellIs" priority="432" operator="greaterThan" aboveAverage="0" equalAverage="0" bottom="0" percent="0" rank="0" text="" dxfId="0">
      <formula>0</formula>
    </cfRule>
    <cfRule type="cellIs" priority="433" operator="lessThan" aboveAverage="0" equalAverage="0" bottom="0" percent="0" rank="0" text="" dxfId="1">
      <formula>0</formula>
    </cfRule>
  </conditionalFormatting>
  <conditionalFormatting sqref="E222">
    <cfRule type="cellIs" priority="434" operator="greaterThan" aboveAverage="0" equalAverage="0" bottom="0" percent="0" rank="0" text="" dxfId="0">
      <formula>0</formula>
    </cfRule>
    <cfRule type="cellIs" priority="435" operator="lessThan" aboveAverage="0" equalAverage="0" bottom="0" percent="0" rank="0" text="" dxfId="1">
      <formula>0</formula>
    </cfRule>
  </conditionalFormatting>
  <conditionalFormatting sqref="E223">
    <cfRule type="cellIs" priority="436" operator="greaterThan" aboveAverage="0" equalAverage="0" bottom="0" percent="0" rank="0" text="" dxfId="0">
      <formula>0</formula>
    </cfRule>
    <cfRule type="cellIs" priority="437" operator="lessThan" aboveAverage="0" equalAverage="0" bottom="0" percent="0" rank="0" text="" dxfId="1">
      <formula>0</formula>
    </cfRule>
  </conditionalFormatting>
  <conditionalFormatting sqref="E224">
    <cfRule type="cellIs" priority="438" operator="greaterThan" aboveAverage="0" equalAverage="0" bottom="0" percent="0" rank="0" text="" dxfId="0">
      <formula>0</formula>
    </cfRule>
    <cfRule type="cellIs" priority="439" operator="lessThan" aboveAverage="0" equalAverage="0" bottom="0" percent="0" rank="0" text="" dxfId="1">
      <formula>0</formula>
    </cfRule>
  </conditionalFormatting>
  <conditionalFormatting sqref="E225">
    <cfRule type="cellIs" priority="440" operator="greaterThan" aboveAverage="0" equalAverage="0" bottom="0" percent="0" rank="0" text="" dxfId="0">
      <formula>0</formula>
    </cfRule>
    <cfRule type="cellIs" priority="441" operator="lessThan" aboveAverage="0" equalAverage="0" bottom="0" percent="0" rank="0" text="" dxfId="1">
      <formula>0</formula>
    </cfRule>
  </conditionalFormatting>
  <conditionalFormatting sqref="E226">
    <cfRule type="cellIs" priority="442" operator="greaterThan" aboveAverage="0" equalAverage="0" bottom="0" percent="0" rank="0" text="" dxfId="0">
      <formula>0</formula>
    </cfRule>
    <cfRule type="cellIs" priority="443" operator="lessThan" aboveAverage="0" equalAverage="0" bottom="0" percent="0" rank="0" text="" dxfId="1">
      <formula>0</formula>
    </cfRule>
  </conditionalFormatting>
  <conditionalFormatting sqref="E227">
    <cfRule type="cellIs" priority="444" operator="greaterThan" aboveAverage="0" equalAverage="0" bottom="0" percent="0" rank="0" text="" dxfId="0">
      <formula>0</formula>
    </cfRule>
    <cfRule type="cellIs" priority="445" operator="lessThan" aboveAverage="0" equalAverage="0" bottom="0" percent="0" rank="0" text="" dxfId="1">
      <formula>0</formula>
    </cfRule>
  </conditionalFormatting>
  <conditionalFormatting sqref="E228">
    <cfRule type="cellIs" priority="446" operator="greaterThan" aboveAverage="0" equalAverage="0" bottom="0" percent="0" rank="0" text="" dxfId="0">
      <formula>0</formula>
    </cfRule>
    <cfRule type="cellIs" priority="447" operator="lessThan" aboveAverage="0" equalAverage="0" bottom="0" percent="0" rank="0" text="" dxfId="1">
      <formula>0</formula>
    </cfRule>
  </conditionalFormatting>
  <conditionalFormatting sqref="E229">
    <cfRule type="cellIs" priority="448" operator="greaterThan" aboveAverage="0" equalAverage="0" bottom="0" percent="0" rank="0" text="" dxfId="0">
      <formula>0</formula>
    </cfRule>
    <cfRule type="cellIs" priority="449" operator="lessThan" aboveAverage="0" equalAverage="0" bottom="0" percent="0" rank="0" text="" dxfId="1">
      <formula>0</formula>
    </cfRule>
  </conditionalFormatting>
  <conditionalFormatting sqref="E230">
    <cfRule type="cellIs" priority="450" operator="greaterThan" aboveAverage="0" equalAverage="0" bottom="0" percent="0" rank="0" text="" dxfId="0">
      <formula>0</formula>
    </cfRule>
    <cfRule type="cellIs" priority="451" operator="lessThan" aboveAverage="0" equalAverage="0" bottom="0" percent="0" rank="0" text="" dxfId="1">
      <formula>0</formula>
    </cfRule>
  </conditionalFormatting>
  <conditionalFormatting sqref="E231">
    <cfRule type="cellIs" priority="452" operator="greaterThan" aboveAverage="0" equalAverage="0" bottom="0" percent="0" rank="0" text="" dxfId="0">
      <formula>0</formula>
    </cfRule>
    <cfRule type="cellIs" priority="453" operator="lessThan" aboveAverage="0" equalAverage="0" bottom="0" percent="0" rank="0" text="" dxfId="1">
      <formula>0</formula>
    </cfRule>
  </conditionalFormatting>
  <conditionalFormatting sqref="E232">
    <cfRule type="cellIs" priority="454" operator="greaterThan" aboveAverage="0" equalAverage="0" bottom="0" percent="0" rank="0" text="" dxfId="0">
      <formula>0</formula>
    </cfRule>
    <cfRule type="cellIs" priority="455" operator="lessThan" aboveAverage="0" equalAverage="0" bottom="0" percent="0" rank="0" text="" dxfId="1">
      <formula>0</formula>
    </cfRule>
  </conditionalFormatting>
  <conditionalFormatting sqref="E233">
    <cfRule type="cellIs" priority="456" operator="greaterThan" aboveAverage="0" equalAverage="0" bottom="0" percent="0" rank="0" text="" dxfId="0">
      <formula>0</formula>
    </cfRule>
    <cfRule type="cellIs" priority="457" operator="lessThan" aboveAverage="0" equalAverage="0" bottom="0" percent="0" rank="0" text="" dxfId="1">
      <formula>0</formula>
    </cfRule>
  </conditionalFormatting>
  <conditionalFormatting sqref="E234">
    <cfRule type="cellIs" priority="458" operator="greaterThan" aboveAverage="0" equalAverage="0" bottom="0" percent="0" rank="0" text="" dxfId="0">
      <formula>0</formula>
    </cfRule>
    <cfRule type="cellIs" priority="459" operator="lessThan" aboveAverage="0" equalAverage="0" bottom="0" percent="0" rank="0" text="" dxfId="1">
      <formula>0</formula>
    </cfRule>
  </conditionalFormatting>
  <conditionalFormatting sqref="E235">
    <cfRule type="cellIs" priority="460" operator="greaterThan" aboveAverage="0" equalAverage="0" bottom="0" percent="0" rank="0" text="" dxfId="0">
      <formula>0</formula>
    </cfRule>
    <cfRule type="cellIs" priority="461" operator="lessThan" aboveAverage="0" equalAverage="0" bottom="0" percent="0" rank="0" text="" dxfId="1">
      <formula>0</formula>
    </cfRule>
  </conditionalFormatting>
  <conditionalFormatting sqref="E236">
    <cfRule type="cellIs" priority="462" operator="greaterThan" aboveAverage="0" equalAverage="0" bottom="0" percent="0" rank="0" text="" dxfId="0">
      <formula>0</formula>
    </cfRule>
    <cfRule type="cellIs" priority="463" operator="lessThan" aboveAverage="0" equalAverage="0" bottom="0" percent="0" rank="0" text="" dxfId="1">
      <formula>0</formula>
    </cfRule>
  </conditionalFormatting>
  <conditionalFormatting sqref="E237">
    <cfRule type="cellIs" priority="464" operator="greaterThan" aboveAverage="0" equalAverage="0" bottom="0" percent="0" rank="0" text="" dxfId="0">
      <formula>0</formula>
    </cfRule>
    <cfRule type="cellIs" priority="465" operator="lessThan" aboveAverage="0" equalAverage="0" bottom="0" percent="0" rank="0" text="" dxfId="1">
      <formula>0</formula>
    </cfRule>
  </conditionalFormatting>
  <conditionalFormatting sqref="E238">
    <cfRule type="cellIs" priority="466" operator="greaterThan" aboveAverage="0" equalAverage="0" bottom="0" percent="0" rank="0" text="" dxfId="0">
      <formula>0</formula>
    </cfRule>
    <cfRule type="cellIs" priority="467" operator="lessThan" aboveAverage="0" equalAverage="0" bottom="0" percent="0" rank="0" text="" dxfId="1">
      <formula>0</formula>
    </cfRule>
  </conditionalFormatting>
  <conditionalFormatting sqref="E239">
    <cfRule type="cellIs" priority="468" operator="greaterThan" aboveAverage="0" equalAverage="0" bottom="0" percent="0" rank="0" text="" dxfId="0">
      <formula>0</formula>
    </cfRule>
    <cfRule type="cellIs" priority="469" operator="lessThan" aboveAverage="0" equalAverage="0" bottom="0" percent="0" rank="0" text="" dxfId="1">
      <formula>0</formula>
    </cfRule>
  </conditionalFormatting>
  <conditionalFormatting sqref="E240">
    <cfRule type="cellIs" priority="470" operator="greaterThan" aboveAverage="0" equalAverage="0" bottom="0" percent="0" rank="0" text="" dxfId="0">
      <formula>0</formula>
    </cfRule>
    <cfRule type="cellIs" priority="471" operator="lessThan" aboveAverage="0" equalAverage="0" bottom="0" percent="0" rank="0" text="" dxfId="1">
      <formula>0</formula>
    </cfRule>
  </conditionalFormatting>
  <conditionalFormatting sqref="E241">
    <cfRule type="cellIs" priority="472" operator="greaterThan" aboveAverage="0" equalAverage="0" bottom="0" percent="0" rank="0" text="" dxfId="0">
      <formula>0</formula>
    </cfRule>
    <cfRule type="cellIs" priority="473" operator="lessThan" aboveAverage="0" equalAverage="0" bottom="0" percent="0" rank="0" text="" dxfId="1">
      <formula>0</formula>
    </cfRule>
  </conditionalFormatting>
  <conditionalFormatting sqref="E242">
    <cfRule type="cellIs" priority="474" operator="greaterThan" aboveAverage="0" equalAverage="0" bottom="0" percent="0" rank="0" text="" dxfId="0">
      <formula>0</formula>
    </cfRule>
    <cfRule type="cellIs" priority="475" operator="lessThan" aboveAverage="0" equalAverage="0" bottom="0" percent="0" rank="0" text="" dxfId="1">
      <formula>0</formula>
    </cfRule>
  </conditionalFormatting>
  <conditionalFormatting sqref="E243">
    <cfRule type="cellIs" priority="476" operator="greaterThan" aboveAverage="0" equalAverage="0" bottom="0" percent="0" rank="0" text="" dxfId="0">
      <formula>0</formula>
    </cfRule>
    <cfRule type="cellIs" priority="477" operator="lessThan" aboveAverage="0" equalAverage="0" bottom="0" percent="0" rank="0" text="" dxfId="1">
      <formula>0</formula>
    </cfRule>
  </conditionalFormatting>
  <conditionalFormatting sqref="E244">
    <cfRule type="cellIs" priority="478" operator="greaterThan" aboveAverage="0" equalAverage="0" bottom="0" percent="0" rank="0" text="" dxfId="0">
      <formula>0</formula>
    </cfRule>
    <cfRule type="cellIs" priority="479" operator="lessThan" aboveAverage="0" equalAverage="0" bottom="0" percent="0" rank="0" text="" dxfId="1">
      <formula>0</formula>
    </cfRule>
  </conditionalFormatting>
  <conditionalFormatting sqref="E245">
    <cfRule type="cellIs" priority="480" operator="greaterThan" aboveAverage="0" equalAverage="0" bottom="0" percent="0" rank="0" text="" dxfId="0">
      <formula>0</formula>
    </cfRule>
    <cfRule type="cellIs" priority="481" operator="lessThan" aboveAverage="0" equalAverage="0" bottom="0" percent="0" rank="0" text="" dxfId="1">
      <formula>0</formula>
    </cfRule>
  </conditionalFormatting>
  <conditionalFormatting sqref="E246">
    <cfRule type="cellIs" priority="482" operator="greaterThan" aboveAverage="0" equalAverage="0" bottom="0" percent="0" rank="0" text="" dxfId="0">
      <formula>0</formula>
    </cfRule>
    <cfRule type="cellIs" priority="483" operator="lessThan" aboveAverage="0" equalAverage="0" bottom="0" percent="0" rank="0" text="" dxfId="1">
      <formula>0</formula>
    </cfRule>
  </conditionalFormatting>
  <conditionalFormatting sqref="E247">
    <cfRule type="cellIs" priority="484" operator="greaterThan" aboveAverage="0" equalAverage="0" bottom="0" percent="0" rank="0" text="" dxfId="0">
      <formula>0</formula>
    </cfRule>
    <cfRule type="cellIs" priority="485" operator="lessThan" aboveAverage="0" equalAverage="0" bottom="0" percent="0" rank="0" text="" dxfId="1">
      <formula>0</formula>
    </cfRule>
  </conditionalFormatting>
  <conditionalFormatting sqref="E248">
    <cfRule type="cellIs" priority="486" operator="greaterThan" aboveAverage="0" equalAverage="0" bottom="0" percent="0" rank="0" text="" dxfId="0">
      <formula>0</formula>
    </cfRule>
    <cfRule type="cellIs" priority="487" operator="lessThan" aboveAverage="0" equalAverage="0" bottom="0" percent="0" rank="0" text="" dxfId="1">
      <formula>0</formula>
    </cfRule>
  </conditionalFormatting>
  <conditionalFormatting sqref="E249">
    <cfRule type="cellIs" priority="488" operator="greaterThan" aboveAverage="0" equalAverage="0" bottom="0" percent="0" rank="0" text="" dxfId="0">
      <formula>0</formula>
    </cfRule>
    <cfRule type="cellIs" priority="489" operator="lessThan" aboveAverage="0" equalAverage="0" bottom="0" percent="0" rank="0" text="" dxfId="1">
      <formula>0</formula>
    </cfRule>
  </conditionalFormatting>
  <conditionalFormatting sqref="E250">
    <cfRule type="cellIs" priority="490" operator="greaterThan" aboveAverage="0" equalAverage="0" bottom="0" percent="0" rank="0" text="" dxfId="0">
      <formula>0</formula>
    </cfRule>
    <cfRule type="cellIs" priority="491" operator="lessThan" aboveAverage="0" equalAverage="0" bottom="0" percent="0" rank="0" text="" dxfId="1">
      <formula>0</formula>
    </cfRule>
  </conditionalFormatting>
  <conditionalFormatting sqref="E251">
    <cfRule type="cellIs" priority="492" operator="greaterThan" aboveAverage="0" equalAverage="0" bottom="0" percent="0" rank="0" text="" dxfId="0">
      <formula>0</formula>
    </cfRule>
    <cfRule type="cellIs" priority="493" operator="lessThan" aboveAverage="0" equalAverage="0" bottom="0" percent="0" rank="0" text="" dxfId="1">
      <formula>0</formula>
    </cfRule>
  </conditionalFormatting>
  <conditionalFormatting sqref="E252">
    <cfRule type="cellIs" priority="494" operator="greaterThan" aboveAverage="0" equalAverage="0" bottom="0" percent="0" rank="0" text="" dxfId="0">
      <formula>0</formula>
    </cfRule>
    <cfRule type="cellIs" priority="495" operator="lessThan" aboveAverage="0" equalAverage="0" bottom="0" percent="0" rank="0" text="" dxfId="1">
      <formula>0</formula>
    </cfRule>
  </conditionalFormatting>
  <conditionalFormatting sqref="E253">
    <cfRule type="cellIs" priority="496" operator="greaterThan" aboveAverage="0" equalAverage="0" bottom="0" percent="0" rank="0" text="" dxfId="0">
      <formula>0</formula>
    </cfRule>
    <cfRule type="cellIs" priority="497" operator="lessThan" aboveAverage="0" equalAverage="0" bottom="0" percent="0" rank="0" text="" dxfId="1">
      <formula>0</formula>
    </cfRule>
  </conditionalFormatting>
  <conditionalFormatting sqref="E254">
    <cfRule type="cellIs" priority="498" operator="greaterThan" aboveAverage="0" equalAverage="0" bottom="0" percent="0" rank="0" text="" dxfId="0">
      <formula>0</formula>
    </cfRule>
    <cfRule type="cellIs" priority="499" operator="lessThan" aboveAverage="0" equalAverage="0" bottom="0" percent="0" rank="0" text="" dxfId="1">
      <formula>0</formula>
    </cfRule>
  </conditionalFormatting>
  <conditionalFormatting sqref="E255">
    <cfRule type="cellIs" priority="500" operator="greaterThan" aboveAverage="0" equalAverage="0" bottom="0" percent="0" rank="0" text="" dxfId="0">
      <formula>0</formula>
    </cfRule>
    <cfRule type="cellIs" priority="501" operator="lessThan" aboveAverage="0" equalAverage="0" bottom="0" percent="0" rank="0" text="" dxfId="1">
      <formula>0</formula>
    </cfRule>
  </conditionalFormatting>
  <conditionalFormatting sqref="E256">
    <cfRule type="cellIs" priority="502" operator="greaterThan" aboveAverage="0" equalAverage="0" bottom="0" percent="0" rank="0" text="" dxfId="0">
      <formula>0</formula>
    </cfRule>
    <cfRule type="cellIs" priority="503" operator="lessThan" aboveAverage="0" equalAverage="0" bottom="0" percent="0" rank="0" text="" dxfId="1">
      <formula>0</formula>
    </cfRule>
  </conditionalFormatting>
  <conditionalFormatting sqref="E257">
    <cfRule type="cellIs" priority="504" operator="greaterThan" aboveAverage="0" equalAverage="0" bottom="0" percent="0" rank="0" text="" dxfId="0">
      <formula>0</formula>
    </cfRule>
    <cfRule type="cellIs" priority="505" operator="lessThan" aboveAverage="0" equalAverage="0" bottom="0" percent="0" rank="0" text="" dxfId="1">
      <formula>0</formula>
    </cfRule>
  </conditionalFormatting>
  <conditionalFormatting sqref="E258">
    <cfRule type="cellIs" priority="506" operator="greaterThan" aboveAverage="0" equalAverage="0" bottom="0" percent="0" rank="0" text="" dxfId="0">
      <formula>0</formula>
    </cfRule>
    <cfRule type="cellIs" priority="507" operator="lessThan" aboveAverage="0" equalAverage="0" bottom="0" percent="0" rank="0" text="" dxfId="1">
      <formula>0</formula>
    </cfRule>
  </conditionalFormatting>
  <conditionalFormatting sqref="E259">
    <cfRule type="cellIs" priority="508" operator="greaterThan" aboveAverage="0" equalAverage="0" bottom="0" percent="0" rank="0" text="" dxfId="0">
      <formula>0</formula>
    </cfRule>
    <cfRule type="cellIs" priority="509" operator="lessThan" aboveAverage="0" equalAverage="0" bottom="0" percent="0" rank="0" text="" dxfId="1">
      <formula>0</formula>
    </cfRule>
  </conditionalFormatting>
  <conditionalFormatting sqref="E260">
    <cfRule type="cellIs" priority="510" operator="greaterThan" aboveAverage="0" equalAverage="0" bottom="0" percent="0" rank="0" text="" dxfId="0">
      <formula>0</formula>
    </cfRule>
    <cfRule type="cellIs" priority="511" operator="lessThan" aboveAverage="0" equalAverage="0" bottom="0" percent="0" rank="0" text="" dxfId="1">
      <formula>0</formula>
    </cfRule>
  </conditionalFormatting>
  <conditionalFormatting sqref="E261">
    <cfRule type="cellIs" priority="512" operator="greaterThan" aboveAverage="0" equalAverage="0" bottom="0" percent="0" rank="0" text="" dxfId="0">
      <formula>0</formula>
    </cfRule>
    <cfRule type="cellIs" priority="513" operator="lessThan" aboveAverage="0" equalAverage="0" bottom="0" percent="0" rank="0" text="" dxfId="1">
      <formula>0</formula>
    </cfRule>
  </conditionalFormatting>
  <conditionalFormatting sqref="E262">
    <cfRule type="cellIs" priority="514" operator="greaterThan" aboveAverage="0" equalAverage="0" bottom="0" percent="0" rank="0" text="" dxfId="0">
      <formula>0</formula>
    </cfRule>
    <cfRule type="cellIs" priority="515" operator="lessThan" aboveAverage="0" equalAverage="0" bottom="0" percent="0" rank="0" text="" dxfId="1">
      <formula>0</formula>
    </cfRule>
  </conditionalFormatting>
  <conditionalFormatting sqref="E263">
    <cfRule type="cellIs" priority="516" operator="greaterThan" aboveAverage="0" equalAverage="0" bottom="0" percent="0" rank="0" text="" dxfId="0">
      <formula>0</formula>
    </cfRule>
    <cfRule type="cellIs" priority="517" operator="lessThan" aboveAverage="0" equalAverage="0" bottom="0" percent="0" rank="0" text="" dxfId="1">
      <formula>0</formula>
    </cfRule>
  </conditionalFormatting>
  <conditionalFormatting sqref="E264">
    <cfRule type="cellIs" priority="518" operator="greaterThan" aboveAverage="0" equalAverage="0" bottom="0" percent="0" rank="0" text="" dxfId="0">
      <formula>0</formula>
    </cfRule>
    <cfRule type="cellIs" priority="519" operator="lessThan" aboveAverage="0" equalAverage="0" bottom="0" percent="0" rank="0" text="" dxfId="1">
      <formula>0</formula>
    </cfRule>
  </conditionalFormatting>
  <conditionalFormatting sqref="E265">
    <cfRule type="cellIs" priority="520" operator="greaterThan" aboveAverage="0" equalAverage="0" bottom="0" percent="0" rank="0" text="" dxfId="0">
      <formula>0</formula>
    </cfRule>
    <cfRule type="cellIs" priority="521" operator="lessThan" aboveAverage="0" equalAverage="0" bottom="0" percent="0" rank="0" text="" dxfId="1">
      <formula>0</formula>
    </cfRule>
  </conditionalFormatting>
  <conditionalFormatting sqref="E266">
    <cfRule type="cellIs" priority="522" operator="greaterThan" aboveAverage="0" equalAverage="0" bottom="0" percent="0" rank="0" text="" dxfId="0">
      <formula>0</formula>
    </cfRule>
    <cfRule type="cellIs" priority="523" operator="lessThan" aboveAverage="0" equalAverage="0" bottom="0" percent="0" rank="0" text="" dxfId="1">
      <formula>0</formula>
    </cfRule>
  </conditionalFormatting>
  <conditionalFormatting sqref="E267">
    <cfRule type="cellIs" priority="524" operator="greaterThan" aboveAverage="0" equalAverage="0" bottom="0" percent="0" rank="0" text="" dxfId="0">
      <formula>0</formula>
    </cfRule>
    <cfRule type="cellIs" priority="525" operator="lessThan" aboveAverage="0" equalAverage="0" bottom="0" percent="0" rank="0" text="" dxfId="1">
      <formula>0</formula>
    </cfRule>
  </conditionalFormatting>
  <conditionalFormatting sqref="E268">
    <cfRule type="cellIs" priority="526" operator="greaterThan" aboveAverage="0" equalAverage="0" bottom="0" percent="0" rank="0" text="" dxfId="0">
      <formula>0</formula>
    </cfRule>
    <cfRule type="cellIs" priority="527" operator="lessThan" aboveAverage="0" equalAverage="0" bottom="0" percent="0" rank="0" text="" dxfId="1">
      <formula>0</formula>
    </cfRule>
  </conditionalFormatting>
  <conditionalFormatting sqref="E269">
    <cfRule type="cellIs" priority="528" operator="greaterThan" aboveAverage="0" equalAverage="0" bottom="0" percent="0" rank="0" text="" dxfId="0">
      <formula>0</formula>
    </cfRule>
    <cfRule type="cellIs" priority="529" operator="lessThan" aboveAverage="0" equalAverage="0" bottom="0" percent="0" rank="0" text="" dxfId="1">
      <formula>0</formula>
    </cfRule>
  </conditionalFormatting>
  <conditionalFormatting sqref="E270">
    <cfRule type="cellIs" priority="530" operator="greaterThan" aboveAverage="0" equalAverage="0" bottom="0" percent="0" rank="0" text="" dxfId="0">
      <formula>0</formula>
    </cfRule>
    <cfRule type="cellIs" priority="531" operator="lessThan" aboveAverage="0" equalAverage="0" bottom="0" percent="0" rank="0" text="" dxfId="1">
      <formula>0</formula>
    </cfRule>
  </conditionalFormatting>
  <conditionalFormatting sqref="E271">
    <cfRule type="cellIs" priority="532" operator="greaterThan" aboveAverage="0" equalAverage="0" bottom="0" percent="0" rank="0" text="" dxfId="0">
      <formula>0</formula>
    </cfRule>
    <cfRule type="cellIs" priority="533" operator="lessThan" aboveAverage="0" equalAverage="0" bottom="0" percent="0" rank="0" text="" dxfId="1">
      <formula>0</formula>
    </cfRule>
  </conditionalFormatting>
  <conditionalFormatting sqref="E272">
    <cfRule type="cellIs" priority="534" operator="greaterThan" aboveAverage="0" equalAverage="0" bottom="0" percent="0" rank="0" text="" dxfId="0">
      <formula>0</formula>
    </cfRule>
    <cfRule type="cellIs" priority="535" operator="lessThan" aboveAverage="0" equalAverage="0" bottom="0" percent="0" rank="0" text="" dxfId="1">
      <formula>0</formula>
    </cfRule>
  </conditionalFormatting>
  <conditionalFormatting sqref="E273">
    <cfRule type="cellIs" priority="536" operator="greaterThan" aboveAverage="0" equalAverage="0" bottom="0" percent="0" rank="0" text="" dxfId="0">
      <formula>0</formula>
    </cfRule>
    <cfRule type="cellIs" priority="537" operator="lessThan" aboveAverage="0" equalAverage="0" bottom="0" percent="0" rank="0" text="" dxfId="1">
      <formula>0</formula>
    </cfRule>
  </conditionalFormatting>
  <conditionalFormatting sqref="E274">
    <cfRule type="cellIs" priority="538" operator="greaterThan" aboveAverage="0" equalAverage="0" bottom="0" percent="0" rank="0" text="" dxfId="0">
      <formula>0</formula>
    </cfRule>
    <cfRule type="cellIs" priority="539" operator="lessThan" aboveAverage="0" equalAverage="0" bottom="0" percent="0" rank="0" text="" dxfId="1">
      <formula>0</formula>
    </cfRule>
  </conditionalFormatting>
  <conditionalFormatting sqref="E275">
    <cfRule type="cellIs" priority="540" operator="greaterThan" aboveAverage="0" equalAverage="0" bottom="0" percent="0" rank="0" text="" dxfId="0">
      <formula>0</formula>
    </cfRule>
    <cfRule type="cellIs" priority="541" operator="lessThan" aboveAverage="0" equalAverage="0" bottom="0" percent="0" rank="0" text="" dxfId="1">
      <formula>0</formula>
    </cfRule>
  </conditionalFormatting>
  <conditionalFormatting sqref="E276">
    <cfRule type="cellIs" priority="542" operator="greaterThan" aboveAverage="0" equalAverage="0" bottom="0" percent="0" rank="0" text="" dxfId="0">
      <formula>0</formula>
    </cfRule>
    <cfRule type="cellIs" priority="543" operator="lessThan" aboveAverage="0" equalAverage="0" bottom="0" percent="0" rank="0" text="" dxfId="1">
      <formula>0</formula>
    </cfRule>
  </conditionalFormatting>
  <conditionalFormatting sqref="E277">
    <cfRule type="cellIs" priority="544" operator="greaterThan" aboveAverage="0" equalAverage="0" bottom="0" percent="0" rank="0" text="" dxfId="0">
      <formula>0</formula>
    </cfRule>
    <cfRule type="cellIs" priority="545" operator="lessThan" aboveAverage="0" equalAverage="0" bottom="0" percent="0" rank="0" text="" dxfId="1">
      <formula>0</formula>
    </cfRule>
  </conditionalFormatting>
  <conditionalFormatting sqref="E278">
    <cfRule type="cellIs" priority="546" operator="greaterThan" aboveAverage="0" equalAverage="0" bottom="0" percent="0" rank="0" text="" dxfId="0">
      <formula>0</formula>
    </cfRule>
    <cfRule type="cellIs" priority="547" operator="lessThan" aboveAverage="0" equalAverage="0" bottom="0" percent="0" rank="0" text="" dxfId="1">
      <formula>0</formula>
    </cfRule>
  </conditionalFormatting>
  <conditionalFormatting sqref="E279">
    <cfRule type="cellIs" priority="548" operator="greaterThan" aboveAverage="0" equalAverage="0" bottom="0" percent="0" rank="0" text="" dxfId="0">
      <formula>0</formula>
    </cfRule>
    <cfRule type="cellIs" priority="549" operator="lessThan" aboveAverage="0" equalAverage="0" bottom="0" percent="0" rank="0" text="" dxfId="1">
      <formula>0</formula>
    </cfRule>
  </conditionalFormatting>
  <conditionalFormatting sqref="E280">
    <cfRule type="cellIs" priority="550" operator="greaterThan" aboveAverage="0" equalAverage="0" bottom="0" percent="0" rank="0" text="" dxfId="0">
      <formula>0</formula>
    </cfRule>
    <cfRule type="cellIs" priority="551" operator="lessThan" aboveAverage="0" equalAverage="0" bottom="0" percent="0" rank="0" text="" dxfId="1">
      <formula>0</formula>
    </cfRule>
  </conditionalFormatting>
  <conditionalFormatting sqref="E281">
    <cfRule type="cellIs" priority="552" operator="greaterThan" aboveAverage="0" equalAverage="0" bottom="0" percent="0" rank="0" text="" dxfId="0">
      <formula>0</formula>
    </cfRule>
    <cfRule type="cellIs" priority="553" operator="lessThan" aboveAverage="0" equalAverage="0" bottom="0" percent="0" rank="0" text="" dxfId="1">
      <formula>0</formula>
    </cfRule>
  </conditionalFormatting>
  <conditionalFormatting sqref="E282">
    <cfRule type="cellIs" priority="554" operator="greaterThan" aboveAverage="0" equalAverage="0" bottom="0" percent="0" rank="0" text="" dxfId="0">
      <formula>0</formula>
    </cfRule>
    <cfRule type="cellIs" priority="555" operator="lessThan" aboveAverage="0" equalAverage="0" bottom="0" percent="0" rank="0" text="" dxfId="1">
      <formula>0</formula>
    </cfRule>
  </conditionalFormatting>
  <conditionalFormatting sqref="E283">
    <cfRule type="cellIs" priority="556" operator="greaterThan" aboveAverage="0" equalAverage="0" bottom="0" percent="0" rank="0" text="" dxfId="0">
      <formula>0</formula>
    </cfRule>
    <cfRule type="cellIs" priority="557" operator="lessThan" aboveAverage="0" equalAverage="0" bottom="0" percent="0" rank="0" text="" dxfId="1">
      <formula>0</formula>
    </cfRule>
  </conditionalFormatting>
  <conditionalFormatting sqref="E284">
    <cfRule type="cellIs" priority="558" operator="greaterThan" aboveAverage="0" equalAverage="0" bottom="0" percent="0" rank="0" text="" dxfId="0">
      <formula>0</formula>
    </cfRule>
    <cfRule type="cellIs" priority="559" operator="lessThan" aboveAverage="0" equalAverage="0" bottom="0" percent="0" rank="0" text="" dxfId="1">
      <formula>0</formula>
    </cfRule>
  </conditionalFormatting>
  <conditionalFormatting sqref="E285">
    <cfRule type="cellIs" priority="560" operator="greaterThan" aboveAverage="0" equalAverage="0" bottom="0" percent="0" rank="0" text="" dxfId="0">
      <formula>0</formula>
    </cfRule>
    <cfRule type="cellIs" priority="561" operator="lessThan" aboveAverage="0" equalAverage="0" bottom="0" percent="0" rank="0" text="" dxfId="1">
      <formula>0</formula>
    </cfRule>
  </conditionalFormatting>
  <conditionalFormatting sqref="E286">
    <cfRule type="cellIs" priority="562" operator="greaterThan" aboveAverage="0" equalAverage="0" bottom="0" percent="0" rank="0" text="" dxfId="0">
      <formula>0</formula>
    </cfRule>
    <cfRule type="cellIs" priority="563" operator="lessThan" aboveAverage="0" equalAverage="0" bottom="0" percent="0" rank="0" text="" dxfId="1">
      <formula>0</formula>
    </cfRule>
  </conditionalFormatting>
  <conditionalFormatting sqref="E287">
    <cfRule type="cellIs" priority="564" operator="greaterThan" aboveAverage="0" equalAverage="0" bottom="0" percent="0" rank="0" text="" dxfId="0">
      <formula>0</formula>
    </cfRule>
    <cfRule type="cellIs" priority="565" operator="lessThan" aboveAverage="0" equalAverage="0" bottom="0" percent="0" rank="0" text="" dxfId="1">
      <formula>0</formula>
    </cfRule>
  </conditionalFormatting>
  <conditionalFormatting sqref="E288">
    <cfRule type="cellIs" priority="566" operator="greaterThan" aboveAverage="0" equalAverage="0" bottom="0" percent="0" rank="0" text="" dxfId="0">
      <formula>0</formula>
    </cfRule>
    <cfRule type="cellIs" priority="567" operator="lessThan" aboveAverage="0" equalAverage="0" bottom="0" percent="0" rank="0" text="" dxfId="1">
      <formula>0</formula>
    </cfRule>
  </conditionalFormatting>
  <conditionalFormatting sqref="E289">
    <cfRule type="cellIs" priority="568" operator="greaterThan" aboveAverage="0" equalAverage="0" bottom="0" percent="0" rank="0" text="" dxfId="0">
      <formula>0</formula>
    </cfRule>
    <cfRule type="cellIs" priority="569" operator="lessThan" aboveAverage="0" equalAverage="0" bottom="0" percent="0" rank="0" text="" dxfId="1">
      <formula>0</formula>
    </cfRule>
  </conditionalFormatting>
  <conditionalFormatting sqref="E290">
    <cfRule type="cellIs" priority="570" operator="greaterThan" aboveAverage="0" equalAverage="0" bottom="0" percent="0" rank="0" text="" dxfId="0">
      <formula>0</formula>
    </cfRule>
    <cfRule type="cellIs" priority="571" operator="lessThan" aboveAverage="0" equalAverage="0" bottom="0" percent="0" rank="0" text="" dxfId="1">
      <formula>0</formula>
    </cfRule>
  </conditionalFormatting>
  <conditionalFormatting sqref="E291">
    <cfRule type="cellIs" priority="572" operator="greaterThan" aboveAverage="0" equalAverage="0" bottom="0" percent="0" rank="0" text="" dxfId="0">
      <formula>0</formula>
    </cfRule>
    <cfRule type="cellIs" priority="573" operator="lessThan" aboveAverage="0" equalAverage="0" bottom="0" percent="0" rank="0" text="" dxfId="1">
      <formula>0</formula>
    </cfRule>
  </conditionalFormatting>
  <conditionalFormatting sqref="E292">
    <cfRule type="cellIs" priority="574" operator="greaterThan" aboveAverage="0" equalAverage="0" bottom="0" percent="0" rank="0" text="" dxfId="0">
      <formula>0</formula>
    </cfRule>
    <cfRule type="cellIs" priority="575" operator="lessThan" aboveAverage="0" equalAverage="0" bottom="0" percent="0" rank="0" text="" dxfId="1">
      <formula>0</formula>
    </cfRule>
  </conditionalFormatting>
  <conditionalFormatting sqref="E293">
    <cfRule type="cellIs" priority="576" operator="greaterThan" aboveAverage="0" equalAverage="0" bottom="0" percent="0" rank="0" text="" dxfId="0">
      <formula>0</formula>
    </cfRule>
    <cfRule type="cellIs" priority="577" operator="lessThan" aboveAverage="0" equalAverage="0" bottom="0" percent="0" rank="0" text="" dxfId="1">
      <formula>0</formula>
    </cfRule>
  </conditionalFormatting>
  <conditionalFormatting sqref="E294">
    <cfRule type="cellIs" priority="578" operator="greaterThan" aboveAverage="0" equalAverage="0" bottom="0" percent="0" rank="0" text="" dxfId="0">
      <formula>0</formula>
    </cfRule>
    <cfRule type="cellIs" priority="579" operator="lessThan" aboveAverage="0" equalAverage="0" bottom="0" percent="0" rank="0" text="" dxfId="1">
      <formula>0</formula>
    </cfRule>
  </conditionalFormatting>
  <conditionalFormatting sqref="E295">
    <cfRule type="cellIs" priority="580" operator="greaterThan" aboveAverage="0" equalAverage="0" bottom="0" percent="0" rank="0" text="" dxfId="0">
      <formula>0</formula>
    </cfRule>
    <cfRule type="cellIs" priority="581" operator="lessThan" aboveAverage="0" equalAverage="0" bottom="0" percent="0" rank="0" text="" dxfId="1">
      <formula>0</formula>
    </cfRule>
  </conditionalFormatting>
  <conditionalFormatting sqref="E296">
    <cfRule type="cellIs" priority="582" operator="greaterThan" aboveAverage="0" equalAverage="0" bottom="0" percent="0" rank="0" text="" dxfId="0">
      <formula>0</formula>
    </cfRule>
    <cfRule type="cellIs" priority="583" operator="lessThan" aboveAverage="0" equalAverage="0" bottom="0" percent="0" rank="0" text="" dxfId="1">
      <formula>0</formula>
    </cfRule>
  </conditionalFormatting>
  <conditionalFormatting sqref="E297">
    <cfRule type="cellIs" priority="584" operator="greaterThan" aboveAverage="0" equalAverage="0" bottom="0" percent="0" rank="0" text="" dxfId="0">
      <formula>0</formula>
    </cfRule>
    <cfRule type="cellIs" priority="585" operator="lessThan" aboveAverage="0" equalAverage="0" bottom="0" percent="0" rank="0" text="" dxfId="1">
      <formula>0</formula>
    </cfRule>
  </conditionalFormatting>
  <conditionalFormatting sqref="E298">
    <cfRule type="cellIs" priority="586" operator="greaterThan" aboveAverage="0" equalAverage="0" bottom="0" percent="0" rank="0" text="" dxfId="0">
      <formula>0</formula>
    </cfRule>
    <cfRule type="cellIs" priority="587" operator="lessThan" aboveAverage="0" equalAverage="0" bottom="0" percent="0" rank="0" text="" dxfId="1">
      <formula>0</formula>
    </cfRule>
  </conditionalFormatting>
  <conditionalFormatting sqref="E299">
    <cfRule type="cellIs" priority="588" operator="greaterThan" aboveAverage="0" equalAverage="0" bottom="0" percent="0" rank="0" text="" dxfId="0">
      <formula>0</formula>
    </cfRule>
    <cfRule type="cellIs" priority="589" operator="lessThan" aboveAverage="0" equalAverage="0" bottom="0" percent="0" rank="0" text="" dxfId="1">
      <formula>0</formula>
    </cfRule>
  </conditionalFormatting>
  <conditionalFormatting sqref="E300">
    <cfRule type="cellIs" priority="590" operator="greaterThan" aboveAverage="0" equalAverage="0" bottom="0" percent="0" rank="0" text="" dxfId="0">
      <formula>0</formula>
    </cfRule>
    <cfRule type="cellIs" priority="591" operator="lessThan" aboveAverage="0" equalAverage="0" bottom="0" percent="0" rank="0" text="" dxfId="1">
      <formula>0</formula>
    </cfRule>
  </conditionalFormatting>
  <conditionalFormatting sqref="E301">
    <cfRule type="cellIs" priority="592" operator="greaterThan" aboveAverage="0" equalAverage="0" bottom="0" percent="0" rank="0" text="" dxfId="0">
      <formula>0</formula>
    </cfRule>
    <cfRule type="cellIs" priority="593" operator="lessThan" aboveAverage="0" equalAverage="0" bottom="0" percent="0" rank="0" text="" dxfId="1">
      <formula>0</formula>
    </cfRule>
  </conditionalFormatting>
  <conditionalFormatting sqref="E302">
    <cfRule type="cellIs" priority="594" operator="greaterThan" aboveAverage="0" equalAverage="0" bottom="0" percent="0" rank="0" text="" dxfId="0">
      <formula>0</formula>
    </cfRule>
    <cfRule type="cellIs" priority="595" operator="lessThan" aboveAverage="0" equalAverage="0" bottom="0" percent="0" rank="0" text="" dxfId="1">
      <formula>0</formula>
    </cfRule>
  </conditionalFormatting>
  <conditionalFormatting sqref="E303">
    <cfRule type="cellIs" priority="596" operator="greaterThan" aboveAverage="0" equalAverage="0" bottom="0" percent="0" rank="0" text="" dxfId="0">
      <formula>0</formula>
    </cfRule>
    <cfRule type="cellIs" priority="597" operator="lessThan" aboveAverage="0" equalAverage="0" bottom="0" percent="0" rank="0" text="" dxfId="1">
      <formula>0</formula>
    </cfRule>
  </conditionalFormatting>
  <conditionalFormatting sqref="E304">
    <cfRule type="cellIs" priority="598" operator="greaterThan" aboveAverage="0" equalAverage="0" bottom="0" percent="0" rank="0" text="" dxfId="0">
      <formula>0</formula>
    </cfRule>
    <cfRule type="cellIs" priority="599" operator="lessThan" aboveAverage="0" equalAverage="0" bottom="0" percent="0" rank="0" text="" dxfId="1">
      <formula>0</formula>
    </cfRule>
  </conditionalFormatting>
  <conditionalFormatting sqref="E305">
    <cfRule type="cellIs" priority="600" operator="greaterThan" aboveAverage="0" equalAverage="0" bottom="0" percent="0" rank="0" text="" dxfId="0">
      <formula>0</formula>
    </cfRule>
    <cfRule type="cellIs" priority="601" operator="lessThan" aboveAverage="0" equalAverage="0" bottom="0" percent="0" rank="0" text="" dxfId="1">
      <formula>0</formula>
    </cfRule>
  </conditionalFormatting>
  <conditionalFormatting sqref="E306">
    <cfRule type="cellIs" priority="602" operator="greaterThan" aboveAverage="0" equalAverage="0" bottom="0" percent="0" rank="0" text="" dxfId="0">
      <formula>0</formula>
    </cfRule>
    <cfRule type="cellIs" priority="603" operator="lessThan" aboveAverage="0" equalAverage="0" bottom="0" percent="0" rank="0" text="" dxfId="1">
      <formula>0</formula>
    </cfRule>
  </conditionalFormatting>
  <conditionalFormatting sqref="E307">
    <cfRule type="cellIs" priority="604" operator="greaterThan" aboveAverage="0" equalAverage="0" bottom="0" percent="0" rank="0" text="" dxfId="0">
      <formula>0</formula>
    </cfRule>
    <cfRule type="cellIs" priority="605" operator="lessThan" aboveAverage="0" equalAverage="0" bottom="0" percent="0" rank="0" text="" dxfId="1">
      <formula>0</formula>
    </cfRule>
  </conditionalFormatting>
  <conditionalFormatting sqref="E308">
    <cfRule type="cellIs" priority="606" operator="greaterThan" aboveAverage="0" equalAverage="0" bottom="0" percent="0" rank="0" text="" dxfId="0">
      <formula>0</formula>
    </cfRule>
    <cfRule type="cellIs" priority="607" operator="lessThan" aboveAverage="0" equalAverage="0" bottom="0" percent="0" rank="0" text="" dxfId="1">
      <formula>0</formula>
    </cfRule>
  </conditionalFormatting>
  <conditionalFormatting sqref="E309">
    <cfRule type="cellIs" priority="608" operator="greaterThan" aboveAverage="0" equalAverage="0" bottom="0" percent="0" rank="0" text="" dxfId="0">
      <formula>0</formula>
    </cfRule>
    <cfRule type="cellIs" priority="609" operator="lessThan" aboveAverage="0" equalAverage="0" bottom="0" percent="0" rank="0" text="" dxfId="1">
      <formula>0</formula>
    </cfRule>
  </conditionalFormatting>
  <conditionalFormatting sqref="E310">
    <cfRule type="cellIs" priority="610" operator="greaterThan" aboveAverage="0" equalAverage="0" bottom="0" percent="0" rank="0" text="" dxfId="0">
      <formula>0</formula>
    </cfRule>
    <cfRule type="cellIs" priority="611" operator="lessThan" aboveAverage="0" equalAverage="0" bottom="0" percent="0" rank="0" text="" dxfId="1">
      <formula>0</formula>
    </cfRule>
  </conditionalFormatting>
  <conditionalFormatting sqref="E311">
    <cfRule type="cellIs" priority="612" operator="greaterThan" aboveAverage="0" equalAverage="0" bottom="0" percent="0" rank="0" text="" dxfId="0">
      <formula>0</formula>
    </cfRule>
    <cfRule type="cellIs" priority="613" operator="lessThan" aboveAverage="0" equalAverage="0" bottom="0" percent="0" rank="0" text="" dxfId="1">
      <formula>0</formula>
    </cfRule>
  </conditionalFormatting>
  <conditionalFormatting sqref="E312">
    <cfRule type="cellIs" priority="614" operator="greaterThan" aboveAverage="0" equalAverage="0" bottom="0" percent="0" rank="0" text="" dxfId="0">
      <formula>0</formula>
    </cfRule>
    <cfRule type="cellIs" priority="615" operator="lessThan" aboveAverage="0" equalAverage="0" bottom="0" percent="0" rank="0" text="" dxfId="1">
      <formula>0</formula>
    </cfRule>
  </conditionalFormatting>
  <conditionalFormatting sqref="E313">
    <cfRule type="cellIs" priority="616" operator="greaterThan" aboveAverage="0" equalAverage="0" bottom="0" percent="0" rank="0" text="" dxfId="0">
      <formula>0</formula>
    </cfRule>
    <cfRule type="cellIs" priority="617" operator="lessThan" aboveAverage="0" equalAverage="0" bottom="0" percent="0" rank="0" text="" dxfId="1">
      <formula>0</formula>
    </cfRule>
  </conditionalFormatting>
  <conditionalFormatting sqref="E314">
    <cfRule type="cellIs" priority="618" operator="greaterThan" aboveAverage="0" equalAverage="0" bottom="0" percent="0" rank="0" text="" dxfId="0">
      <formula>0</formula>
    </cfRule>
    <cfRule type="cellIs" priority="619" operator="lessThan" aboveAverage="0" equalAverage="0" bottom="0" percent="0" rank="0" text="" dxfId="1">
      <formula>0</formula>
    </cfRule>
  </conditionalFormatting>
  <conditionalFormatting sqref="E315">
    <cfRule type="cellIs" priority="620" operator="greaterThan" aboveAverage="0" equalAverage="0" bottom="0" percent="0" rank="0" text="" dxfId="0">
      <formula>0</formula>
    </cfRule>
    <cfRule type="cellIs" priority="621" operator="lessThan" aboveAverage="0" equalAverage="0" bottom="0" percent="0" rank="0" text="" dxfId="1">
      <formula>0</formula>
    </cfRule>
  </conditionalFormatting>
  <conditionalFormatting sqref="E316">
    <cfRule type="cellIs" priority="622" operator="greaterThan" aboveAverage="0" equalAverage="0" bottom="0" percent="0" rank="0" text="" dxfId="0">
      <formula>0</formula>
    </cfRule>
    <cfRule type="cellIs" priority="623" operator="lessThan" aboveAverage="0" equalAverage="0" bottom="0" percent="0" rank="0" text="" dxfId="1">
      <formula>0</formula>
    </cfRule>
  </conditionalFormatting>
  <conditionalFormatting sqref="E317">
    <cfRule type="cellIs" priority="624" operator="greaterThan" aboveAverage="0" equalAverage="0" bottom="0" percent="0" rank="0" text="" dxfId="0">
      <formula>0</formula>
    </cfRule>
    <cfRule type="cellIs" priority="625" operator="lessThan" aboveAverage="0" equalAverage="0" bottom="0" percent="0" rank="0" text="" dxfId="1">
      <formula>0</formula>
    </cfRule>
  </conditionalFormatting>
  <conditionalFormatting sqref="E318">
    <cfRule type="cellIs" priority="626" operator="greaterThan" aboveAverage="0" equalAverage="0" bottom="0" percent="0" rank="0" text="" dxfId="0">
      <formula>0</formula>
    </cfRule>
    <cfRule type="cellIs" priority="627" operator="lessThan" aboveAverage="0" equalAverage="0" bottom="0" percent="0" rank="0" text="" dxfId="1">
      <formula>0</formula>
    </cfRule>
  </conditionalFormatting>
  <conditionalFormatting sqref="E319">
    <cfRule type="cellIs" priority="628" operator="greaterThan" aboveAverage="0" equalAverage="0" bottom="0" percent="0" rank="0" text="" dxfId="0">
      <formula>0</formula>
    </cfRule>
    <cfRule type="cellIs" priority="629" operator="lessThan" aboveAverage="0" equalAverage="0" bottom="0" percent="0" rank="0" text="" dxfId="1">
      <formula>0</formula>
    </cfRule>
  </conditionalFormatting>
  <conditionalFormatting sqref="E320">
    <cfRule type="cellIs" priority="630" operator="greaterThan" aboveAverage="0" equalAverage="0" bottom="0" percent="0" rank="0" text="" dxfId="0">
      <formula>0</formula>
    </cfRule>
    <cfRule type="cellIs" priority="631" operator="lessThan" aboveAverage="0" equalAverage="0" bottom="0" percent="0" rank="0" text="" dxfId="1">
      <formula>0</formula>
    </cfRule>
  </conditionalFormatting>
  <conditionalFormatting sqref="E321">
    <cfRule type="cellIs" priority="632" operator="greaterThan" aboveAverage="0" equalAverage="0" bottom="0" percent="0" rank="0" text="" dxfId="0">
      <formula>0</formula>
    </cfRule>
    <cfRule type="cellIs" priority="633" operator="lessThan" aboveAverage="0" equalAverage="0" bottom="0" percent="0" rank="0" text="" dxfId="1">
      <formula>0</formula>
    </cfRule>
  </conditionalFormatting>
  <conditionalFormatting sqref="E322">
    <cfRule type="cellIs" priority="634" operator="greaterThan" aboveAverage="0" equalAverage="0" bottom="0" percent="0" rank="0" text="" dxfId="0">
      <formula>0</formula>
    </cfRule>
    <cfRule type="cellIs" priority="635" operator="lessThan" aboveAverage="0" equalAverage="0" bottom="0" percent="0" rank="0" text="" dxfId="1">
      <formula>0</formula>
    </cfRule>
  </conditionalFormatting>
  <conditionalFormatting sqref="E323">
    <cfRule type="cellIs" priority="636" operator="greaterThan" aboveAverage="0" equalAverage="0" bottom="0" percent="0" rank="0" text="" dxfId="0">
      <formula>0</formula>
    </cfRule>
    <cfRule type="cellIs" priority="637" operator="lessThan" aboveAverage="0" equalAverage="0" bottom="0" percent="0" rank="0" text="" dxfId="1">
      <formula>0</formula>
    </cfRule>
  </conditionalFormatting>
  <conditionalFormatting sqref="E324">
    <cfRule type="cellIs" priority="638" operator="greaterThan" aboveAverage="0" equalAverage="0" bottom="0" percent="0" rank="0" text="" dxfId="0">
      <formula>0</formula>
    </cfRule>
    <cfRule type="cellIs" priority="639" operator="lessThan" aboveAverage="0" equalAverage="0" bottom="0" percent="0" rank="0" text="" dxfId="1">
      <formula>0</formula>
    </cfRule>
  </conditionalFormatting>
  <conditionalFormatting sqref="E325">
    <cfRule type="cellIs" priority="640" operator="greaterThan" aboveAverage="0" equalAverage="0" bottom="0" percent="0" rank="0" text="" dxfId="0">
      <formula>0</formula>
    </cfRule>
    <cfRule type="cellIs" priority="641" operator="lessThan" aboveAverage="0" equalAverage="0" bottom="0" percent="0" rank="0" text="" dxfId="1">
      <formula>0</formula>
    </cfRule>
  </conditionalFormatting>
  <conditionalFormatting sqref="E326">
    <cfRule type="cellIs" priority="642" operator="greaterThan" aboveAverage="0" equalAverage="0" bottom="0" percent="0" rank="0" text="" dxfId="0">
      <formula>0</formula>
    </cfRule>
    <cfRule type="cellIs" priority="643" operator="lessThan" aboveAverage="0" equalAverage="0" bottom="0" percent="0" rank="0" text="" dxfId="1">
      <formula>0</formula>
    </cfRule>
  </conditionalFormatting>
  <conditionalFormatting sqref="E327">
    <cfRule type="cellIs" priority="644" operator="greaterThan" aboveAverage="0" equalAverage="0" bottom="0" percent="0" rank="0" text="" dxfId="0">
      <formula>0</formula>
    </cfRule>
    <cfRule type="cellIs" priority="645" operator="lessThan" aboveAverage="0" equalAverage="0" bottom="0" percent="0" rank="0" text="" dxfId="1">
      <formula>0</formula>
    </cfRule>
  </conditionalFormatting>
  <conditionalFormatting sqref="E328">
    <cfRule type="cellIs" priority="646" operator="greaterThan" aboveAverage="0" equalAverage="0" bottom="0" percent="0" rank="0" text="" dxfId="0">
      <formula>0</formula>
    </cfRule>
    <cfRule type="cellIs" priority="647" operator="lessThan" aboveAverage="0" equalAverage="0" bottom="0" percent="0" rank="0" text="" dxfId="1">
      <formula>0</formula>
    </cfRule>
  </conditionalFormatting>
  <conditionalFormatting sqref="E329">
    <cfRule type="cellIs" priority="648" operator="greaterThan" aboveAverage="0" equalAverage="0" bottom="0" percent="0" rank="0" text="" dxfId="0">
      <formula>0</formula>
    </cfRule>
    <cfRule type="cellIs" priority="649" operator="lessThan" aboveAverage="0" equalAverage="0" bottom="0" percent="0" rank="0" text="" dxfId="1">
      <formula>0</formula>
    </cfRule>
  </conditionalFormatting>
  <conditionalFormatting sqref="E330">
    <cfRule type="cellIs" priority="650" operator="greaterThan" aboveAverage="0" equalAverage="0" bottom="0" percent="0" rank="0" text="" dxfId="0">
      <formula>0</formula>
    </cfRule>
    <cfRule type="cellIs" priority="651" operator="lessThan" aboveAverage="0" equalAverage="0" bottom="0" percent="0" rank="0" text="" dxfId="1">
      <formula>0</formula>
    </cfRule>
  </conditionalFormatting>
  <conditionalFormatting sqref="E331">
    <cfRule type="cellIs" priority="652" operator="greaterThan" aboveAverage="0" equalAverage="0" bottom="0" percent="0" rank="0" text="" dxfId="0">
      <formula>0</formula>
    </cfRule>
    <cfRule type="cellIs" priority="653" operator="lessThan" aboveAverage="0" equalAverage="0" bottom="0" percent="0" rank="0" text="" dxfId="1">
      <formula>0</formula>
    </cfRule>
  </conditionalFormatting>
  <conditionalFormatting sqref="E332">
    <cfRule type="cellIs" priority="654" operator="greaterThan" aboveAverage="0" equalAverage="0" bottom="0" percent="0" rank="0" text="" dxfId="0">
      <formula>0</formula>
    </cfRule>
    <cfRule type="cellIs" priority="655" operator="lessThan" aboveAverage="0" equalAverage="0" bottom="0" percent="0" rank="0" text="" dxfId="1">
      <formula>0</formula>
    </cfRule>
  </conditionalFormatting>
  <conditionalFormatting sqref="E333">
    <cfRule type="cellIs" priority="656" operator="greaterThan" aboveAverage="0" equalAverage="0" bottom="0" percent="0" rank="0" text="" dxfId="0">
      <formula>0</formula>
    </cfRule>
    <cfRule type="cellIs" priority="657" operator="lessThan" aboveAverage="0" equalAverage="0" bottom="0" percent="0" rank="0" text="" dxfId="1">
      <formula>0</formula>
    </cfRule>
  </conditionalFormatting>
  <conditionalFormatting sqref="E334">
    <cfRule type="cellIs" priority="658" operator="greaterThan" aboveAverage="0" equalAverage="0" bottom="0" percent="0" rank="0" text="" dxfId="0">
      <formula>0</formula>
    </cfRule>
    <cfRule type="cellIs" priority="659" operator="lessThan" aboveAverage="0" equalAverage="0" bottom="0" percent="0" rank="0" text="" dxfId="1">
      <formula>0</formula>
    </cfRule>
  </conditionalFormatting>
  <conditionalFormatting sqref="E335">
    <cfRule type="cellIs" priority="660" operator="greaterThan" aboveAverage="0" equalAverage="0" bottom="0" percent="0" rank="0" text="" dxfId="0">
      <formula>0</formula>
    </cfRule>
    <cfRule type="cellIs" priority="661" operator="lessThan" aboveAverage="0" equalAverage="0" bottom="0" percent="0" rank="0" text="" dxfId="1">
      <formula>0</formula>
    </cfRule>
  </conditionalFormatting>
  <conditionalFormatting sqref="E336">
    <cfRule type="cellIs" priority="662" operator="greaterThan" aboveAverage="0" equalAverage="0" bottom="0" percent="0" rank="0" text="" dxfId="0">
      <formula>0</formula>
    </cfRule>
    <cfRule type="cellIs" priority="663" operator="lessThan" aboveAverage="0" equalAverage="0" bottom="0" percent="0" rank="0" text="" dxfId="1">
      <formula>0</formula>
    </cfRule>
  </conditionalFormatting>
  <conditionalFormatting sqref="E337">
    <cfRule type="cellIs" priority="664" operator="greaterThan" aboveAverage="0" equalAverage="0" bottom="0" percent="0" rank="0" text="" dxfId="0">
      <formula>0</formula>
    </cfRule>
    <cfRule type="cellIs" priority="665" operator="lessThan" aboveAverage="0" equalAverage="0" bottom="0" percent="0" rank="0" text="" dxfId="1">
      <formula>0</formula>
    </cfRule>
  </conditionalFormatting>
  <conditionalFormatting sqref="E338">
    <cfRule type="cellIs" priority="666" operator="greaterThan" aboveAverage="0" equalAverage="0" bottom="0" percent="0" rank="0" text="" dxfId="0">
      <formula>0</formula>
    </cfRule>
    <cfRule type="cellIs" priority="667" operator="lessThan" aboveAverage="0" equalAverage="0" bottom="0" percent="0" rank="0" text="" dxfId="1">
      <formula>0</formula>
    </cfRule>
  </conditionalFormatting>
  <conditionalFormatting sqref="E339">
    <cfRule type="cellIs" priority="668" operator="greaterThan" aboveAverage="0" equalAverage="0" bottom="0" percent="0" rank="0" text="" dxfId="0">
      <formula>0</formula>
    </cfRule>
    <cfRule type="cellIs" priority="669" operator="lessThan" aboveAverage="0" equalAverage="0" bottom="0" percent="0" rank="0" text="" dxfId="1">
      <formula>0</formula>
    </cfRule>
  </conditionalFormatting>
  <conditionalFormatting sqref="E340">
    <cfRule type="cellIs" priority="670" operator="greaterThan" aboveAverage="0" equalAverage="0" bottom="0" percent="0" rank="0" text="" dxfId="0">
      <formula>0</formula>
    </cfRule>
    <cfRule type="cellIs" priority="671" operator="lessThan" aboveAverage="0" equalAverage="0" bottom="0" percent="0" rank="0" text="" dxfId="1">
      <formula>0</formula>
    </cfRule>
  </conditionalFormatting>
  <conditionalFormatting sqref="E341">
    <cfRule type="cellIs" priority="672" operator="greaterThan" aboveAverage="0" equalAverage="0" bottom="0" percent="0" rank="0" text="" dxfId="0">
      <formula>0</formula>
    </cfRule>
    <cfRule type="cellIs" priority="673" operator="lessThan" aboveAverage="0" equalAverage="0" bottom="0" percent="0" rank="0" text="" dxfId="1">
      <formula>0</formula>
    </cfRule>
  </conditionalFormatting>
  <conditionalFormatting sqref="E342">
    <cfRule type="cellIs" priority="674" operator="greaterThan" aboveAverage="0" equalAverage="0" bottom="0" percent="0" rank="0" text="" dxfId="0">
      <formula>0</formula>
    </cfRule>
    <cfRule type="cellIs" priority="675" operator="lessThan" aboveAverage="0" equalAverage="0" bottom="0" percent="0" rank="0" text="" dxfId="1">
      <formula>0</formula>
    </cfRule>
  </conditionalFormatting>
  <conditionalFormatting sqref="E343">
    <cfRule type="cellIs" priority="676" operator="greaterThan" aboveAverage="0" equalAverage="0" bottom="0" percent="0" rank="0" text="" dxfId="0">
      <formula>0</formula>
    </cfRule>
    <cfRule type="cellIs" priority="677" operator="lessThan" aboveAverage="0" equalAverage="0" bottom="0" percent="0" rank="0" text="" dxfId="1">
      <formula>0</formula>
    </cfRule>
  </conditionalFormatting>
  <conditionalFormatting sqref="E344">
    <cfRule type="cellIs" priority="678" operator="greaterThan" aboveAverage="0" equalAverage="0" bottom="0" percent="0" rank="0" text="" dxfId="0">
      <formula>0</formula>
    </cfRule>
    <cfRule type="cellIs" priority="679" operator="lessThan" aboveAverage="0" equalAverage="0" bottom="0" percent="0" rank="0" text="" dxfId="1">
      <formula>0</formula>
    </cfRule>
  </conditionalFormatting>
  <conditionalFormatting sqref="E345">
    <cfRule type="cellIs" priority="680" operator="greaterThan" aboveAverage="0" equalAverage="0" bottom="0" percent="0" rank="0" text="" dxfId="0">
      <formula>0</formula>
    </cfRule>
    <cfRule type="cellIs" priority="681" operator="lessThan" aboveAverage="0" equalAverage="0" bottom="0" percent="0" rank="0" text="" dxfId="1">
      <formula>0</formula>
    </cfRule>
  </conditionalFormatting>
  <conditionalFormatting sqref="E346">
    <cfRule type="cellIs" priority="682" operator="greaterThan" aboveAverage="0" equalAverage="0" bottom="0" percent="0" rank="0" text="" dxfId="0">
      <formula>0</formula>
    </cfRule>
    <cfRule type="cellIs" priority="683" operator="lessThan" aboveAverage="0" equalAverage="0" bottom="0" percent="0" rank="0" text="" dxfId="1">
      <formula>0</formula>
    </cfRule>
  </conditionalFormatting>
  <conditionalFormatting sqref="E347">
    <cfRule type="cellIs" priority="684" operator="greaterThan" aboveAverage="0" equalAverage="0" bottom="0" percent="0" rank="0" text="" dxfId="0">
      <formula>0</formula>
    </cfRule>
    <cfRule type="cellIs" priority="685" operator="lessThan" aboveAverage="0" equalAverage="0" bottom="0" percent="0" rank="0" text="" dxfId="1">
      <formula>0</formula>
    </cfRule>
  </conditionalFormatting>
  <conditionalFormatting sqref="E348">
    <cfRule type="cellIs" priority="686" operator="greaterThan" aboveAverage="0" equalAverage="0" bottom="0" percent="0" rank="0" text="" dxfId="0">
      <formula>0</formula>
    </cfRule>
    <cfRule type="cellIs" priority="687" operator="lessThan" aboveAverage="0" equalAverage="0" bottom="0" percent="0" rank="0" text="" dxfId="1">
      <formula>0</formula>
    </cfRule>
  </conditionalFormatting>
  <conditionalFormatting sqref="E349">
    <cfRule type="cellIs" priority="688" operator="greaterThan" aboveAverage="0" equalAverage="0" bottom="0" percent="0" rank="0" text="" dxfId="0">
      <formula>0</formula>
    </cfRule>
    <cfRule type="cellIs" priority="689" operator="lessThan" aboveAverage="0" equalAverage="0" bottom="0" percent="0" rank="0" text="" dxfId="1">
      <formula>0</formula>
    </cfRule>
  </conditionalFormatting>
  <conditionalFormatting sqref="E350">
    <cfRule type="cellIs" priority="690" operator="greaterThan" aboveAverage="0" equalAverage="0" bottom="0" percent="0" rank="0" text="" dxfId="0">
      <formula>0</formula>
    </cfRule>
    <cfRule type="cellIs" priority="691" operator="lessThan" aboveAverage="0" equalAverage="0" bottom="0" percent="0" rank="0" text="" dxfId="1">
      <formula>0</formula>
    </cfRule>
  </conditionalFormatting>
  <conditionalFormatting sqref="E351">
    <cfRule type="cellIs" priority="692" operator="greaterThan" aboveAverage="0" equalAverage="0" bottom="0" percent="0" rank="0" text="" dxfId="0">
      <formula>0</formula>
    </cfRule>
    <cfRule type="cellIs" priority="693" operator="lessThan" aboveAverage="0" equalAverage="0" bottom="0" percent="0" rank="0" text="" dxfId="1">
      <formula>0</formula>
    </cfRule>
  </conditionalFormatting>
  <conditionalFormatting sqref="E352">
    <cfRule type="cellIs" priority="694" operator="greaterThan" aboveAverage="0" equalAverage="0" bottom="0" percent="0" rank="0" text="" dxfId="0">
      <formula>0</formula>
    </cfRule>
    <cfRule type="cellIs" priority="695" operator="lessThan" aboveAverage="0" equalAverage="0" bottom="0" percent="0" rank="0" text="" dxfId="1">
      <formula>0</formula>
    </cfRule>
  </conditionalFormatting>
  <conditionalFormatting sqref="E353">
    <cfRule type="cellIs" priority="696" operator="greaterThan" aboveAverage="0" equalAverage="0" bottom="0" percent="0" rank="0" text="" dxfId="0">
      <formula>0</formula>
    </cfRule>
    <cfRule type="cellIs" priority="697" operator="lessThan" aboveAverage="0" equalAverage="0" bottom="0" percent="0" rank="0" text="" dxfId="1">
      <formula>0</formula>
    </cfRule>
  </conditionalFormatting>
  <conditionalFormatting sqref="E354">
    <cfRule type="cellIs" priority="698" operator="greaterThan" aboveAverage="0" equalAverage="0" bottom="0" percent="0" rank="0" text="" dxfId="0">
      <formula>0</formula>
    </cfRule>
    <cfRule type="cellIs" priority="699" operator="lessThan" aboveAverage="0" equalAverage="0" bottom="0" percent="0" rank="0" text="" dxfId="1">
      <formula>0</formula>
    </cfRule>
  </conditionalFormatting>
  <conditionalFormatting sqref="E355">
    <cfRule type="cellIs" priority="700" operator="greaterThan" aboveAverage="0" equalAverage="0" bottom="0" percent="0" rank="0" text="" dxfId="0">
      <formula>0</formula>
    </cfRule>
    <cfRule type="cellIs" priority="701" operator="lessThan" aboveAverage="0" equalAverage="0" bottom="0" percent="0" rank="0" text="" dxfId="1">
      <formula>0</formula>
    </cfRule>
  </conditionalFormatting>
  <conditionalFormatting sqref="E356">
    <cfRule type="cellIs" priority="702" operator="greaterThan" aboveAverage="0" equalAverage="0" bottom="0" percent="0" rank="0" text="" dxfId="0">
      <formula>0</formula>
    </cfRule>
    <cfRule type="cellIs" priority="703" operator="lessThan" aboveAverage="0" equalAverage="0" bottom="0" percent="0" rank="0" text="" dxfId="1">
      <formula>0</formula>
    </cfRule>
  </conditionalFormatting>
  <conditionalFormatting sqref="E357">
    <cfRule type="cellIs" priority="704" operator="greaterThan" aboveAverage="0" equalAverage="0" bottom="0" percent="0" rank="0" text="" dxfId="0">
      <formula>0</formula>
    </cfRule>
    <cfRule type="cellIs" priority="705" operator="lessThan" aboveAverage="0" equalAverage="0" bottom="0" percent="0" rank="0" text="" dxfId="1">
      <formula>0</formula>
    </cfRule>
  </conditionalFormatting>
  <conditionalFormatting sqref="E358">
    <cfRule type="cellIs" priority="706" operator="greaterThan" aboveAverage="0" equalAverage="0" bottom="0" percent="0" rank="0" text="" dxfId="0">
      <formula>0</formula>
    </cfRule>
    <cfRule type="cellIs" priority="707" operator="lessThan" aboveAverage="0" equalAverage="0" bottom="0" percent="0" rank="0" text="" dxfId="1">
      <formula>0</formula>
    </cfRule>
  </conditionalFormatting>
  <conditionalFormatting sqref="E359">
    <cfRule type="cellIs" priority="708" operator="greaterThan" aboveAverage="0" equalAverage="0" bottom="0" percent="0" rank="0" text="" dxfId="0">
      <formula>0</formula>
    </cfRule>
    <cfRule type="cellIs" priority="709" operator="lessThan" aboveAverage="0" equalAverage="0" bottom="0" percent="0" rank="0" text="" dxfId="1">
      <formula>0</formula>
    </cfRule>
  </conditionalFormatting>
  <conditionalFormatting sqref="E360">
    <cfRule type="cellIs" priority="710" operator="greaterThan" aboveAverage="0" equalAverage="0" bottom="0" percent="0" rank="0" text="" dxfId="0">
      <formula>0</formula>
    </cfRule>
    <cfRule type="cellIs" priority="711" operator="lessThan" aboveAverage="0" equalAverage="0" bottom="0" percent="0" rank="0" text="" dxfId="1">
      <formula>0</formula>
    </cfRule>
  </conditionalFormatting>
  <conditionalFormatting sqref="E361">
    <cfRule type="cellIs" priority="712" operator="greaterThan" aboveAverage="0" equalAverage="0" bottom="0" percent="0" rank="0" text="" dxfId="0">
      <formula>0</formula>
    </cfRule>
    <cfRule type="cellIs" priority="713" operator="lessThan" aboveAverage="0" equalAverage="0" bottom="0" percent="0" rank="0" text="" dxfId="1">
      <formula>0</formula>
    </cfRule>
  </conditionalFormatting>
  <conditionalFormatting sqref="E362">
    <cfRule type="cellIs" priority="714" operator="greaterThan" aboveAverage="0" equalAverage="0" bottom="0" percent="0" rank="0" text="" dxfId="0">
      <formula>0</formula>
    </cfRule>
    <cfRule type="cellIs" priority="715" operator="lessThan" aboveAverage="0" equalAverage="0" bottom="0" percent="0" rank="0" text="" dxfId="1">
      <formula>0</formula>
    </cfRule>
  </conditionalFormatting>
  <conditionalFormatting sqref="E363">
    <cfRule type="cellIs" priority="716" operator="greaterThan" aboveAverage="0" equalAverage="0" bottom="0" percent="0" rank="0" text="" dxfId="0">
      <formula>0</formula>
    </cfRule>
    <cfRule type="cellIs" priority="717" operator="lessThan" aboveAverage="0" equalAverage="0" bottom="0" percent="0" rank="0" text="" dxfId="1">
      <formula>0</formula>
    </cfRule>
  </conditionalFormatting>
  <conditionalFormatting sqref="E364">
    <cfRule type="cellIs" priority="718" operator="greaterThan" aboveAverage="0" equalAverage="0" bottom="0" percent="0" rank="0" text="" dxfId="0">
      <formula>0</formula>
    </cfRule>
    <cfRule type="cellIs" priority="719" operator="lessThan" aboveAverage="0" equalAverage="0" bottom="0" percent="0" rank="0" text="" dxfId="1">
      <formula>0</formula>
    </cfRule>
  </conditionalFormatting>
  <conditionalFormatting sqref="E365">
    <cfRule type="cellIs" priority="720" operator="greaterThan" aboveAverage="0" equalAverage="0" bottom="0" percent="0" rank="0" text="" dxfId="0">
      <formula>0</formula>
    </cfRule>
    <cfRule type="cellIs" priority="721" operator="lessThan" aboveAverage="0" equalAverage="0" bottom="0" percent="0" rank="0" text="" dxfId="1">
      <formula>0</formula>
    </cfRule>
  </conditionalFormatting>
  <conditionalFormatting sqref="E366">
    <cfRule type="cellIs" priority="722" operator="greaterThan" aboveAverage="0" equalAverage="0" bottom="0" percent="0" rank="0" text="" dxfId="0">
      <formula>0</formula>
    </cfRule>
    <cfRule type="cellIs" priority="723" operator="lessThan" aboveAverage="0" equalAverage="0" bottom="0" percent="0" rank="0" text="" dxfId="1">
      <formula>0</formula>
    </cfRule>
  </conditionalFormatting>
  <conditionalFormatting sqref="E367">
    <cfRule type="cellIs" priority="724" operator="greaterThan" aboveAverage="0" equalAverage="0" bottom="0" percent="0" rank="0" text="" dxfId="0">
      <formula>0</formula>
    </cfRule>
    <cfRule type="cellIs" priority="725" operator="lessThan" aboveAverage="0" equalAverage="0" bottom="0" percent="0" rank="0" text="" dxfId="1">
      <formula>0</formula>
    </cfRule>
  </conditionalFormatting>
  <conditionalFormatting sqref="E368">
    <cfRule type="cellIs" priority="726" operator="greaterThan" aboveAverage="0" equalAverage="0" bottom="0" percent="0" rank="0" text="" dxfId="0">
      <formula>0</formula>
    </cfRule>
    <cfRule type="cellIs" priority="727" operator="lessThan" aboveAverage="0" equalAverage="0" bottom="0" percent="0" rank="0" text="" dxfId="1">
      <formula>0</formula>
    </cfRule>
  </conditionalFormatting>
  <conditionalFormatting sqref="E369">
    <cfRule type="cellIs" priority="728" operator="greaterThan" aboveAverage="0" equalAverage="0" bottom="0" percent="0" rank="0" text="" dxfId="0">
      <formula>0</formula>
    </cfRule>
    <cfRule type="cellIs" priority="729" operator="lessThan" aboveAverage="0" equalAverage="0" bottom="0" percent="0" rank="0" text="" dxfId="1">
      <formula>0</formula>
    </cfRule>
  </conditionalFormatting>
  <conditionalFormatting sqref="E370">
    <cfRule type="cellIs" priority="730" operator="greaterThan" aboveAverage="0" equalAverage="0" bottom="0" percent="0" rank="0" text="" dxfId="0">
      <formula>0</formula>
    </cfRule>
    <cfRule type="cellIs" priority="731" operator="lessThan" aboveAverage="0" equalAverage="0" bottom="0" percent="0" rank="0" text="" dxfId="1">
      <formula>0</formula>
    </cfRule>
  </conditionalFormatting>
  <conditionalFormatting sqref="E371">
    <cfRule type="cellIs" priority="732" operator="greaterThan" aboveAverage="0" equalAverage="0" bottom="0" percent="0" rank="0" text="" dxfId="0">
      <formula>0</formula>
    </cfRule>
    <cfRule type="cellIs" priority="733" operator="lessThan" aboveAverage="0" equalAverage="0" bottom="0" percent="0" rank="0" text="" dxfId="1">
      <formula>0</formula>
    </cfRule>
  </conditionalFormatting>
  <conditionalFormatting sqref="E372">
    <cfRule type="cellIs" priority="734" operator="greaterThan" aboveAverage="0" equalAverage="0" bottom="0" percent="0" rank="0" text="" dxfId="0">
      <formula>0</formula>
    </cfRule>
    <cfRule type="cellIs" priority="735" operator="lessThan" aboveAverage="0" equalAverage="0" bottom="0" percent="0" rank="0" text="" dxfId="1">
      <formula>0</formula>
    </cfRule>
  </conditionalFormatting>
  <conditionalFormatting sqref="E373">
    <cfRule type="cellIs" priority="736" operator="greaterThan" aboveAverage="0" equalAverage="0" bottom="0" percent="0" rank="0" text="" dxfId="0">
      <formula>0</formula>
    </cfRule>
    <cfRule type="cellIs" priority="737" operator="lessThan" aboveAverage="0" equalAverage="0" bottom="0" percent="0" rank="0" text="" dxfId="1">
      <formula>0</formula>
    </cfRule>
  </conditionalFormatting>
  <conditionalFormatting sqref="E374">
    <cfRule type="cellIs" priority="738" operator="greaterThan" aboveAverage="0" equalAverage="0" bottom="0" percent="0" rank="0" text="" dxfId="0">
      <formula>0</formula>
    </cfRule>
    <cfRule type="cellIs" priority="739" operator="lessThan" aboveAverage="0" equalAverage="0" bottom="0" percent="0" rank="0" text="" dxfId="1">
      <formula>0</formula>
    </cfRule>
  </conditionalFormatting>
  <conditionalFormatting sqref="E375">
    <cfRule type="cellIs" priority="740" operator="greaterThan" aboveAverage="0" equalAverage="0" bottom="0" percent="0" rank="0" text="" dxfId="0">
      <formula>0</formula>
    </cfRule>
    <cfRule type="cellIs" priority="741" operator="lessThan" aboveAverage="0" equalAverage="0" bottom="0" percent="0" rank="0" text="" dxfId="1">
      <formula>0</formula>
    </cfRule>
  </conditionalFormatting>
  <conditionalFormatting sqref="E376">
    <cfRule type="cellIs" priority="742" operator="greaterThan" aboveAverage="0" equalAverage="0" bottom="0" percent="0" rank="0" text="" dxfId="0">
      <formula>0</formula>
    </cfRule>
    <cfRule type="cellIs" priority="743" operator="lessThan" aboveAverage="0" equalAverage="0" bottom="0" percent="0" rank="0" text="" dxfId="1">
      <formula>0</formula>
    </cfRule>
  </conditionalFormatting>
  <conditionalFormatting sqref="E377">
    <cfRule type="cellIs" priority="744" operator="greaterThan" aboveAverage="0" equalAverage="0" bottom="0" percent="0" rank="0" text="" dxfId="0">
      <formula>0</formula>
    </cfRule>
    <cfRule type="cellIs" priority="745" operator="lessThan" aboveAverage="0" equalAverage="0" bottom="0" percent="0" rank="0" text="" dxfId="1">
      <formula>0</formula>
    </cfRule>
  </conditionalFormatting>
  <conditionalFormatting sqref="E378">
    <cfRule type="cellIs" priority="746" operator="greaterThan" aboveAverage="0" equalAverage="0" bottom="0" percent="0" rank="0" text="" dxfId="0">
      <formula>0</formula>
    </cfRule>
    <cfRule type="cellIs" priority="747" operator="lessThan" aboveAverage="0" equalAverage="0" bottom="0" percent="0" rank="0" text="" dxfId="1">
      <formula>0</formula>
    </cfRule>
  </conditionalFormatting>
  <conditionalFormatting sqref="E379">
    <cfRule type="cellIs" priority="748" operator="greaterThan" aboveAverage="0" equalAverage="0" bottom="0" percent="0" rank="0" text="" dxfId="0">
      <formula>0</formula>
    </cfRule>
    <cfRule type="cellIs" priority="749" operator="lessThan" aboveAverage="0" equalAverage="0" bottom="0" percent="0" rank="0" text="" dxfId="1">
      <formula>0</formula>
    </cfRule>
  </conditionalFormatting>
  <conditionalFormatting sqref="E380">
    <cfRule type="cellIs" priority="750" operator="greaterThan" aboveAverage="0" equalAverage="0" bottom="0" percent="0" rank="0" text="" dxfId="0">
      <formula>0</formula>
    </cfRule>
    <cfRule type="cellIs" priority="751" operator="lessThan" aboveAverage="0" equalAverage="0" bottom="0" percent="0" rank="0" text="" dxfId="1">
      <formula>0</formula>
    </cfRule>
  </conditionalFormatting>
  <conditionalFormatting sqref="E381">
    <cfRule type="cellIs" priority="752" operator="greaterThan" aboveAverage="0" equalAverage="0" bottom="0" percent="0" rank="0" text="" dxfId="0">
      <formula>0</formula>
    </cfRule>
    <cfRule type="cellIs" priority="753" operator="lessThan" aboveAverage="0" equalAverage="0" bottom="0" percent="0" rank="0" text="" dxfId="1">
      <formula>0</formula>
    </cfRule>
  </conditionalFormatting>
  <conditionalFormatting sqref="E382">
    <cfRule type="cellIs" priority="754" operator="greaterThan" aboveAverage="0" equalAverage="0" bottom="0" percent="0" rank="0" text="" dxfId="0">
      <formula>0</formula>
    </cfRule>
    <cfRule type="cellIs" priority="755" operator="lessThan" aboveAverage="0" equalAverage="0" bottom="0" percent="0" rank="0" text="" dxfId="1">
      <formula>0</formula>
    </cfRule>
  </conditionalFormatting>
  <conditionalFormatting sqref="E383">
    <cfRule type="cellIs" priority="756" operator="greaterThan" aboveAverage="0" equalAverage="0" bottom="0" percent="0" rank="0" text="" dxfId="0">
      <formula>0</formula>
    </cfRule>
    <cfRule type="cellIs" priority="757" operator="lessThan" aboveAverage="0" equalAverage="0" bottom="0" percent="0" rank="0" text="" dxfId="1">
      <formula>0</formula>
    </cfRule>
  </conditionalFormatting>
  <conditionalFormatting sqref="E384">
    <cfRule type="cellIs" priority="758" operator="greaterThan" aboveAverage="0" equalAverage="0" bottom="0" percent="0" rank="0" text="" dxfId="0">
      <formula>0</formula>
    </cfRule>
    <cfRule type="cellIs" priority="759" operator="lessThan" aboveAverage="0" equalAverage="0" bottom="0" percent="0" rank="0" text="" dxfId="1">
      <formula>0</formula>
    </cfRule>
  </conditionalFormatting>
  <conditionalFormatting sqref="E385">
    <cfRule type="cellIs" priority="760" operator="greaterThan" aboveAverage="0" equalAverage="0" bottom="0" percent="0" rank="0" text="" dxfId="0">
      <formula>0</formula>
    </cfRule>
    <cfRule type="cellIs" priority="761" operator="lessThan" aboveAverage="0" equalAverage="0" bottom="0" percent="0" rank="0" text="" dxfId="1">
      <formula>0</formula>
    </cfRule>
  </conditionalFormatting>
  <conditionalFormatting sqref="E386">
    <cfRule type="cellIs" priority="762" operator="greaterThan" aboveAverage="0" equalAverage="0" bottom="0" percent="0" rank="0" text="" dxfId="0">
      <formula>0</formula>
    </cfRule>
    <cfRule type="cellIs" priority="763" operator="lessThan" aboveAverage="0" equalAverage="0" bottom="0" percent="0" rank="0" text="" dxfId="1">
      <formula>0</formula>
    </cfRule>
  </conditionalFormatting>
  <conditionalFormatting sqref="E387">
    <cfRule type="cellIs" priority="764" operator="greaterThan" aboveAverage="0" equalAverage="0" bottom="0" percent="0" rank="0" text="" dxfId="0">
      <formula>0</formula>
    </cfRule>
    <cfRule type="cellIs" priority="765" operator="lessThan" aboveAverage="0" equalAverage="0" bottom="0" percent="0" rank="0" text="" dxfId="1">
      <formula>0</formula>
    </cfRule>
  </conditionalFormatting>
  <conditionalFormatting sqref="E388">
    <cfRule type="cellIs" priority="766" operator="greaterThan" aboveAverage="0" equalAverage="0" bottom="0" percent="0" rank="0" text="" dxfId="0">
      <formula>0</formula>
    </cfRule>
    <cfRule type="cellIs" priority="767" operator="lessThan" aboveAverage="0" equalAverage="0" bottom="0" percent="0" rank="0" text="" dxfId="1">
      <formula>0</formula>
    </cfRule>
  </conditionalFormatting>
  <conditionalFormatting sqref="E389">
    <cfRule type="cellIs" priority="768" operator="greaterThan" aboveAverage="0" equalAverage="0" bottom="0" percent="0" rank="0" text="" dxfId="0">
      <formula>0</formula>
    </cfRule>
    <cfRule type="cellIs" priority="769" operator="lessThan" aboveAverage="0" equalAverage="0" bottom="0" percent="0" rank="0" text="" dxfId="1">
      <formula>0</formula>
    </cfRule>
  </conditionalFormatting>
  <conditionalFormatting sqref="E390">
    <cfRule type="cellIs" priority="770" operator="greaterThan" aboveAverage="0" equalAverage="0" bottom="0" percent="0" rank="0" text="" dxfId="0">
      <formula>0</formula>
    </cfRule>
    <cfRule type="cellIs" priority="771" operator="lessThan" aboveAverage="0" equalAverage="0" bottom="0" percent="0" rank="0" text="" dxfId="1">
      <formula>0</formula>
    </cfRule>
  </conditionalFormatting>
  <conditionalFormatting sqref="E391">
    <cfRule type="cellIs" priority="772" operator="greaterThan" aboveAverage="0" equalAverage="0" bottom="0" percent="0" rank="0" text="" dxfId="0">
      <formula>0</formula>
    </cfRule>
    <cfRule type="cellIs" priority="773" operator="lessThan" aboveAverage="0" equalAverage="0" bottom="0" percent="0" rank="0" text="" dxfId="1">
      <formula>0</formula>
    </cfRule>
  </conditionalFormatting>
  <conditionalFormatting sqref="E392">
    <cfRule type="cellIs" priority="774" operator="greaterThan" aboveAverage="0" equalAverage="0" bottom="0" percent="0" rank="0" text="" dxfId="0">
      <formula>0</formula>
    </cfRule>
    <cfRule type="cellIs" priority="775" operator="lessThan" aboveAverage="0" equalAverage="0" bottom="0" percent="0" rank="0" text="" dxfId="1">
      <formula>0</formula>
    </cfRule>
  </conditionalFormatting>
  <conditionalFormatting sqref="E393">
    <cfRule type="cellIs" priority="776" operator="greaterThan" aboveAverage="0" equalAverage="0" bottom="0" percent="0" rank="0" text="" dxfId="0">
      <formula>0</formula>
    </cfRule>
    <cfRule type="cellIs" priority="777" operator="lessThan" aboveAverage="0" equalAverage="0" bottom="0" percent="0" rank="0" text="" dxfId="1">
      <formula>0</formula>
    </cfRule>
  </conditionalFormatting>
  <conditionalFormatting sqref="E394">
    <cfRule type="cellIs" priority="778" operator="greaterThan" aboveAverage="0" equalAverage="0" bottom="0" percent="0" rank="0" text="" dxfId="0">
      <formula>0</formula>
    </cfRule>
    <cfRule type="cellIs" priority="779" operator="lessThan" aboveAverage="0" equalAverage="0" bottom="0" percent="0" rank="0" text="" dxfId="1">
      <formula>0</formula>
    </cfRule>
  </conditionalFormatting>
  <conditionalFormatting sqref="E395">
    <cfRule type="cellIs" priority="780" operator="greaterThan" aboveAverage="0" equalAverage="0" bottom="0" percent="0" rank="0" text="" dxfId="0">
      <formula>0</formula>
    </cfRule>
    <cfRule type="cellIs" priority="781" operator="lessThan" aboveAverage="0" equalAverage="0" bottom="0" percent="0" rank="0" text="" dxfId="1">
      <formula>0</formula>
    </cfRule>
  </conditionalFormatting>
  <conditionalFormatting sqref="E396">
    <cfRule type="cellIs" priority="782" operator="greaterThan" aboveAverage="0" equalAverage="0" bottom="0" percent="0" rank="0" text="" dxfId="0">
      <formula>0</formula>
    </cfRule>
    <cfRule type="cellIs" priority="783" operator="lessThan" aboveAverage="0" equalAverage="0" bottom="0" percent="0" rank="0" text="" dxfId="1">
      <formula>0</formula>
    </cfRule>
  </conditionalFormatting>
  <conditionalFormatting sqref="E397">
    <cfRule type="cellIs" priority="784" operator="greaterThan" aboveAverage="0" equalAverage="0" bottom="0" percent="0" rank="0" text="" dxfId="0">
      <formula>0</formula>
    </cfRule>
    <cfRule type="cellIs" priority="785" operator="lessThan" aboveAverage="0" equalAverage="0" bottom="0" percent="0" rank="0" text="" dxfId="1">
      <formula>0</formula>
    </cfRule>
  </conditionalFormatting>
  <conditionalFormatting sqref="E398">
    <cfRule type="cellIs" priority="786" operator="greaterThan" aboveAverage="0" equalAverage="0" bottom="0" percent="0" rank="0" text="" dxfId="0">
      <formula>0</formula>
    </cfRule>
    <cfRule type="cellIs" priority="787" operator="lessThan" aboveAverage="0" equalAverage="0" bottom="0" percent="0" rank="0" text="" dxfId="1">
      <formula>0</formula>
    </cfRule>
  </conditionalFormatting>
  <conditionalFormatting sqref="E399">
    <cfRule type="cellIs" priority="788" operator="greaterThan" aboveAverage="0" equalAverage="0" bottom="0" percent="0" rank="0" text="" dxfId="0">
      <formula>0</formula>
    </cfRule>
    <cfRule type="cellIs" priority="789" operator="lessThan" aboveAverage="0" equalAverage="0" bottom="0" percent="0" rank="0" text="" dxfId="1">
      <formula>0</formula>
    </cfRule>
  </conditionalFormatting>
  <conditionalFormatting sqref="E400">
    <cfRule type="cellIs" priority="790" operator="greaterThan" aboveAverage="0" equalAverage="0" bottom="0" percent="0" rank="0" text="" dxfId="0">
      <formula>0</formula>
    </cfRule>
    <cfRule type="cellIs" priority="791" operator="lessThan" aboveAverage="0" equalAverage="0" bottom="0" percent="0" rank="0" text="" dxfId="1">
      <formula>0</formula>
    </cfRule>
  </conditionalFormatting>
  <conditionalFormatting sqref="E401">
    <cfRule type="cellIs" priority="792" operator="greaterThan" aboveAverage="0" equalAverage="0" bottom="0" percent="0" rank="0" text="" dxfId="0">
      <formula>0</formula>
    </cfRule>
    <cfRule type="cellIs" priority="793" operator="lessThan" aboveAverage="0" equalAverage="0" bottom="0" percent="0" rank="0" text="" dxfId="1">
      <formula>0</formula>
    </cfRule>
  </conditionalFormatting>
  <conditionalFormatting sqref="E402">
    <cfRule type="cellIs" priority="794" operator="greaterThan" aboveAverage="0" equalAverage="0" bottom="0" percent="0" rank="0" text="" dxfId="0">
      <formula>0</formula>
    </cfRule>
    <cfRule type="cellIs" priority="795" operator="lessThan" aboveAverage="0" equalAverage="0" bottom="0" percent="0" rank="0" text="" dxfId="1">
      <formula>0</formula>
    </cfRule>
  </conditionalFormatting>
  <conditionalFormatting sqref="E403">
    <cfRule type="cellIs" priority="796" operator="greaterThan" aboveAverage="0" equalAverage="0" bottom="0" percent="0" rank="0" text="" dxfId="0">
      <formula>0</formula>
    </cfRule>
    <cfRule type="cellIs" priority="797" operator="lessThan" aboveAverage="0" equalAverage="0" bottom="0" percent="0" rank="0" text="" dxfId="1">
      <formula>0</formula>
    </cfRule>
  </conditionalFormatting>
  <conditionalFormatting sqref="E404">
    <cfRule type="cellIs" priority="798" operator="greaterThan" aboveAverage="0" equalAverage="0" bottom="0" percent="0" rank="0" text="" dxfId="0">
      <formula>0</formula>
    </cfRule>
    <cfRule type="cellIs" priority="799" operator="lessThan" aboveAverage="0" equalAverage="0" bottom="0" percent="0" rank="0" text="" dxfId="1">
      <formula>0</formula>
    </cfRule>
  </conditionalFormatting>
  <conditionalFormatting sqref="E405">
    <cfRule type="cellIs" priority="800" operator="greaterThan" aboveAverage="0" equalAverage="0" bottom="0" percent="0" rank="0" text="" dxfId="0">
      <formula>0</formula>
    </cfRule>
    <cfRule type="cellIs" priority="801" operator="lessThan" aboveAverage="0" equalAverage="0" bottom="0" percent="0" rank="0" text="" dxfId="1">
      <formula>0</formula>
    </cfRule>
  </conditionalFormatting>
  <conditionalFormatting sqref="E406">
    <cfRule type="cellIs" priority="802" operator="greaterThan" aboveAverage="0" equalAverage="0" bottom="0" percent="0" rank="0" text="" dxfId="0">
      <formula>0</formula>
    </cfRule>
    <cfRule type="cellIs" priority="803" operator="lessThan" aboveAverage="0" equalAverage="0" bottom="0" percent="0" rank="0" text="" dxfId="1">
      <formula>0</formula>
    </cfRule>
  </conditionalFormatting>
  <conditionalFormatting sqref="E407">
    <cfRule type="cellIs" priority="804" operator="greaterThan" aboveAverage="0" equalAverage="0" bottom="0" percent="0" rank="0" text="" dxfId="0">
      <formula>0</formula>
    </cfRule>
    <cfRule type="cellIs" priority="805" operator="lessThan" aboveAverage="0" equalAverage="0" bottom="0" percent="0" rank="0" text="" dxfId="1">
      <formula>0</formula>
    </cfRule>
  </conditionalFormatting>
  <conditionalFormatting sqref="E408">
    <cfRule type="cellIs" priority="806" operator="greaterThan" aboveAverage="0" equalAverage="0" bottom="0" percent="0" rank="0" text="" dxfId="0">
      <formula>0</formula>
    </cfRule>
    <cfRule type="cellIs" priority="807" operator="lessThan" aboveAverage="0" equalAverage="0" bottom="0" percent="0" rank="0" text="" dxfId="1">
      <formula>0</formula>
    </cfRule>
  </conditionalFormatting>
  <conditionalFormatting sqref="E409">
    <cfRule type="cellIs" priority="808" operator="greaterThan" aboveAverage="0" equalAverage="0" bottom="0" percent="0" rank="0" text="" dxfId="0">
      <formula>0</formula>
    </cfRule>
    <cfRule type="cellIs" priority="809" operator="lessThan" aboveAverage="0" equalAverage="0" bottom="0" percent="0" rank="0" text="" dxfId="1">
      <formula>0</formula>
    </cfRule>
  </conditionalFormatting>
  <conditionalFormatting sqref="E410">
    <cfRule type="cellIs" priority="810" operator="greaterThan" aboveAverage="0" equalAverage="0" bottom="0" percent="0" rank="0" text="" dxfId="0">
      <formula>0</formula>
    </cfRule>
    <cfRule type="cellIs" priority="811" operator="lessThan" aboveAverage="0" equalAverage="0" bottom="0" percent="0" rank="0" text="" dxfId="1">
      <formula>0</formula>
    </cfRule>
  </conditionalFormatting>
  <conditionalFormatting sqref="E411">
    <cfRule type="cellIs" priority="812" operator="greaterThan" aboveAverage="0" equalAverage="0" bottom="0" percent="0" rank="0" text="" dxfId="0">
      <formula>0</formula>
    </cfRule>
    <cfRule type="cellIs" priority="813" operator="lessThan" aboveAverage="0" equalAverage="0" bottom="0" percent="0" rank="0" text="" dxfId="1">
      <formula>0</formula>
    </cfRule>
  </conditionalFormatting>
  <conditionalFormatting sqref="E412">
    <cfRule type="cellIs" priority="814" operator="greaterThan" aboveAverage="0" equalAverage="0" bottom="0" percent="0" rank="0" text="" dxfId="0">
      <formula>0</formula>
    </cfRule>
    <cfRule type="cellIs" priority="815" operator="lessThan" aboveAverage="0" equalAverage="0" bottom="0" percent="0" rank="0" text="" dxfId="1">
      <formula>0</formula>
    </cfRule>
  </conditionalFormatting>
  <conditionalFormatting sqref="E413">
    <cfRule type="cellIs" priority="816" operator="greaterThan" aboveAverage="0" equalAverage="0" bottom="0" percent="0" rank="0" text="" dxfId="0">
      <formula>0</formula>
    </cfRule>
    <cfRule type="cellIs" priority="817" operator="lessThan" aboveAverage="0" equalAverage="0" bottom="0" percent="0" rank="0" text="" dxfId="1">
      <formula>0</formula>
    </cfRule>
  </conditionalFormatting>
  <conditionalFormatting sqref="E414">
    <cfRule type="cellIs" priority="818" operator="greaterThan" aboveAverage="0" equalAverage="0" bottom="0" percent="0" rank="0" text="" dxfId="0">
      <formula>0</formula>
    </cfRule>
    <cfRule type="cellIs" priority="819" operator="lessThan" aboveAverage="0" equalAverage="0" bottom="0" percent="0" rank="0" text="" dxfId="1">
      <formula>0</formula>
    </cfRule>
  </conditionalFormatting>
  <conditionalFormatting sqref="E415">
    <cfRule type="cellIs" priority="820" operator="greaterThan" aboveAverage="0" equalAverage="0" bottom="0" percent="0" rank="0" text="" dxfId="0">
      <formula>0</formula>
    </cfRule>
    <cfRule type="cellIs" priority="821" operator="lessThan" aboveAverage="0" equalAverage="0" bottom="0" percent="0" rank="0" text="" dxfId="1">
      <formula>0</formula>
    </cfRule>
  </conditionalFormatting>
  <conditionalFormatting sqref="E416">
    <cfRule type="cellIs" priority="822" operator="greaterThan" aboveAverage="0" equalAverage="0" bottom="0" percent="0" rank="0" text="" dxfId="0">
      <formula>0</formula>
    </cfRule>
    <cfRule type="cellIs" priority="823" operator="lessThan" aboveAverage="0" equalAverage="0" bottom="0" percent="0" rank="0" text="" dxfId="1">
      <formula>0</formula>
    </cfRule>
  </conditionalFormatting>
  <conditionalFormatting sqref="E417">
    <cfRule type="cellIs" priority="824" operator="greaterThan" aboveAverage="0" equalAverage="0" bottom="0" percent="0" rank="0" text="" dxfId="0">
      <formula>0</formula>
    </cfRule>
    <cfRule type="cellIs" priority="825" operator="lessThan" aboveAverage="0" equalAverage="0" bottom="0" percent="0" rank="0" text="" dxfId="1">
      <formula>0</formula>
    </cfRule>
  </conditionalFormatting>
  <conditionalFormatting sqref="E418">
    <cfRule type="cellIs" priority="826" operator="greaterThan" aboveAverage="0" equalAverage="0" bottom="0" percent="0" rank="0" text="" dxfId="0">
      <formula>0</formula>
    </cfRule>
    <cfRule type="cellIs" priority="827" operator="lessThan" aboveAverage="0" equalAverage="0" bottom="0" percent="0" rank="0" text="" dxfId="1">
      <formula>0</formula>
    </cfRule>
  </conditionalFormatting>
  <conditionalFormatting sqref="E419">
    <cfRule type="cellIs" priority="828" operator="greaterThan" aboveAverage="0" equalAverage="0" bottom="0" percent="0" rank="0" text="" dxfId="0">
      <formula>0</formula>
    </cfRule>
    <cfRule type="cellIs" priority="829" operator="lessThan" aboveAverage="0" equalAverage="0" bottom="0" percent="0" rank="0" text="" dxfId="1">
      <formula>0</formula>
    </cfRule>
  </conditionalFormatting>
  <conditionalFormatting sqref="E420">
    <cfRule type="cellIs" priority="830" operator="greaterThan" aboveAverage="0" equalAverage="0" bottom="0" percent="0" rank="0" text="" dxfId="0">
      <formula>0</formula>
    </cfRule>
    <cfRule type="cellIs" priority="831" operator="lessThan" aboveAverage="0" equalAverage="0" bottom="0" percent="0" rank="0" text="" dxfId="1">
      <formula>0</formula>
    </cfRule>
  </conditionalFormatting>
  <conditionalFormatting sqref="E421">
    <cfRule type="cellIs" priority="832" operator="greaterThan" aboveAverage="0" equalAverage="0" bottom="0" percent="0" rank="0" text="" dxfId="0">
      <formula>0</formula>
    </cfRule>
    <cfRule type="cellIs" priority="833" operator="lessThan" aboveAverage="0" equalAverage="0" bottom="0" percent="0" rank="0" text="" dxfId="1">
      <formula>0</formula>
    </cfRule>
  </conditionalFormatting>
  <conditionalFormatting sqref="E422">
    <cfRule type="cellIs" priority="834" operator="greaterThan" aboveAverage="0" equalAverage="0" bottom="0" percent="0" rank="0" text="" dxfId="0">
      <formula>0</formula>
    </cfRule>
    <cfRule type="cellIs" priority="835" operator="lessThan" aboveAverage="0" equalAverage="0" bottom="0" percent="0" rank="0" text="" dxfId="1">
      <formula>0</formula>
    </cfRule>
  </conditionalFormatting>
  <conditionalFormatting sqref="E423">
    <cfRule type="cellIs" priority="836" operator="greaterThan" aboveAverage="0" equalAverage="0" bottom="0" percent="0" rank="0" text="" dxfId="0">
      <formula>0</formula>
    </cfRule>
    <cfRule type="cellIs" priority="837" operator="lessThan" aboveAverage="0" equalAverage="0" bottom="0" percent="0" rank="0" text="" dxfId="1">
      <formula>0</formula>
    </cfRule>
  </conditionalFormatting>
  <conditionalFormatting sqref="E424">
    <cfRule type="cellIs" priority="838" operator="greaterThan" aboveAverage="0" equalAverage="0" bottom="0" percent="0" rank="0" text="" dxfId="0">
      <formula>0</formula>
    </cfRule>
    <cfRule type="cellIs" priority="839" operator="lessThan" aboveAverage="0" equalAverage="0" bottom="0" percent="0" rank="0" text="" dxfId="1">
      <formula>0</formula>
    </cfRule>
  </conditionalFormatting>
  <conditionalFormatting sqref="E425">
    <cfRule type="cellIs" priority="840" operator="greaterThan" aboveAverage="0" equalAverage="0" bottom="0" percent="0" rank="0" text="" dxfId="0">
      <formula>0</formula>
    </cfRule>
    <cfRule type="cellIs" priority="841" operator="lessThan" aboveAverage="0" equalAverage="0" bottom="0" percent="0" rank="0" text="" dxfId="1">
      <formula>0</formula>
    </cfRule>
  </conditionalFormatting>
  <conditionalFormatting sqref="E426">
    <cfRule type="cellIs" priority="842" operator="greaterThan" aboveAverage="0" equalAverage="0" bottom="0" percent="0" rank="0" text="" dxfId="0">
      <formula>0</formula>
    </cfRule>
    <cfRule type="cellIs" priority="843" operator="lessThan" aboveAverage="0" equalAverage="0" bottom="0" percent="0" rank="0" text="" dxfId="1">
      <formula>0</formula>
    </cfRule>
  </conditionalFormatting>
  <conditionalFormatting sqref="E427">
    <cfRule type="cellIs" priority="844" operator="greaterThan" aboveAverage="0" equalAverage="0" bottom="0" percent="0" rank="0" text="" dxfId="0">
      <formula>0</formula>
    </cfRule>
    <cfRule type="cellIs" priority="845" operator="lessThan" aboveAverage="0" equalAverage="0" bottom="0" percent="0" rank="0" text="" dxfId="1">
      <formula>0</formula>
    </cfRule>
  </conditionalFormatting>
  <conditionalFormatting sqref="E428">
    <cfRule type="cellIs" priority="846" operator="greaterThan" aboveAverage="0" equalAverage="0" bottom="0" percent="0" rank="0" text="" dxfId="0">
      <formula>0</formula>
    </cfRule>
    <cfRule type="cellIs" priority="847" operator="lessThan" aboveAverage="0" equalAverage="0" bottom="0" percent="0" rank="0" text="" dxfId="1">
      <formula>0</formula>
    </cfRule>
  </conditionalFormatting>
  <conditionalFormatting sqref="E429">
    <cfRule type="cellIs" priority="848" operator="greaterThan" aboveAverage="0" equalAverage="0" bottom="0" percent="0" rank="0" text="" dxfId="0">
      <formula>0</formula>
    </cfRule>
    <cfRule type="cellIs" priority="849" operator="lessThan" aboveAverage="0" equalAverage="0" bottom="0" percent="0" rank="0" text="" dxfId="1">
      <formula>0</formula>
    </cfRule>
  </conditionalFormatting>
  <conditionalFormatting sqref="E430">
    <cfRule type="cellIs" priority="850" operator="greaterThan" aboveAverage="0" equalAverage="0" bottom="0" percent="0" rank="0" text="" dxfId="0">
      <formula>0</formula>
    </cfRule>
    <cfRule type="cellIs" priority="851" operator="lessThan" aboveAverage="0" equalAverage="0" bottom="0" percent="0" rank="0" text="" dxfId="1">
      <formula>0</formula>
    </cfRule>
  </conditionalFormatting>
  <conditionalFormatting sqref="E431">
    <cfRule type="cellIs" priority="852" operator="greaterThan" aboveAverage="0" equalAverage="0" bottom="0" percent="0" rank="0" text="" dxfId="0">
      <formula>0</formula>
    </cfRule>
    <cfRule type="cellIs" priority="853" operator="lessThan" aboveAverage="0" equalAverage="0" bottom="0" percent="0" rank="0" text="" dxfId="1">
      <formula>0</formula>
    </cfRule>
  </conditionalFormatting>
  <conditionalFormatting sqref="E432">
    <cfRule type="cellIs" priority="854" operator="greaterThan" aboveAverage="0" equalAverage="0" bottom="0" percent="0" rank="0" text="" dxfId="0">
      <formula>0</formula>
    </cfRule>
    <cfRule type="cellIs" priority="855" operator="lessThan" aboveAverage="0" equalAverage="0" bottom="0" percent="0" rank="0" text="" dxfId="1">
      <formula>0</formula>
    </cfRule>
  </conditionalFormatting>
  <conditionalFormatting sqref="E433">
    <cfRule type="cellIs" priority="856" operator="greaterThan" aboveAverage="0" equalAverage="0" bottom="0" percent="0" rank="0" text="" dxfId="0">
      <formula>0</formula>
    </cfRule>
    <cfRule type="cellIs" priority="857" operator="lessThan" aboveAverage="0" equalAverage="0" bottom="0" percent="0" rank="0" text="" dxfId="1">
      <formula>0</formula>
    </cfRule>
  </conditionalFormatting>
  <conditionalFormatting sqref="E434">
    <cfRule type="cellIs" priority="858" operator="greaterThan" aboveAverage="0" equalAverage="0" bottom="0" percent="0" rank="0" text="" dxfId="0">
      <formula>0</formula>
    </cfRule>
    <cfRule type="cellIs" priority="859" operator="lessThan" aboveAverage="0" equalAverage="0" bottom="0" percent="0" rank="0" text="" dxfId="1">
      <formula>0</formula>
    </cfRule>
  </conditionalFormatting>
  <conditionalFormatting sqref="E435">
    <cfRule type="cellIs" priority="860" operator="greaterThan" aboveAverage="0" equalAverage="0" bottom="0" percent="0" rank="0" text="" dxfId="0">
      <formula>0</formula>
    </cfRule>
    <cfRule type="cellIs" priority="861" operator="lessThan" aboveAverage="0" equalAverage="0" bottom="0" percent="0" rank="0" text="" dxfId="1">
      <formula>0</formula>
    </cfRule>
  </conditionalFormatting>
  <conditionalFormatting sqref="E436">
    <cfRule type="cellIs" priority="862" operator="greaterThan" aboveAverage="0" equalAverage="0" bottom="0" percent="0" rank="0" text="" dxfId="0">
      <formula>0</formula>
    </cfRule>
    <cfRule type="cellIs" priority="863" operator="lessThan" aboveAverage="0" equalAverage="0" bottom="0" percent="0" rank="0" text="" dxfId="1">
      <formula>0</formula>
    </cfRule>
  </conditionalFormatting>
  <conditionalFormatting sqref="E437">
    <cfRule type="cellIs" priority="864" operator="greaterThan" aboveAverage="0" equalAverage="0" bottom="0" percent="0" rank="0" text="" dxfId="0">
      <formula>0</formula>
    </cfRule>
    <cfRule type="cellIs" priority="865" operator="lessThan" aboveAverage="0" equalAverage="0" bottom="0" percent="0" rank="0" text="" dxfId="1">
      <formula>0</formula>
    </cfRule>
  </conditionalFormatting>
  <conditionalFormatting sqref="E438">
    <cfRule type="cellIs" priority="866" operator="greaterThan" aboveAverage="0" equalAverage="0" bottom="0" percent="0" rank="0" text="" dxfId="0">
      <formula>0</formula>
    </cfRule>
    <cfRule type="cellIs" priority="867" operator="lessThan" aboveAverage="0" equalAverage="0" bottom="0" percent="0" rank="0" text="" dxfId="1">
      <formula>0</formula>
    </cfRule>
  </conditionalFormatting>
  <conditionalFormatting sqref="E439">
    <cfRule type="cellIs" priority="868" operator="greaterThan" aboveAverage="0" equalAverage="0" bottom="0" percent="0" rank="0" text="" dxfId="0">
      <formula>0</formula>
    </cfRule>
    <cfRule type="cellIs" priority="869" operator="lessThan" aboveAverage="0" equalAverage="0" bottom="0" percent="0" rank="0" text="" dxfId="1">
      <formula>0</formula>
    </cfRule>
  </conditionalFormatting>
  <conditionalFormatting sqref="E440">
    <cfRule type="cellIs" priority="870" operator="greaterThan" aboveAverage="0" equalAverage="0" bottom="0" percent="0" rank="0" text="" dxfId="0">
      <formula>0</formula>
    </cfRule>
    <cfRule type="cellIs" priority="871" operator="lessThan" aboveAverage="0" equalAverage="0" bottom="0" percent="0" rank="0" text="" dxfId="1">
      <formula>0</formula>
    </cfRule>
  </conditionalFormatting>
  <conditionalFormatting sqref="E441">
    <cfRule type="cellIs" priority="872" operator="greaterThan" aboveAverage="0" equalAverage="0" bottom="0" percent="0" rank="0" text="" dxfId="0">
      <formula>0</formula>
    </cfRule>
    <cfRule type="cellIs" priority="873" operator="lessThan" aboveAverage="0" equalAverage="0" bottom="0" percent="0" rank="0" text="" dxfId="1">
      <formula>0</formula>
    </cfRule>
  </conditionalFormatting>
  <conditionalFormatting sqref="E442">
    <cfRule type="cellIs" priority="874" operator="greaterThan" aboveAverage="0" equalAverage="0" bottom="0" percent="0" rank="0" text="" dxfId="0">
      <formula>0</formula>
    </cfRule>
    <cfRule type="cellIs" priority="875" operator="lessThan" aboveAverage="0" equalAverage="0" bottom="0" percent="0" rank="0" text="" dxfId="1">
      <formula>0</formula>
    </cfRule>
  </conditionalFormatting>
  <conditionalFormatting sqref="E443">
    <cfRule type="cellIs" priority="876" operator="greaterThan" aboveAverage="0" equalAverage="0" bottom="0" percent="0" rank="0" text="" dxfId="0">
      <formula>0</formula>
    </cfRule>
    <cfRule type="cellIs" priority="877" operator="lessThan" aboveAverage="0" equalAverage="0" bottom="0" percent="0" rank="0" text="" dxfId="1">
      <formula>0</formula>
    </cfRule>
  </conditionalFormatting>
  <conditionalFormatting sqref="E444">
    <cfRule type="cellIs" priority="878" operator="greaterThan" aboveAverage="0" equalAverage="0" bottom="0" percent="0" rank="0" text="" dxfId="0">
      <formula>0</formula>
    </cfRule>
    <cfRule type="cellIs" priority="879" operator="lessThan" aboveAverage="0" equalAverage="0" bottom="0" percent="0" rank="0" text="" dxfId="1">
      <formula>0</formula>
    </cfRule>
  </conditionalFormatting>
  <conditionalFormatting sqref="E445">
    <cfRule type="cellIs" priority="880" operator="greaterThan" aboveAverage="0" equalAverage="0" bottom="0" percent="0" rank="0" text="" dxfId="0">
      <formula>0</formula>
    </cfRule>
    <cfRule type="cellIs" priority="881" operator="lessThan" aboveAverage="0" equalAverage="0" bottom="0" percent="0" rank="0" text="" dxfId="1">
      <formula>0</formula>
    </cfRule>
  </conditionalFormatting>
  <conditionalFormatting sqref="E446">
    <cfRule type="cellIs" priority="882" operator="greaterThan" aboveAverage="0" equalAverage="0" bottom="0" percent="0" rank="0" text="" dxfId="0">
      <formula>0</formula>
    </cfRule>
    <cfRule type="cellIs" priority="883" operator="lessThan" aboveAverage="0" equalAverage="0" bottom="0" percent="0" rank="0" text="" dxfId="1">
      <formula>0</formula>
    </cfRule>
  </conditionalFormatting>
  <conditionalFormatting sqref="E447">
    <cfRule type="cellIs" priority="884" operator="greaterThan" aboveAverage="0" equalAverage="0" bottom="0" percent="0" rank="0" text="" dxfId="0">
      <formula>0</formula>
    </cfRule>
    <cfRule type="cellIs" priority="885" operator="lessThan" aboveAverage="0" equalAverage="0" bottom="0" percent="0" rank="0" text="" dxfId="1">
      <formula>0</formula>
    </cfRule>
  </conditionalFormatting>
  <conditionalFormatting sqref="E448">
    <cfRule type="cellIs" priority="886" operator="greaterThan" aboveAverage="0" equalAverage="0" bottom="0" percent="0" rank="0" text="" dxfId="0">
      <formula>0</formula>
    </cfRule>
    <cfRule type="cellIs" priority="887" operator="lessThan" aboveAverage="0" equalAverage="0" bottom="0" percent="0" rank="0" text="" dxfId="1">
      <formula>0</formula>
    </cfRule>
  </conditionalFormatting>
  <conditionalFormatting sqref="E449">
    <cfRule type="cellIs" priority="888" operator="greaterThan" aboveAverage="0" equalAverage="0" bottom="0" percent="0" rank="0" text="" dxfId="0">
      <formula>0</formula>
    </cfRule>
    <cfRule type="cellIs" priority="889" operator="lessThan" aboveAverage="0" equalAverage="0" bottom="0" percent="0" rank="0" text="" dxfId="1">
      <formula>0</formula>
    </cfRule>
  </conditionalFormatting>
  <conditionalFormatting sqref="E450">
    <cfRule type="cellIs" priority="890" operator="greaterThan" aboveAverage="0" equalAverage="0" bottom="0" percent="0" rank="0" text="" dxfId="0">
      <formula>0</formula>
    </cfRule>
    <cfRule type="cellIs" priority="891" operator="lessThan" aboveAverage="0" equalAverage="0" bottom="0" percent="0" rank="0" text="" dxfId="1">
      <formula>0</formula>
    </cfRule>
  </conditionalFormatting>
  <conditionalFormatting sqref="E451">
    <cfRule type="cellIs" priority="892" operator="greaterThan" aboveAverage="0" equalAverage="0" bottom="0" percent="0" rank="0" text="" dxfId="0">
      <formula>0</formula>
    </cfRule>
    <cfRule type="cellIs" priority="893" operator="lessThan" aboveAverage="0" equalAverage="0" bottom="0" percent="0" rank="0" text="" dxfId="1">
      <formula>0</formula>
    </cfRule>
  </conditionalFormatting>
  <conditionalFormatting sqref="E452">
    <cfRule type="cellIs" priority="894" operator="greaterThan" aboveAverage="0" equalAverage="0" bottom="0" percent="0" rank="0" text="" dxfId="0">
      <formula>0</formula>
    </cfRule>
    <cfRule type="cellIs" priority="895" operator="lessThan" aboveAverage="0" equalAverage="0" bottom="0" percent="0" rank="0" text="" dxfId="1">
      <formula>0</formula>
    </cfRule>
  </conditionalFormatting>
  <conditionalFormatting sqref="E453">
    <cfRule type="cellIs" priority="896" operator="greaterThan" aboveAverage="0" equalAverage="0" bottom="0" percent="0" rank="0" text="" dxfId="0">
      <formula>0</formula>
    </cfRule>
    <cfRule type="cellIs" priority="897" operator="lessThan" aboveAverage="0" equalAverage="0" bottom="0" percent="0" rank="0" text="" dxfId="1">
      <formula>0</formula>
    </cfRule>
  </conditionalFormatting>
  <conditionalFormatting sqref="E454">
    <cfRule type="cellIs" priority="898" operator="greaterThan" aboveAverage="0" equalAverage="0" bottom="0" percent="0" rank="0" text="" dxfId="0">
      <formula>0</formula>
    </cfRule>
    <cfRule type="cellIs" priority="899" operator="lessThan" aboveAverage="0" equalAverage="0" bottom="0" percent="0" rank="0" text="" dxfId="1">
      <formula>0</formula>
    </cfRule>
  </conditionalFormatting>
  <conditionalFormatting sqref="E455">
    <cfRule type="cellIs" priority="900" operator="greaterThan" aboveAverage="0" equalAverage="0" bottom="0" percent="0" rank="0" text="" dxfId="0">
      <formula>0</formula>
    </cfRule>
    <cfRule type="cellIs" priority="901" operator="lessThan" aboveAverage="0" equalAverage="0" bottom="0" percent="0" rank="0" text="" dxfId="1">
      <formula>0</formula>
    </cfRule>
  </conditionalFormatting>
  <conditionalFormatting sqref="E456">
    <cfRule type="cellIs" priority="902" operator="greaterThan" aboveAverage="0" equalAverage="0" bottom="0" percent="0" rank="0" text="" dxfId="0">
      <formula>0</formula>
    </cfRule>
    <cfRule type="cellIs" priority="903" operator="lessThan" aboveAverage="0" equalAverage="0" bottom="0" percent="0" rank="0" text="" dxfId="1">
      <formula>0</formula>
    </cfRule>
  </conditionalFormatting>
  <conditionalFormatting sqref="E457">
    <cfRule type="cellIs" priority="904" operator="greaterThan" aboveAverage="0" equalAverage="0" bottom="0" percent="0" rank="0" text="" dxfId="0">
      <formula>0</formula>
    </cfRule>
    <cfRule type="cellIs" priority="905" operator="lessThan" aboveAverage="0" equalAverage="0" bottom="0" percent="0" rank="0" text="" dxfId="1">
      <formula>0</formula>
    </cfRule>
  </conditionalFormatting>
  <conditionalFormatting sqref="E458">
    <cfRule type="cellIs" priority="906" operator="greaterThan" aboveAverage="0" equalAverage="0" bottom="0" percent="0" rank="0" text="" dxfId="0">
      <formula>0</formula>
    </cfRule>
    <cfRule type="cellIs" priority="907" operator="lessThan" aboveAverage="0" equalAverage="0" bottom="0" percent="0" rank="0" text="" dxfId="1">
      <formula>0</formula>
    </cfRule>
  </conditionalFormatting>
  <conditionalFormatting sqref="E459">
    <cfRule type="cellIs" priority="908" operator="greaterThan" aboveAverage="0" equalAverage="0" bottom="0" percent="0" rank="0" text="" dxfId="0">
      <formula>0</formula>
    </cfRule>
    <cfRule type="cellIs" priority="909" operator="lessThan" aboveAverage="0" equalAverage="0" bottom="0" percent="0" rank="0" text="" dxfId="1">
      <formula>0</formula>
    </cfRule>
  </conditionalFormatting>
  <conditionalFormatting sqref="E460">
    <cfRule type="cellIs" priority="910" operator="greaterThan" aboveAverage="0" equalAverage="0" bottom="0" percent="0" rank="0" text="" dxfId="0">
      <formula>0</formula>
    </cfRule>
    <cfRule type="cellIs" priority="911" operator="lessThan" aboveAverage="0" equalAverage="0" bottom="0" percent="0" rank="0" text="" dxfId="1">
      <formula>0</formula>
    </cfRule>
  </conditionalFormatting>
  <conditionalFormatting sqref="E461">
    <cfRule type="cellIs" priority="912" operator="greaterThan" aboveAverage="0" equalAverage="0" bottom="0" percent="0" rank="0" text="" dxfId="0">
      <formula>0</formula>
    </cfRule>
    <cfRule type="cellIs" priority="913" operator="lessThan" aboveAverage="0" equalAverage="0" bottom="0" percent="0" rank="0" text="" dxfId="1">
      <formula>0</formula>
    </cfRule>
  </conditionalFormatting>
  <conditionalFormatting sqref="E462">
    <cfRule type="cellIs" priority="914" operator="greaterThan" aboveAverage="0" equalAverage="0" bottom="0" percent="0" rank="0" text="" dxfId="0">
      <formula>0</formula>
    </cfRule>
    <cfRule type="cellIs" priority="915" operator="lessThan" aboveAverage="0" equalAverage="0" bottom="0" percent="0" rank="0" text="" dxfId="1">
      <formula>0</formula>
    </cfRule>
  </conditionalFormatting>
  <conditionalFormatting sqref="E463">
    <cfRule type="cellIs" priority="916" operator="greaterThan" aboveAverage="0" equalAverage="0" bottom="0" percent="0" rank="0" text="" dxfId="0">
      <formula>0</formula>
    </cfRule>
    <cfRule type="cellIs" priority="917" operator="lessThan" aboveAverage="0" equalAverage="0" bottom="0" percent="0" rank="0" text="" dxfId="1">
      <formula>0</formula>
    </cfRule>
  </conditionalFormatting>
  <conditionalFormatting sqref="E464">
    <cfRule type="cellIs" priority="918" operator="greaterThan" aboveAverage="0" equalAverage="0" bottom="0" percent="0" rank="0" text="" dxfId="0">
      <formula>0</formula>
    </cfRule>
    <cfRule type="cellIs" priority="919" operator="lessThan" aboveAverage="0" equalAverage="0" bottom="0" percent="0" rank="0" text="" dxfId="1">
      <formula>0</formula>
    </cfRule>
  </conditionalFormatting>
  <conditionalFormatting sqref="E465">
    <cfRule type="cellIs" priority="920" operator="greaterThan" aboveAverage="0" equalAverage="0" bottom="0" percent="0" rank="0" text="" dxfId="0">
      <formula>0</formula>
    </cfRule>
    <cfRule type="cellIs" priority="921" operator="lessThan" aboveAverage="0" equalAverage="0" bottom="0" percent="0" rank="0" text="" dxfId="1">
      <formula>0</formula>
    </cfRule>
  </conditionalFormatting>
  <conditionalFormatting sqref="E466">
    <cfRule type="cellIs" priority="922" operator="greaterThan" aboveAverage="0" equalAverage="0" bottom="0" percent="0" rank="0" text="" dxfId="0">
      <formula>0</formula>
    </cfRule>
    <cfRule type="cellIs" priority="923" operator="lessThan" aboveAverage="0" equalAverage="0" bottom="0" percent="0" rank="0" text="" dxfId="1">
      <formula>0</formula>
    </cfRule>
  </conditionalFormatting>
  <conditionalFormatting sqref="E467">
    <cfRule type="cellIs" priority="924" operator="greaterThan" aboveAverage="0" equalAverage="0" bottom="0" percent="0" rank="0" text="" dxfId="0">
      <formula>0</formula>
    </cfRule>
    <cfRule type="cellIs" priority="925" operator="lessThan" aboveAverage="0" equalAverage="0" bottom="0" percent="0" rank="0" text="" dxfId="1">
      <formula>0</formula>
    </cfRule>
  </conditionalFormatting>
  <conditionalFormatting sqref="E468">
    <cfRule type="cellIs" priority="926" operator="greaterThan" aboveAverage="0" equalAverage="0" bottom="0" percent="0" rank="0" text="" dxfId="0">
      <formula>0</formula>
    </cfRule>
    <cfRule type="cellIs" priority="927" operator="lessThan" aboveAverage="0" equalAverage="0" bottom="0" percent="0" rank="0" text="" dxfId="1">
      <formula>0</formula>
    </cfRule>
  </conditionalFormatting>
  <conditionalFormatting sqref="E469">
    <cfRule type="cellIs" priority="928" operator="greaterThan" aboveAverage="0" equalAverage="0" bottom="0" percent="0" rank="0" text="" dxfId="0">
      <formula>0</formula>
    </cfRule>
    <cfRule type="cellIs" priority="929" operator="lessThan" aboveAverage="0" equalAverage="0" bottom="0" percent="0" rank="0" text="" dxfId="1">
      <formula>0</formula>
    </cfRule>
  </conditionalFormatting>
  <conditionalFormatting sqref="E470">
    <cfRule type="cellIs" priority="930" operator="greaterThan" aboveAverage="0" equalAverage="0" bottom="0" percent="0" rank="0" text="" dxfId="0">
      <formula>0</formula>
    </cfRule>
    <cfRule type="cellIs" priority="931" operator="lessThan" aboveAverage="0" equalAverage="0" bottom="0" percent="0" rank="0" text="" dxfId="1">
      <formula>0</formula>
    </cfRule>
  </conditionalFormatting>
  <conditionalFormatting sqref="E471">
    <cfRule type="cellIs" priority="932" operator="greaterThan" aboveAverage="0" equalAverage="0" bottom="0" percent="0" rank="0" text="" dxfId="0">
      <formula>0</formula>
    </cfRule>
    <cfRule type="cellIs" priority="933" operator="lessThan" aboveAverage="0" equalAverage="0" bottom="0" percent="0" rank="0" text="" dxfId="1">
      <formula>0</formula>
    </cfRule>
  </conditionalFormatting>
  <conditionalFormatting sqref="E472">
    <cfRule type="cellIs" priority="934" operator="greaterThan" aboveAverage="0" equalAverage="0" bottom="0" percent="0" rank="0" text="" dxfId="0">
      <formula>0</formula>
    </cfRule>
    <cfRule type="cellIs" priority="935" operator="lessThan" aboveAverage="0" equalAverage="0" bottom="0" percent="0" rank="0" text="" dxfId="1">
      <formula>0</formula>
    </cfRule>
  </conditionalFormatting>
  <conditionalFormatting sqref="E473">
    <cfRule type="cellIs" priority="936" operator="greaterThan" aboveAverage="0" equalAverage="0" bottom="0" percent="0" rank="0" text="" dxfId="0">
      <formula>0</formula>
    </cfRule>
    <cfRule type="cellIs" priority="937" operator="lessThan" aboveAverage="0" equalAverage="0" bottom="0" percent="0" rank="0" text="" dxfId="1">
      <formula>0</formula>
    </cfRule>
  </conditionalFormatting>
  <conditionalFormatting sqref="E474">
    <cfRule type="cellIs" priority="938" operator="greaterThan" aboveAverage="0" equalAverage="0" bottom="0" percent="0" rank="0" text="" dxfId="0">
      <formula>0</formula>
    </cfRule>
    <cfRule type="cellIs" priority="939" operator="lessThan" aboveAverage="0" equalAverage="0" bottom="0" percent="0" rank="0" text="" dxfId="1">
      <formula>0</formula>
    </cfRule>
  </conditionalFormatting>
  <conditionalFormatting sqref="E475">
    <cfRule type="cellIs" priority="940" operator="greaterThan" aboveAverage="0" equalAverage="0" bottom="0" percent="0" rank="0" text="" dxfId="0">
      <formula>0</formula>
    </cfRule>
    <cfRule type="cellIs" priority="941" operator="lessThan" aboveAverage="0" equalAverage="0" bottom="0" percent="0" rank="0" text="" dxfId="1">
      <formula>0</formula>
    </cfRule>
  </conditionalFormatting>
  <conditionalFormatting sqref="E476">
    <cfRule type="cellIs" priority="942" operator="greaterThan" aboveAverage="0" equalAverage="0" bottom="0" percent="0" rank="0" text="" dxfId="0">
      <formula>0</formula>
    </cfRule>
    <cfRule type="cellIs" priority="943" operator="lessThan" aboveAverage="0" equalAverage="0" bottom="0" percent="0" rank="0" text="" dxfId="1">
      <formula>0</formula>
    </cfRule>
  </conditionalFormatting>
  <conditionalFormatting sqref="E477">
    <cfRule type="cellIs" priority="944" operator="greaterThan" aboveAverage="0" equalAverage="0" bottom="0" percent="0" rank="0" text="" dxfId="0">
      <formula>0</formula>
    </cfRule>
    <cfRule type="cellIs" priority="945" operator="lessThan" aboveAverage="0" equalAverage="0" bottom="0" percent="0" rank="0" text="" dxfId="1">
      <formula>0</formula>
    </cfRule>
  </conditionalFormatting>
  <conditionalFormatting sqref="E478">
    <cfRule type="cellIs" priority="946" operator="greaterThan" aboveAverage="0" equalAverage="0" bottom="0" percent="0" rank="0" text="" dxfId="0">
      <formula>0</formula>
    </cfRule>
    <cfRule type="cellIs" priority="947" operator="lessThan" aboveAverage="0" equalAverage="0" bottom="0" percent="0" rank="0" text="" dxfId="1">
      <formula>0</formula>
    </cfRule>
  </conditionalFormatting>
  <conditionalFormatting sqref="E479">
    <cfRule type="cellIs" priority="948" operator="greaterThan" aboveAverage="0" equalAverage="0" bottom="0" percent="0" rank="0" text="" dxfId="0">
      <formula>0</formula>
    </cfRule>
    <cfRule type="cellIs" priority="949" operator="lessThan" aboveAverage="0" equalAverage="0" bottom="0" percent="0" rank="0" text="" dxfId="1">
      <formula>0</formula>
    </cfRule>
  </conditionalFormatting>
  <conditionalFormatting sqref="E480">
    <cfRule type="cellIs" priority="950" operator="greaterThan" aboveAverage="0" equalAverage="0" bottom="0" percent="0" rank="0" text="" dxfId="0">
      <formula>0</formula>
    </cfRule>
    <cfRule type="cellIs" priority="951" operator="lessThan" aboveAverage="0" equalAverage="0" bottom="0" percent="0" rank="0" text="" dxfId="1">
      <formula>0</formula>
    </cfRule>
  </conditionalFormatting>
  <conditionalFormatting sqref="E481">
    <cfRule type="cellIs" priority="952" operator="greaterThan" aboveAverage="0" equalAverage="0" bottom="0" percent="0" rank="0" text="" dxfId="0">
      <formula>0</formula>
    </cfRule>
    <cfRule type="cellIs" priority="953" operator="lessThan" aboveAverage="0" equalAverage="0" bottom="0" percent="0" rank="0" text="" dxfId="1">
      <formula>0</formula>
    </cfRule>
  </conditionalFormatting>
  <conditionalFormatting sqref="E482">
    <cfRule type="cellIs" priority="954" operator="greaterThan" aboveAverage="0" equalAverage="0" bottom="0" percent="0" rank="0" text="" dxfId="0">
      <formula>0</formula>
    </cfRule>
    <cfRule type="cellIs" priority="955" operator="lessThan" aboveAverage="0" equalAverage="0" bottom="0" percent="0" rank="0" text="" dxfId="1">
      <formula>0</formula>
    </cfRule>
  </conditionalFormatting>
  <conditionalFormatting sqref="E483">
    <cfRule type="cellIs" priority="956" operator="greaterThan" aboveAverage="0" equalAverage="0" bottom="0" percent="0" rank="0" text="" dxfId="0">
      <formula>0</formula>
    </cfRule>
    <cfRule type="cellIs" priority="957" operator="lessThan" aboveAverage="0" equalAverage="0" bottom="0" percent="0" rank="0" text="" dxfId="1">
      <formula>0</formula>
    </cfRule>
  </conditionalFormatting>
  <conditionalFormatting sqref="E484">
    <cfRule type="cellIs" priority="958" operator="greaterThan" aboveAverage="0" equalAverage="0" bottom="0" percent="0" rank="0" text="" dxfId="0">
      <formula>0</formula>
    </cfRule>
    <cfRule type="cellIs" priority="959" operator="lessThan" aboveAverage="0" equalAverage="0" bottom="0" percent="0" rank="0" text="" dxfId="1">
      <formula>0</formula>
    </cfRule>
  </conditionalFormatting>
  <conditionalFormatting sqref="E485">
    <cfRule type="cellIs" priority="960" operator="greaterThan" aboveAverage="0" equalAverage="0" bottom="0" percent="0" rank="0" text="" dxfId="0">
      <formula>0</formula>
    </cfRule>
    <cfRule type="cellIs" priority="961" operator="lessThan" aboveAverage="0" equalAverage="0" bottom="0" percent="0" rank="0" text="" dxfId="1">
      <formula>0</formula>
    </cfRule>
  </conditionalFormatting>
  <conditionalFormatting sqref="E486">
    <cfRule type="cellIs" priority="962" operator="greaterThan" aboveAverage="0" equalAverage="0" bottom="0" percent="0" rank="0" text="" dxfId="0">
      <formula>0</formula>
    </cfRule>
    <cfRule type="cellIs" priority="963" operator="lessThan" aboveAverage="0" equalAverage="0" bottom="0" percent="0" rank="0" text="" dxfId="1">
      <formula>0</formula>
    </cfRule>
  </conditionalFormatting>
  <conditionalFormatting sqref="E487">
    <cfRule type="cellIs" priority="964" operator="greaterThan" aboveAverage="0" equalAverage="0" bottom="0" percent="0" rank="0" text="" dxfId="0">
      <formula>0</formula>
    </cfRule>
    <cfRule type="cellIs" priority="965" operator="lessThan" aboveAverage="0" equalAverage="0" bottom="0" percent="0" rank="0" text="" dxfId="1">
      <formula>0</formula>
    </cfRule>
  </conditionalFormatting>
  <conditionalFormatting sqref="E488">
    <cfRule type="cellIs" priority="966" operator="greaterThan" aboveAverage="0" equalAverage="0" bottom="0" percent="0" rank="0" text="" dxfId="0">
      <formula>0</formula>
    </cfRule>
    <cfRule type="cellIs" priority="967" operator="lessThan" aboveAverage="0" equalAverage="0" bottom="0" percent="0" rank="0" text="" dxfId="1">
      <formula>0</formula>
    </cfRule>
  </conditionalFormatting>
  <conditionalFormatting sqref="E489">
    <cfRule type="cellIs" priority="968" operator="greaterThan" aboveAverage="0" equalAverage="0" bottom="0" percent="0" rank="0" text="" dxfId="0">
      <formula>0</formula>
    </cfRule>
    <cfRule type="cellIs" priority="969" operator="lessThan" aboveAverage="0" equalAverage="0" bottom="0" percent="0" rank="0" text="" dxfId="1">
      <formula>0</formula>
    </cfRule>
  </conditionalFormatting>
  <conditionalFormatting sqref="E490">
    <cfRule type="cellIs" priority="970" operator="greaterThan" aboveAverage="0" equalAverage="0" bottom="0" percent="0" rank="0" text="" dxfId="0">
      <formula>0</formula>
    </cfRule>
    <cfRule type="cellIs" priority="971" operator="lessThan" aboveAverage="0" equalAverage="0" bottom="0" percent="0" rank="0" text="" dxfId="1">
      <formula>0</formula>
    </cfRule>
  </conditionalFormatting>
  <conditionalFormatting sqref="E491">
    <cfRule type="cellIs" priority="972" operator="greaterThan" aboveAverage="0" equalAverage="0" bottom="0" percent="0" rank="0" text="" dxfId="0">
      <formula>0</formula>
    </cfRule>
    <cfRule type="cellIs" priority="973" operator="lessThan" aboveAverage="0" equalAverage="0" bottom="0" percent="0" rank="0" text="" dxfId="1">
      <formula>0</formula>
    </cfRule>
  </conditionalFormatting>
  <conditionalFormatting sqref="E492">
    <cfRule type="cellIs" priority="974" operator="greaterThan" aboveAverage="0" equalAverage="0" bottom="0" percent="0" rank="0" text="" dxfId="0">
      <formula>0</formula>
    </cfRule>
    <cfRule type="cellIs" priority="975" operator="lessThan" aboveAverage="0" equalAverage="0" bottom="0" percent="0" rank="0" text="" dxfId="1">
      <formula>0</formula>
    </cfRule>
  </conditionalFormatting>
  <conditionalFormatting sqref="E493">
    <cfRule type="cellIs" priority="976" operator="greaterThan" aboveAverage="0" equalAverage="0" bottom="0" percent="0" rank="0" text="" dxfId="0">
      <formula>0</formula>
    </cfRule>
    <cfRule type="cellIs" priority="977" operator="lessThan" aboveAverage="0" equalAverage="0" bottom="0" percent="0" rank="0" text="" dxfId="1">
      <formula>0</formula>
    </cfRule>
  </conditionalFormatting>
  <conditionalFormatting sqref="E494">
    <cfRule type="cellIs" priority="978" operator="greaterThan" aboveAverage="0" equalAverage="0" bottom="0" percent="0" rank="0" text="" dxfId="0">
      <formula>0</formula>
    </cfRule>
    <cfRule type="cellIs" priority="979" operator="lessThan" aboveAverage="0" equalAverage="0" bottom="0" percent="0" rank="0" text="" dxfId="1">
      <formula>0</formula>
    </cfRule>
  </conditionalFormatting>
  <conditionalFormatting sqref="E495">
    <cfRule type="cellIs" priority="980" operator="greaterThan" aboveAverage="0" equalAverage="0" bottom="0" percent="0" rank="0" text="" dxfId="0">
      <formula>0</formula>
    </cfRule>
    <cfRule type="cellIs" priority="981" operator="lessThan" aboveAverage="0" equalAverage="0" bottom="0" percent="0" rank="0" text="" dxfId="1">
      <formula>0</formula>
    </cfRule>
  </conditionalFormatting>
  <conditionalFormatting sqref="E496">
    <cfRule type="cellIs" priority="982" operator="greaterThan" aboveAverage="0" equalAverage="0" bottom="0" percent="0" rank="0" text="" dxfId="0">
      <formula>0</formula>
    </cfRule>
    <cfRule type="cellIs" priority="983" operator="lessThan" aboveAverage="0" equalAverage="0" bottom="0" percent="0" rank="0" text="" dxfId="1">
      <formula>0</formula>
    </cfRule>
  </conditionalFormatting>
  <conditionalFormatting sqref="E497">
    <cfRule type="cellIs" priority="984" operator="greaterThan" aboveAverage="0" equalAverage="0" bottom="0" percent="0" rank="0" text="" dxfId="0">
      <formula>0</formula>
    </cfRule>
    <cfRule type="cellIs" priority="985" operator="lessThan" aboveAverage="0" equalAverage="0" bottom="0" percent="0" rank="0" text="" dxfId="1">
      <formula>0</formula>
    </cfRule>
  </conditionalFormatting>
  <conditionalFormatting sqref="E498">
    <cfRule type="cellIs" priority="986" operator="greaterThan" aboveAverage="0" equalAverage="0" bottom="0" percent="0" rank="0" text="" dxfId="0">
      <formula>0</formula>
    </cfRule>
    <cfRule type="cellIs" priority="987" operator="lessThan" aboveAverage="0" equalAverage="0" bottom="0" percent="0" rank="0" text="" dxfId="1">
      <formula>0</formula>
    </cfRule>
  </conditionalFormatting>
  <conditionalFormatting sqref="E499">
    <cfRule type="cellIs" priority="988" operator="greaterThan" aboveAverage="0" equalAverage="0" bottom="0" percent="0" rank="0" text="" dxfId="0">
      <formula>0</formula>
    </cfRule>
    <cfRule type="cellIs" priority="989" operator="lessThan" aboveAverage="0" equalAverage="0" bottom="0" percent="0" rank="0" text="" dxfId="1">
      <formula>0</formula>
    </cfRule>
  </conditionalFormatting>
  <conditionalFormatting sqref="E500">
    <cfRule type="cellIs" priority="990" operator="greaterThan" aboveAverage="0" equalAverage="0" bottom="0" percent="0" rank="0" text="" dxfId="0">
      <formula>0</formula>
    </cfRule>
    <cfRule type="cellIs" priority="991" operator="lessThan" aboveAverage="0" equalAverage="0" bottom="0" percent="0" rank="0" text="" dxfId="1">
      <formula>0</formula>
    </cfRule>
  </conditionalFormatting>
  <conditionalFormatting sqref="E501">
    <cfRule type="cellIs" priority="992" operator="greaterThan" aboveAverage="0" equalAverage="0" bottom="0" percent="0" rank="0" text="" dxfId="0">
      <formula>0</formula>
    </cfRule>
    <cfRule type="cellIs" priority="993" operator="lessThan" aboveAverage="0" equalAverage="0" bottom="0" percent="0" rank="0" text="" dxfId="1">
      <formula>0</formula>
    </cfRule>
  </conditionalFormatting>
  <conditionalFormatting sqref="E502">
    <cfRule type="cellIs" priority="994" operator="greaterThan" aboveAverage="0" equalAverage="0" bottom="0" percent="0" rank="0" text="" dxfId="0">
      <formula>0</formula>
    </cfRule>
    <cfRule type="cellIs" priority="995" operator="lessThan" aboveAverage="0" equalAverage="0" bottom="0" percent="0" rank="0" text="" dxfId="1">
      <formula>0</formula>
    </cfRule>
  </conditionalFormatting>
  <conditionalFormatting sqref="E503">
    <cfRule type="cellIs" priority="996" operator="greaterThan" aboveAverage="0" equalAverage="0" bottom="0" percent="0" rank="0" text="" dxfId="0">
      <formula>0</formula>
    </cfRule>
    <cfRule type="cellIs" priority="997" operator="lessThan" aboveAverage="0" equalAverage="0" bottom="0" percent="0" rank="0" text="" dxfId="1">
      <formula>0</formula>
    </cfRule>
  </conditionalFormatting>
  <conditionalFormatting sqref="E504">
    <cfRule type="cellIs" priority="998" operator="greaterThan" aboveAverage="0" equalAverage="0" bottom="0" percent="0" rank="0" text="" dxfId="0">
      <formula>0</formula>
    </cfRule>
    <cfRule type="cellIs" priority="999" operator="lessThan" aboveAverage="0" equalAverage="0" bottom="0" percent="0" rank="0" text="" dxfId="1">
      <formula>0</formula>
    </cfRule>
  </conditionalFormatting>
  <conditionalFormatting sqref="E505">
    <cfRule type="cellIs" priority="1000" operator="greaterThan" aboveAverage="0" equalAverage="0" bottom="0" percent="0" rank="0" text="" dxfId="0">
      <formula>0</formula>
    </cfRule>
    <cfRule type="cellIs" priority="1001" operator="lessThan" aboveAverage="0" equalAverage="0" bottom="0" percent="0" rank="0" text="" dxfId="1">
      <formula>0</formula>
    </cfRule>
  </conditionalFormatting>
  <conditionalFormatting sqref="E506">
    <cfRule type="cellIs" priority="1002" operator="greaterThan" aboveAverage="0" equalAverage="0" bottom="0" percent="0" rank="0" text="" dxfId="0">
      <formula>0</formula>
    </cfRule>
    <cfRule type="cellIs" priority="1003" operator="lessThan" aboveAverage="0" equalAverage="0" bottom="0" percent="0" rank="0" text="" dxfId="1">
      <formula>0</formula>
    </cfRule>
  </conditionalFormatting>
  <conditionalFormatting sqref="E507">
    <cfRule type="cellIs" priority="1004" operator="greaterThan" aboveAverage="0" equalAverage="0" bottom="0" percent="0" rank="0" text="" dxfId="0">
      <formula>0</formula>
    </cfRule>
    <cfRule type="cellIs" priority="1005" operator="lessThan" aboveAverage="0" equalAverage="0" bottom="0" percent="0" rank="0" text="" dxfId="1">
      <formula>0</formula>
    </cfRule>
  </conditionalFormatting>
  <conditionalFormatting sqref="E508">
    <cfRule type="cellIs" priority="1006" operator="greaterThan" aboveAverage="0" equalAverage="0" bottom="0" percent="0" rank="0" text="" dxfId="0">
      <formula>0</formula>
    </cfRule>
    <cfRule type="cellIs" priority="1007" operator="lessThan" aboveAverage="0" equalAverage="0" bottom="0" percent="0" rank="0" text="" dxfId="1">
      <formula>0</formula>
    </cfRule>
  </conditionalFormatting>
  <conditionalFormatting sqref="E509">
    <cfRule type="cellIs" priority="1008" operator="greaterThan" aboveAverage="0" equalAverage="0" bottom="0" percent="0" rank="0" text="" dxfId="0">
      <formula>0</formula>
    </cfRule>
    <cfRule type="cellIs" priority="1009" operator="lessThan" aboveAverage="0" equalAverage="0" bottom="0" percent="0" rank="0" text="" dxfId="1">
      <formula>0</formula>
    </cfRule>
  </conditionalFormatting>
  <conditionalFormatting sqref="E510">
    <cfRule type="cellIs" priority="1010" operator="greaterThan" aboveAverage="0" equalAverage="0" bottom="0" percent="0" rank="0" text="" dxfId="0">
      <formula>0</formula>
    </cfRule>
    <cfRule type="cellIs" priority="1011" operator="lessThan" aboveAverage="0" equalAverage="0" bottom="0" percent="0" rank="0" text="" dxfId="1">
      <formula>0</formula>
    </cfRule>
  </conditionalFormatting>
  <conditionalFormatting sqref="E511">
    <cfRule type="cellIs" priority="1012" operator="greaterThan" aboveAverage="0" equalAverage="0" bottom="0" percent="0" rank="0" text="" dxfId="0">
      <formula>0</formula>
    </cfRule>
    <cfRule type="cellIs" priority="1013" operator="lessThan" aboveAverage="0" equalAverage="0" bottom="0" percent="0" rank="0" text="" dxfId="1">
      <formula>0</formula>
    </cfRule>
  </conditionalFormatting>
  <conditionalFormatting sqref="E512">
    <cfRule type="cellIs" priority="1014" operator="greaterThan" aboveAverage="0" equalAverage="0" bottom="0" percent="0" rank="0" text="" dxfId="0">
      <formula>0</formula>
    </cfRule>
    <cfRule type="cellIs" priority="1015" operator="lessThan" aboveAverage="0" equalAverage="0" bottom="0" percent="0" rank="0" text="" dxfId="1">
      <formula>0</formula>
    </cfRule>
  </conditionalFormatting>
  <conditionalFormatting sqref="E513">
    <cfRule type="cellIs" priority="1016" operator="greaterThan" aboveAverage="0" equalAverage="0" bottom="0" percent="0" rank="0" text="" dxfId="0">
      <formula>0</formula>
    </cfRule>
    <cfRule type="cellIs" priority="1017" operator="lessThan" aboveAverage="0" equalAverage="0" bottom="0" percent="0" rank="0" text="" dxfId="1">
      <formula>0</formula>
    </cfRule>
  </conditionalFormatting>
  <conditionalFormatting sqref="E514">
    <cfRule type="cellIs" priority="1018" operator="greaterThan" aboveAverage="0" equalAverage="0" bottom="0" percent="0" rank="0" text="" dxfId="0">
      <formula>0</formula>
    </cfRule>
    <cfRule type="cellIs" priority="1019" operator="lessThan" aboveAverage="0" equalAverage="0" bottom="0" percent="0" rank="0" text="" dxfId="1">
      <formula>0</formula>
    </cfRule>
  </conditionalFormatting>
  <conditionalFormatting sqref="E515">
    <cfRule type="cellIs" priority="1020" operator="greaterThan" aboveAverage="0" equalAverage="0" bottom="0" percent="0" rank="0" text="" dxfId="0">
      <formula>0</formula>
    </cfRule>
    <cfRule type="cellIs" priority="1021" operator="lessThan" aboveAverage="0" equalAverage="0" bottom="0" percent="0" rank="0" text="" dxfId="1">
      <formula>0</formula>
    </cfRule>
  </conditionalFormatting>
  <conditionalFormatting sqref="E516">
    <cfRule type="cellIs" priority="1022" operator="greaterThan" aboveAverage="0" equalAverage="0" bottom="0" percent="0" rank="0" text="" dxfId="0">
      <formula>0</formula>
    </cfRule>
    <cfRule type="cellIs" priority="1023" operator="lessThan" aboveAverage="0" equalAverage="0" bottom="0" percent="0" rank="0" text="" dxfId="1">
      <formula>0</formula>
    </cfRule>
  </conditionalFormatting>
  <conditionalFormatting sqref="E517">
    <cfRule type="cellIs" priority="1024" operator="greaterThan" aboveAverage="0" equalAverage="0" bottom="0" percent="0" rank="0" text="" dxfId="0">
      <formula>0</formula>
    </cfRule>
    <cfRule type="cellIs" priority="1025" operator="lessThan" aboveAverage="0" equalAverage="0" bottom="0" percent="0" rank="0" text="" dxfId="1">
      <formula>0</formula>
    </cfRule>
  </conditionalFormatting>
  <conditionalFormatting sqref="E518">
    <cfRule type="cellIs" priority="1026" operator="greaterThan" aboveAverage="0" equalAverage="0" bottom="0" percent="0" rank="0" text="" dxfId="0">
      <formula>0</formula>
    </cfRule>
    <cfRule type="cellIs" priority="1027" operator="lessThan" aboveAverage="0" equalAverage="0" bottom="0" percent="0" rank="0" text="" dxfId="1">
      <formula>0</formula>
    </cfRule>
  </conditionalFormatting>
  <conditionalFormatting sqref="E519">
    <cfRule type="cellIs" priority="1028" operator="greaterThan" aboveAverage="0" equalAverage="0" bottom="0" percent="0" rank="0" text="" dxfId="0">
      <formula>0</formula>
    </cfRule>
    <cfRule type="cellIs" priority="1029" operator="lessThan" aboveAverage="0" equalAverage="0" bottom="0" percent="0" rank="0" text="" dxfId="1">
      <formula>0</formula>
    </cfRule>
  </conditionalFormatting>
  <conditionalFormatting sqref="E520">
    <cfRule type="cellIs" priority="1030" operator="greaterThan" aboveAverage="0" equalAverage="0" bottom="0" percent="0" rank="0" text="" dxfId="0">
      <formula>0</formula>
    </cfRule>
    <cfRule type="cellIs" priority="1031" operator="lessThan" aboveAverage="0" equalAverage="0" bottom="0" percent="0" rank="0" text="" dxfId="1">
      <formula>0</formula>
    </cfRule>
  </conditionalFormatting>
  <conditionalFormatting sqref="E521">
    <cfRule type="cellIs" priority="1032" operator="greaterThan" aboveAverage="0" equalAverage="0" bottom="0" percent="0" rank="0" text="" dxfId="0">
      <formula>0</formula>
    </cfRule>
    <cfRule type="cellIs" priority="1033" operator="lessThan" aboveAverage="0" equalAverage="0" bottom="0" percent="0" rank="0" text="" dxfId="1">
      <formula>0</formula>
    </cfRule>
  </conditionalFormatting>
  <conditionalFormatting sqref="E522">
    <cfRule type="cellIs" priority="1034" operator="greaterThan" aboveAverage="0" equalAverage="0" bottom="0" percent="0" rank="0" text="" dxfId="0">
      <formula>0</formula>
    </cfRule>
    <cfRule type="cellIs" priority="1035" operator="lessThan" aboveAverage="0" equalAverage="0" bottom="0" percent="0" rank="0" text="" dxfId="1">
      <formula>0</formula>
    </cfRule>
  </conditionalFormatting>
  <conditionalFormatting sqref="E523">
    <cfRule type="cellIs" priority="1036" operator="greaterThan" aboveAverage="0" equalAverage="0" bottom="0" percent="0" rank="0" text="" dxfId="0">
      <formula>0</formula>
    </cfRule>
    <cfRule type="cellIs" priority="1037" operator="lessThan" aboveAverage="0" equalAverage="0" bottom="0" percent="0" rank="0" text="" dxfId="1">
      <formula>0</formula>
    </cfRule>
  </conditionalFormatting>
  <conditionalFormatting sqref="E524">
    <cfRule type="cellIs" priority="1038" operator="greaterThan" aboveAverage="0" equalAverage="0" bottom="0" percent="0" rank="0" text="" dxfId="0">
      <formula>0</formula>
    </cfRule>
    <cfRule type="cellIs" priority="1039" operator="lessThan" aboveAverage="0" equalAverage="0" bottom="0" percent="0" rank="0" text="" dxfId="1">
      <formula>0</formula>
    </cfRule>
  </conditionalFormatting>
  <conditionalFormatting sqref="E525">
    <cfRule type="cellIs" priority="1040" operator="greaterThan" aboveAverage="0" equalAverage="0" bottom="0" percent="0" rank="0" text="" dxfId="0">
      <formula>0</formula>
    </cfRule>
    <cfRule type="cellIs" priority="1041" operator="lessThan" aboveAverage="0" equalAverage="0" bottom="0" percent="0" rank="0" text="" dxfId="1">
      <formula>0</formula>
    </cfRule>
  </conditionalFormatting>
  <conditionalFormatting sqref="E526">
    <cfRule type="cellIs" priority="1042" operator="greaterThan" aboveAverage="0" equalAverage="0" bottom="0" percent="0" rank="0" text="" dxfId="0">
      <formula>0</formula>
    </cfRule>
    <cfRule type="cellIs" priority="1043" operator="lessThan" aboveAverage="0" equalAverage="0" bottom="0" percent="0" rank="0" text="" dxfId="1">
      <formula>0</formula>
    </cfRule>
  </conditionalFormatting>
  <conditionalFormatting sqref="E527">
    <cfRule type="cellIs" priority="1044" operator="greaterThan" aboveAverage="0" equalAverage="0" bottom="0" percent="0" rank="0" text="" dxfId="0">
      <formula>0</formula>
    </cfRule>
    <cfRule type="cellIs" priority="1045" operator="lessThan" aboveAverage="0" equalAverage="0" bottom="0" percent="0" rank="0" text="" dxfId="1">
      <formula>0</formula>
    </cfRule>
  </conditionalFormatting>
  <conditionalFormatting sqref="E528">
    <cfRule type="cellIs" priority="1046" operator="greaterThan" aboveAverage="0" equalAverage="0" bottom="0" percent="0" rank="0" text="" dxfId="0">
      <formula>0</formula>
    </cfRule>
    <cfRule type="cellIs" priority="1047" operator="lessThan" aboveAverage="0" equalAverage="0" bottom="0" percent="0" rank="0" text="" dxfId="1">
      <formula>0</formula>
    </cfRule>
  </conditionalFormatting>
  <conditionalFormatting sqref="E529">
    <cfRule type="cellIs" priority="1048" operator="greaterThan" aboveAverage="0" equalAverage="0" bottom="0" percent="0" rank="0" text="" dxfId="0">
      <formula>0</formula>
    </cfRule>
    <cfRule type="cellIs" priority="1049" operator="lessThan" aboveAverage="0" equalAverage="0" bottom="0" percent="0" rank="0" text="" dxfId="1">
      <formula>0</formula>
    </cfRule>
  </conditionalFormatting>
  <conditionalFormatting sqref="E530">
    <cfRule type="cellIs" priority="1050" operator="greaterThan" aboveAverage="0" equalAverage="0" bottom="0" percent="0" rank="0" text="" dxfId="0">
      <formula>0</formula>
    </cfRule>
    <cfRule type="cellIs" priority="1051" operator="lessThan" aboveAverage="0" equalAverage="0" bottom="0" percent="0" rank="0" text="" dxfId="1">
      <formula>0</formula>
    </cfRule>
  </conditionalFormatting>
  <conditionalFormatting sqref="E531">
    <cfRule type="cellIs" priority="1052" operator="greaterThan" aboveAverage="0" equalAverage="0" bottom="0" percent="0" rank="0" text="" dxfId="0">
      <formula>0</formula>
    </cfRule>
    <cfRule type="cellIs" priority="1053" operator="lessThan" aboveAverage="0" equalAverage="0" bottom="0" percent="0" rank="0" text="" dxfId="1">
      <formula>0</formula>
    </cfRule>
  </conditionalFormatting>
  <conditionalFormatting sqref="E532">
    <cfRule type="cellIs" priority="1054" operator="greaterThan" aboveAverage="0" equalAverage="0" bottom="0" percent="0" rank="0" text="" dxfId="0">
      <formula>0</formula>
    </cfRule>
    <cfRule type="cellIs" priority="1055" operator="lessThan" aboveAverage="0" equalAverage="0" bottom="0" percent="0" rank="0" text="" dxfId="1">
      <formula>0</formula>
    </cfRule>
  </conditionalFormatting>
  <conditionalFormatting sqref="E533">
    <cfRule type="cellIs" priority="1056" operator="greaterThan" aboveAverage="0" equalAverage="0" bottom="0" percent="0" rank="0" text="" dxfId="0">
      <formula>0</formula>
    </cfRule>
    <cfRule type="cellIs" priority="1057" operator="lessThan" aboveAverage="0" equalAverage="0" bottom="0" percent="0" rank="0" text="" dxfId="1">
      <formula>0</formula>
    </cfRule>
  </conditionalFormatting>
  <conditionalFormatting sqref="E534">
    <cfRule type="cellIs" priority="1058" operator="greaterThan" aboveAverage="0" equalAverage="0" bottom="0" percent="0" rank="0" text="" dxfId="0">
      <formula>0</formula>
    </cfRule>
    <cfRule type="cellIs" priority="1059" operator="lessThan" aboveAverage="0" equalAverage="0" bottom="0" percent="0" rank="0" text="" dxfId="1">
      <formula>0</formula>
    </cfRule>
  </conditionalFormatting>
  <conditionalFormatting sqref="E535">
    <cfRule type="cellIs" priority="1060" operator="greaterThan" aboveAverage="0" equalAverage="0" bottom="0" percent="0" rank="0" text="" dxfId="0">
      <formula>0</formula>
    </cfRule>
    <cfRule type="cellIs" priority="1061" operator="lessThan" aboveAverage="0" equalAverage="0" bottom="0" percent="0" rank="0" text="" dxfId="1">
      <formula>0</formula>
    </cfRule>
  </conditionalFormatting>
  <conditionalFormatting sqref="E536">
    <cfRule type="cellIs" priority="1062" operator="greaterThan" aboveAverage="0" equalAverage="0" bottom="0" percent="0" rank="0" text="" dxfId="0">
      <formula>0</formula>
    </cfRule>
    <cfRule type="cellIs" priority="1063" operator="lessThan" aboveAverage="0" equalAverage="0" bottom="0" percent="0" rank="0" text="" dxfId="1">
      <formula>0</formula>
    </cfRule>
  </conditionalFormatting>
  <conditionalFormatting sqref="E537">
    <cfRule type="cellIs" priority="1064" operator="greaterThan" aboveAverage="0" equalAverage="0" bottom="0" percent="0" rank="0" text="" dxfId="0">
      <formula>0</formula>
    </cfRule>
    <cfRule type="cellIs" priority="1065" operator="lessThan" aboveAverage="0" equalAverage="0" bottom="0" percent="0" rank="0" text="" dxfId="1">
      <formula>0</formula>
    </cfRule>
  </conditionalFormatting>
  <conditionalFormatting sqref="E538">
    <cfRule type="cellIs" priority="1066" operator="greaterThan" aboveAverage="0" equalAverage="0" bottom="0" percent="0" rank="0" text="" dxfId="0">
      <formula>0</formula>
    </cfRule>
    <cfRule type="cellIs" priority="1067" operator="lessThan" aboveAverage="0" equalAverage="0" bottom="0" percent="0" rank="0" text="" dxfId="1">
      <formula>0</formula>
    </cfRule>
  </conditionalFormatting>
  <conditionalFormatting sqref="E539">
    <cfRule type="cellIs" priority="1068" operator="greaterThan" aboveAverage="0" equalAverage="0" bottom="0" percent="0" rank="0" text="" dxfId="0">
      <formula>0</formula>
    </cfRule>
    <cfRule type="cellIs" priority="1069" operator="lessThan" aboveAverage="0" equalAverage="0" bottom="0" percent="0" rank="0" text="" dxfId="1">
      <formula>0</formula>
    </cfRule>
  </conditionalFormatting>
  <conditionalFormatting sqref="E540">
    <cfRule type="cellIs" priority="1070" operator="greaterThan" aboveAverage="0" equalAverage="0" bottom="0" percent="0" rank="0" text="" dxfId="0">
      <formula>0</formula>
    </cfRule>
    <cfRule type="cellIs" priority="1071" operator="lessThan" aboveAverage="0" equalAverage="0" bottom="0" percent="0" rank="0" text="" dxfId="1">
      <formula>0</formula>
    </cfRule>
  </conditionalFormatting>
  <conditionalFormatting sqref="E541">
    <cfRule type="cellIs" priority="1072" operator="greaterThan" aboveAverage="0" equalAverage="0" bottom="0" percent="0" rank="0" text="" dxfId="0">
      <formula>0</formula>
    </cfRule>
    <cfRule type="cellIs" priority="1073" operator="lessThan" aboveAverage="0" equalAverage="0" bottom="0" percent="0" rank="0" text="" dxfId="1">
      <formula>0</formula>
    </cfRule>
  </conditionalFormatting>
  <conditionalFormatting sqref="E542">
    <cfRule type="cellIs" priority="1074" operator="greaterThan" aboveAverage="0" equalAverage="0" bottom="0" percent="0" rank="0" text="" dxfId="0">
      <formula>0</formula>
    </cfRule>
    <cfRule type="cellIs" priority="1075" operator="lessThan" aboveAverage="0" equalAverage="0" bottom="0" percent="0" rank="0" text="" dxfId="1">
      <formula>0</formula>
    </cfRule>
  </conditionalFormatting>
  <conditionalFormatting sqref="E543">
    <cfRule type="cellIs" priority="1076" operator="greaterThan" aboveAverage="0" equalAverage="0" bottom="0" percent="0" rank="0" text="" dxfId="0">
      <formula>0</formula>
    </cfRule>
    <cfRule type="cellIs" priority="1077" operator="lessThan" aboveAverage="0" equalAverage="0" bottom="0" percent="0" rank="0" text="" dxfId="1">
      <formula>0</formula>
    </cfRule>
  </conditionalFormatting>
  <conditionalFormatting sqref="E544">
    <cfRule type="cellIs" priority="1078" operator="greaterThan" aboveAverage="0" equalAverage="0" bottom="0" percent="0" rank="0" text="" dxfId="0">
      <formula>0</formula>
    </cfRule>
    <cfRule type="cellIs" priority="1079" operator="lessThan" aboveAverage="0" equalAverage="0" bottom="0" percent="0" rank="0" text="" dxfId="1">
      <formula>0</formula>
    </cfRule>
  </conditionalFormatting>
  <conditionalFormatting sqref="E545">
    <cfRule type="cellIs" priority="1080" operator="greaterThan" aboveAverage="0" equalAverage="0" bottom="0" percent="0" rank="0" text="" dxfId="0">
      <formula>0</formula>
    </cfRule>
    <cfRule type="cellIs" priority="1081" operator="lessThan" aboveAverage="0" equalAverage="0" bottom="0" percent="0" rank="0" text="" dxfId="1">
      <formula>0</formula>
    </cfRule>
  </conditionalFormatting>
  <conditionalFormatting sqref="E546">
    <cfRule type="cellIs" priority="1082" operator="greaterThan" aboveAverage="0" equalAverage="0" bottom="0" percent="0" rank="0" text="" dxfId="0">
      <formula>0</formula>
    </cfRule>
    <cfRule type="cellIs" priority="1083" operator="lessThan" aboveAverage="0" equalAverage="0" bottom="0" percent="0" rank="0" text="" dxfId="1">
      <formula>0</formula>
    </cfRule>
  </conditionalFormatting>
  <conditionalFormatting sqref="E547">
    <cfRule type="cellIs" priority="1084" operator="greaterThan" aboveAverage="0" equalAverage="0" bottom="0" percent="0" rank="0" text="" dxfId="0">
      <formula>0</formula>
    </cfRule>
    <cfRule type="cellIs" priority="1085" operator="lessThan" aboveAverage="0" equalAverage="0" bottom="0" percent="0" rank="0" text="" dxfId="1">
      <formula>0</formula>
    </cfRule>
  </conditionalFormatting>
  <conditionalFormatting sqref="E548">
    <cfRule type="cellIs" priority="1086" operator="greaterThan" aboveAverage="0" equalAverage="0" bottom="0" percent="0" rank="0" text="" dxfId="0">
      <formula>0</formula>
    </cfRule>
    <cfRule type="cellIs" priority="1087" operator="lessThan" aboveAverage="0" equalAverage="0" bottom="0" percent="0" rank="0" text="" dxfId="1">
      <formula>0</formula>
    </cfRule>
  </conditionalFormatting>
  <conditionalFormatting sqref="E549">
    <cfRule type="cellIs" priority="1088" operator="greaterThan" aboveAverage="0" equalAverage="0" bottom="0" percent="0" rank="0" text="" dxfId="0">
      <formula>0</formula>
    </cfRule>
    <cfRule type="cellIs" priority="1089" operator="lessThan" aboveAverage="0" equalAverage="0" bottom="0" percent="0" rank="0" text="" dxfId="1">
      <formula>0</formula>
    </cfRule>
  </conditionalFormatting>
  <conditionalFormatting sqref="E550">
    <cfRule type="cellIs" priority="1090" operator="greaterThan" aboveAverage="0" equalAverage="0" bottom="0" percent="0" rank="0" text="" dxfId="0">
      <formula>0</formula>
    </cfRule>
    <cfRule type="cellIs" priority="1091" operator="lessThan" aboveAverage="0" equalAverage="0" bottom="0" percent="0" rank="0" text="" dxfId="1">
      <formula>0</formula>
    </cfRule>
  </conditionalFormatting>
  <conditionalFormatting sqref="E551">
    <cfRule type="cellIs" priority="1092" operator="greaterThan" aboveAverage="0" equalAverage="0" bottom="0" percent="0" rank="0" text="" dxfId="0">
      <formula>0</formula>
    </cfRule>
    <cfRule type="cellIs" priority="1093" operator="lessThan" aboveAverage="0" equalAverage="0" bottom="0" percent="0" rank="0" text="" dxfId="1">
      <formula>0</formula>
    </cfRule>
  </conditionalFormatting>
  <conditionalFormatting sqref="E552">
    <cfRule type="cellIs" priority="1094" operator="greaterThan" aboveAverage="0" equalAverage="0" bottom="0" percent="0" rank="0" text="" dxfId="0">
      <formula>0</formula>
    </cfRule>
    <cfRule type="cellIs" priority="1095" operator="lessThan" aboveAverage="0" equalAverage="0" bottom="0" percent="0" rank="0" text="" dxfId="1">
      <formula>0</formula>
    </cfRule>
  </conditionalFormatting>
  <conditionalFormatting sqref="E553">
    <cfRule type="cellIs" priority="1096" operator="greaterThan" aboveAverage="0" equalAverage="0" bottom="0" percent="0" rank="0" text="" dxfId="0">
      <formula>0</formula>
    </cfRule>
    <cfRule type="cellIs" priority="1097" operator="lessThan" aboveAverage="0" equalAverage="0" bottom="0" percent="0" rank="0" text="" dxfId="1">
      <formula>0</formula>
    </cfRule>
  </conditionalFormatting>
  <conditionalFormatting sqref="E554">
    <cfRule type="cellIs" priority="1098" operator="greaterThan" aboveAverage="0" equalAverage="0" bottom="0" percent="0" rank="0" text="" dxfId="0">
      <formula>0</formula>
    </cfRule>
    <cfRule type="cellIs" priority="1099" operator="lessThan" aboveAverage="0" equalAverage="0" bottom="0" percent="0" rank="0" text="" dxfId="1">
      <formula>0</formula>
    </cfRule>
  </conditionalFormatting>
  <conditionalFormatting sqref="E555">
    <cfRule type="cellIs" priority="1100" operator="greaterThan" aboveAverage="0" equalAverage="0" bottom="0" percent="0" rank="0" text="" dxfId="0">
      <formula>0</formula>
    </cfRule>
    <cfRule type="cellIs" priority="1101" operator="lessThan" aboveAverage="0" equalAverage="0" bottom="0" percent="0" rank="0" text="" dxfId="1">
      <formula>0</formula>
    </cfRule>
  </conditionalFormatting>
  <conditionalFormatting sqref="E556">
    <cfRule type="cellIs" priority="1102" operator="greaterThan" aboveAverage="0" equalAverage="0" bottom="0" percent="0" rank="0" text="" dxfId="0">
      <formula>0</formula>
    </cfRule>
    <cfRule type="cellIs" priority="1103" operator="lessThan" aboveAverage="0" equalAverage="0" bottom="0" percent="0" rank="0" text="" dxfId="1">
      <formula>0</formula>
    </cfRule>
  </conditionalFormatting>
  <conditionalFormatting sqref="E557">
    <cfRule type="cellIs" priority="1104" operator="greaterThan" aboveAverage="0" equalAverage="0" bottom="0" percent="0" rank="0" text="" dxfId="0">
      <formula>0</formula>
    </cfRule>
    <cfRule type="cellIs" priority="1105" operator="lessThan" aboveAverage="0" equalAverage="0" bottom="0" percent="0" rank="0" text="" dxfId="1">
      <formula>0</formula>
    </cfRule>
  </conditionalFormatting>
  <conditionalFormatting sqref="E558">
    <cfRule type="cellIs" priority="1106" operator="greaterThan" aboveAverage="0" equalAverage="0" bottom="0" percent="0" rank="0" text="" dxfId="0">
      <formula>0</formula>
    </cfRule>
    <cfRule type="cellIs" priority="1107" operator="lessThan" aboveAverage="0" equalAverage="0" bottom="0" percent="0" rank="0" text="" dxfId="1">
      <formula>0</formula>
    </cfRule>
  </conditionalFormatting>
  <conditionalFormatting sqref="E559">
    <cfRule type="cellIs" priority="1108" operator="greaterThan" aboveAverage="0" equalAverage="0" bottom="0" percent="0" rank="0" text="" dxfId="0">
      <formula>0</formula>
    </cfRule>
    <cfRule type="cellIs" priority="1109" operator="lessThan" aboveAverage="0" equalAverage="0" bottom="0" percent="0" rank="0" text="" dxfId="1">
      <formula>0</formula>
    </cfRule>
  </conditionalFormatting>
  <conditionalFormatting sqref="E560">
    <cfRule type="cellIs" priority="1110" operator="greaterThan" aboveAverage="0" equalAverage="0" bottom="0" percent="0" rank="0" text="" dxfId="0">
      <formula>0</formula>
    </cfRule>
    <cfRule type="cellIs" priority="1111" operator="lessThan" aboveAverage="0" equalAverage="0" bottom="0" percent="0" rank="0" text="" dxfId="1">
      <formula>0</formula>
    </cfRule>
  </conditionalFormatting>
  <conditionalFormatting sqref="E561">
    <cfRule type="cellIs" priority="1112" operator="greaterThan" aboveAverage="0" equalAverage="0" bottom="0" percent="0" rank="0" text="" dxfId="0">
      <formula>0</formula>
    </cfRule>
    <cfRule type="cellIs" priority="1113" operator="lessThan" aboveAverage="0" equalAverage="0" bottom="0" percent="0" rank="0" text="" dxfId="1">
      <formula>0</formula>
    </cfRule>
  </conditionalFormatting>
  <conditionalFormatting sqref="E562">
    <cfRule type="cellIs" priority="1114" operator="greaterThan" aboveAverage="0" equalAverage="0" bottom="0" percent="0" rank="0" text="" dxfId="0">
      <formula>0</formula>
    </cfRule>
    <cfRule type="cellIs" priority="1115" operator="lessThan" aboveAverage="0" equalAverage="0" bottom="0" percent="0" rank="0" text="" dxfId="1">
      <formula>0</formula>
    </cfRule>
  </conditionalFormatting>
  <conditionalFormatting sqref="E563">
    <cfRule type="cellIs" priority="1116" operator="greaterThan" aboveAverage="0" equalAverage="0" bottom="0" percent="0" rank="0" text="" dxfId="0">
      <formula>0</formula>
    </cfRule>
    <cfRule type="cellIs" priority="1117" operator="lessThan" aboveAverage="0" equalAverage="0" bottom="0" percent="0" rank="0" text="" dxfId="1">
      <formula>0</formula>
    </cfRule>
  </conditionalFormatting>
  <conditionalFormatting sqref="E564">
    <cfRule type="cellIs" priority="1118" operator="greaterThan" aboveAverage="0" equalAverage="0" bottom="0" percent="0" rank="0" text="" dxfId="0">
      <formula>0</formula>
    </cfRule>
    <cfRule type="cellIs" priority="1119" operator="lessThan" aboveAverage="0" equalAverage="0" bottom="0" percent="0" rank="0" text="" dxfId="1">
      <formula>0</formula>
    </cfRule>
  </conditionalFormatting>
  <conditionalFormatting sqref="E565">
    <cfRule type="cellIs" priority="1120" operator="greaterThan" aboveAverage="0" equalAverage="0" bottom="0" percent="0" rank="0" text="" dxfId="0">
      <formula>0</formula>
    </cfRule>
    <cfRule type="cellIs" priority="1121" operator="lessThan" aboveAverage="0" equalAverage="0" bottom="0" percent="0" rank="0" text="" dxfId="1">
      <formula>0</formula>
    </cfRule>
  </conditionalFormatting>
  <conditionalFormatting sqref="E566">
    <cfRule type="cellIs" priority="1122" operator="greaterThan" aboveAverage="0" equalAverage="0" bottom="0" percent="0" rank="0" text="" dxfId="0">
      <formula>0</formula>
    </cfRule>
    <cfRule type="cellIs" priority="1123" operator="lessThan" aboveAverage="0" equalAverage="0" bottom="0" percent="0" rank="0" text="" dxfId="1">
      <formula>0</formula>
    </cfRule>
  </conditionalFormatting>
  <conditionalFormatting sqref="E567">
    <cfRule type="cellIs" priority="1124" operator="greaterThan" aboveAverage="0" equalAverage="0" bottom="0" percent="0" rank="0" text="" dxfId="0">
      <formula>0</formula>
    </cfRule>
    <cfRule type="cellIs" priority="1125" operator="lessThan" aboveAverage="0" equalAverage="0" bottom="0" percent="0" rank="0" text="" dxfId="1">
      <formula>0</formula>
    </cfRule>
  </conditionalFormatting>
  <conditionalFormatting sqref="E568">
    <cfRule type="cellIs" priority="1126" operator="greaterThan" aboveAverage="0" equalAverage="0" bottom="0" percent="0" rank="0" text="" dxfId="0">
      <formula>0</formula>
    </cfRule>
    <cfRule type="cellIs" priority="1127" operator="lessThan" aboveAverage="0" equalAverage="0" bottom="0" percent="0" rank="0" text="" dxfId="1">
      <formula>0</formula>
    </cfRule>
  </conditionalFormatting>
  <conditionalFormatting sqref="E569">
    <cfRule type="cellIs" priority="1128" operator="greaterThan" aboveAverage="0" equalAverage="0" bottom="0" percent="0" rank="0" text="" dxfId="0">
      <formula>0</formula>
    </cfRule>
    <cfRule type="cellIs" priority="1129" operator="lessThan" aboveAverage="0" equalAverage="0" bottom="0" percent="0" rank="0" text="" dxfId="1">
      <formula>0</formula>
    </cfRule>
  </conditionalFormatting>
  <conditionalFormatting sqref="E570">
    <cfRule type="cellIs" priority="1130" operator="greaterThan" aboveAverage="0" equalAverage="0" bottom="0" percent="0" rank="0" text="" dxfId="0">
      <formula>0</formula>
    </cfRule>
    <cfRule type="cellIs" priority="1131" operator="lessThan" aboveAverage="0" equalAverage="0" bottom="0" percent="0" rank="0" text="" dxfId="1">
      <formula>0</formula>
    </cfRule>
  </conditionalFormatting>
  <conditionalFormatting sqref="E571">
    <cfRule type="cellIs" priority="1132" operator="greaterThan" aboveAverage="0" equalAverage="0" bottom="0" percent="0" rank="0" text="" dxfId="0">
      <formula>0</formula>
    </cfRule>
    <cfRule type="cellIs" priority="1133" operator="lessThan" aboveAverage="0" equalAverage="0" bottom="0" percent="0" rank="0" text="" dxfId="1">
      <formula>0</formula>
    </cfRule>
  </conditionalFormatting>
  <conditionalFormatting sqref="E572">
    <cfRule type="cellIs" priority="1134" operator="greaterThan" aboveAverage="0" equalAverage="0" bottom="0" percent="0" rank="0" text="" dxfId="0">
      <formula>0</formula>
    </cfRule>
    <cfRule type="cellIs" priority="1135" operator="lessThan" aboveAverage="0" equalAverage="0" bottom="0" percent="0" rank="0" text="" dxfId="1">
      <formula>0</formula>
    </cfRule>
  </conditionalFormatting>
  <conditionalFormatting sqref="E573">
    <cfRule type="cellIs" priority="1136" operator="greaterThan" aboveAverage="0" equalAverage="0" bottom="0" percent="0" rank="0" text="" dxfId="0">
      <formula>0</formula>
    </cfRule>
    <cfRule type="cellIs" priority="1137" operator="lessThan" aboveAverage="0" equalAverage="0" bottom="0" percent="0" rank="0" text="" dxfId="1">
      <formula>0</formula>
    </cfRule>
  </conditionalFormatting>
  <conditionalFormatting sqref="E574">
    <cfRule type="cellIs" priority="1138" operator="greaterThan" aboveAverage="0" equalAverage="0" bottom="0" percent="0" rank="0" text="" dxfId="0">
      <formula>0</formula>
    </cfRule>
    <cfRule type="cellIs" priority="1139" operator="lessThan" aboveAverage="0" equalAverage="0" bottom="0" percent="0" rank="0" text="" dxfId="1">
      <formula>0</formula>
    </cfRule>
  </conditionalFormatting>
  <conditionalFormatting sqref="E575">
    <cfRule type="cellIs" priority="1140" operator="greaterThan" aboveAverage="0" equalAverage="0" bottom="0" percent="0" rank="0" text="" dxfId="0">
      <formula>0</formula>
    </cfRule>
    <cfRule type="cellIs" priority="1141" operator="lessThan" aboveAverage="0" equalAverage="0" bottom="0" percent="0" rank="0" text="" dxfId="1">
      <formula>0</formula>
    </cfRule>
  </conditionalFormatting>
  <conditionalFormatting sqref="E576">
    <cfRule type="cellIs" priority="1142" operator="greaterThan" aboveAverage="0" equalAverage="0" bottom="0" percent="0" rank="0" text="" dxfId="0">
      <formula>0</formula>
    </cfRule>
    <cfRule type="cellIs" priority="1143" operator="lessThan" aboveAverage="0" equalAverage="0" bottom="0" percent="0" rank="0" text="" dxfId="1">
      <formula>0</formula>
    </cfRule>
  </conditionalFormatting>
  <conditionalFormatting sqref="E577">
    <cfRule type="cellIs" priority="1144" operator="greaterThan" aboveAverage="0" equalAverage="0" bottom="0" percent="0" rank="0" text="" dxfId="0">
      <formula>0</formula>
    </cfRule>
    <cfRule type="cellIs" priority="1145" operator="lessThan" aboveAverage="0" equalAverage="0" bottom="0" percent="0" rank="0" text="" dxfId="1">
      <formula>0</formula>
    </cfRule>
  </conditionalFormatting>
  <conditionalFormatting sqref="E578">
    <cfRule type="cellIs" priority="1146" operator="greaterThan" aboveAverage="0" equalAverage="0" bottom="0" percent="0" rank="0" text="" dxfId="0">
      <formula>0</formula>
    </cfRule>
    <cfRule type="cellIs" priority="1147" operator="lessThan" aboveAverage="0" equalAverage="0" bottom="0" percent="0" rank="0" text="" dxfId="1">
      <formula>0</formula>
    </cfRule>
  </conditionalFormatting>
  <conditionalFormatting sqref="E579">
    <cfRule type="cellIs" priority="1148" operator="greaterThan" aboveAverage="0" equalAverage="0" bottom="0" percent="0" rank="0" text="" dxfId="0">
      <formula>0</formula>
    </cfRule>
    <cfRule type="cellIs" priority="1149" operator="lessThan" aboveAverage="0" equalAverage="0" bottom="0" percent="0" rank="0" text="" dxfId="1">
      <formula>0</formula>
    </cfRule>
  </conditionalFormatting>
  <conditionalFormatting sqref="E580">
    <cfRule type="cellIs" priority="1150" operator="greaterThan" aboveAverage="0" equalAverage="0" bottom="0" percent="0" rank="0" text="" dxfId="0">
      <formula>0</formula>
    </cfRule>
    <cfRule type="cellIs" priority="1151" operator="lessThan" aboveAverage="0" equalAverage="0" bottom="0" percent="0" rank="0" text="" dxfId="1">
      <formula>0</formula>
    </cfRule>
  </conditionalFormatting>
  <conditionalFormatting sqref="E581">
    <cfRule type="cellIs" priority="1152" operator="greaterThan" aboveAverage="0" equalAverage="0" bottom="0" percent="0" rank="0" text="" dxfId="0">
      <formula>0</formula>
    </cfRule>
    <cfRule type="cellIs" priority="1153" operator="lessThan" aboveAverage="0" equalAverage="0" bottom="0" percent="0" rank="0" text="" dxfId="1">
      <formula>0</formula>
    </cfRule>
  </conditionalFormatting>
  <conditionalFormatting sqref="E582">
    <cfRule type="cellIs" priority="1154" operator="greaterThan" aboveAverage="0" equalAverage="0" bottom="0" percent="0" rank="0" text="" dxfId="0">
      <formula>0</formula>
    </cfRule>
    <cfRule type="cellIs" priority="1155" operator="lessThan" aboveAverage="0" equalAverage="0" bottom="0" percent="0" rank="0" text="" dxfId="1">
      <formula>0</formula>
    </cfRule>
  </conditionalFormatting>
  <conditionalFormatting sqref="E583">
    <cfRule type="cellIs" priority="1156" operator="greaterThan" aboveAverage="0" equalAverage="0" bottom="0" percent="0" rank="0" text="" dxfId="0">
      <formula>0</formula>
    </cfRule>
    <cfRule type="cellIs" priority="1157" operator="lessThan" aboveAverage="0" equalAverage="0" bottom="0" percent="0" rank="0" text="" dxfId="1">
      <formula>0</formula>
    </cfRule>
  </conditionalFormatting>
  <conditionalFormatting sqref="E584">
    <cfRule type="cellIs" priority="1158" operator="greaterThan" aboveAverage="0" equalAverage="0" bottom="0" percent="0" rank="0" text="" dxfId="0">
      <formula>0</formula>
    </cfRule>
    <cfRule type="cellIs" priority="1159" operator="lessThan" aboveAverage="0" equalAverage="0" bottom="0" percent="0" rank="0" text="" dxfId="1">
      <formula>0</formula>
    </cfRule>
  </conditionalFormatting>
  <conditionalFormatting sqref="E585">
    <cfRule type="cellIs" priority="1160" operator="greaterThan" aboveAverage="0" equalAverage="0" bottom="0" percent="0" rank="0" text="" dxfId="0">
      <formula>0</formula>
    </cfRule>
    <cfRule type="cellIs" priority="1161" operator="lessThan" aboveAverage="0" equalAverage="0" bottom="0" percent="0" rank="0" text="" dxfId="1">
      <formula>0</formula>
    </cfRule>
  </conditionalFormatting>
  <conditionalFormatting sqref="E586">
    <cfRule type="cellIs" priority="1162" operator="greaterThan" aboveAverage="0" equalAverage="0" bottom="0" percent="0" rank="0" text="" dxfId="0">
      <formula>0</formula>
    </cfRule>
    <cfRule type="cellIs" priority="1163" operator="lessThan" aboveAverage="0" equalAverage="0" bottom="0" percent="0" rank="0" text="" dxfId="1">
      <formula>0</formula>
    </cfRule>
  </conditionalFormatting>
  <conditionalFormatting sqref="E587">
    <cfRule type="cellIs" priority="1164" operator="greaterThan" aboveAverage="0" equalAverage="0" bottom="0" percent="0" rank="0" text="" dxfId="0">
      <formula>0</formula>
    </cfRule>
    <cfRule type="cellIs" priority="1165" operator="lessThan" aboveAverage="0" equalAverage="0" bottom="0" percent="0" rank="0" text="" dxfId="1">
      <formula>0</formula>
    </cfRule>
  </conditionalFormatting>
  <conditionalFormatting sqref="E588">
    <cfRule type="cellIs" priority="1166" operator="greaterThan" aboveAverage="0" equalAverage="0" bottom="0" percent="0" rank="0" text="" dxfId="0">
      <formula>0</formula>
    </cfRule>
    <cfRule type="cellIs" priority="1167" operator="lessThan" aboveAverage="0" equalAverage="0" bottom="0" percent="0" rank="0" text="" dxfId="1">
      <formula>0</formula>
    </cfRule>
  </conditionalFormatting>
  <conditionalFormatting sqref="E589">
    <cfRule type="cellIs" priority="1168" operator="greaterThan" aboveAverage="0" equalAverage="0" bottom="0" percent="0" rank="0" text="" dxfId="0">
      <formula>0</formula>
    </cfRule>
    <cfRule type="cellIs" priority="1169" operator="lessThan" aboveAverage="0" equalAverage="0" bottom="0" percent="0" rank="0" text="" dxfId="1">
      <formula>0</formula>
    </cfRule>
  </conditionalFormatting>
  <conditionalFormatting sqref="E590">
    <cfRule type="cellIs" priority="1170" operator="greaterThan" aboveAverage="0" equalAverage="0" bottom="0" percent="0" rank="0" text="" dxfId="0">
      <formula>0</formula>
    </cfRule>
    <cfRule type="cellIs" priority="1171" operator="lessThan" aboveAverage="0" equalAverage="0" bottom="0" percent="0" rank="0" text="" dxfId="1">
      <formula>0</formula>
    </cfRule>
  </conditionalFormatting>
  <conditionalFormatting sqref="E591">
    <cfRule type="cellIs" priority="1172" operator="greaterThan" aboveAverage="0" equalAverage="0" bottom="0" percent="0" rank="0" text="" dxfId="0">
      <formula>0</formula>
    </cfRule>
    <cfRule type="cellIs" priority="1173" operator="lessThan" aboveAverage="0" equalAverage="0" bottom="0" percent="0" rank="0" text="" dxfId="1">
      <formula>0</formula>
    </cfRule>
  </conditionalFormatting>
  <conditionalFormatting sqref="E592">
    <cfRule type="cellIs" priority="1174" operator="greaterThan" aboveAverage="0" equalAverage="0" bottom="0" percent="0" rank="0" text="" dxfId="0">
      <formula>0</formula>
    </cfRule>
    <cfRule type="cellIs" priority="1175" operator="lessThan" aboveAverage="0" equalAverage="0" bottom="0" percent="0" rank="0" text="" dxfId="1">
      <formula>0</formula>
    </cfRule>
  </conditionalFormatting>
  <conditionalFormatting sqref="E593">
    <cfRule type="cellIs" priority="1176" operator="greaterThan" aboveAverage="0" equalAverage="0" bottom="0" percent="0" rank="0" text="" dxfId="0">
      <formula>0</formula>
    </cfRule>
    <cfRule type="cellIs" priority="1177" operator="lessThan" aboveAverage="0" equalAverage="0" bottom="0" percent="0" rank="0" text="" dxfId="1">
      <formula>0</formula>
    </cfRule>
  </conditionalFormatting>
  <conditionalFormatting sqref="E594">
    <cfRule type="cellIs" priority="1178" operator="greaterThan" aboveAverage="0" equalAverage="0" bottom="0" percent="0" rank="0" text="" dxfId="0">
      <formula>0</formula>
    </cfRule>
    <cfRule type="cellIs" priority="1179" operator="lessThan" aboveAverage="0" equalAverage="0" bottom="0" percent="0" rank="0" text="" dxfId="1">
      <formula>0</formula>
    </cfRule>
  </conditionalFormatting>
  <conditionalFormatting sqref="E595">
    <cfRule type="cellIs" priority="1180" operator="greaterThan" aboveAverage="0" equalAverage="0" bottom="0" percent="0" rank="0" text="" dxfId="0">
      <formula>0</formula>
    </cfRule>
    <cfRule type="cellIs" priority="1181" operator="lessThan" aboveAverage="0" equalAverage="0" bottom="0" percent="0" rank="0" text="" dxfId="1">
      <formula>0</formula>
    </cfRule>
  </conditionalFormatting>
  <conditionalFormatting sqref="E596">
    <cfRule type="cellIs" priority="1182" operator="greaterThan" aboveAverage="0" equalAverage="0" bottom="0" percent="0" rank="0" text="" dxfId="0">
      <formula>0</formula>
    </cfRule>
    <cfRule type="cellIs" priority="1183" operator="lessThan" aboveAverage="0" equalAverage="0" bottom="0" percent="0" rank="0" text="" dxfId="1">
      <formula>0</formula>
    </cfRule>
  </conditionalFormatting>
  <conditionalFormatting sqref="E597">
    <cfRule type="cellIs" priority="1184" operator="greaterThan" aboveAverage="0" equalAverage="0" bottom="0" percent="0" rank="0" text="" dxfId="0">
      <formula>0</formula>
    </cfRule>
    <cfRule type="cellIs" priority="1185" operator="lessThan" aboveAverage="0" equalAverage="0" bottom="0" percent="0" rank="0" text="" dxfId="1">
      <formula>0</formula>
    </cfRule>
  </conditionalFormatting>
  <conditionalFormatting sqref="E598">
    <cfRule type="cellIs" priority="1186" operator="greaterThan" aboveAverage="0" equalAverage="0" bottom="0" percent="0" rank="0" text="" dxfId="0">
      <formula>0</formula>
    </cfRule>
    <cfRule type="cellIs" priority="1187" operator="lessThan" aboveAverage="0" equalAverage="0" bottom="0" percent="0" rank="0" text="" dxfId="1">
      <formula>0</formula>
    </cfRule>
  </conditionalFormatting>
  <conditionalFormatting sqref="E599">
    <cfRule type="cellIs" priority="1188" operator="greaterThan" aboveAverage="0" equalAverage="0" bottom="0" percent="0" rank="0" text="" dxfId="0">
      <formula>0</formula>
    </cfRule>
    <cfRule type="cellIs" priority="1189" operator="lessThan" aboveAverage="0" equalAverage="0" bottom="0" percent="0" rank="0" text="" dxfId="1">
      <formula>0</formula>
    </cfRule>
  </conditionalFormatting>
  <conditionalFormatting sqref="E600">
    <cfRule type="cellIs" priority="1190" operator="greaterThan" aboveAverage="0" equalAverage="0" bottom="0" percent="0" rank="0" text="" dxfId="0">
      <formula>0</formula>
    </cfRule>
    <cfRule type="cellIs" priority="1191" operator="lessThan" aboveAverage="0" equalAverage="0" bottom="0" percent="0" rank="0" text="" dxfId="1">
      <formula>0</formula>
    </cfRule>
  </conditionalFormatting>
  <conditionalFormatting sqref="E601">
    <cfRule type="cellIs" priority="1192" operator="greaterThan" aboveAverage="0" equalAverage="0" bottom="0" percent="0" rank="0" text="" dxfId="0">
      <formula>0</formula>
    </cfRule>
    <cfRule type="cellIs" priority="1193" operator="lessThan" aboveAverage="0" equalAverage="0" bottom="0" percent="0" rank="0" text="" dxfId="1">
      <formula>0</formula>
    </cfRule>
  </conditionalFormatting>
  <conditionalFormatting sqref="E602">
    <cfRule type="cellIs" priority="1194" operator="greaterThan" aboveAverage="0" equalAverage="0" bottom="0" percent="0" rank="0" text="" dxfId="0">
      <formula>0</formula>
    </cfRule>
    <cfRule type="cellIs" priority="1195" operator="lessThan" aboveAverage="0" equalAverage="0" bottom="0" percent="0" rank="0" text="" dxfId="1">
      <formula>0</formula>
    </cfRule>
  </conditionalFormatting>
  <conditionalFormatting sqref="E603">
    <cfRule type="cellIs" priority="1196" operator="greaterThan" aboveAverage="0" equalAverage="0" bottom="0" percent="0" rank="0" text="" dxfId="0">
      <formula>0</formula>
    </cfRule>
    <cfRule type="cellIs" priority="1197" operator="lessThan" aboveAverage="0" equalAverage="0" bottom="0" percent="0" rank="0" text="" dxfId="1">
      <formula>0</formula>
    </cfRule>
  </conditionalFormatting>
  <conditionalFormatting sqref="E604">
    <cfRule type="cellIs" priority="1198" operator="greaterThan" aboveAverage="0" equalAverage="0" bottom="0" percent="0" rank="0" text="" dxfId="0">
      <formula>0</formula>
    </cfRule>
    <cfRule type="cellIs" priority="1199" operator="lessThan" aboveAverage="0" equalAverage="0" bottom="0" percent="0" rank="0" text="" dxfId="1">
      <formula>0</formula>
    </cfRule>
  </conditionalFormatting>
  <conditionalFormatting sqref="E605">
    <cfRule type="cellIs" priority="1200" operator="greaterThan" aboveAverage="0" equalAverage="0" bottom="0" percent="0" rank="0" text="" dxfId="0">
      <formula>0</formula>
    </cfRule>
    <cfRule type="cellIs" priority="1201" operator="lessThan" aboveAverage="0" equalAverage="0" bottom="0" percent="0" rank="0" text="" dxfId="1">
      <formula>0</formula>
    </cfRule>
  </conditionalFormatting>
  <conditionalFormatting sqref="E606">
    <cfRule type="cellIs" priority="1202" operator="greaterThan" aboveAverage="0" equalAverage="0" bottom="0" percent="0" rank="0" text="" dxfId="0">
      <formula>0</formula>
    </cfRule>
    <cfRule type="cellIs" priority="1203" operator="lessThan" aboveAverage="0" equalAverage="0" bottom="0" percent="0" rank="0" text="" dxfId="1">
      <formula>0</formula>
    </cfRule>
  </conditionalFormatting>
  <conditionalFormatting sqref="E607">
    <cfRule type="cellIs" priority="1204" operator="greaterThan" aboveAverage="0" equalAverage="0" bottom="0" percent="0" rank="0" text="" dxfId="0">
      <formula>0</formula>
    </cfRule>
    <cfRule type="cellIs" priority="1205" operator="lessThan" aboveAverage="0" equalAverage="0" bottom="0" percent="0" rank="0" text="" dxfId="1">
      <formula>0</formula>
    </cfRule>
  </conditionalFormatting>
  <conditionalFormatting sqref="E608">
    <cfRule type="cellIs" priority="1206" operator="greaterThan" aboveAverage="0" equalAverage="0" bottom="0" percent="0" rank="0" text="" dxfId="0">
      <formula>0</formula>
    </cfRule>
    <cfRule type="cellIs" priority="1207" operator="lessThan" aboveAverage="0" equalAverage="0" bottom="0" percent="0" rank="0" text="" dxfId="1">
      <formula>0</formula>
    </cfRule>
  </conditionalFormatting>
  <conditionalFormatting sqref="E609">
    <cfRule type="cellIs" priority="1208" operator="greaterThan" aboveAverage="0" equalAverage="0" bottom="0" percent="0" rank="0" text="" dxfId="0">
      <formula>0</formula>
    </cfRule>
    <cfRule type="cellIs" priority="1209" operator="lessThan" aboveAverage="0" equalAverage="0" bottom="0" percent="0" rank="0" text="" dxfId="1">
      <formula>0</formula>
    </cfRule>
  </conditionalFormatting>
  <conditionalFormatting sqref="E610">
    <cfRule type="cellIs" priority="1210" operator="greaterThan" aboveAverage="0" equalAverage="0" bottom="0" percent="0" rank="0" text="" dxfId="0">
      <formula>0</formula>
    </cfRule>
    <cfRule type="cellIs" priority="1211" operator="lessThan" aboveAverage="0" equalAverage="0" bottom="0" percent="0" rank="0" text="" dxfId="1">
      <formula>0</formula>
    </cfRule>
  </conditionalFormatting>
  <conditionalFormatting sqref="E611">
    <cfRule type="cellIs" priority="1212" operator="greaterThan" aboveAverage="0" equalAverage="0" bottom="0" percent="0" rank="0" text="" dxfId="0">
      <formula>0</formula>
    </cfRule>
    <cfRule type="cellIs" priority="1213" operator="lessThan" aboveAverage="0" equalAverage="0" bottom="0" percent="0" rank="0" text="" dxfId="1">
      <formula>0</formula>
    </cfRule>
  </conditionalFormatting>
  <conditionalFormatting sqref="E612">
    <cfRule type="cellIs" priority="1214" operator="greaterThan" aboveAverage="0" equalAverage="0" bottom="0" percent="0" rank="0" text="" dxfId="0">
      <formula>0</formula>
    </cfRule>
    <cfRule type="cellIs" priority="1215" operator="lessThan" aboveAverage="0" equalAverage="0" bottom="0" percent="0" rank="0" text="" dxfId="1">
      <formula>0</formula>
    </cfRule>
  </conditionalFormatting>
  <conditionalFormatting sqref="E613">
    <cfRule type="cellIs" priority="1216" operator="greaterThan" aboveAverage="0" equalAverage="0" bottom="0" percent="0" rank="0" text="" dxfId="0">
      <formula>0</formula>
    </cfRule>
    <cfRule type="cellIs" priority="1217" operator="lessThan" aboveAverage="0" equalAverage="0" bottom="0" percent="0" rank="0" text="" dxfId="1">
      <formula>0</formula>
    </cfRule>
  </conditionalFormatting>
  <conditionalFormatting sqref="E614">
    <cfRule type="cellIs" priority="1218" operator="greaterThan" aboveAverage="0" equalAverage="0" bottom="0" percent="0" rank="0" text="" dxfId="0">
      <formula>0</formula>
    </cfRule>
    <cfRule type="cellIs" priority="1219" operator="lessThan" aboveAverage="0" equalAverage="0" bottom="0" percent="0" rank="0" text="" dxfId="1">
      <formula>0</formula>
    </cfRule>
  </conditionalFormatting>
  <conditionalFormatting sqref="E615">
    <cfRule type="cellIs" priority="1220" operator="greaterThan" aboveAverage="0" equalAverage="0" bottom="0" percent="0" rank="0" text="" dxfId="0">
      <formula>0</formula>
    </cfRule>
    <cfRule type="cellIs" priority="1221" operator="lessThan" aboveAverage="0" equalAverage="0" bottom="0" percent="0" rank="0" text="" dxfId="1">
      <formula>0</formula>
    </cfRule>
  </conditionalFormatting>
  <conditionalFormatting sqref="E616">
    <cfRule type="cellIs" priority="1222" operator="greaterThan" aboveAverage="0" equalAverage="0" bottom="0" percent="0" rank="0" text="" dxfId="0">
      <formula>0</formula>
    </cfRule>
    <cfRule type="cellIs" priority="1223" operator="lessThan" aboveAverage="0" equalAverage="0" bottom="0" percent="0" rank="0" text="" dxfId="1">
      <formula>0</formula>
    </cfRule>
  </conditionalFormatting>
  <conditionalFormatting sqref="E617">
    <cfRule type="cellIs" priority="1224" operator="greaterThan" aboveAverage="0" equalAverage="0" bottom="0" percent="0" rank="0" text="" dxfId="0">
      <formula>0</formula>
    </cfRule>
    <cfRule type="cellIs" priority="1225" operator="lessThan" aboveAverage="0" equalAverage="0" bottom="0" percent="0" rank="0" text="" dxfId="1">
      <formula>0</formula>
    </cfRule>
  </conditionalFormatting>
  <conditionalFormatting sqref="E618">
    <cfRule type="cellIs" priority="1226" operator="greaterThan" aboveAverage="0" equalAverage="0" bottom="0" percent="0" rank="0" text="" dxfId="0">
      <formula>0</formula>
    </cfRule>
    <cfRule type="cellIs" priority="1227" operator="lessThan" aboveAverage="0" equalAverage="0" bottom="0" percent="0" rank="0" text="" dxfId="1">
      <formula>0</formula>
    </cfRule>
  </conditionalFormatting>
  <conditionalFormatting sqref="E619">
    <cfRule type="cellIs" priority="1228" operator="greaterThan" aboveAverage="0" equalAverage="0" bottom="0" percent="0" rank="0" text="" dxfId="0">
      <formula>0</formula>
    </cfRule>
    <cfRule type="cellIs" priority="1229" operator="lessThan" aboveAverage="0" equalAverage="0" bottom="0" percent="0" rank="0" text="" dxfId="1">
      <formula>0</formula>
    </cfRule>
  </conditionalFormatting>
  <conditionalFormatting sqref="E620">
    <cfRule type="cellIs" priority="1230" operator="greaterThan" aboveAverage="0" equalAverage="0" bottom="0" percent="0" rank="0" text="" dxfId="0">
      <formula>0</formula>
    </cfRule>
    <cfRule type="cellIs" priority="1231" operator="lessThan" aboveAverage="0" equalAverage="0" bottom="0" percent="0" rank="0" text="" dxfId="1">
      <formula>0</formula>
    </cfRule>
  </conditionalFormatting>
  <conditionalFormatting sqref="E621">
    <cfRule type="cellIs" priority="1232" operator="greaterThan" aboveAverage="0" equalAverage="0" bottom="0" percent="0" rank="0" text="" dxfId="0">
      <formula>0</formula>
    </cfRule>
    <cfRule type="cellIs" priority="1233" operator="lessThan" aboveAverage="0" equalAverage="0" bottom="0" percent="0" rank="0" text="" dxfId="1">
      <formula>0</formula>
    </cfRule>
  </conditionalFormatting>
  <conditionalFormatting sqref="E622">
    <cfRule type="cellIs" priority="1234" operator="greaterThan" aboveAverage="0" equalAverage="0" bottom="0" percent="0" rank="0" text="" dxfId="0">
      <formula>0</formula>
    </cfRule>
    <cfRule type="cellIs" priority="1235" operator="lessThan" aboveAverage="0" equalAverage="0" bottom="0" percent="0" rank="0" text="" dxfId="1">
      <formula>0</formula>
    </cfRule>
  </conditionalFormatting>
  <conditionalFormatting sqref="E623">
    <cfRule type="cellIs" priority="1236" operator="greaterThan" aboveAverage="0" equalAverage="0" bottom="0" percent="0" rank="0" text="" dxfId="0">
      <formula>0</formula>
    </cfRule>
    <cfRule type="cellIs" priority="1237" operator="lessThan" aboveAverage="0" equalAverage="0" bottom="0" percent="0" rank="0" text="" dxfId="1">
      <formula>0</formula>
    </cfRule>
  </conditionalFormatting>
  <conditionalFormatting sqref="E624">
    <cfRule type="cellIs" priority="1238" operator="greaterThan" aboveAverage="0" equalAverage="0" bottom="0" percent="0" rank="0" text="" dxfId="0">
      <formula>0</formula>
    </cfRule>
    <cfRule type="cellIs" priority="1239" operator="lessThan" aboveAverage="0" equalAverage="0" bottom="0" percent="0" rank="0" text="" dxfId="1">
      <formula>0</formula>
    </cfRule>
  </conditionalFormatting>
  <conditionalFormatting sqref="E625">
    <cfRule type="cellIs" priority="1240" operator="greaterThan" aboveAverage="0" equalAverage="0" bottom="0" percent="0" rank="0" text="" dxfId="0">
      <formula>0</formula>
    </cfRule>
    <cfRule type="cellIs" priority="1241" operator="lessThan" aboveAverage="0" equalAverage="0" bottom="0" percent="0" rank="0" text="" dxfId="1">
      <formula>0</formula>
    </cfRule>
  </conditionalFormatting>
  <conditionalFormatting sqref="E626">
    <cfRule type="cellIs" priority="1242" operator="greaterThan" aboveAverage="0" equalAverage="0" bottom="0" percent="0" rank="0" text="" dxfId="0">
      <formula>0</formula>
    </cfRule>
    <cfRule type="cellIs" priority="1243" operator="lessThan" aboveAverage="0" equalAverage="0" bottom="0" percent="0" rank="0" text="" dxfId="1">
      <formula>0</formula>
    </cfRule>
  </conditionalFormatting>
  <conditionalFormatting sqref="E627">
    <cfRule type="cellIs" priority="1244" operator="greaterThan" aboveAverage="0" equalAverage="0" bottom="0" percent="0" rank="0" text="" dxfId="0">
      <formula>0</formula>
    </cfRule>
    <cfRule type="cellIs" priority="1245" operator="lessThan" aboveAverage="0" equalAverage="0" bottom="0" percent="0" rank="0" text="" dxfId="1">
      <formula>0</formula>
    </cfRule>
  </conditionalFormatting>
  <conditionalFormatting sqref="E628">
    <cfRule type="cellIs" priority="1246" operator="greaterThan" aboveAverage="0" equalAverage="0" bottom="0" percent="0" rank="0" text="" dxfId="0">
      <formula>0</formula>
    </cfRule>
    <cfRule type="cellIs" priority="1247" operator="lessThan" aboveAverage="0" equalAverage="0" bottom="0" percent="0" rank="0" text="" dxfId="1">
      <formula>0</formula>
    </cfRule>
  </conditionalFormatting>
  <conditionalFormatting sqref="E629">
    <cfRule type="cellIs" priority="1248" operator="greaterThan" aboveAverage="0" equalAverage="0" bottom="0" percent="0" rank="0" text="" dxfId="0">
      <formula>0</formula>
    </cfRule>
    <cfRule type="cellIs" priority="1249" operator="lessThan" aboveAverage="0" equalAverage="0" bottom="0" percent="0" rank="0" text="" dxfId="1">
      <formula>0</formula>
    </cfRule>
  </conditionalFormatting>
  <conditionalFormatting sqref="E630">
    <cfRule type="cellIs" priority="1250" operator="greaterThan" aboveAverage="0" equalAverage="0" bottom="0" percent="0" rank="0" text="" dxfId="0">
      <formula>0</formula>
    </cfRule>
    <cfRule type="cellIs" priority="1251" operator="lessThan" aboveAverage="0" equalAverage="0" bottom="0" percent="0" rank="0" text="" dxfId="1">
      <formula>0</formula>
    </cfRule>
  </conditionalFormatting>
  <conditionalFormatting sqref="E631">
    <cfRule type="cellIs" priority="1252" operator="greaterThan" aboveAverage="0" equalAverage="0" bottom="0" percent="0" rank="0" text="" dxfId="0">
      <formula>0</formula>
    </cfRule>
    <cfRule type="cellIs" priority="1253" operator="lessThan" aboveAverage="0" equalAverage="0" bottom="0" percent="0" rank="0" text="" dxfId="1">
      <formula>0</formula>
    </cfRule>
  </conditionalFormatting>
  <conditionalFormatting sqref="E632">
    <cfRule type="cellIs" priority="1254" operator="greaterThan" aboveAverage="0" equalAverage="0" bottom="0" percent="0" rank="0" text="" dxfId="0">
      <formula>0</formula>
    </cfRule>
    <cfRule type="cellIs" priority="1255" operator="lessThan" aboveAverage="0" equalAverage="0" bottom="0" percent="0" rank="0" text="" dxfId="1">
      <formula>0</formula>
    </cfRule>
  </conditionalFormatting>
  <conditionalFormatting sqref="E633">
    <cfRule type="cellIs" priority="1256" operator="greaterThan" aboveAverage="0" equalAverage="0" bottom="0" percent="0" rank="0" text="" dxfId="0">
      <formula>0</formula>
    </cfRule>
    <cfRule type="cellIs" priority="1257" operator="lessThan" aboveAverage="0" equalAverage="0" bottom="0" percent="0" rank="0" text="" dxfId="1">
      <formula>0</formula>
    </cfRule>
  </conditionalFormatting>
  <conditionalFormatting sqref="E634">
    <cfRule type="cellIs" priority="1258" operator="greaterThan" aboveAverage="0" equalAverage="0" bottom="0" percent="0" rank="0" text="" dxfId="0">
      <formula>0</formula>
    </cfRule>
    <cfRule type="cellIs" priority="1259" operator="lessThan" aboveAverage="0" equalAverage="0" bottom="0" percent="0" rank="0" text="" dxfId="1">
      <formula>0</formula>
    </cfRule>
  </conditionalFormatting>
  <conditionalFormatting sqref="E635">
    <cfRule type="cellIs" priority="1260" operator="greaterThan" aboveAverage="0" equalAverage="0" bottom="0" percent="0" rank="0" text="" dxfId="0">
      <formula>0</formula>
    </cfRule>
    <cfRule type="cellIs" priority="1261" operator="lessThan" aboveAverage="0" equalAverage="0" bottom="0" percent="0" rank="0" text="" dxfId="1">
      <formula>0</formula>
    </cfRule>
  </conditionalFormatting>
  <conditionalFormatting sqref="E636">
    <cfRule type="cellIs" priority="1262" operator="greaterThan" aboveAverage="0" equalAverage="0" bottom="0" percent="0" rank="0" text="" dxfId="0">
      <formula>0</formula>
    </cfRule>
    <cfRule type="cellIs" priority="1263" operator="lessThan" aboveAverage="0" equalAverage="0" bottom="0" percent="0" rank="0" text="" dxfId="1">
      <formula>0</formula>
    </cfRule>
  </conditionalFormatting>
  <conditionalFormatting sqref="E637">
    <cfRule type="cellIs" priority="1264" operator="greaterThan" aboveAverage="0" equalAverage="0" bottom="0" percent="0" rank="0" text="" dxfId="0">
      <formula>0</formula>
    </cfRule>
    <cfRule type="cellIs" priority="1265" operator="lessThan" aboveAverage="0" equalAverage="0" bottom="0" percent="0" rank="0" text="" dxfId="1">
      <formula>0</formula>
    </cfRule>
  </conditionalFormatting>
  <conditionalFormatting sqref="E638">
    <cfRule type="cellIs" priority="1266" operator="greaterThan" aboveAverage="0" equalAverage="0" bottom="0" percent="0" rank="0" text="" dxfId="0">
      <formula>0</formula>
    </cfRule>
    <cfRule type="cellIs" priority="1267" operator="lessThan" aboveAverage="0" equalAverage="0" bottom="0" percent="0" rank="0" text="" dxfId="1">
      <formula>0</formula>
    </cfRule>
  </conditionalFormatting>
  <conditionalFormatting sqref="E639">
    <cfRule type="cellIs" priority="1268" operator="greaterThan" aboveAverage="0" equalAverage="0" bottom="0" percent="0" rank="0" text="" dxfId="0">
      <formula>0</formula>
    </cfRule>
    <cfRule type="cellIs" priority="1269" operator="lessThan" aboveAverage="0" equalAverage="0" bottom="0" percent="0" rank="0" text="" dxfId="1">
      <formula>0</formula>
    </cfRule>
  </conditionalFormatting>
  <conditionalFormatting sqref="E640">
    <cfRule type="cellIs" priority="1270" operator="greaterThan" aboveAverage="0" equalAverage="0" bottom="0" percent="0" rank="0" text="" dxfId="0">
      <formula>0</formula>
    </cfRule>
    <cfRule type="cellIs" priority="1271" operator="lessThan" aboveAverage="0" equalAverage="0" bottom="0" percent="0" rank="0" text="" dxfId="1">
      <formula>0</formula>
    </cfRule>
  </conditionalFormatting>
  <conditionalFormatting sqref="E641">
    <cfRule type="cellIs" priority="1272" operator="greaterThan" aboveAverage="0" equalAverage="0" bottom="0" percent="0" rank="0" text="" dxfId="0">
      <formula>0</formula>
    </cfRule>
    <cfRule type="cellIs" priority="1273" operator="lessThan" aboveAverage="0" equalAverage="0" bottom="0" percent="0" rank="0" text="" dxfId="1">
      <formula>0</formula>
    </cfRule>
  </conditionalFormatting>
  <conditionalFormatting sqref="E642">
    <cfRule type="cellIs" priority="1274" operator="greaterThan" aboveAverage="0" equalAverage="0" bottom="0" percent="0" rank="0" text="" dxfId="0">
      <formula>0</formula>
    </cfRule>
    <cfRule type="cellIs" priority="1275" operator="lessThan" aboveAverage="0" equalAverage="0" bottom="0" percent="0" rank="0" text="" dxfId="1">
      <formula>0</formula>
    </cfRule>
  </conditionalFormatting>
  <conditionalFormatting sqref="E643">
    <cfRule type="cellIs" priority="1276" operator="greaterThan" aboveAverage="0" equalAverage="0" bottom="0" percent="0" rank="0" text="" dxfId="0">
      <formula>0</formula>
    </cfRule>
    <cfRule type="cellIs" priority="1277" operator="lessThan" aboveAverage="0" equalAverage="0" bottom="0" percent="0" rank="0" text="" dxfId="1">
      <formula>0</formula>
    </cfRule>
  </conditionalFormatting>
  <conditionalFormatting sqref="E644">
    <cfRule type="cellIs" priority="1278" operator="greaterThan" aboveAverage="0" equalAverage="0" bottom="0" percent="0" rank="0" text="" dxfId="0">
      <formula>0</formula>
    </cfRule>
    <cfRule type="cellIs" priority="1279" operator="lessThan" aboveAverage="0" equalAverage="0" bottom="0" percent="0" rank="0" text="" dxfId="1">
      <formula>0</formula>
    </cfRule>
  </conditionalFormatting>
  <conditionalFormatting sqref="E645">
    <cfRule type="cellIs" priority="1280" operator="greaterThan" aboveAverage="0" equalAverage="0" bottom="0" percent="0" rank="0" text="" dxfId="0">
      <formula>0</formula>
    </cfRule>
    <cfRule type="cellIs" priority="1281" operator="lessThan" aboveAverage="0" equalAverage="0" bottom="0" percent="0" rank="0" text="" dxfId="1">
      <formula>0</formula>
    </cfRule>
  </conditionalFormatting>
  <conditionalFormatting sqref="E646">
    <cfRule type="cellIs" priority="1282" operator="greaterThan" aboveAverage="0" equalAverage="0" bottom="0" percent="0" rank="0" text="" dxfId="0">
      <formula>0</formula>
    </cfRule>
    <cfRule type="cellIs" priority="1283" operator="lessThan" aboveAverage="0" equalAverage="0" bottom="0" percent="0" rank="0" text="" dxfId="1">
      <formula>0</formula>
    </cfRule>
  </conditionalFormatting>
  <conditionalFormatting sqref="E647">
    <cfRule type="cellIs" priority="1284" operator="greaterThan" aboveAverage="0" equalAverage="0" bottom="0" percent="0" rank="0" text="" dxfId="0">
      <formula>0</formula>
    </cfRule>
    <cfRule type="cellIs" priority="1285" operator="lessThan" aboveAverage="0" equalAverage="0" bottom="0" percent="0" rank="0" text="" dxfId="1">
      <formula>0</formula>
    </cfRule>
  </conditionalFormatting>
  <conditionalFormatting sqref="E648">
    <cfRule type="cellIs" priority="1286" operator="greaterThan" aboveAverage="0" equalAverage="0" bottom="0" percent="0" rank="0" text="" dxfId="0">
      <formula>0</formula>
    </cfRule>
    <cfRule type="cellIs" priority="1287" operator="lessThan" aboveAverage="0" equalAverage="0" bottom="0" percent="0" rank="0" text="" dxfId="1">
      <formula>0</formula>
    </cfRule>
  </conditionalFormatting>
  <conditionalFormatting sqref="E649">
    <cfRule type="cellIs" priority="1288" operator="greaterThan" aboveAverage="0" equalAverage="0" bottom="0" percent="0" rank="0" text="" dxfId="0">
      <formula>0</formula>
    </cfRule>
    <cfRule type="cellIs" priority="1289" operator="lessThan" aboveAverage="0" equalAverage="0" bottom="0" percent="0" rank="0" text="" dxfId="1">
      <formula>0</formula>
    </cfRule>
  </conditionalFormatting>
  <conditionalFormatting sqref="E650">
    <cfRule type="cellIs" priority="1290" operator="greaterThan" aboveAverage="0" equalAverage="0" bottom="0" percent="0" rank="0" text="" dxfId="0">
      <formula>0</formula>
    </cfRule>
    <cfRule type="cellIs" priority="1291" operator="lessThan" aboveAverage="0" equalAverage="0" bottom="0" percent="0" rank="0" text="" dxfId="1">
      <formula>0</formula>
    </cfRule>
  </conditionalFormatting>
  <conditionalFormatting sqref="E651">
    <cfRule type="cellIs" priority="1292" operator="greaterThan" aboveAverage="0" equalAverage="0" bottom="0" percent="0" rank="0" text="" dxfId="0">
      <formula>0</formula>
    </cfRule>
    <cfRule type="cellIs" priority="1293" operator="lessThan" aboveAverage="0" equalAverage="0" bottom="0" percent="0" rank="0" text="" dxfId="1">
      <formula>0</formula>
    </cfRule>
  </conditionalFormatting>
  <conditionalFormatting sqref="E652">
    <cfRule type="cellIs" priority="1294" operator="greaterThan" aboveAverage="0" equalAverage="0" bottom="0" percent="0" rank="0" text="" dxfId="0">
      <formula>0</formula>
    </cfRule>
    <cfRule type="cellIs" priority="1295" operator="lessThan" aboveAverage="0" equalAverage="0" bottom="0" percent="0" rank="0" text="" dxfId="1">
      <formula>0</formula>
    </cfRule>
  </conditionalFormatting>
  <conditionalFormatting sqref="E653">
    <cfRule type="cellIs" priority="1296" operator="greaterThan" aboveAverage="0" equalAverage="0" bottom="0" percent="0" rank="0" text="" dxfId="0">
      <formula>0</formula>
    </cfRule>
    <cfRule type="cellIs" priority="1297" operator="lessThan" aboveAverage="0" equalAverage="0" bottom="0" percent="0" rank="0" text="" dxfId="1">
      <formula>0</formula>
    </cfRule>
  </conditionalFormatting>
  <conditionalFormatting sqref="E654">
    <cfRule type="cellIs" priority="1298" operator="greaterThan" aboveAverage="0" equalAverage="0" bottom="0" percent="0" rank="0" text="" dxfId="0">
      <formula>0</formula>
    </cfRule>
    <cfRule type="cellIs" priority="1299" operator="lessThan" aboveAverage="0" equalAverage="0" bottom="0" percent="0" rank="0" text="" dxfId="1">
      <formula>0</formula>
    </cfRule>
  </conditionalFormatting>
  <conditionalFormatting sqref="E655">
    <cfRule type="cellIs" priority="1300" operator="greaterThan" aboveAverage="0" equalAverage="0" bottom="0" percent="0" rank="0" text="" dxfId="0">
      <formula>0</formula>
    </cfRule>
    <cfRule type="cellIs" priority="1301" operator="lessThan" aboveAverage="0" equalAverage="0" bottom="0" percent="0" rank="0" text="" dxfId="1">
      <formula>0</formula>
    </cfRule>
  </conditionalFormatting>
  <conditionalFormatting sqref="E656">
    <cfRule type="cellIs" priority="1302" operator="greaterThan" aboveAverage="0" equalAverage="0" bottom="0" percent="0" rank="0" text="" dxfId="0">
      <formula>0</formula>
    </cfRule>
    <cfRule type="cellIs" priority="1303" operator="lessThan" aboveAverage="0" equalAverage="0" bottom="0" percent="0" rank="0" text="" dxfId="1">
      <formula>0</formula>
    </cfRule>
  </conditionalFormatting>
  <conditionalFormatting sqref="E657">
    <cfRule type="cellIs" priority="1304" operator="greaterThan" aboveAverage="0" equalAverage="0" bottom="0" percent="0" rank="0" text="" dxfId="0">
      <formula>0</formula>
    </cfRule>
    <cfRule type="cellIs" priority="1305" operator="lessThan" aboveAverage="0" equalAverage="0" bottom="0" percent="0" rank="0" text="" dxfId="1">
      <formula>0</formula>
    </cfRule>
  </conditionalFormatting>
  <conditionalFormatting sqref="E658">
    <cfRule type="cellIs" priority="1306" operator="greaterThan" aboveAverage="0" equalAverage="0" bottom="0" percent="0" rank="0" text="" dxfId="0">
      <formula>0</formula>
    </cfRule>
    <cfRule type="cellIs" priority="1307" operator="lessThan" aboveAverage="0" equalAverage="0" bottom="0" percent="0" rank="0" text="" dxfId="1">
      <formula>0</formula>
    </cfRule>
  </conditionalFormatting>
  <conditionalFormatting sqref="E659">
    <cfRule type="cellIs" priority="1308" operator="greaterThan" aboveAverage="0" equalAverage="0" bottom="0" percent="0" rank="0" text="" dxfId="0">
      <formula>0</formula>
    </cfRule>
    <cfRule type="cellIs" priority="1309" operator="lessThan" aboveAverage="0" equalAverage="0" bottom="0" percent="0" rank="0" text="" dxfId="1">
      <formula>0</formula>
    </cfRule>
  </conditionalFormatting>
  <conditionalFormatting sqref="E660">
    <cfRule type="cellIs" priority="1310" operator="greaterThan" aboveAverage="0" equalAverage="0" bottom="0" percent="0" rank="0" text="" dxfId="0">
      <formula>0</formula>
    </cfRule>
    <cfRule type="cellIs" priority="1311" operator="lessThan" aboveAverage="0" equalAverage="0" bottom="0" percent="0" rank="0" text="" dxfId="1">
      <formula>0</formula>
    </cfRule>
  </conditionalFormatting>
  <conditionalFormatting sqref="E661">
    <cfRule type="cellIs" priority="1312" operator="greaterThan" aboveAverage="0" equalAverage="0" bottom="0" percent="0" rank="0" text="" dxfId="0">
      <formula>0</formula>
    </cfRule>
    <cfRule type="cellIs" priority="1313" operator="lessThan" aboveAverage="0" equalAverage="0" bottom="0" percent="0" rank="0" text="" dxfId="1">
      <formula>0</formula>
    </cfRule>
  </conditionalFormatting>
  <conditionalFormatting sqref="E662">
    <cfRule type="cellIs" priority="1314" operator="greaterThan" aboveAverage="0" equalAverage="0" bottom="0" percent="0" rank="0" text="" dxfId="0">
      <formula>0</formula>
    </cfRule>
    <cfRule type="cellIs" priority="1315" operator="lessThan" aboveAverage="0" equalAverage="0" bottom="0" percent="0" rank="0" text="" dxfId="1">
      <formula>0</formula>
    </cfRule>
  </conditionalFormatting>
  <conditionalFormatting sqref="E663">
    <cfRule type="cellIs" priority="1316" operator="greaterThan" aboveAverage="0" equalAverage="0" bottom="0" percent="0" rank="0" text="" dxfId="0">
      <formula>0</formula>
    </cfRule>
    <cfRule type="cellIs" priority="1317" operator="lessThan" aboveAverage="0" equalAverage="0" bottom="0" percent="0" rank="0" text="" dxfId="1">
      <formula>0</formula>
    </cfRule>
  </conditionalFormatting>
  <conditionalFormatting sqref="E664">
    <cfRule type="cellIs" priority="1318" operator="greaterThan" aboveAverage="0" equalAverage="0" bottom="0" percent="0" rank="0" text="" dxfId="0">
      <formula>0</formula>
    </cfRule>
    <cfRule type="cellIs" priority="1319" operator="lessThan" aboveAverage="0" equalAverage="0" bottom="0" percent="0" rank="0" text="" dxfId="1">
      <formula>0</formula>
    </cfRule>
  </conditionalFormatting>
  <conditionalFormatting sqref="E665">
    <cfRule type="cellIs" priority="1320" operator="greaterThan" aboveAverage="0" equalAverage="0" bottom="0" percent="0" rank="0" text="" dxfId="0">
      <formula>0</formula>
    </cfRule>
    <cfRule type="cellIs" priority="1321" operator="lessThan" aboveAverage="0" equalAverage="0" bottom="0" percent="0" rank="0" text="" dxfId="1">
      <formula>0</formula>
    </cfRule>
  </conditionalFormatting>
  <conditionalFormatting sqref="E666">
    <cfRule type="cellIs" priority="1322" operator="greaterThan" aboveAverage="0" equalAverage="0" bottom="0" percent="0" rank="0" text="" dxfId="0">
      <formula>0</formula>
    </cfRule>
    <cfRule type="cellIs" priority="1323" operator="lessThan" aboveAverage="0" equalAverage="0" bottom="0" percent="0" rank="0" text="" dxfId="1">
      <formula>0</formula>
    </cfRule>
  </conditionalFormatting>
  <conditionalFormatting sqref="E667">
    <cfRule type="cellIs" priority="1324" operator="greaterThan" aboveAverage="0" equalAverage="0" bottom="0" percent="0" rank="0" text="" dxfId="0">
      <formula>0</formula>
    </cfRule>
    <cfRule type="cellIs" priority="1325" operator="lessThan" aboveAverage="0" equalAverage="0" bottom="0" percent="0" rank="0" text="" dxfId="1">
      <formula>0</formula>
    </cfRule>
  </conditionalFormatting>
  <conditionalFormatting sqref="E668">
    <cfRule type="cellIs" priority="1326" operator="greaterThan" aboveAverage="0" equalAverage="0" bottom="0" percent="0" rank="0" text="" dxfId="0">
      <formula>0</formula>
    </cfRule>
    <cfRule type="cellIs" priority="1327" operator="lessThan" aboveAverage="0" equalAverage="0" bottom="0" percent="0" rank="0" text="" dxfId="1">
      <formula>0</formula>
    </cfRule>
  </conditionalFormatting>
  <conditionalFormatting sqref="E669">
    <cfRule type="cellIs" priority="1328" operator="greaterThan" aboveAverage="0" equalAverage="0" bottom="0" percent="0" rank="0" text="" dxfId="0">
      <formula>0</formula>
    </cfRule>
    <cfRule type="cellIs" priority="1329" operator="lessThan" aboveAverage="0" equalAverage="0" bottom="0" percent="0" rank="0" text="" dxfId="1">
      <formula>0</formula>
    </cfRule>
  </conditionalFormatting>
  <conditionalFormatting sqref="E670">
    <cfRule type="cellIs" priority="1330" operator="greaterThan" aboveAverage="0" equalAverage="0" bottom="0" percent="0" rank="0" text="" dxfId="0">
      <formula>0</formula>
    </cfRule>
    <cfRule type="cellIs" priority="1331" operator="lessThan" aboveAverage="0" equalAverage="0" bottom="0" percent="0" rank="0" text="" dxfId="1">
      <formula>0</formula>
    </cfRule>
  </conditionalFormatting>
  <conditionalFormatting sqref="E671">
    <cfRule type="cellIs" priority="1332" operator="greaterThan" aboveAverage="0" equalAverage="0" bottom="0" percent="0" rank="0" text="" dxfId="0">
      <formula>0</formula>
    </cfRule>
    <cfRule type="cellIs" priority="1333" operator="lessThan" aboveAverage="0" equalAverage="0" bottom="0" percent="0" rank="0" text="" dxfId="1">
      <formula>0</formula>
    </cfRule>
  </conditionalFormatting>
  <conditionalFormatting sqref="E672">
    <cfRule type="cellIs" priority="1334" operator="greaterThan" aboveAverage="0" equalAverage="0" bottom="0" percent="0" rank="0" text="" dxfId="0">
      <formula>0</formula>
    </cfRule>
    <cfRule type="cellIs" priority="1335" operator="lessThan" aboveAverage="0" equalAverage="0" bottom="0" percent="0" rank="0" text="" dxfId="1">
      <formula>0</formula>
    </cfRule>
  </conditionalFormatting>
  <conditionalFormatting sqref="E673">
    <cfRule type="cellIs" priority="1336" operator="greaterThan" aboveAverage="0" equalAverage="0" bottom="0" percent="0" rank="0" text="" dxfId="0">
      <formula>0</formula>
    </cfRule>
    <cfRule type="cellIs" priority="1337" operator="lessThan" aboveAverage="0" equalAverage="0" bottom="0" percent="0" rank="0" text="" dxfId="1">
      <formula>0</formula>
    </cfRule>
  </conditionalFormatting>
  <conditionalFormatting sqref="E674">
    <cfRule type="cellIs" priority="1338" operator="greaterThan" aboveAverage="0" equalAverage="0" bottom="0" percent="0" rank="0" text="" dxfId="0">
      <formula>0</formula>
    </cfRule>
    <cfRule type="cellIs" priority="1339" operator="lessThan" aboveAverage="0" equalAverage="0" bottom="0" percent="0" rank="0" text="" dxfId="1">
      <formula>0</formula>
    </cfRule>
  </conditionalFormatting>
  <conditionalFormatting sqref="E675">
    <cfRule type="cellIs" priority="1340" operator="greaterThan" aboveAverage="0" equalAverage="0" bottom="0" percent="0" rank="0" text="" dxfId="0">
      <formula>0</formula>
    </cfRule>
    <cfRule type="cellIs" priority="1341" operator="lessThan" aboveAverage="0" equalAverage="0" bottom="0" percent="0" rank="0" text="" dxfId="1">
      <formula>0</formula>
    </cfRule>
  </conditionalFormatting>
  <conditionalFormatting sqref="E676">
    <cfRule type="cellIs" priority="1342" operator="greaterThan" aboveAverage="0" equalAverage="0" bottom="0" percent="0" rank="0" text="" dxfId="0">
      <formula>0</formula>
    </cfRule>
    <cfRule type="cellIs" priority="1343" operator="lessThan" aboveAverage="0" equalAverage="0" bottom="0" percent="0" rank="0" text="" dxfId="1">
      <formula>0</formula>
    </cfRule>
  </conditionalFormatting>
  <conditionalFormatting sqref="E677">
    <cfRule type="cellIs" priority="1344" operator="greaterThan" aboveAverage="0" equalAverage="0" bottom="0" percent="0" rank="0" text="" dxfId="0">
      <formula>0</formula>
    </cfRule>
    <cfRule type="cellIs" priority="1345" operator="lessThan" aboveAverage="0" equalAverage="0" bottom="0" percent="0" rank="0" text="" dxfId="1">
      <formula>0</formula>
    </cfRule>
  </conditionalFormatting>
  <conditionalFormatting sqref="E678">
    <cfRule type="cellIs" priority="1346" operator="greaterThan" aboveAverage="0" equalAverage="0" bottom="0" percent="0" rank="0" text="" dxfId="0">
      <formula>0</formula>
    </cfRule>
    <cfRule type="cellIs" priority="1347" operator="lessThan" aboveAverage="0" equalAverage="0" bottom="0" percent="0" rank="0" text="" dxfId="1">
      <formula>0</formula>
    </cfRule>
  </conditionalFormatting>
  <conditionalFormatting sqref="E679">
    <cfRule type="cellIs" priority="1348" operator="greaterThan" aboveAverage="0" equalAverage="0" bottom="0" percent="0" rank="0" text="" dxfId="0">
      <formula>0</formula>
    </cfRule>
    <cfRule type="cellIs" priority="1349" operator="lessThan" aboveAverage="0" equalAverage="0" bottom="0" percent="0" rank="0" text="" dxfId="1">
      <formula>0</formula>
    </cfRule>
  </conditionalFormatting>
  <conditionalFormatting sqref="E680">
    <cfRule type="cellIs" priority="1350" operator="greaterThan" aboveAverage="0" equalAverage="0" bottom="0" percent="0" rank="0" text="" dxfId="0">
      <formula>0</formula>
    </cfRule>
    <cfRule type="cellIs" priority="1351" operator="lessThan" aboveAverage="0" equalAverage="0" bottom="0" percent="0" rank="0" text="" dxfId="1">
      <formula>0</formula>
    </cfRule>
  </conditionalFormatting>
  <conditionalFormatting sqref="E681">
    <cfRule type="cellIs" priority="1352" operator="greaterThan" aboveAverage="0" equalAverage="0" bottom="0" percent="0" rank="0" text="" dxfId="0">
      <formula>0</formula>
    </cfRule>
    <cfRule type="cellIs" priority="1353" operator="lessThan" aboveAverage="0" equalAverage="0" bottom="0" percent="0" rank="0" text="" dxfId="1">
      <formula>0</formula>
    </cfRule>
  </conditionalFormatting>
  <conditionalFormatting sqref="E682">
    <cfRule type="cellIs" priority="1354" operator="greaterThan" aboveAverage="0" equalAverage="0" bottom="0" percent="0" rank="0" text="" dxfId="0">
      <formula>0</formula>
    </cfRule>
    <cfRule type="cellIs" priority="1355" operator="lessThan" aboveAverage="0" equalAverage="0" bottom="0" percent="0" rank="0" text="" dxfId="1">
      <formula>0</formula>
    </cfRule>
  </conditionalFormatting>
  <conditionalFormatting sqref="E683">
    <cfRule type="cellIs" priority="1356" operator="greaterThan" aboveAverage="0" equalAverage="0" bottom="0" percent="0" rank="0" text="" dxfId="0">
      <formula>0</formula>
    </cfRule>
    <cfRule type="cellIs" priority="1357" operator="lessThan" aboveAverage="0" equalAverage="0" bottom="0" percent="0" rank="0" text="" dxfId="1">
      <formula>0</formula>
    </cfRule>
  </conditionalFormatting>
  <conditionalFormatting sqref="E684">
    <cfRule type="cellIs" priority="1358" operator="greaterThan" aboveAverage="0" equalAverage="0" bottom="0" percent="0" rank="0" text="" dxfId="0">
      <formula>0</formula>
    </cfRule>
    <cfRule type="cellIs" priority="1359" operator="lessThan" aboveAverage="0" equalAverage="0" bottom="0" percent="0" rank="0" text="" dxfId="1">
      <formula>0</formula>
    </cfRule>
  </conditionalFormatting>
  <conditionalFormatting sqref="E685">
    <cfRule type="cellIs" priority="1360" operator="greaterThan" aboveAverage="0" equalAverage="0" bottom="0" percent="0" rank="0" text="" dxfId="0">
      <formula>0</formula>
    </cfRule>
    <cfRule type="cellIs" priority="1361" operator="lessThan" aboveAverage="0" equalAverage="0" bottom="0" percent="0" rank="0" text="" dxfId="1">
      <formula>0</formula>
    </cfRule>
  </conditionalFormatting>
  <conditionalFormatting sqref="E686">
    <cfRule type="cellIs" priority="1362" operator="greaterThan" aboveAverage="0" equalAverage="0" bottom="0" percent="0" rank="0" text="" dxfId="0">
      <formula>0</formula>
    </cfRule>
    <cfRule type="cellIs" priority="1363" operator="lessThan" aboveAverage="0" equalAverage="0" bottom="0" percent="0" rank="0" text="" dxfId="1">
      <formula>0</formula>
    </cfRule>
  </conditionalFormatting>
  <conditionalFormatting sqref="E687">
    <cfRule type="cellIs" priority="1364" operator="greaterThan" aboveAverage="0" equalAverage="0" bottom="0" percent="0" rank="0" text="" dxfId="0">
      <formula>0</formula>
    </cfRule>
    <cfRule type="cellIs" priority="1365" operator="lessThan" aboveAverage="0" equalAverage="0" bottom="0" percent="0" rank="0" text="" dxfId="1">
      <formula>0</formula>
    </cfRule>
  </conditionalFormatting>
  <conditionalFormatting sqref="E688">
    <cfRule type="cellIs" priority="1366" operator="greaterThan" aboveAverage="0" equalAverage="0" bottom="0" percent="0" rank="0" text="" dxfId="0">
      <formula>0</formula>
    </cfRule>
    <cfRule type="cellIs" priority="1367" operator="lessThan" aboveAverage="0" equalAverage="0" bottom="0" percent="0" rank="0" text="" dxfId="1">
      <formula>0</formula>
    </cfRule>
  </conditionalFormatting>
  <conditionalFormatting sqref="E689">
    <cfRule type="cellIs" priority="1368" operator="greaterThan" aboveAverage="0" equalAverage="0" bottom="0" percent="0" rank="0" text="" dxfId="0">
      <formula>0</formula>
    </cfRule>
    <cfRule type="cellIs" priority="1369" operator="lessThan" aboveAverage="0" equalAverage="0" bottom="0" percent="0" rank="0" text="" dxfId="1">
      <formula>0</formula>
    </cfRule>
  </conditionalFormatting>
  <conditionalFormatting sqref="E690">
    <cfRule type="cellIs" priority="1370" operator="greaterThan" aboveAverage="0" equalAverage="0" bottom="0" percent="0" rank="0" text="" dxfId="0">
      <formula>0</formula>
    </cfRule>
    <cfRule type="cellIs" priority="1371" operator="lessThan" aboveAverage="0" equalAverage="0" bottom="0" percent="0" rank="0" text="" dxfId="1">
      <formula>0</formula>
    </cfRule>
  </conditionalFormatting>
  <conditionalFormatting sqref="E691">
    <cfRule type="cellIs" priority="1372" operator="greaterThan" aboveAverage="0" equalAverage="0" bottom="0" percent="0" rank="0" text="" dxfId="0">
      <formula>0</formula>
    </cfRule>
    <cfRule type="cellIs" priority="1373" operator="lessThan" aboveAverage="0" equalAverage="0" bottom="0" percent="0" rank="0" text="" dxfId="1">
      <formula>0</formula>
    </cfRule>
  </conditionalFormatting>
  <conditionalFormatting sqref="E692">
    <cfRule type="cellIs" priority="1374" operator="greaterThan" aboveAverage="0" equalAverage="0" bottom="0" percent="0" rank="0" text="" dxfId="0">
      <formula>0</formula>
    </cfRule>
    <cfRule type="cellIs" priority="1375" operator="lessThan" aboveAverage="0" equalAverage="0" bottom="0" percent="0" rank="0" text="" dxfId="1">
      <formula>0</formula>
    </cfRule>
  </conditionalFormatting>
  <conditionalFormatting sqref="E693">
    <cfRule type="cellIs" priority="1376" operator="greaterThan" aboveAverage="0" equalAverage="0" bottom="0" percent="0" rank="0" text="" dxfId="0">
      <formula>0</formula>
    </cfRule>
    <cfRule type="cellIs" priority="1377" operator="lessThan" aboveAverage="0" equalAverage="0" bottom="0" percent="0" rank="0" text="" dxfId="1">
      <formula>0</formula>
    </cfRule>
  </conditionalFormatting>
  <conditionalFormatting sqref="E694">
    <cfRule type="cellIs" priority="1378" operator="greaterThan" aboveAverage="0" equalAverage="0" bottom="0" percent="0" rank="0" text="" dxfId="0">
      <formula>0</formula>
    </cfRule>
    <cfRule type="cellIs" priority="1379" operator="lessThan" aboveAverage="0" equalAverage="0" bottom="0" percent="0" rank="0" text="" dxfId="1">
      <formula>0</formula>
    </cfRule>
  </conditionalFormatting>
  <conditionalFormatting sqref="E695">
    <cfRule type="cellIs" priority="1380" operator="greaterThan" aboveAverage="0" equalAverage="0" bottom="0" percent="0" rank="0" text="" dxfId="0">
      <formula>0</formula>
    </cfRule>
    <cfRule type="cellIs" priority="1381" operator="lessThan" aboveAverage="0" equalAverage="0" bottom="0" percent="0" rank="0" text="" dxfId="1">
      <formula>0</formula>
    </cfRule>
  </conditionalFormatting>
  <conditionalFormatting sqref="E696">
    <cfRule type="cellIs" priority="1382" operator="greaterThan" aboveAverage="0" equalAverage="0" bottom="0" percent="0" rank="0" text="" dxfId="0">
      <formula>0</formula>
    </cfRule>
    <cfRule type="cellIs" priority="1383" operator="lessThan" aboveAverage="0" equalAverage="0" bottom="0" percent="0" rank="0" text="" dxfId="1">
      <formula>0</formula>
    </cfRule>
  </conditionalFormatting>
  <conditionalFormatting sqref="E697">
    <cfRule type="cellIs" priority="1384" operator="greaterThan" aboveAverage="0" equalAverage="0" bottom="0" percent="0" rank="0" text="" dxfId="0">
      <formula>0</formula>
    </cfRule>
    <cfRule type="cellIs" priority="1385" operator="lessThan" aboveAverage="0" equalAverage="0" bottom="0" percent="0" rank="0" text="" dxfId="1">
      <formula>0</formula>
    </cfRule>
  </conditionalFormatting>
  <conditionalFormatting sqref="E698">
    <cfRule type="cellIs" priority="1386" operator="greaterThan" aboveAverage="0" equalAverage="0" bottom="0" percent="0" rank="0" text="" dxfId="0">
      <formula>0</formula>
    </cfRule>
    <cfRule type="cellIs" priority="1387" operator="lessThan" aboveAverage="0" equalAverage="0" bottom="0" percent="0" rank="0" text="" dxfId="1">
      <formula>0</formula>
    </cfRule>
  </conditionalFormatting>
  <conditionalFormatting sqref="E699">
    <cfRule type="cellIs" priority="1388" operator="greaterThan" aboveAverage="0" equalAverage="0" bottom="0" percent="0" rank="0" text="" dxfId="0">
      <formula>0</formula>
    </cfRule>
    <cfRule type="cellIs" priority="1389" operator="lessThan" aboveAverage="0" equalAverage="0" bottom="0" percent="0" rank="0" text="" dxfId="1">
      <formula>0</formula>
    </cfRule>
  </conditionalFormatting>
  <conditionalFormatting sqref="E700">
    <cfRule type="cellIs" priority="1390" operator="greaterThan" aboveAverage="0" equalAverage="0" bottom="0" percent="0" rank="0" text="" dxfId="0">
      <formula>0</formula>
    </cfRule>
    <cfRule type="cellIs" priority="1391" operator="lessThan" aboveAverage="0" equalAverage="0" bottom="0" percent="0" rank="0" text="" dxfId="1">
      <formula>0</formula>
    </cfRule>
  </conditionalFormatting>
  <conditionalFormatting sqref="E701">
    <cfRule type="cellIs" priority="1392" operator="greaterThan" aboveAverage="0" equalAverage="0" bottom="0" percent="0" rank="0" text="" dxfId="0">
      <formula>0</formula>
    </cfRule>
    <cfRule type="cellIs" priority="1393" operator="lessThan" aboveAverage="0" equalAverage="0" bottom="0" percent="0" rank="0" text="" dxfId="1">
      <formula>0</formula>
    </cfRule>
  </conditionalFormatting>
  <conditionalFormatting sqref="E702">
    <cfRule type="cellIs" priority="1394" operator="greaterThan" aboveAverage="0" equalAverage="0" bottom="0" percent="0" rank="0" text="" dxfId="0">
      <formula>0</formula>
    </cfRule>
    <cfRule type="cellIs" priority="1395" operator="lessThan" aboveAverage="0" equalAverage="0" bottom="0" percent="0" rank="0" text="" dxfId="1">
      <formula>0</formula>
    </cfRule>
  </conditionalFormatting>
  <conditionalFormatting sqref="E703">
    <cfRule type="cellIs" priority="1396" operator="greaterThan" aboveAverage="0" equalAverage="0" bottom="0" percent="0" rank="0" text="" dxfId="0">
      <formula>0</formula>
    </cfRule>
    <cfRule type="cellIs" priority="1397" operator="lessThan" aboveAverage="0" equalAverage="0" bottom="0" percent="0" rank="0" text="" dxfId="1">
      <formula>0</formula>
    </cfRule>
  </conditionalFormatting>
  <conditionalFormatting sqref="E704">
    <cfRule type="cellIs" priority="1398" operator="greaterThan" aboveAverage="0" equalAverage="0" bottom="0" percent="0" rank="0" text="" dxfId="0">
      <formula>0</formula>
    </cfRule>
    <cfRule type="cellIs" priority="1399" operator="lessThan" aboveAverage="0" equalAverage="0" bottom="0" percent="0" rank="0" text="" dxfId="1">
      <formula>0</formula>
    </cfRule>
  </conditionalFormatting>
  <conditionalFormatting sqref="E705">
    <cfRule type="cellIs" priority="1400" operator="greaterThan" aboveAverage="0" equalAverage="0" bottom="0" percent="0" rank="0" text="" dxfId="0">
      <formula>0</formula>
    </cfRule>
    <cfRule type="cellIs" priority="1401" operator="lessThan" aboveAverage="0" equalAverage="0" bottom="0" percent="0" rank="0" text="" dxfId="1">
      <formula>0</formula>
    </cfRule>
  </conditionalFormatting>
  <conditionalFormatting sqref="E706">
    <cfRule type="cellIs" priority="1402" operator="greaterThan" aboveAverage="0" equalAverage="0" bottom="0" percent="0" rank="0" text="" dxfId="0">
      <formula>0</formula>
    </cfRule>
    <cfRule type="cellIs" priority="1403" operator="lessThan" aboveAverage="0" equalAverage="0" bottom="0" percent="0" rank="0" text="" dxfId="1">
      <formula>0</formula>
    </cfRule>
  </conditionalFormatting>
  <conditionalFormatting sqref="E707">
    <cfRule type="cellIs" priority="1404" operator="greaterThan" aboveAverage="0" equalAverage="0" bottom="0" percent="0" rank="0" text="" dxfId="0">
      <formula>0</formula>
    </cfRule>
    <cfRule type="cellIs" priority="1405" operator="lessThan" aboveAverage="0" equalAverage="0" bottom="0" percent="0" rank="0" text="" dxfId="1">
      <formula>0</formula>
    </cfRule>
  </conditionalFormatting>
  <conditionalFormatting sqref="E708">
    <cfRule type="cellIs" priority="1406" operator="greaterThan" aboveAverage="0" equalAverage="0" bottom="0" percent="0" rank="0" text="" dxfId="0">
      <formula>0</formula>
    </cfRule>
    <cfRule type="cellIs" priority="1407" operator="lessThan" aboveAverage="0" equalAverage="0" bottom="0" percent="0" rank="0" text="" dxfId="1">
      <formula>0</formula>
    </cfRule>
  </conditionalFormatting>
  <conditionalFormatting sqref="E709">
    <cfRule type="cellIs" priority="1408" operator="greaterThan" aboveAverage="0" equalAverage="0" bottom="0" percent="0" rank="0" text="" dxfId="0">
      <formula>0</formula>
    </cfRule>
    <cfRule type="cellIs" priority="1409" operator="lessThan" aboveAverage="0" equalAverage="0" bottom="0" percent="0" rank="0" text="" dxfId="1">
      <formula>0</formula>
    </cfRule>
  </conditionalFormatting>
  <conditionalFormatting sqref="E710">
    <cfRule type="cellIs" priority="1410" operator="greaterThan" aboveAverage="0" equalAverage="0" bottom="0" percent="0" rank="0" text="" dxfId="0">
      <formula>0</formula>
    </cfRule>
    <cfRule type="cellIs" priority="1411" operator="lessThan" aboveAverage="0" equalAverage="0" bottom="0" percent="0" rank="0" text="" dxfId="1">
      <formula>0</formula>
    </cfRule>
  </conditionalFormatting>
  <conditionalFormatting sqref="E711">
    <cfRule type="cellIs" priority="1412" operator="greaterThan" aboveAverage="0" equalAverage="0" bottom="0" percent="0" rank="0" text="" dxfId="0">
      <formula>0</formula>
    </cfRule>
    <cfRule type="cellIs" priority="1413" operator="lessThan" aboveAverage="0" equalAverage="0" bottom="0" percent="0" rank="0" text="" dxfId="1">
      <formula>0</formula>
    </cfRule>
  </conditionalFormatting>
  <conditionalFormatting sqref="E712">
    <cfRule type="cellIs" priority="1414" operator="greaterThan" aboveAverage="0" equalAverage="0" bottom="0" percent="0" rank="0" text="" dxfId="0">
      <formula>0</formula>
    </cfRule>
    <cfRule type="cellIs" priority="1415" operator="lessThan" aboveAverage="0" equalAverage="0" bottom="0" percent="0" rank="0" text="" dxfId="1">
      <formula>0</formula>
    </cfRule>
  </conditionalFormatting>
  <conditionalFormatting sqref="E713">
    <cfRule type="cellIs" priority="1416" operator="greaterThan" aboveAverage="0" equalAverage="0" bottom="0" percent="0" rank="0" text="" dxfId="0">
      <formula>0</formula>
    </cfRule>
    <cfRule type="cellIs" priority="1417" operator="lessThan" aboveAverage="0" equalAverage="0" bottom="0" percent="0" rank="0" text="" dxfId="1">
      <formula>0</formula>
    </cfRule>
  </conditionalFormatting>
  <conditionalFormatting sqref="E714">
    <cfRule type="cellIs" priority="1418" operator="greaterThan" aboveAverage="0" equalAverage="0" bottom="0" percent="0" rank="0" text="" dxfId="0">
      <formula>0</formula>
    </cfRule>
    <cfRule type="cellIs" priority="1419" operator="lessThan" aboveAverage="0" equalAverage="0" bottom="0" percent="0" rank="0" text="" dxfId="1">
      <formula>0</formula>
    </cfRule>
  </conditionalFormatting>
  <conditionalFormatting sqref="E715">
    <cfRule type="cellIs" priority="1420" operator="greaterThan" aboveAverage="0" equalAverage="0" bottom="0" percent="0" rank="0" text="" dxfId="0">
      <formula>0</formula>
    </cfRule>
    <cfRule type="cellIs" priority="1421" operator="lessThan" aboveAverage="0" equalAverage="0" bottom="0" percent="0" rank="0" text="" dxfId="1">
      <formula>0</formula>
    </cfRule>
  </conditionalFormatting>
  <conditionalFormatting sqref="E716">
    <cfRule type="cellIs" priority="1422" operator="greaterThan" aboveAverage="0" equalAverage="0" bottom="0" percent="0" rank="0" text="" dxfId="0">
      <formula>0</formula>
    </cfRule>
    <cfRule type="cellIs" priority="1423" operator="lessThan" aboveAverage="0" equalAverage="0" bottom="0" percent="0" rank="0" text="" dxfId="1">
      <formula>0</formula>
    </cfRule>
  </conditionalFormatting>
  <conditionalFormatting sqref="E717">
    <cfRule type="cellIs" priority="1424" operator="greaterThan" aboveAverage="0" equalAverage="0" bottom="0" percent="0" rank="0" text="" dxfId="0">
      <formula>0</formula>
    </cfRule>
    <cfRule type="cellIs" priority="1425" operator="lessThan" aboveAverage="0" equalAverage="0" bottom="0" percent="0" rank="0" text="" dxfId="1">
      <formula>0</formula>
    </cfRule>
  </conditionalFormatting>
  <conditionalFormatting sqref="E718">
    <cfRule type="cellIs" priority="1426" operator="greaterThan" aboveAverage="0" equalAverage="0" bottom="0" percent="0" rank="0" text="" dxfId="0">
      <formula>0</formula>
    </cfRule>
    <cfRule type="cellIs" priority="1427" operator="lessThan" aboveAverage="0" equalAverage="0" bottom="0" percent="0" rank="0" text="" dxfId="1">
      <formula>0</formula>
    </cfRule>
  </conditionalFormatting>
  <conditionalFormatting sqref="E719">
    <cfRule type="cellIs" priority="1428" operator="greaterThan" aboveAverage="0" equalAverage="0" bottom="0" percent="0" rank="0" text="" dxfId="0">
      <formula>0</formula>
    </cfRule>
    <cfRule type="cellIs" priority="1429" operator="lessThan" aboveAverage="0" equalAverage="0" bottom="0" percent="0" rank="0" text="" dxfId="1">
      <formula>0</formula>
    </cfRule>
  </conditionalFormatting>
  <conditionalFormatting sqref="E720">
    <cfRule type="cellIs" priority="1430" operator="greaterThan" aboveAverage="0" equalAverage="0" bottom="0" percent="0" rank="0" text="" dxfId="0">
      <formula>0</formula>
    </cfRule>
    <cfRule type="cellIs" priority="1431" operator="lessThan" aboveAverage="0" equalAverage="0" bottom="0" percent="0" rank="0" text="" dxfId="1">
      <formula>0</formula>
    </cfRule>
  </conditionalFormatting>
  <conditionalFormatting sqref="E721">
    <cfRule type="cellIs" priority="1432" operator="greaterThan" aboveAverage="0" equalAverage="0" bottom="0" percent="0" rank="0" text="" dxfId="0">
      <formula>0</formula>
    </cfRule>
    <cfRule type="cellIs" priority="1433" operator="lessThan" aboveAverage="0" equalAverage="0" bottom="0" percent="0" rank="0" text="" dxfId="1">
      <formula>0</formula>
    </cfRule>
  </conditionalFormatting>
  <conditionalFormatting sqref="E722">
    <cfRule type="cellIs" priority="1434" operator="greaterThan" aboveAverage="0" equalAverage="0" bottom="0" percent="0" rank="0" text="" dxfId="0">
      <formula>0</formula>
    </cfRule>
    <cfRule type="cellIs" priority="1435" operator="lessThan" aboveAverage="0" equalAverage="0" bottom="0" percent="0" rank="0" text="" dxfId="1">
      <formula>0</formula>
    </cfRule>
  </conditionalFormatting>
  <conditionalFormatting sqref="E723">
    <cfRule type="cellIs" priority="1436" operator="greaterThan" aboveAverage="0" equalAverage="0" bottom="0" percent="0" rank="0" text="" dxfId="0">
      <formula>0</formula>
    </cfRule>
    <cfRule type="cellIs" priority="1437" operator="lessThan" aboveAverage="0" equalAverage="0" bottom="0" percent="0" rank="0" text="" dxfId="1">
      <formula>0</formula>
    </cfRule>
  </conditionalFormatting>
  <conditionalFormatting sqref="E724">
    <cfRule type="cellIs" priority="1438" operator="greaterThan" aboveAverage="0" equalAverage="0" bottom="0" percent="0" rank="0" text="" dxfId="0">
      <formula>0</formula>
    </cfRule>
    <cfRule type="cellIs" priority="1439" operator="lessThan" aboveAverage="0" equalAverage="0" bottom="0" percent="0" rank="0" text="" dxfId="1">
      <formula>0</formula>
    </cfRule>
  </conditionalFormatting>
  <conditionalFormatting sqref="E725">
    <cfRule type="cellIs" priority="1440" operator="greaterThan" aboveAverage="0" equalAverage="0" bottom="0" percent="0" rank="0" text="" dxfId="0">
      <formula>0</formula>
    </cfRule>
    <cfRule type="cellIs" priority="1441" operator="lessThan" aboveAverage="0" equalAverage="0" bottom="0" percent="0" rank="0" text="" dxfId="1">
      <formula>0</formula>
    </cfRule>
  </conditionalFormatting>
  <conditionalFormatting sqref="E726">
    <cfRule type="cellIs" priority="1442" operator="greaterThan" aboveAverage="0" equalAverage="0" bottom="0" percent="0" rank="0" text="" dxfId="0">
      <formula>0</formula>
    </cfRule>
    <cfRule type="cellIs" priority="1443" operator="lessThan" aboveAverage="0" equalAverage="0" bottom="0" percent="0" rank="0" text="" dxfId="1">
      <formula>0</formula>
    </cfRule>
  </conditionalFormatting>
  <conditionalFormatting sqref="E727">
    <cfRule type="cellIs" priority="1444" operator="greaterThan" aboveAverage="0" equalAverage="0" bottom="0" percent="0" rank="0" text="" dxfId="0">
      <formula>0</formula>
    </cfRule>
    <cfRule type="cellIs" priority="1445" operator="lessThan" aboveAverage="0" equalAverage="0" bottom="0" percent="0" rank="0" text="" dxfId="1">
      <formula>0</formula>
    </cfRule>
  </conditionalFormatting>
  <conditionalFormatting sqref="E728">
    <cfRule type="cellIs" priority="1446" operator="greaterThan" aboveAverage="0" equalAverage="0" bottom="0" percent="0" rank="0" text="" dxfId="0">
      <formula>0</formula>
    </cfRule>
    <cfRule type="cellIs" priority="1447" operator="lessThan" aboveAverage="0" equalAverage="0" bottom="0" percent="0" rank="0" text="" dxfId="1">
      <formula>0</formula>
    </cfRule>
  </conditionalFormatting>
  <conditionalFormatting sqref="E729">
    <cfRule type="cellIs" priority="1448" operator="greaterThan" aboveAverage="0" equalAverage="0" bottom="0" percent="0" rank="0" text="" dxfId="0">
      <formula>0</formula>
    </cfRule>
    <cfRule type="cellIs" priority="1449" operator="lessThan" aboveAverage="0" equalAverage="0" bottom="0" percent="0" rank="0" text="" dxfId="1">
      <formula>0</formula>
    </cfRule>
  </conditionalFormatting>
  <conditionalFormatting sqref="E730">
    <cfRule type="cellIs" priority="1450" operator="greaterThan" aboveAverage="0" equalAverage="0" bottom="0" percent="0" rank="0" text="" dxfId="0">
      <formula>0</formula>
    </cfRule>
    <cfRule type="cellIs" priority="1451" operator="lessThan" aboveAverage="0" equalAverage="0" bottom="0" percent="0" rank="0" text="" dxfId="1">
      <formula>0</formula>
    </cfRule>
  </conditionalFormatting>
  <conditionalFormatting sqref="E731">
    <cfRule type="cellIs" priority="1452" operator="greaterThan" aboveAverage="0" equalAverage="0" bottom="0" percent="0" rank="0" text="" dxfId="0">
      <formula>0</formula>
    </cfRule>
    <cfRule type="cellIs" priority="1453" operator="lessThan" aboveAverage="0" equalAverage="0" bottom="0" percent="0" rank="0" text="" dxfId="1">
      <formula>0</formula>
    </cfRule>
  </conditionalFormatting>
  <conditionalFormatting sqref="E732">
    <cfRule type="cellIs" priority="1454" operator="greaterThan" aboveAverage="0" equalAverage="0" bottom="0" percent="0" rank="0" text="" dxfId="0">
      <formula>0</formula>
    </cfRule>
    <cfRule type="cellIs" priority="1455" operator="lessThan" aboveAverage="0" equalAverage="0" bottom="0" percent="0" rank="0" text="" dxfId="1">
      <formula>0</formula>
    </cfRule>
  </conditionalFormatting>
  <conditionalFormatting sqref="E733">
    <cfRule type="cellIs" priority="1456" operator="greaterThan" aboveAverage="0" equalAverage="0" bottom="0" percent="0" rank="0" text="" dxfId="0">
      <formula>0</formula>
    </cfRule>
    <cfRule type="cellIs" priority="1457" operator="lessThan" aboveAverage="0" equalAverage="0" bottom="0" percent="0" rank="0" text="" dxfId="1">
      <formula>0</formula>
    </cfRule>
  </conditionalFormatting>
  <conditionalFormatting sqref="E734">
    <cfRule type="cellIs" priority="1458" operator="greaterThan" aboveAverage="0" equalAverage="0" bottom="0" percent="0" rank="0" text="" dxfId="0">
      <formula>0</formula>
    </cfRule>
    <cfRule type="cellIs" priority="1459" operator="lessThan" aboveAverage="0" equalAverage="0" bottom="0" percent="0" rank="0" text="" dxfId="1">
      <formula>0</formula>
    </cfRule>
  </conditionalFormatting>
  <conditionalFormatting sqref="E735">
    <cfRule type="cellIs" priority="1460" operator="greaterThan" aboveAverage="0" equalAverage="0" bottom="0" percent="0" rank="0" text="" dxfId="0">
      <formula>0</formula>
    </cfRule>
    <cfRule type="cellIs" priority="1461" operator="lessThan" aboveAverage="0" equalAverage="0" bottom="0" percent="0" rank="0" text="" dxfId="1">
      <formula>0</formula>
    </cfRule>
  </conditionalFormatting>
  <conditionalFormatting sqref="E736">
    <cfRule type="cellIs" priority="1462" operator="greaterThan" aboveAverage="0" equalAverage="0" bottom="0" percent="0" rank="0" text="" dxfId="0">
      <formula>0</formula>
    </cfRule>
    <cfRule type="cellIs" priority="1463" operator="lessThan" aboveAverage="0" equalAverage="0" bottom="0" percent="0" rank="0" text="" dxfId="1">
      <formula>0</formula>
    </cfRule>
  </conditionalFormatting>
  <conditionalFormatting sqref="E737">
    <cfRule type="cellIs" priority="1464" operator="greaterThan" aboveAverage="0" equalAverage="0" bottom="0" percent="0" rank="0" text="" dxfId="0">
      <formula>0</formula>
    </cfRule>
    <cfRule type="cellIs" priority="1465" operator="lessThan" aboveAverage="0" equalAverage="0" bottom="0" percent="0" rank="0" text="" dxfId="1">
      <formula>0</formula>
    </cfRule>
  </conditionalFormatting>
  <conditionalFormatting sqref="E738">
    <cfRule type="cellIs" priority="1466" operator="greaterThan" aboveAverage="0" equalAverage="0" bottom="0" percent="0" rank="0" text="" dxfId="0">
      <formula>0</formula>
    </cfRule>
    <cfRule type="cellIs" priority="1467" operator="lessThan" aboveAverage="0" equalAverage="0" bottom="0" percent="0" rank="0" text="" dxfId="1">
      <formula>0</formula>
    </cfRule>
  </conditionalFormatting>
  <conditionalFormatting sqref="E739">
    <cfRule type="cellIs" priority="1468" operator="greaterThan" aboveAverage="0" equalAverage="0" bottom="0" percent="0" rank="0" text="" dxfId="0">
      <formula>0</formula>
    </cfRule>
    <cfRule type="cellIs" priority="1469" operator="lessThan" aboveAverage="0" equalAverage="0" bottom="0" percent="0" rank="0" text="" dxfId="1">
      <formula>0</formula>
    </cfRule>
  </conditionalFormatting>
  <conditionalFormatting sqref="E740">
    <cfRule type="cellIs" priority="1470" operator="greaterThan" aboveAverage="0" equalAverage="0" bottom="0" percent="0" rank="0" text="" dxfId="0">
      <formula>0</formula>
    </cfRule>
    <cfRule type="cellIs" priority="1471" operator="lessThan" aboveAverage="0" equalAverage="0" bottom="0" percent="0" rank="0" text="" dxfId="1">
      <formula>0</formula>
    </cfRule>
  </conditionalFormatting>
  <conditionalFormatting sqref="E741">
    <cfRule type="cellIs" priority="1472" operator="greaterThan" aboveAverage="0" equalAverage="0" bottom="0" percent="0" rank="0" text="" dxfId="0">
      <formula>0</formula>
    </cfRule>
    <cfRule type="cellIs" priority="1473" operator="lessThan" aboveAverage="0" equalAverage="0" bottom="0" percent="0" rank="0" text="" dxfId="1">
      <formula>0</formula>
    </cfRule>
  </conditionalFormatting>
  <conditionalFormatting sqref="E742">
    <cfRule type="cellIs" priority="1474" operator="greaterThan" aboveAverage="0" equalAverage="0" bottom="0" percent="0" rank="0" text="" dxfId="0">
      <formula>0</formula>
    </cfRule>
    <cfRule type="cellIs" priority="1475" operator="lessThan" aboveAverage="0" equalAverage="0" bottom="0" percent="0" rank="0" text="" dxfId="1">
      <formula>0</formula>
    </cfRule>
  </conditionalFormatting>
  <conditionalFormatting sqref="E743">
    <cfRule type="cellIs" priority="1476" operator="greaterThan" aboveAverage="0" equalAverage="0" bottom="0" percent="0" rank="0" text="" dxfId="0">
      <formula>0</formula>
    </cfRule>
    <cfRule type="cellIs" priority="1477" operator="lessThan" aboveAverage="0" equalAverage="0" bottom="0" percent="0" rank="0" text="" dxfId="1">
      <formula>0</formula>
    </cfRule>
  </conditionalFormatting>
  <conditionalFormatting sqref="E744">
    <cfRule type="cellIs" priority="1478" operator="greaterThan" aboveAverage="0" equalAverage="0" bottom="0" percent="0" rank="0" text="" dxfId="0">
      <formula>0</formula>
    </cfRule>
    <cfRule type="cellIs" priority="1479" operator="lessThan" aboveAverage="0" equalAverage="0" bottom="0" percent="0" rank="0" text="" dxfId="1">
      <formula>0</formula>
    </cfRule>
  </conditionalFormatting>
  <conditionalFormatting sqref="E745">
    <cfRule type="cellIs" priority="1480" operator="greaterThan" aboveAverage="0" equalAverage="0" bottom="0" percent="0" rank="0" text="" dxfId="0">
      <formula>0</formula>
    </cfRule>
    <cfRule type="cellIs" priority="1481" operator="lessThan" aboveAverage="0" equalAverage="0" bottom="0" percent="0" rank="0" text="" dxfId="1">
      <formula>0</formula>
    </cfRule>
  </conditionalFormatting>
  <conditionalFormatting sqref="E746">
    <cfRule type="cellIs" priority="1482" operator="greaterThan" aboveAverage="0" equalAverage="0" bottom="0" percent="0" rank="0" text="" dxfId="0">
      <formula>0</formula>
    </cfRule>
    <cfRule type="cellIs" priority="1483" operator="lessThan" aboveAverage="0" equalAverage="0" bottom="0" percent="0" rank="0" text="" dxfId="1">
      <formula>0</formula>
    </cfRule>
  </conditionalFormatting>
  <conditionalFormatting sqref="E747">
    <cfRule type="cellIs" priority="1484" operator="greaterThan" aboveAverage="0" equalAverage="0" bottom="0" percent="0" rank="0" text="" dxfId="0">
      <formula>0</formula>
    </cfRule>
    <cfRule type="cellIs" priority="1485" operator="lessThan" aboveAverage="0" equalAverage="0" bottom="0" percent="0" rank="0" text="" dxfId="1">
      <formula>0</formula>
    </cfRule>
  </conditionalFormatting>
  <conditionalFormatting sqref="E748">
    <cfRule type="cellIs" priority="1486" operator="greaterThan" aboveAverage="0" equalAverage="0" bottom="0" percent="0" rank="0" text="" dxfId="0">
      <formula>0</formula>
    </cfRule>
    <cfRule type="cellIs" priority="1487" operator="lessThan" aboveAverage="0" equalAverage="0" bottom="0" percent="0" rank="0" text="" dxfId="1">
      <formula>0</formula>
    </cfRule>
  </conditionalFormatting>
  <conditionalFormatting sqref="E749">
    <cfRule type="cellIs" priority="1488" operator="greaterThan" aboveAverage="0" equalAverage="0" bottom="0" percent="0" rank="0" text="" dxfId="0">
      <formula>0</formula>
    </cfRule>
    <cfRule type="cellIs" priority="1489" operator="lessThan" aboveAverage="0" equalAverage="0" bottom="0" percent="0" rank="0" text="" dxfId="1">
      <formula>0</formula>
    </cfRule>
  </conditionalFormatting>
  <conditionalFormatting sqref="E750">
    <cfRule type="cellIs" priority="1490" operator="greaterThan" aboveAverage="0" equalAverage="0" bottom="0" percent="0" rank="0" text="" dxfId="0">
      <formula>0</formula>
    </cfRule>
    <cfRule type="cellIs" priority="1491" operator="lessThan" aboveAverage="0" equalAverage="0" bottom="0" percent="0" rank="0" text="" dxfId="1">
      <formula>0</formula>
    </cfRule>
  </conditionalFormatting>
  <conditionalFormatting sqref="E751">
    <cfRule type="cellIs" priority="1492" operator="greaterThan" aboveAverage="0" equalAverage="0" bottom="0" percent="0" rank="0" text="" dxfId="0">
      <formula>0</formula>
    </cfRule>
    <cfRule type="cellIs" priority="1493" operator="lessThan" aboveAverage="0" equalAverage="0" bottom="0" percent="0" rank="0" text="" dxfId="1">
      <formula>0</formula>
    </cfRule>
  </conditionalFormatting>
  <conditionalFormatting sqref="E752">
    <cfRule type="cellIs" priority="1494" operator="greaterThan" aboveAverage="0" equalAverage="0" bottom="0" percent="0" rank="0" text="" dxfId="0">
      <formula>0</formula>
    </cfRule>
    <cfRule type="cellIs" priority="1495" operator="lessThan" aboveAverage="0" equalAverage="0" bottom="0" percent="0" rank="0" text="" dxfId="1">
      <formula>0</formula>
    </cfRule>
  </conditionalFormatting>
  <conditionalFormatting sqref="E753">
    <cfRule type="cellIs" priority="1496" operator="greaterThan" aboveAverage="0" equalAverage="0" bottom="0" percent="0" rank="0" text="" dxfId="0">
      <formula>0</formula>
    </cfRule>
    <cfRule type="cellIs" priority="1497" operator="lessThan" aboveAverage="0" equalAverage="0" bottom="0" percent="0" rank="0" text="" dxfId="1">
      <formula>0</formula>
    </cfRule>
  </conditionalFormatting>
  <conditionalFormatting sqref="E754">
    <cfRule type="cellIs" priority="1498" operator="greaterThan" aboveAverage="0" equalAverage="0" bottom="0" percent="0" rank="0" text="" dxfId="0">
      <formula>0</formula>
    </cfRule>
    <cfRule type="cellIs" priority="1499" operator="lessThan" aboveAverage="0" equalAverage="0" bottom="0" percent="0" rank="0" text="" dxfId="1">
      <formula>0</formula>
    </cfRule>
  </conditionalFormatting>
  <conditionalFormatting sqref="E755">
    <cfRule type="cellIs" priority="1500" operator="greaterThan" aboveAverage="0" equalAverage="0" bottom="0" percent="0" rank="0" text="" dxfId="0">
      <formula>0</formula>
    </cfRule>
    <cfRule type="cellIs" priority="1501" operator="lessThan" aboveAverage="0" equalAverage="0" bottom="0" percent="0" rank="0" text="" dxfId="1">
      <formula>0</formula>
    </cfRule>
  </conditionalFormatting>
  <conditionalFormatting sqref="E756">
    <cfRule type="cellIs" priority="1502" operator="greaterThan" aboveAverage="0" equalAverage="0" bottom="0" percent="0" rank="0" text="" dxfId="0">
      <formula>0</formula>
    </cfRule>
    <cfRule type="cellIs" priority="1503" operator="lessThan" aboveAverage="0" equalAverage="0" bottom="0" percent="0" rank="0" text="" dxfId="1">
      <formula>0</formula>
    </cfRule>
  </conditionalFormatting>
  <conditionalFormatting sqref="E757">
    <cfRule type="cellIs" priority="1504" operator="greaterThan" aboveAverage="0" equalAverage="0" bottom="0" percent="0" rank="0" text="" dxfId="0">
      <formula>0</formula>
    </cfRule>
    <cfRule type="cellIs" priority="1505" operator="lessThan" aboveAverage="0" equalAverage="0" bottom="0" percent="0" rank="0" text="" dxfId="1">
      <formula>0</formula>
    </cfRule>
  </conditionalFormatting>
  <conditionalFormatting sqref="E758">
    <cfRule type="cellIs" priority="1506" operator="greaterThan" aboveAverage="0" equalAverage="0" bottom="0" percent="0" rank="0" text="" dxfId="0">
      <formula>0</formula>
    </cfRule>
    <cfRule type="cellIs" priority="1507" operator="lessThan" aboveAverage="0" equalAverage="0" bottom="0" percent="0" rank="0" text="" dxfId="1">
      <formula>0</formula>
    </cfRule>
  </conditionalFormatting>
  <conditionalFormatting sqref="E759">
    <cfRule type="cellIs" priority="1508" operator="greaterThan" aboveAverage="0" equalAverage="0" bottom="0" percent="0" rank="0" text="" dxfId="0">
      <formula>0</formula>
    </cfRule>
    <cfRule type="cellIs" priority="1509" operator="lessThan" aboveAverage="0" equalAverage="0" bottom="0" percent="0" rank="0" text="" dxfId="1">
      <formula>0</formula>
    </cfRule>
  </conditionalFormatting>
  <conditionalFormatting sqref="E760">
    <cfRule type="cellIs" priority="1510" operator="greaterThan" aboveAverage="0" equalAverage="0" bottom="0" percent="0" rank="0" text="" dxfId="0">
      <formula>0</formula>
    </cfRule>
    <cfRule type="cellIs" priority="1511" operator="lessThan" aboveAverage="0" equalAverage="0" bottom="0" percent="0" rank="0" text="" dxfId="1">
      <formula>0</formula>
    </cfRule>
  </conditionalFormatting>
  <conditionalFormatting sqref="E761">
    <cfRule type="cellIs" priority="1512" operator="greaterThan" aboveAverage="0" equalAverage="0" bottom="0" percent="0" rank="0" text="" dxfId="0">
      <formula>0</formula>
    </cfRule>
    <cfRule type="cellIs" priority="1513" operator="lessThan" aboveAverage="0" equalAverage="0" bottom="0" percent="0" rank="0" text="" dxfId="1">
      <formula>0</formula>
    </cfRule>
  </conditionalFormatting>
  <conditionalFormatting sqref="E762">
    <cfRule type="cellIs" priority="1514" operator="greaterThan" aboveAverage="0" equalAverage="0" bottom="0" percent="0" rank="0" text="" dxfId="0">
      <formula>0</formula>
    </cfRule>
    <cfRule type="cellIs" priority="1515" operator="lessThan" aboveAverage="0" equalAverage="0" bottom="0" percent="0" rank="0" text="" dxfId="1">
      <formula>0</formula>
    </cfRule>
  </conditionalFormatting>
  <conditionalFormatting sqref="E763">
    <cfRule type="cellIs" priority="1516" operator="greaterThan" aboveAverage="0" equalAverage="0" bottom="0" percent="0" rank="0" text="" dxfId="0">
      <formula>0</formula>
    </cfRule>
    <cfRule type="cellIs" priority="1517" operator="lessThan" aboveAverage="0" equalAverage="0" bottom="0" percent="0" rank="0" text="" dxfId="1">
      <formula>0</formula>
    </cfRule>
  </conditionalFormatting>
  <conditionalFormatting sqref="E764">
    <cfRule type="cellIs" priority="1518" operator="greaterThan" aboveAverage="0" equalAverage="0" bottom="0" percent="0" rank="0" text="" dxfId="0">
      <formula>0</formula>
    </cfRule>
    <cfRule type="cellIs" priority="1519" operator="lessThan" aboveAverage="0" equalAverage="0" bottom="0" percent="0" rank="0" text="" dxfId="1">
      <formula>0</formula>
    </cfRule>
  </conditionalFormatting>
  <conditionalFormatting sqref="E765">
    <cfRule type="cellIs" priority="1520" operator="greaterThan" aboveAverage="0" equalAverage="0" bottom="0" percent="0" rank="0" text="" dxfId="0">
      <formula>0</formula>
    </cfRule>
    <cfRule type="cellIs" priority="1521" operator="lessThan" aboveAverage="0" equalAverage="0" bottom="0" percent="0" rank="0" text="" dxfId="1">
      <formula>0</formula>
    </cfRule>
  </conditionalFormatting>
  <conditionalFormatting sqref="E766">
    <cfRule type="cellIs" priority="1522" operator="greaterThan" aboveAverage="0" equalAverage="0" bottom="0" percent="0" rank="0" text="" dxfId="0">
      <formula>0</formula>
    </cfRule>
    <cfRule type="cellIs" priority="1523" operator="lessThan" aboveAverage="0" equalAverage="0" bottom="0" percent="0" rank="0" text="" dxfId="1">
      <formula>0</formula>
    </cfRule>
  </conditionalFormatting>
  <conditionalFormatting sqref="E767">
    <cfRule type="cellIs" priority="1524" operator="greaterThan" aboveAverage="0" equalAverage="0" bottom="0" percent="0" rank="0" text="" dxfId="0">
      <formula>0</formula>
    </cfRule>
    <cfRule type="cellIs" priority="1525" operator="lessThan" aboveAverage="0" equalAverage="0" bottom="0" percent="0" rank="0" text="" dxfId="1">
      <formula>0</formula>
    </cfRule>
  </conditionalFormatting>
  <conditionalFormatting sqref="E768">
    <cfRule type="cellIs" priority="1526" operator="greaterThan" aboveAverage="0" equalAverage="0" bottom="0" percent="0" rank="0" text="" dxfId="0">
      <formula>0</formula>
    </cfRule>
    <cfRule type="cellIs" priority="1527" operator="lessThan" aboveAverage="0" equalAverage="0" bottom="0" percent="0" rank="0" text="" dxfId="1">
      <formula>0</formula>
    </cfRule>
  </conditionalFormatting>
  <conditionalFormatting sqref="E769">
    <cfRule type="cellIs" priority="1528" operator="greaterThan" aboveAverage="0" equalAverage="0" bottom="0" percent="0" rank="0" text="" dxfId="0">
      <formula>0</formula>
    </cfRule>
    <cfRule type="cellIs" priority="1529" operator="lessThan" aboveAverage="0" equalAverage="0" bottom="0" percent="0" rank="0" text="" dxfId="1">
      <formula>0</formula>
    </cfRule>
  </conditionalFormatting>
  <conditionalFormatting sqref="E770">
    <cfRule type="cellIs" priority="1530" operator="greaterThan" aboveAverage="0" equalAverage="0" bottom="0" percent="0" rank="0" text="" dxfId="0">
      <formula>0</formula>
    </cfRule>
    <cfRule type="cellIs" priority="1531" operator="lessThan" aboveAverage="0" equalAverage="0" bottom="0" percent="0" rank="0" text="" dxfId="1">
      <formula>0</formula>
    </cfRule>
  </conditionalFormatting>
  <conditionalFormatting sqref="E771">
    <cfRule type="cellIs" priority="1532" operator="greaterThan" aboveAverage="0" equalAverage="0" bottom="0" percent="0" rank="0" text="" dxfId="0">
      <formula>0</formula>
    </cfRule>
    <cfRule type="cellIs" priority="1533" operator="lessThan" aboveAverage="0" equalAverage="0" bottom="0" percent="0" rank="0" text="" dxfId="1">
      <formula>0</formula>
    </cfRule>
  </conditionalFormatting>
  <conditionalFormatting sqref="E772">
    <cfRule type="cellIs" priority="1534" operator="greaterThan" aboveAverage="0" equalAverage="0" bottom="0" percent="0" rank="0" text="" dxfId="0">
      <formula>0</formula>
    </cfRule>
    <cfRule type="cellIs" priority="1535" operator="lessThan" aboveAverage="0" equalAverage="0" bottom="0" percent="0" rank="0" text="" dxfId="1">
      <formula>0</formula>
    </cfRule>
  </conditionalFormatting>
  <conditionalFormatting sqref="E773">
    <cfRule type="cellIs" priority="1536" operator="greaterThan" aboveAverage="0" equalAverage="0" bottom="0" percent="0" rank="0" text="" dxfId="0">
      <formula>0</formula>
    </cfRule>
    <cfRule type="cellIs" priority="1537" operator="lessThan" aboveAverage="0" equalAverage="0" bottom="0" percent="0" rank="0" text="" dxfId="1">
      <formula>0</formula>
    </cfRule>
  </conditionalFormatting>
  <conditionalFormatting sqref="E774">
    <cfRule type="cellIs" priority="1538" operator="greaterThan" aboveAverage="0" equalAverage="0" bottom="0" percent="0" rank="0" text="" dxfId="0">
      <formula>0</formula>
    </cfRule>
    <cfRule type="cellIs" priority="1539" operator="lessThan" aboveAverage="0" equalAverage="0" bottom="0" percent="0" rank="0" text="" dxfId="1">
      <formula>0</formula>
    </cfRule>
  </conditionalFormatting>
  <conditionalFormatting sqref="E775">
    <cfRule type="cellIs" priority="1540" operator="greaterThan" aboveAverage="0" equalAverage="0" bottom="0" percent="0" rank="0" text="" dxfId="0">
      <formula>0</formula>
    </cfRule>
    <cfRule type="cellIs" priority="1541" operator="lessThan" aboveAverage="0" equalAverage="0" bottom="0" percent="0" rank="0" text="" dxfId="1">
      <formula>0</formula>
    </cfRule>
  </conditionalFormatting>
  <conditionalFormatting sqref="E776">
    <cfRule type="cellIs" priority="1542" operator="greaterThan" aboveAverage="0" equalAverage="0" bottom="0" percent="0" rank="0" text="" dxfId="0">
      <formula>0</formula>
    </cfRule>
    <cfRule type="cellIs" priority="1543" operator="lessThan" aboveAverage="0" equalAverage="0" bottom="0" percent="0" rank="0" text="" dxfId="1">
      <formula>0</formula>
    </cfRule>
  </conditionalFormatting>
  <conditionalFormatting sqref="E777">
    <cfRule type="cellIs" priority="1544" operator="greaterThan" aboveAverage="0" equalAverage="0" bottom="0" percent="0" rank="0" text="" dxfId="0">
      <formula>0</formula>
    </cfRule>
    <cfRule type="cellIs" priority="1545" operator="lessThan" aboveAverage="0" equalAverage="0" bottom="0" percent="0" rank="0" text="" dxfId="1">
      <formula>0</formula>
    </cfRule>
  </conditionalFormatting>
  <conditionalFormatting sqref="E778">
    <cfRule type="cellIs" priority="1546" operator="greaterThan" aboveAverage="0" equalAverage="0" bottom="0" percent="0" rank="0" text="" dxfId="0">
      <formula>0</formula>
    </cfRule>
    <cfRule type="cellIs" priority="1547" operator="lessThan" aboveAverage="0" equalAverage="0" bottom="0" percent="0" rank="0" text="" dxfId="1">
      <formula>0</formula>
    </cfRule>
  </conditionalFormatting>
  <conditionalFormatting sqref="E779">
    <cfRule type="cellIs" priority="1548" operator="greaterThan" aboveAverage="0" equalAverage="0" bottom="0" percent="0" rank="0" text="" dxfId="0">
      <formula>0</formula>
    </cfRule>
    <cfRule type="cellIs" priority="1549" operator="lessThan" aboveAverage="0" equalAverage="0" bottom="0" percent="0" rank="0" text="" dxfId="1">
      <formula>0</formula>
    </cfRule>
  </conditionalFormatting>
  <conditionalFormatting sqref="E780">
    <cfRule type="cellIs" priority="1550" operator="greaterThan" aboveAverage="0" equalAverage="0" bottom="0" percent="0" rank="0" text="" dxfId="0">
      <formula>0</formula>
    </cfRule>
    <cfRule type="cellIs" priority="1551" operator="lessThan" aboveAverage="0" equalAverage="0" bottom="0" percent="0" rank="0" text="" dxfId="1">
      <formula>0</formula>
    </cfRule>
  </conditionalFormatting>
  <conditionalFormatting sqref="E781">
    <cfRule type="cellIs" priority="1552" operator="greaterThan" aboveAverage="0" equalAverage="0" bottom="0" percent="0" rank="0" text="" dxfId="0">
      <formula>0</formula>
    </cfRule>
    <cfRule type="cellIs" priority="1553" operator="lessThan" aboveAverage="0" equalAverage="0" bottom="0" percent="0" rank="0" text="" dxfId="1">
      <formula>0</formula>
    </cfRule>
  </conditionalFormatting>
  <conditionalFormatting sqref="E782">
    <cfRule type="cellIs" priority="1554" operator="greaterThan" aboveAverage="0" equalAverage="0" bottom="0" percent="0" rank="0" text="" dxfId="0">
      <formula>0</formula>
    </cfRule>
    <cfRule type="cellIs" priority="1555" operator="lessThan" aboveAverage="0" equalAverage="0" bottom="0" percent="0" rank="0" text="" dxfId="1">
      <formula>0</formula>
    </cfRule>
  </conditionalFormatting>
  <conditionalFormatting sqref="E783">
    <cfRule type="cellIs" priority="1556" operator="greaterThan" aboveAverage="0" equalAverage="0" bottom="0" percent="0" rank="0" text="" dxfId="0">
      <formula>0</formula>
    </cfRule>
    <cfRule type="cellIs" priority="1557" operator="lessThan" aboveAverage="0" equalAverage="0" bottom="0" percent="0" rank="0" text="" dxfId="1">
      <formula>0</formula>
    </cfRule>
  </conditionalFormatting>
  <conditionalFormatting sqref="E784">
    <cfRule type="cellIs" priority="1558" operator="greaterThan" aboveAverage="0" equalAverage="0" bottom="0" percent="0" rank="0" text="" dxfId="0">
      <formula>0</formula>
    </cfRule>
    <cfRule type="cellIs" priority="1559" operator="lessThan" aboveAverage="0" equalAverage="0" bottom="0" percent="0" rank="0" text="" dxfId="1">
      <formula>0</formula>
    </cfRule>
  </conditionalFormatting>
  <conditionalFormatting sqref="E785">
    <cfRule type="cellIs" priority="1560" operator="greaterThan" aboveAverage="0" equalAverage="0" bottom="0" percent="0" rank="0" text="" dxfId="0">
      <formula>0</formula>
    </cfRule>
    <cfRule type="cellIs" priority="1561" operator="lessThan" aboveAverage="0" equalAverage="0" bottom="0" percent="0" rank="0" text="" dxfId="1">
      <formula>0</formula>
    </cfRule>
  </conditionalFormatting>
  <conditionalFormatting sqref="E786">
    <cfRule type="cellIs" priority="1562" operator="greaterThan" aboveAverage="0" equalAverage="0" bottom="0" percent="0" rank="0" text="" dxfId="0">
      <formula>0</formula>
    </cfRule>
    <cfRule type="cellIs" priority="1563" operator="lessThan" aboveAverage="0" equalAverage="0" bottom="0" percent="0" rank="0" text="" dxfId="1">
      <formula>0</formula>
    </cfRule>
  </conditionalFormatting>
  <conditionalFormatting sqref="E787">
    <cfRule type="cellIs" priority="1564" operator="greaterThan" aboveAverage="0" equalAverage="0" bottom="0" percent="0" rank="0" text="" dxfId="0">
      <formula>0</formula>
    </cfRule>
    <cfRule type="cellIs" priority="1565" operator="lessThan" aboveAverage="0" equalAverage="0" bottom="0" percent="0" rank="0" text="" dxfId="1">
      <formula>0</formula>
    </cfRule>
  </conditionalFormatting>
  <conditionalFormatting sqref="E788">
    <cfRule type="cellIs" priority="1566" operator="greaterThan" aboveAverage="0" equalAverage="0" bottom="0" percent="0" rank="0" text="" dxfId="0">
      <formula>0</formula>
    </cfRule>
    <cfRule type="cellIs" priority="1567" operator="lessThan" aboveAverage="0" equalAverage="0" bottom="0" percent="0" rank="0" text="" dxfId="1">
      <formula>0</formula>
    </cfRule>
  </conditionalFormatting>
  <conditionalFormatting sqref="E789">
    <cfRule type="cellIs" priority="1568" operator="greaterThan" aboveAverage="0" equalAverage="0" bottom="0" percent="0" rank="0" text="" dxfId="0">
      <formula>0</formula>
    </cfRule>
    <cfRule type="cellIs" priority="1569" operator="lessThan" aboveAverage="0" equalAverage="0" bottom="0" percent="0" rank="0" text="" dxfId="1">
      <formula>0</formula>
    </cfRule>
  </conditionalFormatting>
  <conditionalFormatting sqref="E790">
    <cfRule type="cellIs" priority="1570" operator="greaterThan" aboveAverage="0" equalAverage="0" bottom="0" percent="0" rank="0" text="" dxfId="0">
      <formula>0</formula>
    </cfRule>
    <cfRule type="cellIs" priority="1571" operator="lessThan" aboveAverage="0" equalAverage="0" bottom="0" percent="0" rank="0" text="" dxfId="1">
      <formula>0</formula>
    </cfRule>
  </conditionalFormatting>
  <conditionalFormatting sqref="E791">
    <cfRule type="cellIs" priority="1572" operator="greaterThan" aboveAverage="0" equalAverage="0" bottom="0" percent="0" rank="0" text="" dxfId="0">
      <formula>0</formula>
    </cfRule>
    <cfRule type="cellIs" priority="1573" operator="lessThan" aboveAverage="0" equalAverage="0" bottom="0" percent="0" rank="0" text="" dxfId="1">
      <formula>0</formula>
    </cfRule>
  </conditionalFormatting>
  <conditionalFormatting sqref="E792">
    <cfRule type="cellIs" priority="1574" operator="greaterThan" aboveAverage="0" equalAverage="0" bottom="0" percent="0" rank="0" text="" dxfId="0">
      <formula>0</formula>
    </cfRule>
    <cfRule type="cellIs" priority="1575" operator="lessThan" aboveAverage="0" equalAverage="0" bottom="0" percent="0" rank="0" text="" dxfId="1">
      <formula>0</formula>
    </cfRule>
  </conditionalFormatting>
  <conditionalFormatting sqref="E793">
    <cfRule type="cellIs" priority="1576" operator="greaterThan" aboveAverage="0" equalAverage="0" bottom="0" percent="0" rank="0" text="" dxfId="0">
      <formula>0</formula>
    </cfRule>
    <cfRule type="cellIs" priority="1577" operator="lessThan" aboveAverage="0" equalAverage="0" bottom="0" percent="0" rank="0" text="" dxfId="1">
      <formula>0</formula>
    </cfRule>
  </conditionalFormatting>
  <conditionalFormatting sqref="E794">
    <cfRule type="cellIs" priority="1578" operator="greaterThan" aboveAverage="0" equalAverage="0" bottom="0" percent="0" rank="0" text="" dxfId="0">
      <formula>0</formula>
    </cfRule>
    <cfRule type="cellIs" priority="1579" operator="lessThan" aboveAverage="0" equalAverage="0" bottom="0" percent="0" rank="0" text="" dxfId="1">
      <formula>0</formula>
    </cfRule>
  </conditionalFormatting>
  <conditionalFormatting sqref="E795">
    <cfRule type="cellIs" priority="1580" operator="greaterThan" aboveAverage="0" equalAverage="0" bottom="0" percent="0" rank="0" text="" dxfId="0">
      <formula>0</formula>
    </cfRule>
    <cfRule type="cellIs" priority="1581" operator="lessThan" aboveAverage="0" equalAverage="0" bottom="0" percent="0" rank="0" text="" dxfId="1">
      <formula>0</formula>
    </cfRule>
  </conditionalFormatting>
  <conditionalFormatting sqref="E796">
    <cfRule type="cellIs" priority="1582" operator="greaterThan" aboveAverage="0" equalAverage="0" bottom="0" percent="0" rank="0" text="" dxfId="0">
      <formula>0</formula>
    </cfRule>
    <cfRule type="cellIs" priority="1583" operator="lessThan" aboveAverage="0" equalAverage="0" bottom="0" percent="0" rank="0" text="" dxfId="1">
      <formula>0</formula>
    </cfRule>
  </conditionalFormatting>
  <conditionalFormatting sqref="E797">
    <cfRule type="cellIs" priority="1584" operator="greaterThan" aboveAverage="0" equalAverage="0" bottom="0" percent="0" rank="0" text="" dxfId="0">
      <formula>0</formula>
    </cfRule>
    <cfRule type="cellIs" priority="1585" operator="lessThan" aboveAverage="0" equalAverage="0" bottom="0" percent="0" rank="0" text="" dxfId="1">
      <formula>0</formula>
    </cfRule>
  </conditionalFormatting>
  <conditionalFormatting sqref="E798">
    <cfRule type="cellIs" priority="1586" operator="greaterThan" aboveAverage="0" equalAverage="0" bottom="0" percent="0" rank="0" text="" dxfId="0">
      <formula>0</formula>
    </cfRule>
    <cfRule type="cellIs" priority="1587" operator="lessThan" aboveAverage="0" equalAverage="0" bottom="0" percent="0" rank="0" text="" dxfId="1">
      <formula>0</formula>
    </cfRule>
  </conditionalFormatting>
  <conditionalFormatting sqref="E799">
    <cfRule type="cellIs" priority="1588" operator="greaterThan" aboveAverage="0" equalAverage="0" bottom="0" percent="0" rank="0" text="" dxfId="0">
      <formula>0</formula>
    </cfRule>
    <cfRule type="cellIs" priority="1589" operator="lessThan" aboveAverage="0" equalAverage="0" bottom="0" percent="0" rank="0" text="" dxfId="1">
      <formula>0</formula>
    </cfRule>
  </conditionalFormatting>
  <conditionalFormatting sqref="E800">
    <cfRule type="cellIs" priority="1590" operator="greaterThan" aboveAverage="0" equalAverage="0" bottom="0" percent="0" rank="0" text="" dxfId="0">
      <formula>0</formula>
    </cfRule>
    <cfRule type="cellIs" priority="1591" operator="lessThan" aboveAverage="0" equalAverage="0" bottom="0" percent="0" rank="0" text="" dxfId="1">
      <formula>0</formula>
    </cfRule>
  </conditionalFormatting>
  <conditionalFormatting sqref="E801">
    <cfRule type="cellIs" priority="1592" operator="greaterThan" aboveAverage="0" equalAverage="0" bottom="0" percent="0" rank="0" text="" dxfId="0">
      <formula>0</formula>
    </cfRule>
    <cfRule type="cellIs" priority="1593" operator="lessThan" aboveAverage="0" equalAverage="0" bottom="0" percent="0" rank="0" text="" dxfId="1">
      <formula>0</formula>
    </cfRule>
  </conditionalFormatting>
  <conditionalFormatting sqref="E802">
    <cfRule type="cellIs" priority="1594" operator="greaterThan" aboveAverage="0" equalAverage="0" bottom="0" percent="0" rank="0" text="" dxfId="0">
      <formula>0</formula>
    </cfRule>
    <cfRule type="cellIs" priority="1595" operator="lessThan" aboveAverage="0" equalAverage="0" bottom="0" percent="0" rank="0" text="" dxfId="1">
      <formula>0</formula>
    </cfRule>
  </conditionalFormatting>
  <conditionalFormatting sqref="E803">
    <cfRule type="cellIs" priority="1596" operator="greaterThan" aboveAverage="0" equalAverage="0" bottom="0" percent="0" rank="0" text="" dxfId="0">
      <formula>0</formula>
    </cfRule>
    <cfRule type="cellIs" priority="1597" operator="lessThan" aboveAverage="0" equalAverage="0" bottom="0" percent="0" rank="0" text="" dxfId="1">
      <formula>0</formula>
    </cfRule>
  </conditionalFormatting>
  <conditionalFormatting sqref="E804">
    <cfRule type="cellIs" priority="1598" operator="greaterThan" aboveAverage="0" equalAverage="0" bottom="0" percent="0" rank="0" text="" dxfId="0">
      <formula>0</formula>
    </cfRule>
    <cfRule type="cellIs" priority="1599" operator="lessThan" aboveAverage="0" equalAverage="0" bottom="0" percent="0" rank="0" text="" dxfId="1">
      <formula>0</formula>
    </cfRule>
  </conditionalFormatting>
  <conditionalFormatting sqref="E805">
    <cfRule type="cellIs" priority="1600" operator="greaterThan" aboveAverage="0" equalAverage="0" bottom="0" percent="0" rank="0" text="" dxfId="0">
      <formula>0</formula>
    </cfRule>
    <cfRule type="cellIs" priority="1601" operator="lessThan" aboveAverage="0" equalAverage="0" bottom="0" percent="0" rank="0" text="" dxfId="1">
      <formula>0</formula>
    </cfRule>
  </conditionalFormatting>
  <conditionalFormatting sqref="E806">
    <cfRule type="cellIs" priority="1602" operator="greaterThan" aboveAverage="0" equalAverage="0" bottom="0" percent="0" rank="0" text="" dxfId="0">
      <formula>0</formula>
    </cfRule>
    <cfRule type="cellIs" priority="1603" operator="lessThan" aboveAverage="0" equalAverage="0" bottom="0" percent="0" rank="0" text="" dxfId="1">
      <formula>0</formula>
    </cfRule>
  </conditionalFormatting>
  <conditionalFormatting sqref="E807">
    <cfRule type="cellIs" priority="1604" operator="greaterThan" aboveAverage="0" equalAverage="0" bottom="0" percent="0" rank="0" text="" dxfId="0">
      <formula>0</formula>
    </cfRule>
    <cfRule type="cellIs" priority="1605" operator="lessThan" aboveAverage="0" equalAverage="0" bottom="0" percent="0" rank="0" text="" dxfId="1">
      <formula>0</formula>
    </cfRule>
  </conditionalFormatting>
  <conditionalFormatting sqref="E808">
    <cfRule type="cellIs" priority="1606" operator="greaterThan" aboveAverage="0" equalAverage="0" bottom="0" percent="0" rank="0" text="" dxfId="0">
      <formula>0</formula>
    </cfRule>
    <cfRule type="cellIs" priority="1607" operator="lessThan" aboveAverage="0" equalAverage="0" bottom="0" percent="0" rank="0" text="" dxfId="1">
      <formula>0</formula>
    </cfRule>
  </conditionalFormatting>
  <conditionalFormatting sqref="E809">
    <cfRule type="cellIs" priority="1608" operator="greaterThan" aboveAverage="0" equalAverage="0" bottom="0" percent="0" rank="0" text="" dxfId="0">
      <formula>0</formula>
    </cfRule>
    <cfRule type="cellIs" priority="1609" operator="lessThan" aboveAverage="0" equalAverage="0" bottom="0" percent="0" rank="0" text="" dxfId="1">
      <formula>0</formula>
    </cfRule>
  </conditionalFormatting>
  <conditionalFormatting sqref="E810">
    <cfRule type="cellIs" priority="1610" operator="greaterThan" aboveAverage="0" equalAverage="0" bottom="0" percent="0" rank="0" text="" dxfId="0">
      <formula>0</formula>
    </cfRule>
    <cfRule type="cellIs" priority="1611" operator="lessThan" aboveAverage="0" equalAverage="0" bottom="0" percent="0" rank="0" text="" dxfId="1">
      <formula>0</formula>
    </cfRule>
  </conditionalFormatting>
  <conditionalFormatting sqref="E811">
    <cfRule type="cellIs" priority="1612" operator="greaterThan" aboveAverage="0" equalAverage="0" bottom="0" percent="0" rank="0" text="" dxfId="0">
      <formula>0</formula>
    </cfRule>
    <cfRule type="cellIs" priority="1613" operator="lessThan" aboveAverage="0" equalAverage="0" bottom="0" percent="0" rank="0" text="" dxfId="1">
      <formula>0</formula>
    </cfRule>
  </conditionalFormatting>
  <conditionalFormatting sqref="E812">
    <cfRule type="cellIs" priority="1614" operator="greaterThan" aboveAverage="0" equalAverage="0" bottom="0" percent="0" rank="0" text="" dxfId="0">
      <formula>0</formula>
    </cfRule>
    <cfRule type="cellIs" priority="1615" operator="lessThan" aboveAverage="0" equalAverage="0" bottom="0" percent="0" rank="0" text="" dxfId="1">
      <formula>0</formula>
    </cfRule>
  </conditionalFormatting>
  <conditionalFormatting sqref="E813">
    <cfRule type="cellIs" priority="1616" operator="greaterThan" aboveAverage="0" equalAverage="0" bottom="0" percent="0" rank="0" text="" dxfId="0">
      <formula>0</formula>
    </cfRule>
    <cfRule type="cellIs" priority="1617" operator="lessThan" aboveAverage="0" equalAverage="0" bottom="0" percent="0" rank="0" text="" dxfId="1">
      <formula>0</formula>
    </cfRule>
  </conditionalFormatting>
  <conditionalFormatting sqref="E814">
    <cfRule type="cellIs" priority="1618" operator="greaterThan" aboveAverage="0" equalAverage="0" bottom="0" percent="0" rank="0" text="" dxfId="0">
      <formula>0</formula>
    </cfRule>
    <cfRule type="cellIs" priority="1619" operator="lessThan" aboveAverage="0" equalAverage="0" bottom="0" percent="0" rank="0" text="" dxfId="1">
      <formula>0</formula>
    </cfRule>
  </conditionalFormatting>
  <conditionalFormatting sqref="E815">
    <cfRule type="cellIs" priority="1620" operator="greaterThan" aboveAverage="0" equalAverage="0" bottom="0" percent="0" rank="0" text="" dxfId="0">
      <formula>0</formula>
    </cfRule>
    <cfRule type="cellIs" priority="1621" operator="lessThan" aboveAverage="0" equalAverage="0" bottom="0" percent="0" rank="0" text="" dxfId="1">
      <formula>0</formula>
    </cfRule>
  </conditionalFormatting>
  <conditionalFormatting sqref="E816">
    <cfRule type="cellIs" priority="1622" operator="greaterThan" aboveAverage="0" equalAverage="0" bottom="0" percent="0" rank="0" text="" dxfId="0">
      <formula>0</formula>
    </cfRule>
    <cfRule type="cellIs" priority="1623" operator="lessThan" aboveAverage="0" equalAverage="0" bottom="0" percent="0" rank="0" text="" dxfId="1">
      <formula>0</formula>
    </cfRule>
  </conditionalFormatting>
  <conditionalFormatting sqref="E817">
    <cfRule type="cellIs" priority="1624" operator="greaterThan" aboveAverage="0" equalAverage="0" bottom="0" percent="0" rank="0" text="" dxfId="0">
      <formula>0</formula>
    </cfRule>
    <cfRule type="cellIs" priority="1625" operator="lessThan" aboveAverage="0" equalAverage="0" bottom="0" percent="0" rank="0" text="" dxfId="1">
      <formula>0</formula>
    </cfRule>
  </conditionalFormatting>
  <conditionalFormatting sqref="E818">
    <cfRule type="cellIs" priority="1626" operator="greaterThan" aboveAverage="0" equalAverage="0" bottom="0" percent="0" rank="0" text="" dxfId="0">
      <formula>0</formula>
    </cfRule>
    <cfRule type="cellIs" priority="1627" operator="lessThan" aboveAverage="0" equalAverage="0" bottom="0" percent="0" rank="0" text="" dxfId="1">
      <formula>0</formula>
    </cfRule>
  </conditionalFormatting>
  <conditionalFormatting sqref="E819">
    <cfRule type="cellIs" priority="1628" operator="greaterThan" aboveAverage="0" equalAverage="0" bottom="0" percent="0" rank="0" text="" dxfId="0">
      <formula>0</formula>
    </cfRule>
    <cfRule type="cellIs" priority="1629" operator="lessThan" aboveAverage="0" equalAverage="0" bottom="0" percent="0" rank="0" text="" dxfId="1">
      <formula>0</formula>
    </cfRule>
  </conditionalFormatting>
  <conditionalFormatting sqref="E820">
    <cfRule type="cellIs" priority="1630" operator="greaterThan" aboveAverage="0" equalAverage="0" bottom="0" percent="0" rank="0" text="" dxfId="0">
      <formula>0</formula>
    </cfRule>
    <cfRule type="cellIs" priority="1631" operator="lessThan" aboveAverage="0" equalAverage="0" bottom="0" percent="0" rank="0" text="" dxfId="1">
      <formula>0</formula>
    </cfRule>
  </conditionalFormatting>
  <conditionalFormatting sqref="E821">
    <cfRule type="cellIs" priority="1632" operator="greaterThan" aboveAverage="0" equalAverage="0" bottom="0" percent="0" rank="0" text="" dxfId="0">
      <formula>0</formula>
    </cfRule>
    <cfRule type="cellIs" priority="1633" operator="lessThan" aboveAverage="0" equalAverage="0" bottom="0" percent="0" rank="0" text="" dxfId="1">
      <formula>0</formula>
    </cfRule>
  </conditionalFormatting>
  <conditionalFormatting sqref="E822">
    <cfRule type="cellIs" priority="1634" operator="greaterThan" aboveAverage="0" equalAverage="0" bottom="0" percent="0" rank="0" text="" dxfId="0">
      <formula>0</formula>
    </cfRule>
    <cfRule type="cellIs" priority="1635" operator="lessThan" aboveAverage="0" equalAverage="0" bottom="0" percent="0" rank="0" text="" dxfId="1">
      <formula>0</formula>
    </cfRule>
  </conditionalFormatting>
  <conditionalFormatting sqref="E823">
    <cfRule type="cellIs" priority="1636" operator="greaterThan" aboveAverage="0" equalAverage="0" bottom="0" percent="0" rank="0" text="" dxfId="0">
      <formula>0</formula>
    </cfRule>
    <cfRule type="cellIs" priority="1637" operator="lessThan" aboveAverage="0" equalAverage="0" bottom="0" percent="0" rank="0" text="" dxfId="1">
      <formula>0</formula>
    </cfRule>
  </conditionalFormatting>
  <conditionalFormatting sqref="E824">
    <cfRule type="cellIs" priority="1638" operator="greaterThan" aboveAverage="0" equalAverage="0" bottom="0" percent="0" rank="0" text="" dxfId="0">
      <formula>0</formula>
    </cfRule>
    <cfRule type="cellIs" priority="1639" operator="lessThan" aboveAverage="0" equalAverage="0" bottom="0" percent="0" rank="0" text="" dxfId="1">
      <formula>0</formula>
    </cfRule>
  </conditionalFormatting>
  <conditionalFormatting sqref="E825">
    <cfRule type="cellIs" priority="1640" operator="greaterThan" aboveAverage="0" equalAverage="0" bottom="0" percent="0" rank="0" text="" dxfId="0">
      <formula>0</formula>
    </cfRule>
    <cfRule type="cellIs" priority="1641" operator="lessThan" aboveAverage="0" equalAverage="0" bottom="0" percent="0" rank="0" text="" dxfId="1">
      <formula>0</formula>
    </cfRule>
  </conditionalFormatting>
  <conditionalFormatting sqref="E826">
    <cfRule type="cellIs" priority="1642" operator="greaterThan" aboveAverage="0" equalAverage="0" bottom="0" percent="0" rank="0" text="" dxfId="0">
      <formula>0</formula>
    </cfRule>
    <cfRule type="cellIs" priority="1643" operator="lessThan" aboveAverage="0" equalAverage="0" bottom="0" percent="0" rank="0" text="" dxfId="1">
      <formula>0</formula>
    </cfRule>
  </conditionalFormatting>
  <conditionalFormatting sqref="E827">
    <cfRule type="cellIs" priority="1644" operator="greaterThan" aboveAverage="0" equalAverage="0" bottom="0" percent="0" rank="0" text="" dxfId="0">
      <formula>0</formula>
    </cfRule>
    <cfRule type="cellIs" priority="1645" operator="lessThan" aboveAverage="0" equalAverage="0" bottom="0" percent="0" rank="0" text="" dxfId="1">
      <formula>0</formula>
    </cfRule>
  </conditionalFormatting>
  <conditionalFormatting sqref="E828">
    <cfRule type="cellIs" priority="1646" operator="greaterThan" aboveAverage="0" equalAverage="0" bottom="0" percent="0" rank="0" text="" dxfId="0">
      <formula>0</formula>
    </cfRule>
    <cfRule type="cellIs" priority="1647" operator="lessThan" aboveAverage="0" equalAverage="0" bottom="0" percent="0" rank="0" text="" dxfId="1">
      <formula>0</formula>
    </cfRule>
  </conditionalFormatting>
  <conditionalFormatting sqref="E829">
    <cfRule type="cellIs" priority="1648" operator="greaterThan" aboveAverage="0" equalAverage="0" bottom="0" percent="0" rank="0" text="" dxfId="0">
      <formula>0</formula>
    </cfRule>
    <cfRule type="cellIs" priority="1649" operator="lessThan" aboveAverage="0" equalAverage="0" bottom="0" percent="0" rank="0" text="" dxfId="1">
      <formula>0</formula>
    </cfRule>
  </conditionalFormatting>
  <conditionalFormatting sqref="E830">
    <cfRule type="cellIs" priority="1650" operator="greaterThan" aboveAverage="0" equalAverage="0" bottom="0" percent="0" rank="0" text="" dxfId="0">
      <formula>0</formula>
    </cfRule>
    <cfRule type="cellIs" priority="1651" operator="lessThan" aboveAverage="0" equalAverage="0" bottom="0" percent="0" rank="0" text="" dxfId="1">
      <formula>0</formula>
    </cfRule>
  </conditionalFormatting>
  <conditionalFormatting sqref="E831">
    <cfRule type="cellIs" priority="1652" operator="greaterThan" aboveAverage="0" equalAverage="0" bottom="0" percent="0" rank="0" text="" dxfId="0">
      <formula>0</formula>
    </cfRule>
    <cfRule type="cellIs" priority="1653" operator="lessThan" aboveAverage="0" equalAverage="0" bottom="0" percent="0" rank="0" text="" dxfId="1">
      <formula>0</formula>
    </cfRule>
  </conditionalFormatting>
  <conditionalFormatting sqref="E832">
    <cfRule type="cellIs" priority="1654" operator="greaterThan" aboveAverage="0" equalAverage="0" bottom="0" percent="0" rank="0" text="" dxfId="0">
      <formula>0</formula>
    </cfRule>
    <cfRule type="cellIs" priority="1655" operator="lessThan" aboveAverage="0" equalAverage="0" bottom="0" percent="0" rank="0" text="" dxfId="1">
      <formula>0</formula>
    </cfRule>
  </conditionalFormatting>
  <conditionalFormatting sqref="E833">
    <cfRule type="cellIs" priority="1656" operator="greaterThan" aboveAverage="0" equalAverage="0" bottom="0" percent="0" rank="0" text="" dxfId="0">
      <formula>0</formula>
    </cfRule>
    <cfRule type="cellIs" priority="1657" operator="lessThan" aboveAverage="0" equalAverage="0" bottom="0" percent="0" rank="0" text="" dxfId="1">
      <formula>0</formula>
    </cfRule>
  </conditionalFormatting>
  <conditionalFormatting sqref="E834">
    <cfRule type="cellIs" priority="1658" operator="greaterThan" aboveAverage="0" equalAverage="0" bottom="0" percent="0" rank="0" text="" dxfId="0">
      <formula>0</formula>
    </cfRule>
    <cfRule type="cellIs" priority="1659" operator="lessThan" aboveAverage="0" equalAverage="0" bottom="0" percent="0" rank="0" text="" dxfId="1">
      <formula>0</formula>
    </cfRule>
  </conditionalFormatting>
  <conditionalFormatting sqref="E835">
    <cfRule type="cellIs" priority="1660" operator="greaterThan" aboveAverage="0" equalAverage="0" bottom="0" percent="0" rank="0" text="" dxfId="0">
      <formula>0</formula>
    </cfRule>
    <cfRule type="cellIs" priority="1661" operator="lessThan" aboveAverage="0" equalAverage="0" bottom="0" percent="0" rank="0" text="" dxfId="1">
      <formula>0</formula>
    </cfRule>
  </conditionalFormatting>
  <conditionalFormatting sqref="E836">
    <cfRule type="cellIs" priority="1662" operator="greaterThan" aboveAverage="0" equalAverage="0" bottom="0" percent="0" rank="0" text="" dxfId="0">
      <formula>0</formula>
    </cfRule>
    <cfRule type="cellIs" priority="1663" operator="lessThan" aboveAverage="0" equalAverage="0" bottom="0" percent="0" rank="0" text="" dxfId="1">
      <formula>0</formula>
    </cfRule>
  </conditionalFormatting>
  <conditionalFormatting sqref="E837">
    <cfRule type="cellIs" priority="1664" operator="greaterThan" aboveAverage="0" equalAverage="0" bottom="0" percent="0" rank="0" text="" dxfId="0">
      <formula>0</formula>
    </cfRule>
    <cfRule type="cellIs" priority="1665" operator="lessThan" aboveAverage="0" equalAverage="0" bottom="0" percent="0" rank="0" text="" dxfId="1">
      <formula>0</formula>
    </cfRule>
  </conditionalFormatting>
  <conditionalFormatting sqref="E838">
    <cfRule type="cellIs" priority="1666" operator="greaterThan" aboveAverage="0" equalAverage="0" bottom="0" percent="0" rank="0" text="" dxfId="0">
      <formula>0</formula>
    </cfRule>
    <cfRule type="cellIs" priority="1667" operator="lessThan" aboveAverage="0" equalAverage="0" bottom="0" percent="0" rank="0" text="" dxfId="1">
      <formula>0</formula>
    </cfRule>
  </conditionalFormatting>
  <conditionalFormatting sqref="E839">
    <cfRule type="cellIs" priority="1668" operator="greaterThan" aboveAverage="0" equalAverage="0" bottom="0" percent="0" rank="0" text="" dxfId="0">
      <formula>0</formula>
    </cfRule>
    <cfRule type="cellIs" priority="1669" operator="lessThan" aboveAverage="0" equalAverage="0" bottom="0" percent="0" rank="0" text="" dxfId="1">
      <formula>0</formula>
    </cfRule>
  </conditionalFormatting>
  <conditionalFormatting sqref="E840">
    <cfRule type="cellIs" priority="1670" operator="greaterThan" aboveAverage="0" equalAverage="0" bottom="0" percent="0" rank="0" text="" dxfId="0">
      <formula>0</formula>
    </cfRule>
    <cfRule type="cellIs" priority="1671" operator="lessThan" aboveAverage="0" equalAverage="0" bottom="0" percent="0" rank="0" text="" dxfId="1">
      <formula>0</formula>
    </cfRule>
  </conditionalFormatting>
  <conditionalFormatting sqref="E841">
    <cfRule type="cellIs" priority="1672" operator="greaterThan" aboveAverage="0" equalAverage="0" bottom="0" percent="0" rank="0" text="" dxfId="0">
      <formula>0</formula>
    </cfRule>
    <cfRule type="cellIs" priority="1673" operator="lessThan" aboveAverage="0" equalAverage="0" bottom="0" percent="0" rank="0" text="" dxfId="1">
      <formula>0</formula>
    </cfRule>
  </conditionalFormatting>
  <conditionalFormatting sqref="E842">
    <cfRule type="cellIs" priority="1674" operator="greaterThan" aboveAverage="0" equalAverage="0" bottom="0" percent="0" rank="0" text="" dxfId="0">
      <formula>0</formula>
    </cfRule>
    <cfRule type="cellIs" priority="1675" operator="lessThan" aboveAverage="0" equalAverage="0" bottom="0" percent="0" rank="0" text="" dxfId="1">
      <formula>0</formula>
    </cfRule>
  </conditionalFormatting>
  <conditionalFormatting sqref="E843">
    <cfRule type="cellIs" priority="1676" operator="greaterThan" aboveAverage="0" equalAverage="0" bottom="0" percent="0" rank="0" text="" dxfId="0">
      <formula>0</formula>
    </cfRule>
    <cfRule type="cellIs" priority="1677" operator="lessThan" aboveAverage="0" equalAverage="0" bottom="0" percent="0" rank="0" text="" dxfId="1">
      <formula>0</formula>
    </cfRule>
  </conditionalFormatting>
  <conditionalFormatting sqref="E844">
    <cfRule type="cellIs" priority="1678" operator="greaterThan" aboveAverage="0" equalAverage="0" bottom="0" percent="0" rank="0" text="" dxfId="0">
      <formula>0</formula>
    </cfRule>
    <cfRule type="cellIs" priority="1679" operator="lessThan" aboveAverage="0" equalAverage="0" bottom="0" percent="0" rank="0" text="" dxfId="1">
      <formula>0</formula>
    </cfRule>
  </conditionalFormatting>
  <conditionalFormatting sqref="E845">
    <cfRule type="cellIs" priority="1680" operator="greaterThan" aboveAverage="0" equalAverage="0" bottom="0" percent="0" rank="0" text="" dxfId="0">
      <formula>0</formula>
    </cfRule>
    <cfRule type="cellIs" priority="1681" operator="lessThan" aboveAverage="0" equalAverage="0" bottom="0" percent="0" rank="0" text="" dxfId="1">
      <formula>0</formula>
    </cfRule>
  </conditionalFormatting>
  <conditionalFormatting sqref="E846">
    <cfRule type="cellIs" priority="1682" operator="greaterThan" aboveAverage="0" equalAverage="0" bottom="0" percent="0" rank="0" text="" dxfId="0">
      <formula>0</formula>
    </cfRule>
    <cfRule type="cellIs" priority="1683" operator="lessThan" aboveAverage="0" equalAverage="0" bottom="0" percent="0" rank="0" text="" dxfId="1">
      <formula>0</formula>
    </cfRule>
  </conditionalFormatting>
  <conditionalFormatting sqref="E847">
    <cfRule type="cellIs" priority="1684" operator="greaterThan" aboveAverage="0" equalAverage="0" bottom="0" percent="0" rank="0" text="" dxfId="0">
      <formula>0</formula>
    </cfRule>
    <cfRule type="cellIs" priority="1685" operator="lessThan" aboveAverage="0" equalAverage="0" bottom="0" percent="0" rank="0" text="" dxfId="1">
      <formula>0</formula>
    </cfRule>
  </conditionalFormatting>
  <conditionalFormatting sqref="E848">
    <cfRule type="cellIs" priority="1686" operator="greaterThan" aboveAverage="0" equalAverage="0" bottom="0" percent="0" rank="0" text="" dxfId="0">
      <formula>0</formula>
    </cfRule>
    <cfRule type="cellIs" priority="1687" operator="lessThan" aboveAverage="0" equalAverage="0" bottom="0" percent="0" rank="0" text="" dxfId="1">
      <formula>0</formula>
    </cfRule>
  </conditionalFormatting>
  <conditionalFormatting sqref="E849">
    <cfRule type="cellIs" priority="1688" operator="greaterThan" aboveAverage="0" equalAverage="0" bottom="0" percent="0" rank="0" text="" dxfId="0">
      <formula>0</formula>
    </cfRule>
    <cfRule type="cellIs" priority="1689" operator="lessThan" aboveAverage="0" equalAverage="0" bottom="0" percent="0" rank="0" text="" dxfId="1">
      <formula>0</formula>
    </cfRule>
  </conditionalFormatting>
  <conditionalFormatting sqref="E850">
    <cfRule type="cellIs" priority="1690" operator="greaterThan" aboveAverage="0" equalAverage="0" bottom="0" percent="0" rank="0" text="" dxfId="0">
      <formula>0</formula>
    </cfRule>
    <cfRule type="cellIs" priority="1691" operator="lessThan" aboveAverage="0" equalAverage="0" bottom="0" percent="0" rank="0" text="" dxfId="1">
      <formula>0</formula>
    </cfRule>
  </conditionalFormatting>
  <conditionalFormatting sqref="E851">
    <cfRule type="cellIs" priority="1692" operator="greaterThan" aboveAverage="0" equalAverage="0" bottom="0" percent="0" rank="0" text="" dxfId="0">
      <formula>0</formula>
    </cfRule>
    <cfRule type="cellIs" priority="1693" operator="lessThan" aboveAverage="0" equalAverage="0" bottom="0" percent="0" rank="0" text="" dxfId="1">
      <formula>0</formula>
    </cfRule>
  </conditionalFormatting>
  <conditionalFormatting sqref="E852">
    <cfRule type="cellIs" priority="1694" operator="greaterThan" aboveAverage="0" equalAverage="0" bottom="0" percent="0" rank="0" text="" dxfId="0">
      <formula>0</formula>
    </cfRule>
    <cfRule type="cellIs" priority="1695" operator="lessThan" aboveAverage="0" equalAverage="0" bottom="0" percent="0" rank="0" text="" dxfId="1">
      <formula>0</formula>
    </cfRule>
  </conditionalFormatting>
  <conditionalFormatting sqref="E853">
    <cfRule type="cellIs" priority="1696" operator="greaterThan" aboveAverage="0" equalAverage="0" bottom="0" percent="0" rank="0" text="" dxfId="0">
      <formula>0</formula>
    </cfRule>
    <cfRule type="cellIs" priority="1697" operator="lessThan" aboveAverage="0" equalAverage="0" bottom="0" percent="0" rank="0" text="" dxfId="1">
      <formula>0</formula>
    </cfRule>
  </conditionalFormatting>
  <conditionalFormatting sqref="E854">
    <cfRule type="cellIs" priority="1698" operator="greaterThan" aboveAverage="0" equalAverage="0" bottom="0" percent="0" rank="0" text="" dxfId="0">
      <formula>0</formula>
    </cfRule>
    <cfRule type="cellIs" priority="1699" operator="lessThan" aboveAverage="0" equalAverage="0" bottom="0" percent="0" rank="0" text="" dxfId="1">
      <formula>0</formula>
    </cfRule>
  </conditionalFormatting>
  <conditionalFormatting sqref="E855">
    <cfRule type="cellIs" priority="1700" operator="greaterThan" aboveAverage="0" equalAverage="0" bottom="0" percent="0" rank="0" text="" dxfId="0">
      <formula>0</formula>
    </cfRule>
    <cfRule type="cellIs" priority="1701" operator="lessThan" aboveAverage="0" equalAverage="0" bottom="0" percent="0" rank="0" text="" dxfId="1">
      <formula>0</formula>
    </cfRule>
  </conditionalFormatting>
  <conditionalFormatting sqref="E856">
    <cfRule type="cellIs" priority="1702" operator="greaterThan" aboveAverage="0" equalAverage="0" bottom="0" percent="0" rank="0" text="" dxfId="0">
      <formula>0</formula>
    </cfRule>
    <cfRule type="cellIs" priority="1703" operator="lessThan" aboveAverage="0" equalAverage="0" bottom="0" percent="0" rank="0" text="" dxfId="1">
      <formula>0</formula>
    </cfRule>
  </conditionalFormatting>
  <conditionalFormatting sqref="E857">
    <cfRule type="cellIs" priority="1704" operator="greaterThan" aboveAverage="0" equalAverage="0" bottom="0" percent="0" rank="0" text="" dxfId="0">
      <formula>0</formula>
    </cfRule>
    <cfRule type="cellIs" priority="1705" operator="lessThan" aboveAverage="0" equalAverage="0" bottom="0" percent="0" rank="0" text="" dxfId="1">
      <formula>0</formula>
    </cfRule>
  </conditionalFormatting>
  <conditionalFormatting sqref="E858">
    <cfRule type="cellIs" priority="1706" operator="greaterThan" aboveAverage="0" equalAverage="0" bottom="0" percent="0" rank="0" text="" dxfId="0">
      <formula>0</formula>
    </cfRule>
    <cfRule type="cellIs" priority="1707" operator="lessThan" aboveAverage="0" equalAverage="0" bottom="0" percent="0" rank="0" text="" dxfId="1">
      <formula>0</formula>
    </cfRule>
  </conditionalFormatting>
  <conditionalFormatting sqref="E859">
    <cfRule type="cellIs" priority="1708" operator="greaterThan" aboveAverage="0" equalAverage="0" bottom="0" percent="0" rank="0" text="" dxfId="0">
      <formula>0</formula>
    </cfRule>
    <cfRule type="cellIs" priority="1709" operator="lessThan" aboveAverage="0" equalAverage="0" bottom="0" percent="0" rank="0" text="" dxfId="1">
      <formula>0</formula>
    </cfRule>
  </conditionalFormatting>
  <conditionalFormatting sqref="E860">
    <cfRule type="cellIs" priority="1710" operator="greaterThan" aboveAverage="0" equalAverage="0" bottom="0" percent="0" rank="0" text="" dxfId="0">
      <formula>0</formula>
    </cfRule>
    <cfRule type="cellIs" priority="1711" operator="lessThan" aboveAverage="0" equalAverage="0" bottom="0" percent="0" rank="0" text="" dxfId="1">
      <formula>0</formula>
    </cfRule>
  </conditionalFormatting>
  <conditionalFormatting sqref="E861">
    <cfRule type="cellIs" priority="1712" operator="greaterThan" aboveAverage="0" equalAverage="0" bottom="0" percent="0" rank="0" text="" dxfId="0">
      <formula>0</formula>
    </cfRule>
    <cfRule type="cellIs" priority="1713" operator="lessThan" aboveAverage="0" equalAverage="0" bottom="0" percent="0" rank="0" text="" dxfId="1">
      <formula>0</formula>
    </cfRule>
  </conditionalFormatting>
  <conditionalFormatting sqref="E862">
    <cfRule type="cellIs" priority="1714" operator="greaterThan" aboveAverage="0" equalAverage="0" bottom="0" percent="0" rank="0" text="" dxfId="0">
      <formula>0</formula>
    </cfRule>
    <cfRule type="cellIs" priority="1715" operator="lessThan" aboveAverage="0" equalAverage="0" bottom="0" percent="0" rank="0" text="" dxfId="1">
      <formula>0</formula>
    </cfRule>
  </conditionalFormatting>
  <conditionalFormatting sqref="E863">
    <cfRule type="cellIs" priority="1716" operator="greaterThan" aboveAverage="0" equalAverage="0" bottom="0" percent="0" rank="0" text="" dxfId="0">
      <formula>0</formula>
    </cfRule>
    <cfRule type="cellIs" priority="1717" operator="lessThan" aboveAverage="0" equalAverage="0" bottom="0" percent="0" rank="0" text="" dxfId="1">
      <formula>0</formula>
    </cfRule>
  </conditionalFormatting>
  <conditionalFormatting sqref="E864">
    <cfRule type="cellIs" priority="1718" operator="greaterThan" aboveAverage="0" equalAverage="0" bottom="0" percent="0" rank="0" text="" dxfId="0">
      <formula>0</formula>
    </cfRule>
    <cfRule type="cellIs" priority="1719" operator="lessThan" aboveAverage="0" equalAverage="0" bottom="0" percent="0" rank="0" text="" dxfId="1">
      <formula>0</formula>
    </cfRule>
  </conditionalFormatting>
  <conditionalFormatting sqref="E865">
    <cfRule type="cellIs" priority="1720" operator="greaterThan" aboveAverage="0" equalAverage="0" bottom="0" percent="0" rank="0" text="" dxfId="0">
      <formula>0</formula>
    </cfRule>
    <cfRule type="cellIs" priority="1721" operator="lessThan" aboveAverage="0" equalAverage="0" bottom="0" percent="0" rank="0" text="" dxfId="1">
      <formula>0</formula>
    </cfRule>
  </conditionalFormatting>
  <conditionalFormatting sqref="E866">
    <cfRule type="cellIs" priority="1722" operator="greaterThan" aboveAverage="0" equalAverage="0" bottom="0" percent="0" rank="0" text="" dxfId="0">
      <formula>0</formula>
    </cfRule>
    <cfRule type="cellIs" priority="1723" operator="lessThan" aboveAverage="0" equalAverage="0" bottom="0" percent="0" rank="0" text="" dxfId="1">
      <formula>0</formula>
    </cfRule>
  </conditionalFormatting>
  <conditionalFormatting sqref="E867">
    <cfRule type="cellIs" priority="1724" operator="greaterThan" aboveAverage="0" equalAverage="0" bottom="0" percent="0" rank="0" text="" dxfId="0">
      <formula>0</formula>
    </cfRule>
    <cfRule type="cellIs" priority="1725" operator="lessThan" aboveAverage="0" equalAverage="0" bottom="0" percent="0" rank="0" text="" dxfId="1">
      <formula>0</formula>
    </cfRule>
  </conditionalFormatting>
  <conditionalFormatting sqref="E868">
    <cfRule type="cellIs" priority="1726" operator="greaterThan" aboveAverage="0" equalAverage="0" bottom="0" percent="0" rank="0" text="" dxfId="0">
      <formula>0</formula>
    </cfRule>
    <cfRule type="cellIs" priority="1727" operator="lessThan" aboveAverage="0" equalAverage="0" bottom="0" percent="0" rank="0" text="" dxfId="1">
      <formula>0</formula>
    </cfRule>
  </conditionalFormatting>
  <conditionalFormatting sqref="E869">
    <cfRule type="cellIs" priority="1728" operator="greaterThan" aboveAverage="0" equalAverage="0" bottom="0" percent="0" rank="0" text="" dxfId="0">
      <formula>0</formula>
    </cfRule>
    <cfRule type="cellIs" priority="1729" operator="lessThan" aboveAverage="0" equalAverage="0" bottom="0" percent="0" rank="0" text="" dxfId="1">
      <formula>0</formula>
    </cfRule>
  </conditionalFormatting>
  <conditionalFormatting sqref="E870">
    <cfRule type="cellIs" priority="1730" operator="greaterThan" aboveAverage="0" equalAverage="0" bottom="0" percent="0" rank="0" text="" dxfId="0">
      <formula>0</formula>
    </cfRule>
    <cfRule type="cellIs" priority="1731" operator="lessThan" aboveAverage="0" equalAverage="0" bottom="0" percent="0" rank="0" text="" dxfId="1">
      <formula>0</formula>
    </cfRule>
  </conditionalFormatting>
  <conditionalFormatting sqref="E871">
    <cfRule type="cellIs" priority="1732" operator="greaterThan" aboveAverage="0" equalAverage="0" bottom="0" percent="0" rank="0" text="" dxfId="0">
      <formula>0</formula>
    </cfRule>
    <cfRule type="cellIs" priority="1733" operator="lessThan" aboveAverage="0" equalAverage="0" bottom="0" percent="0" rank="0" text="" dxfId="1">
      <formula>0</formula>
    </cfRule>
  </conditionalFormatting>
  <conditionalFormatting sqref="E872">
    <cfRule type="cellIs" priority="1734" operator="greaterThan" aboveAverage="0" equalAverage="0" bottom="0" percent="0" rank="0" text="" dxfId="0">
      <formula>0</formula>
    </cfRule>
    <cfRule type="cellIs" priority="1735" operator="lessThan" aboveAverage="0" equalAverage="0" bottom="0" percent="0" rank="0" text="" dxfId="1">
      <formula>0</formula>
    </cfRule>
  </conditionalFormatting>
  <conditionalFormatting sqref="E873">
    <cfRule type="cellIs" priority="1736" operator="greaterThan" aboveAverage="0" equalAverage="0" bottom="0" percent="0" rank="0" text="" dxfId="0">
      <formula>0</formula>
    </cfRule>
    <cfRule type="cellIs" priority="1737" operator="lessThan" aboveAverage="0" equalAverage="0" bottom="0" percent="0" rank="0" text="" dxfId="1">
      <formula>0</formula>
    </cfRule>
  </conditionalFormatting>
  <conditionalFormatting sqref="E874">
    <cfRule type="cellIs" priority="1738" operator="greaterThan" aboveAverage="0" equalAverage="0" bottom="0" percent="0" rank="0" text="" dxfId="0">
      <formula>0</formula>
    </cfRule>
    <cfRule type="cellIs" priority="1739" operator="lessThan" aboveAverage="0" equalAverage="0" bottom="0" percent="0" rank="0" text="" dxfId="1">
      <formula>0</formula>
    </cfRule>
  </conditionalFormatting>
  <conditionalFormatting sqref="E875">
    <cfRule type="cellIs" priority="1740" operator="greaterThan" aboveAverage="0" equalAverage="0" bottom="0" percent="0" rank="0" text="" dxfId="0">
      <formula>0</formula>
    </cfRule>
    <cfRule type="cellIs" priority="1741" operator="lessThan" aboveAverage="0" equalAverage="0" bottom="0" percent="0" rank="0" text="" dxfId="1">
      <formula>0</formula>
    </cfRule>
  </conditionalFormatting>
  <conditionalFormatting sqref="E876">
    <cfRule type="cellIs" priority="1742" operator="greaterThan" aboveAverage="0" equalAverage="0" bottom="0" percent="0" rank="0" text="" dxfId="0">
      <formula>0</formula>
    </cfRule>
    <cfRule type="cellIs" priority="1743" operator="lessThan" aboveAverage="0" equalAverage="0" bottom="0" percent="0" rank="0" text="" dxfId="1">
      <formula>0</formula>
    </cfRule>
  </conditionalFormatting>
  <conditionalFormatting sqref="E877">
    <cfRule type="cellIs" priority="1744" operator="greaterThan" aboveAverage="0" equalAverage="0" bottom="0" percent="0" rank="0" text="" dxfId="0">
      <formula>0</formula>
    </cfRule>
    <cfRule type="cellIs" priority="1745" operator="lessThan" aboveAverage="0" equalAverage="0" bottom="0" percent="0" rank="0" text="" dxfId="1">
      <formula>0</formula>
    </cfRule>
  </conditionalFormatting>
  <conditionalFormatting sqref="E878">
    <cfRule type="cellIs" priority="1746" operator="greaterThan" aboveAverage="0" equalAverage="0" bottom="0" percent="0" rank="0" text="" dxfId="0">
      <formula>0</formula>
    </cfRule>
    <cfRule type="cellIs" priority="1747" operator="lessThan" aboveAverage="0" equalAverage="0" bottom="0" percent="0" rank="0" text="" dxfId="1">
      <formula>0</formula>
    </cfRule>
  </conditionalFormatting>
  <conditionalFormatting sqref="E879">
    <cfRule type="cellIs" priority="1748" operator="greaterThan" aboveAverage="0" equalAverage="0" bottom="0" percent="0" rank="0" text="" dxfId="0">
      <formula>0</formula>
    </cfRule>
    <cfRule type="cellIs" priority="1749" operator="lessThan" aboveAverage="0" equalAverage="0" bottom="0" percent="0" rank="0" text="" dxfId="1">
      <formula>0</formula>
    </cfRule>
  </conditionalFormatting>
  <conditionalFormatting sqref="E880">
    <cfRule type="cellIs" priority="1750" operator="greaterThan" aboveAverage="0" equalAverage="0" bottom="0" percent="0" rank="0" text="" dxfId="0">
      <formula>0</formula>
    </cfRule>
    <cfRule type="cellIs" priority="1751" operator="lessThan" aboveAverage="0" equalAverage="0" bottom="0" percent="0" rank="0" text="" dxfId="1">
      <formula>0</formula>
    </cfRule>
  </conditionalFormatting>
  <conditionalFormatting sqref="E881">
    <cfRule type="cellIs" priority="1752" operator="greaterThan" aboveAverage="0" equalAverage="0" bottom="0" percent="0" rank="0" text="" dxfId="0">
      <formula>0</formula>
    </cfRule>
    <cfRule type="cellIs" priority="1753" operator="lessThan" aboveAverage="0" equalAverage="0" bottom="0" percent="0" rank="0" text="" dxfId="1">
      <formula>0</formula>
    </cfRule>
  </conditionalFormatting>
  <conditionalFormatting sqref="E882">
    <cfRule type="cellIs" priority="1754" operator="greaterThan" aboveAverage="0" equalAverage="0" bottom="0" percent="0" rank="0" text="" dxfId="0">
      <formula>0</formula>
    </cfRule>
    <cfRule type="cellIs" priority="1755" operator="lessThan" aboveAverage="0" equalAverage="0" bottom="0" percent="0" rank="0" text="" dxfId="1">
      <formula>0</formula>
    </cfRule>
  </conditionalFormatting>
  <conditionalFormatting sqref="E883">
    <cfRule type="cellIs" priority="1756" operator="greaterThan" aboveAverage="0" equalAverage="0" bottom="0" percent="0" rank="0" text="" dxfId="0">
      <formula>0</formula>
    </cfRule>
    <cfRule type="cellIs" priority="1757" operator="lessThan" aboveAverage="0" equalAverage="0" bottom="0" percent="0" rank="0" text="" dxfId="1">
      <formula>0</formula>
    </cfRule>
  </conditionalFormatting>
  <conditionalFormatting sqref="E884">
    <cfRule type="cellIs" priority="1758" operator="greaterThan" aboveAverage="0" equalAverage="0" bottom="0" percent="0" rank="0" text="" dxfId="0">
      <formula>0</formula>
    </cfRule>
    <cfRule type="cellIs" priority="1759" operator="lessThan" aboveAverage="0" equalAverage="0" bottom="0" percent="0" rank="0" text="" dxfId="1">
      <formula>0</formula>
    </cfRule>
  </conditionalFormatting>
  <conditionalFormatting sqref="E885">
    <cfRule type="cellIs" priority="1760" operator="greaterThan" aboveAverage="0" equalAverage="0" bottom="0" percent="0" rank="0" text="" dxfId="0">
      <formula>0</formula>
    </cfRule>
    <cfRule type="cellIs" priority="1761" operator="lessThan" aboveAverage="0" equalAverage="0" bottom="0" percent="0" rank="0" text="" dxfId="1">
      <formula>0</formula>
    </cfRule>
  </conditionalFormatting>
  <conditionalFormatting sqref="E886">
    <cfRule type="cellIs" priority="1762" operator="greaterThan" aboveAverage="0" equalAverage="0" bottom="0" percent="0" rank="0" text="" dxfId="0">
      <formula>0</formula>
    </cfRule>
    <cfRule type="cellIs" priority="1763" operator="lessThan" aboveAverage="0" equalAverage="0" bottom="0" percent="0" rank="0" text="" dxfId="1">
      <formula>0</formula>
    </cfRule>
  </conditionalFormatting>
  <conditionalFormatting sqref="E887">
    <cfRule type="cellIs" priority="1764" operator="greaterThan" aboveAverage="0" equalAverage="0" bottom="0" percent="0" rank="0" text="" dxfId="0">
      <formula>0</formula>
    </cfRule>
    <cfRule type="cellIs" priority="1765" operator="lessThan" aboveAverage="0" equalAverage="0" bottom="0" percent="0" rank="0" text="" dxfId="1">
      <formula>0</formula>
    </cfRule>
  </conditionalFormatting>
  <conditionalFormatting sqref="E888">
    <cfRule type="cellIs" priority="1766" operator="greaterThan" aboveAverage="0" equalAverage="0" bottom="0" percent="0" rank="0" text="" dxfId="0">
      <formula>0</formula>
    </cfRule>
    <cfRule type="cellIs" priority="1767" operator="lessThan" aboveAverage="0" equalAverage="0" bottom="0" percent="0" rank="0" text="" dxfId="1">
      <formula>0</formula>
    </cfRule>
  </conditionalFormatting>
  <conditionalFormatting sqref="E889">
    <cfRule type="cellIs" priority="1768" operator="greaterThan" aboveAverage="0" equalAverage="0" bottom="0" percent="0" rank="0" text="" dxfId="0">
      <formula>0</formula>
    </cfRule>
    <cfRule type="cellIs" priority="1769" operator="lessThan" aboveAverage="0" equalAverage="0" bottom="0" percent="0" rank="0" text="" dxfId="1">
      <formula>0</formula>
    </cfRule>
  </conditionalFormatting>
  <conditionalFormatting sqref="E890">
    <cfRule type="cellIs" priority="1770" operator="greaterThan" aboveAverage="0" equalAverage="0" bottom="0" percent="0" rank="0" text="" dxfId="0">
      <formula>0</formula>
    </cfRule>
    <cfRule type="cellIs" priority="1771" operator="lessThan" aboveAverage="0" equalAverage="0" bottom="0" percent="0" rank="0" text="" dxfId="1">
      <formula>0</formula>
    </cfRule>
  </conditionalFormatting>
  <conditionalFormatting sqref="E891">
    <cfRule type="cellIs" priority="1772" operator="greaterThan" aboveAverage="0" equalAverage="0" bottom="0" percent="0" rank="0" text="" dxfId="0">
      <formula>0</formula>
    </cfRule>
    <cfRule type="cellIs" priority="1773" operator="lessThan" aboveAverage="0" equalAverage="0" bottom="0" percent="0" rank="0" text="" dxfId="1">
      <formula>0</formula>
    </cfRule>
  </conditionalFormatting>
  <conditionalFormatting sqref="E892">
    <cfRule type="cellIs" priority="1774" operator="greaterThan" aboveAverage="0" equalAverage="0" bottom="0" percent="0" rank="0" text="" dxfId="0">
      <formula>0</formula>
    </cfRule>
    <cfRule type="cellIs" priority="1775" operator="lessThan" aboveAverage="0" equalAverage="0" bottom="0" percent="0" rank="0" text="" dxfId="1">
      <formula>0</formula>
    </cfRule>
  </conditionalFormatting>
  <conditionalFormatting sqref="E893">
    <cfRule type="cellIs" priority="1776" operator="greaterThan" aboveAverage="0" equalAverage="0" bottom="0" percent="0" rank="0" text="" dxfId="0">
      <formula>0</formula>
    </cfRule>
    <cfRule type="cellIs" priority="1777" operator="lessThan" aboveAverage="0" equalAverage="0" bottom="0" percent="0" rank="0" text="" dxfId="1">
      <formula>0</formula>
    </cfRule>
  </conditionalFormatting>
  <conditionalFormatting sqref="E894">
    <cfRule type="cellIs" priority="1778" operator="greaterThan" aboveAverage="0" equalAverage="0" bottom="0" percent="0" rank="0" text="" dxfId="0">
      <formula>0</formula>
    </cfRule>
    <cfRule type="cellIs" priority="1779" operator="lessThan" aboveAverage="0" equalAverage="0" bottom="0" percent="0" rank="0" text="" dxfId="1">
      <formula>0</formula>
    </cfRule>
  </conditionalFormatting>
  <conditionalFormatting sqref="E895">
    <cfRule type="cellIs" priority="1780" operator="greaterThan" aboveAverage="0" equalAverage="0" bottom="0" percent="0" rank="0" text="" dxfId="0">
      <formula>0</formula>
    </cfRule>
    <cfRule type="cellIs" priority="1781" operator="lessThan" aboveAverage="0" equalAverage="0" bottom="0" percent="0" rank="0" text="" dxfId="1">
      <formula>0</formula>
    </cfRule>
  </conditionalFormatting>
  <conditionalFormatting sqref="E896">
    <cfRule type="cellIs" priority="1782" operator="greaterThan" aboveAverage="0" equalAverage="0" bottom="0" percent="0" rank="0" text="" dxfId="0">
      <formula>0</formula>
    </cfRule>
    <cfRule type="cellIs" priority="1783" operator="lessThan" aboveAverage="0" equalAverage="0" bottom="0" percent="0" rank="0" text="" dxfId="1">
      <formula>0</formula>
    </cfRule>
  </conditionalFormatting>
  <conditionalFormatting sqref="E897">
    <cfRule type="cellIs" priority="1784" operator="greaterThan" aboveAverage="0" equalAverage="0" bottom="0" percent="0" rank="0" text="" dxfId="0">
      <formula>0</formula>
    </cfRule>
    <cfRule type="cellIs" priority="1785" operator="lessThan" aboveAverage="0" equalAverage="0" bottom="0" percent="0" rank="0" text="" dxfId="1">
      <formula>0</formula>
    </cfRule>
  </conditionalFormatting>
  <conditionalFormatting sqref="E898">
    <cfRule type="cellIs" priority="1786" operator="greaterThan" aboveAverage="0" equalAverage="0" bottom="0" percent="0" rank="0" text="" dxfId="0">
      <formula>0</formula>
    </cfRule>
    <cfRule type="cellIs" priority="1787" operator="lessThan" aboveAverage="0" equalAverage="0" bottom="0" percent="0" rank="0" text="" dxfId="1">
      <formula>0</formula>
    </cfRule>
  </conditionalFormatting>
  <conditionalFormatting sqref="E899">
    <cfRule type="cellIs" priority="1788" operator="greaterThan" aboveAverage="0" equalAverage="0" bottom="0" percent="0" rank="0" text="" dxfId="0">
      <formula>0</formula>
    </cfRule>
    <cfRule type="cellIs" priority="1789" operator="lessThan" aboveAverage="0" equalAverage="0" bottom="0" percent="0" rank="0" text="" dxfId="1">
      <formula>0</formula>
    </cfRule>
  </conditionalFormatting>
  <conditionalFormatting sqref="E900">
    <cfRule type="cellIs" priority="1790" operator="greaterThan" aboveAverage="0" equalAverage="0" bottom="0" percent="0" rank="0" text="" dxfId="0">
      <formula>0</formula>
    </cfRule>
    <cfRule type="cellIs" priority="1791" operator="lessThan" aboveAverage="0" equalAverage="0" bottom="0" percent="0" rank="0" text="" dxfId="1">
      <formula>0</formula>
    </cfRule>
  </conditionalFormatting>
  <conditionalFormatting sqref="E901">
    <cfRule type="cellIs" priority="1792" operator="greaterThan" aboveAverage="0" equalAverage="0" bottom="0" percent="0" rank="0" text="" dxfId="0">
      <formula>0</formula>
    </cfRule>
    <cfRule type="cellIs" priority="1793" operator="lessThan" aboveAverage="0" equalAverage="0" bottom="0" percent="0" rank="0" text="" dxfId="1">
      <formula>0</formula>
    </cfRule>
  </conditionalFormatting>
  <conditionalFormatting sqref="E902">
    <cfRule type="cellIs" priority="1794" operator="greaterThan" aboveAverage="0" equalAverage="0" bottom="0" percent="0" rank="0" text="" dxfId="0">
      <formula>0</formula>
    </cfRule>
    <cfRule type="cellIs" priority="1795" operator="lessThan" aboveAverage="0" equalAverage="0" bottom="0" percent="0" rank="0" text="" dxfId="1">
      <formula>0</formula>
    </cfRule>
  </conditionalFormatting>
  <conditionalFormatting sqref="E903">
    <cfRule type="cellIs" priority="1796" operator="greaterThan" aboveAverage="0" equalAverage="0" bottom="0" percent="0" rank="0" text="" dxfId="0">
      <formula>0</formula>
    </cfRule>
    <cfRule type="cellIs" priority="1797" operator="lessThan" aboveAverage="0" equalAverage="0" bottom="0" percent="0" rank="0" text="" dxfId="1">
      <formula>0</formula>
    </cfRule>
  </conditionalFormatting>
  <conditionalFormatting sqref="E904">
    <cfRule type="cellIs" priority="1798" operator="greaterThan" aboveAverage="0" equalAverage="0" bottom="0" percent="0" rank="0" text="" dxfId="0">
      <formula>0</formula>
    </cfRule>
    <cfRule type="cellIs" priority="1799" operator="lessThan" aboveAverage="0" equalAverage="0" bottom="0" percent="0" rank="0" text="" dxfId="1">
      <formula>0</formula>
    </cfRule>
  </conditionalFormatting>
  <conditionalFormatting sqref="E905">
    <cfRule type="cellIs" priority="1800" operator="greaterThan" aboveAverage="0" equalAverage="0" bottom="0" percent="0" rank="0" text="" dxfId="0">
      <formula>0</formula>
    </cfRule>
    <cfRule type="cellIs" priority="1801" operator="lessThan" aboveAverage="0" equalAverage="0" bottom="0" percent="0" rank="0" text="" dxfId="1">
      <formula>0</formula>
    </cfRule>
  </conditionalFormatting>
  <conditionalFormatting sqref="E906">
    <cfRule type="cellIs" priority="1802" operator="greaterThan" aboveAverage="0" equalAverage="0" bottom="0" percent="0" rank="0" text="" dxfId="0">
      <formula>0</formula>
    </cfRule>
    <cfRule type="cellIs" priority="1803" operator="lessThan" aboveAverage="0" equalAverage="0" bottom="0" percent="0" rank="0" text="" dxfId="1">
      <formula>0</formula>
    </cfRule>
  </conditionalFormatting>
  <conditionalFormatting sqref="E907">
    <cfRule type="cellIs" priority="1804" operator="greaterThan" aboveAverage="0" equalAverage="0" bottom="0" percent="0" rank="0" text="" dxfId="0">
      <formula>0</formula>
    </cfRule>
    <cfRule type="cellIs" priority="1805" operator="lessThan" aboveAverage="0" equalAverage="0" bottom="0" percent="0" rank="0" text="" dxfId="1">
      <formula>0</formula>
    </cfRule>
  </conditionalFormatting>
  <conditionalFormatting sqref="E908">
    <cfRule type="cellIs" priority="1806" operator="greaterThan" aboveAverage="0" equalAverage="0" bottom="0" percent="0" rank="0" text="" dxfId="0">
      <formula>0</formula>
    </cfRule>
    <cfRule type="cellIs" priority="1807" operator="lessThan" aboveAverage="0" equalAverage="0" bottom="0" percent="0" rank="0" text="" dxfId="1">
      <formula>0</formula>
    </cfRule>
  </conditionalFormatting>
  <conditionalFormatting sqref="E909">
    <cfRule type="cellIs" priority="1808" operator="greaterThan" aboveAverage="0" equalAverage="0" bottom="0" percent="0" rank="0" text="" dxfId="0">
      <formula>0</formula>
    </cfRule>
    <cfRule type="cellIs" priority="1809" operator="lessThan" aboveAverage="0" equalAverage="0" bottom="0" percent="0" rank="0" text="" dxfId="1">
      <formula>0</formula>
    </cfRule>
  </conditionalFormatting>
  <conditionalFormatting sqref="E910">
    <cfRule type="cellIs" priority="1810" operator="greaterThan" aboveAverage="0" equalAverage="0" bottom="0" percent="0" rank="0" text="" dxfId="0">
      <formula>0</formula>
    </cfRule>
    <cfRule type="cellIs" priority="1811" operator="lessThan" aboveAverage="0" equalAverage="0" bottom="0" percent="0" rank="0" text="" dxfId="1">
      <formula>0</formula>
    </cfRule>
  </conditionalFormatting>
  <conditionalFormatting sqref="E911">
    <cfRule type="cellIs" priority="1812" operator="greaterThan" aboveAverage="0" equalAverage="0" bottom="0" percent="0" rank="0" text="" dxfId="0">
      <formula>0</formula>
    </cfRule>
    <cfRule type="cellIs" priority="1813" operator="lessThan" aboveAverage="0" equalAverage="0" bottom="0" percent="0" rank="0" text="" dxfId="1">
      <formula>0</formula>
    </cfRule>
  </conditionalFormatting>
  <conditionalFormatting sqref="E912">
    <cfRule type="cellIs" priority="1814" operator="greaterThan" aboveAverage="0" equalAverage="0" bottom="0" percent="0" rank="0" text="" dxfId="0">
      <formula>0</formula>
    </cfRule>
    <cfRule type="cellIs" priority="1815" operator="lessThan" aboveAverage="0" equalAverage="0" bottom="0" percent="0" rank="0" text="" dxfId="1">
      <formula>0</formula>
    </cfRule>
  </conditionalFormatting>
  <conditionalFormatting sqref="E913">
    <cfRule type="cellIs" priority="1816" operator="greaterThan" aboveAverage="0" equalAverage="0" bottom="0" percent="0" rank="0" text="" dxfId="0">
      <formula>0</formula>
    </cfRule>
    <cfRule type="cellIs" priority="1817" operator="lessThan" aboveAverage="0" equalAverage="0" bottom="0" percent="0" rank="0" text="" dxfId="1">
      <formula>0</formula>
    </cfRule>
  </conditionalFormatting>
  <conditionalFormatting sqref="E914">
    <cfRule type="cellIs" priority="1818" operator="greaterThan" aboveAverage="0" equalAverage="0" bottom="0" percent="0" rank="0" text="" dxfId="0">
      <formula>0</formula>
    </cfRule>
    <cfRule type="cellIs" priority="1819" operator="lessThan" aboveAverage="0" equalAverage="0" bottom="0" percent="0" rank="0" text="" dxfId="1">
      <formula>0</formula>
    </cfRule>
  </conditionalFormatting>
  <conditionalFormatting sqref="E915">
    <cfRule type="cellIs" priority="1820" operator="greaterThan" aboveAverage="0" equalAverage="0" bottom="0" percent="0" rank="0" text="" dxfId="0">
      <formula>0</formula>
    </cfRule>
    <cfRule type="cellIs" priority="1821" operator="lessThan" aboveAverage="0" equalAverage="0" bottom="0" percent="0" rank="0" text="" dxfId="1">
      <formula>0</formula>
    </cfRule>
  </conditionalFormatting>
  <conditionalFormatting sqref="E916">
    <cfRule type="cellIs" priority="1822" operator="greaterThan" aboveAverage="0" equalAverage="0" bottom="0" percent="0" rank="0" text="" dxfId="0">
      <formula>0</formula>
    </cfRule>
    <cfRule type="cellIs" priority="1823" operator="lessThan" aboveAverage="0" equalAverage="0" bottom="0" percent="0" rank="0" text="" dxfId="1">
      <formula>0</formula>
    </cfRule>
  </conditionalFormatting>
  <conditionalFormatting sqref="E917">
    <cfRule type="cellIs" priority="1824" operator="greaterThan" aboveAverage="0" equalAverage="0" bottom="0" percent="0" rank="0" text="" dxfId="0">
      <formula>0</formula>
    </cfRule>
    <cfRule type="cellIs" priority="1825" operator="lessThan" aboveAverage="0" equalAverage="0" bottom="0" percent="0" rank="0" text="" dxfId="1">
      <formula>0</formula>
    </cfRule>
  </conditionalFormatting>
  <conditionalFormatting sqref="E918">
    <cfRule type="cellIs" priority="1826" operator="greaterThan" aboveAverage="0" equalAverage="0" bottom="0" percent="0" rank="0" text="" dxfId="0">
      <formula>0</formula>
    </cfRule>
    <cfRule type="cellIs" priority="1827" operator="lessThan" aboveAverage="0" equalAverage="0" bottom="0" percent="0" rank="0" text="" dxfId="1">
      <formula>0</formula>
    </cfRule>
  </conditionalFormatting>
  <conditionalFormatting sqref="E919">
    <cfRule type="cellIs" priority="1828" operator="greaterThan" aboveAverage="0" equalAverage="0" bottom="0" percent="0" rank="0" text="" dxfId="0">
      <formula>0</formula>
    </cfRule>
    <cfRule type="cellIs" priority="1829" operator="lessThan" aboveAverage="0" equalAverage="0" bottom="0" percent="0" rank="0" text="" dxfId="1">
      <formula>0</formula>
    </cfRule>
  </conditionalFormatting>
  <conditionalFormatting sqref="E920">
    <cfRule type="cellIs" priority="1830" operator="greaterThan" aboveAverage="0" equalAverage="0" bottom="0" percent="0" rank="0" text="" dxfId="0">
      <formula>0</formula>
    </cfRule>
    <cfRule type="cellIs" priority="1831" operator="lessThan" aboveAverage="0" equalAverage="0" bottom="0" percent="0" rank="0" text="" dxfId="1">
      <formula>0</formula>
    </cfRule>
  </conditionalFormatting>
  <conditionalFormatting sqref="E921">
    <cfRule type="cellIs" priority="1832" operator="greaterThan" aboveAverage="0" equalAverage="0" bottom="0" percent="0" rank="0" text="" dxfId="0">
      <formula>0</formula>
    </cfRule>
    <cfRule type="cellIs" priority="1833" operator="lessThan" aboveAverage="0" equalAverage="0" bottom="0" percent="0" rank="0" text="" dxfId="1">
      <formula>0</formula>
    </cfRule>
  </conditionalFormatting>
  <conditionalFormatting sqref="E922">
    <cfRule type="cellIs" priority="1834" operator="greaterThan" aboveAverage="0" equalAverage="0" bottom="0" percent="0" rank="0" text="" dxfId="0">
      <formula>0</formula>
    </cfRule>
    <cfRule type="cellIs" priority="1835" operator="lessThan" aboveAverage="0" equalAverage="0" bottom="0" percent="0" rank="0" text="" dxfId="1">
      <formula>0</formula>
    </cfRule>
  </conditionalFormatting>
  <conditionalFormatting sqref="E923">
    <cfRule type="cellIs" priority="1836" operator="greaterThan" aboveAverage="0" equalAverage="0" bottom="0" percent="0" rank="0" text="" dxfId="0">
      <formula>0</formula>
    </cfRule>
    <cfRule type="cellIs" priority="1837" operator="lessThan" aboveAverage="0" equalAverage="0" bottom="0" percent="0" rank="0" text="" dxfId="1">
      <formula>0</formula>
    </cfRule>
  </conditionalFormatting>
  <conditionalFormatting sqref="E924">
    <cfRule type="cellIs" priority="1838" operator="greaterThan" aboveAverage="0" equalAverage="0" bottom="0" percent="0" rank="0" text="" dxfId="0">
      <formula>0</formula>
    </cfRule>
    <cfRule type="cellIs" priority="1839" operator="lessThan" aboveAverage="0" equalAverage="0" bottom="0" percent="0" rank="0" text="" dxfId="1">
      <formula>0</formula>
    </cfRule>
  </conditionalFormatting>
  <conditionalFormatting sqref="E925">
    <cfRule type="cellIs" priority="1840" operator="greaterThan" aboveAverage="0" equalAverage="0" bottom="0" percent="0" rank="0" text="" dxfId="0">
      <formula>0</formula>
    </cfRule>
    <cfRule type="cellIs" priority="1841" operator="lessThan" aboveAverage="0" equalAverage="0" bottom="0" percent="0" rank="0" text="" dxfId="1">
      <formula>0</formula>
    </cfRule>
  </conditionalFormatting>
  <conditionalFormatting sqref="E926">
    <cfRule type="cellIs" priority="1842" operator="greaterThan" aboveAverage="0" equalAverage="0" bottom="0" percent="0" rank="0" text="" dxfId="0">
      <formula>0</formula>
    </cfRule>
    <cfRule type="cellIs" priority="1843" operator="lessThan" aboveAverage="0" equalAverage="0" bottom="0" percent="0" rank="0" text="" dxfId="1">
      <formula>0</formula>
    </cfRule>
  </conditionalFormatting>
  <conditionalFormatting sqref="E927">
    <cfRule type="cellIs" priority="1844" operator="greaterThan" aboveAverage="0" equalAverage="0" bottom="0" percent="0" rank="0" text="" dxfId="0">
      <formula>0</formula>
    </cfRule>
    <cfRule type="cellIs" priority="1845" operator="lessThan" aboveAverage="0" equalAverage="0" bottom="0" percent="0" rank="0" text="" dxfId="1">
      <formula>0</formula>
    </cfRule>
  </conditionalFormatting>
  <conditionalFormatting sqref="E928">
    <cfRule type="cellIs" priority="1846" operator="greaterThan" aboveAverage="0" equalAverage="0" bottom="0" percent="0" rank="0" text="" dxfId="0">
      <formula>0</formula>
    </cfRule>
    <cfRule type="cellIs" priority="1847" operator="lessThan" aboveAverage="0" equalAverage="0" bottom="0" percent="0" rank="0" text="" dxfId="1">
      <formula>0</formula>
    </cfRule>
  </conditionalFormatting>
  <conditionalFormatting sqref="E929">
    <cfRule type="cellIs" priority="1848" operator="greaterThan" aboveAverage="0" equalAverage="0" bottom="0" percent="0" rank="0" text="" dxfId="0">
      <formula>0</formula>
    </cfRule>
    <cfRule type="cellIs" priority="1849" operator="lessThan" aboveAverage="0" equalAverage="0" bottom="0" percent="0" rank="0" text="" dxfId="1">
      <formula>0</formula>
    </cfRule>
  </conditionalFormatting>
  <conditionalFormatting sqref="E930">
    <cfRule type="cellIs" priority="1850" operator="greaterThan" aboveAverage="0" equalAverage="0" bottom="0" percent="0" rank="0" text="" dxfId="0">
      <formula>0</formula>
    </cfRule>
    <cfRule type="cellIs" priority="1851" operator="lessThan" aboveAverage="0" equalAverage="0" bottom="0" percent="0" rank="0" text="" dxfId="1">
      <formula>0</formula>
    </cfRule>
  </conditionalFormatting>
  <conditionalFormatting sqref="E931">
    <cfRule type="cellIs" priority="1852" operator="greaterThan" aboveAverage="0" equalAverage="0" bottom="0" percent="0" rank="0" text="" dxfId="0">
      <formula>0</formula>
    </cfRule>
    <cfRule type="cellIs" priority="1853" operator="lessThan" aboveAverage="0" equalAverage="0" bottom="0" percent="0" rank="0" text="" dxfId="1">
      <formula>0</formula>
    </cfRule>
  </conditionalFormatting>
  <conditionalFormatting sqref="E932">
    <cfRule type="cellIs" priority="1854" operator="greaterThan" aboveAverage="0" equalAverage="0" bottom="0" percent="0" rank="0" text="" dxfId="0">
      <formula>0</formula>
    </cfRule>
    <cfRule type="cellIs" priority="1855" operator="lessThan" aboveAverage="0" equalAverage="0" bottom="0" percent="0" rank="0" text="" dxfId="1">
      <formula>0</formula>
    </cfRule>
  </conditionalFormatting>
  <conditionalFormatting sqref="E933">
    <cfRule type="cellIs" priority="1856" operator="greaterThan" aboveAverage="0" equalAverage="0" bottom="0" percent="0" rank="0" text="" dxfId="0">
      <formula>0</formula>
    </cfRule>
    <cfRule type="cellIs" priority="1857" operator="lessThan" aboveAverage="0" equalAverage="0" bottom="0" percent="0" rank="0" text="" dxfId="1">
      <formula>0</formula>
    </cfRule>
  </conditionalFormatting>
  <conditionalFormatting sqref="E934">
    <cfRule type="cellIs" priority="1858" operator="greaterThan" aboveAverage="0" equalAverage="0" bottom="0" percent="0" rank="0" text="" dxfId="0">
      <formula>0</formula>
    </cfRule>
    <cfRule type="cellIs" priority="1859" operator="lessThan" aboveAverage="0" equalAverage="0" bottom="0" percent="0" rank="0" text="" dxfId="1">
      <formula>0</formula>
    </cfRule>
  </conditionalFormatting>
  <conditionalFormatting sqref="E935">
    <cfRule type="cellIs" priority="1860" operator="greaterThan" aboveAverage="0" equalAverage="0" bottom="0" percent="0" rank="0" text="" dxfId="0">
      <formula>0</formula>
    </cfRule>
    <cfRule type="cellIs" priority="1861" operator="lessThan" aboveAverage="0" equalAverage="0" bottom="0" percent="0" rank="0" text="" dxfId="1">
      <formula>0</formula>
    </cfRule>
  </conditionalFormatting>
  <conditionalFormatting sqref="E936">
    <cfRule type="cellIs" priority="1862" operator="greaterThan" aboveAverage="0" equalAverage="0" bottom="0" percent="0" rank="0" text="" dxfId="0">
      <formula>0</formula>
    </cfRule>
    <cfRule type="cellIs" priority="1863" operator="lessThan" aboveAverage="0" equalAverage="0" bottom="0" percent="0" rank="0" text="" dxfId="1">
      <formula>0</formula>
    </cfRule>
  </conditionalFormatting>
  <conditionalFormatting sqref="E937">
    <cfRule type="cellIs" priority="1864" operator="greaterThan" aboveAverage="0" equalAverage="0" bottom="0" percent="0" rank="0" text="" dxfId="0">
      <formula>0</formula>
    </cfRule>
    <cfRule type="cellIs" priority="1865" operator="lessThan" aboveAverage="0" equalAverage="0" bottom="0" percent="0" rank="0" text="" dxfId="1">
      <formula>0</formula>
    </cfRule>
  </conditionalFormatting>
  <conditionalFormatting sqref="E938">
    <cfRule type="cellIs" priority="1866" operator="greaterThan" aboveAverage="0" equalAverage="0" bottom="0" percent="0" rank="0" text="" dxfId="0">
      <formula>0</formula>
    </cfRule>
    <cfRule type="cellIs" priority="1867" operator="lessThan" aboveAverage="0" equalAverage="0" bottom="0" percent="0" rank="0" text="" dxfId="1">
      <formula>0</formula>
    </cfRule>
  </conditionalFormatting>
  <conditionalFormatting sqref="E939">
    <cfRule type="cellIs" priority="1868" operator="greaterThan" aboveAverage="0" equalAverage="0" bottom="0" percent="0" rank="0" text="" dxfId="0">
      <formula>0</formula>
    </cfRule>
    <cfRule type="cellIs" priority="1869" operator="lessThan" aboveAverage="0" equalAverage="0" bottom="0" percent="0" rank="0" text="" dxfId="1">
      <formula>0</formula>
    </cfRule>
  </conditionalFormatting>
  <conditionalFormatting sqref="E940">
    <cfRule type="cellIs" priority="1870" operator="greaterThan" aboveAverage="0" equalAverage="0" bottom="0" percent="0" rank="0" text="" dxfId="0">
      <formula>0</formula>
    </cfRule>
    <cfRule type="cellIs" priority="1871" operator="lessThan" aboveAverage="0" equalAverage="0" bottom="0" percent="0" rank="0" text="" dxfId="1">
      <formula>0</formula>
    </cfRule>
  </conditionalFormatting>
  <conditionalFormatting sqref="E941">
    <cfRule type="cellIs" priority="1872" operator="greaterThan" aboveAverage="0" equalAverage="0" bottom="0" percent="0" rank="0" text="" dxfId="0">
      <formula>0</formula>
    </cfRule>
    <cfRule type="cellIs" priority="1873" operator="lessThan" aboveAverage="0" equalAverage="0" bottom="0" percent="0" rank="0" text="" dxfId="1">
      <formula>0</formula>
    </cfRule>
  </conditionalFormatting>
  <conditionalFormatting sqref="E942">
    <cfRule type="cellIs" priority="1874" operator="greaterThan" aboveAverage="0" equalAverage="0" bottom="0" percent="0" rank="0" text="" dxfId="0">
      <formula>0</formula>
    </cfRule>
    <cfRule type="cellIs" priority="1875" operator="lessThan" aboveAverage="0" equalAverage="0" bottom="0" percent="0" rank="0" text="" dxfId="1">
      <formula>0</formula>
    </cfRule>
  </conditionalFormatting>
  <conditionalFormatting sqref="E943">
    <cfRule type="cellIs" priority="1876" operator="greaterThan" aboveAverage="0" equalAverage="0" bottom="0" percent="0" rank="0" text="" dxfId="0">
      <formula>0</formula>
    </cfRule>
    <cfRule type="cellIs" priority="1877" operator="lessThan" aboveAverage="0" equalAverage="0" bottom="0" percent="0" rank="0" text="" dxfId="1">
      <formula>0</formula>
    </cfRule>
  </conditionalFormatting>
  <conditionalFormatting sqref="E944">
    <cfRule type="cellIs" priority="1878" operator="greaterThan" aboveAverage="0" equalAverage="0" bottom="0" percent="0" rank="0" text="" dxfId="0">
      <formula>0</formula>
    </cfRule>
    <cfRule type="cellIs" priority="1879" operator="lessThan" aboveAverage="0" equalAverage="0" bottom="0" percent="0" rank="0" text="" dxfId="1">
      <formula>0</formula>
    </cfRule>
  </conditionalFormatting>
  <conditionalFormatting sqref="E945">
    <cfRule type="cellIs" priority="1880" operator="greaterThan" aboveAverage="0" equalAverage="0" bottom="0" percent="0" rank="0" text="" dxfId="0">
      <formula>0</formula>
    </cfRule>
    <cfRule type="cellIs" priority="1881" operator="lessThan" aboveAverage="0" equalAverage="0" bottom="0" percent="0" rank="0" text="" dxfId="1">
      <formula>0</formula>
    </cfRule>
  </conditionalFormatting>
  <conditionalFormatting sqref="E946">
    <cfRule type="cellIs" priority="1882" operator="greaterThan" aboveAverage="0" equalAverage="0" bottom="0" percent="0" rank="0" text="" dxfId="0">
      <formula>0</formula>
    </cfRule>
    <cfRule type="cellIs" priority="1883" operator="lessThan" aboveAverage="0" equalAverage="0" bottom="0" percent="0" rank="0" text="" dxfId="1">
      <formula>0</formula>
    </cfRule>
  </conditionalFormatting>
  <conditionalFormatting sqref="E947">
    <cfRule type="cellIs" priority="1884" operator="greaterThan" aboveAverage="0" equalAverage="0" bottom="0" percent="0" rank="0" text="" dxfId="0">
      <formula>0</formula>
    </cfRule>
    <cfRule type="cellIs" priority="1885" operator="lessThan" aboveAverage="0" equalAverage="0" bottom="0" percent="0" rank="0" text="" dxfId="1">
      <formula>0</formula>
    </cfRule>
  </conditionalFormatting>
  <conditionalFormatting sqref="E948">
    <cfRule type="cellIs" priority="1886" operator="greaterThan" aboveAverage="0" equalAverage="0" bottom="0" percent="0" rank="0" text="" dxfId="0">
      <formula>0</formula>
    </cfRule>
    <cfRule type="cellIs" priority="1887" operator="lessThan" aboveAverage="0" equalAverage="0" bottom="0" percent="0" rank="0" text="" dxfId="1">
      <formula>0</formula>
    </cfRule>
  </conditionalFormatting>
  <conditionalFormatting sqref="E949">
    <cfRule type="cellIs" priority="1888" operator="greaterThan" aboveAverage="0" equalAverage="0" bottom="0" percent="0" rank="0" text="" dxfId="0">
      <formula>0</formula>
    </cfRule>
    <cfRule type="cellIs" priority="1889" operator="lessThan" aboveAverage="0" equalAverage="0" bottom="0" percent="0" rank="0" text="" dxfId="1">
      <formula>0</formula>
    </cfRule>
  </conditionalFormatting>
  <conditionalFormatting sqref="E950">
    <cfRule type="cellIs" priority="1890" operator="greaterThan" aboveAverage="0" equalAverage="0" bottom="0" percent="0" rank="0" text="" dxfId="0">
      <formula>0</formula>
    </cfRule>
    <cfRule type="cellIs" priority="1891" operator="lessThan" aboveAverage="0" equalAverage="0" bottom="0" percent="0" rank="0" text="" dxfId="1">
      <formula>0</formula>
    </cfRule>
  </conditionalFormatting>
  <conditionalFormatting sqref="E951">
    <cfRule type="cellIs" priority="1892" operator="greaterThan" aboveAverage="0" equalAverage="0" bottom="0" percent="0" rank="0" text="" dxfId="0">
      <formula>0</formula>
    </cfRule>
    <cfRule type="cellIs" priority="1893" operator="lessThan" aboveAverage="0" equalAverage="0" bottom="0" percent="0" rank="0" text="" dxfId="1">
      <formula>0</formula>
    </cfRule>
  </conditionalFormatting>
  <conditionalFormatting sqref="E952">
    <cfRule type="cellIs" priority="1894" operator="greaterThan" aboveAverage="0" equalAverage="0" bottom="0" percent="0" rank="0" text="" dxfId="0">
      <formula>0</formula>
    </cfRule>
    <cfRule type="cellIs" priority="1895" operator="lessThan" aboveAverage="0" equalAverage="0" bottom="0" percent="0" rank="0" text="" dxfId="1">
      <formula>0</formula>
    </cfRule>
  </conditionalFormatting>
  <conditionalFormatting sqref="E953">
    <cfRule type="cellIs" priority="1896" operator="greaterThan" aboveAverage="0" equalAverage="0" bottom="0" percent="0" rank="0" text="" dxfId="0">
      <formula>0</formula>
    </cfRule>
    <cfRule type="cellIs" priority="1897" operator="lessThan" aboveAverage="0" equalAverage="0" bottom="0" percent="0" rank="0" text="" dxfId="1">
      <formula>0</formula>
    </cfRule>
  </conditionalFormatting>
  <conditionalFormatting sqref="E954">
    <cfRule type="cellIs" priority="1898" operator="greaterThan" aboveAverage="0" equalAverage="0" bottom="0" percent="0" rank="0" text="" dxfId="0">
      <formula>0</formula>
    </cfRule>
    <cfRule type="cellIs" priority="1899" operator="lessThan" aboveAverage="0" equalAverage="0" bottom="0" percent="0" rank="0" text="" dxfId="1">
      <formula>0</formula>
    </cfRule>
  </conditionalFormatting>
  <conditionalFormatting sqref="E955">
    <cfRule type="cellIs" priority="1900" operator="greaterThan" aboveAverage="0" equalAverage="0" bottom="0" percent="0" rank="0" text="" dxfId="0">
      <formula>0</formula>
    </cfRule>
    <cfRule type="cellIs" priority="1901" operator="lessThan" aboveAverage="0" equalAverage="0" bottom="0" percent="0" rank="0" text="" dxfId="1">
      <formula>0</formula>
    </cfRule>
  </conditionalFormatting>
  <conditionalFormatting sqref="E956">
    <cfRule type="cellIs" priority="1902" operator="greaterThan" aboveAverage="0" equalAverage="0" bottom="0" percent="0" rank="0" text="" dxfId="0">
      <formula>0</formula>
    </cfRule>
    <cfRule type="cellIs" priority="1903" operator="lessThan" aboveAverage="0" equalAverage="0" bottom="0" percent="0" rank="0" text="" dxfId="1">
      <formula>0</formula>
    </cfRule>
  </conditionalFormatting>
  <conditionalFormatting sqref="E957">
    <cfRule type="cellIs" priority="1904" operator="greaterThan" aboveAverage="0" equalAverage="0" bottom="0" percent="0" rank="0" text="" dxfId="0">
      <formula>0</formula>
    </cfRule>
    <cfRule type="cellIs" priority="1905" operator="lessThan" aboveAverage="0" equalAverage="0" bottom="0" percent="0" rank="0" text="" dxfId="1">
      <formula>0</formula>
    </cfRule>
  </conditionalFormatting>
  <conditionalFormatting sqref="E958">
    <cfRule type="cellIs" priority="1906" operator="greaterThan" aboveAverage="0" equalAverage="0" bottom="0" percent="0" rank="0" text="" dxfId="0">
      <formula>0</formula>
    </cfRule>
    <cfRule type="cellIs" priority="1907" operator="lessThan" aboveAverage="0" equalAverage="0" bottom="0" percent="0" rank="0" text="" dxfId="1">
      <formula>0</formula>
    </cfRule>
  </conditionalFormatting>
  <conditionalFormatting sqref="E959">
    <cfRule type="cellIs" priority="1908" operator="greaterThan" aboveAverage="0" equalAverage="0" bottom="0" percent="0" rank="0" text="" dxfId="0">
      <formula>0</formula>
    </cfRule>
    <cfRule type="cellIs" priority="1909" operator="lessThan" aboveAverage="0" equalAverage="0" bottom="0" percent="0" rank="0" text="" dxfId="1">
      <formula>0</formula>
    </cfRule>
  </conditionalFormatting>
  <conditionalFormatting sqref="E960">
    <cfRule type="cellIs" priority="1910" operator="greaterThan" aboveAverage="0" equalAverage="0" bottom="0" percent="0" rank="0" text="" dxfId="0">
      <formula>0</formula>
    </cfRule>
    <cfRule type="cellIs" priority="1911" operator="lessThan" aboveAverage="0" equalAverage="0" bottom="0" percent="0" rank="0" text="" dxfId="1">
      <formula>0</formula>
    </cfRule>
  </conditionalFormatting>
  <conditionalFormatting sqref="E961">
    <cfRule type="cellIs" priority="1912" operator="greaterThan" aboveAverage="0" equalAverage="0" bottom="0" percent="0" rank="0" text="" dxfId="0">
      <formula>0</formula>
    </cfRule>
    <cfRule type="cellIs" priority="1913" operator="lessThan" aboveAverage="0" equalAverage="0" bottom="0" percent="0" rank="0" text="" dxfId="1">
      <formula>0</formula>
    </cfRule>
  </conditionalFormatting>
  <conditionalFormatting sqref="E962">
    <cfRule type="cellIs" priority="1914" operator="greaterThan" aboveAverage="0" equalAverage="0" bottom="0" percent="0" rank="0" text="" dxfId="0">
      <formula>0</formula>
    </cfRule>
    <cfRule type="cellIs" priority="1915" operator="lessThan" aboveAverage="0" equalAverage="0" bottom="0" percent="0" rank="0" text="" dxfId="1">
      <formula>0</formula>
    </cfRule>
  </conditionalFormatting>
  <conditionalFormatting sqref="E963">
    <cfRule type="cellIs" priority="1916" operator="greaterThan" aboveAverage="0" equalAverage="0" bottom="0" percent="0" rank="0" text="" dxfId="0">
      <formula>0</formula>
    </cfRule>
    <cfRule type="cellIs" priority="1917" operator="lessThan" aboveAverage="0" equalAverage="0" bottom="0" percent="0" rank="0" text="" dxfId="1">
      <formula>0</formula>
    </cfRule>
  </conditionalFormatting>
  <conditionalFormatting sqref="E964">
    <cfRule type="cellIs" priority="1918" operator="greaterThan" aboveAverage="0" equalAverage="0" bottom="0" percent="0" rank="0" text="" dxfId="0">
      <formula>0</formula>
    </cfRule>
    <cfRule type="cellIs" priority="1919" operator="lessThan" aboveAverage="0" equalAverage="0" bottom="0" percent="0" rank="0" text="" dxfId="1">
      <formula>0</formula>
    </cfRule>
  </conditionalFormatting>
  <conditionalFormatting sqref="E965">
    <cfRule type="cellIs" priority="1920" operator="greaterThan" aboveAverage="0" equalAverage="0" bottom="0" percent="0" rank="0" text="" dxfId="0">
      <formula>0</formula>
    </cfRule>
    <cfRule type="cellIs" priority="1921" operator="lessThan" aboveAverage="0" equalAverage="0" bottom="0" percent="0" rank="0" text="" dxfId="1">
      <formula>0</formula>
    </cfRule>
  </conditionalFormatting>
  <conditionalFormatting sqref="E966">
    <cfRule type="cellIs" priority="1922" operator="greaterThan" aboveAverage="0" equalAverage="0" bottom="0" percent="0" rank="0" text="" dxfId="0">
      <formula>0</formula>
    </cfRule>
    <cfRule type="cellIs" priority="1923" operator="lessThan" aboveAverage="0" equalAverage="0" bottom="0" percent="0" rank="0" text="" dxfId="1">
      <formula>0</formula>
    </cfRule>
  </conditionalFormatting>
  <conditionalFormatting sqref="E967">
    <cfRule type="cellIs" priority="1924" operator="greaterThan" aboveAverage="0" equalAverage="0" bottom="0" percent="0" rank="0" text="" dxfId="0">
      <formula>0</formula>
    </cfRule>
    <cfRule type="cellIs" priority="1925" operator="lessThan" aboveAverage="0" equalAverage="0" bottom="0" percent="0" rank="0" text="" dxfId="1">
      <formula>0</formula>
    </cfRule>
  </conditionalFormatting>
  <conditionalFormatting sqref="E968">
    <cfRule type="cellIs" priority="1926" operator="greaterThan" aboveAverage="0" equalAverage="0" bottom="0" percent="0" rank="0" text="" dxfId="0">
      <formula>0</formula>
    </cfRule>
    <cfRule type="cellIs" priority="1927" operator="lessThan" aboveAverage="0" equalAverage="0" bottom="0" percent="0" rank="0" text="" dxfId="1">
      <formula>0</formula>
    </cfRule>
  </conditionalFormatting>
  <conditionalFormatting sqref="E969">
    <cfRule type="cellIs" priority="1928" operator="greaterThan" aboveAverage="0" equalAverage="0" bottom="0" percent="0" rank="0" text="" dxfId="0">
      <formula>0</formula>
    </cfRule>
    <cfRule type="cellIs" priority="1929" operator="lessThan" aboveAverage="0" equalAverage="0" bottom="0" percent="0" rank="0" text="" dxfId="1">
      <formula>0</formula>
    </cfRule>
  </conditionalFormatting>
  <conditionalFormatting sqref="E970">
    <cfRule type="cellIs" priority="1930" operator="greaterThan" aboveAverage="0" equalAverage="0" bottom="0" percent="0" rank="0" text="" dxfId="0">
      <formula>0</formula>
    </cfRule>
    <cfRule type="cellIs" priority="1931" operator="lessThan" aboveAverage="0" equalAverage="0" bottom="0" percent="0" rank="0" text="" dxfId="1">
      <formula>0</formula>
    </cfRule>
  </conditionalFormatting>
  <conditionalFormatting sqref="E971">
    <cfRule type="cellIs" priority="1932" operator="greaterThan" aboveAverage="0" equalAverage="0" bottom="0" percent="0" rank="0" text="" dxfId="0">
      <formula>0</formula>
    </cfRule>
    <cfRule type="cellIs" priority="1933" operator="lessThan" aboveAverage="0" equalAverage="0" bottom="0" percent="0" rank="0" text="" dxfId="1">
      <formula>0</formula>
    </cfRule>
  </conditionalFormatting>
  <conditionalFormatting sqref="E972">
    <cfRule type="cellIs" priority="1934" operator="greaterThan" aboveAverage="0" equalAverage="0" bottom="0" percent="0" rank="0" text="" dxfId="0">
      <formula>0</formula>
    </cfRule>
    <cfRule type="cellIs" priority="1935" operator="lessThan" aboveAverage="0" equalAverage="0" bottom="0" percent="0" rank="0" text="" dxfId="1">
      <formula>0</formula>
    </cfRule>
  </conditionalFormatting>
  <conditionalFormatting sqref="E973">
    <cfRule type="cellIs" priority="1936" operator="greaterThan" aboveAverage="0" equalAverage="0" bottom="0" percent="0" rank="0" text="" dxfId="0">
      <formula>0</formula>
    </cfRule>
    <cfRule type="cellIs" priority="1937" operator="lessThan" aboveAverage="0" equalAverage="0" bottom="0" percent="0" rank="0" text="" dxfId="1">
      <formula>0</formula>
    </cfRule>
  </conditionalFormatting>
  <conditionalFormatting sqref="E974">
    <cfRule type="cellIs" priority="1938" operator="greaterThan" aboveAverage="0" equalAverage="0" bottom="0" percent="0" rank="0" text="" dxfId="0">
      <formula>0</formula>
    </cfRule>
    <cfRule type="cellIs" priority="1939" operator="lessThan" aboveAverage="0" equalAverage="0" bottom="0" percent="0" rank="0" text="" dxfId="1">
      <formula>0</formula>
    </cfRule>
  </conditionalFormatting>
  <conditionalFormatting sqref="E975">
    <cfRule type="cellIs" priority="1940" operator="greaterThan" aboveAverage="0" equalAverage="0" bottom="0" percent="0" rank="0" text="" dxfId="0">
      <formula>0</formula>
    </cfRule>
    <cfRule type="cellIs" priority="1941" operator="lessThan" aboveAverage="0" equalAverage="0" bottom="0" percent="0" rank="0" text="" dxfId="1">
      <formula>0</formula>
    </cfRule>
  </conditionalFormatting>
  <conditionalFormatting sqref="E976">
    <cfRule type="cellIs" priority="1942" operator="greaterThan" aboveAverage="0" equalAverage="0" bottom="0" percent="0" rank="0" text="" dxfId="0">
      <formula>0</formula>
    </cfRule>
    <cfRule type="cellIs" priority="1943" operator="lessThan" aboveAverage="0" equalAverage="0" bottom="0" percent="0" rank="0" text="" dxfId="1">
      <formula>0</formula>
    </cfRule>
  </conditionalFormatting>
  <conditionalFormatting sqref="E977">
    <cfRule type="cellIs" priority="1944" operator="greaterThan" aboveAverage="0" equalAverage="0" bottom="0" percent="0" rank="0" text="" dxfId="0">
      <formula>0</formula>
    </cfRule>
    <cfRule type="cellIs" priority="1945" operator="lessThan" aboveAverage="0" equalAverage="0" bottom="0" percent="0" rank="0" text="" dxfId="1">
      <formula>0</formula>
    </cfRule>
  </conditionalFormatting>
  <conditionalFormatting sqref="E978">
    <cfRule type="cellIs" priority="1946" operator="greaterThan" aboveAverage="0" equalAverage="0" bottom="0" percent="0" rank="0" text="" dxfId="0">
      <formula>0</formula>
    </cfRule>
    <cfRule type="cellIs" priority="1947" operator="lessThan" aboveAverage="0" equalAverage="0" bottom="0" percent="0" rank="0" text="" dxfId="1">
      <formula>0</formula>
    </cfRule>
  </conditionalFormatting>
  <conditionalFormatting sqref="E979">
    <cfRule type="cellIs" priority="1948" operator="greaterThan" aboveAverage="0" equalAverage="0" bottom="0" percent="0" rank="0" text="" dxfId="0">
      <formula>0</formula>
    </cfRule>
    <cfRule type="cellIs" priority="1949" operator="lessThan" aboveAverage="0" equalAverage="0" bottom="0" percent="0" rank="0" text="" dxfId="1">
      <formula>0</formula>
    </cfRule>
  </conditionalFormatting>
  <conditionalFormatting sqref="E980">
    <cfRule type="cellIs" priority="1950" operator="greaterThan" aboveAverage="0" equalAverage="0" bottom="0" percent="0" rank="0" text="" dxfId="0">
      <formula>0</formula>
    </cfRule>
    <cfRule type="cellIs" priority="1951" operator="lessThan" aboveAverage="0" equalAverage="0" bottom="0" percent="0" rank="0" text="" dxfId="1">
      <formula>0</formula>
    </cfRule>
  </conditionalFormatting>
  <conditionalFormatting sqref="E981">
    <cfRule type="cellIs" priority="1952" operator="greaterThan" aboveAverage="0" equalAverage="0" bottom="0" percent="0" rank="0" text="" dxfId="0">
      <formula>0</formula>
    </cfRule>
    <cfRule type="cellIs" priority="1953" operator="lessThan" aboveAverage="0" equalAverage="0" bottom="0" percent="0" rank="0" text="" dxfId="1">
      <formula>0</formula>
    </cfRule>
  </conditionalFormatting>
  <conditionalFormatting sqref="E982">
    <cfRule type="cellIs" priority="1954" operator="greaterThan" aboveAverage="0" equalAverage="0" bottom="0" percent="0" rank="0" text="" dxfId="0">
      <formula>0</formula>
    </cfRule>
    <cfRule type="cellIs" priority="1955" operator="lessThan" aboveAverage="0" equalAverage="0" bottom="0" percent="0" rank="0" text="" dxfId="1">
      <formula>0</formula>
    </cfRule>
  </conditionalFormatting>
  <conditionalFormatting sqref="E983">
    <cfRule type="cellIs" priority="1956" operator="greaterThan" aboveAverage="0" equalAverage="0" bottom="0" percent="0" rank="0" text="" dxfId="0">
      <formula>0</formula>
    </cfRule>
    <cfRule type="cellIs" priority="1957" operator="lessThan" aboveAverage="0" equalAverage="0" bottom="0" percent="0" rank="0" text="" dxfId="1">
      <formula>0</formula>
    </cfRule>
  </conditionalFormatting>
  <conditionalFormatting sqref="E984">
    <cfRule type="cellIs" priority="1958" operator="greaterThan" aboveAverage="0" equalAverage="0" bottom="0" percent="0" rank="0" text="" dxfId="0">
      <formula>0</formula>
    </cfRule>
    <cfRule type="cellIs" priority="1959" operator="lessThan" aboveAverage="0" equalAverage="0" bottom="0" percent="0" rank="0" text="" dxfId="1">
      <formula>0</formula>
    </cfRule>
  </conditionalFormatting>
  <conditionalFormatting sqref="E985">
    <cfRule type="cellIs" priority="1960" operator="greaterThan" aboveAverage="0" equalAverage="0" bottom="0" percent="0" rank="0" text="" dxfId="0">
      <formula>0</formula>
    </cfRule>
    <cfRule type="cellIs" priority="1961" operator="lessThan" aboveAverage="0" equalAverage="0" bottom="0" percent="0" rank="0" text="" dxfId="1">
      <formula>0</formula>
    </cfRule>
  </conditionalFormatting>
  <conditionalFormatting sqref="E986">
    <cfRule type="cellIs" priority="1962" operator="greaterThan" aboveAverage="0" equalAverage="0" bottom="0" percent="0" rank="0" text="" dxfId="0">
      <formula>0</formula>
    </cfRule>
    <cfRule type="cellIs" priority="1963" operator="lessThan" aboveAverage="0" equalAverage="0" bottom="0" percent="0" rank="0" text="" dxfId="1">
      <formula>0</formula>
    </cfRule>
  </conditionalFormatting>
  <conditionalFormatting sqref="E987">
    <cfRule type="cellIs" priority="1964" operator="greaterThan" aboveAverage="0" equalAverage="0" bottom="0" percent="0" rank="0" text="" dxfId="0">
      <formula>0</formula>
    </cfRule>
    <cfRule type="cellIs" priority="1965" operator="lessThan" aboveAverage="0" equalAverage="0" bottom="0" percent="0" rank="0" text="" dxfId="1">
      <formula>0</formula>
    </cfRule>
  </conditionalFormatting>
  <conditionalFormatting sqref="E988">
    <cfRule type="cellIs" priority="1966" operator="greaterThan" aboveAverage="0" equalAverage="0" bottom="0" percent="0" rank="0" text="" dxfId="0">
      <formula>0</formula>
    </cfRule>
    <cfRule type="cellIs" priority="1967" operator="lessThan" aboveAverage="0" equalAverage="0" bottom="0" percent="0" rank="0" text="" dxfId="1">
      <formula>0</formula>
    </cfRule>
  </conditionalFormatting>
  <conditionalFormatting sqref="E989">
    <cfRule type="cellIs" priority="1968" operator="greaterThan" aboveAverage="0" equalAverage="0" bottom="0" percent="0" rank="0" text="" dxfId="0">
      <formula>0</formula>
    </cfRule>
    <cfRule type="cellIs" priority="1969" operator="lessThan" aboveAverage="0" equalAverage="0" bottom="0" percent="0" rank="0" text="" dxfId="1">
      <formula>0</formula>
    </cfRule>
  </conditionalFormatting>
  <conditionalFormatting sqref="E990">
    <cfRule type="cellIs" priority="1970" operator="greaterThan" aboveAverage="0" equalAverage="0" bottom="0" percent="0" rank="0" text="" dxfId="0">
      <formula>0</formula>
    </cfRule>
    <cfRule type="cellIs" priority="1971" operator="lessThan" aboveAverage="0" equalAverage="0" bottom="0" percent="0" rank="0" text="" dxfId="1">
      <formula>0</formula>
    </cfRule>
  </conditionalFormatting>
  <conditionalFormatting sqref="E991">
    <cfRule type="cellIs" priority="1972" operator="greaterThan" aboveAverage="0" equalAverage="0" bottom="0" percent="0" rank="0" text="" dxfId="0">
      <formula>0</formula>
    </cfRule>
    <cfRule type="cellIs" priority="1973" operator="lessThan" aboveAverage="0" equalAverage="0" bottom="0" percent="0" rank="0" text="" dxfId="1">
      <formula>0</formula>
    </cfRule>
  </conditionalFormatting>
  <conditionalFormatting sqref="E992">
    <cfRule type="cellIs" priority="1974" operator="greaterThan" aboveAverage="0" equalAverage="0" bottom="0" percent="0" rank="0" text="" dxfId="0">
      <formula>0</formula>
    </cfRule>
    <cfRule type="cellIs" priority="1975" operator="lessThan" aboveAverage="0" equalAverage="0" bottom="0" percent="0" rank="0" text="" dxfId="1">
      <formula>0</formula>
    </cfRule>
  </conditionalFormatting>
  <conditionalFormatting sqref="E993">
    <cfRule type="cellIs" priority="1976" operator="greaterThan" aboveAverage="0" equalAverage="0" bottom="0" percent="0" rank="0" text="" dxfId="0">
      <formula>0</formula>
    </cfRule>
    <cfRule type="cellIs" priority="1977" operator="lessThan" aboveAverage="0" equalAverage="0" bottom="0" percent="0" rank="0" text="" dxfId="1">
      <formula>0</formula>
    </cfRule>
  </conditionalFormatting>
  <conditionalFormatting sqref="E994">
    <cfRule type="cellIs" priority="1978" operator="greaterThan" aboveAverage="0" equalAverage="0" bottom="0" percent="0" rank="0" text="" dxfId="0">
      <formula>0</formula>
    </cfRule>
    <cfRule type="cellIs" priority="1979" operator="lessThan" aboveAverage="0" equalAverage="0" bottom="0" percent="0" rank="0" text="" dxfId="1">
      <formula>0</formula>
    </cfRule>
  </conditionalFormatting>
  <conditionalFormatting sqref="E995">
    <cfRule type="cellIs" priority="1980" operator="greaterThan" aboveAverage="0" equalAverage="0" bottom="0" percent="0" rank="0" text="" dxfId="0">
      <formula>0</formula>
    </cfRule>
    <cfRule type="cellIs" priority="1981" operator="lessThan" aboveAverage="0" equalAverage="0" bottom="0" percent="0" rank="0" text="" dxfId="1">
      <formula>0</formula>
    </cfRule>
  </conditionalFormatting>
  <conditionalFormatting sqref="E996">
    <cfRule type="cellIs" priority="1982" operator="greaterThan" aboveAverage="0" equalAverage="0" bottom="0" percent="0" rank="0" text="" dxfId="0">
      <formula>0</formula>
    </cfRule>
    <cfRule type="cellIs" priority="1983" operator="lessThan" aboveAverage="0" equalAverage="0" bottom="0" percent="0" rank="0" text="" dxfId="1">
      <formula>0</formula>
    </cfRule>
  </conditionalFormatting>
  <conditionalFormatting sqref="E997">
    <cfRule type="cellIs" priority="1984" operator="greaterThan" aboveAverage="0" equalAverage="0" bottom="0" percent="0" rank="0" text="" dxfId="0">
      <formula>0</formula>
    </cfRule>
    <cfRule type="cellIs" priority="1985" operator="lessThan" aboveAverage="0" equalAverage="0" bottom="0" percent="0" rank="0" text="" dxfId="1">
      <formula>0</formula>
    </cfRule>
  </conditionalFormatting>
  <conditionalFormatting sqref="E998">
    <cfRule type="cellIs" priority="1986" operator="greaterThan" aboveAverage="0" equalAverage="0" bottom="0" percent="0" rank="0" text="" dxfId="0">
      <formula>0</formula>
    </cfRule>
    <cfRule type="cellIs" priority="1987" operator="lessThan" aboveAverage="0" equalAverage="0" bottom="0" percent="0" rank="0" text="" dxfId="1">
      <formula>0</formula>
    </cfRule>
  </conditionalFormatting>
  <conditionalFormatting sqref="E999">
    <cfRule type="cellIs" priority="1988" operator="greaterThan" aboveAverage="0" equalAverage="0" bottom="0" percent="0" rank="0" text="" dxfId="0">
      <formula>0</formula>
    </cfRule>
    <cfRule type="cellIs" priority="1989" operator="lessThan" aboveAverage="0" equalAverage="0" bottom="0" percent="0" rank="0" text="" dxfId="1">
      <formula>0</formula>
    </cfRule>
  </conditionalFormatting>
  <conditionalFormatting sqref="E1000">
    <cfRule type="cellIs" priority="1990" operator="greaterThan" aboveAverage="0" equalAverage="0" bottom="0" percent="0" rank="0" text="" dxfId="0">
      <formula>0</formula>
    </cfRule>
    <cfRule type="cellIs" priority="1991" operator="lessThan" aboveAverage="0" equalAverage="0" bottom="0" percent="0" rank="0" text="" dxfId="1">
      <formula>0</formula>
    </cfRule>
  </conditionalFormatting>
  <conditionalFormatting sqref="E1001">
    <cfRule type="cellIs" priority="1992" operator="greaterThan" aboveAverage="0" equalAverage="0" bottom="0" percent="0" rank="0" text="" dxfId="0">
      <formula>0</formula>
    </cfRule>
    <cfRule type="cellIs" priority="1993" operator="lessThan" aboveAverage="0" equalAverage="0" bottom="0" percent="0" rank="0" text="" dxfId="1">
      <formula>0</formula>
    </cfRule>
  </conditionalFormatting>
  <conditionalFormatting sqref="E1002">
    <cfRule type="cellIs" priority="1994" operator="greaterThan" aboveAverage="0" equalAverage="0" bottom="0" percent="0" rank="0" text="" dxfId="0">
      <formula>0</formula>
    </cfRule>
    <cfRule type="cellIs" priority="1995" operator="lessThan" aboveAverage="0" equalAverage="0" bottom="0" percent="0" rank="0" text="" dxfId="1">
      <formula>0</formula>
    </cfRule>
  </conditionalFormatting>
  <conditionalFormatting sqref="E1003">
    <cfRule type="cellIs" priority="1996" operator="greaterThan" aboveAverage="0" equalAverage="0" bottom="0" percent="0" rank="0" text="" dxfId="0">
      <formula>0</formula>
    </cfRule>
    <cfRule type="cellIs" priority="1997" operator="lessThan" aboveAverage="0" equalAverage="0" bottom="0" percent="0" rank="0" text="" dxfId="1">
      <formula>0</formula>
    </cfRule>
  </conditionalFormatting>
  <dataValidations count="2">
    <dataValidation allowBlank="true" error="Ağırlık 0 ile 1 arasında olmalı." errorStyle="stop" errorTitle="Geçersiz oran" operator="between" prompt="Bu endeksin fiyat farkı formülündeki ağırlığı." promptTitle="Ağırlık" showDropDown="false" showErrorMessage="true" showInputMessage="true" sqref="B6:B1004" type="decimal">
      <formula1>0.01</formula1>
      <formula2>1</formula2>
    </dataValidation>
    <dataValidation allowBlank="true" error="Endeks 1'den büyük olmalı." errorStyle="stop" errorTitle="Geçersiz endeks" operator="greaterThan" prompt="TÜİK/ilgili endeks değeri." promptTitle="Endeks Değeri" showDropDown="false" showErrorMessage="true" showInputMessage="true" sqref="C6:D1004" type="whole">
      <formula1>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8"/>
  </cols>
  <sheetData>
    <row r="1" customFormat="false" ht="25.5" hidden="false" customHeight="true" outlineLevel="0" collapsed="false">
      <c r="A1" s="12" t="s">
        <v>85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20" t="s">
        <v>86</v>
      </c>
      <c r="B3" s="20"/>
      <c r="C3" s="20"/>
      <c r="D3" s="20"/>
      <c r="E3" s="20"/>
      <c r="F3" s="20"/>
      <c r="G3" s="20"/>
    </row>
    <row r="5" customFormat="false" ht="30" hidden="false" customHeight="true" outlineLevel="0" collapsed="false">
      <c r="A5" s="21" t="s">
        <v>87</v>
      </c>
      <c r="B5" s="21" t="s">
        <v>88</v>
      </c>
      <c r="C5" s="21" t="s">
        <v>49</v>
      </c>
      <c r="D5" s="21" t="s">
        <v>89</v>
      </c>
      <c r="E5" s="21" t="s">
        <v>90</v>
      </c>
      <c r="F5" s="21" t="s">
        <v>91</v>
      </c>
      <c r="G5" s="21" t="s">
        <v>92</v>
      </c>
    </row>
    <row r="6" customFormat="false" ht="15" hidden="false" customHeight="false" outlineLevel="0" collapsed="false">
      <c r="A6" s="23" t="n">
        <v>1</v>
      </c>
      <c r="B6" s="33" t="s">
        <v>93</v>
      </c>
      <c r="C6" s="24" t="n">
        <v>2500000</v>
      </c>
      <c r="D6" s="33" t="n">
        <v>46122</v>
      </c>
      <c r="E6" s="26" t="n">
        <f aca="false">IF(OR($A6="",$C6=""),"",SUM($C$6:$C6))</f>
        <v>2500000</v>
      </c>
      <c r="F6" s="34" t="n">
        <f aca="false">IF(OR($D6="",$C6=""),"",MAX(0,$D6-raporTarihi))</f>
        <v>0</v>
      </c>
      <c r="G6" s="26" t="n">
        <f aca="false">IF(OR($C6="",$E6=""),"",$C6*KayipOraniEsik)</f>
        <v>50000</v>
      </c>
    </row>
    <row r="7" customFormat="false" ht="15" hidden="false" customHeight="false" outlineLevel="0" collapsed="false">
      <c r="A7" s="23" t="n">
        <v>2</v>
      </c>
      <c r="B7" s="33" t="s">
        <v>94</v>
      </c>
      <c r="C7" s="24" t="n">
        <v>2800000</v>
      </c>
      <c r="D7" s="33" t="n">
        <v>46208</v>
      </c>
      <c r="E7" s="26" t="n">
        <f aca="false">IF(OR($A7="",$C7=""),"",SUM($C$6:$C7))</f>
        <v>5300000</v>
      </c>
      <c r="F7" s="34" t="n">
        <f aca="false">IF(OR($D7="",$C7=""),"",MAX(0,$D7-raporTarihi))</f>
        <v>0</v>
      </c>
      <c r="G7" s="26" t="n">
        <f aca="false">IF(OR($C7="",$E7=""),"",$C7*KayipOraniEsik)</f>
        <v>56000</v>
      </c>
    </row>
    <row r="8" customFormat="false" ht="15" hidden="false" customHeight="false" outlineLevel="0" collapsed="false">
      <c r="A8" s="23" t="n">
        <v>3</v>
      </c>
      <c r="B8" s="33" t="s">
        <v>95</v>
      </c>
      <c r="C8" s="24" t="n">
        <v>2700000</v>
      </c>
      <c r="D8" s="33" t="n">
        <v>46307</v>
      </c>
      <c r="E8" s="26" t="n">
        <f aca="false">IF(OR($A8="",$C8=""),"",SUM($C$6:$C8))</f>
        <v>8000000</v>
      </c>
      <c r="F8" s="34" t="n">
        <f aca="false">IF(OR($D8="",$C8=""),"",MAX(0,$D8-raporTarihi))</f>
        <v>63</v>
      </c>
      <c r="G8" s="26" t="n">
        <f aca="false">IF(OR($C8="",$E8=""),"",$C8*KayipOraniEsik)</f>
        <v>54000</v>
      </c>
    </row>
    <row r="9" customFormat="false" ht="15" hidden="false" customHeight="false" outlineLevel="0" collapsed="false">
      <c r="A9" s="23" t="n">
        <v>4</v>
      </c>
      <c r="B9" s="33" t="s">
        <v>96</v>
      </c>
      <c r="C9" s="24" t="n">
        <v>2100000</v>
      </c>
      <c r="D9" s="33" t="n">
        <v>46395</v>
      </c>
      <c r="E9" s="26" t="n">
        <f aca="false">IF(OR($A9="",$C9=""),"",SUM($C$6:$C9))</f>
        <v>10100000</v>
      </c>
      <c r="F9" s="34" t="n">
        <f aca="false">IF(OR($D9="",$C9=""),"",MAX(0,$D9-raporTarihi))</f>
        <v>151</v>
      </c>
      <c r="G9" s="26" t="n">
        <f aca="false">IF(OR($C9="",$E9=""),"",$C9*KayipOraniEsik)</f>
        <v>42000</v>
      </c>
    </row>
    <row r="10" customFormat="false" ht="15" hidden="false" customHeight="false" outlineLevel="0" collapsed="false">
      <c r="A10" s="23" t="n">
        <v>5</v>
      </c>
      <c r="B10" s="33" t="s">
        <v>97</v>
      </c>
      <c r="C10" s="24" t="n">
        <v>2600000</v>
      </c>
      <c r="D10" s="33" t="n">
        <v>46492</v>
      </c>
      <c r="E10" s="26" t="n">
        <f aca="false">IF(OR($A10="",$C10=""),"",SUM($C$6:$C10))</f>
        <v>12700000</v>
      </c>
      <c r="F10" s="34" t="n">
        <f aca="false">IF(OR($D10="",$C10=""),"",MAX(0,$D10-raporTarihi))</f>
        <v>248</v>
      </c>
      <c r="G10" s="26" t="n">
        <f aca="false">IF(OR($C10="",$E10=""),"",$C10*KayipOraniEsik)</f>
        <v>52000</v>
      </c>
    </row>
    <row r="11" customFormat="false" ht="15" hidden="false" customHeight="false" outlineLevel="0" collapsed="false">
      <c r="A11" s="23" t="n">
        <v>6</v>
      </c>
      <c r="B11" s="33" t="s">
        <v>98</v>
      </c>
      <c r="C11" s="24" t="n">
        <v>2400000</v>
      </c>
      <c r="D11" s="33" t="n">
        <v>46578</v>
      </c>
      <c r="E11" s="26" t="n">
        <f aca="false">IF(OR($A11="",$C11=""),"",SUM($C$6:$C11))</f>
        <v>15100000</v>
      </c>
      <c r="F11" s="34" t="n">
        <f aca="false">IF(OR($D11="",$C11=""),"",MAX(0,$D11-raporTarihi))</f>
        <v>334</v>
      </c>
      <c r="G11" s="26" t="n">
        <f aca="false">IF(OR($C11="",$E11=""),"",$C11*KayipOraniEsik)</f>
        <v>48000</v>
      </c>
    </row>
    <row r="12" customFormat="false" ht="15" hidden="false" customHeight="false" outlineLevel="0" collapsed="false">
      <c r="A12" s="23" t="n">
        <v>7</v>
      </c>
      <c r="B12" s="33" t="s">
        <v>99</v>
      </c>
      <c r="C12" s="24" t="n">
        <v>1900000</v>
      </c>
      <c r="D12" s="33" t="n">
        <v>46672</v>
      </c>
      <c r="E12" s="26" t="n">
        <f aca="false">IF(OR($A12="",$C12=""),"",SUM($C$6:$C12))</f>
        <v>17000000</v>
      </c>
      <c r="F12" s="34" t="n">
        <f aca="false">IF(OR($D12="",$C12=""),"",MAX(0,$D12-raporTarihi))</f>
        <v>428</v>
      </c>
      <c r="G12" s="26" t="n">
        <f aca="false">IF(OR($C12="",$E12=""),"",$C12*KayipOraniEsik)</f>
        <v>38000</v>
      </c>
    </row>
    <row r="13" customFormat="false" ht="15" hidden="false" customHeight="false" outlineLevel="0" collapsed="false">
      <c r="A13" s="23" t="n">
        <v>8</v>
      </c>
      <c r="B13" s="33" t="s">
        <v>100</v>
      </c>
      <c r="C13" s="24" t="n">
        <v>1500000</v>
      </c>
      <c r="D13" s="33" t="n">
        <v>46767</v>
      </c>
      <c r="E13" s="26" t="n">
        <f aca="false">IF(OR($A13="",$C13=""),"",SUM($C$6:$C13))</f>
        <v>18500000</v>
      </c>
      <c r="F13" s="34" t="n">
        <f aca="false">IF(OR($D13="",$C13=""),"",MAX(0,$D13-raporTarihi))</f>
        <v>523</v>
      </c>
      <c r="G13" s="26" t="n">
        <f aca="false">IF(OR($C13="",$E13=""),"",$C13*KayipOraniEsik)</f>
        <v>30000</v>
      </c>
    </row>
    <row r="14" customFormat="false" ht="15" hidden="false" customHeight="false" outlineLevel="0" collapsed="false">
      <c r="A14" s="27"/>
      <c r="B14" s="35"/>
      <c r="C14" s="28"/>
      <c r="D14" s="35"/>
      <c r="E14" s="29"/>
      <c r="G14" s="29"/>
    </row>
    <row r="15" customFormat="false" ht="15" hidden="false" customHeight="false" outlineLevel="0" collapsed="false">
      <c r="A15" s="27"/>
      <c r="B15" s="35"/>
      <c r="C15" s="28"/>
      <c r="D15" s="35"/>
      <c r="E15" s="29"/>
      <c r="G15" s="29"/>
    </row>
    <row r="16" customFormat="false" ht="15" hidden="false" customHeight="false" outlineLevel="0" collapsed="false">
      <c r="A16" s="27"/>
      <c r="B16" s="35"/>
      <c r="C16" s="28"/>
      <c r="D16" s="35"/>
      <c r="E16" s="29"/>
      <c r="G16" s="29"/>
    </row>
    <row r="17" customFormat="false" ht="15" hidden="false" customHeight="false" outlineLevel="0" collapsed="false">
      <c r="A17" s="27"/>
      <c r="B17" s="35"/>
      <c r="C17" s="28"/>
      <c r="D17" s="35"/>
      <c r="E17" s="29"/>
      <c r="G17" s="29"/>
    </row>
    <row r="18" customFormat="false" ht="15" hidden="false" customHeight="false" outlineLevel="0" collapsed="false">
      <c r="A18" s="27"/>
      <c r="B18" s="35"/>
      <c r="C18" s="28"/>
      <c r="D18" s="35"/>
      <c r="E18" s="29"/>
      <c r="G18" s="29"/>
    </row>
    <row r="19" customFormat="false" ht="15" hidden="false" customHeight="false" outlineLevel="0" collapsed="false">
      <c r="A19" s="27"/>
      <c r="B19" s="35"/>
      <c r="C19" s="28"/>
      <c r="D19" s="35"/>
      <c r="E19" s="29"/>
      <c r="G19" s="29"/>
    </row>
    <row r="20" customFormat="false" ht="15" hidden="false" customHeight="false" outlineLevel="0" collapsed="false">
      <c r="A20" s="27"/>
      <c r="B20" s="35"/>
      <c r="C20" s="28"/>
      <c r="D20" s="35"/>
      <c r="E20" s="29"/>
      <c r="G20" s="29"/>
    </row>
    <row r="21" customFormat="false" ht="15" hidden="false" customHeight="false" outlineLevel="0" collapsed="false">
      <c r="A21" s="27"/>
      <c r="B21" s="35"/>
      <c r="C21" s="28"/>
      <c r="D21" s="35"/>
      <c r="E21" s="29"/>
      <c r="G21" s="29"/>
    </row>
    <row r="22" customFormat="false" ht="15" hidden="false" customHeight="false" outlineLevel="0" collapsed="false">
      <c r="A22" s="27"/>
      <c r="B22" s="35"/>
      <c r="C22" s="28"/>
      <c r="D22" s="35"/>
      <c r="E22" s="29"/>
      <c r="G22" s="29"/>
    </row>
    <row r="23" customFormat="false" ht="15" hidden="false" customHeight="false" outlineLevel="0" collapsed="false">
      <c r="A23" s="27"/>
      <c r="B23" s="35"/>
      <c r="C23" s="28"/>
      <c r="D23" s="35"/>
      <c r="E23" s="29"/>
      <c r="G23" s="29"/>
    </row>
    <row r="24" customFormat="false" ht="15" hidden="false" customHeight="false" outlineLevel="0" collapsed="false">
      <c r="A24" s="27"/>
      <c r="B24" s="35"/>
      <c r="C24" s="28"/>
      <c r="D24" s="35"/>
      <c r="E24" s="29"/>
      <c r="G24" s="29"/>
    </row>
    <row r="25" customFormat="false" ht="15" hidden="false" customHeight="false" outlineLevel="0" collapsed="false">
      <c r="A25" s="27"/>
      <c r="B25" s="35"/>
      <c r="C25" s="28"/>
      <c r="D25" s="35"/>
      <c r="E25" s="29"/>
      <c r="G25" s="29"/>
    </row>
    <row r="26" customFormat="false" ht="15" hidden="false" customHeight="false" outlineLevel="0" collapsed="false">
      <c r="A26" s="27"/>
      <c r="B26" s="35"/>
      <c r="C26" s="28"/>
      <c r="D26" s="35"/>
      <c r="E26" s="29"/>
      <c r="G26" s="29"/>
    </row>
    <row r="27" customFormat="false" ht="15" hidden="false" customHeight="false" outlineLevel="0" collapsed="false">
      <c r="A27" s="27"/>
      <c r="B27" s="35"/>
      <c r="C27" s="28"/>
      <c r="D27" s="35"/>
      <c r="E27" s="29"/>
      <c r="G27" s="29"/>
    </row>
    <row r="28" customFormat="false" ht="15" hidden="false" customHeight="false" outlineLevel="0" collapsed="false">
      <c r="A28" s="27"/>
      <c r="B28" s="35"/>
      <c r="C28" s="28"/>
      <c r="D28" s="35"/>
      <c r="E28" s="29"/>
      <c r="G28" s="29"/>
    </row>
    <row r="29" customFormat="false" ht="15" hidden="false" customHeight="false" outlineLevel="0" collapsed="false">
      <c r="A29" s="27"/>
      <c r="B29" s="35"/>
      <c r="C29" s="28"/>
      <c r="D29" s="35"/>
      <c r="E29" s="29"/>
      <c r="G29" s="29"/>
    </row>
    <row r="30" customFormat="false" ht="15" hidden="false" customHeight="false" outlineLevel="0" collapsed="false">
      <c r="A30" s="27"/>
      <c r="B30" s="35"/>
      <c r="C30" s="28"/>
      <c r="D30" s="35"/>
      <c r="E30" s="29"/>
      <c r="G30" s="29"/>
    </row>
    <row r="31" customFormat="false" ht="15" hidden="false" customHeight="false" outlineLevel="0" collapsed="false">
      <c r="A31" s="27"/>
      <c r="B31" s="35"/>
      <c r="C31" s="28"/>
      <c r="D31" s="35"/>
      <c r="E31" s="29"/>
      <c r="G31" s="29"/>
    </row>
    <row r="32" customFormat="false" ht="15" hidden="false" customHeight="false" outlineLevel="0" collapsed="false">
      <c r="A32" s="27"/>
      <c r="B32" s="35"/>
      <c r="C32" s="28"/>
      <c r="D32" s="35"/>
      <c r="E32" s="29"/>
      <c r="G32" s="29"/>
    </row>
    <row r="33" customFormat="false" ht="15" hidden="false" customHeight="false" outlineLevel="0" collapsed="false">
      <c r="A33" s="27"/>
      <c r="B33" s="35"/>
      <c r="C33" s="28"/>
      <c r="D33" s="35"/>
      <c r="E33" s="29"/>
      <c r="G33" s="29"/>
    </row>
    <row r="34" customFormat="false" ht="15" hidden="false" customHeight="false" outlineLevel="0" collapsed="false">
      <c r="A34" s="27"/>
      <c r="B34" s="35"/>
      <c r="C34" s="28"/>
      <c r="D34" s="35"/>
      <c r="E34" s="29"/>
      <c r="G34" s="29"/>
    </row>
    <row r="35" customFormat="false" ht="15" hidden="false" customHeight="false" outlineLevel="0" collapsed="false">
      <c r="A35" s="27"/>
      <c r="B35" s="35"/>
      <c r="C35" s="28"/>
      <c r="D35" s="35"/>
      <c r="E35" s="29"/>
      <c r="G35" s="29"/>
    </row>
    <row r="36" customFormat="false" ht="15" hidden="false" customHeight="false" outlineLevel="0" collapsed="false">
      <c r="A36" s="27"/>
      <c r="B36" s="35"/>
      <c r="C36" s="28"/>
      <c r="D36" s="35"/>
      <c r="E36" s="29"/>
      <c r="G36" s="29"/>
    </row>
    <row r="37" customFormat="false" ht="15" hidden="false" customHeight="false" outlineLevel="0" collapsed="false">
      <c r="A37" s="27"/>
      <c r="B37" s="35"/>
      <c r="C37" s="28"/>
      <c r="D37" s="35"/>
      <c r="E37" s="29"/>
      <c r="G37" s="29"/>
    </row>
    <row r="38" customFormat="false" ht="15" hidden="false" customHeight="false" outlineLevel="0" collapsed="false">
      <c r="A38" s="27"/>
      <c r="B38" s="35"/>
      <c r="C38" s="28"/>
      <c r="D38" s="35"/>
      <c r="E38" s="29"/>
      <c r="G38" s="29"/>
    </row>
    <row r="39" customFormat="false" ht="15" hidden="false" customHeight="false" outlineLevel="0" collapsed="false">
      <c r="A39" s="27"/>
      <c r="B39" s="35"/>
      <c r="C39" s="28"/>
      <c r="D39" s="35"/>
      <c r="E39" s="29"/>
      <c r="G39" s="29"/>
    </row>
    <row r="40" customFormat="false" ht="15" hidden="false" customHeight="false" outlineLevel="0" collapsed="false">
      <c r="A40" s="27"/>
      <c r="B40" s="35"/>
      <c r="C40" s="28"/>
      <c r="D40" s="35"/>
      <c r="E40" s="29"/>
      <c r="G40" s="29"/>
    </row>
    <row r="41" customFormat="false" ht="15" hidden="false" customHeight="false" outlineLevel="0" collapsed="false">
      <c r="A41" s="27"/>
      <c r="B41" s="35"/>
      <c r="C41" s="28"/>
      <c r="D41" s="35"/>
      <c r="E41" s="29"/>
      <c r="G41" s="29"/>
    </row>
    <row r="42" customFormat="false" ht="15" hidden="false" customHeight="false" outlineLevel="0" collapsed="false">
      <c r="A42" s="27"/>
      <c r="B42" s="35"/>
      <c r="C42" s="28"/>
      <c r="D42" s="35"/>
      <c r="E42" s="29"/>
      <c r="G42" s="29"/>
    </row>
    <row r="43" customFormat="false" ht="15" hidden="false" customHeight="false" outlineLevel="0" collapsed="false">
      <c r="A43" s="27"/>
      <c r="B43" s="35"/>
      <c r="C43" s="28"/>
      <c r="D43" s="35"/>
      <c r="E43" s="29"/>
      <c r="G43" s="29"/>
    </row>
    <row r="44" customFormat="false" ht="15" hidden="false" customHeight="false" outlineLevel="0" collapsed="false">
      <c r="A44" s="27"/>
      <c r="B44" s="35"/>
      <c r="C44" s="28"/>
      <c r="D44" s="35"/>
      <c r="E44" s="29"/>
      <c r="G44" s="29"/>
    </row>
    <row r="45" customFormat="false" ht="15" hidden="false" customHeight="false" outlineLevel="0" collapsed="false">
      <c r="A45" s="27"/>
      <c r="B45" s="35"/>
      <c r="C45" s="28"/>
      <c r="D45" s="35"/>
      <c r="E45" s="29"/>
      <c r="G45" s="29"/>
    </row>
    <row r="46" customFormat="false" ht="15" hidden="false" customHeight="false" outlineLevel="0" collapsed="false">
      <c r="A46" s="27"/>
      <c r="B46" s="35"/>
      <c r="C46" s="28"/>
      <c r="D46" s="35"/>
      <c r="E46" s="29"/>
      <c r="G46" s="29"/>
    </row>
    <row r="47" customFormat="false" ht="15" hidden="false" customHeight="false" outlineLevel="0" collapsed="false">
      <c r="A47" s="27"/>
      <c r="B47" s="35"/>
      <c r="C47" s="28"/>
      <c r="D47" s="35"/>
      <c r="E47" s="29"/>
      <c r="G47" s="29"/>
    </row>
    <row r="48" customFormat="false" ht="15" hidden="false" customHeight="false" outlineLevel="0" collapsed="false">
      <c r="A48" s="27"/>
      <c r="B48" s="35"/>
      <c r="C48" s="28"/>
      <c r="D48" s="35"/>
      <c r="E48" s="29"/>
      <c r="G48" s="29"/>
    </row>
    <row r="49" customFormat="false" ht="15" hidden="false" customHeight="false" outlineLevel="0" collapsed="false">
      <c r="A49" s="27"/>
      <c r="B49" s="35"/>
      <c r="C49" s="28"/>
      <c r="D49" s="35"/>
      <c r="E49" s="29"/>
      <c r="G49" s="29"/>
    </row>
    <row r="50" customFormat="false" ht="15" hidden="false" customHeight="false" outlineLevel="0" collapsed="false">
      <c r="A50" s="27"/>
      <c r="B50" s="35"/>
      <c r="C50" s="28"/>
      <c r="D50" s="35"/>
      <c r="E50" s="29"/>
      <c r="G50" s="29"/>
    </row>
    <row r="51" customFormat="false" ht="15" hidden="false" customHeight="false" outlineLevel="0" collapsed="false">
      <c r="A51" s="27"/>
      <c r="B51" s="35"/>
      <c r="C51" s="28"/>
      <c r="D51" s="35"/>
      <c r="E51" s="29"/>
      <c r="G51" s="29"/>
    </row>
    <row r="52" customFormat="false" ht="15" hidden="false" customHeight="false" outlineLevel="0" collapsed="false">
      <c r="A52" s="27"/>
      <c r="B52" s="35"/>
      <c r="C52" s="28"/>
      <c r="D52" s="35"/>
      <c r="E52" s="29"/>
      <c r="G52" s="29"/>
    </row>
    <row r="53" customFormat="false" ht="15" hidden="false" customHeight="false" outlineLevel="0" collapsed="false">
      <c r="A53" s="27"/>
      <c r="B53" s="35"/>
      <c r="C53" s="28"/>
      <c r="D53" s="35"/>
      <c r="E53" s="29"/>
      <c r="G53" s="29"/>
    </row>
    <row r="54" customFormat="false" ht="15" hidden="false" customHeight="false" outlineLevel="0" collapsed="false">
      <c r="A54" s="27"/>
      <c r="B54" s="35"/>
      <c r="C54" s="28"/>
      <c r="D54" s="35"/>
      <c r="E54" s="29"/>
      <c r="G54" s="29"/>
    </row>
    <row r="55" customFormat="false" ht="15" hidden="false" customHeight="false" outlineLevel="0" collapsed="false">
      <c r="A55" s="27"/>
      <c r="B55" s="35"/>
      <c r="C55" s="28"/>
      <c r="D55" s="35"/>
      <c r="E55" s="29"/>
      <c r="G55" s="29"/>
    </row>
    <row r="56" customFormat="false" ht="15" hidden="false" customHeight="false" outlineLevel="0" collapsed="false">
      <c r="A56" s="27"/>
      <c r="B56" s="35"/>
      <c r="C56" s="28"/>
      <c r="D56" s="35"/>
      <c r="E56" s="29"/>
      <c r="G56" s="29"/>
    </row>
    <row r="57" customFormat="false" ht="15" hidden="false" customHeight="false" outlineLevel="0" collapsed="false">
      <c r="A57" s="27"/>
      <c r="B57" s="35"/>
      <c r="C57" s="28"/>
      <c r="D57" s="35"/>
      <c r="E57" s="29"/>
      <c r="G57" s="29"/>
    </row>
    <row r="58" customFormat="false" ht="15" hidden="false" customHeight="false" outlineLevel="0" collapsed="false">
      <c r="A58" s="27"/>
      <c r="B58" s="35"/>
      <c r="C58" s="28"/>
      <c r="D58" s="35"/>
      <c r="E58" s="29"/>
      <c r="G58" s="29"/>
    </row>
    <row r="59" customFormat="false" ht="15" hidden="false" customHeight="false" outlineLevel="0" collapsed="false">
      <c r="A59" s="27"/>
      <c r="B59" s="35"/>
      <c r="C59" s="28"/>
      <c r="D59" s="35"/>
      <c r="E59" s="29"/>
      <c r="G59" s="29"/>
    </row>
    <row r="60" customFormat="false" ht="15" hidden="false" customHeight="false" outlineLevel="0" collapsed="false">
      <c r="A60" s="27"/>
      <c r="B60" s="35"/>
      <c r="C60" s="28"/>
      <c r="D60" s="35"/>
      <c r="E60" s="29"/>
      <c r="G60" s="29"/>
    </row>
    <row r="61" customFormat="false" ht="15" hidden="false" customHeight="false" outlineLevel="0" collapsed="false">
      <c r="A61" s="27"/>
      <c r="B61" s="35"/>
      <c r="C61" s="28"/>
      <c r="D61" s="35"/>
      <c r="E61" s="29"/>
      <c r="G61" s="29"/>
    </row>
    <row r="62" customFormat="false" ht="15" hidden="false" customHeight="false" outlineLevel="0" collapsed="false">
      <c r="A62" s="27"/>
      <c r="B62" s="35"/>
      <c r="C62" s="28"/>
      <c r="D62" s="35"/>
      <c r="E62" s="29"/>
      <c r="G62" s="29"/>
    </row>
    <row r="63" customFormat="false" ht="15" hidden="false" customHeight="false" outlineLevel="0" collapsed="false">
      <c r="A63" s="27"/>
      <c r="B63" s="35"/>
      <c r="C63" s="28"/>
      <c r="D63" s="35"/>
      <c r="E63" s="29"/>
      <c r="G63" s="29"/>
    </row>
    <row r="64" customFormat="false" ht="15" hidden="false" customHeight="false" outlineLevel="0" collapsed="false">
      <c r="A64" s="27"/>
      <c r="B64" s="35"/>
      <c r="C64" s="28"/>
      <c r="D64" s="35"/>
      <c r="E64" s="29"/>
      <c r="G64" s="29"/>
    </row>
    <row r="65" customFormat="false" ht="15" hidden="false" customHeight="false" outlineLevel="0" collapsed="false">
      <c r="A65" s="27"/>
      <c r="B65" s="35"/>
      <c r="C65" s="28"/>
      <c r="D65" s="35"/>
      <c r="E65" s="29"/>
      <c r="G65" s="29"/>
    </row>
    <row r="66" customFormat="false" ht="15" hidden="false" customHeight="false" outlineLevel="0" collapsed="false">
      <c r="A66" s="27"/>
      <c r="B66" s="35"/>
      <c r="C66" s="28"/>
      <c r="D66" s="35"/>
      <c r="E66" s="29"/>
      <c r="G66" s="29"/>
    </row>
    <row r="67" customFormat="false" ht="15" hidden="false" customHeight="false" outlineLevel="0" collapsed="false">
      <c r="A67" s="27"/>
      <c r="B67" s="35"/>
      <c r="C67" s="28"/>
      <c r="D67" s="35"/>
      <c r="E67" s="29"/>
      <c r="G67" s="29"/>
    </row>
    <row r="68" customFormat="false" ht="15" hidden="false" customHeight="false" outlineLevel="0" collapsed="false">
      <c r="A68" s="27"/>
      <c r="B68" s="35"/>
      <c r="C68" s="28"/>
      <c r="D68" s="35"/>
      <c r="E68" s="29"/>
      <c r="G68" s="29"/>
    </row>
    <row r="69" customFormat="false" ht="15" hidden="false" customHeight="false" outlineLevel="0" collapsed="false">
      <c r="A69" s="27"/>
      <c r="B69" s="35"/>
      <c r="C69" s="28"/>
      <c r="D69" s="35"/>
      <c r="E69" s="29"/>
      <c r="G69" s="29"/>
    </row>
    <row r="70" customFormat="false" ht="15" hidden="false" customHeight="false" outlineLevel="0" collapsed="false">
      <c r="A70" s="27"/>
      <c r="B70" s="35"/>
      <c r="C70" s="28"/>
      <c r="D70" s="35"/>
      <c r="E70" s="29"/>
      <c r="G70" s="29"/>
    </row>
    <row r="71" customFormat="false" ht="15" hidden="false" customHeight="false" outlineLevel="0" collapsed="false">
      <c r="A71" s="27"/>
      <c r="B71" s="35"/>
      <c r="C71" s="28"/>
      <c r="D71" s="35"/>
      <c r="E71" s="29"/>
      <c r="G71" s="29"/>
    </row>
    <row r="72" customFormat="false" ht="15" hidden="false" customHeight="false" outlineLevel="0" collapsed="false">
      <c r="A72" s="27"/>
      <c r="B72" s="35"/>
      <c r="C72" s="28"/>
      <c r="D72" s="35"/>
      <c r="E72" s="29"/>
      <c r="G72" s="29"/>
    </row>
    <row r="73" customFormat="false" ht="15" hidden="false" customHeight="false" outlineLevel="0" collapsed="false">
      <c r="A73" s="27"/>
      <c r="B73" s="35"/>
      <c r="C73" s="28"/>
      <c r="D73" s="35"/>
      <c r="E73" s="29"/>
      <c r="G73" s="29"/>
    </row>
    <row r="74" customFormat="false" ht="15" hidden="false" customHeight="false" outlineLevel="0" collapsed="false">
      <c r="A74" s="27"/>
      <c r="B74" s="35"/>
      <c r="C74" s="28"/>
      <c r="D74" s="35"/>
      <c r="E74" s="29"/>
      <c r="G74" s="29"/>
    </row>
    <row r="75" customFormat="false" ht="15" hidden="false" customHeight="false" outlineLevel="0" collapsed="false">
      <c r="A75" s="27"/>
      <c r="B75" s="35"/>
      <c r="C75" s="28"/>
      <c r="D75" s="35"/>
      <c r="E75" s="29"/>
      <c r="G75" s="29"/>
    </row>
    <row r="76" customFormat="false" ht="15" hidden="false" customHeight="false" outlineLevel="0" collapsed="false">
      <c r="A76" s="27"/>
      <c r="B76" s="35"/>
      <c r="C76" s="28"/>
      <c r="D76" s="35"/>
      <c r="E76" s="29"/>
      <c r="G76" s="29"/>
    </row>
    <row r="77" customFormat="false" ht="15" hidden="false" customHeight="false" outlineLevel="0" collapsed="false">
      <c r="A77" s="27"/>
      <c r="B77" s="35"/>
      <c r="C77" s="28"/>
      <c r="D77" s="35"/>
      <c r="E77" s="29"/>
      <c r="G77" s="29"/>
    </row>
    <row r="78" customFormat="false" ht="15" hidden="false" customHeight="false" outlineLevel="0" collapsed="false">
      <c r="A78" s="27"/>
      <c r="B78" s="35"/>
      <c r="C78" s="28"/>
      <c r="D78" s="35"/>
      <c r="E78" s="29"/>
      <c r="G78" s="29"/>
    </row>
    <row r="79" customFormat="false" ht="15" hidden="false" customHeight="false" outlineLevel="0" collapsed="false">
      <c r="A79" s="27"/>
      <c r="B79" s="35"/>
      <c r="C79" s="28"/>
      <c r="D79" s="35"/>
      <c r="E79" s="29"/>
      <c r="G79" s="29"/>
    </row>
    <row r="80" customFormat="false" ht="15" hidden="false" customHeight="false" outlineLevel="0" collapsed="false">
      <c r="A80" s="27"/>
      <c r="B80" s="35"/>
      <c r="C80" s="28"/>
      <c r="D80" s="35"/>
      <c r="E80" s="29"/>
      <c r="G80" s="29"/>
    </row>
    <row r="81" customFormat="false" ht="15" hidden="false" customHeight="false" outlineLevel="0" collapsed="false">
      <c r="A81" s="27"/>
      <c r="B81" s="35"/>
      <c r="C81" s="28"/>
      <c r="D81" s="35"/>
      <c r="E81" s="29"/>
      <c r="G81" s="29"/>
    </row>
    <row r="82" customFormat="false" ht="15" hidden="false" customHeight="false" outlineLevel="0" collapsed="false">
      <c r="A82" s="27"/>
      <c r="B82" s="35"/>
      <c r="C82" s="28"/>
      <c r="D82" s="35"/>
      <c r="E82" s="29"/>
      <c r="G82" s="29"/>
    </row>
    <row r="83" customFormat="false" ht="15" hidden="false" customHeight="false" outlineLevel="0" collapsed="false">
      <c r="A83" s="27"/>
      <c r="B83" s="35"/>
      <c r="C83" s="28"/>
      <c r="D83" s="35"/>
      <c r="E83" s="29"/>
      <c r="G83" s="29"/>
    </row>
    <row r="84" customFormat="false" ht="15" hidden="false" customHeight="false" outlineLevel="0" collapsed="false">
      <c r="A84" s="27"/>
      <c r="B84" s="35"/>
      <c r="C84" s="28"/>
      <c r="D84" s="35"/>
      <c r="E84" s="29"/>
      <c r="G84" s="29"/>
    </row>
    <row r="85" customFormat="false" ht="15" hidden="false" customHeight="false" outlineLevel="0" collapsed="false">
      <c r="A85" s="27"/>
      <c r="B85" s="35"/>
      <c r="C85" s="28"/>
      <c r="D85" s="35"/>
      <c r="E85" s="29"/>
      <c r="G85" s="29"/>
    </row>
    <row r="86" customFormat="false" ht="15" hidden="false" customHeight="false" outlineLevel="0" collapsed="false">
      <c r="A86" s="27"/>
      <c r="B86" s="35"/>
      <c r="C86" s="28"/>
      <c r="D86" s="35"/>
      <c r="E86" s="29"/>
      <c r="G86" s="29"/>
    </row>
    <row r="87" customFormat="false" ht="15" hidden="false" customHeight="false" outlineLevel="0" collapsed="false">
      <c r="A87" s="27"/>
      <c r="B87" s="35"/>
      <c r="C87" s="28"/>
      <c r="D87" s="35"/>
      <c r="E87" s="29"/>
      <c r="G87" s="29"/>
    </row>
    <row r="88" customFormat="false" ht="15" hidden="false" customHeight="false" outlineLevel="0" collapsed="false">
      <c r="A88" s="27"/>
      <c r="B88" s="35"/>
      <c r="C88" s="28"/>
      <c r="D88" s="35"/>
      <c r="E88" s="29"/>
      <c r="G88" s="29"/>
    </row>
    <row r="89" customFormat="false" ht="15" hidden="false" customHeight="false" outlineLevel="0" collapsed="false">
      <c r="A89" s="27"/>
      <c r="B89" s="35"/>
      <c r="C89" s="28"/>
      <c r="D89" s="35"/>
      <c r="E89" s="29"/>
      <c r="G89" s="29"/>
    </row>
    <row r="90" customFormat="false" ht="15" hidden="false" customHeight="false" outlineLevel="0" collapsed="false">
      <c r="A90" s="27"/>
      <c r="B90" s="35"/>
      <c r="C90" s="28"/>
      <c r="D90" s="35"/>
      <c r="E90" s="29"/>
      <c r="G90" s="29"/>
    </row>
    <row r="91" customFormat="false" ht="15" hidden="false" customHeight="false" outlineLevel="0" collapsed="false">
      <c r="A91" s="27"/>
      <c r="B91" s="35"/>
      <c r="C91" s="28"/>
      <c r="D91" s="35"/>
      <c r="E91" s="29"/>
      <c r="G91" s="29"/>
    </row>
    <row r="92" customFormat="false" ht="15" hidden="false" customHeight="false" outlineLevel="0" collapsed="false">
      <c r="A92" s="27"/>
      <c r="B92" s="35"/>
      <c r="C92" s="28"/>
      <c r="D92" s="35"/>
      <c r="E92" s="29"/>
      <c r="G92" s="29"/>
    </row>
    <row r="93" customFormat="false" ht="15" hidden="false" customHeight="false" outlineLevel="0" collapsed="false">
      <c r="A93" s="27"/>
      <c r="B93" s="35"/>
      <c r="C93" s="28"/>
      <c r="D93" s="35"/>
      <c r="E93" s="29"/>
      <c r="G93" s="29"/>
    </row>
    <row r="94" customFormat="false" ht="15" hidden="false" customHeight="false" outlineLevel="0" collapsed="false">
      <c r="A94" s="27"/>
      <c r="B94" s="35"/>
      <c r="C94" s="28"/>
      <c r="D94" s="35"/>
      <c r="E94" s="29"/>
      <c r="G94" s="29"/>
    </row>
    <row r="95" customFormat="false" ht="15" hidden="false" customHeight="false" outlineLevel="0" collapsed="false">
      <c r="A95" s="27"/>
      <c r="B95" s="35"/>
      <c r="C95" s="28"/>
      <c r="D95" s="35"/>
      <c r="E95" s="29"/>
      <c r="G95" s="29"/>
    </row>
    <row r="96" customFormat="false" ht="15" hidden="false" customHeight="false" outlineLevel="0" collapsed="false">
      <c r="A96" s="27"/>
      <c r="B96" s="35"/>
      <c r="C96" s="28"/>
      <c r="D96" s="35"/>
      <c r="E96" s="29"/>
      <c r="G96" s="29"/>
    </row>
    <row r="97" customFormat="false" ht="15" hidden="false" customHeight="false" outlineLevel="0" collapsed="false">
      <c r="A97" s="27"/>
      <c r="B97" s="35"/>
      <c r="C97" s="28"/>
      <c r="D97" s="35"/>
      <c r="E97" s="29"/>
      <c r="G97" s="29"/>
    </row>
    <row r="98" customFormat="false" ht="15" hidden="false" customHeight="false" outlineLevel="0" collapsed="false">
      <c r="A98" s="27"/>
      <c r="B98" s="35"/>
      <c r="C98" s="28"/>
      <c r="D98" s="35"/>
      <c r="E98" s="29"/>
      <c r="G98" s="29"/>
    </row>
    <row r="99" customFormat="false" ht="15" hidden="false" customHeight="false" outlineLevel="0" collapsed="false">
      <c r="A99" s="27"/>
      <c r="B99" s="35"/>
      <c r="C99" s="28"/>
      <c r="D99" s="35"/>
      <c r="E99" s="29"/>
      <c r="G99" s="29"/>
    </row>
    <row r="100" customFormat="false" ht="15" hidden="false" customHeight="false" outlineLevel="0" collapsed="false">
      <c r="A100" s="27"/>
      <c r="B100" s="35"/>
      <c r="C100" s="28"/>
      <c r="D100" s="35"/>
      <c r="E100" s="29"/>
      <c r="G100" s="29"/>
    </row>
    <row r="101" customFormat="false" ht="15" hidden="false" customHeight="false" outlineLevel="0" collapsed="false">
      <c r="A101" s="27"/>
      <c r="B101" s="35"/>
      <c r="C101" s="28"/>
      <c r="D101" s="35"/>
      <c r="E101" s="29"/>
      <c r="G101" s="29"/>
    </row>
    <row r="102" customFormat="false" ht="15" hidden="false" customHeight="false" outlineLevel="0" collapsed="false">
      <c r="A102" s="27"/>
      <c r="B102" s="35"/>
      <c r="C102" s="28"/>
      <c r="D102" s="35"/>
      <c r="E102" s="29"/>
      <c r="G102" s="29"/>
    </row>
    <row r="103" customFormat="false" ht="15" hidden="false" customHeight="false" outlineLevel="0" collapsed="false">
      <c r="A103" s="27"/>
      <c r="B103" s="35"/>
      <c r="C103" s="28"/>
      <c r="D103" s="35"/>
      <c r="E103" s="29"/>
      <c r="G103" s="29"/>
    </row>
    <row r="104" customFormat="false" ht="15" hidden="false" customHeight="false" outlineLevel="0" collapsed="false">
      <c r="A104" s="27"/>
      <c r="B104" s="35"/>
      <c r="C104" s="28"/>
      <c r="D104" s="35"/>
      <c r="E104" s="29"/>
      <c r="G104" s="29"/>
    </row>
    <row r="105" customFormat="false" ht="15" hidden="false" customHeight="false" outlineLevel="0" collapsed="false">
      <c r="A105" s="27"/>
      <c r="B105" s="35"/>
      <c r="C105" s="28"/>
      <c r="D105" s="35"/>
      <c r="E105" s="29"/>
      <c r="G105" s="29"/>
    </row>
    <row r="106" customFormat="false" ht="15" hidden="false" customHeight="false" outlineLevel="0" collapsed="false">
      <c r="A106" s="27"/>
      <c r="B106" s="35"/>
      <c r="C106" s="28"/>
      <c r="D106" s="35"/>
      <c r="E106" s="29"/>
      <c r="G106" s="29"/>
    </row>
    <row r="107" customFormat="false" ht="15" hidden="false" customHeight="false" outlineLevel="0" collapsed="false">
      <c r="A107" s="27"/>
      <c r="B107" s="35"/>
      <c r="C107" s="28"/>
      <c r="D107" s="35"/>
      <c r="E107" s="29"/>
      <c r="G107" s="29"/>
    </row>
    <row r="108" customFormat="false" ht="15" hidden="false" customHeight="false" outlineLevel="0" collapsed="false">
      <c r="A108" s="27"/>
      <c r="B108" s="35"/>
      <c r="C108" s="28"/>
      <c r="D108" s="35"/>
      <c r="E108" s="29"/>
      <c r="G108" s="29"/>
    </row>
    <row r="109" customFormat="false" ht="15" hidden="false" customHeight="false" outlineLevel="0" collapsed="false">
      <c r="A109" s="27"/>
      <c r="B109" s="35"/>
      <c r="C109" s="28"/>
      <c r="D109" s="35"/>
      <c r="E109" s="29"/>
      <c r="G109" s="29"/>
    </row>
    <row r="110" customFormat="false" ht="15" hidden="false" customHeight="false" outlineLevel="0" collapsed="false">
      <c r="A110" s="27"/>
      <c r="B110" s="35"/>
      <c r="C110" s="28"/>
      <c r="D110" s="35"/>
      <c r="E110" s="29"/>
      <c r="G110" s="29"/>
    </row>
    <row r="111" customFormat="false" ht="15" hidden="false" customHeight="false" outlineLevel="0" collapsed="false">
      <c r="A111" s="27"/>
      <c r="B111" s="35"/>
      <c r="C111" s="28"/>
      <c r="D111" s="35"/>
      <c r="E111" s="29"/>
      <c r="G111" s="29"/>
    </row>
    <row r="112" customFormat="false" ht="15" hidden="false" customHeight="false" outlineLevel="0" collapsed="false">
      <c r="A112" s="27"/>
      <c r="B112" s="35"/>
      <c r="C112" s="28"/>
      <c r="D112" s="35"/>
      <c r="E112" s="29"/>
      <c r="G112" s="29"/>
    </row>
    <row r="113" customFormat="false" ht="15" hidden="false" customHeight="false" outlineLevel="0" collapsed="false">
      <c r="A113" s="27"/>
      <c r="B113" s="35"/>
      <c r="C113" s="28"/>
      <c r="D113" s="35"/>
      <c r="E113" s="29"/>
      <c r="G113" s="29"/>
    </row>
    <row r="114" customFormat="false" ht="15" hidden="false" customHeight="false" outlineLevel="0" collapsed="false">
      <c r="A114" s="27"/>
      <c r="B114" s="35"/>
      <c r="C114" s="28"/>
      <c r="D114" s="35"/>
      <c r="E114" s="29"/>
      <c r="G114" s="29"/>
    </row>
    <row r="115" customFormat="false" ht="15" hidden="false" customHeight="false" outlineLevel="0" collapsed="false">
      <c r="A115" s="27"/>
      <c r="B115" s="35"/>
      <c r="C115" s="28"/>
      <c r="D115" s="35"/>
      <c r="E115" s="29"/>
      <c r="G115" s="29"/>
    </row>
    <row r="116" customFormat="false" ht="15" hidden="false" customHeight="false" outlineLevel="0" collapsed="false">
      <c r="A116" s="27"/>
      <c r="B116" s="35"/>
      <c r="C116" s="28"/>
      <c r="D116" s="35"/>
      <c r="E116" s="29"/>
      <c r="G116" s="29"/>
    </row>
    <row r="117" customFormat="false" ht="15" hidden="false" customHeight="false" outlineLevel="0" collapsed="false">
      <c r="A117" s="27"/>
      <c r="B117" s="35"/>
      <c r="C117" s="28"/>
      <c r="D117" s="35"/>
      <c r="E117" s="29"/>
      <c r="G117" s="29"/>
    </row>
    <row r="118" customFormat="false" ht="15" hidden="false" customHeight="false" outlineLevel="0" collapsed="false">
      <c r="A118" s="27"/>
      <c r="B118" s="35"/>
      <c r="C118" s="28"/>
      <c r="D118" s="35"/>
      <c r="E118" s="29"/>
      <c r="G118" s="29"/>
    </row>
    <row r="119" customFormat="false" ht="15" hidden="false" customHeight="false" outlineLevel="0" collapsed="false">
      <c r="A119" s="27"/>
      <c r="B119" s="35"/>
      <c r="C119" s="28"/>
      <c r="D119" s="35"/>
      <c r="E119" s="29"/>
      <c r="G119" s="29"/>
    </row>
    <row r="120" customFormat="false" ht="15" hidden="false" customHeight="false" outlineLevel="0" collapsed="false">
      <c r="A120" s="27"/>
      <c r="B120" s="35"/>
      <c r="C120" s="28"/>
      <c r="D120" s="35"/>
      <c r="E120" s="29"/>
      <c r="G120" s="29"/>
    </row>
    <row r="121" customFormat="false" ht="15" hidden="false" customHeight="false" outlineLevel="0" collapsed="false">
      <c r="A121" s="27"/>
      <c r="B121" s="35"/>
      <c r="C121" s="28"/>
      <c r="D121" s="35"/>
      <c r="E121" s="29"/>
      <c r="G121" s="29"/>
    </row>
    <row r="122" customFormat="false" ht="15" hidden="false" customHeight="false" outlineLevel="0" collapsed="false">
      <c r="A122" s="27"/>
      <c r="B122" s="35"/>
      <c r="C122" s="28"/>
      <c r="D122" s="35"/>
      <c r="E122" s="29"/>
      <c r="G122" s="29"/>
    </row>
    <row r="123" customFormat="false" ht="15" hidden="false" customHeight="false" outlineLevel="0" collapsed="false">
      <c r="A123" s="27"/>
      <c r="B123" s="35"/>
      <c r="C123" s="28"/>
      <c r="D123" s="35"/>
      <c r="E123" s="29"/>
      <c r="G123" s="29"/>
    </row>
    <row r="124" customFormat="false" ht="15" hidden="false" customHeight="false" outlineLevel="0" collapsed="false">
      <c r="A124" s="27"/>
      <c r="B124" s="35"/>
      <c r="C124" s="28"/>
      <c r="D124" s="35"/>
      <c r="E124" s="29"/>
      <c r="G124" s="29"/>
    </row>
    <row r="125" customFormat="false" ht="15" hidden="false" customHeight="false" outlineLevel="0" collapsed="false">
      <c r="A125" s="27"/>
      <c r="B125" s="35"/>
      <c r="C125" s="28"/>
      <c r="D125" s="35"/>
      <c r="E125" s="29"/>
      <c r="G125" s="29"/>
    </row>
    <row r="126" customFormat="false" ht="15" hidden="false" customHeight="false" outlineLevel="0" collapsed="false">
      <c r="A126" s="27"/>
      <c r="B126" s="35"/>
      <c r="C126" s="28"/>
      <c r="D126" s="35"/>
      <c r="E126" s="29"/>
      <c r="G126" s="29"/>
    </row>
    <row r="127" customFormat="false" ht="15" hidden="false" customHeight="false" outlineLevel="0" collapsed="false">
      <c r="A127" s="27"/>
      <c r="B127" s="35"/>
      <c r="C127" s="28"/>
      <c r="D127" s="35"/>
      <c r="E127" s="29"/>
      <c r="G127" s="29"/>
    </row>
    <row r="128" customFormat="false" ht="15" hidden="false" customHeight="false" outlineLevel="0" collapsed="false">
      <c r="A128" s="27"/>
      <c r="B128" s="35"/>
      <c r="C128" s="28"/>
      <c r="D128" s="35"/>
      <c r="E128" s="29"/>
      <c r="G128" s="29"/>
    </row>
    <row r="129" customFormat="false" ht="15" hidden="false" customHeight="false" outlineLevel="0" collapsed="false">
      <c r="A129" s="27"/>
      <c r="B129" s="35"/>
      <c r="C129" s="28"/>
      <c r="D129" s="35"/>
      <c r="E129" s="29"/>
      <c r="G129" s="29"/>
    </row>
    <row r="130" customFormat="false" ht="15" hidden="false" customHeight="false" outlineLevel="0" collapsed="false">
      <c r="A130" s="27"/>
      <c r="B130" s="35"/>
      <c r="C130" s="28"/>
      <c r="D130" s="35"/>
      <c r="E130" s="29"/>
      <c r="G130" s="29"/>
    </row>
    <row r="131" customFormat="false" ht="15" hidden="false" customHeight="false" outlineLevel="0" collapsed="false">
      <c r="A131" s="27"/>
      <c r="B131" s="35"/>
      <c r="C131" s="28"/>
      <c r="D131" s="35"/>
      <c r="E131" s="29"/>
      <c r="G131" s="29"/>
    </row>
    <row r="132" customFormat="false" ht="15" hidden="false" customHeight="false" outlineLevel="0" collapsed="false">
      <c r="A132" s="27"/>
      <c r="B132" s="35"/>
      <c r="C132" s="28"/>
      <c r="D132" s="35"/>
      <c r="E132" s="29"/>
      <c r="G132" s="29"/>
    </row>
    <row r="133" customFormat="false" ht="15" hidden="false" customHeight="false" outlineLevel="0" collapsed="false">
      <c r="A133" s="27"/>
      <c r="B133" s="35"/>
      <c r="C133" s="28"/>
      <c r="D133" s="35"/>
      <c r="E133" s="29"/>
      <c r="G133" s="29"/>
    </row>
    <row r="134" customFormat="false" ht="15" hidden="false" customHeight="false" outlineLevel="0" collapsed="false">
      <c r="A134" s="27"/>
      <c r="B134" s="35"/>
      <c r="C134" s="28"/>
      <c r="D134" s="35"/>
      <c r="E134" s="29"/>
      <c r="G134" s="29"/>
    </row>
    <row r="135" customFormat="false" ht="15" hidden="false" customHeight="false" outlineLevel="0" collapsed="false">
      <c r="A135" s="27"/>
      <c r="B135" s="35"/>
      <c r="C135" s="28"/>
      <c r="D135" s="35"/>
      <c r="E135" s="29"/>
      <c r="G135" s="29"/>
    </row>
    <row r="136" customFormat="false" ht="15" hidden="false" customHeight="false" outlineLevel="0" collapsed="false">
      <c r="A136" s="27"/>
      <c r="B136" s="35"/>
      <c r="C136" s="28"/>
      <c r="D136" s="35"/>
      <c r="E136" s="29"/>
      <c r="G136" s="29"/>
    </row>
    <row r="137" customFormat="false" ht="15" hidden="false" customHeight="false" outlineLevel="0" collapsed="false">
      <c r="A137" s="27"/>
      <c r="B137" s="35"/>
      <c r="C137" s="28"/>
      <c r="D137" s="35"/>
      <c r="E137" s="29"/>
      <c r="G137" s="29"/>
    </row>
    <row r="138" customFormat="false" ht="15" hidden="false" customHeight="false" outlineLevel="0" collapsed="false">
      <c r="A138" s="27"/>
      <c r="B138" s="35"/>
      <c r="C138" s="28"/>
      <c r="D138" s="35"/>
      <c r="E138" s="29"/>
      <c r="G138" s="29"/>
    </row>
    <row r="139" customFormat="false" ht="15" hidden="false" customHeight="false" outlineLevel="0" collapsed="false">
      <c r="A139" s="27"/>
      <c r="B139" s="35"/>
      <c r="C139" s="28"/>
      <c r="D139" s="35"/>
      <c r="E139" s="29"/>
      <c r="G139" s="29"/>
    </row>
    <row r="140" customFormat="false" ht="15" hidden="false" customHeight="false" outlineLevel="0" collapsed="false">
      <c r="A140" s="27"/>
      <c r="B140" s="35"/>
      <c r="C140" s="28"/>
      <c r="D140" s="35"/>
      <c r="E140" s="29"/>
      <c r="G140" s="29"/>
    </row>
    <row r="141" customFormat="false" ht="15" hidden="false" customHeight="false" outlineLevel="0" collapsed="false">
      <c r="A141" s="27"/>
      <c r="B141" s="35"/>
      <c r="C141" s="28"/>
      <c r="D141" s="35"/>
      <c r="E141" s="29"/>
      <c r="G141" s="29"/>
    </row>
    <row r="142" customFormat="false" ht="15" hidden="false" customHeight="false" outlineLevel="0" collapsed="false">
      <c r="A142" s="27"/>
      <c r="B142" s="35"/>
      <c r="C142" s="28"/>
      <c r="D142" s="35"/>
      <c r="E142" s="29"/>
      <c r="G142" s="29"/>
    </row>
    <row r="143" customFormat="false" ht="15" hidden="false" customHeight="false" outlineLevel="0" collapsed="false">
      <c r="A143" s="27"/>
      <c r="B143" s="35"/>
      <c r="C143" s="28"/>
      <c r="D143" s="35"/>
      <c r="E143" s="29"/>
      <c r="G143" s="29"/>
    </row>
    <row r="144" customFormat="false" ht="15" hidden="false" customHeight="false" outlineLevel="0" collapsed="false">
      <c r="A144" s="27"/>
      <c r="B144" s="35"/>
      <c r="C144" s="28"/>
      <c r="D144" s="35"/>
      <c r="E144" s="29"/>
      <c r="G144" s="29"/>
    </row>
    <row r="145" customFormat="false" ht="15" hidden="false" customHeight="false" outlineLevel="0" collapsed="false">
      <c r="A145" s="27"/>
      <c r="B145" s="35"/>
      <c r="C145" s="28"/>
      <c r="D145" s="35"/>
      <c r="E145" s="29"/>
      <c r="G145" s="29"/>
    </row>
    <row r="146" customFormat="false" ht="15" hidden="false" customHeight="false" outlineLevel="0" collapsed="false">
      <c r="A146" s="27"/>
      <c r="B146" s="35"/>
      <c r="C146" s="28"/>
      <c r="D146" s="35"/>
      <c r="E146" s="29"/>
      <c r="G146" s="29"/>
    </row>
    <row r="147" customFormat="false" ht="15" hidden="false" customHeight="false" outlineLevel="0" collapsed="false">
      <c r="A147" s="27"/>
      <c r="B147" s="35"/>
      <c r="C147" s="28"/>
      <c r="D147" s="35"/>
      <c r="E147" s="29"/>
      <c r="G147" s="29"/>
    </row>
    <row r="148" customFormat="false" ht="15" hidden="false" customHeight="false" outlineLevel="0" collapsed="false">
      <c r="A148" s="27"/>
      <c r="B148" s="35"/>
      <c r="C148" s="28"/>
      <c r="D148" s="35"/>
      <c r="E148" s="29"/>
      <c r="G148" s="29"/>
    </row>
    <row r="149" customFormat="false" ht="15" hidden="false" customHeight="false" outlineLevel="0" collapsed="false">
      <c r="A149" s="27"/>
      <c r="B149" s="35"/>
      <c r="C149" s="28"/>
      <c r="D149" s="35"/>
      <c r="E149" s="29"/>
      <c r="G149" s="29"/>
    </row>
    <row r="150" customFormat="false" ht="15" hidden="false" customHeight="false" outlineLevel="0" collapsed="false">
      <c r="A150" s="27"/>
      <c r="B150" s="35"/>
      <c r="C150" s="28"/>
      <c r="D150" s="35"/>
      <c r="E150" s="29"/>
      <c r="G150" s="29"/>
    </row>
    <row r="151" customFormat="false" ht="15" hidden="false" customHeight="false" outlineLevel="0" collapsed="false">
      <c r="A151" s="27"/>
      <c r="B151" s="35"/>
      <c r="C151" s="28"/>
      <c r="D151" s="35"/>
      <c r="E151" s="29"/>
      <c r="G151" s="29"/>
    </row>
    <row r="152" customFormat="false" ht="15" hidden="false" customHeight="false" outlineLevel="0" collapsed="false">
      <c r="A152" s="27"/>
      <c r="B152" s="35"/>
      <c r="C152" s="28"/>
      <c r="D152" s="35"/>
      <c r="E152" s="29"/>
      <c r="G152" s="29"/>
    </row>
    <row r="153" customFormat="false" ht="15" hidden="false" customHeight="false" outlineLevel="0" collapsed="false">
      <c r="A153" s="27"/>
      <c r="B153" s="35"/>
      <c r="C153" s="28"/>
      <c r="D153" s="35"/>
      <c r="E153" s="29"/>
      <c r="G153" s="29"/>
    </row>
    <row r="154" customFormat="false" ht="15" hidden="false" customHeight="false" outlineLevel="0" collapsed="false">
      <c r="A154" s="27"/>
      <c r="B154" s="35"/>
      <c r="C154" s="28"/>
      <c r="D154" s="35"/>
      <c r="E154" s="29"/>
      <c r="G154" s="29"/>
    </row>
    <row r="155" customFormat="false" ht="15" hidden="false" customHeight="false" outlineLevel="0" collapsed="false">
      <c r="A155" s="27"/>
      <c r="B155" s="35"/>
      <c r="C155" s="28"/>
      <c r="D155" s="35"/>
      <c r="E155" s="29"/>
      <c r="G155" s="29"/>
    </row>
    <row r="156" customFormat="false" ht="15" hidden="false" customHeight="false" outlineLevel="0" collapsed="false">
      <c r="A156" s="27"/>
      <c r="B156" s="35"/>
      <c r="C156" s="28"/>
      <c r="D156" s="35"/>
      <c r="E156" s="29"/>
      <c r="G156" s="29"/>
    </row>
    <row r="157" customFormat="false" ht="15" hidden="false" customHeight="false" outlineLevel="0" collapsed="false">
      <c r="A157" s="27"/>
      <c r="B157" s="35"/>
      <c r="C157" s="28"/>
      <c r="D157" s="35"/>
      <c r="E157" s="29"/>
      <c r="G157" s="29"/>
    </row>
    <row r="158" customFormat="false" ht="15" hidden="false" customHeight="false" outlineLevel="0" collapsed="false">
      <c r="A158" s="27"/>
      <c r="B158" s="35"/>
      <c r="C158" s="28"/>
      <c r="D158" s="35"/>
      <c r="E158" s="29"/>
      <c r="G158" s="29"/>
    </row>
    <row r="159" customFormat="false" ht="15" hidden="false" customHeight="false" outlineLevel="0" collapsed="false">
      <c r="A159" s="27"/>
      <c r="B159" s="35"/>
      <c r="C159" s="28"/>
      <c r="D159" s="35"/>
      <c r="E159" s="29"/>
      <c r="G159" s="29"/>
    </row>
    <row r="160" customFormat="false" ht="15" hidden="false" customHeight="false" outlineLevel="0" collapsed="false">
      <c r="A160" s="27"/>
      <c r="B160" s="35"/>
      <c r="C160" s="28"/>
      <c r="D160" s="35"/>
      <c r="E160" s="29"/>
      <c r="G160" s="29"/>
    </row>
    <row r="161" customFormat="false" ht="15" hidden="false" customHeight="false" outlineLevel="0" collapsed="false">
      <c r="A161" s="27"/>
      <c r="B161" s="35"/>
      <c r="C161" s="28"/>
      <c r="D161" s="35"/>
      <c r="E161" s="29"/>
      <c r="G161" s="29"/>
    </row>
    <row r="162" customFormat="false" ht="15" hidden="false" customHeight="false" outlineLevel="0" collapsed="false">
      <c r="A162" s="27"/>
      <c r="B162" s="35"/>
      <c r="C162" s="28"/>
      <c r="D162" s="35"/>
      <c r="E162" s="29"/>
      <c r="G162" s="29"/>
    </row>
    <row r="163" customFormat="false" ht="15" hidden="false" customHeight="false" outlineLevel="0" collapsed="false">
      <c r="A163" s="27"/>
      <c r="B163" s="35"/>
      <c r="C163" s="28"/>
      <c r="D163" s="35"/>
      <c r="E163" s="29"/>
      <c r="G163" s="29"/>
    </row>
    <row r="164" customFormat="false" ht="15" hidden="false" customHeight="false" outlineLevel="0" collapsed="false">
      <c r="A164" s="27"/>
      <c r="B164" s="35"/>
      <c r="C164" s="28"/>
      <c r="D164" s="35"/>
      <c r="E164" s="29"/>
      <c r="G164" s="29"/>
    </row>
    <row r="165" customFormat="false" ht="15" hidden="false" customHeight="false" outlineLevel="0" collapsed="false">
      <c r="A165" s="27"/>
      <c r="B165" s="35"/>
      <c r="C165" s="28"/>
      <c r="D165" s="35"/>
      <c r="E165" s="29"/>
      <c r="G165" s="29"/>
    </row>
    <row r="166" customFormat="false" ht="15" hidden="false" customHeight="false" outlineLevel="0" collapsed="false">
      <c r="A166" s="27"/>
      <c r="B166" s="35"/>
      <c r="C166" s="28"/>
      <c r="D166" s="35"/>
      <c r="E166" s="29"/>
      <c r="G166" s="29"/>
    </row>
    <row r="167" customFormat="false" ht="15" hidden="false" customHeight="false" outlineLevel="0" collapsed="false">
      <c r="A167" s="27"/>
      <c r="B167" s="35"/>
      <c r="C167" s="28"/>
      <c r="D167" s="35"/>
      <c r="E167" s="29"/>
      <c r="G167" s="29"/>
    </row>
    <row r="168" customFormat="false" ht="15" hidden="false" customHeight="false" outlineLevel="0" collapsed="false">
      <c r="A168" s="27"/>
      <c r="B168" s="35"/>
      <c r="C168" s="28"/>
      <c r="D168" s="35"/>
      <c r="E168" s="29"/>
      <c r="G168" s="29"/>
    </row>
    <row r="169" customFormat="false" ht="15" hidden="false" customHeight="false" outlineLevel="0" collapsed="false">
      <c r="A169" s="27"/>
      <c r="B169" s="35"/>
      <c r="C169" s="28"/>
      <c r="D169" s="35"/>
      <c r="E169" s="29"/>
      <c r="G169" s="29"/>
    </row>
    <row r="170" customFormat="false" ht="15" hidden="false" customHeight="false" outlineLevel="0" collapsed="false">
      <c r="A170" s="27"/>
      <c r="B170" s="35"/>
      <c r="C170" s="28"/>
      <c r="D170" s="35"/>
      <c r="E170" s="29"/>
      <c r="G170" s="29"/>
    </row>
    <row r="171" customFormat="false" ht="15" hidden="false" customHeight="false" outlineLevel="0" collapsed="false">
      <c r="A171" s="27"/>
      <c r="B171" s="35"/>
      <c r="C171" s="28"/>
      <c r="D171" s="35"/>
      <c r="E171" s="29"/>
      <c r="G171" s="29"/>
    </row>
    <row r="172" customFormat="false" ht="15" hidden="false" customHeight="false" outlineLevel="0" collapsed="false">
      <c r="A172" s="27"/>
      <c r="B172" s="35"/>
      <c r="C172" s="28"/>
      <c r="D172" s="35"/>
      <c r="E172" s="29"/>
      <c r="G172" s="29"/>
    </row>
    <row r="173" customFormat="false" ht="15" hidden="false" customHeight="false" outlineLevel="0" collapsed="false">
      <c r="A173" s="27"/>
      <c r="B173" s="35"/>
      <c r="C173" s="28"/>
      <c r="D173" s="35"/>
      <c r="E173" s="29"/>
      <c r="G173" s="29"/>
    </row>
    <row r="174" customFormat="false" ht="15" hidden="false" customHeight="false" outlineLevel="0" collapsed="false">
      <c r="A174" s="27"/>
      <c r="B174" s="35"/>
      <c r="C174" s="28"/>
      <c r="D174" s="35"/>
      <c r="E174" s="29"/>
      <c r="G174" s="29"/>
    </row>
    <row r="175" customFormat="false" ht="15" hidden="false" customHeight="false" outlineLevel="0" collapsed="false">
      <c r="A175" s="27"/>
      <c r="B175" s="35"/>
      <c r="C175" s="28"/>
      <c r="D175" s="35"/>
      <c r="E175" s="29"/>
      <c r="G175" s="29"/>
    </row>
    <row r="176" customFormat="false" ht="15" hidden="false" customHeight="false" outlineLevel="0" collapsed="false">
      <c r="A176" s="27"/>
      <c r="B176" s="35"/>
      <c r="C176" s="28"/>
      <c r="D176" s="35"/>
      <c r="E176" s="29"/>
      <c r="G176" s="29"/>
    </row>
    <row r="177" customFormat="false" ht="15" hidden="false" customHeight="false" outlineLevel="0" collapsed="false">
      <c r="A177" s="27"/>
      <c r="B177" s="35"/>
      <c r="C177" s="28"/>
      <c r="D177" s="35"/>
      <c r="E177" s="29"/>
      <c r="G177" s="29"/>
    </row>
    <row r="178" customFormat="false" ht="15" hidden="false" customHeight="false" outlineLevel="0" collapsed="false">
      <c r="A178" s="27"/>
      <c r="B178" s="35"/>
      <c r="C178" s="28"/>
      <c r="D178" s="35"/>
      <c r="E178" s="29"/>
      <c r="G178" s="29"/>
    </row>
    <row r="179" customFormat="false" ht="15" hidden="false" customHeight="false" outlineLevel="0" collapsed="false">
      <c r="A179" s="27"/>
      <c r="B179" s="35"/>
      <c r="C179" s="28"/>
      <c r="D179" s="35"/>
      <c r="E179" s="29"/>
      <c r="G179" s="29"/>
    </row>
    <row r="180" customFormat="false" ht="15" hidden="false" customHeight="false" outlineLevel="0" collapsed="false">
      <c r="A180" s="27"/>
      <c r="B180" s="35"/>
      <c r="C180" s="28"/>
      <c r="D180" s="35"/>
      <c r="E180" s="29"/>
      <c r="G180" s="29"/>
    </row>
    <row r="181" customFormat="false" ht="15" hidden="false" customHeight="false" outlineLevel="0" collapsed="false">
      <c r="A181" s="27"/>
      <c r="B181" s="35"/>
      <c r="C181" s="28"/>
      <c r="D181" s="35"/>
      <c r="E181" s="29"/>
      <c r="G181" s="29"/>
    </row>
    <row r="182" customFormat="false" ht="15" hidden="false" customHeight="false" outlineLevel="0" collapsed="false">
      <c r="A182" s="27"/>
      <c r="B182" s="35"/>
      <c r="C182" s="28"/>
      <c r="D182" s="35"/>
      <c r="E182" s="29"/>
      <c r="G182" s="29"/>
    </row>
    <row r="183" customFormat="false" ht="15" hidden="false" customHeight="false" outlineLevel="0" collapsed="false">
      <c r="A183" s="27"/>
      <c r="B183" s="35"/>
      <c r="C183" s="28"/>
      <c r="D183" s="35"/>
      <c r="E183" s="29"/>
      <c r="G183" s="29"/>
    </row>
    <row r="184" customFormat="false" ht="15" hidden="false" customHeight="false" outlineLevel="0" collapsed="false">
      <c r="A184" s="27"/>
      <c r="B184" s="35"/>
      <c r="C184" s="28"/>
      <c r="D184" s="35"/>
      <c r="E184" s="29"/>
      <c r="G184" s="29"/>
    </row>
    <row r="185" customFormat="false" ht="15" hidden="false" customHeight="false" outlineLevel="0" collapsed="false">
      <c r="A185" s="27"/>
      <c r="B185" s="35"/>
      <c r="C185" s="28"/>
      <c r="D185" s="35"/>
      <c r="E185" s="29"/>
      <c r="G185" s="29"/>
    </row>
    <row r="186" customFormat="false" ht="15" hidden="false" customHeight="false" outlineLevel="0" collapsed="false">
      <c r="A186" s="27"/>
      <c r="B186" s="35"/>
      <c r="C186" s="28"/>
      <c r="D186" s="35"/>
      <c r="E186" s="29"/>
      <c r="G186" s="29"/>
    </row>
    <row r="187" customFormat="false" ht="15" hidden="false" customHeight="false" outlineLevel="0" collapsed="false">
      <c r="A187" s="27"/>
      <c r="B187" s="35"/>
      <c r="C187" s="28"/>
      <c r="D187" s="35"/>
      <c r="E187" s="29"/>
      <c r="G187" s="29"/>
    </row>
    <row r="188" customFormat="false" ht="15" hidden="false" customHeight="false" outlineLevel="0" collapsed="false">
      <c r="A188" s="27"/>
      <c r="B188" s="35"/>
      <c r="C188" s="28"/>
      <c r="D188" s="35"/>
      <c r="E188" s="29"/>
      <c r="G188" s="29"/>
    </row>
    <row r="189" customFormat="false" ht="15" hidden="false" customHeight="false" outlineLevel="0" collapsed="false">
      <c r="A189" s="27"/>
      <c r="B189" s="35"/>
      <c r="C189" s="28"/>
      <c r="D189" s="35"/>
      <c r="E189" s="29"/>
      <c r="G189" s="29"/>
    </row>
    <row r="190" customFormat="false" ht="15" hidden="false" customHeight="false" outlineLevel="0" collapsed="false">
      <c r="A190" s="27"/>
      <c r="B190" s="35"/>
      <c r="C190" s="28"/>
      <c r="D190" s="35"/>
      <c r="E190" s="29"/>
      <c r="G190" s="29"/>
    </row>
    <row r="191" customFormat="false" ht="15" hidden="false" customHeight="false" outlineLevel="0" collapsed="false">
      <c r="A191" s="27"/>
      <c r="B191" s="35"/>
      <c r="C191" s="28"/>
      <c r="D191" s="35"/>
      <c r="E191" s="29"/>
      <c r="G191" s="29"/>
    </row>
    <row r="192" customFormat="false" ht="15" hidden="false" customHeight="false" outlineLevel="0" collapsed="false">
      <c r="A192" s="27"/>
      <c r="B192" s="35"/>
      <c r="C192" s="28"/>
      <c r="D192" s="35"/>
      <c r="E192" s="29"/>
      <c r="G192" s="29"/>
    </row>
    <row r="193" customFormat="false" ht="15" hidden="false" customHeight="false" outlineLevel="0" collapsed="false">
      <c r="A193" s="27"/>
      <c r="B193" s="35"/>
      <c r="C193" s="28"/>
      <c r="D193" s="35"/>
      <c r="E193" s="29"/>
      <c r="G193" s="29"/>
    </row>
    <row r="194" customFormat="false" ht="15" hidden="false" customHeight="false" outlineLevel="0" collapsed="false">
      <c r="A194" s="27"/>
      <c r="B194" s="35"/>
      <c r="C194" s="28"/>
      <c r="D194" s="35"/>
      <c r="E194" s="29"/>
      <c r="G194" s="29"/>
    </row>
    <row r="195" customFormat="false" ht="15" hidden="false" customHeight="false" outlineLevel="0" collapsed="false">
      <c r="A195" s="27"/>
      <c r="B195" s="35"/>
      <c r="C195" s="28"/>
      <c r="D195" s="35"/>
      <c r="E195" s="29"/>
      <c r="G195" s="29"/>
    </row>
    <row r="196" customFormat="false" ht="15" hidden="false" customHeight="false" outlineLevel="0" collapsed="false">
      <c r="A196" s="27"/>
      <c r="B196" s="35"/>
      <c r="C196" s="28"/>
      <c r="D196" s="35"/>
      <c r="E196" s="29"/>
      <c r="G196" s="29"/>
    </row>
    <row r="197" customFormat="false" ht="15" hidden="false" customHeight="false" outlineLevel="0" collapsed="false">
      <c r="A197" s="27"/>
      <c r="B197" s="35"/>
      <c r="C197" s="28"/>
      <c r="D197" s="35"/>
      <c r="E197" s="29"/>
      <c r="G197" s="29"/>
    </row>
    <row r="198" customFormat="false" ht="15" hidden="false" customHeight="false" outlineLevel="0" collapsed="false">
      <c r="A198" s="27"/>
      <c r="B198" s="35"/>
      <c r="C198" s="28"/>
      <c r="D198" s="35"/>
      <c r="E198" s="29"/>
      <c r="G198" s="29"/>
    </row>
    <row r="199" customFormat="false" ht="15" hidden="false" customHeight="false" outlineLevel="0" collapsed="false">
      <c r="A199" s="27"/>
      <c r="B199" s="35"/>
      <c r="C199" s="28"/>
      <c r="D199" s="35"/>
      <c r="E199" s="29"/>
      <c r="G199" s="29"/>
    </row>
    <row r="200" customFormat="false" ht="15" hidden="false" customHeight="false" outlineLevel="0" collapsed="false">
      <c r="A200" s="27"/>
      <c r="B200" s="35"/>
      <c r="C200" s="28"/>
      <c r="D200" s="35"/>
      <c r="E200" s="29"/>
      <c r="G200" s="29"/>
    </row>
    <row r="201" customFormat="false" ht="15" hidden="false" customHeight="false" outlineLevel="0" collapsed="false">
      <c r="A201" s="27"/>
      <c r="B201" s="35"/>
      <c r="C201" s="28"/>
      <c r="D201" s="35"/>
      <c r="E201" s="29"/>
      <c r="G201" s="29"/>
    </row>
    <row r="202" customFormat="false" ht="15" hidden="false" customHeight="false" outlineLevel="0" collapsed="false">
      <c r="A202" s="27"/>
      <c r="B202" s="35"/>
      <c r="C202" s="28"/>
      <c r="D202" s="35"/>
      <c r="E202" s="29"/>
      <c r="G202" s="29"/>
    </row>
    <row r="203" customFormat="false" ht="15" hidden="false" customHeight="false" outlineLevel="0" collapsed="false">
      <c r="A203" s="27"/>
      <c r="B203" s="35"/>
      <c r="C203" s="28"/>
      <c r="D203" s="35"/>
      <c r="E203" s="29"/>
      <c r="G203" s="29"/>
    </row>
    <row r="204" customFormat="false" ht="15" hidden="false" customHeight="false" outlineLevel="0" collapsed="false">
      <c r="A204" s="27"/>
      <c r="B204" s="35"/>
      <c r="C204" s="28"/>
      <c r="D204" s="35"/>
      <c r="E204" s="29"/>
      <c r="G204" s="29"/>
    </row>
    <row r="205" customFormat="false" ht="15" hidden="false" customHeight="false" outlineLevel="0" collapsed="false">
      <c r="A205" s="27"/>
      <c r="B205" s="35"/>
      <c r="C205" s="28"/>
      <c r="D205" s="35"/>
      <c r="E205" s="29"/>
      <c r="G205" s="29"/>
    </row>
    <row r="206" customFormat="false" ht="15" hidden="false" customHeight="false" outlineLevel="0" collapsed="false">
      <c r="A206" s="27"/>
      <c r="B206" s="35"/>
      <c r="C206" s="28"/>
      <c r="D206" s="35"/>
      <c r="E206" s="29"/>
      <c r="G206" s="29"/>
    </row>
    <row r="207" customFormat="false" ht="15" hidden="false" customHeight="false" outlineLevel="0" collapsed="false">
      <c r="A207" s="27"/>
      <c r="B207" s="35"/>
      <c r="C207" s="28"/>
      <c r="D207" s="35"/>
      <c r="E207" s="29"/>
      <c r="G207" s="29"/>
    </row>
    <row r="208" customFormat="false" ht="15" hidden="false" customHeight="false" outlineLevel="0" collapsed="false">
      <c r="A208" s="27"/>
      <c r="B208" s="35"/>
      <c r="C208" s="28"/>
      <c r="D208" s="35"/>
      <c r="E208" s="29"/>
      <c r="G208" s="29"/>
    </row>
    <row r="209" customFormat="false" ht="15" hidden="false" customHeight="false" outlineLevel="0" collapsed="false">
      <c r="A209" s="27"/>
      <c r="B209" s="35"/>
      <c r="C209" s="28"/>
      <c r="D209" s="35"/>
      <c r="E209" s="29"/>
      <c r="G209" s="29"/>
    </row>
    <row r="210" customFormat="false" ht="15" hidden="false" customHeight="false" outlineLevel="0" collapsed="false">
      <c r="A210" s="27"/>
      <c r="B210" s="35"/>
      <c r="C210" s="28"/>
      <c r="D210" s="35"/>
      <c r="E210" s="29"/>
      <c r="G210" s="29"/>
    </row>
    <row r="211" customFormat="false" ht="15" hidden="false" customHeight="false" outlineLevel="0" collapsed="false">
      <c r="A211" s="27"/>
      <c r="B211" s="35"/>
      <c r="C211" s="28"/>
      <c r="D211" s="35"/>
      <c r="E211" s="29"/>
      <c r="G211" s="29"/>
    </row>
    <row r="212" customFormat="false" ht="15" hidden="false" customHeight="false" outlineLevel="0" collapsed="false">
      <c r="A212" s="27"/>
      <c r="B212" s="35"/>
      <c r="C212" s="28"/>
      <c r="D212" s="35"/>
      <c r="E212" s="29"/>
      <c r="G212" s="29"/>
    </row>
    <row r="213" customFormat="false" ht="15" hidden="false" customHeight="false" outlineLevel="0" collapsed="false">
      <c r="A213" s="27"/>
      <c r="B213" s="35"/>
      <c r="C213" s="28"/>
      <c r="D213" s="35"/>
      <c r="E213" s="29"/>
      <c r="G213" s="29"/>
    </row>
    <row r="214" customFormat="false" ht="15" hidden="false" customHeight="false" outlineLevel="0" collapsed="false">
      <c r="A214" s="27"/>
      <c r="B214" s="35"/>
      <c r="C214" s="28"/>
      <c r="D214" s="35"/>
      <c r="E214" s="29"/>
      <c r="G214" s="29"/>
    </row>
    <row r="215" customFormat="false" ht="15" hidden="false" customHeight="false" outlineLevel="0" collapsed="false">
      <c r="A215" s="27"/>
      <c r="B215" s="35"/>
      <c r="C215" s="28"/>
      <c r="D215" s="35"/>
      <c r="E215" s="29"/>
      <c r="G215" s="29"/>
    </row>
    <row r="216" customFormat="false" ht="15" hidden="false" customHeight="false" outlineLevel="0" collapsed="false">
      <c r="A216" s="27"/>
      <c r="B216" s="35"/>
      <c r="C216" s="28"/>
      <c r="D216" s="35"/>
      <c r="E216" s="29"/>
      <c r="G216" s="29"/>
    </row>
    <row r="217" customFormat="false" ht="15" hidden="false" customHeight="false" outlineLevel="0" collapsed="false">
      <c r="A217" s="27"/>
      <c r="B217" s="35"/>
      <c r="C217" s="28"/>
      <c r="D217" s="35"/>
      <c r="E217" s="29"/>
      <c r="G217" s="29"/>
    </row>
    <row r="218" customFormat="false" ht="15" hidden="false" customHeight="false" outlineLevel="0" collapsed="false">
      <c r="A218" s="27"/>
      <c r="B218" s="35"/>
      <c r="C218" s="28"/>
      <c r="D218" s="35"/>
      <c r="E218" s="29"/>
      <c r="G218" s="29"/>
    </row>
    <row r="219" customFormat="false" ht="15" hidden="false" customHeight="false" outlineLevel="0" collapsed="false">
      <c r="A219" s="27"/>
      <c r="B219" s="35"/>
      <c r="C219" s="28"/>
      <c r="D219" s="35"/>
      <c r="E219" s="29"/>
      <c r="G219" s="29"/>
    </row>
    <row r="220" customFormat="false" ht="15" hidden="false" customHeight="false" outlineLevel="0" collapsed="false">
      <c r="A220" s="27"/>
      <c r="B220" s="35"/>
      <c r="C220" s="28"/>
      <c r="D220" s="35"/>
      <c r="E220" s="29"/>
      <c r="G220" s="29"/>
    </row>
    <row r="221" customFormat="false" ht="15" hidden="false" customHeight="false" outlineLevel="0" collapsed="false">
      <c r="A221" s="27"/>
      <c r="B221" s="35"/>
      <c r="C221" s="28"/>
      <c r="D221" s="35"/>
      <c r="E221" s="29"/>
      <c r="G221" s="29"/>
    </row>
    <row r="222" customFormat="false" ht="15" hidden="false" customHeight="false" outlineLevel="0" collapsed="false">
      <c r="A222" s="27"/>
      <c r="B222" s="35"/>
      <c r="C222" s="28"/>
      <c r="D222" s="35"/>
      <c r="E222" s="29"/>
      <c r="G222" s="29"/>
    </row>
    <row r="223" customFormat="false" ht="15" hidden="false" customHeight="false" outlineLevel="0" collapsed="false">
      <c r="A223" s="27"/>
      <c r="B223" s="35"/>
      <c r="C223" s="28"/>
      <c r="D223" s="35"/>
      <c r="E223" s="29"/>
      <c r="G223" s="29"/>
    </row>
    <row r="224" customFormat="false" ht="15" hidden="false" customHeight="false" outlineLevel="0" collapsed="false">
      <c r="A224" s="27"/>
      <c r="B224" s="35"/>
      <c r="C224" s="28"/>
      <c r="D224" s="35"/>
      <c r="E224" s="29"/>
      <c r="G224" s="29"/>
    </row>
    <row r="225" customFormat="false" ht="15" hidden="false" customHeight="false" outlineLevel="0" collapsed="false">
      <c r="A225" s="27"/>
      <c r="B225" s="35"/>
      <c r="C225" s="28"/>
      <c r="D225" s="35"/>
      <c r="E225" s="29"/>
      <c r="G225" s="29"/>
    </row>
    <row r="226" customFormat="false" ht="15" hidden="false" customHeight="false" outlineLevel="0" collapsed="false">
      <c r="A226" s="27"/>
      <c r="B226" s="35"/>
      <c r="C226" s="28"/>
      <c r="D226" s="35"/>
      <c r="E226" s="29"/>
      <c r="G226" s="29"/>
    </row>
    <row r="227" customFormat="false" ht="15" hidden="false" customHeight="false" outlineLevel="0" collapsed="false">
      <c r="A227" s="27"/>
      <c r="B227" s="35"/>
      <c r="C227" s="28"/>
      <c r="D227" s="35"/>
      <c r="E227" s="29"/>
      <c r="G227" s="29"/>
    </row>
    <row r="228" customFormat="false" ht="15" hidden="false" customHeight="false" outlineLevel="0" collapsed="false">
      <c r="A228" s="27"/>
      <c r="B228" s="35"/>
      <c r="C228" s="28"/>
      <c r="D228" s="35"/>
      <c r="E228" s="29"/>
      <c r="G228" s="29"/>
    </row>
    <row r="229" customFormat="false" ht="15" hidden="false" customHeight="false" outlineLevel="0" collapsed="false">
      <c r="A229" s="27"/>
      <c r="B229" s="35"/>
      <c r="C229" s="28"/>
      <c r="D229" s="35"/>
      <c r="E229" s="29"/>
      <c r="G229" s="29"/>
    </row>
    <row r="230" customFormat="false" ht="15" hidden="false" customHeight="false" outlineLevel="0" collapsed="false">
      <c r="A230" s="27"/>
      <c r="B230" s="35"/>
      <c r="C230" s="28"/>
      <c r="D230" s="35"/>
      <c r="E230" s="29"/>
      <c r="G230" s="29"/>
    </row>
    <row r="231" customFormat="false" ht="15" hidden="false" customHeight="false" outlineLevel="0" collapsed="false">
      <c r="A231" s="27"/>
      <c r="B231" s="35"/>
      <c r="C231" s="28"/>
      <c r="D231" s="35"/>
      <c r="E231" s="29"/>
      <c r="G231" s="29"/>
    </row>
    <row r="232" customFormat="false" ht="15" hidden="false" customHeight="false" outlineLevel="0" collapsed="false">
      <c r="A232" s="27"/>
      <c r="B232" s="35"/>
      <c r="C232" s="28"/>
      <c r="D232" s="35"/>
      <c r="E232" s="29"/>
      <c r="G232" s="29"/>
    </row>
    <row r="233" customFormat="false" ht="15" hidden="false" customHeight="false" outlineLevel="0" collapsed="false">
      <c r="A233" s="27"/>
      <c r="B233" s="35"/>
      <c r="C233" s="28"/>
      <c r="D233" s="35"/>
      <c r="E233" s="29"/>
      <c r="G233" s="29"/>
    </row>
    <row r="234" customFormat="false" ht="15" hidden="false" customHeight="false" outlineLevel="0" collapsed="false">
      <c r="A234" s="27"/>
      <c r="B234" s="35"/>
      <c r="C234" s="28"/>
      <c r="D234" s="35"/>
      <c r="E234" s="29"/>
      <c r="G234" s="29"/>
    </row>
    <row r="235" customFormat="false" ht="15" hidden="false" customHeight="false" outlineLevel="0" collapsed="false">
      <c r="A235" s="27"/>
      <c r="B235" s="35"/>
      <c r="C235" s="28"/>
      <c r="D235" s="35"/>
      <c r="E235" s="29"/>
      <c r="G235" s="29"/>
    </row>
    <row r="236" customFormat="false" ht="15" hidden="false" customHeight="false" outlineLevel="0" collapsed="false">
      <c r="A236" s="27"/>
      <c r="B236" s="35"/>
      <c r="C236" s="28"/>
      <c r="D236" s="35"/>
      <c r="E236" s="29"/>
      <c r="G236" s="29"/>
    </row>
    <row r="237" customFormat="false" ht="15" hidden="false" customHeight="false" outlineLevel="0" collapsed="false">
      <c r="A237" s="27"/>
      <c r="B237" s="35"/>
      <c r="C237" s="28"/>
      <c r="D237" s="35"/>
      <c r="E237" s="29"/>
      <c r="G237" s="29"/>
    </row>
    <row r="238" customFormat="false" ht="15" hidden="false" customHeight="false" outlineLevel="0" collapsed="false">
      <c r="A238" s="27"/>
      <c r="B238" s="35"/>
      <c r="C238" s="28"/>
      <c r="D238" s="35"/>
      <c r="E238" s="29"/>
      <c r="G238" s="29"/>
    </row>
    <row r="239" customFormat="false" ht="15" hidden="false" customHeight="false" outlineLevel="0" collapsed="false">
      <c r="A239" s="27"/>
      <c r="B239" s="35"/>
      <c r="C239" s="28"/>
      <c r="D239" s="35"/>
      <c r="E239" s="29"/>
      <c r="G239" s="29"/>
    </row>
    <row r="240" customFormat="false" ht="15" hidden="false" customHeight="false" outlineLevel="0" collapsed="false">
      <c r="A240" s="27"/>
      <c r="B240" s="35"/>
      <c r="C240" s="28"/>
      <c r="D240" s="35"/>
      <c r="E240" s="29"/>
      <c r="G240" s="29"/>
    </row>
    <row r="241" customFormat="false" ht="15" hidden="false" customHeight="false" outlineLevel="0" collapsed="false">
      <c r="A241" s="27"/>
      <c r="B241" s="35"/>
      <c r="C241" s="28"/>
      <c r="D241" s="35"/>
      <c r="E241" s="29"/>
      <c r="G241" s="29"/>
    </row>
    <row r="242" customFormat="false" ht="15" hidden="false" customHeight="false" outlineLevel="0" collapsed="false">
      <c r="A242" s="27"/>
      <c r="B242" s="35"/>
      <c r="C242" s="28"/>
      <c r="D242" s="35"/>
      <c r="E242" s="29"/>
      <c r="G242" s="29"/>
    </row>
    <row r="243" customFormat="false" ht="15" hidden="false" customHeight="false" outlineLevel="0" collapsed="false">
      <c r="A243" s="27"/>
      <c r="B243" s="35"/>
      <c r="C243" s="28"/>
      <c r="D243" s="35"/>
      <c r="E243" s="29"/>
      <c r="G243" s="29"/>
    </row>
    <row r="244" customFormat="false" ht="15" hidden="false" customHeight="false" outlineLevel="0" collapsed="false">
      <c r="A244" s="27"/>
      <c r="B244" s="35"/>
      <c r="C244" s="28"/>
      <c r="D244" s="35"/>
      <c r="E244" s="29"/>
      <c r="G244" s="29"/>
    </row>
    <row r="245" customFormat="false" ht="15" hidden="false" customHeight="false" outlineLevel="0" collapsed="false">
      <c r="A245" s="27"/>
      <c r="B245" s="35"/>
      <c r="C245" s="28"/>
      <c r="D245" s="35"/>
      <c r="E245" s="29"/>
      <c r="G245" s="29"/>
    </row>
    <row r="246" customFormat="false" ht="15" hidden="false" customHeight="false" outlineLevel="0" collapsed="false">
      <c r="A246" s="27"/>
      <c r="B246" s="35"/>
      <c r="C246" s="28"/>
      <c r="D246" s="35"/>
      <c r="E246" s="29"/>
      <c r="G246" s="29"/>
    </row>
    <row r="247" customFormat="false" ht="15" hidden="false" customHeight="false" outlineLevel="0" collapsed="false">
      <c r="A247" s="27"/>
      <c r="B247" s="35"/>
      <c r="C247" s="28"/>
      <c r="D247" s="35"/>
      <c r="E247" s="29"/>
      <c r="G247" s="29"/>
    </row>
    <row r="248" customFormat="false" ht="15" hidden="false" customHeight="false" outlineLevel="0" collapsed="false">
      <c r="A248" s="27"/>
      <c r="B248" s="35"/>
      <c r="C248" s="28"/>
      <c r="D248" s="35"/>
      <c r="E248" s="29"/>
      <c r="G248" s="29"/>
    </row>
    <row r="249" customFormat="false" ht="15" hidden="false" customHeight="false" outlineLevel="0" collapsed="false">
      <c r="A249" s="27"/>
      <c r="B249" s="35"/>
      <c r="C249" s="28"/>
      <c r="D249" s="35"/>
      <c r="E249" s="29"/>
      <c r="G249" s="29"/>
    </row>
    <row r="250" customFormat="false" ht="15" hidden="false" customHeight="false" outlineLevel="0" collapsed="false">
      <c r="A250" s="27"/>
      <c r="B250" s="35"/>
      <c r="C250" s="28"/>
      <c r="D250" s="35"/>
      <c r="E250" s="29"/>
      <c r="G250" s="29"/>
    </row>
    <row r="251" customFormat="false" ht="15" hidden="false" customHeight="false" outlineLevel="0" collapsed="false">
      <c r="A251" s="27"/>
      <c r="B251" s="35"/>
      <c r="C251" s="28"/>
      <c r="D251" s="35"/>
      <c r="E251" s="29"/>
      <c r="G251" s="29"/>
    </row>
    <row r="252" customFormat="false" ht="15" hidden="false" customHeight="false" outlineLevel="0" collapsed="false">
      <c r="A252" s="27"/>
      <c r="B252" s="35"/>
      <c r="C252" s="28"/>
      <c r="D252" s="35"/>
      <c r="E252" s="29"/>
      <c r="G252" s="29"/>
    </row>
    <row r="253" customFormat="false" ht="15" hidden="false" customHeight="false" outlineLevel="0" collapsed="false">
      <c r="A253" s="27"/>
      <c r="B253" s="35"/>
      <c r="C253" s="28"/>
      <c r="D253" s="35"/>
      <c r="E253" s="29"/>
      <c r="G253" s="29"/>
    </row>
    <row r="254" customFormat="false" ht="15" hidden="false" customHeight="false" outlineLevel="0" collapsed="false">
      <c r="A254" s="27"/>
      <c r="B254" s="35"/>
      <c r="C254" s="28"/>
      <c r="D254" s="35"/>
      <c r="E254" s="29"/>
      <c r="G254" s="29"/>
    </row>
    <row r="255" customFormat="false" ht="15" hidden="false" customHeight="false" outlineLevel="0" collapsed="false">
      <c r="A255" s="27"/>
      <c r="B255" s="35"/>
      <c r="C255" s="28"/>
      <c r="D255" s="35"/>
      <c r="E255" s="29"/>
      <c r="G255" s="29"/>
    </row>
    <row r="256" customFormat="false" ht="15" hidden="false" customHeight="false" outlineLevel="0" collapsed="false">
      <c r="A256" s="27"/>
      <c r="B256" s="35"/>
      <c r="C256" s="28"/>
      <c r="D256" s="35"/>
      <c r="E256" s="29"/>
      <c r="G256" s="29"/>
    </row>
    <row r="257" customFormat="false" ht="15" hidden="false" customHeight="false" outlineLevel="0" collapsed="false">
      <c r="A257" s="27"/>
      <c r="B257" s="35"/>
      <c r="C257" s="28"/>
      <c r="D257" s="35"/>
      <c r="E257" s="29"/>
      <c r="G257" s="29"/>
    </row>
    <row r="258" customFormat="false" ht="15" hidden="false" customHeight="false" outlineLevel="0" collapsed="false">
      <c r="A258" s="27"/>
      <c r="B258" s="35"/>
      <c r="C258" s="28"/>
      <c r="D258" s="35"/>
      <c r="E258" s="29"/>
      <c r="G258" s="29"/>
    </row>
    <row r="259" customFormat="false" ht="15" hidden="false" customHeight="false" outlineLevel="0" collapsed="false">
      <c r="A259" s="27"/>
      <c r="B259" s="35"/>
      <c r="C259" s="28"/>
      <c r="D259" s="35"/>
      <c r="E259" s="29"/>
      <c r="G259" s="29"/>
    </row>
    <row r="260" customFormat="false" ht="15" hidden="false" customHeight="false" outlineLevel="0" collapsed="false">
      <c r="A260" s="27"/>
      <c r="B260" s="35"/>
      <c r="C260" s="28"/>
      <c r="D260" s="35"/>
      <c r="E260" s="29"/>
      <c r="G260" s="29"/>
    </row>
    <row r="261" customFormat="false" ht="15" hidden="false" customHeight="false" outlineLevel="0" collapsed="false">
      <c r="A261" s="27"/>
      <c r="B261" s="35"/>
      <c r="C261" s="28"/>
      <c r="D261" s="35"/>
      <c r="E261" s="29"/>
      <c r="G261" s="29"/>
    </row>
    <row r="262" customFormat="false" ht="15" hidden="false" customHeight="false" outlineLevel="0" collapsed="false">
      <c r="A262" s="27"/>
      <c r="B262" s="35"/>
      <c r="C262" s="28"/>
      <c r="D262" s="35"/>
      <c r="E262" s="29"/>
      <c r="G262" s="29"/>
    </row>
    <row r="263" customFormat="false" ht="15" hidden="false" customHeight="false" outlineLevel="0" collapsed="false">
      <c r="A263" s="27"/>
      <c r="B263" s="35"/>
      <c r="C263" s="28"/>
      <c r="D263" s="35"/>
      <c r="E263" s="29"/>
      <c r="G263" s="29"/>
    </row>
    <row r="264" customFormat="false" ht="15" hidden="false" customHeight="false" outlineLevel="0" collapsed="false">
      <c r="A264" s="27"/>
      <c r="B264" s="35"/>
      <c r="C264" s="28"/>
      <c r="D264" s="35"/>
      <c r="E264" s="29"/>
      <c r="G264" s="29"/>
    </row>
    <row r="265" customFormat="false" ht="15" hidden="false" customHeight="false" outlineLevel="0" collapsed="false">
      <c r="A265" s="27"/>
      <c r="B265" s="35"/>
      <c r="C265" s="28"/>
      <c r="D265" s="35"/>
      <c r="E265" s="29"/>
      <c r="G265" s="29"/>
    </row>
    <row r="266" customFormat="false" ht="15" hidden="false" customHeight="false" outlineLevel="0" collapsed="false">
      <c r="A266" s="27"/>
      <c r="B266" s="35"/>
      <c r="C266" s="28"/>
      <c r="D266" s="35"/>
      <c r="E266" s="29"/>
      <c r="G266" s="29"/>
    </row>
    <row r="267" customFormat="false" ht="15" hidden="false" customHeight="false" outlineLevel="0" collapsed="false">
      <c r="A267" s="27"/>
      <c r="B267" s="35"/>
      <c r="C267" s="28"/>
      <c r="D267" s="35"/>
      <c r="E267" s="29"/>
      <c r="G267" s="29"/>
    </row>
    <row r="268" customFormat="false" ht="15" hidden="false" customHeight="false" outlineLevel="0" collapsed="false">
      <c r="A268" s="27"/>
      <c r="B268" s="35"/>
      <c r="C268" s="28"/>
      <c r="D268" s="35"/>
      <c r="E268" s="29"/>
      <c r="G268" s="29"/>
    </row>
    <row r="269" customFormat="false" ht="15" hidden="false" customHeight="false" outlineLevel="0" collapsed="false">
      <c r="A269" s="27"/>
      <c r="B269" s="35"/>
      <c r="C269" s="28"/>
      <c r="D269" s="35"/>
      <c r="E269" s="29"/>
      <c r="G269" s="29"/>
    </row>
    <row r="270" customFormat="false" ht="15" hidden="false" customHeight="false" outlineLevel="0" collapsed="false">
      <c r="A270" s="27"/>
      <c r="B270" s="35"/>
      <c r="C270" s="28"/>
      <c r="D270" s="35"/>
      <c r="E270" s="29"/>
      <c r="G270" s="29"/>
    </row>
    <row r="271" customFormat="false" ht="15" hidden="false" customHeight="false" outlineLevel="0" collapsed="false">
      <c r="A271" s="27"/>
      <c r="B271" s="35"/>
      <c r="C271" s="28"/>
      <c r="D271" s="35"/>
      <c r="E271" s="29"/>
      <c r="G271" s="29"/>
    </row>
    <row r="272" customFormat="false" ht="15" hidden="false" customHeight="false" outlineLevel="0" collapsed="false">
      <c r="A272" s="27"/>
      <c r="B272" s="35"/>
      <c r="C272" s="28"/>
      <c r="D272" s="35"/>
      <c r="E272" s="29"/>
      <c r="G272" s="29"/>
    </row>
    <row r="273" customFormat="false" ht="15" hidden="false" customHeight="false" outlineLevel="0" collapsed="false">
      <c r="A273" s="27"/>
      <c r="B273" s="35"/>
      <c r="C273" s="28"/>
      <c r="D273" s="35"/>
      <c r="E273" s="29"/>
      <c r="G273" s="29"/>
    </row>
    <row r="274" customFormat="false" ht="15" hidden="false" customHeight="false" outlineLevel="0" collapsed="false">
      <c r="A274" s="27"/>
      <c r="B274" s="35"/>
      <c r="C274" s="28"/>
      <c r="D274" s="35"/>
      <c r="E274" s="29"/>
      <c r="G274" s="29"/>
    </row>
    <row r="275" customFormat="false" ht="15" hidden="false" customHeight="false" outlineLevel="0" collapsed="false">
      <c r="A275" s="27"/>
      <c r="B275" s="35"/>
      <c r="C275" s="28"/>
      <c r="D275" s="35"/>
      <c r="E275" s="29"/>
      <c r="G275" s="29"/>
    </row>
    <row r="276" customFormat="false" ht="15" hidden="false" customHeight="false" outlineLevel="0" collapsed="false">
      <c r="A276" s="27"/>
      <c r="B276" s="35"/>
      <c r="C276" s="28"/>
      <c r="D276" s="35"/>
      <c r="E276" s="29"/>
      <c r="G276" s="29"/>
    </row>
    <row r="277" customFormat="false" ht="15" hidden="false" customHeight="false" outlineLevel="0" collapsed="false">
      <c r="A277" s="27"/>
      <c r="B277" s="35"/>
      <c r="C277" s="28"/>
      <c r="D277" s="35"/>
      <c r="E277" s="29"/>
      <c r="G277" s="29"/>
    </row>
    <row r="278" customFormat="false" ht="15" hidden="false" customHeight="false" outlineLevel="0" collapsed="false">
      <c r="A278" s="27"/>
      <c r="B278" s="35"/>
      <c r="C278" s="28"/>
      <c r="D278" s="35"/>
      <c r="E278" s="29"/>
      <c r="G278" s="29"/>
    </row>
    <row r="279" customFormat="false" ht="15" hidden="false" customHeight="false" outlineLevel="0" collapsed="false">
      <c r="A279" s="27"/>
      <c r="B279" s="35"/>
      <c r="C279" s="28"/>
      <c r="D279" s="35"/>
      <c r="E279" s="29"/>
      <c r="G279" s="29"/>
    </row>
    <row r="280" customFormat="false" ht="15" hidden="false" customHeight="false" outlineLevel="0" collapsed="false">
      <c r="A280" s="27"/>
      <c r="B280" s="35"/>
      <c r="C280" s="28"/>
      <c r="D280" s="35"/>
      <c r="E280" s="29"/>
      <c r="G280" s="29"/>
    </row>
    <row r="281" customFormat="false" ht="15" hidden="false" customHeight="false" outlineLevel="0" collapsed="false">
      <c r="A281" s="27"/>
      <c r="B281" s="35"/>
      <c r="C281" s="28"/>
      <c r="D281" s="35"/>
      <c r="E281" s="29"/>
      <c r="G281" s="29"/>
    </row>
    <row r="282" customFormat="false" ht="15" hidden="false" customHeight="false" outlineLevel="0" collapsed="false">
      <c r="A282" s="27"/>
      <c r="B282" s="35"/>
      <c r="C282" s="28"/>
      <c r="D282" s="35"/>
      <c r="E282" s="29"/>
      <c r="G282" s="29"/>
    </row>
    <row r="283" customFormat="false" ht="15" hidden="false" customHeight="false" outlineLevel="0" collapsed="false">
      <c r="A283" s="27"/>
      <c r="B283" s="35"/>
      <c r="C283" s="28"/>
      <c r="D283" s="35"/>
      <c r="E283" s="29"/>
      <c r="G283" s="29"/>
    </row>
    <row r="284" customFormat="false" ht="15" hidden="false" customHeight="false" outlineLevel="0" collapsed="false">
      <c r="A284" s="27"/>
      <c r="B284" s="35"/>
      <c r="C284" s="28"/>
      <c r="D284" s="35"/>
      <c r="E284" s="29"/>
      <c r="G284" s="29"/>
    </row>
    <row r="285" customFormat="false" ht="15" hidden="false" customHeight="false" outlineLevel="0" collapsed="false">
      <c r="A285" s="27"/>
      <c r="B285" s="35"/>
      <c r="C285" s="28"/>
      <c r="D285" s="35"/>
      <c r="E285" s="29"/>
      <c r="G285" s="29"/>
    </row>
    <row r="286" customFormat="false" ht="15" hidden="false" customHeight="false" outlineLevel="0" collapsed="false">
      <c r="A286" s="27"/>
      <c r="B286" s="35"/>
      <c r="C286" s="28"/>
      <c r="D286" s="35"/>
      <c r="E286" s="29"/>
      <c r="G286" s="29"/>
    </row>
    <row r="287" customFormat="false" ht="15" hidden="false" customHeight="false" outlineLevel="0" collapsed="false">
      <c r="A287" s="27"/>
      <c r="B287" s="35"/>
      <c r="C287" s="28"/>
      <c r="D287" s="35"/>
      <c r="E287" s="29"/>
      <c r="G287" s="29"/>
    </row>
    <row r="288" customFormat="false" ht="15" hidden="false" customHeight="false" outlineLevel="0" collapsed="false">
      <c r="A288" s="27"/>
      <c r="B288" s="35"/>
      <c r="C288" s="28"/>
      <c r="D288" s="35"/>
      <c r="E288" s="29"/>
      <c r="G288" s="29"/>
    </row>
    <row r="289" customFormat="false" ht="15" hidden="false" customHeight="false" outlineLevel="0" collapsed="false">
      <c r="A289" s="27"/>
      <c r="B289" s="35"/>
      <c r="C289" s="28"/>
      <c r="D289" s="35"/>
      <c r="E289" s="29"/>
      <c r="G289" s="29"/>
    </row>
    <row r="290" customFormat="false" ht="15" hidden="false" customHeight="false" outlineLevel="0" collapsed="false">
      <c r="A290" s="27"/>
      <c r="B290" s="35"/>
      <c r="C290" s="28"/>
      <c r="D290" s="35"/>
      <c r="E290" s="29"/>
      <c r="G290" s="29"/>
    </row>
    <row r="291" customFormat="false" ht="15" hidden="false" customHeight="false" outlineLevel="0" collapsed="false">
      <c r="A291" s="27"/>
      <c r="B291" s="35"/>
      <c r="C291" s="28"/>
      <c r="D291" s="35"/>
      <c r="E291" s="29"/>
      <c r="G291" s="29"/>
    </row>
    <row r="292" customFormat="false" ht="15" hidden="false" customHeight="false" outlineLevel="0" collapsed="false">
      <c r="A292" s="27"/>
      <c r="B292" s="35"/>
      <c r="C292" s="28"/>
      <c r="D292" s="35"/>
      <c r="E292" s="29"/>
      <c r="G292" s="29"/>
    </row>
    <row r="293" customFormat="false" ht="15" hidden="false" customHeight="false" outlineLevel="0" collapsed="false">
      <c r="A293" s="27"/>
      <c r="B293" s="35"/>
      <c r="C293" s="28"/>
      <c r="D293" s="35"/>
      <c r="E293" s="29"/>
      <c r="G293" s="29"/>
    </row>
    <row r="294" customFormat="false" ht="15" hidden="false" customHeight="false" outlineLevel="0" collapsed="false">
      <c r="A294" s="27"/>
      <c r="B294" s="35"/>
      <c r="C294" s="28"/>
      <c r="D294" s="35"/>
      <c r="E294" s="29"/>
      <c r="G294" s="29"/>
    </row>
    <row r="295" customFormat="false" ht="15" hidden="false" customHeight="false" outlineLevel="0" collapsed="false">
      <c r="A295" s="27"/>
      <c r="B295" s="35"/>
      <c r="C295" s="28"/>
      <c r="D295" s="35"/>
      <c r="E295" s="29"/>
      <c r="G295" s="29"/>
    </row>
    <row r="296" customFormat="false" ht="15" hidden="false" customHeight="false" outlineLevel="0" collapsed="false">
      <c r="A296" s="27"/>
      <c r="B296" s="35"/>
      <c r="C296" s="28"/>
      <c r="D296" s="35"/>
      <c r="E296" s="29"/>
      <c r="G296" s="29"/>
    </row>
    <row r="297" customFormat="false" ht="15" hidden="false" customHeight="false" outlineLevel="0" collapsed="false">
      <c r="A297" s="27"/>
      <c r="B297" s="35"/>
      <c r="C297" s="28"/>
      <c r="D297" s="35"/>
      <c r="E297" s="29"/>
      <c r="G297" s="29"/>
    </row>
    <row r="298" customFormat="false" ht="15" hidden="false" customHeight="false" outlineLevel="0" collapsed="false">
      <c r="A298" s="27"/>
      <c r="B298" s="35"/>
      <c r="C298" s="28"/>
      <c r="D298" s="35"/>
      <c r="E298" s="29"/>
      <c r="G298" s="29"/>
    </row>
    <row r="299" customFormat="false" ht="15" hidden="false" customHeight="false" outlineLevel="0" collapsed="false">
      <c r="A299" s="27"/>
      <c r="B299" s="35"/>
      <c r="C299" s="28"/>
      <c r="D299" s="35"/>
      <c r="E299" s="29"/>
      <c r="G299" s="29"/>
    </row>
    <row r="300" customFormat="false" ht="15" hidden="false" customHeight="false" outlineLevel="0" collapsed="false">
      <c r="A300" s="27"/>
      <c r="B300" s="35"/>
      <c r="C300" s="28"/>
      <c r="D300" s="35"/>
      <c r="E300" s="29"/>
      <c r="G300" s="29"/>
    </row>
    <row r="301" customFormat="false" ht="15" hidden="false" customHeight="false" outlineLevel="0" collapsed="false">
      <c r="A301" s="27"/>
      <c r="B301" s="35"/>
      <c r="C301" s="28"/>
      <c r="D301" s="35"/>
      <c r="E301" s="29"/>
      <c r="G301" s="29"/>
    </row>
    <row r="302" customFormat="false" ht="15" hidden="false" customHeight="false" outlineLevel="0" collapsed="false">
      <c r="A302" s="27"/>
      <c r="B302" s="35"/>
      <c r="C302" s="28"/>
      <c r="D302" s="35"/>
      <c r="E302" s="29"/>
      <c r="G302" s="29"/>
    </row>
    <row r="303" customFormat="false" ht="15" hidden="false" customHeight="false" outlineLevel="0" collapsed="false">
      <c r="A303" s="27"/>
      <c r="B303" s="35"/>
      <c r="C303" s="28"/>
      <c r="D303" s="35"/>
      <c r="E303" s="29"/>
      <c r="G303" s="29"/>
    </row>
    <row r="304" customFormat="false" ht="15" hidden="false" customHeight="false" outlineLevel="0" collapsed="false">
      <c r="A304" s="27"/>
      <c r="B304" s="35"/>
      <c r="C304" s="28"/>
      <c r="D304" s="35"/>
      <c r="E304" s="29"/>
      <c r="G304" s="29"/>
    </row>
    <row r="305" customFormat="false" ht="15" hidden="false" customHeight="false" outlineLevel="0" collapsed="false">
      <c r="A305" s="27"/>
      <c r="B305" s="35"/>
      <c r="C305" s="28"/>
      <c r="D305" s="35"/>
      <c r="E305" s="29"/>
      <c r="G305" s="29"/>
    </row>
    <row r="306" customFormat="false" ht="15" hidden="false" customHeight="false" outlineLevel="0" collapsed="false">
      <c r="A306" s="27"/>
      <c r="B306" s="35"/>
      <c r="C306" s="28"/>
      <c r="D306" s="35"/>
      <c r="E306" s="29"/>
      <c r="G306" s="29"/>
    </row>
    <row r="307" customFormat="false" ht="15" hidden="false" customHeight="false" outlineLevel="0" collapsed="false">
      <c r="A307" s="27"/>
      <c r="B307" s="35"/>
      <c r="C307" s="28"/>
      <c r="D307" s="35"/>
      <c r="E307" s="29"/>
      <c r="G307" s="29"/>
    </row>
    <row r="308" customFormat="false" ht="15" hidden="false" customHeight="false" outlineLevel="0" collapsed="false">
      <c r="A308" s="27"/>
      <c r="B308" s="35"/>
      <c r="C308" s="28"/>
      <c r="D308" s="35"/>
      <c r="E308" s="29"/>
      <c r="G308" s="29"/>
    </row>
    <row r="309" customFormat="false" ht="15" hidden="false" customHeight="false" outlineLevel="0" collapsed="false">
      <c r="A309" s="27"/>
      <c r="B309" s="35"/>
      <c r="C309" s="28"/>
      <c r="D309" s="35"/>
      <c r="E309" s="29"/>
      <c r="G309" s="29"/>
    </row>
    <row r="310" customFormat="false" ht="15" hidden="false" customHeight="false" outlineLevel="0" collapsed="false">
      <c r="A310" s="27"/>
      <c r="B310" s="35"/>
      <c r="C310" s="28"/>
      <c r="D310" s="35"/>
      <c r="E310" s="29"/>
      <c r="G310" s="29"/>
    </row>
    <row r="311" customFormat="false" ht="15" hidden="false" customHeight="false" outlineLevel="0" collapsed="false">
      <c r="A311" s="27"/>
      <c r="B311" s="35"/>
      <c r="C311" s="28"/>
      <c r="D311" s="35"/>
      <c r="E311" s="29"/>
      <c r="G311" s="29"/>
    </row>
    <row r="312" customFormat="false" ht="15" hidden="false" customHeight="false" outlineLevel="0" collapsed="false">
      <c r="A312" s="27"/>
      <c r="B312" s="35"/>
      <c r="C312" s="28"/>
      <c r="D312" s="35"/>
      <c r="E312" s="29"/>
      <c r="G312" s="29"/>
    </row>
    <row r="313" customFormat="false" ht="15" hidden="false" customHeight="false" outlineLevel="0" collapsed="false">
      <c r="A313" s="27"/>
      <c r="B313" s="35"/>
      <c r="C313" s="28"/>
      <c r="D313" s="35"/>
      <c r="E313" s="29"/>
      <c r="G313" s="29"/>
    </row>
    <row r="314" customFormat="false" ht="15" hidden="false" customHeight="false" outlineLevel="0" collapsed="false">
      <c r="A314" s="27"/>
      <c r="B314" s="35"/>
      <c r="C314" s="28"/>
      <c r="D314" s="35"/>
      <c r="E314" s="29"/>
      <c r="G314" s="29"/>
    </row>
    <row r="315" customFormat="false" ht="15" hidden="false" customHeight="false" outlineLevel="0" collapsed="false">
      <c r="A315" s="27"/>
      <c r="B315" s="35"/>
      <c r="C315" s="28"/>
      <c r="D315" s="35"/>
      <c r="E315" s="29"/>
      <c r="G315" s="29"/>
    </row>
    <row r="316" customFormat="false" ht="15" hidden="false" customHeight="false" outlineLevel="0" collapsed="false">
      <c r="A316" s="27"/>
      <c r="B316" s="35"/>
      <c r="C316" s="28"/>
      <c r="D316" s="35"/>
      <c r="E316" s="29"/>
      <c r="G316" s="29"/>
    </row>
    <row r="317" customFormat="false" ht="15" hidden="false" customHeight="false" outlineLevel="0" collapsed="false">
      <c r="A317" s="27"/>
      <c r="B317" s="35"/>
      <c r="C317" s="28"/>
      <c r="D317" s="35"/>
      <c r="E317" s="29"/>
      <c r="G317" s="29"/>
    </row>
    <row r="318" customFormat="false" ht="15" hidden="false" customHeight="false" outlineLevel="0" collapsed="false">
      <c r="A318" s="27"/>
      <c r="B318" s="35"/>
      <c r="C318" s="28"/>
      <c r="D318" s="35"/>
      <c r="E318" s="29"/>
      <c r="G318" s="29"/>
    </row>
    <row r="319" customFormat="false" ht="15" hidden="false" customHeight="false" outlineLevel="0" collapsed="false">
      <c r="A319" s="27"/>
      <c r="B319" s="35"/>
      <c r="C319" s="28"/>
      <c r="D319" s="35"/>
      <c r="E319" s="29"/>
      <c r="G319" s="29"/>
    </row>
    <row r="320" customFormat="false" ht="15" hidden="false" customHeight="false" outlineLevel="0" collapsed="false">
      <c r="A320" s="27"/>
      <c r="B320" s="35"/>
      <c r="C320" s="28"/>
      <c r="D320" s="35"/>
      <c r="E320" s="29"/>
      <c r="G320" s="29"/>
    </row>
    <row r="321" customFormat="false" ht="15" hidden="false" customHeight="false" outlineLevel="0" collapsed="false">
      <c r="A321" s="27"/>
      <c r="B321" s="35"/>
      <c r="C321" s="28"/>
      <c r="D321" s="35"/>
      <c r="E321" s="29"/>
      <c r="G321" s="29"/>
    </row>
    <row r="322" customFormat="false" ht="15" hidden="false" customHeight="false" outlineLevel="0" collapsed="false">
      <c r="A322" s="27"/>
      <c r="B322" s="35"/>
      <c r="C322" s="28"/>
      <c r="D322" s="35"/>
      <c r="E322" s="29"/>
      <c r="G322" s="29"/>
    </row>
    <row r="323" customFormat="false" ht="15" hidden="false" customHeight="false" outlineLevel="0" collapsed="false">
      <c r="A323" s="27"/>
      <c r="B323" s="35"/>
      <c r="C323" s="28"/>
      <c r="D323" s="35"/>
      <c r="E323" s="29"/>
      <c r="G323" s="29"/>
    </row>
    <row r="324" customFormat="false" ht="15" hidden="false" customHeight="false" outlineLevel="0" collapsed="false">
      <c r="A324" s="27"/>
      <c r="B324" s="35"/>
      <c r="C324" s="28"/>
      <c r="D324" s="35"/>
      <c r="E324" s="29"/>
      <c r="G324" s="29"/>
    </row>
    <row r="325" customFormat="false" ht="15" hidden="false" customHeight="false" outlineLevel="0" collapsed="false">
      <c r="A325" s="27"/>
      <c r="B325" s="35"/>
      <c r="C325" s="28"/>
      <c r="D325" s="35"/>
      <c r="E325" s="29"/>
      <c r="G325" s="29"/>
    </row>
    <row r="326" customFormat="false" ht="15" hidden="false" customHeight="false" outlineLevel="0" collapsed="false">
      <c r="A326" s="27"/>
      <c r="B326" s="35"/>
      <c r="C326" s="28"/>
      <c r="D326" s="35"/>
      <c r="E326" s="29"/>
      <c r="G326" s="29"/>
    </row>
    <row r="327" customFormat="false" ht="15" hidden="false" customHeight="false" outlineLevel="0" collapsed="false">
      <c r="A327" s="27"/>
      <c r="B327" s="35"/>
      <c r="C327" s="28"/>
      <c r="D327" s="35"/>
      <c r="E327" s="29"/>
      <c r="G327" s="29"/>
    </row>
    <row r="328" customFormat="false" ht="15" hidden="false" customHeight="false" outlineLevel="0" collapsed="false">
      <c r="A328" s="27"/>
      <c r="B328" s="35"/>
      <c r="C328" s="28"/>
      <c r="D328" s="35"/>
      <c r="E328" s="29"/>
      <c r="G328" s="29"/>
    </row>
    <row r="329" customFormat="false" ht="15" hidden="false" customHeight="false" outlineLevel="0" collapsed="false">
      <c r="A329" s="27"/>
      <c r="B329" s="35"/>
      <c r="C329" s="28"/>
      <c r="D329" s="35"/>
      <c r="E329" s="29"/>
      <c r="G329" s="29"/>
    </row>
    <row r="330" customFormat="false" ht="15" hidden="false" customHeight="false" outlineLevel="0" collapsed="false">
      <c r="A330" s="27"/>
      <c r="B330" s="35"/>
      <c r="C330" s="28"/>
      <c r="D330" s="35"/>
      <c r="E330" s="29"/>
      <c r="G330" s="29"/>
    </row>
    <row r="331" customFormat="false" ht="15" hidden="false" customHeight="false" outlineLevel="0" collapsed="false">
      <c r="A331" s="27"/>
      <c r="B331" s="35"/>
      <c r="C331" s="28"/>
      <c r="D331" s="35"/>
      <c r="E331" s="29"/>
      <c r="G331" s="29"/>
    </row>
    <row r="332" customFormat="false" ht="15" hidden="false" customHeight="false" outlineLevel="0" collapsed="false">
      <c r="A332" s="27"/>
      <c r="B332" s="35"/>
      <c r="C332" s="28"/>
      <c r="D332" s="35"/>
      <c r="E332" s="29"/>
      <c r="G332" s="29"/>
    </row>
    <row r="333" customFormat="false" ht="15" hidden="false" customHeight="false" outlineLevel="0" collapsed="false">
      <c r="A333" s="27"/>
      <c r="B333" s="35"/>
      <c r="C333" s="28"/>
      <c r="D333" s="35"/>
      <c r="E333" s="29"/>
      <c r="G333" s="29"/>
    </row>
    <row r="334" customFormat="false" ht="15" hidden="false" customHeight="false" outlineLevel="0" collapsed="false">
      <c r="A334" s="27"/>
      <c r="B334" s="35"/>
      <c r="C334" s="28"/>
      <c r="D334" s="35"/>
      <c r="E334" s="29"/>
      <c r="G334" s="29"/>
    </row>
    <row r="335" customFormat="false" ht="15" hidden="false" customHeight="false" outlineLevel="0" collapsed="false">
      <c r="A335" s="27"/>
      <c r="B335" s="35"/>
      <c r="C335" s="28"/>
      <c r="D335" s="35"/>
      <c r="E335" s="29"/>
      <c r="G335" s="29"/>
    </row>
    <row r="336" customFormat="false" ht="15" hidden="false" customHeight="false" outlineLevel="0" collapsed="false">
      <c r="A336" s="27"/>
      <c r="B336" s="35"/>
      <c r="C336" s="28"/>
      <c r="D336" s="35"/>
      <c r="E336" s="29"/>
      <c r="G336" s="29"/>
    </row>
    <row r="337" customFormat="false" ht="15" hidden="false" customHeight="false" outlineLevel="0" collapsed="false">
      <c r="A337" s="27"/>
      <c r="B337" s="35"/>
      <c r="C337" s="28"/>
      <c r="D337" s="35"/>
      <c r="E337" s="29"/>
      <c r="G337" s="29"/>
    </row>
    <row r="338" customFormat="false" ht="15" hidden="false" customHeight="false" outlineLevel="0" collapsed="false">
      <c r="A338" s="27"/>
      <c r="B338" s="35"/>
      <c r="C338" s="28"/>
      <c r="D338" s="35"/>
      <c r="E338" s="29"/>
      <c r="G338" s="29"/>
    </row>
    <row r="339" customFormat="false" ht="15" hidden="false" customHeight="false" outlineLevel="0" collapsed="false">
      <c r="A339" s="27"/>
      <c r="B339" s="35"/>
      <c r="C339" s="28"/>
      <c r="D339" s="35"/>
      <c r="E339" s="29"/>
      <c r="G339" s="29"/>
    </row>
    <row r="340" customFormat="false" ht="15" hidden="false" customHeight="false" outlineLevel="0" collapsed="false">
      <c r="A340" s="27"/>
      <c r="B340" s="35"/>
      <c r="C340" s="28"/>
      <c r="D340" s="35"/>
      <c r="E340" s="29"/>
      <c r="G340" s="29"/>
    </row>
    <row r="341" customFormat="false" ht="15" hidden="false" customHeight="false" outlineLevel="0" collapsed="false">
      <c r="A341" s="27"/>
      <c r="B341" s="35"/>
      <c r="C341" s="28"/>
      <c r="D341" s="35"/>
      <c r="E341" s="29"/>
      <c r="G341" s="29"/>
    </row>
    <row r="342" customFormat="false" ht="15" hidden="false" customHeight="false" outlineLevel="0" collapsed="false">
      <c r="A342" s="27"/>
      <c r="B342" s="35"/>
      <c r="C342" s="28"/>
      <c r="D342" s="35"/>
      <c r="E342" s="29"/>
      <c r="G342" s="29"/>
    </row>
    <row r="343" customFormat="false" ht="15" hidden="false" customHeight="false" outlineLevel="0" collapsed="false">
      <c r="A343" s="27"/>
      <c r="B343" s="35"/>
      <c r="C343" s="28"/>
      <c r="D343" s="35"/>
      <c r="E343" s="29"/>
      <c r="G343" s="29"/>
    </row>
    <row r="344" customFormat="false" ht="15" hidden="false" customHeight="false" outlineLevel="0" collapsed="false">
      <c r="A344" s="27"/>
      <c r="B344" s="35"/>
      <c r="C344" s="28"/>
      <c r="D344" s="35"/>
      <c r="E344" s="29"/>
      <c r="G344" s="29"/>
    </row>
    <row r="345" customFormat="false" ht="15" hidden="false" customHeight="false" outlineLevel="0" collapsed="false">
      <c r="A345" s="27"/>
      <c r="B345" s="35"/>
      <c r="C345" s="28"/>
      <c r="D345" s="35"/>
      <c r="E345" s="29"/>
      <c r="G345" s="29"/>
    </row>
    <row r="346" customFormat="false" ht="15" hidden="false" customHeight="false" outlineLevel="0" collapsed="false">
      <c r="A346" s="27"/>
      <c r="B346" s="35"/>
      <c r="C346" s="28"/>
      <c r="D346" s="35"/>
      <c r="E346" s="29"/>
      <c r="G346" s="29"/>
    </row>
    <row r="347" customFormat="false" ht="15" hidden="false" customHeight="false" outlineLevel="0" collapsed="false">
      <c r="A347" s="27"/>
      <c r="B347" s="35"/>
      <c r="C347" s="28"/>
      <c r="D347" s="35"/>
      <c r="E347" s="29"/>
      <c r="G347" s="29"/>
    </row>
    <row r="348" customFormat="false" ht="15" hidden="false" customHeight="false" outlineLevel="0" collapsed="false">
      <c r="A348" s="27"/>
      <c r="B348" s="35"/>
      <c r="C348" s="28"/>
      <c r="D348" s="35"/>
      <c r="E348" s="29"/>
      <c r="G348" s="29"/>
    </row>
    <row r="349" customFormat="false" ht="15" hidden="false" customHeight="false" outlineLevel="0" collapsed="false">
      <c r="A349" s="27"/>
      <c r="B349" s="35"/>
      <c r="C349" s="28"/>
      <c r="D349" s="35"/>
      <c r="E349" s="29"/>
      <c r="G349" s="29"/>
    </row>
    <row r="350" customFormat="false" ht="15" hidden="false" customHeight="false" outlineLevel="0" collapsed="false">
      <c r="A350" s="27"/>
      <c r="B350" s="35"/>
      <c r="C350" s="28"/>
      <c r="D350" s="35"/>
      <c r="E350" s="29"/>
      <c r="G350" s="29"/>
    </row>
    <row r="351" customFormat="false" ht="15" hidden="false" customHeight="false" outlineLevel="0" collapsed="false">
      <c r="A351" s="27"/>
      <c r="B351" s="35"/>
      <c r="C351" s="28"/>
      <c r="D351" s="35"/>
      <c r="E351" s="29"/>
      <c r="G351" s="29"/>
    </row>
    <row r="352" customFormat="false" ht="15" hidden="false" customHeight="false" outlineLevel="0" collapsed="false">
      <c r="A352" s="27"/>
      <c r="B352" s="35"/>
      <c r="C352" s="28"/>
      <c r="D352" s="35"/>
      <c r="E352" s="29"/>
      <c r="G352" s="29"/>
    </row>
    <row r="353" customFormat="false" ht="15" hidden="false" customHeight="false" outlineLevel="0" collapsed="false">
      <c r="A353" s="27"/>
      <c r="B353" s="35"/>
      <c r="C353" s="28"/>
      <c r="D353" s="35"/>
      <c r="E353" s="29"/>
      <c r="G353" s="29"/>
    </row>
    <row r="354" customFormat="false" ht="15" hidden="false" customHeight="false" outlineLevel="0" collapsed="false">
      <c r="A354" s="27"/>
      <c r="B354" s="35"/>
      <c r="C354" s="28"/>
      <c r="D354" s="35"/>
      <c r="E354" s="29"/>
      <c r="G354" s="29"/>
    </row>
    <row r="355" customFormat="false" ht="15" hidden="false" customHeight="false" outlineLevel="0" collapsed="false">
      <c r="A355" s="27"/>
      <c r="B355" s="35"/>
      <c r="C355" s="28"/>
      <c r="D355" s="35"/>
      <c r="E355" s="29"/>
      <c r="G355" s="29"/>
    </row>
    <row r="356" customFormat="false" ht="15" hidden="false" customHeight="false" outlineLevel="0" collapsed="false">
      <c r="A356" s="27"/>
      <c r="B356" s="35"/>
      <c r="C356" s="28"/>
      <c r="D356" s="35"/>
      <c r="E356" s="29"/>
      <c r="G356" s="29"/>
    </row>
    <row r="357" customFormat="false" ht="15" hidden="false" customHeight="false" outlineLevel="0" collapsed="false">
      <c r="A357" s="27"/>
      <c r="B357" s="35"/>
      <c r="C357" s="28"/>
      <c r="D357" s="35"/>
      <c r="E357" s="29"/>
      <c r="G357" s="29"/>
    </row>
    <row r="358" customFormat="false" ht="15" hidden="false" customHeight="false" outlineLevel="0" collapsed="false">
      <c r="A358" s="27"/>
      <c r="B358" s="35"/>
      <c r="C358" s="28"/>
      <c r="D358" s="35"/>
      <c r="E358" s="29"/>
      <c r="G358" s="29"/>
    </row>
    <row r="359" customFormat="false" ht="15" hidden="false" customHeight="false" outlineLevel="0" collapsed="false">
      <c r="A359" s="27"/>
      <c r="B359" s="35"/>
      <c r="C359" s="28"/>
      <c r="D359" s="35"/>
      <c r="E359" s="29"/>
      <c r="G359" s="29"/>
    </row>
    <row r="360" customFormat="false" ht="15" hidden="false" customHeight="false" outlineLevel="0" collapsed="false">
      <c r="A360" s="27"/>
      <c r="B360" s="35"/>
      <c r="C360" s="28"/>
      <c r="D360" s="35"/>
      <c r="E360" s="29"/>
      <c r="G360" s="29"/>
    </row>
    <row r="361" customFormat="false" ht="15" hidden="false" customHeight="false" outlineLevel="0" collapsed="false">
      <c r="A361" s="27"/>
      <c r="B361" s="35"/>
      <c r="C361" s="28"/>
      <c r="D361" s="35"/>
      <c r="E361" s="29"/>
      <c r="G361" s="29"/>
    </row>
    <row r="362" customFormat="false" ht="15" hidden="false" customHeight="false" outlineLevel="0" collapsed="false">
      <c r="A362" s="27"/>
      <c r="B362" s="35"/>
      <c r="C362" s="28"/>
      <c r="D362" s="35"/>
      <c r="E362" s="29"/>
      <c r="G362" s="29"/>
    </row>
    <row r="363" customFormat="false" ht="15" hidden="false" customHeight="false" outlineLevel="0" collapsed="false">
      <c r="A363" s="27"/>
      <c r="B363" s="35"/>
      <c r="C363" s="28"/>
      <c r="D363" s="35"/>
      <c r="E363" s="29"/>
      <c r="G363" s="29"/>
    </row>
    <row r="364" customFormat="false" ht="15" hidden="false" customHeight="false" outlineLevel="0" collapsed="false">
      <c r="A364" s="27"/>
      <c r="B364" s="35"/>
      <c r="C364" s="28"/>
      <c r="D364" s="35"/>
      <c r="E364" s="29"/>
      <c r="G364" s="29"/>
    </row>
    <row r="365" customFormat="false" ht="15" hidden="false" customHeight="false" outlineLevel="0" collapsed="false">
      <c r="A365" s="27"/>
      <c r="B365" s="35"/>
      <c r="C365" s="28"/>
      <c r="D365" s="35"/>
      <c r="E365" s="29"/>
      <c r="G365" s="29"/>
    </row>
    <row r="366" customFormat="false" ht="15" hidden="false" customHeight="false" outlineLevel="0" collapsed="false">
      <c r="A366" s="27"/>
      <c r="B366" s="35"/>
      <c r="C366" s="28"/>
      <c r="D366" s="35"/>
      <c r="E366" s="29"/>
      <c r="G366" s="29"/>
    </row>
    <row r="367" customFormat="false" ht="15" hidden="false" customHeight="false" outlineLevel="0" collapsed="false">
      <c r="A367" s="27"/>
      <c r="B367" s="35"/>
      <c r="C367" s="28"/>
      <c r="D367" s="35"/>
      <c r="E367" s="29"/>
      <c r="G367" s="29"/>
    </row>
    <row r="368" customFormat="false" ht="15" hidden="false" customHeight="false" outlineLevel="0" collapsed="false">
      <c r="A368" s="27"/>
      <c r="B368" s="35"/>
      <c r="C368" s="28"/>
      <c r="D368" s="35"/>
      <c r="E368" s="29"/>
      <c r="G368" s="29"/>
    </row>
    <row r="369" customFormat="false" ht="15" hidden="false" customHeight="false" outlineLevel="0" collapsed="false">
      <c r="A369" s="27"/>
      <c r="B369" s="35"/>
      <c r="C369" s="28"/>
      <c r="D369" s="35"/>
      <c r="E369" s="29"/>
      <c r="G369" s="29"/>
    </row>
    <row r="370" customFormat="false" ht="15" hidden="false" customHeight="false" outlineLevel="0" collapsed="false">
      <c r="A370" s="27"/>
      <c r="B370" s="35"/>
      <c r="C370" s="28"/>
      <c r="D370" s="35"/>
      <c r="E370" s="29"/>
      <c r="G370" s="29"/>
    </row>
    <row r="371" customFormat="false" ht="15" hidden="false" customHeight="false" outlineLevel="0" collapsed="false">
      <c r="A371" s="27"/>
      <c r="B371" s="35"/>
      <c r="C371" s="28"/>
      <c r="D371" s="35"/>
      <c r="E371" s="29"/>
      <c r="G371" s="29"/>
    </row>
    <row r="372" customFormat="false" ht="15" hidden="false" customHeight="false" outlineLevel="0" collapsed="false">
      <c r="A372" s="27"/>
      <c r="B372" s="35"/>
      <c r="C372" s="28"/>
      <c r="D372" s="35"/>
      <c r="E372" s="29"/>
      <c r="G372" s="29"/>
    </row>
    <row r="373" customFormat="false" ht="15" hidden="false" customHeight="false" outlineLevel="0" collapsed="false">
      <c r="A373" s="27"/>
      <c r="B373" s="35"/>
      <c r="C373" s="28"/>
      <c r="D373" s="35"/>
      <c r="E373" s="29"/>
      <c r="G373" s="29"/>
    </row>
    <row r="374" customFormat="false" ht="15" hidden="false" customHeight="false" outlineLevel="0" collapsed="false">
      <c r="A374" s="27"/>
      <c r="B374" s="35"/>
      <c r="C374" s="28"/>
      <c r="D374" s="35"/>
      <c r="E374" s="29"/>
      <c r="G374" s="29"/>
    </row>
    <row r="375" customFormat="false" ht="15" hidden="false" customHeight="false" outlineLevel="0" collapsed="false">
      <c r="A375" s="27"/>
      <c r="B375" s="35"/>
      <c r="C375" s="28"/>
      <c r="D375" s="35"/>
      <c r="E375" s="29"/>
      <c r="G375" s="29"/>
    </row>
    <row r="376" customFormat="false" ht="15" hidden="false" customHeight="false" outlineLevel="0" collapsed="false">
      <c r="A376" s="27"/>
      <c r="B376" s="35"/>
      <c r="C376" s="28"/>
      <c r="D376" s="35"/>
      <c r="E376" s="29"/>
      <c r="G376" s="29"/>
    </row>
    <row r="377" customFormat="false" ht="15" hidden="false" customHeight="false" outlineLevel="0" collapsed="false">
      <c r="A377" s="27"/>
      <c r="B377" s="35"/>
      <c r="C377" s="28"/>
      <c r="D377" s="35"/>
      <c r="E377" s="29"/>
      <c r="G377" s="29"/>
    </row>
    <row r="378" customFormat="false" ht="15" hidden="false" customHeight="false" outlineLevel="0" collapsed="false">
      <c r="A378" s="27"/>
      <c r="B378" s="35"/>
      <c r="C378" s="28"/>
      <c r="D378" s="35"/>
      <c r="E378" s="29"/>
      <c r="G378" s="29"/>
    </row>
    <row r="379" customFormat="false" ht="15" hidden="false" customHeight="false" outlineLevel="0" collapsed="false">
      <c r="A379" s="27"/>
      <c r="B379" s="35"/>
      <c r="C379" s="28"/>
      <c r="D379" s="35"/>
      <c r="E379" s="29"/>
      <c r="G379" s="29"/>
    </row>
    <row r="380" customFormat="false" ht="15" hidden="false" customHeight="false" outlineLevel="0" collapsed="false">
      <c r="A380" s="27"/>
      <c r="B380" s="35"/>
      <c r="C380" s="28"/>
      <c r="D380" s="35"/>
      <c r="E380" s="29"/>
      <c r="G380" s="29"/>
    </row>
    <row r="381" customFormat="false" ht="15" hidden="false" customHeight="false" outlineLevel="0" collapsed="false">
      <c r="A381" s="27"/>
      <c r="B381" s="35"/>
      <c r="C381" s="28"/>
      <c r="D381" s="35"/>
      <c r="E381" s="29"/>
      <c r="G381" s="29"/>
    </row>
    <row r="382" customFormat="false" ht="15" hidden="false" customHeight="false" outlineLevel="0" collapsed="false">
      <c r="A382" s="27"/>
      <c r="B382" s="35"/>
      <c r="C382" s="28"/>
      <c r="D382" s="35"/>
      <c r="E382" s="29"/>
      <c r="G382" s="29"/>
    </row>
    <row r="383" customFormat="false" ht="15" hidden="false" customHeight="false" outlineLevel="0" collapsed="false">
      <c r="A383" s="27"/>
      <c r="B383" s="35"/>
      <c r="C383" s="28"/>
      <c r="D383" s="35"/>
      <c r="E383" s="29"/>
      <c r="G383" s="29"/>
    </row>
    <row r="384" customFormat="false" ht="15" hidden="false" customHeight="false" outlineLevel="0" collapsed="false">
      <c r="A384" s="27"/>
      <c r="B384" s="35"/>
      <c r="C384" s="28"/>
      <c r="D384" s="35"/>
      <c r="E384" s="29"/>
      <c r="G384" s="29"/>
    </row>
    <row r="385" customFormat="false" ht="15" hidden="false" customHeight="false" outlineLevel="0" collapsed="false">
      <c r="A385" s="27"/>
      <c r="B385" s="35"/>
      <c r="C385" s="28"/>
      <c r="D385" s="35"/>
      <c r="E385" s="29"/>
      <c r="G385" s="29"/>
    </row>
    <row r="386" customFormat="false" ht="15" hidden="false" customHeight="false" outlineLevel="0" collapsed="false">
      <c r="A386" s="27"/>
      <c r="B386" s="35"/>
      <c r="C386" s="28"/>
      <c r="D386" s="35"/>
      <c r="E386" s="29"/>
      <c r="G386" s="29"/>
    </row>
    <row r="387" customFormat="false" ht="15" hidden="false" customHeight="false" outlineLevel="0" collapsed="false">
      <c r="A387" s="27"/>
      <c r="B387" s="35"/>
      <c r="C387" s="28"/>
      <c r="D387" s="35"/>
      <c r="E387" s="29"/>
      <c r="G387" s="29"/>
    </row>
    <row r="388" customFormat="false" ht="15" hidden="false" customHeight="false" outlineLevel="0" collapsed="false">
      <c r="A388" s="27"/>
      <c r="B388" s="35"/>
      <c r="C388" s="28"/>
      <c r="D388" s="35"/>
      <c r="E388" s="29"/>
      <c r="G388" s="29"/>
    </row>
    <row r="389" customFormat="false" ht="15" hidden="false" customHeight="false" outlineLevel="0" collapsed="false">
      <c r="A389" s="27"/>
      <c r="B389" s="35"/>
      <c r="C389" s="28"/>
      <c r="D389" s="35"/>
      <c r="E389" s="29"/>
      <c r="G389" s="29"/>
    </row>
    <row r="390" customFormat="false" ht="15" hidden="false" customHeight="false" outlineLevel="0" collapsed="false">
      <c r="A390" s="27"/>
      <c r="B390" s="35"/>
      <c r="C390" s="28"/>
      <c r="D390" s="35"/>
      <c r="E390" s="29"/>
      <c r="G390" s="29"/>
    </row>
    <row r="391" customFormat="false" ht="15" hidden="false" customHeight="false" outlineLevel="0" collapsed="false">
      <c r="A391" s="27"/>
      <c r="B391" s="35"/>
      <c r="C391" s="28"/>
      <c r="D391" s="35"/>
      <c r="E391" s="29"/>
      <c r="G391" s="29"/>
    </row>
    <row r="392" customFormat="false" ht="15" hidden="false" customHeight="false" outlineLevel="0" collapsed="false">
      <c r="A392" s="27"/>
      <c r="B392" s="35"/>
      <c r="C392" s="28"/>
      <c r="D392" s="35"/>
      <c r="E392" s="29"/>
      <c r="G392" s="29"/>
    </row>
    <row r="393" customFormat="false" ht="15" hidden="false" customHeight="false" outlineLevel="0" collapsed="false">
      <c r="A393" s="27"/>
      <c r="B393" s="35"/>
      <c r="C393" s="28"/>
      <c r="D393" s="35"/>
      <c r="E393" s="29"/>
      <c r="G393" s="29"/>
    </row>
    <row r="394" customFormat="false" ht="15" hidden="false" customHeight="false" outlineLevel="0" collapsed="false">
      <c r="A394" s="27"/>
      <c r="B394" s="35"/>
      <c r="C394" s="28"/>
      <c r="D394" s="35"/>
      <c r="E394" s="29"/>
      <c r="G394" s="29"/>
    </row>
    <row r="395" customFormat="false" ht="15" hidden="false" customHeight="false" outlineLevel="0" collapsed="false">
      <c r="A395" s="27"/>
      <c r="B395" s="35"/>
      <c r="C395" s="28"/>
      <c r="D395" s="35"/>
      <c r="E395" s="29"/>
      <c r="G395" s="29"/>
    </row>
    <row r="396" customFormat="false" ht="15" hidden="false" customHeight="false" outlineLevel="0" collapsed="false">
      <c r="A396" s="27"/>
      <c r="B396" s="35"/>
      <c r="C396" s="28"/>
      <c r="D396" s="35"/>
      <c r="E396" s="29"/>
      <c r="G396" s="29"/>
    </row>
    <row r="397" customFormat="false" ht="15" hidden="false" customHeight="false" outlineLevel="0" collapsed="false">
      <c r="A397" s="27"/>
      <c r="B397" s="35"/>
      <c r="C397" s="28"/>
      <c r="D397" s="35"/>
      <c r="E397" s="29"/>
      <c r="G397" s="29"/>
    </row>
    <row r="398" customFormat="false" ht="15" hidden="false" customHeight="false" outlineLevel="0" collapsed="false">
      <c r="A398" s="27"/>
      <c r="B398" s="35"/>
      <c r="C398" s="28"/>
      <c r="D398" s="35"/>
      <c r="E398" s="29"/>
      <c r="G398" s="29"/>
    </row>
    <row r="399" customFormat="false" ht="15" hidden="false" customHeight="false" outlineLevel="0" collapsed="false">
      <c r="A399" s="27"/>
      <c r="B399" s="35"/>
      <c r="C399" s="28"/>
      <c r="D399" s="35"/>
      <c r="E399" s="29"/>
      <c r="G399" s="29"/>
    </row>
    <row r="400" customFormat="false" ht="15" hidden="false" customHeight="false" outlineLevel="0" collapsed="false">
      <c r="A400" s="27"/>
      <c r="B400" s="35"/>
      <c r="C400" s="28"/>
      <c r="D400" s="35"/>
      <c r="E400" s="29"/>
      <c r="G400" s="29"/>
    </row>
    <row r="401" customFormat="false" ht="15" hidden="false" customHeight="false" outlineLevel="0" collapsed="false">
      <c r="A401" s="27"/>
      <c r="B401" s="35"/>
      <c r="C401" s="28"/>
      <c r="D401" s="35"/>
      <c r="E401" s="29"/>
      <c r="G401" s="29"/>
    </row>
    <row r="402" customFormat="false" ht="15" hidden="false" customHeight="false" outlineLevel="0" collapsed="false">
      <c r="A402" s="27"/>
      <c r="B402" s="35"/>
      <c r="C402" s="28"/>
      <c r="D402" s="35"/>
      <c r="E402" s="29"/>
      <c r="G402" s="29"/>
    </row>
    <row r="403" customFormat="false" ht="15" hidden="false" customHeight="false" outlineLevel="0" collapsed="false">
      <c r="A403" s="27"/>
      <c r="B403" s="35"/>
      <c r="C403" s="28"/>
      <c r="D403" s="35"/>
      <c r="E403" s="29"/>
      <c r="G403" s="29"/>
    </row>
    <row r="404" customFormat="false" ht="15" hidden="false" customHeight="false" outlineLevel="0" collapsed="false">
      <c r="A404" s="27"/>
      <c r="B404" s="35"/>
      <c r="C404" s="28"/>
      <c r="D404" s="35"/>
      <c r="E404" s="29"/>
      <c r="G404" s="29"/>
    </row>
    <row r="405" customFormat="false" ht="15" hidden="false" customHeight="false" outlineLevel="0" collapsed="false">
      <c r="A405" s="27"/>
      <c r="B405" s="35"/>
      <c r="C405" s="28"/>
      <c r="D405" s="35"/>
      <c r="E405" s="29"/>
      <c r="G405" s="29"/>
    </row>
    <row r="406" customFormat="false" ht="15" hidden="false" customHeight="false" outlineLevel="0" collapsed="false">
      <c r="A406" s="27"/>
      <c r="B406" s="35"/>
      <c r="C406" s="28"/>
      <c r="D406" s="35"/>
      <c r="E406" s="29"/>
      <c r="G406" s="29"/>
    </row>
    <row r="407" customFormat="false" ht="15" hidden="false" customHeight="false" outlineLevel="0" collapsed="false">
      <c r="A407" s="27"/>
      <c r="B407" s="35"/>
      <c r="C407" s="28"/>
      <c r="D407" s="35"/>
      <c r="E407" s="29"/>
      <c r="G407" s="29"/>
    </row>
    <row r="408" customFormat="false" ht="15" hidden="false" customHeight="false" outlineLevel="0" collapsed="false">
      <c r="A408" s="27"/>
      <c r="B408" s="35"/>
      <c r="C408" s="28"/>
      <c r="D408" s="35"/>
      <c r="E408" s="29"/>
      <c r="G408" s="29"/>
    </row>
    <row r="409" customFormat="false" ht="15" hidden="false" customHeight="false" outlineLevel="0" collapsed="false">
      <c r="A409" s="27"/>
      <c r="B409" s="35"/>
      <c r="C409" s="28"/>
      <c r="D409" s="35"/>
      <c r="E409" s="29"/>
      <c r="G409" s="29"/>
    </row>
    <row r="410" customFormat="false" ht="15" hidden="false" customHeight="false" outlineLevel="0" collapsed="false">
      <c r="A410" s="27"/>
      <c r="B410" s="35"/>
      <c r="C410" s="28"/>
      <c r="D410" s="35"/>
      <c r="E410" s="29"/>
      <c r="G410" s="29"/>
    </row>
    <row r="411" customFormat="false" ht="15" hidden="false" customHeight="false" outlineLevel="0" collapsed="false">
      <c r="A411" s="27"/>
      <c r="B411" s="35"/>
      <c r="C411" s="28"/>
      <c r="D411" s="35"/>
      <c r="E411" s="29"/>
      <c r="G411" s="29"/>
    </row>
    <row r="412" customFormat="false" ht="15" hidden="false" customHeight="false" outlineLevel="0" collapsed="false">
      <c r="A412" s="27"/>
      <c r="B412" s="35"/>
      <c r="C412" s="28"/>
      <c r="D412" s="35"/>
      <c r="E412" s="29"/>
      <c r="G412" s="29"/>
    </row>
    <row r="413" customFormat="false" ht="15" hidden="false" customHeight="false" outlineLevel="0" collapsed="false">
      <c r="A413" s="27"/>
      <c r="B413" s="35"/>
      <c r="C413" s="28"/>
      <c r="D413" s="35"/>
      <c r="E413" s="29"/>
      <c r="G413" s="29"/>
    </row>
    <row r="414" customFormat="false" ht="15" hidden="false" customHeight="false" outlineLevel="0" collapsed="false">
      <c r="A414" s="27"/>
      <c r="B414" s="35"/>
      <c r="C414" s="28"/>
      <c r="D414" s="35"/>
      <c r="E414" s="29"/>
      <c r="G414" s="29"/>
    </row>
    <row r="415" customFormat="false" ht="15" hidden="false" customHeight="false" outlineLevel="0" collapsed="false">
      <c r="A415" s="27"/>
      <c r="B415" s="35"/>
      <c r="C415" s="28"/>
      <c r="D415" s="35"/>
      <c r="E415" s="29"/>
      <c r="G415" s="29"/>
    </row>
    <row r="416" customFormat="false" ht="15" hidden="false" customHeight="false" outlineLevel="0" collapsed="false">
      <c r="A416" s="27"/>
      <c r="B416" s="35"/>
      <c r="C416" s="28"/>
      <c r="D416" s="35"/>
      <c r="E416" s="29"/>
      <c r="G416" s="29"/>
    </row>
    <row r="417" customFormat="false" ht="15" hidden="false" customHeight="false" outlineLevel="0" collapsed="false">
      <c r="A417" s="27"/>
      <c r="B417" s="35"/>
      <c r="C417" s="28"/>
      <c r="D417" s="35"/>
      <c r="E417" s="29"/>
      <c r="G417" s="29"/>
    </row>
    <row r="418" customFormat="false" ht="15" hidden="false" customHeight="false" outlineLevel="0" collapsed="false">
      <c r="A418" s="27"/>
      <c r="B418" s="35"/>
      <c r="C418" s="28"/>
      <c r="D418" s="35"/>
      <c r="E418" s="29"/>
      <c r="G418" s="29"/>
    </row>
    <row r="419" customFormat="false" ht="15" hidden="false" customHeight="false" outlineLevel="0" collapsed="false">
      <c r="A419" s="27"/>
      <c r="B419" s="35"/>
      <c r="C419" s="28"/>
      <c r="D419" s="35"/>
      <c r="E419" s="29"/>
      <c r="G419" s="29"/>
    </row>
    <row r="420" customFormat="false" ht="15" hidden="false" customHeight="false" outlineLevel="0" collapsed="false">
      <c r="A420" s="27"/>
      <c r="B420" s="35"/>
      <c r="C420" s="28"/>
      <c r="D420" s="35"/>
      <c r="E420" s="29"/>
      <c r="G420" s="29"/>
    </row>
    <row r="421" customFormat="false" ht="15" hidden="false" customHeight="false" outlineLevel="0" collapsed="false">
      <c r="A421" s="27"/>
      <c r="B421" s="35"/>
      <c r="C421" s="28"/>
      <c r="D421" s="35"/>
      <c r="E421" s="29"/>
      <c r="G421" s="29"/>
    </row>
    <row r="422" customFormat="false" ht="15" hidden="false" customHeight="false" outlineLevel="0" collapsed="false">
      <c r="A422" s="27"/>
      <c r="B422" s="35"/>
      <c r="C422" s="28"/>
      <c r="D422" s="35"/>
      <c r="E422" s="29"/>
      <c r="G422" s="29"/>
    </row>
    <row r="423" customFormat="false" ht="15" hidden="false" customHeight="false" outlineLevel="0" collapsed="false">
      <c r="A423" s="27"/>
      <c r="B423" s="35"/>
      <c r="C423" s="28"/>
      <c r="D423" s="35"/>
      <c r="E423" s="29"/>
      <c r="G423" s="29"/>
    </row>
    <row r="424" customFormat="false" ht="15" hidden="false" customHeight="false" outlineLevel="0" collapsed="false">
      <c r="A424" s="27"/>
      <c r="B424" s="35"/>
      <c r="C424" s="28"/>
      <c r="D424" s="35"/>
      <c r="E424" s="29"/>
      <c r="G424" s="29"/>
    </row>
    <row r="425" customFormat="false" ht="15" hidden="false" customHeight="false" outlineLevel="0" collapsed="false">
      <c r="A425" s="27"/>
      <c r="B425" s="35"/>
      <c r="C425" s="28"/>
      <c r="D425" s="35"/>
      <c r="E425" s="29"/>
      <c r="G425" s="29"/>
    </row>
    <row r="426" customFormat="false" ht="15" hidden="false" customHeight="false" outlineLevel="0" collapsed="false">
      <c r="A426" s="27"/>
      <c r="B426" s="35"/>
      <c r="C426" s="28"/>
      <c r="D426" s="35"/>
      <c r="E426" s="29"/>
      <c r="G426" s="29"/>
    </row>
    <row r="427" customFormat="false" ht="15" hidden="false" customHeight="false" outlineLevel="0" collapsed="false">
      <c r="A427" s="27"/>
      <c r="B427" s="35"/>
      <c r="C427" s="28"/>
      <c r="D427" s="35"/>
      <c r="E427" s="29"/>
      <c r="G427" s="29"/>
    </row>
    <row r="428" customFormat="false" ht="15" hidden="false" customHeight="false" outlineLevel="0" collapsed="false">
      <c r="A428" s="27"/>
      <c r="B428" s="35"/>
      <c r="C428" s="28"/>
      <c r="D428" s="35"/>
      <c r="E428" s="29"/>
      <c r="G428" s="29"/>
    </row>
    <row r="429" customFormat="false" ht="15" hidden="false" customHeight="false" outlineLevel="0" collapsed="false">
      <c r="A429" s="27"/>
      <c r="B429" s="35"/>
      <c r="C429" s="28"/>
      <c r="D429" s="35"/>
      <c r="E429" s="29"/>
      <c r="G429" s="29"/>
    </row>
    <row r="430" customFormat="false" ht="15" hidden="false" customHeight="false" outlineLevel="0" collapsed="false">
      <c r="A430" s="27"/>
      <c r="B430" s="35"/>
      <c r="C430" s="28"/>
      <c r="D430" s="35"/>
      <c r="E430" s="29"/>
      <c r="G430" s="29"/>
    </row>
    <row r="431" customFormat="false" ht="15" hidden="false" customHeight="false" outlineLevel="0" collapsed="false">
      <c r="A431" s="27"/>
      <c r="B431" s="35"/>
      <c r="C431" s="28"/>
      <c r="D431" s="35"/>
      <c r="E431" s="29"/>
      <c r="G431" s="29"/>
    </row>
    <row r="432" customFormat="false" ht="15" hidden="false" customHeight="false" outlineLevel="0" collapsed="false">
      <c r="A432" s="27"/>
      <c r="B432" s="35"/>
      <c r="C432" s="28"/>
      <c r="D432" s="35"/>
      <c r="E432" s="29"/>
      <c r="G432" s="29"/>
    </row>
    <row r="433" customFormat="false" ht="15" hidden="false" customHeight="false" outlineLevel="0" collapsed="false">
      <c r="A433" s="27"/>
      <c r="B433" s="35"/>
      <c r="C433" s="28"/>
      <c r="D433" s="35"/>
      <c r="E433" s="29"/>
      <c r="G433" s="29"/>
    </row>
    <row r="434" customFormat="false" ht="15" hidden="false" customHeight="false" outlineLevel="0" collapsed="false">
      <c r="A434" s="27"/>
      <c r="B434" s="35"/>
      <c r="C434" s="28"/>
      <c r="D434" s="35"/>
      <c r="E434" s="29"/>
      <c r="G434" s="29"/>
    </row>
    <row r="435" customFormat="false" ht="15" hidden="false" customHeight="false" outlineLevel="0" collapsed="false">
      <c r="A435" s="27"/>
      <c r="B435" s="35"/>
      <c r="C435" s="28"/>
      <c r="D435" s="35"/>
      <c r="E435" s="29"/>
      <c r="G435" s="29"/>
    </row>
    <row r="436" customFormat="false" ht="15" hidden="false" customHeight="false" outlineLevel="0" collapsed="false">
      <c r="A436" s="27"/>
      <c r="B436" s="35"/>
      <c r="C436" s="28"/>
      <c r="D436" s="35"/>
      <c r="E436" s="29"/>
      <c r="G436" s="29"/>
    </row>
    <row r="437" customFormat="false" ht="15" hidden="false" customHeight="false" outlineLevel="0" collapsed="false">
      <c r="A437" s="27"/>
      <c r="B437" s="35"/>
      <c r="C437" s="28"/>
      <c r="D437" s="35"/>
      <c r="E437" s="29"/>
      <c r="G437" s="29"/>
    </row>
    <row r="438" customFormat="false" ht="15" hidden="false" customHeight="false" outlineLevel="0" collapsed="false">
      <c r="A438" s="27"/>
      <c r="B438" s="35"/>
      <c r="C438" s="28"/>
      <c r="D438" s="35"/>
      <c r="E438" s="29"/>
      <c r="G438" s="29"/>
    </row>
    <row r="439" customFormat="false" ht="15" hidden="false" customHeight="false" outlineLevel="0" collapsed="false">
      <c r="A439" s="27"/>
      <c r="B439" s="35"/>
      <c r="C439" s="28"/>
      <c r="D439" s="35"/>
      <c r="E439" s="29"/>
      <c r="G439" s="29"/>
    </row>
    <row r="440" customFormat="false" ht="15" hidden="false" customHeight="false" outlineLevel="0" collapsed="false">
      <c r="A440" s="27"/>
      <c r="B440" s="35"/>
      <c r="C440" s="28"/>
      <c r="D440" s="35"/>
      <c r="E440" s="29"/>
      <c r="G440" s="29"/>
    </row>
    <row r="441" customFormat="false" ht="15" hidden="false" customHeight="false" outlineLevel="0" collapsed="false">
      <c r="A441" s="27"/>
      <c r="B441" s="35"/>
      <c r="C441" s="28"/>
      <c r="D441" s="35"/>
      <c r="E441" s="29"/>
      <c r="G441" s="29"/>
    </row>
    <row r="442" customFormat="false" ht="15" hidden="false" customHeight="false" outlineLevel="0" collapsed="false">
      <c r="A442" s="27"/>
      <c r="B442" s="35"/>
      <c r="C442" s="28"/>
      <c r="D442" s="35"/>
      <c r="E442" s="29"/>
      <c r="G442" s="29"/>
    </row>
    <row r="443" customFormat="false" ht="15" hidden="false" customHeight="false" outlineLevel="0" collapsed="false">
      <c r="A443" s="27"/>
      <c r="B443" s="35"/>
      <c r="C443" s="28"/>
      <c r="D443" s="35"/>
      <c r="E443" s="29"/>
      <c r="G443" s="29"/>
    </row>
    <row r="444" customFormat="false" ht="15" hidden="false" customHeight="false" outlineLevel="0" collapsed="false">
      <c r="A444" s="27"/>
      <c r="B444" s="35"/>
      <c r="C444" s="28"/>
      <c r="D444" s="35"/>
      <c r="E444" s="29"/>
      <c r="G444" s="29"/>
    </row>
    <row r="445" customFormat="false" ht="15" hidden="false" customHeight="false" outlineLevel="0" collapsed="false">
      <c r="A445" s="27"/>
      <c r="B445" s="35"/>
      <c r="C445" s="28"/>
      <c r="D445" s="35"/>
      <c r="E445" s="29"/>
      <c r="G445" s="29"/>
    </row>
    <row r="446" customFormat="false" ht="15" hidden="false" customHeight="false" outlineLevel="0" collapsed="false">
      <c r="A446" s="27"/>
      <c r="B446" s="35"/>
      <c r="C446" s="28"/>
      <c r="D446" s="35"/>
      <c r="E446" s="29"/>
      <c r="G446" s="29"/>
    </row>
    <row r="447" customFormat="false" ht="15" hidden="false" customHeight="false" outlineLevel="0" collapsed="false">
      <c r="A447" s="27"/>
      <c r="B447" s="35"/>
      <c r="C447" s="28"/>
      <c r="D447" s="35"/>
      <c r="E447" s="29"/>
      <c r="G447" s="29"/>
    </row>
    <row r="448" customFormat="false" ht="15" hidden="false" customHeight="false" outlineLevel="0" collapsed="false">
      <c r="A448" s="27"/>
      <c r="B448" s="35"/>
      <c r="C448" s="28"/>
      <c r="D448" s="35"/>
      <c r="E448" s="29"/>
      <c r="G448" s="29"/>
    </row>
    <row r="449" customFormat="false" ht="15" hidden="false" customHeight="false" outlineLevel="0" collapsed="false">
      <c r="A449" s="27"/>
      <c r="B449" s="35"/>
      <c r="C449" s="28"/>
      <c r="D449" s="35"/>
      <c r="E449" s="29"/>
      <c r="G449" s="29"/>
    </row>
    <row r="450" customFormat="false" ht="15" hidden="false" customHeight="false" outlineLevel="0" collapsed="false">
      <c r="A450" s="27"/>
      <c r="B450" s="35"/>
      <c r="C450" s="28"/>
      <c r="D450" s="35"/>
      <c r="E450" s="29"/>
      <c r="G450" s="29"/>
    </row>
    <row r="451" customFormat="false" ht="15" hidden="false" customHeight="false" outlineLevel="0" collapsed="false">
      <c r="A451" s="27"/>
      <c r="B451" s="35"/>
      <c r="C451" s="28"/>
      <c r="D451" s="35"/>
      <c r="E451" s="29"/>
      <c r="G451" s="29"/>
    </row>
    <row r="452" customFormat="false" ht="15" hidden="false" customHeight="false" outlineLevel="0" collapsed="false">
      <c r="A452" s="27"/>
      <c r="B452" s="35"/>
      <c r="C452" s="28"/>
      <c r="D452" s="35"/>
      <c r="E452" s="29"/>
      <c r="G452" s="29"/>
    </row>
    <row r="453" customFormat="false" ht="15" hidden="false" customHeight="false" outlineLevel="0" collapsed="false">
      <c r="A453" s="27"/>
      <c r="B453" s="35"/>
      <c r="C453" s="28"/>
      <c r="D453" s="35"/>
      <c r="E453" s="29"/>
      <c r="G453" s="29"/>
    </row>
    <row r="454" customFormat="false" ht="15" hidden="false" customHeight="false" outlineLevel="0" collapsed="false">
      <c r="A454" s="27"/>
      <c r="B454" s="35"/>
      <c r="C454" s="28"/>
      <c r="D454" s="35"/>
      <c r="E454" s="29"/>
      <c r="G454" s="29"/>
    </row>
    <row r="455" customFormat="false" ht="15" hidden="false" customHeight="false" outlineLevel="0" collapsed="false">
      <c r="A455" s="27"/>
      <c r="B455" s="35"/>
      <c r="C455" s="28"/>
      <c r="D455" s="35"/>
      <c r="E455" s="29"/>
      <c r="G455" s="29"/>
    </row>
    <row r="456" customFormat="false" ht="15" hidden="false" customHeight="false" outlineLevel="0" collapsed="false">
      <c r="A456" s="27"/>
      <c r="B456" s="35"/>
      <c r="C456" s="28"/>
      <c r="D456" s="35"/>
      <c r="E456" s="29"/>
      <c r="G456" s="29"/>
    </row>
    <row r="457" customFormat="false" ht="15" hidden="false" customHeight="false" outlineLevel="0" collapsed="false">
      <c r="A457" s="27"/>
      <c r="B457" s="35"/>
      <c r="C457" s="28"/>
      <c r="D457" s="35"/>
      <c r="E457" s="29"/>
      <c r="G457" s="29"/>
    </row>
    <row r="458" customFormat="false" ht="15" hidden="false" customHeight="false" outlineLevel="0" collapsed="false">
      <c r="A458" s="27"/>
      <c r="B458" s="35"/>
      <c r="C458" s="28"/>
      <c r="D458" s="35"/>
      <c r="E458" s="29"/>
      <c r="G458" s="29"/>
    </row>
    <row r="459" customFormat="false" ht="15" hidden="false" customHeight="false" outlineLevel="0" collapsed="false">
      <c r="A459" s="27"/>
      <c r="B459" s="35"/>
      <c r="C459" s="28"/>
      <c r="D459" s="35"/>
      <c r="E459" s="29"/>
      <c r="G459" s="29"/>
    </row>
    <row r="460" customFormat="false" ht="15" hidden="false" customHeight="false" outlineLevel="0" collapsed="false">
      <c r="A460" s="27"/>
      <c r="B460" s="35"/>
      <c r="C460" s="28"/>
      <c r="D460" s="35"/>
      <c r="E460" s="29"/>
      <c r="G460" s="29"/>
    </row>
    <row r="461" customFormat="false" ht="15" hidden="false" customHeight="false" outlineLevel="0" collapsed="false">
      <c r="A461" s="27"/>
      <c r="B461" s="35"/>
      <c r="C461" s="28"/>
      <c r="D461" s="35"/>
      <c r="E461" s="29"/>
      <c r="G461" s="29"/>
    </row>
    <row r="462" customFormat="false" ht="15" hidden="false" customHeight="false" outlineLevel="0" collapsed="false">
      <c r="A462" s="27"/>
      <c r="B462" s="35"/>
      <c r="C462" s="28"/>
      <c r="D462" s="35"/>
      <c r="E462" s="29"/>
      <c r="G462" s="29"/>
    </row>
    <row r="463" customFormat="false" ht="15" hidden="false" customHeight="false" outlineLevel="0" collapsed="false">
      <c r="A463" s="27"/>
      <c r="B463" s="35"/>
      <c r="C463" s="28"/>
      <c r="D463" s="35"/>
      <c r="E463" s="29"/>
      <c r="G463" s="29"/>
    </row>
    <row r="464" customFormat="false" ht="15" hidden="false" customHeight="false" outlineLevel="0" collapsed="false">
      <c r="A464" s="27"/>
      <c r="B464" s="35"/>
      <c r="C464" s="28"/>
      <c r="D464" s="35"/>
      <c r="E464" s="29"/>
      <c r="G464" s="29"/>
    </row>
    <row r="465" customFormat="false" ht="15" hidden="false" customHeight="false" outlineLevel="0" collapsed="false">
      <c r="A465" s="27"/>
      <c r="B465" s="35"/>
      <c r="C465" s="28"/>
      <c r="D465" s="35"/>
      <c r="E465" s="29"/>
      <c r="G465" s="29"/>
    </row>
    <row r="466" customFormat="false" ht="15" hidden="false" customHeight="false" outlineLevel="0" collapsed="false">
      <c r="A466" s="27"/>
      <c r="B466" s="35"/>
      <c r="C466" s="28"/>
      <c r="D466" s="35"/>
      <c r="E466" s="29"/>
      <c r="G466" s="29"/>
    </row>
    <row r="467" customFormat="false" ht="15" hidden="false" customHeight="false" outlineLevel="0" collapsed="false">
      <c r="A467" s="27"/>
      <c r="B467" s="35"/>
      <c r="C467" s="28"/>
      <c r="D467" s="35"/>
      <c r="E467" s="29"/>
      <c r="G467" s="29"/>
    </row>
    <row r="468" customFormat="false" ht="15" hidden="false" customHeight="false" outlineLevel="0" collapsed="false">
      <c r="A468" s="27"/>
      <c r="B468" s="35"/>
      <c r="C468" s="28"/>
      <c r="D468" s="35"/>
      <c r="E468" s="29"/>
      <c r="G468" s="29"/>
    </row>
    <row r="469" customFormat="false" ht="15" hidden="false" customHeight="false" outlineLevel="0" collapsed="false">
      <c r="A469" s="27"/>
      <c r="B469" s="35"/>
      <c r="C469" s="28"/>
      <c r="D469" s="35"/>
      <c r="E469" s="29"/>
      <c r="G469" s="29"/>
    </row>
    <row r="470" customFormat="false" ht="15" hidden="false" customHeight="false" outlineLevel="0" collapsed="false">
      <c r="A470" s="27"/>
      <c r="B470" s="35"/>
      <c r="C470" s="28"/>
      <c r="D470" s="35"/>
      <c r="E470" s="29"/>
      <c r="G470" s="29"/>
    </row>
    <row r="471" customFormat="false" ht="15" hidden="false" customHeight="false" outlineLevel="0" collapsed="false">
      <c r="A471" s="27"/>
      <c r="B471" s="35"/>
      <c r="C471" s="28"/>
      <c r="D471" s="35"/>
      <c r="E471" s="29"/>
      <c r="G471" s="29"/>
    </row>
    <row r="472" customFormat="false" ht="15" hidden="false" customHeight="false" outlineLevel="0" collapsed="false">
      <c r="A472" s="27"/>
      <c r="B472" s="35"/>
      <c r="C472" s="28"/>
      <c r="D472" s="35"/>
      <c r="E472" s="29"/>
      <c r="G472" s="29"/>
    </row>
    <row r="473" customFormat="false" ht="15" hidden="false" customHeight="false" outlineLevel="0" collapsed="false">
      <c r="A473" s="27"/>
      <c r="B473" s="35"/>
      <c r="C473" s="28"/>
      <c r="D473" s="35"/>
      <c r="E473" s="29"/>
      <c r="G473" s="29"/>
    </row>
    <row r="474" customFormat="false" ht="15" hidden="false" customHeight="false" outlineLevel="0" collapsed="false">
      <c r="A474" s="27"/>
      <c r="B474" s="35"/>
      <c r="C474" s="28"/>
      <c r="D474" s="35"/>
      <c r="E474" s="29"/>
      <c r="G474" s="29"/>
    </row>
    <row r="475" customFormat="false" ht="15" hidden="false" customHeight="false" outlineLevel="0" collapsed="false">
      <c r="A475" s="27"/>
      <c r="B475" s="35"/>
      <c r="C475" s="28"/>
      <c r="D475" s="35"/>
      <c r="E475" s="29"/>
      <c r="G475" s="29"/>
    </row>
    <row r="476" customFormat="false" ht="15" hidden="false" customHeight="false" outlineLevel="0" collapsed="false">
      <c r="A476" s="27"/>
      <c r="B476" s="35"/>
      <c r="C476" s="28"/>
      <c r="D476" s="35"/>
      <c r="E476" s="29"/>
      <c r="G476" s="29"/>
    </row>
    <row r="477" customFormat="false" ht="15" hidden="false" customHeight="false" outlineLevel="0" collapsed="false">
      <c r="A477" s="27"/>
      <c r="B477" s="35"/>
      <c r="C477" s="28"/>
      <c r="D477" s="35"/>
      <c r="E477" s="29"/>
      <c r="G477" s="29"/>
    </row>
    <row r="478" customFormat="false" ht="15" hidden="false" customHeight="false" outlineLevel="0" collapsed="false">
      <c r="A478" s="27"/>
      <c r="B478" s="35"/>
      <c r="C478" s="28"/>
      <c r="D478" s="35"/>
      <c r="E478" s="29"/>
      <c r="G478" s="29"/>
    </row>
    <row r="479" customFormat="false" ht="15" hidden="false" customHeight="false" outlineLevel="0" collapsed="false">
      <c r="A479" s="27"/>
      <c r="B479" s="35"/>
      <c r="C479" s="28"/>
      <c r="D479" s="35"/>
      <c r="E479" s="29"/>
      <c r="G479" s="29"/>
    </row>
    <row r="480" customFormat="false" ht="15" hidden="false" customHeight="false" outlineLevel="0" collapsed="false">
      <c r="A480" s="27"/>
      <c r="B480" s="35"/>
      <c r="C480" s="28"/>
      <c r="D480" s="35"/>
      <c r="E480" s="29"/>
      <c r="G480" s="29"/>
    </row>
    <row r="481" customFormat="false" ht="15" hidden="false" customHeight="false" outlineLevel="0" collapsed="false">
      <c r="A481" s="27"/>
      <c r="B481" s="35"/>
      <c r="C481" s="28"/>
      <c r="D481" s="35"/>
      <c r="E481" s="29"/>
      <c r="G481" s="29"/>
    </row>
    <row r="482" customFormat="false" ht="15" hidden="false" customHeight="false" outlineLevel="0" collapsed="false">
      <c r="A482" s="27"/>
      <c r="B482" s="35"/>
      <c r="C482" s="28"/>
      <c r="D482" s="35"/>
      <c r="E482" s="29"/>
      <c r="G482" s="29"/>
    </row>
    <row r="483" customFormat="false" ht="15" hidden="false" customHeight="false" outlineLevel="0" collapsed="false">
      <c r="A483" s="27"/>
      <c r="B483" s="35"/>
      <c r="C483" s="28"/>
      <c r="D483" s="35"/>
      <c r="E483" s="29"/>
      <c r="G483" s="29"/>
    </row>
    <row r="484" customFormat="false" ht="15" hidden="false" customHeight="false" outlineLevel="0" collapsed="false">
      <c r="A484" s="27"/>
      <c r="B484" s="35"/>
      <c r="C484" s="28"/>
      <c r="D484" s="35"/>
      <c r="E484" s="29"/>
      <c r="G484" s="29"/>
    </row>
    <row r="485" customFormat="false" ht="15" hidden="false" customHeight="false" outlineLevel="0" collapsed="false">
      <c r="A485" s="27"/>
      <c r="B485" s="35"/>
      <c r="C485" s="28"/>
      <c r="D485" s="35"/>
      <c r="E485" s="29"/>
      <c r="G485" s="29"/>
    </row>
    <row r="486" customFormat="false" ht="15" hidden="false" customHeight="false" outlineLevel="0" collapsed="false">
      <c r="A486" s="27"/>
      <c r="B486" s="35"/>
      <c r="C486" s="28"/>
      <c r="D486" s="35"/>
      <c r="E486" s="29"/>
      <c r="G486" s="29"/>
    </row>
    <row r="487" customFormat="false" ht="15" hidden="false" customHeight="false" outlineLevel="0" collapsed="false">
      <c r="A487" s="27"/>
      <c r="B487" s="35"/>
      <c r="C487" s="28"/>
      <c r="D487" s="35"/>
      <c r="E487" s="29"/>
      <c r="G487" s="29"/>
    </row>
    <row r="488" customFormat="false" ht="15" hidden="false" customHeight="false" outlineLevel="0" collapsed="false">
      <c r="A488" s="27"/>
      <c r="B488" s="35"/>
      <c r="C488" s="28"/>
      <c r="D488" s="35"/>
      <c r="E488" s="29"/>
      <c r="G488" s="29"/>
    </row>
    <row r="489" customFormat="false" ht="15" hidden="false" customHeight="false" outlineLevel="0" collapsed="false">
      <c r="A489" s="27"/>
      <c r="B489" s="35"/>
      <c r="C489" s="28"/>
      <c r="D489" s="35"/>
      <c r="E489" s="29"/>
      <c r="G489" s="29"/>
    </row>
    <row r="490" customFormat="false" ht="15" hidden="false" customHeight="false" outlineLevel="0" collapsed="false">
      <c r="A490" s="27"/>
      <c r="B490" s="35"/>
      <c r="C490" s="28"/>
      <c r="D490" s="35"/>
      <c r="E490" s="29"/>
      <c r="G490" s="29"/>
    </row>
    <row r="491" customFormat="false" ht="15" hidden="false" customHeight="false" outlineLevel="0" collapsed="false">
      <c r="A491" s="27"/>
      <c r="B491" s="35"/>
      <c r="C491" s="28"/>
      <c r="D491" s="35"/>
      <c r="E491" s="29"/>
      <c r="G491" s="29"/>
    </row>
    <row r="492" customFormat="false" ht="15" hidden="false" customHeight="false" outlineLevel="0" collapsed="false">
      <c r="A492" s="27"/>
      <c r="B492" s="35"/>
      <c r="C492" s="28"/>
      <c r="D492" s="35"/>
      <c r="E492" s="29"/>
      <c r="G492" s="29"/>
    </row>
    <row r="493" customFormat="false" ht="15" hidden="false" customHeight="false" outlineLevel="0" collapsed="false">
      <c r="A493" s="27"/>
      <c r="B493" s="35"/>
      <c r="C493" s="28"/>
      <c r="D493" s="35"/>
      <c r="E493" s="29"/>
      <c r="G493" s="29"/>
    </row>
    <row r="494" customFormat="false" ht="15" hidden="false" customHeight="false" outlineLevel="0" collapsed="false">
      <c r="A494" s="27"/>
      <c r="B494" s="35"/>
      <c r="C494" s="28"/>
      <c r="D494" s="35"/>
      <c r="E494" s="29"/>
      <c r="G494" s="29"/>
    </row>
    <row r="495" customFormat="false" ht="15" hidden="false" customHeight="false" outlineLevel="0" collapsed="false">
      <c r="A495" s="27"/>
      <c r="B495" s="35"/>
      <c r="C495" s="28"/>
      <c r="D495" s="35"/>
      <c r="E495" s="29"/>
      <c r="G495" s="29"/>
    </row>
    <row r="496" customFormat="false" ht="15" hidden="false" customHeight="false" outlineLevel="0" collapsed="false">
      <c r="A496" s="27"/>
      <c r="B496" s="35"/>
      <c r="C496" s="28"/>
      <c r="D496" s="35"/>
      <c r="E496" s="29"/>
      <c r="G496" s="29"/>
    </row>
    <row r="497" customFormat="false" ht="15" hidden="false" customHeight="false" outlineLevel="0" collapsed="false">
      <c r="A497" s="27"/>
      <c r="B497" s="35"/>
      <c r="C497" s="28"/>
      <c r="D497" s="35"/>
      <c r="E497" s="29"/>
      <c r="G497" s="29"/>
    </row>
    <row r="498" customFormat="false" ht="15" hidden="false" customHeight="false" outlineLevel="0" collapsed="false">
      <c r="A498" s="27"/>
      <c r="B498" s="35"/>
      <c r="C498" s="28"/>
      <c r="D498" s="35"/>
      <c r="E498" s="29"/>
      <c r="G498" s="29"/>
    </row>
    <row r="499" customFormat="false" ht="15" hidden="false" customHeight="false" outlineLevel="0" collapsed="false">
      <c r="A499" s="27"/>
      <c r="B499" s="35"/>
      <c r="C499" s="28"/>
      <c r="D499" s="35"/>
      <c r="E499" s="29"/>
      <c r="G499" s="29"/>
    </row>
    <row r="500" customFormat="false" ht="15" hidden="false" customHeight="false" outlineLevel="0" collapsed="false">
      <c r="A500" s="27"/>
      <c r="B500" s="35"/>
      <c r="C500" s="28"/>
      <c r="D500" s="35"/>
      <c r="E500" s="29"/>
      <c r="G500" s="29"/>
    </row>
    <row r="501" customFormat="false" ht="15" hidden="false" customHeight="false" outlineLevel="0" collapsed="false">
      <c r="A501" s="27"/>
      <c r="B501" s="35"/>
      <c r="C501" s="28"/>
      <c r="D501" s="35"/>
      <c r="E501" s="29"/>
      <c r="G501" s="29"/>
    </row>
    <row r="502" customFormat="false" ht="15" hidden="false" customHeight="false" outlineLevel="0" collapsed="false">
      <c r="A502" s="27"/>
      <c r="B502" s="35"/>
      <c r="C502" s="28"/>
      <c r="D502" s="35"/>
      <c r="E502" s="29"/>
      <c r="G502" s="29"/>
    </row>
    <row r="503" customFormat="false" ht="15" hidden="false" customHeight="false" outlineLevel="0" collapsed="false">
      <c r="A503" s="27"/>
      <c r="B503" s="35"/>
      <c r="C503" s="28"/>
      <c r="D503" s="35"/>
      <c r="E503" s="29"/>
      <c r="G503" s="29"/>
    </row>
    <row r="504" customFormat="false" ht="15" hidden="false" customHeight="false" outlineLevel="0" collapsed="false">
      <c r="A504" s="27"/>
      <c r="B504" s="35"/>
      <c r="C504" s="28"/>
      <c r="D504" s="35"/>
      <c r="E504" s="29"/>
      <c r="G504" s="29"/>
    </row>
    <row r="505" customFormat="false" ht="15" hidden="false" customHeight="false" outlineLevel="0" collapsed="false">
      <c r="A505" s="27"/>
      <c r="B505" s="35"/>
      <c r="C505" s="28"/>
      <c r="D505" s="35"/>
      <c r="E505" s="29"/>
      <c r="G505" s="29"/>
    </row>
    <row r="506" customFormat="false" ht="15" hidden="false" customHeight="false" outlineLevel="0" collapsed="false">
      <c r="A506" s="27"/>
      <c r="B506" s="35"/>
      <c r="C506" s="28"/>
      <c r="D506" s="35"/>
      <c r="E506" s="29"/>
      <c r="G506" s="29"/>
    </row>
    <row r="507" customFormat="false" ht="15" hidden="false" customHeight="false" outlineLevel="0" collapsed="false">
      <c r="A507" s="27"/>
      <c r="B507" s="35"/>
      <c r="C507" s="28"/>
      <c r="D507" s="35"/>
      <c r="E507" s="29"/>
      <c r="G507" s="29"/>
    </row>
    <row r="508" customFormat="false" ht="15" hidden="false" customHeight="false" outlineLevel="0" collapsed="false">
      <c r="A508" s="27"/>
      <c r="B508" s="35"/>
      <c r="C508" s="28"/>
      <c r="D508" s="35"/>
      <c r="E508" s="29"/>
      <c r="G508" s="29"/>
    </row>
    <row r="509" customFormat="false" ht="15" hidden="false" customHeight="false" outlineLevel="0" collapsed="false">
      <c r="A509" s="27"/>
      <c r="B509" s="35"/>
      <c r="C509" s="28"/>
      <c r="D509" s="35"/>
      <c r="E509" s="29"/>
      <c r="G509" s="29"/>
    </row>
    <row r="510" customFormat="false" ht="15" hidden="false" customHeight="false" outlineLevel="0" collapsed="false">
      <c r="A510" s="27"/>
      <c r="B510" s="35"/>
      <c r="C510" s="28"/>
      <c r="D510" s="35"/>
      <c r="E510" s="29"/>
      <c r="G510" s="29"/>
    </row>
    <row r="511" customFormat="false" ht="15" hidden="false" customHeight="false" outlineLevel="0" collapsed="false">
      <c r="A511" s="27"/>
      <c r="B511" s="35"/>
      <c r="C511" s="28"/>
      <c r="D511" s="35"/>
      <c r="E511" s="29"/>
      <c r="G511" s="29"/>
    </row>
    <row r="512" customFormat="false" ht="15" hidden="false" customHeight="false" outlineLevel="0" collapsed="false">
      <c r="A512" s="27"/>
      <c r="B512" s="35"/>
      <c r="C512" s="28"/>
      <c r="D512" s="35"/>
      <c r="E512" s="29"/>
      <c r="G512" s="29"/>
    </row>
    <row r="513" customFormat="false" ht="15" hidden="false" customHeight="false" outlineLevel="0" collapsed="false">
      <c r="A513" s="27"/>
      <c r="B513" s="35"/>
      <c r="C513" s="28"/>
      <c r="D513" s="35"/>
      <c r="E513" s="29"/>
      <c r="G513" s="29"/>
    </row>
    <row r="514" customFormat="false" ht="15" hidden="false" customHeight="false" outlineLevel="0" collapsed="false">
      <c r="A514" s="27"/>
      <c r="B514" s="35"/>
      <c r="C514" s="28"/>
      <c r="D514" s="35"/>
      <c r="E514" s="29"/>
      <c r="G514" s="29"/>
    </row>
    <row r="515" customFormat="false" ht="15" hidden="false" customHeight="false" outlineLevel="0" collapsed="false">
      <c r="A515" s="27"/>
      <c r="B515" s="35"/>
      <c r="C515" s="28"/>
      <c r="D515" s="35"/>
      <c r="E515" s="29"/>
      <c r="G515" s="29"/>
    </row>
    <row r="516" customFormat="false" ht="15" hidden="false" customHeight="false" outlineLevel="0" collapsed="false">
      <c r="A516" s="27"/>
      <c r="B516" s="35"/>
      <c r="C516" s="28"/>
      <c r="D516" s="35"/>
      <c r="E516" s="29"/>
      <c r="G516" s="29"/>
    </row>
    <row r="517" customFormat="false" ht="15" hidden="false" customHeight="false" outlineLevel="0" collapsed="false">
      <c r="A517" s="27"/>
      <c r="B517" s="35"/>
      <c r="C517" s="28"/>
      <c r="D517" s="35"/>
      <c r="E517" s="29"/>
      <c r="G517" s="29"/>
    </row>
    <row r="518" customFormat="false" ht="15" hidden="false" customHeight="false" outlineLevel="0" collapsed="false">
      <c r="A518" s="27"/>
      <c r="B518" s="35"/>
      <c r="C518" s="28"/>
      <c r="D518" s="35"/>
      <c r="E518" s="29"/>
      <c r="G518" s="29"/>
    </row>
    <row r="519" customFormat="false" ht="15" hidden="false" customHeight="false" outlineLevel="0" collapsed="false">
      <c r="A519" s="27"/>
      <c r="B519" s="35"/>
      <c r="C519" s="28"/>
      <c r="D519" s="35"/>
      <c r="E519" s="29"/>
      <c r="G519" s="29"/>
    </row>
    <row r="520" customFormat="false" ht="15" hidden="false" customHeight="false" outlineLevel="0" collapsed="false">
      <c r="A520" s="27"/>
      <c r="B520" s="35"/>
      <c r="C520" s="28"/>
      <c r="D520" s="35"/>
      <c r="E520" s="29"/>
      <c r="G520" s="29"/>
    </row>
    <row r="521" customFormat="false" ht="15" hidden="false" customHeight="false" outlineLevel="0" collapsed="false">
      <c r="A521" s="27"/>
      <c r="B521" s="35"/>
      <c r="C521" s="28"/>
      <c r="D521" s="35"/>
      <c r="E521" s="29"/>
      <c r="G521" s="29"/>
    </row>
    <row r="522" customFormat="false" ht="15" hidden="false" customHeight="false" outlineLevel="0" collapsed="false">
      <c r="A522" s="27"/>
      <c r="B522" s="35"/>
      <c r="C522" s="28"/>
      <c r="D522" s="35"/>
      <c r="E522" s="29"/>
      <c r="G522" s="29"/>
    </row>
    <row r="523" customFormat="false" ht="15" hidden="false" customHeight="false" outlineLevel="0" collapsed="false">
      <c r="A523" s="27"/>
      <c r="B523" s="35"/>
      <c r="C523" s="28"/>
      <c r="D523" s="35"/>
      <c r="E523" s="29"/>
      <c r="G523" s="29"/>
    </row>
    <row r="524" customFormat="false" ht="15" hidden="false" customHeight="false" outlineLevel="0" collapsed="false">
      <c r="A524" s="27"/>
      <c r="B524" s="35"/>
      <c r="C524" s="28"/>
      <c r="D524" s="35"/>
      <c r="E524" s="29"/>
      <c r="G524" s="29"/>
    </row>
    <row r="525" customFormat="false" ht="15" hidden="false" customHeight="false" outlineLevel="0" collapsed="false">
      <c r="A525" s="27"/>
      <c r="B525" s="35"/>
      <c r="C525" s="28"/>
      <c r="D525" s="35"/>
      <c r="E525" s="29"/>
      <c r="G525" s="29"/>
    </row>
    <row r="526" customFormat="false" ht="15" hidden="false" customHeight="false" outlineLevel="0" collapsed="false">
      <c r="A526" s="27"/>
      <c r="B526" s="35"/>
      <c r="C526" s="28"/>
      <c r="D526" s="35"/>
      <c r="E526" s="29"/>
      <c r="G526" s="29"/>
    </row>
    <row r="527" customFormat="false" ht="15" hidden="false" customHeight="false" outlineLevel="0" collapsed="false">
      <c r="A527" s="27"/>
      <c r="B527" s="35"/>
      <c r="C527" s="28"/>
      <c r="D527" s="35"/>
      <c r="E527" s="29"/>
      <c r="G527" s="29"/>
    </row>
    <row r="528" customFormat="false" ht="15" hidden="false" customHeight="false" outlineLevel="0" collapsed="false">
      <c r="A528" s="27"/>
      <c r="B528" s="35"/>
      <c r="C528" s="28"/>
      <c r="D528" s="35"/>
      <c r="E528" s="29"/>
      <c r="G528" s="29"/>
    </row>
    <row r="529" customFormat="false" ht="15" hidden="false" customHeight="false" outlineLevel="0" collapsed="false">
      <c r="A529" s="27"/>
      <c r="B529" s="35"/>
      <c r="C529" s="28"/>
      <c r="D529" s="35"/>
      <c r="E529" s="29"/>
      <c r="G529" s="29"/>
    </row>
    <row r="530" customFormat="false" ht="15" hidden="false" customHeight="false" outlineLevel="0" collapsed="false">
      <c r="A530" s="27"/>
      <c r="B530" s="35"/>
      <c r="C530" s="28"/>
      <c r="D530" s="35"/>
      <c r="E530" s="29"/>
      <c r="G530" s="29"/>
    </row>
    <row r="531" customFormat="false" ht="15" hidden="false" customHeight="false" outlineLevel="0" collapsed="false">
      <c r="A531" s="27"/>
      <c r="B531" s="35"/>
      <c r="C531" s="28"/>
      <c r="D531" s="35"/>
      <c r="E531" s="29"/>
      <c r="G531" s="29"/>
    </row>
    <row r="532" customFormat="false" ht="15" hidden="false" customHeight="false" outlineLevel="0" collapsed="false">
      <c r="A532" s="27"/>
      <c r="B532" s="35"/>
      <c r="C532" s="28"/>
      <c r="D532" s="35"/>
      <c r="E532" s="29"/>
      <c r="G532" s="29"/>
    </row>
    <row r="533" customFormat="false" ht="15" hidden="false" customHeight="false" outlineLevel="0" collapsed="false">
      <c r="A533" s="27"/>
      <c r="B533" s="35"/>
      <c r="C533" s="28"/>
      <c r="D533" s="35"/>
      <c r="E533" s="29"/>
      <c r="G533" s="29"/>
    </row>
    <row r="534" customFormat="false" ht="15" hidden="false" customHeight="false" outlineLevel="0" collapsed="false">
      <c r="A534" s="27"/>
      <c r="B534" s="35"/>
      <c r="C534" s="28"/>
      <c r="D534" s="35"/>
      <c r="E534" s="29"/>
      <c r="G534" s="29"/>
    </row>
    <row r="535" customFormat="false" ht="15" hidden="false" customHeight="false" outlineLevel="0" collapsed="false">
      <c r="A535" s="27"/>
      <c r="B535" s="35"/>
      <c r="C535" s="28"/>
      <c r="D535" s="35"/>
      <c r="E535" s="29"/>
      <c r="G535" s="29"/>
    </row>
    <row r="536" customFormat="false" ht="15" hidden="false" customHeight="false" outlineLevel="0" collapsed="false">
      <c r="A536" s="27"/>
      <c r="B536" s="35"/>
      <c r="C536" s="28"/>
      <c r="D536" s="35"/>
      <c r="E536" s="29"/>
      <c r="G536" s="29"/>
    </row>
    <row r="537" customFormat="false" ht="15" hidden="false" customHeight="false" outlineLevel="0" collapsed="false">
      <c r="A537" s="27"/>
      <c r="B537" s="35"/>
      <c r="C537" s="28"/>
      <c r="D537" s="35"/>
      <c r="E537" s="29"/>
      <c r="G537" s="29"/>
    </row>
    <row r="538" customFormat="false" ht="15" hidden="false" customHeight="false" outlineLevel="0" collapsed="false">
      <c r="A538" s="27"/>
      <c r="B538" s="35"/>
      <c r="C538" s="28"/>
      <c r="D538" s="35"/>
      <c r="E538" s="29"/>
      <c r="G538" s="29"/>
    </row>
    <row r="539" customFormat="false" ht="15" hidden="false" customHeight="false" outlineLevel="0" collapsed="false">
      <c r="A539" s="27"/>
      <c r="B539" s="35"/>
      <c r="C539" s="28"/>
      <c r="D539" s="35"/>
      <c r="E539" s="29"/>
      <c r="G539" s="29"/>
    </row>
    <row r="540" customFormat="false" ht="15" hidden="false" customHeight="false" outlineLevel="0" collapsed="false">
      <c r="A540" s="27"/>
      <c r="B540" s="35"/>
      <c r="C540" s="28"/>
      <c r="D540" s="35"/>
      <c r="E540" s="29"/>
      <c r="G540" s="29"/>
    </row>
    <row r="541" customFormat="false" ht="15" hidden="false" customHeight="false" outlineLevel="0" collapsed="false">
      <c r="A541" s="27"/>
      <c r="B541" s="35"/>
      <c r="C541" s="28"/>
      <c r="D541" s="35"/>
      <c r="E541" s="29"/>
      <c r="G541" s="29"/>
    </row>
    <row r="542" customFormat="false" ht="15" hidden="false" customHeight="false" outlineLevel="0" collapsed="false">
      <c r="A542" s="27"/>
      <c r="B542" s="35"/>
      <c r="C542" s="28"/>
      <c r="D542" s="35"/>
      <c r="E542" s="29"/>
      <c r="G542" s="29"/>
    </row>
    <row r="543" customFormat="false" ht="15" hidden="false" customHeight="false" outlineLevel="0" collapsed="false">
      <c r="A543" s="27"/>
      <c r="B543" s="35"/>
      <c r="C543" s="28"/>
      <c r="D543" s="35"/>
      <c r="E543" s="29"/>
      <c r="G543" s="29"/>
    </row>
    <row r="544" customFormat="false" ht="15" hidden="false" customHeight="false" outlineLevel="0" collapsed="false">
      <c r="A544" s="27"/>
      <c r="B544" s="35"/>
      <c r="C544" s="28"/>
      <c r="D544" s="35"/>
      <c r="E544" s="29"/>
      <c r="G544" s="29"/>
    </row>
    <row r="545" customFormat="false" ht="15" hidden="false" customHeight="false" outlineLevel="0" collapsed="false">
      <c r="A545" s="27"/>
      <c r="B545" s="35"/>
      <c r="C545" s="28"/>
      <c r="D545" s="35"/>
      <c r="E545" s="29"/>
      <c r="G545" s="29"/>
    </row>
    <row r="546" customFormat="false" ht="15" hidden="false" customHeight="false" outlineLevel="0" collapsed="false">
      <c r="A546" s="27"/>
      <c r="B546" s="35"/>
      <c r="C546" s="28"/>
      <c r="D546" s="35"/>
      <c r="E546" s="29"/>
      <c r="G546" s="29"/>
    </row>
    <row r="547" customFormat="false" ht="15" hidden="false" customHeight="false" outlineLevel="0" collapsed="false">
      <c r="A547" s="27"/>
      <c r="B547" s="35"/>
      <c r="C547" s="28"/>
      <c r="D547" s="35"/>
      <c r="E547" s="29"/>
      <c r="G547" s="29"/>
    </row>
    <row r="548" customFormat="false" ht="15" hidden="false" customHeight="false" outlineLevel="0" collapsed="false">
      <c r="A548" s="27"/>
      <c r="B548" s="35"/>
      <c r="C548" s="28"/>
      <c r="D548" s="35"/>
      <c r="E548" s="29"/>
      <c r="G548" s="29"/>
    </row>
    <row r="549" customFormat="false" ht="15" hidden="false" customHeight="false" outlineLevel="0" collapsed="false">
      <c r="A549" s="27"/>
      <c r="B549" s="35"/>
      <c r="C549" s="28"/>
      <c r="D549" s="35"/>
      <c r="E549" s="29"/>
      <c r="G549" s="29"/>
    </row>
    <row r="550" customFormat="false" ht="15" hidden="false" customHeight="false" outlineLevel="0" collapsed="false">
      <c r="A550" s="27"/>
      <c r="B550" s="35"/>
      <c r="C550" s="28"/>
      <c r="D550" s="35"/>
      <c r="E550" s="29"/>
      <c r="G550" s="29"/>
    </row>
    <row r="551" customFormat="false" ht="15" hidden="false" customHeight="false" outlineLevel="0" collapsed="false">
      <c r="A551" s="27"/>
      <c r="B551" s="35"/>
      <c r="C551" s="28"/>
      <c r="D551" s="35"/>
      <c r="E551" s="29"/>
      <c r="G551" s="29"/>
    </row>
    <row r="552" customFormat="false" ht="15" hidden="false" customHeight="false" outlineLevel="0" collapsed="false">
      <c r="A552" s="27"/>
      <c r="B552" s="35"/>
      <c r="C552" s="28"/>
      <c r="D552" s="35"/>
      <c r="E552" s="29"/>
      <c r="G552" s="29"/>
    </row>
    <row r="553" customFormat="false" ht="15" hidden="false" customHeight="false" outlineLevel="0" collapsed="false">
      <c r="A553" s="27"/>
      <c r="B553" s="35"/>
      <c r="C553" s="28"/>
      <c r="D553" s="35"/>
      <c r="E553" s="29"/>
      <c r="G553" s="29"/>
    </row>
    <row r="554" customFormat="false" ht="15" hidden="false" customHeight="false" outlineLevel="0" collapsed="false">
      <c r="A554" s="27"/>
      <c r="B554" s="35"/>
      <c r="C554" s="28"/>
      <c r="D554" s="35"/>
      <c r="E554" s="29"/>
      <c r="G554" s="29"/>
    </row>
    <row r="555" customFormat="false" ht="15" hidden="false" customHeight="false" outlineLevel="0" collapsed="false">
      <c r="A555" s="27"/>
      <c r="B555" s="35"/>
      <c r="C555" s="28"/>
      <c r="D555" s="35"/>
      <c r="E555" s="29"/>
      <c r="G555" s="29"/>
    </row>
    <row r="556" customFormat="false" ht="15" hidden="false" customHeight="false" outlineLevel="0" collapsed="false">
      <c r="A556" s="27"/>
      <c r="B556" s="35"/>
      <c r="C556" s="28"/>
      <c r="D556" s="35"/>
      <c r="E556" s="29"/>
      <c r="G556" s="29"/>
    </row>
    <row r="557" customFormat="false" ht="15" hidden="false" customHeight="false" outlineLevel="0" collapsed="false">
      <c r="A557" s="27"/>
      <c r="B557" s="35"/>
      <c r="C557" s="28"/>
      <c r="D557" s="35"/>
      <c r="E557" s="29"/>
      <c r="G557" s="29"/>
    </row>
    <row r="558" customFormat="false" ht="15" hidden="false" customHeight="false" outlineLevel="0" collapsed="false">
      <c r="A558" s="27"/>
      <c r="B558" s="35"/>
      <c r="C558" s="28"/>
      <c r="D558" s="35"/>
      <c r="E558" s="29"/>
      <c r="G558" s="29"/>
    </row>
    <row r="559" customFormat="false" ht="15" hidden="false" customHeight="false" outlineLevel="0" collapsed="false">
      <c r="A559" s="27"/>
      <c r="B559" s="35"/>
      <c r="C559" s="28"/>
      <c r="D559" s="35"/>
      <c r="E559" s="29"/>
      <c r="G559" s="29"/>
    </row>
    <row r="560" customFormat="false" ht="15" hidden="false" customHeight="false" outlineLevel="0" collapsed="false">
      <c r="A560" s="27"/>
      <c r="B560" s="35"/>
      <c r="C560" s="28"/>
      <c r="D560" s="35"/>
      <c r="E560" s="29"/>
      <c r="G560" s="29"/>
    </row>
    <row r="561" customFormat="false" ht="15" hidden="false" customHeight="false" outlineLevel="0" collapsed="false">
      <c r="A561" s="27"/>
      <c r="B561" s="35"/>
      <c r="C561" s="28"/>
      <c r="D561" s="35"/>
      <c r="E561" s="29"/>
      <c r="G561" s="29"/>
    </row>
    <row r="562" customFormat="false" ht="15" hidden="false" customHeight="false" outlineLevel="0" collapsed="false">
      <c r="A562" s="27"/>
      <c r="B562" s="35"/>
      <c r="C562" s="28"/>
      <c r="D562" s="35"/>
      <c r="E562" s="29"/>
      <c r="G562" s="29"/>
    </row>
    <row r="563" customFormat="false" ht="15" hidden="false" customHeight="false" outlineLevel="0" collapsed="false">
      <c r="A563" s="27"/>
      <c r="B563" s="35"/>
      <c r="C563" s="28"/>
      <c r="D563" s="35"/>
      <c r="E563" s="29"/>
      <c r="G563" s="29"/>
    </row>
    <row r="564" customFormat="false" ht="15" hidden="false" customHeight="false" outlineLevel="0" collapsed="false">
      <c r="A564" s="27"/>
      <c r="B564" s="35"/>
      <c r="C564" s="28"/>
      <c r="D564" s="35"/>
      <c r="E564" s="29"/>
      <c r="G564" s="29"/>
    </row>
    <row r="565" customFormat="false" ht="15" hidden="false" customHeight="false" outlineLevel="0" collapsed="false">
      <c r="A565" s="27"/>
      <c r="B565" s="35"/>
      <c r="C565" s="28"/>
      <c r="D565" s="35"/>
      <c r="E565" s="29"/>
      <c r="G565" s="29"/>
    </row>
    <row r="566" customFormat="false" ht="15" hidden="false" customHeight="false" outlineLevel="0" collapsed="false">
      <c r="A566" s="27"/>
      <c r="B566" s="35"/>
      <c r="C566" s="28"/>
      <c r="D566" s="35"/>
      <c r="E566" s="29"/>
      <c r="G566" s="29"/>
    </row>
    <row r="567" customFormat="false" ht="15" hidden="false" customHeight="false" outlineLevel="0" collapsed="false">
      <c r="A567" s="27"/>
      <c r="B567" s="35"/>
      <c r="C567" s="28"/>
      <c r="D567" s="35"/>
      <c r="E567" s="29"/>
      <c r="G567" s="29"/>
    </row>
    <row r="568" customFormat="false" ht="15" hidden="false" customHeight="false" outlineLevel="0" collapsed="false">
      <c r="A568" s="27"/>
      <c r="B568" s="35"/>
      <c r="C568" s="28"/>
      <c r="D568" s="35"/>
      <c r="E568" s="29"/>
      <c r="G568" s="29"/>
    </row>
    <row r="569" customFormat="false" ht="15" hidden="false" customHeight="false" outlineLevel="0" collapsed="false">
      <c r="A569" s="27"/>
      <c r="B569" s="35"/>
      <c r="C569" s="28"/>
      <c r="D569" s="35"/>
      <c r="E569" s="29"/>
      <c r="G569" s="29"/>
    </row>
    <row r="570" customFormat="false" ht="15" hidden="false" customHeight="false" outlineLevel="0" collapsed="false">
      <c r="A570" s="27"/>
      <c r="B570" s="35"/>
      <c r="C570" s="28"/>
      <c r="D570" s="35"/>
      <c r="E570" s="29"/>
      <c r="G570" s="29"/>
    </row>
    <row r="571" customFormat="false" ht="15" hidden="false" customHeight="false" outlineLevel="0" collapsed="false">
      <c r="A571" s="27"/>
      <c r="B571" s="35"/>
      <c r="C571" s="28"/>
      <c r="D571" s="35"/>
      <c r="E571" s="29"/>
      <c r="G571" s="29"/>
    </row>
    <row r="572" customFormat="false" ht="15" hidden="false" customHeight="false" outlineLevel="0" collapsed="false">
      <c r="A572" s="27"/>
      <c r="B572" s="35"/>
      <c r="C572" s="28"/>
      <c r="D572" s="35"/>
      <c r="E572" s="29"/>
      <c r="G572" s="29"/>
    </row>
    <row r="573" customFormat="false" ht="15" hidden="false" customHeight="false" outlineLevel="0" collapsed="false">
      <c r="A573" s="27"/>
      <c r="B573" s="35"/>
      <c r="C573" s="28"/>
      <c r="D573" s="35"/>
      <c r="E573" s="29"/>
      <c r="G573" s="29"/>
    </row>
    <row r="574" customFormat="false" ht="15" hidden="false" customHeight="false" outlineLevel="0" collapsed="false">
      <c r="A574" s="27"/>
      <c r="B574" s="35"/>
      <c r="C574" s="28"/>
      <c r="D574" s="35"/>
      <c r="E574" s="29"/>
      <c r="G574" s="29"/>
    </row>
    <row r="575" customFormat="false" ht="15" hidden="false" customHeight="false" outlineLevel="0" collapsed="false">
      <c r="A575" s="27"/>
      <c r="B575" s="35"/>
      <c r="C575" s="28"/>
      <c r="D575" s="35"/>
      <c r="E575" s="29"/>
      <c r="G575" s="29"/>
    </row>
    <row r="576" customFormat="false" ht="15" hidden="false" customHeight="false" outlineLevel="0" collapsed="false">
      <c r="A576" s="27"/>
      <c r="B576" s="35"/>
      <c r="C576" s="28"/>
      <c r="D576" s="35"/>
      <c r="E576" s="29"/>
      <c r="G576" s="29"/>
    </row>
    <row r="577" customFormat="false" ht="15" hidden="false" customHeight="false" outlineLevel="0" collapsed="false">
      <c r="A577" s="27"/>
      <c r="B577" s="35"/>
      <c r="C577" s="28"/>
      <c r="D577" s="35"/>
      <c r="E577" s="29"/>
      <c r="G577" s="29"/>
    </row>
    <row r="578" customFormat="false" ht="15" hidden="false" customHeight="false" outlineLevel="0" collapsed="false">
      <c r="A578" s="27"/>
      <c r="B578" s="35"/>
      <c r="C578" s="28"/>
      <c r="D578" s="35"/>
      <c r="E578" s="29"/>
      <c r="G578" s="29"/>
    </row>
    <row r="579" customFormat="false" ht="15" hidden="false" customHeight="false" outlineLevel="0" collapsed="false">
      <c r="A579" s="27"/>
      <c r="B579" s="35"/>
      <c r="C579" s="28"/>
      <c r="D579" s="35"/>
      <c r="E579" s="29"/>
      <c r="G579" s="29"/>
    </row>
    <row r="580" customFormat="false" ht="15" hidden="false" customHeight="false" outlineLevel="0" collapsed="false">
      <c r="A580" s="27"/>
      <c r="B580" s="35"/>
      <c r="C580" s="28"/>
      <c r="D580" s="35"/>
      <c r="E580" s="29"/>
      <c r="G580" s="29"/>
    </row>
    <row r="581" customFormat="false" ht="15" hidden="false" customHeight="false" outlineLevel="0" collapsed="false">
      <c r="A581" s="27"/>
      <c r="B581" s="35"/>
      <c r="C581" s="28"/>
      <c r="D581" s="35"/>
      <c r="E581" s="29"/>
      <c r="G581" s="29"/>
    </row>
    <row r="582" customFormat="false" ht="15" hidden="false" customHeight="false" outlineLevel="0" collapsed="false">
      <c r="A582" s="27"/>
      <c r="B582" s="35"/>
      <c r="C582" s="28"/>
      <c r="D582" s="35"/>
      <c r="E582" s="29"/>
      <c r="G582" s="29"/>
    </row>
    <row r="583" customFormat="false" ht="15" hidden="false" customHeight="false" outlineLevel="0" collapsed="false">
      <c r="A583" s="27"/>
      <c r="B583" s="35"/>
      <c r="C583" s="28"/>
      <c r="D583" s="35"/>
      <c r="E583" s="29"/>
      <c r="G583" s="29"/>
    </row>
    <row r="584" customFormat="false" ht="15" hidden="false" customHeight="false" outlineLevel="0" collapsed="false">
      <c r="A584" s="27"/>
      <c r="B584" s="35"/>
      <c r="C584" s="28"/>
      <c r="D584" s="35"/>
      <c r="E584" s="29"/>
      <c r="G584" s="29"/>
    </row>
    <row r="585" customFormat="false" ht="15" hidden="false" customHeight="false" outlineLevel="0" collapsed="false">
      <c r="A585" s="27"/>
      <c r="B585" s="35"/>
      <c r="C585" s="28"/>
      <c r="D585" s="35"/>
      <c r="E585" s="29"/>
      <c r="G585" s="29"/>
    </row>
    <row r="586" customFormat="false" ht="15" hidden="false" customHeight="false" outlineLevel="0" collapsed="false">
      <c r="A586" s="27"/>
      <c r="B586" s="35"/>
      <c r="C586" s="28"/>
      <c r="D586" s="35"/>
      <c r="E586" s="29"/>
      <c r="G586" s="29"/>
    </row>
    <row r="587" customFormat="false" ht="15" hidden="false" customHeight="false" outlineLevel="0" collapsed="false">
      <c r="A587" s="27"/>
      <c r="B587" s="35"/>
      <c r="C587" s="28"/>
      <c r="D587" s="35"/>
      <c r="E587" s="29"/>
      <c r="G587" s="29"/>
    </row>
    <row r="588" customFormat="false" ht="15" hidden="false" customHeight="false" outlineLevel="0" collapsed="false">
      <c r="A588" s="27"/>
      <c r="B588" s="35"/>
      <c r="C588" s="28"/>
      <c r="D588" s="35"/>
      <c r="E588" s="29"/>
      <c r="G588" s="29"/>
    </row>
    <row r="589" customFormat="false" ht="15" hidden="false" customHeight="false" outlineLevel="0" collapsed="false">
      <c r="A589" s="27"/>
      <c r="B589" s="35"/>
      <c r="C589" s="28"/>
      <c r="D589" s="35"/>
      <c r="E589" s="29"/>
      <c r="G589" s="29"/>
    </row>
    <row r="590" customFormat="false" ht="15" hidden="false" customHeight="false" outlineLevel="0" collapsed="false">
      <c r="A590" s="27"/>
      <c r="B590" s="35"/>
      <c r="C590" s="28"/>
      <c r="D590" s="35"/>
      <c r="E590" s="29"/>
      <c r="G590" s="29"/>
    </row>
    <row r="591" customFormat="false" ht="15" hidden="false" customHeight="false" outlineLevel="0" collapsed="false">
      <c r="A591" s="27"/>
      <c r="B591" s="35"/>
      <c r="C591" s="28"/>
      <c r="D591" s="35"/>
      <c r="E591" s="29"/>
      <c r="G591" s="29"/>
    </row>
    <row r="592" customFormat="false" ht="15" hidden="false" customHeight="false" outlineLevel="0" collapsed="false">
      <c r="A592" s="27"/>
      <c r="B592" s="35"/>
      <c r="C592" s="28"/>
      <c r="D592" s="35"/>
      <c r="E592" s="29"/>
      <c r="G592" s="29"/>
    </row>
    <row r="593" customFormat="false" ht="15" hidden="false" customHeight="false" outlineLevel="0" collapsed="false">
      <c r="A593" s="27"/>
      <c r="B593" s="35"/>
      <c r="C593" s="28"/>
      <c r="D593" s="35"/>
      <c r="E593" s="29"/>
      <c r="G593" s="29"/>
    </row>
    <row r="594" customFormat="false" ht="15" hidden="false" customHeight="false" outlineLevel="0" collapsed="false">
      <c r="A594" s="27"/>
      <c r="B594" s="35"/>
      <c r="C594" s="28"/>
      <c r="D594" s="35"/>
      <c r="E594" s="29"/>
      <c r="G594" s="29"/>
    </row>
    <row r="595" customFormat="false" ht="15" hidden="false" customHeight="false" outlineLevel="0" collapsed="false">
      <c r="A595" s="27"/>
      <c r="B595" s="35"/>
      <c r="C595" s="28"/>
      <c r="D595" s="35"/>
      <c r="E595" s="29"/>
      <c r="G595" s="29"/>
    </row>
    <row r="596" customFormat="false" ht="15" hidden="false" customHeight="false" outlineLevel="0" collapsed="false">
      <c r="A596" s="27"/>
      <c r="B596" s="35"/>
      <c r="C596" s="28"/>
      <c r="D596" s="35"/>
      <c r="E596" s="29"/>
      <c r="G596" s="29"/>
    </row>
    <row r="597" customFormat="false" ht="15" hidden="false" customHeight="false" outlineLevel="0" collapsed="false">
      <c r="A597" s="27"/>
      <c r="B597" s="35"/>
      <c r="C597" s="28"/>
      <c r="D597" s="35"/>
      <c r="E597" s="29"/>
      <c r="G597" s="29"/>
    </row>
    <row r="598" customFormat="false" ht="15" hidden="false" customHeight="false" outlineLevel="0" collapsed="false">
      <c r="A598" s="27"/>
      <c r="B598" s="35"/>
      <c r="C598" s="28"/>
      <c r="D598" s="35"/>
      <c r="E598" s="29"/>
      <c r="G598" s="29"/>
    </row>
    <row r="599" customFormat="false" ht="15" hidden="false" customHeight="false" outlineLevel="0" collapsed="false">
      <c r="A599" s="27"/>
      <c r="B599" s="35"/>
      <c r="C599" s="28"/>
      <c r="D599" s="35"/>
      <c r="E599" s="29"/>
      <c r="G599" s="29"/>
    </row>
    <row r="600" customFormat="false" ht="15" hidden="false" customHeight="false" outlineLevel="0" collapsed="false">
      <c r="A600" s="27"/>
      <c r="B600" s="35"/>
      <c r="C600" s="28"/>
      <c r="D600" s="35"/>
      <c r="E600" s="29"/>
      <c r="G600" s="29"/>
    </row>
    <row r="601" customFormat="false" ht="15" hidden="false" customHeight="false" outlineLevel="0" collapsed="false">
      <c r="A601" s="27"/>
      <c r="B601" s="35"/>
      <c r="C601" s="28"/>
      <c r="D601" s="35"/>
      <c r="E601" s="29"/>
      <c r="G601" s="29"/>
    </row>
    <row r="602" customFormat="false" ht="15" hidden="false" customHeight="false" outlineLevel="0" collapsed="false">
      <c r="A602" s="27"/>
      <c r="B602" s="35"/>
      <c r="C602" s="28"/>
      <c r="D602" s="35"/>
      <c r="E602" s="29"/>
      <c r="G602" s="29"/>
    </row>
    <row r="603" customFormat="false" ht="15" hidden="false" customHeight="false" outlineLevel="0" collapsed="false">
      <c r="A603" s="27"/>
      <c r="B603" s="35"/>
      <c r="C603" s="28"/>
      <c r="D603" s="35"/>
      <c r="E603" s="29"/>
      <c r="G603" s="29"/>
    </row>
    <row r="604" customFormat="false" ht="15" hidden="false" customHeight="false" outlineLevel="0" collapsed="false">
      <c r="A604" s="27"/>
      <c r="B604" s="35"/>
      <c r="C604" s="28"/>
      <c r="D604" s="35"/>
      <c r="E604" s="29"/>
      <c r="G604" s="29"/>
    </row>
    <row r="605" customFormat="false" ht="15" hidden="false" customHeight="false" outlineLevel="0" collapsed="false">
      <c r="A605" s="27"/>
      <c r="B605" s="35"/>
      <c r="C605" s="28"/>
      <c r="D605" s="35"/>
      <c r="E605" s="29"/>
      <c r="G605" s="29"/>
    </row>
    <row r="606" customFormat="false" ht="15" hidden="false" customHeight="false" outlineLevel="0" collapsed="false">
      <c r="A606" s="27"/>
      <c r="B606" s="35"/>
      <c r="C606" s="28"/>
      <c r="D606" s="35"/>
      <c r="E606" s="29"/>
      <c r="G606" s="29"/>
    </row>
    <row r="607" customFormat="false" ht="15" hidden="false" customHeight="false" outlineLevel="0" collapsed="false">
      <c r="A607" s="27"/>
      <c r="B607" s="35"/>
      <c r="C607" s="28"/>
      <c r="D607" s="35"/>
      <c r="E607" s="29"/>
      <c r="G607" s="29"/>
    </row>
    <row r="608" customFormat="false" ht="15" hidden="false" customHeight="false" outlineLevel="0" collapsed="false">
      <c r="A608" s="27"/>
      <c r="B608" s="35"/>
      <c r="C608" s="28"/>
      <c r="D608" s="35"/>
      <c r="E608" s="29"/>
      <c r="G608" s="29"/>
    </row>
    <row r="609" customFormat="false" ht="15" hidden="false" customHeight="false" outlineLevel="0" collapsed="false">
      <c r="A609" s="27"/>
      <c r="B609" s="35"/>
      <c r="C609" s="28"/>
      <c r="D609" s="35"/>
      <c r="E609" s="29"/>
      <c r="G609" s="29"/>
    </row>
    <row r="610" customFormat="false" ht="15" hidden="false" customHeight="false" outlineLevel="0" collapsed="false">
      <c r="A610" s="27"/>
      <c r="B610" s="35"/>
      <c r="C610" s="28"/>
      <c r="D610" s="35"/>
      <c r="E610" s="29"/>
      <c r="G610" s="29"/>
    </row>
    <row r="611" customFormat="false" ht="15" hidden="false" customHeight="false" outlineLevel="0" collapsed="false">
      <c r="A611" s="27"/>
      <c r="B611" s="35"/>
      <c r="C611" s="28"/>
      <c r="D611" s="35"/>
      <c r="E611" s="29"/>
      <c r="G611" s="29"/>
    </row>
    <row r="612" customFormat="false" ht="15" hidden="false" customHeight="false" outlineLevel="0" collapsed="false">
      <c r="A612" s="27"/>
      <c r="B612" s="35"/>
      <c r="C612" s="28"/>
      <c r="D612" s="35"/>
      <c r="E612" s="29"/>
      <c r="G612" s="29"/>
    </row>
    <row r="613" customFormat="false" ht="15" hidden="false" customHeight="false" outlineLevel="0" collapsed="false">
      <c r="A613" s="27"/>
      <c r="B613" s="35"/>
      <c r="C613" s="28"/>
      <c r="D613" s="35"/>
      <c r="E613" s="29"/>
      <c r="G613" s="29"/>
    </row>
    <row r="614" customFormat="false" ht="15" hidden="false" customHeight="false" outlineLevel="0" collapsed="false">
      <c r="A614" s="27"/>
      <c r="B614" s="35"/>
      <c r="C614" s="28"/>
      <c r="D614" s="35"/>
      <c r="E614" s="29"/>
      <c r="G614" s="29"/>
    </row>
    <row r="615" customFormat="false" ht="15" hidden="false" customHeight="false" outlineLevel="0" collapsed="false">
      <c r="A615" s="27"/>
      <c r="B615" s="35"/>
      <c r="C615" s="28"/>
      <c r="D615" s="35"/>
      <c r="E615" s="29"/>
      <c r="G615" s="29"/>
    </row>
    <row r="616" customFormat="false" ht="15" hidden="false" customHeight="false" outlineLevel="0" collapsed="false">
      <c r="A616" s="27"/>
      <c r="B616" s="35"/>
      <c r="C616" s="28"/>
      <c r="D616" s="35"/>
      <c r="E616" s="29"/>
      <c r="G616" s="29"/>
    </row>
    <row r="617" customFormat="false" ht="15" hidden="false" customHeight="false" outlineLevel="0" collapsed="false">
      <c r="A617" s="27"/>
      <c r="B617" s="35"/>
      <c r="C617" s="28"/>
      <c r="D617" s="35"/>
      <c r="E617" s="29"/>
      <c r="G617" s="29"/>
    </row>
    <row r="618" customFormat="false" ht="15" hidden="false" customHeight="false" outlineLevel="0" collapsed="false">
      <c r="A618" s="27"/>
      <c r="B618" s="35"/>
      <c r="C618" s="28"/>
      <c r="D618" s="35"/>
      <c r="E618" s="29"/>
      <c r="G618" s="29"/>
    </row>
    <row r="619" customFormat="false" ht="15" hidden="false" customHeight="false" outlineLevel="0" collapsed="false">
      <c r="A619" s="27"/>
      <c r="B619" s="35"/>
      <c r="C619" s="28"/>
      <c r="D619" s="35"/>
      <c r="E619" s="29"/>
      <c r="G619" s="29"/>
    </row>
    <row r="620" customFormat="false" ht="15" hidden="false" customHeight="false" outlineLevel="0" collapsed="false">
      <c r="A620" s="27"/>
      <c r="B620" s="35"/>
      <c r="C620" s="28"/>
      <c r="D620" s="35"/>
      <c r="E620" s="29"/>
      <c r="G620" s="29"/>
    </row>
    <row r="621" customFormat="false" ht="15" hidden="false" customHeight="false" outlineLevel="0" collapsed="false">
      <c r="A621" s="27"/>
      <c r="B621" s="35"/>
      <c r="C621" s="28"/>
      <c r="D621" s="35"/>
      <c r="E621" s="29"/>
      <c r="G621" s="29"/>
    </row>
    <row r="622" customFormat="false" ht="15" hidden="false" customHeight="false" outlineLevel="0" collapsed="false">
      <c r="A622" s="27"/>
      <c r="B622" s="35"/>
      <c r="C622" s="28"/>
      <c r="D622" s="35"/>
      <c r="E622" s="29"/>
      <c r="G622" s="29"/>
    </row>
    <row r="623" customFormat="false" ht="15" hidden="false" customHeight="false" outlineLevel="0" collapsed="false">
      <c r="A623" s="27"/>
      <c r="B623" s="35"/>
      <c r="C623" s="28"/>
      <c r="D623" s="35"/>
      <c r="E623" s="29"/>
      <c r="G623" s="29"/>
    </row>
    <row r="624" customFormat="false" ht="15" hidden="false" customHeight="false" outlineLevel="0" collapsed="false">
      <c r="A624" s="27"/>
      <c r="B624" s="35"/>
      <c r="C624" s="28"/>
      <c r="D624" s="35"/>
      <c r="E624" s="29"/>
      <c r="G624" s="29"/>
    </row>
    <row r="625" customFormat="false" ht="15" hidden="false" customHeight="false" outlineLevel="0" collapsed="false">
      <c r="A625" s="27"/>
      <c r="B625" s="35"/>
      <c r="C625" s="28"/>
      <c r="D625" s="35"/>
      <c r="E625" s="29"/>
      <c r="G625" s="29"/>
    </row>
    <row r="626" customFormat="false" ht="15" hidden="false" customHeight="false" outlineLevel="0" collapsed="false">
      <c r="A626" s="27"/>
      <c r="B626" s="35"/>
      <c r="C626" s="28"/>
      <c r="D626" s="35"/>
      <c r="E626" s="29"/>
      <c r="G626" s="29"/>
    </row>
    <row r="627" customFormat="false" ht="15" hidden="false" customHeight="false" outlineLevel="0" collapsed="false">
      <c r="A627" s="27"/>
      <c r="B627" s="35"/>
      <c r="C627" s="28"/>
      <c r="D627" s="35"/>
      <c r="E627" s="29"/>
      <c r="G627" s="29"/>
    </row>
    <row r="628" customFormat="false" ht="15" hidden="false" customHeight="false" outlineLevel="0" collapsed="false">
      <c r="A628" s="27"/>
      <c r="B628" s="35"/>
      <c r="C628" s="28"/>
      <c r="D628" s="35"/>
      <c r="E628" s="29"/>
      <c r="G628" s="29"/>
    </row>
    <row r="629" customFormat="false" ht="15" hidden="false" customHeight="false" outlineLevel="0" collapsed="false">
      <c r="A629" s="27"/>
      <c r="B629" s="35"/>
      <c r="C629" s="28"/>
      <c r="D629" s="35"/>
      <c r="E629" s="29"/>
      <c r="G629" s="29"/>
    </row>
    <row r="630" customFormat="false" ht="15" hidden="false" customHeight="false" outlineLevel="0" collapsed="false">
      <c r="A630" s="27"/>
      <c r="B630" s="35"/>
      <c r="C630" s="28"/>
      <c r="D630" s="35"/>
      <c r="E630" s="29"/>
      <c r="G630" s="29"/>
    </row>
    <row r="631" customFormat="false" ht="15" hidden="false" customHeight="false" outlineLevel="0" collapsed="false">
      <c r="A631" s="27"/>
      <c r="B631" s="35"/>
      <c r="C631" s="28"/>
      <c r="D631" s="35"/>
      <c r="E631" s="29"/>
      <c r="G631" s="29"/>
    </row>
    <row r="632" customFormat="false" ht="15" hidden="false" customHeight="false" outlineLevel="0" collapsed="false">
      <c r="A632" s="27"/>
      <c r="B632" s="35"/>
      <c r="C632" s="28"/>
      <c r="D632" s="35"/>
      <c r="E632" s="29"/>
      <c r="G632" s="29"/>
    </row>
    <row r="633" customFormat="false" ht="15" hidden="false" customHeight="false" outlineLevel="0" collapsed="false">
      <c r="A633" s="27"/>
      <c r="B633" s="35"/>
      <c r="C633" s="28"/>
      <c r="D633" s="35"/>
      <c r="E633" s="29"/>
      <c r="G633" s="29"/>
    </row>
    <row r="634" customFormat="false" ht="15" hidden="false" customHeight="false" outlineLevel="0" collapsed="false">
      <c r="A634" s="27"/>
      <c r="B634" s="35"/>
      <c r="C634" s="28"/>
      <c r="D634" s="35"/>
      <c r="E634" s="29"/>
      <c r="G634" s="29"/>
    </row>
    <row r="635" customFormat="false" ht="15" hidden="false" customHeight="false" outlineLevel="0" collapsed="false">
      <c r="A635" s="27"/>
      <c r="B635" s="35"/>
      <c r="C635" s="28"/>
      <c r="D635" s="35"/>
      <c r="E635" s="29"/>
      <c r="G635" s="29"/>
    </row>
    <row r="636" customFormat="false" ht="15" hidden="false" customHeight="false" outlineLevel="0" collapsed="false">
      <c r="A636" s="27"/>
      <c r="B636" s="35"/>
      <c r="C636" s="28"/>
      <c r="D636" s="35"/>
      <c r="E636" s="29"/>
      <c r="G636" s="29"/>
    </row>
    <row r="637" customFormat="false" ht="15" hidden="false" customHeight="false" outlineLevel="0" collapsed="false">
      <c r="A637" s="27"/>
      <c r="B637" s="35"/>
      <c r="C637" s="28"/>
      <c r="D637" s="35"/>
      <c r="E637" s="29"/>
      <c r="G637" s="29"/>
    </row>
    <row r="638" customFormat="false" ht="15" hidden="false" customHeight="false" outlineLevel="0" collapsed="false">
      <c r="A638" s="27"/>
      <c r="B638" s="35"/>
      <c r="C638" s="28"/>
      <c r="D638" s="35"/>
      <c r="E638" s="29"/>
      <c r="G638" s="29"/>
    </row>
    <row r="639" customFormat="false" ht="15" hidden="false" customHeight="false" outlineLevel="0" collapsed="false">
      <c r="A639" s="27"/>
      <c r="B639" s="35"/>
      <c r="C639" s="28"/>
      <c r="D639" s="35"/>
      <c r="E639" s="29"/>
      <c r="G639" s="29"/>
    </row>
    <row r="640" customFormat="false" ht="15" hidden="false" customHeight="false" outlineLevel="0" collapsed="false">
      <c r="A640" s="27"/>
      <c r="B640" s="35"/>
      <c r="C640" s="28"/>
      <c r="D640" s="35"/>
      <c r="E640" s="29"/>
      <c r="G640" s="29"/>
    </row>
    <row r="641" customFormat="false" ht="15" hidden="false" customHeight="false" outlineLevel="0" collapsed="false">
      <c r="A641" s="27"/>
      <c r="B641" s="35"/>
      <c r="C641" s="28"/>
      <c r="D641" s="35"/>
      <c r="E641" s="29"/>
      <c r="G641" s="29"/>
    </row>
    <row r="642" customFormat="false" ht="15" hidden="false" customHeight="false" outlineLevel="0" collapsed="false">
      <c r="A642" s="27"/>
      <c r="B642" s="35"/>
      <c r="C642" s="28"/>
      <c r="D642" s="35"/>
      <c r="E642" s="29"/>
      <c r="G642" s="29"/>
    </row>
    <row r="643" customFormat="false" ht="15" hidden="false" customHeight="false" outlineLevel="0" collapsed="false">
      <c r="A643" s="27"/>
      <c r="B643" s="35"/>
      <c r="C643" s="28"/>
      <c r="D643" s="35"/>
      <c r="E643" s="29"/>
      <c r="G643" s="29"/>
    </row>
    <row r="644" customFormat="false" ht="15" hidden="false" customHeight="false" outlineLevel="0" collapsed="false">
      <c r="A644" s="27"/>
      <c r="B644" s="35"/>
      <c r="C644" s="28"/>
      <c r="D644" s="35"/>
      <c r="E644" s="29"/>
      <c r="G644" s="29"/>
    </row>
    <row r="645" customFormat="false" ht="15" hidden="false" customHeight="false" outlineLevel="0" collapsed="false">
      <c r="A645" s="27"/>
      <c r="B645" s="35"/>
      <c r="C645" s="28"/>
      <c r="D645" s="35"/>
      <c r="E645" s="29"/>
      <c r="G645" s="29"/>
    </row>
    <row r="646" customFormat="false" ht="15" hidden="false" customHeight="false" outlineLevel="0" collapsed="false">
      <c r="A646" s="27"/>
      <c r="B646" s="35"/>
      <c r="C646" s="28"/>
      <c r="D646" s="35"/>
      <c r="E646" s="29"/>
      <c r="G646" s="29"/>
    </row>
    <row r="647" customFormat="false" ht="15" hidden="false" customHeight="false" outlineLevel="0" collapsed="false">
      <c r="A647" s="27"/>
      <c r="B647" s="35"/>
      <c r="C647" s="28"/>
      <c r="D647" s="35"/>
      <c r="E647" s="29"/>
      <c r="G647" s="29"/>
    </row>
    <row r="648" customFormat="false" ht="15" hidden="false" customHeight="false" outlineLevel="0" collapsed="false">
      <c r="A648" s="27"/>
      <c r="B648" s="35"/>
      <c r="C648" s="28"/>
      <c r="D648" s="35"/>
      <c r="E648" s="29"/>
      <c r="G648" s="29"/>
    </row>
    <row r="649" customFormat="false" ht="15" hidden="false" customHeight="false" outlineLevel="0" collapsed="false">
      <c r="A649" s="27"/>
      <c r="B649" s="35"/>
      <c r="C649" s="28"/>
      <c r="D649" s="35"/>
      <c r="E649" s="29"/>
      <c r="G649" s="29"/>
    </row>
    <row r="650" customFormat="false" ht="15" hidden="false" customHeight="false" outlineLevel="0" collapsed="false">
      <c r="A650" s="27"/>
      <c r="B650" s="35"/>
      <c r="C650" s="28"/>
      <c r="D650" s="35"/>
      <c r="E650" s="29"/>
      <c r="G650" s="29"/>
    </row>
    <row r="651" customFormat="false" ht="15" hidden="false" customHeight="false" outlineLevel="0" collapsed="false">
      <c r="A651" s="27"/>
      <c r="B651" s="35"/>
      <c r="C651" s="28"/>
      <c r="D651" s="35"/>
      <c r="E651" s="29"/>
      <c r="G651" s="29"/>
    </row>
    <row r="652" customFormat="false" ht="15" hidden="false" customHeight="false" outlineLevel="0" collapsed="false">
      <c r="A652" s="27"/>
      <c r="B652" s="35"/>
      <c r="C652" s="28"/>
      <c r="D652" s="35"/>
      <c r="E652" s="29"/>
      <c r="G652" s="29"/>
    </row>
    <row r="653" customFormat="false" ht="15" hidden="false" customHeight="false" outlineLevel="0" collapsed="false">
      <c r="A653" s="27"/>
      <c r="B653" s="35"/>
      <c r="C653" s="28"/>
      <c r="D653" s="35"/>
      <c r="E653" s="29"/>
      <c r="G653" s="29"/>
    </row>
    <row r="654" customFormat="false" ht="15" hidden="false" customHeight="false" outlineLevel="0" collapsed="false">
      <c r="A654" s="27"/>
      <c r="B654" s="35"/>
      <c r="C654" s="28"/>
      <c r="D654" s="35"/>
      <c r="E654" s="29"/>
      <c r="G654" s="29"/>
    </row>
    <row r="655" customFormat="false" ht="15" hidden="false" customHeight="false" outlineLevel="0" collapsed="false">
      <c r="A655" s="27"/>
      <c r="B655" s="35"/>
      <c r="C655" s="28"/>
      <c r="D655" s="35"/>
      <c r="E655" s="29"/>
      <c r="G655" s="29"/>
    </row>
    <row r="656" customFormat="false" ht="15" hidden="false" customHeight="false" outlineLevel="0" collapsed="false">
      <c r="A656" s="27"/>
      <c r="B656" s="35"/>
      <c r="C656" s="28"/>
      <c r="D656" s="35"/>
      <c r="E656" s="29"/>
      <c r="G656" s="29"/>
    </row>
    <row r="657" customFormat="false" ht="15" hidden="false" customHeight="false" outlineLevel="0" collapsed="false">
      <c r="A657" s="27"/>
      <c r="B657" s="35"/>
      <c r="C657" s="28"/>
      <c r="D657" s="35"/>
      <c r="E657" s="29"/>
      <c r="G657" s="29"/>
    </row>
    <row r="658" customFormat="false" ht="15" hidden="false" customHeight="false" outlineLevel="0" collapsed="false">
      <c r="A658" s="27"/>
      <c r="B658" s="35"/>
      <c r="C658" s="28"/>
      <c r="D658" s="35"/>
      <c r="E658" s="29"/>
      <c r="G658" s="29"/>
    </row>
    <row r="659" customFormat="false" ht="15" hidden="false" customHeight="false" outlineLevel="0" collapsed="false">
      <c r="A659" s="27"/>
      <c r="B659" s="35"/>
      <c r="C659" s="28"/>
      <c r="D659" s="35"/>
      <c r="E659" s="29"/>
      <c r="G659" s="29"/>
    </row>
    <row r="660" customFormat="false" ht="15" hidden="false" customHeight="false" outlineLevel="0" collapsed="false">
      <c r="A660" s="27"/>
      <c r="B660" s="35"/>
      <c r="C660" s="28"/>
      <c r="D660" s="35"/>
      <c r="E660" s="29"/>
      <c r="G660" s="29"/>
    </row>
    <row r="661" customFormat="false" ht="15" hidden="false" customHeight="false" outlineLevel="0" collapsed="false">
      <c r="A661" s="27"/>
      <c r="B661" s="35"/>
      <c r="C661" s="28"/>
      <c r="D661" s="35"/>
      <c r="E661" s="29"/>
      <c r="G661" s="29"/>
    </row>
    <row r="662" customFormat="false" ht="15" hidden="false" customHeight="false" outlineLevel="0" collapsed="false">
      <c r="A662" s="27"/>
      <c r="B662" s="35"/>
      <c r="C662" s="28"/>
      <c r="D662" s="35"/>
      <c r="E662" s="29"/>
      <c r="G662" s="29"/>
    </row>
    <row r="663" customFormat="false" ht="15" hidden="false" customHeight="false" outlineLevel="0" collapsed="false">
      <c r="A663" s="27"/>
      <c r="B663" s="35"/>
      <c r="C663" s="28"/>
      <c r="D663" s="35"/>
      <c r="E663" s="29"/>
      <c r="G663" s="29"/>
    </row>
    <row r="664" customFormat="false" ht="15" hidden="false" customHeight="false" outlineLevel="0" collapsed="false">
      <c r="A664" s="27"/>
      <c r="B664" s="35"/>
      <c r="C664" s="28"/>
      <c r="D664" s="35"/>
      <c r="E664" s="29"/>
      <c r="G664" s="29"/>
    </row>
    <row r="665" customFormat="false" ht="15" hidden="false" customHeight="false" outlineLevel="0" collapsed="false">
      <c r="A665" s="27"/>
      <c r="B665" s="35"/>
      <c r="C665" s="28"/>
      <c r="D665" s="35"/>
      <c r="E665" s="29"/>
      <c r="G665" s="29"/>
    </row>
    <row r="666" customFormat="false" ht="15" hidden="false" customHeight="false" outlineLevel="0" collapsed="false">
      <c r="A666" s="27"/>
      <c r="B666" s="35"/>
      <c r="C666" s="28"/>
      <c r="D666" s="35"/>
      <c r="E666" s="29"/>
      <c r="G666" s="29"/>
    </row>
    <row r="667" customFormat="false" ht="15" hidden="false" customHeight="false" outlineLevel="0" collapsed="false">
      <c r="A667" s="27"/>
      <c r="B667" s="35"/>
      <c r="C667" s="28"/>
      <c r="D667" s="35"/>
      <c r="E667" s="29"/>
      <c r="G667" s="29"/>
    </row>
    <row r="668" customFormat="false" ht="15" hidden="false" customHeight="false" outlineLevel="0" collapsed="false">
      <c r="A668" s="27"/>
      <c r="B668" s="35"/>
      <c r="C668" s="28"/>
      <c r="D668" s="35"/>
      <c r="E668" s="29"/>
      <c r="G668" s="29"/>
    </row>
    <row r="669" customFormat="false" ht="15" hidden="false" customHeight="false" outlineLevel="0" collapsed="false">
      <c r="A669" s="27"/>
      <c r="B669" s="35"/>
      <c r="C669" s="28"/>
      <c r="D669" s="35"/>
      <c r="E669" s="29"/>
      <c r="G669" s="29"/>
    </row>
    <row r="670" customFormat="false" ht="15" hidden="false" customHeight="false" outlineLevel="0" collapsed="false">
      <c r="A670" s="27"/>
      <c r="B670" s="35"/>
      <c r="C670" s="28"/>
      <c r="D670" s="35"/>
      <c r="E670" s="29"/>
      <c r="G670" s="29"/>
    </row>
    <row r="671" customFormat="false" ht="15" hidden="false" customHeight="false" outlineLevel="0" collapsed="false">
      <c r="A671" s="27"/>
      <c r="B671" s="35"/>
      <c r="C671" s="28"/>
      <c r="D671" s="35"/>
      <c r="E671" s="29"/>
      <c r="G671" s="29"/>
    </row>
    <row r="672" customFormat="false" ht="15" hidden="false" customHeight="false" outlineLevel="0" collapsed="false">
      <c r="A672" s="27"/>
      <c r="B672" s="35"/>
      <c r="C672" s="28"/>
      <c r="D672" s="35"/>
      <c r="E672" s="29"/>
      <c r="G672" s="29"/>
    </row>
    <row r="673" customFormat="false" ht="15" hidden="false" customHeight="false" outlineLevel="0" collapsed="false">
      <c r="A673" s="27"/>
      <c r="B673" s="35"/>
      <c r="C673" s="28"/>
      <c r="D673" s="35"/>
      <c r="E673" s="29"/>
      <c r="G673" s="29"/>
    </row>
    <row r="674" customFormat="false" ht="15" hidden="false" customHeight="false" outlineLevel="0" collapsed="false">
      <c r="A674" s="27"/>
      <c r="B674" s="35"/>
      <c r="C674" s="28"/>
      <c r="D674" s="35"/>
      <c r="E674" s="29"/>
      <c r="G674" s="29"/>
    </row>
    <row r="675" customFormat="false" ht="15" hidden="false" customHeight="false" outlineLevel="0" collapsed="false">
      <c r="A675" s="27"/>
      <c r="B675" s="35"/>
      <c r="C675" s="28"/>
      <c r="D675" s="35"/>
      <c r="E675" s="29"/>
      <c r="G675" s="29"/>
    </row>
    <row r="676" customFormat="false" ht="15" hidden="false" customHeight="false" outlineLevel="0" collapsed="false">
      <c r="A676" s="27"/>
      <c r="B676" s="35"/>
      <c r="C676" s="28"/>
      <c r="D676" s="35"/>
      <c r="E676" s="29"/>
      <c r="G676" s="29"/>
    </row>
    <row r="677" customFormat="false" ht="15" hidden="false" customHeight="false" outlineLevel="0" collapsed="false">
      <c r="A677" s="27"/>
      <c r="B677" s="35"/>
      <c r="C677" s="28"/>
      <c r="D677" s="35"/>
      <c r="E677" s="29"/>
      <c r="G677" s="29"/>
    </row>
    <row r="678" customFormat="false" ht="15" hidden="false" customHeight="false" outlineLevel="0" collapsed="false">
      <c r="A678" s="27"/>
      <c r="B678" s="35"/>
      <c r="C678" s="28"/>
      <c r="D678" s="35"/>
      <c r="E678" s="29"/>
      <c r="G678" s="29"/>
    </row>
    <row r="679" customFormat="false" ht="15" hidden="false" customHeight="false" outlineLevel="0" collapsed="false">
      <c r="A679" s="27"/>
      <c r="B679" s="35"/>
      <c r="C679" s="28"/>
      <c r="D679" s="35"/>
      <c r="E679" s="29"/>
      <c r="G679" s="29"/>
    </row>
    <row r="680" customFormat="false" ht="15" hidden="false" customHeight="false" outlineLevel="0" collapsed="false">
      <c r="A680" s="27"/>
      <c r="B680" s="35"/>
      <c r="C680" s="28"/>
      <c r="D680" s="35"/>
      <c r="E680" s="29"/>
      <c r="G680" s="29"/>
    </row>
    <row r="681" customFormat="false" ht="15" hidden="false" customHeight="false" outlineLevel="0" collapsed="false">
      <c r="A681" s="27"/>
      <c r="B681" s="35"/>
      <c r="C681" s="28"/>
      <c r="D681" s="35"/>
      <c r="E681" s="29"/>
      <c r="G681" s="29"/>
    </row>
    <row r="682" customFormat="false" ht="15" hidden="false" customHeight="false" outlineLevel="0" collapsed="false">
      <c r="A682" s="27"/>
      <c r="B682" s="35"/>
      <c r="C682" s="28"/>
      <c r="D682" s="35"/>
      <c r="E682" s="29"/>
      <c r="G682" s="29"/>
    </row>
    <row r="683" customFormat="false" ht="15" hidden="false" customHeight="false" outlineLevel="0" collapsed="false">
      <c r="A683" s="27"/>
      <c r="B683" s="35"/>
      <c r="C683" s="28"/>
      <c r="D683" s="35"/>
      <c r="E683" s="29"/>
      <c r="G683" s="29"/>
    </row>
    <row r="684" customFormat="false" ht="15" hidden="false" customHeight="false" outlineLevel="0" collapsed="false">
      <c r="A684" s="27"/>
      <c r="B684" s="35"/>
      <c r="C684" s="28"/>
      <c r="D684" s="35"/>
      <c r="E684" s="29"/>
      <c r="G684" s="29"/>
    </row>
    <row r="685" customFormat="false" ht="15" hidden="false" customHeight="false" outlineLevel="0" collapsed="false">
      <c r="A685" s="27"/>
      <c r="B685" s="35"/>
      <c r="C685" s="28"/>
      <c r="D685" s="35"/>
      <c r="E685" s="29"/>
      <c r="G685" s="29"/>
    </row>
    <row r="686" customFormat="false" ht="15" hidden="false" customHeight="false" outlineLevel="0" collapsed="false">
      <c r="A686" s="27"/>
      <c r="B686" s="35"/>
      <c r="C686" s="28"/>
      <c r="D686" s="35"/>
      <c r="E686" s="29"/>
      <c r="G686" s="29"/>
    </row>
    <row r="687" customFormat="false" ht="15" hidden="false" customHeight="false" outlineLevel="0" collapsed="false">
      <c r="A687" s="27"/>
      <c r="B687" s="35"/>
      <c r="C687" s="28"/>
      <c r="D687" s="35"/>
      <c r="E687" s="29"/>
      <c r="G687" s="29"/>
    </row>
    <row r="688" customFormat="false" ht="15" hidden="false" customHeight="false" outlineLevel="0" collapsed="false">
      <c r="A688" s="27"/>
      <c r="B688" s="35"/>
      <c r="C688" s="28"/>
      <c r="D688" s="35"/>
      <c r="E688" s="29"/>
      <c r="G688" s="29"/>
    </row>
    <row r="689" customFormat="false" ht="15" hidden="false" customHeight="false" outlineLevel="0" collapsed="false">
      <c r="A689" s="27"/>
      <c r="B689" s="35"/>
      <c r="C689" s="28"/>
      <c r="D689" s="35"/>
      <c r="E689" s="29"/>
      <c r="G689" s="29"/>
    </row>
    <row r="690" customFormat="false" ht="15" hidden="false" customHeight="false" outlineLevel="0" collapsed="false">
      <c r="A690" s="27"/>
      <c r="B690" s="35"/>
      <c r="C690" s="28"/>
      <c r="D690" s="35"/>
      <c r="E690" s="29"/>
      <c r="G690" s="29"/>
    </row>
    <row r="691" customFormat="false" ht="15" hidden="false" customHeight="false" outlineLevel="0" collapsed="false">
      <c r="A691" s="27"/>
      <c r="B691" s="35"/>
      <c r="C691" s="28"/>
      <c r="D691" s="35"/>
      <c r="E691" s="29"/>
      <c r="G691" s="29"/>
    </row>
    <row r="692" customFormat="false" ht="15" hidden="false" customHeight="false" outlineLevel="0" collapsed="false">
      <c r="A692" s="27"/>
      <c r="B692" s="35"/>
      <c r="C692" s="28"/>
      <c r="D692" s="35"/>
      <c r="E692" s="29"/>
      <c r="G692" s="29"/>
    </row>
    <row r="693" customFormat="false" ht="15" hidden="false" customHeight="false" outlineLevel="0" collapsed="false">
      <c r="A693" s="27"/>
      <c r="B693" s="35"/>
      <c r="C693" s="28"/>
      <c r="D693" s="35"/>
      <c r="E693" s="29"/>
      <c r="G693" s="29"/>
    </row>
    <row r="694" customFormat="false" ht="15" hidden="false" customHeight="false" outlineLevel="0" collapsed="false">
      <c r="A694" s="27"/>
      <c r="B694" s="35"/>
      <c r="C694" s="28"/>
      <c r="D694" s="35"/>
      <c r="E694" s="29"/>
      <c r="G694" s="29"/>
    </row>
    <row r="695" customFormat="false" ht="15" hidden="false" customHeight="false" outlineLevel="0" collapsed="false">
      <c r="A695" s="27"/>
      <c r="B695" s="35"/>
      <c r="C695" s="28"/>
      <c r="D695" s="35"/>
      <c r="E695" s="29"/>
      <c r="G695" s="29"/>
    </row>
    <row r="696" customFormat="false" ht="15" hidden="false" customHeight="false" outlineLevel="0" collapsed="false">
      <c r="A696" s="27"/>
      <c r="B696" s="35"/>
      <c r="C696" s="28"/>
      <c r="D696" s="35"/>
      <c r="E696" s="29"/>
      <c r="G696" s="29"/>
    </row>
    <row r="697" customFormat="false" ht="15" hidden="false" customHeight="false" outlineLevel="0" collapsed="false">
      <c r="A697" s="27"/>
      <c r="B697" s="35"/>
      <c r="C697" s="28"/>
      <c r="D697" s="35"/>
      <c r="E697" s="29"/>
      <c r="G697" s="29"/>
    </row>
    <row r="698" customFormat="false" ht="15" hidden="false" customHeight="false" outlineLevel="0" collapsed="false">
      <c r="A698" s="27"/>
      <c r="B698" s="35"/>
      <c r="C698" s="28"/>
      <c r="D698" s="35"/>
      <c r="E698" s="29"/>
      <c r="G698" s="29"/>
    </row>
    <row r="699" customFormat="false" ht="15" hidden="false" customHeight="false" outlineLevel="0" collapsed="false">
      <c r="A699" s="27"/>
      <c r="B699" s="35"/>
      <c r="C699" s="28"/>
      <c r="D699" s="35"/>
      <c r="E699" s="29"/>
      <c r="G699" s="29"/>
    </row>
    <row r="700" customFormat="false" ht="15" hidden="false" customHeight="false" outlineLevel="0" collapsed="false">
      <c r="A700" s="27"/>
      <c r="B700" s="35"/>
      <c r="C700" s="28"/>
      <c r="D700" s="35"/>
      <c r="E700" s="29"/>
      <c r="G700" s="29"/>
    </row>
    <row r="701" customFormat="false" ht="15" hidden="false" customHeight="false" outlineLevel="0" collapsed="false">
      <c r="A701" s="27"/>
      <c r="B701" s="35"/>
      <c r="C701" s="28"/>
      <c r="D701" s="35"/>
      <c r="E701" s="29"/>
      <c r="G701" s="29"/>
    </row>
    <row r="702" customFormat="false" ht="15" hidden="false" customHeight="false" outlineLevel="0" collapsed="false">
      <c r="A702" s="27"/>
      <c r="B702" s="35"/>
      <c r="C702" s="28"/>
      <c r="D702" s="35"/>
      <c r="E702" s="29"/>
      <c r="G702" s="29"/>
    </row>
    <row r="703" customFormat="false" ht="15" hidden="false" customHeight="false" outlineLevel="0" collapsed="false">
      <c r="A703" s="27"/>
      <c r="B703" s="35"/>
      <c r="C703" s="28"/>
      <c r="D703" s="35"/>
      <c r="E703" s="29"/>
      <c r="G703" s="29"/>
    </row>
    <row r="704" customFormat="false" ht="15" hidden="false" customHeight="false" outlineLevel="0" collapsed="false">
      <c r="A704" s="27"/>
      <c r="B704" s="35"/>
      <c r="C704" s="28"/>
      <c r="D704" s="35"/>
      <c r="E704" s="29"/>
      <c r="G704" s="29"/>
    </row>
    <row r="705" customFormat="false" ht="15" hidden="false" customHeight="false" outlineLevel="0" collapsed="false">
      <c r="A705" s="27"/>
      <c r="B705" s="35"/>
      <c r="C705" s="28"/>
      <c r="D705" s="35"/>
      <c r="E705" s="29"/>
      <c r="G705" s="29"/>
    </row>
    <row r="706" customFormat="false" ht="15" hidden="false" customHeight="false" outlineLevel="0" collapsed="false">
      <c r="A706" s="27"/>
      <c r="B706" s="35"/>
      <c r="C706" s="28"/>
      <c r="D706" s="35"/>
      <c r="E706" s="29"/>
      <c r="G706" s="29"/>
    </row>
    <row r="707" customFormat="false" ht="15" hidden="false" customHeight="false" outlineLevel="0" collapsed="false">
      <c r="A707" s="27"/>
      <c r="B707" s="35"/>
      <c r="C707" s="28"/>
      <c r="D707" s="35"/>
      <c r="E707" s="29"/>
      <c r="G707" s="29"/>
    </row>
    <row r="708" customFormat="false" ht="15" hidden="false" customHeight="false" outlineLevel="0" collapsed="false">
      <c r="A708" s="27"/>
      <c r="B708" s="35"/>
      <c r="C708" s="28"/>
      <c r="D708" s="35"/>
      <c r="E708" s="29"/>
      <c r="G708" s="29"/>
    </row>
    <row r="709" customFormat="false" ht="15" hidden="false" customHeight="false" outlineLevel="0" collapsed="false">
      <c r="A709" s="27"/>
      <c r="B709" s="35"/>
      <c r="C709" s="28"/>
      <c r="D709" s="35"/>
      <c r="E709" s="29"/>
      <c r="G709" s="29"/>
    </row>
    <row r="710" customFormat="false" ht="15" hidden="false" customHeight="false" outlineLevel="0" collapsed="false">
      <c r="A710" s="27"/>
      <c r="B710" s="35"/>
      <c r="C710" s="28"/>
      <c r="D710" s="35"/>
      <c r="E710" s="29"/>
      <c r="G710" s="29"/>
    </row>
    <row r="711" customFormat="false" ht="15" hidden="false" customHeight="false" outlineLevel="0" collapsed="false">
      <c r="A711" s="27"/>
      <c r="B711" s="35"/>
      <c r="C711" s="28"/>
      <c r="D711" s="35"/>
      <c r="E711" s="29"/>
      <c r="G711" s="29"/>
    </row>
    <row r="712" customFormat="false" ht="15" hidden="false" customHeight="false" outlineLevel="0" collapsed="false">
      <c r="A712" s="27"/>
      <c r="B712" s="35"/>
      <c r="C712" s="28"/>
      <c r="D712" s="35"/>
      <c r="E712" s="29"/>
      <c r="G712" s="29"/>
    </row>
    <row r="713" customFormat="false" ht="15" hidden="false" customHeight="false" outlineLevel="0" collapsed="false">
      <c r="A713" s="27"/>
      <c r="B713" s="35"/>
      <c r="C713" s="28"/>
      <c r="D713" s="35"/>
      <c r="E713" s="29"/>
      <c r="G713" s="29"/>
    </row>
    <row r="714" customFormat="false" ht="15" hidden="false" customHeight="false" outlineLevel="0" collapsed="false">
      <c r="A714" s="27"/>
      <c r="B714" s="35"/>
      <c r="C714" s="28"/>
      <c r="D714" s="35"/>
      <c r="E714" s="29"/>
      <c r="G714" s="29"/>
    </row>
    <row r="715" customFormat="false" ht="15" hidden="false" customHeight="false" outlineLevel="0" collapsed="false">
      <c r="A715" s="27"/>
      <c r="B715" s="35"/>
      <c r="C715" s="28"/>
      <c r="D715" s="35"/>
      <c r="E715" s="29"/>
      <c r="G715" s="29"/>
    </row>
    <row r="716" customFormat="false" ht="15" hidden="false" customHeight="false" outlineLevel="0" collapsed="false">
      <c r="A716" s="27"/>
      <c r="B716" s="35"/>
      <c r="C716" s="28"/>
      <c r="D716" s="35"/>
      <c r="E716" s="29"/>
      <c r="G716" s="29"/>
    </row>
    <row r="717" customFormat="false" ht="15" hidden="false" customHeight="false" outlineLevel="0" collapsed="false">
      <c r="A717" s="27"/>
      <c r="B717" s="35"/>
      <c r="C717" s="28"/>
      <c r="D717" s="35"/>
      <c r="E717" s="29"/>
      <c r="G717" s="29"/>
    </row>
    <row r="718" customFormat="false" ht="15" hidden="false" customHeight="false" outlineLevel="0" collapsed="false">
      <c r="A718" s="27"/>
      <c r="B718" s="35"/>
      <c r="C718" s="28"/>
      <c r="D718" s="35"/>
      <c r="E718" s="29"/>
      <c r="G718" s="29"/>
    </row>
    <row r="719" customFormat="false" ht="15" hidden="false" customHeight="false" outlineLevel="0" collapsed="false">
      <c r="A719" s="27"/>
      <c r="B719" s="35"/>
      <c r="C719" s="28"/>
      <c r="D719" s="35"/>
      <c r="E719" s="29"/>
      <c r="G719" s="29"/>
    </row>
    <row r="720" customFormat="false" ht="15" hidden="false" customHeight="false" outlineLevel="0" collapsed="false">
      <c r="A720" s="27"/>
      <c r="B720" s="35"/>
      <c r="C720" s="28"/>
      <c r="D720" s="35"/>
      <c r="E720" s="29"/>
      <c r="G720" s="29"/>
    </row>
    <row r="721" customFormat="false" ht="15" hidden="false" customHeight="false" outlineLevel="0" collapsed="false">
      <c r="A721" s="27"/>
      <c r="B721" s="35"/>
      <c r="C721" s="28"/>
      <c r="D721" s="35"/>
      <c r="E721" s="29"/>
      <c r="G721" s="29"/>
    </row>
    <row r="722" customFormat="false" ht="15" hidden="false" customHeight="false" outlineLevel="0" collapsed="false">
      <c r="A722" s="27"/>
      <c r="B722" s="35"/>
      <c r="C722" s="28"/>
      <c r="D722" s="35"/>
      <c r="E722" s="29"/>
      <c r="G722" s="29"/>
    </row>
    <row r="723" customFormat="false" ht="15" hidden="false" customHeight="false" outlineLevel="0" collapsed="false">
      <c r="A723" s="27"/>
      <c r="B723" s="35"/>
      <c r="C723" s="28"/>
      <c r="D723" s="35"/>
      <c r="E723" s="29"/>
      <c r="G723" s="29"/>
    </row>
    <row r="724" customFormat="false" ht="15" hidden="false" customHeight="false" outlineLevel="0" collapsed="false">
      <c r="A724" s="27"/>
      <c r="B724" s="35"/>
      <c r="C724" s="28"/>
      <c r="D724" s="35"/>
      <c r="E724" s="29"/>
      <c r="G724" s="29"/>
    </row>
    <row r="725" customFormat="false" ht="15" hidden="false" customHeight="false" outlineLevel="0" collapsed="false">
      <c r="A725" s="27"/>
      <c r="B725" s="35"/>
      <c r="C725" s="28"/>
      <c r="D725" s="35"/>
      <c r="E725" s="29"/>
      <c r="G725" s="29"/>
    </row>
    <row r="726" customFormat="false" ht="15" hidden="false" customHeight="false" outlineLevel="0" collapsed="false">
      <c r="A726" s="27"/>
      <c r="B726" s="35"/>
      <c r="C726" s="28"/>
      <c r="D726" s="35"/>
      <c r="E726" s="29"/>
      <c r="G726" s="29"/>
    </row>
    <row r="727" customFormat="false" ht="15" hidden="false" customHeight="false" outlineLevel="0" collapsed="false">
      <c r="A727" s="27"/>
      <c r="B727" s="35"/>
      <c r="C727" s="28"/>
      <c r="D727" s="35"/>
      <c r="E727" s="29"/>
      <c r="G727" s="29"/>
    </row>
    <row r="728" customFormat="false" ht="15" hidden="false" customHeight="false" outlineLevel="0" collapsed="false">
      <c r="A728" s="27"/>
      <c r="B728" s="35"/>
      <c r="C728" s="28"/>
      <c r="D728" s="35"/>
      <c r="E728" s="29"/>
      <c r="G728" s="29"/>
    </row>
    <row r="729" customFormat="false" ht="15" hidden="false" customHeight="false" outlineLevel="0" collapsed="false">
      <c r="A729" s="27"/>
      <c r="B729" s="35"/>
      <c r="C729" s="28"/>
      <c r="D729" s="35"/>
      <c r="E729" s="29"/>
      <c r="G729" s="29"/>
    </row>
    <row r="730" customFormat="false" ht="15" hidden="false" customHeight="false" outlineLevel="0" collapsed="false">
      <c r="A730" s="27"/>
      <c r="B730" s="35"/>
      <c r="C730" s="28"/>
      <c r="D730" s="35"/>
      <c r="E730" s="29"/>
      <c r="G730" s="29"/>
    </row>
    <row r="731" customFormat="false" ht="15" hidden="false" customHeight="false" outlineLevel="0" collapsed="false">
      <c r="A731" s="27"/>
      <c r="B731" s="35"/>
      <c r="C731" s="28"/>
      <c r="D731" s="35"/>
      <c r="E731" s="29"/>
      <c r="G731" s="29"/>
    </row>
    <row r="732" customFormat="false" ht="15" hidden="false" customHeight="false" outlineLevel="0" collapsed="false">
      <c r="A732" s="27"/>
      <c r="B732" s="35"/>
      <c r="C732" s="28"/>
      <c r="D732" s="35"/>
      <c r="E732" s="29"/>
      <c r="G732" s="29"/>
    </row>
    <row r="733" customFormat="false" ht="15" hidden="false" customHeight="false" outlineLevel="0" collapsed="false">
      <c r="A733" s="27"/>
      <c r="B733" s="35"/>
      <c r="C733" s="28"/>
      <c r="D733" s="35"/>
      <c r="E733" s="29"/>
      <c r="G733" s="29"/>
    </row>
    <row r="734" customFormat="false" ht="15" hidden="false" customHeight="false" outlineLevel="0" collapsed="false">
      <c r="A734" s="27"/>
      <c r="B734" s="35"/>
      <c r="C734" s="28"/>
      <c r="D734" s="35"/>
      <c r="E734" s="29"/>
      <c r="G734" s="29"/>
    </row>
    <row r="735" customFormat="false" ht="15" hidden="false" customHeight="false" outlineLevel="0" collapsed="false">
      <c r="A735" s="27"/>
      <c r="B735" s="35"/>
      <c r="C735" s="28"/>
      <c r="D735" s="35"/>
      <c r="E735" s="29"/>
      <c r="G735" s="29"/>
    </row>
    <row r="736" customFormat="false" ht="15" hidden="false" customHeight="false" outlineLevel="0" collapsed="false">
      <c r="A736" s="27"/>
      <c r="B736" s="35"/>
      <c r="C736" s="28"/>
      <c r="D736" s="35"/>
      <c r="E736" s="29"/>
      <c r="G736" s="29"/>
    </row>
    <row r="737" customFormat="false" ht="15" hidden="false" customHeight="false" outlineLevel="0" collapsed="false">
      <c r="A737" s="27"/>
      <c r="B737" s="35"/>
      <c r="C737" s="28"/>
      <c r="D737" s="35"/>
      <c r="E737" s="29"/>
      <c r="G737" s="29"/>
    </row>
    <row r="738" customFormat="false" ht="15" hidden="false" customHeight="false" outlineLevel="0" collapsed="false">
      <c r="A738" s="27"/>
      <c r="B738" s="35"/>
      <c r="C738" s="28"/>
      <c r="D738" s="35"/>
      <c r="E738" s="29"/>
      <c r="G738" s="29"/>
    </row>
    <row r="739" customFormat="false" ht="15" hidden="false" customHeight="false" outlineLevel="0" collapsed="false">
      <c r="A739" s="27"/>
      <c r="B739" s="35"/>
      <c r="C739" s="28"/>
      <c r="D739" s="35"/>
      <c r="E739" s="29"/>
      <c r="G739" s="29"/>
    </row>
    <row r="740" customFormat="false" ht="15" hidden="false" customHeight="false" outlineLevel="0" collapsed="false">
      <c r="A740" s="27"/>
      <c r="B740" s="35"/>
      <c r="C740" s="28"/>
      <c r="D740" s="35"/>
      <c r="E740" s="29"/>
      <c r="G740" s="29"/>
    </row>
    <row r="741" customFormat="false" ht="15" hidden="false" customHeight="false" outlineLevel="0" collapsed="false">
      <c r="A741" s="27"/>
      <c r="B741" s="35"/>
      <c r="C741" s="28"/>
      <c r="D741" s="35"/>
      <c r="E741" s="29"/>
      <c r="G741" s="29"/>
    </row>
    <row r="742" customFormat="false" ht="15" hidden="false" customHeight="false" outlineLevel="0" collapsed="false">
      <c r="A742" s="27"/>
      <c r="B742" s="35"/>
      <c r="C742" s="28"/>
      <c r="D742" s="35"/>
      <c r="E742" s="29"/>
      <c r="G742" s="29"/>
    </row>
    <row r="743" customFormat="false" ht="15" hidden="false" customHeight="false" outlineLevel="0" collapsed="false">
      <c r="A743" s="27"/>
      <c r="B743" s="35"/>
      <c r="C743" s="28"/>
      <c r="D743" s="35"/>
      <c r="E743" s="29"/>
      <c r="G743" s="29"/>
    </row>
    <row r="744" customFormat="false" ht="15" hidden="false" customHeight="false" outlineLevel="0" collapsed="false">
      <c r="A744" s="27"/>
      <c r="B744" s="35"/>
      <c r="C744" s="28"/>
      <c r="D744" s="35"/>
      <c r="E744" s="29"/>
      <c r="G744" s="29"/>
    </row>
    <row r="745" customFormat="false" ht="15" hidden="false" customHeight="false" outlineLevel="0" collapsed="false">
      <c r="A745" s="27"/>
      <c r="B745" s="35"/>
      <c r="C745" s="28"/>
      <c r="D745" s="35"/>
      <c r="E745" s="29"/>
      <c r="G745" s="29"/>
    </row>
    <row r="746" customFormat="false" ht="15" hidden="false" customHeight="false" outlineLevel="0" collapsed="false">
      <c r="A746" s="27"/>
      <c r="B746" s="35"/>
      <c r="C746" s="28"/>
      <c r="D746" s="35"/>
      <c r="E746" s="29"/>
      <c r="G746" s="29"/>
    </row>
    <row r="747" customFormat="false" ht="15" hidden="false" customHeight="false" outlineLevel="0" collapsed="false">
      <c r="A747" s="27"/>
      <c r="B747" s="35"/>
      <c r="C747" s="28"/>
      <c r="D747" s="35"/>
      <c r="E747" s="29"/>
      <c r="G747" s="29"/>
    </row>
    <row r="748" customFormat="false" ht="15" hidden="false" customHeight="false" outlineLevel="0" collapsed="false">
      <c r="A748" s="27"/>
      <c r="B748" s="35"/>
      <c r="C748" s="28"/>
      <c r="D748" s="35"/>
      <c r="E748" s="29"/>
      <c r="G748" s="29"/>
    </row>
    <row r="749" customFormat="false" ht="15" hidden="false" customHeight="false" outlineLevel="0" collapsed="false">
      <c r="A749" s="27"/>
      <c r="B749" s="35"/>
      <c r="C749" s="28"/>
      <c r="D749" s="35"/>
      <c r="E749" s="29"/>
      <c r="G749" s="29"/>
    </row>
    <row r="750" customFormat="false" ht="15" hidden="false" customHeight="false" outlineLevel="0" collapsed="false">
      <c r="A750" s="27"/>
      <c r="B750" s="35"/>
      <c r="C750" s="28"/>
      <c r="D750" s="35"/>
      <c r="E750" s="29"/>
      <c r="G750" s="29"/>
    </row>
    <row r="751" customFormat="false" ht="15" hidden="false" customHeight="false" outlineLevel="0" collapsed="false">
      <c r="A751" s="27"/>
      <c r="B751" s="35"/>
      <c r="C751" s="28"/>
      <c r="D751" s="35"/>
      <c r="E751" s="29"/>
      <c r="G751" s="29"/>
    </row>
    <row r="752" customFormat="false" ht="15" hidden="false" customHeight="false" outlineLevel="0" collapsed="false">
      <c r="A752" s="27"/>
      <c r="B752" s="35"/>
      <c r="C752" s="28"/>
      <c r="D752" s="35"/>
      <c r="E752" s="29"/>
      <c r="G752" s="29"/>
    </row>
    <row r="753" customFormat="false" ht="15" hidden="false" customHeight="false" outlineLevel="0" collapsed="false">
      <c r="A753" s="27"/>
      <c r="B753" s="35"/>
      <c r="C753" s="28"/>
      <c r="D753" s="35"/>
      <c r="E753" s="29"/>
      <c r="G753" s="29"/>
    </row>
    <row r="754" customFormat="false" ht="15" hidden="false" customHeight="false" outlineLevel="0" collapsed="false">
      <c r="A754" s="27"/>
      <c r="B754" s="35"/>
      <c r="C754" s="28"/>
      <c r="D754" s="35"/>
      <c r="E754" s="29"/>
      <c r="G754" s="29"/>
    </row>
    <row r="755" customFormat="false" ht="15" hidden="false" customHeight="false" outlineLevel="0" collapsed="false">
      <c r="A755" s="27"/>
      <c r="B755" s="35"/>
      <c r="C755" s="28"/>
      <c r="D755" s="35"/>
      <c r="E755" s="29"/>
      <c r="G755" s="29"/>
    </row>
    <row r="756" customFormat="false" ht="15" hidden="false" customHeight="false" outlineLevel="0" collapsed="false">
      <c r="A756" s="27"/>
      <c r="B756" s="35"/>
      <c r="C756" s="28"/>
      <c r="D756" s="35"/>
      <c r="E756" s="29"/>
      <c r="G756" s="29"/>
    </row>
    <row r="757" customFormat="false" ht="15" hidden="false" customHeight="false" outlineLevel="0" collapsed="false">
      <c r="A757" s="27"/>
      <c r="B757" s="35"/>
      <c r="C757" s="28"/>
      <c r="D757" s="35"/>
      <c r="E757" s="29"/>
      <c r="G757" s="29"/>
    </row>
    <row r="758" customFormat="false" ht="15" hidden="false" customHeight="false" outlineLevel="0" collapsed="false">
      <c r="A758" s="27"/>
      <c r="B758" s="35"/>
      <c r="C758" s="28"/>
      <c r="D758" s="35"/>
      <c r="E758" s="29"/>
      <c r="G758" s="29"/>
    </row>
    <row r="759" customFormat="false" ht="15" hidden="false" customHeight="false" outlineLevel="0" collapsed="false">
      <c r="A759" s="27"/>
      <c r="B759" s="35"/>
      <c r="C759" s="28"/>
      <c r="D759" s="35"/>
      <c r="E759" s="29"/>
      <c r="G759" s="29"/>
    </row>
    <row r="760" customFormat="false" ht="15" hidden="false" customHeight="false" outlineLevel="0" collapsed="false">
      <c r="A760" s="27"/>
      <c r="B760" s="35"/>
      <c r="C760" s="28"/>
      <c r="D760" s="35"/>
      <c r="E760" s="29"/>
      <c r="G760" s="29"/>
    </row>
    <row r="761" customFormat="false" ht="15" hidden="false" customHeight="false" outlineLevel="0" collapsed="false">
      <c r="A761" s="27"/>
      <c r="B761" s="35"/>
      <c r="C761" s="28"/>
      <c r="D761" s="35"/>
      <c r="E761" s="29"/>
      <c r="G761" s="29"/>
    </row>
    <row r="762" customFormat="false" ht="15" hidden="false" customHeight="false" outlineLevel="0" collapsed="false">
      <c r="A762" s="27"/>
      <c r="B762" s="35"/>
      <c r="C762" s="28"/>
      <c r="D762" s="35"/>
      <c r="E762" s="29"/>
      <c r="G762" s="29"/>
    </row>
    <row r="763" customFormat="false" ht="15" hidden="false" customHeight="false" outlineLevel="0" collapsed="false">
      <c r="A763" s="27"/>
      <c r="B763" s="35"/>
      <c r="C763" s="28"/>
      <c r="D763" s="35"/>
      <c r="E763" s="29"/>
      <c r="G763" s="29"/>
    </row>
    <row r="764" customFormat="false" ht="15" hidden="false" customHeight="false" outlineLevel="0" collapsed="false">
      <c r="A764" s="27"/>
      <c r="B764" s="35"/>
      <c r="C764" s="28"/>
      <c r="D764" s="35"/>
      <c r="E764" s="29"/>
      <c r="G764" s="29"/>
    </row>
    <row r="765" customFormat="false" ht="15" hidden="false" customHeight="false" outlineLevel="0" collapsed="false">
      <c r="A765" s="27"/>
      <c r="B765" s="35"/>
      <c r="C765" s="28"/>
      <c r="D765" s="35"/>
      <c r="E765" s="29"/>
      <c r="G765" s="29"/>
    </row>
    <row r="766" customFormat="false" ht="15" hidden="false" customHeight="false" outlineLevel="0" collapsed="false">
      <c r="A766" s="27"/>
      <c r="B766" s="35"/>
      <c r="C766" s="28"/>
      <c r="D766" s="35"/>
      <c r="E766" s="29"/>
      <c r="G766" s="29"/>
    </row>
    <row r="767" customFormat="false" ht="15" hidden="false" customHeight="false" outlineLevel="0" collapsed="false">
      <c r="A767" s="27"/>
      <c r="B767" s="35"/>
      <c r="C767" s="28"/>
      <c r="D767" s="35"/>
      <c r="E767" s="29"/>
      <c r="G767" s="29"/>
    </row>
    <row r="768" customFormat="false" ht="15" hidden="false" customHeight="false" outlineLevel="0" collapsed="false">
      <c r="A768" s="27"/>
      <c r="B768" s="35"/>
      <c r="C768" s="28"/>
      <c r="D768" s="35"/>
      <c r="E768" s="29"/>
      <c r="G768" s="29"/>
    </row>
    <row r="769" customFormat="false" ht="15" hidden="false" customHeight="false" outlineLevel="0" collapsed="false">
      <c r="A769" s="27"/>
      <c r="B769" s="35"/>
      <c r="C769" s="28"/>
      <c r="D769" s="35"/>
      <c r="E769" s="29"/>
      <c r="G769" s="29"/>
    </row>
    <row r="770" customFormat="false" ht="15" hidden="false" customHeight="false" outlineLevel="0" collapsed="false">
      <c r="A770" s="27"/>
      <c r="B770" s="35"/>
      <c r="C770" s="28"/>
      <c r="D770" s="35"/>
      <c r="E770" s="29"/>
      <c r="G770" s="29"/>
    </row>
    <row r="771" customFormat="false" ht="15" hidden="false" customHeight="false" outlineLevel="0" collapsed="false">
      <c r="A771" s="27"/>
      <c r="B771" s="35"/>
      <c r="C771" s="28"/>
      <c r="D771" s="35"/>
      <c r="E771" s="29"/>
      <c r="G771" s="29"/>
    </row>
    <row r="772" customFormat="false" ht="15" hidden="false" customHeight="false" outlineLevel="0" collapsed="false">
      <c r="A772" s="27"/>
      <c r="B772" s="35"/>
      <c r="C772" s="28"/>
      <c r="D772" s="35"/>
      <c r="E772" s="29"/>
      <c r="G772" s="29"/>
    </row>
    <row r="773" customFormat="false" ht="15" hidden="false" customHeight="false" outlineLevel="0" collapsed="false">
      <c r="A773" s="27"/>
      <c r="B773" s="35"/>
      <c r="C773" s="28"/>
      <c r="D773" s="35"/>
      <c r="E773" s="29"/>
      <c r="G773" s="29"/>
    </row>
    <row r="774" customFormat="false" ht="15" hidden="false" customHeight="false" outlineLevel="0" collapsed="false">
      <c r="A774" s="27"/>
      <c r="B774" s="35"/>
      <c r="C774" s="28"/>
      <c r="D774" s="35"/>
      <c r="E774" s="29"/>
      <c r="G774" s="29"/>
    </row>
    <row r="775" customFormat="false" ht="15" hidden="false" customHeight="false" outlineLevel="0" collapsed="false">
      <c r="A775" s="27"/>
      <c r="B775" s="35"/>
      <c r="C775" s="28"/>
      <c r="D775" s="35"/>
      <c r="E775" s="29"/>
      <c r="G775" s="29"/>
    </row>
    <row r="776" customFormat="false" ht="15" hidden="false" customHeight="false" outlineLevel="0" collapsed="false">
      <c r="A776" s="27"/>
      <c r="B776" s="35"/>
      <c r="C776" s="28"/>
      <c r="D776" s="35"/>
      <c r="E776" s="29"/>
      <c r="G776" s="29"/>
    </row>
    <row r="777" customFormat="false" ht="15" hidden="false" customHeight="false" outlineLevel="0" collapsed="false">
      <c r="A777" s="27"/>
      <c r="B777" s="35"/>
      <c r="C777" s="28"/>
      <c r="D777" s="35"/>
      <c r="E777" s="29"/>
      <c r="G777" s="29"/>
    </row>
    <row r="778" customFormat="false" ht="15" hidden="false" customHeight="false" outlineLevel="0" collapsed="false">
      <c r="A778" s="27"/>
      <c r="B778" s="35"/>
      <c r="C778" s="28"/>
      <c r="D778" s="35"/>
      <c r="E778" s="29"/>
      <c r="G778" s="29"/>
    </row>
    <row r="779" customFormat="false" ht="15" hidden="false" customHeight="false" outlineLevel="0" collapsed="false">
      <c r="A779" s="27"/>
      <c r="B779" s="35"/>
      <c r="C779" s="28"/>
      <c r="D779" s="35"/>
      <c r="E779" s="29"/>
      <c r="G779" s="29"/>
    </row>
    <row r="780" customFormat="false" ht="15" hidden="false" customHeight="false" outlineLevel="0" collapsed="false">
      <c r="A780" s="27"/>
      <c r="B780" s="35"/>
      <c r="C780" s="28"/>
      <c r="D780" s="35"/>
      <c r="E780" s="29"/>
      <c r="G780" s="29"/>
    </row>
    <row r="781" customFormat="false" ht="15" hidden="false" customHeight="false" outlineLevel="0" collapsed="false">
      <c r="A781" s="27"/>
      <c r="B781" s="35"/>
      <c r="C781" s="28"/>
      <c r="D781" s="35"/>
      <c r="E781" s="29"/>
      <c r="G781" s="29"/>
    </row>
    <row r="782" customFormat="false" ht="15" hidden="false" customHeight="false" outlineLevel="0" collapsed="false">
      <c r="A782" s="27"/>
      <c r="B782" s="35"/>
      <c r="C782" s="28"/>
      <c r="D782" s="35"/>
      <c r="E782" s="29"/>
      <c r="G782" s="29"/>
    </row>
    <row r="783" customFormat="false" ht="15" hidden="false" customHeight="false" outlineLevel="0" collapsed="false">
      <c r="A783" s="27"/>
      <c r="B783" s="35"/>
      <c r="C783" s="28"/>
      <c r="D783" s="35"/>
      <c r="E783" s="29"/>
      <c r="G783" s="29"/>
    </row>
    <row r="784" customFormat="false" ht="15" hidden="false" customHeight="false" outlineLevel="0" collapsed="false">
      <c r="A784" s="27"/>
      <c r="B784" s="35"/>
      <c r="C784" s="28"/>
      <c r="D784" s="35"/>
      <c r="E784" s="29"/>
      <c r="G784" s="29"/>
    </row>
    <row r="785" customFormat="false" ht="15" hidden="false" customHeight="false" outlineLevel="0" collapsed="false">
      <c r="A785" s="27"/>
      <c r="B785" s="35"/>
      <c r="C785" s="28"/>
      <c r="D785" s="35"/>
      <c r="E785" s="29"/>
      <c r="G785" s="29"/>
    </row>
    <row r="786" customFormat="false" ht="15" hidden="false" customHeight="false" outlineLevel="0" collapsed="false">
      <c r="A786" s="27"/>
      <c r="B786" s="35"/>
      <c r="C786" s="28"/>
      <c r="D786" s="35"/>
      <c r="E786" s="29"/>
      <c r="G786" s="29"/>
    </row>
    <row r="787" customFormat="false" ht="15" hidden="false" customHeight="false" outlineLevel="0" collapsed="false">
      <c r="A787" s="27"/>
      <c r="B787" s="35"/>
      <c r="C787" s="28"/>
      <c r="D787" s="35"/>
      <c r="E787" s="29"/>
      <c r="G787" s="29"/>
    </row>
    <row r="788" customFormat="false" ht="15" hidden="false" customHeight="false" outlineLevel="0" collapsed="false">
      <c r="A788" s="27"/>
      <c r="B788" s="35"/>
      <c r="C788" s="28"/>
      <c r="D788" s="35"/>
      <c r="E788" s="29"/>
      <c r="G788" s="29"/>
    </row>
    <row r="789" customFormat="false" ht="15" hidden="false" customHeight="false" outlineLevel="0" collapsed="false">
      <c r="A789" s="27"/>
      <c r="B789" s="35"/>
      <c r="C789" s="28"/>
      <c r="D789" s="35"/>
      <c r="E789" s="29"/>
      <c r="G789" s="29"/>
    </row>
    <row r="790" customFormat="false" ht="15" hidden="false" customHeight="false" outlineLevel="0" collapsed="false">
      <c r="A790" s="27"/>
      <c r="B790" s="35"/>
      <c r="C790" s="28"/>
      <c r="D790" s="35"/>
      <c r="E790" s="29"/>
      <c r="G790" s="29"/>
    </row>
    <row r="791" customFormat="false" ht="15" hidden="false" customHeight="false" outlineLevel="0" collapsed="false">
      <c r="A791" s="27"/>
      <c r="B791" s="35"/>
      <c r="C791" s="28"/>
      <c r="D791" s="35"/>
      <c r="E791" s="29"/>
      <c r="G791" s="29"/>
    </row>
    <row r="792" customFormat="false" ht="15" hidden="false" customHeight="false" outlineLevel="0" collapsed="false">
      <c r="A792" s="27"/>
      <c r="B792" s="35"/>
      <c r="C792" s="28"/>
      <c r="D792" s="35"/>
      <c r="E792" s="29"/>
      <c r="G792" s="29"/>
    </row>
    <row r="793" customFormat="false" ht="15" hidden="false" customHeight="false" outlineLevel="0" collapsed="false">
      <c r="A793" s="27"/>
      <c r="B793" s="35"/>
      <c r="C793" s="28"/>
      <c r="D793" s="35"/>
      <c r="E793" s="29"/>
      <c r="G793" s="29"/>
    </row>
    <row r="794" customFormat="false" ht="15" hidden="false" customHeight="false" outlineLevel="0" collapsed="false">
      <c r="A794" s="27"/>
      <c r="B794" s="35"/>
      <c r="C794" s="28"/>
      <c r="D794" s="35"/>
      <c r="E794" s="29"/>
      <c r="G794" s="29"/>
    </row>
    <row r="795" customFormat="false" ht="15" hidden="false" customHeight="false" outlineLevel="0" collapsed="false">
      <c r="A795" s="27"/>
      <c r="B795" s="35"/>
      <c r="C795" s="28"/>
      <c r="D795" s="35"/>
      <c r="E795" s="29"/>
      <c r="G795" s="29"/>
    </row>
    <row r="796" customFormat="false" ht="15" hidden="false" customHeight="false" outlineLevel="0" collapsed="false">
      <c r="A796" s="27"/>
      <c r="B796" s="35"/>
      <c r="C796" s="28"/>
      <c r="D796" s="35"/>
      <c r="E796" s="29"/>
      <c r="G796" s="29"/>
    </row>
    <row r="797" customFormat="false" ht="15" hidden="false" customHeight="false" outlineLevel="0" collapsed="false">
      <c r="A797" s="27"/>
      <c r="B797" s="35"/>
      <c r="C797" s="28"/>
      <c r="D797" s="35"/>
      <c r="E797" s="29"/>
      <c r="G797" s="29"/>
    </row>
    <row r="798" customFormat="false" ht="15" hidden="false" customHeight="false" outlineLevel="0" collapsed="false">
      <c r="A798" s="27"/>
      <c r="B798" s="35"/>
      <c r="C798" s="28"/>
      <c r="D798" s="35"/>
      <c r="E798" s="29"/>
      <c r="G798" s="29"/>
    </row>
    <row r="799" customFormat="false" ht="15" hidden="false" customHeight="false" outlineLevel="0" collapsed="false">
      <c r="A799" s="27"/>
      <c r="B799" s="35"/>
      <c r="C799" s="28"/>
      <c r="D799" s="35"/>
      <c r="E799" s="29"/>
      <c r="G799" s="29"/>
    </row>
    <row r="800" customFormat="false" ht="15" hidden="false" customHeight="false" outlineLevel="0" collapsed="false">
      <c r="A800" s="27"/>
      <c r="B800" s="35"/>
      <c r="C800" s="28"/>
      <c r="D800" s="35"/>
      <c r="E800" s="29"/>
      <c r="G800" s="29"/>
    </row>
    <row r="801" customFormat="false" ht="15" hidden="false" customHeight="false" outlineLevel="0" collapsed="false">
      <c r="A801" s="27"/>
      <c r="B801" s="35"/>
      <c r="C801" s="28"/>
      <c r="D801" s="35"/>
      <c r="E801" s="29"/>
      <c r="G801" s="29"/>
    </row>
    <row r="802" customFormat="false" ht="15" hidden="false" customHeight="false" outlineLevel="0" collapsed="false">
      <c r="A802" s="27"/>
      <c r="B802" s="35"/>
      <c r="C802" s="28"/>
      <c r="D802" s="35"/>
      <c r="E802" s="29"/>
      <c r="G802" s="29"/>
    </row>
    <row r="803" customFormat="false" ht="15" hidden="false" customHeight="false" outlineLevel="0" collapsed="false">
      <c r="A803" s="27"/>
      <c r="B803" s="35"/>
      <c r="C803" s="28"/>
      <c r="D803" s="35"/>
      <c r="E803" s="29"/>
      <c r="G803" s="29"/>
    </row>
    <row r="804" customFormat="false" ht="15" hidden="false" customHeight="false" outlineLevel="0" collapsed="false">
      <c r="A804" s="27"/>
      <c r="B804" s="35"/>
      <c r="C804" s="28"/>
      <c r="D804" s="35"/>
      <c r="E804" s="29"/>
      <c r="G804" s="29"/>
    </row>
    <row r="805" customFormat="false" ht="15" hidden="false" customHeight="false" outlineLevel="0" collapsed="false">
      <c r="A805" s="27"/>
      <c r="B805" s="35"/>
      <c r="C805" s="28"/>
      <c r="D805" s="35"/>
      <c r="E805" s="29"/>
      <c r="G805" s="29"/>
    </row>
    <row r="806" customFormat="false" ht="15" hidden="false" customHeight="false" outlineLevel="0" collapsed="false">
      <c r="A806" s="27"/>
      <c r="B806" s="35"/>
      <c r="C806" s="28"/>
      <c r="D806" s="35"/>
      <c r="E806" s="29"/>
      <c r="G806" s="29"/>
    </row>
    <row r="807" customFormat="false" ht="15" hidden="false" customHeight="false" outlineLevel="0" collapsed="false">
      <c r="A807" s="27"/>
      <c r="B807" s="35"/>
      <c r="C807" s="28"/>
      <c r="D807" s="35"/>
      <c r="E807" s="29"/>
      <c r="G807" s="29"/>
    </row>
    <row r="808" customFormat="false" ht="15" hidden="false" customHeight="false" outlineLevel="0" collapsed="false">
      <c r="A808" s="27"/>
      <c r="B808" s="35"/>
      <c r="C808" s="28"/>
      <c r="D808" s="35"/>
      <c r="E808" s="29"/>
      <c r="G808" s="29"/>
    </row>
    <row r="809" customFormat="false" ht="15" hidden="false" customHeight="false" outlineLevel="0" collapsed="false">
      <c r="A809" s="27"/>
      <c r="B809" s="35"/>
      <c r="C809" s="28"/>
      <c r="D809" s="35"/>
      <c r="E809" s="29"/>
      <c r="G809" s="29"/>
    </row>
    <row r="810" customFormat="false" ht="15" hidden="false" customHeight="false" outlineLevel="0" collapsed="false">
      <c r="A810" s="27"/>
      <c r="B810" s="35"/>
      <c r="C810" s="28"/>
      <c r="D810" s="35"/>
      <c r="E810" s="29"/>
      <c r="G810" s="29"/>
    </row>
    <row r="811" customFormat="false" ht="15" hidden="false" customHeight="false" outlineLevel="0" collapsed="false">
      <c r="A811" s="27"/>
      <c r="B811" s="35"/>
      <c r="C811" s="28"/>
      <c r="D811" s="35"/>
      <c r="E811" s="29"/>
      <c r="G811" s="29"/>
    </row>
    <row r="812" customFormat="false" ht="15" hidden="false" customHeight="false" outlineLevel="0" collapsed="false">
      <c r="A812" s="27"/>
      <c r="B812" s="35"/>
      <c r="C812" s="28"/>
      <c r="D812" s="35"/>
      <c r="E812" s="29"/>
      <c r="G812" s="29"/>
    </row>
    <row r="813" customFormat="false" ht="15" hidden="false" customHeight="false" outlineLevel="0" collapsed="false">
      <c r="A813" s="27"/>
      <c r="B813" s="35"/>
      <c r="C813" s="28"/>
      <c r="D813" s="35"/>
      <c r="E813" s="29"/>
      <c r="G813" s="29"/>
    </row>
    <row r="814" customFormat="false" ht="15" hidden="false" customHeight="false" outlineLevel="0" collapsed="false">
      <c r="A814" s="27"/>
      <c r="B814" s="35"/>
      <c r="C814" s="28"/>
      <c r="D814" s="35"/>
      <c r="E814" s="29"/>
      <c r="G814" s="29"/>
    </row>
    <row r="815" customFormat="false" ht="15" hidden="false" customHeight="false" outlineLevel="0" collapsed="false">
      <c r="A815" s="27"/>
      <c r="B815" s="35"/>
      <c r="C815" s="28"/>
      <c r="D815" s="35"/>
      <c r="E815" s="29"/>
      <c r="G815" s="29"/>
    </row>
    <row r="816" customFormat="false" ht="15" hidden="false" customHeight="false" outlineLevel="0" collapsed="false">
      <c r="A816" s="27"/>
      <c r="B816" s="35"/>
      <c r="C816" s="28"/>
      <c r="D816" s="35"/>
      <c r="E816" s="29"/>
      <c r="G816" s="29"/>
    </row>
    <row r="817" customFormat="false" ht="15" hidden="false" customHeight="false" outlineLevel="0" collapsed="false">
      <c r="A817" s="27"/>
      <c r="B817" s="35"/>
      <c r="C817" s="28"/>
      <c r="D817" s="35"/>
      <c r="E817" s="29"/>
      <c r="G817" s="29"/>
    </row>
    <row r="818" customFormat="false" ht="15" hidden="false" customHeight="false" outlineLevel="0" collapsed="false">
      <c r="A818" s="27"/>
      <c r="B818" s="35"/>
      <c r="C818" s="28"/>
      <c r="D818" s="35"/>
      <c r="E818" s="29"/>
      <c r="G818" s="29"/>
    </row>
    <row r="819" customFormat="false" ht="15" hidden="false" customHeight="false" outlineLevel="0" collapsed="false">
      <c r="A819" s="27"/>
      <c r="B819" s="35"/>
      <c r="C819" s="28"/>
      <c r="D819" s="35"/>
      <c r="E819" s="29"/>
      <c r="G819" s="29"/>
    </row>
    <row r="820" customFormat="false" ht="15" hidden="false" customHeight="false" outlineLevel="0" collapsed="false">
      <c r="A820" s="27"/>
      <c r="B820" s="35"/>
      <c r="C820" s="28"/>
      <c r="D820" s="35"/>
      <c r="E820" s="29"/>
      <c r="G820" s="29"/>
    </row>
    <row r="821" customFormat="false" ht="15" hidden="false" customHeight="false" outlineLevel="0" collapsed="false">
      <c r="A821" s="27"/>
      <c r="B821" s="35"/>
      <c r="C821" s="28"/>
      <c r="D821" s="35"/>
      <c r="E821" s="29"/>
      <c r="G821" s="29"/>
    </row>
    <row r="822" customFormat="false" ht="15" hidden="false" customHeight="false" outlineLevel="0" collapsed="false">
      <c r="A822" s="27"/>
      <c r="B822" s="35"/>
      <c r="C822" s="28"/>
      <c r="D822" s="35"/>
      <c r="E822" s="29"/>
      <c r="G822" s="29"/>
    </row>
    <row r="823" customFormat="false" ht="15" hidden="false" customHeight="false" outlineLevel="0" collapsed="false">
      <c r="A823" s="27"/>
      <c r="B823" s="35"/>
      <c r="C823" s="28"/>
      <c r="D823" s="35"/>
      <c r="E823" s="29"/>
      <c r="G823" s="29"/>
    </row>
    <row r="824" customFormat="false" ht="15" hidden="false" customHeight="false" outlineLevel="0" collapsed="false">
      <c r="A824" s="27"/>
      <c r="B824" s="35"/>
      <c r="C824" s="28"/>
      <c r="D824" s="35"/>
      <c r="E824" s="29"/>
      <c r="G824" s="29"/>
    </row>
    <row r="825" customFormat="false" ht="15" hidden="false" customHeight="false" outlineLevel="0" collapsed="false">
      <c r="A825" s="27"/>
      <c r="B825" s="35"/>
      <c r="C825" s="28"/>
      <c r="D825" s="35"/>
      <c r="E825" s="29"/>
      <c r="G825" s="29"/>
    </row>
    <row r="826" customFormat="false" ht="15" hidden="false" customHeight="false" outlineLevel="0" collapsed="false">
      <c r="A826" s="27"/>
      <c r="B826" s="35"/>
      <c r="C826" s="28"/>
      <c r="D826" s="35"/>
      <c r="E826" s="29"/>
      <c r="G826" s="29"/>
    </row>
    <row r="827" customFormat="false" ht="15" hidden="false" customHeight="false" outlineLevel="0" collapsed="false">
      <c r="A827" s="27"/>
      <c r="B827" s="35"/>
      <c r="C827" s="28"/>
      <c r="D827" s="35"/>
      <c r="E827" s="29"/>
      <c r="G827" s="29"/>
    </row>
    <row r="828" customFormat="false" ht="15" hidden="false" customHeight="false" outlineLevel="0" collapsed="false">
      <c r="A828" s="27"/>
      <c r="B828" s="35"/>
      <c r="C828" s="28"/>
      <c r="D828" s="35"/>
      <c r="E828" s="29"/>
      <c r="G828" s="29"/>
    </row>
    <row r="829" customFormat="false" ht="15" hidden="false" customHeight="false" outlineLevel="0" collapsed="false">
      <c r="A829" s="27"/>
      <c r="B829" s="35"/>
      <c r="C829" s="28"/>
      <c r="D829" s="35"/>
      <c r="E829" s="29"/>
      <c r="G829" s="29"/>
    </row>
    <row r="830" customFormat="false" ht="15" hidden="false" customHeight="false" outlineLevel="0" collapsed="false">
      <c r="A830" s="27"/>
      <c r="B830" s="35"/>
      <c r="C830" s="28"/>
      <c r="D830" s="35"/>
      <c r="E830" s="29"/>
      <c r="G830" s="29"/>
    </row>
    <row r="831" customFormat="false" ht="15" hidden="false" customHeight="false" outlineLevel="0" collapsed="false">
      <c r="A831" s="27"/>
      <c r="B831" s="35"/>
      <c r="C831" s="28"/>
      <c r="D831" s="35"/>
      <c r="E831" s="29"/>
      <c r="G831" s="29"/>
    </row>
    <row r="832" customFormat="false" ht="15" hidden="false" customHeight="false" outlineLevel="0" collapsed="false">
      <c r="A832" s="27"/>
      <c r="B832" s="35"/>
      <c r="C832" s="28"/>
      <c r="D832" s="35"/>
      <c r="E832" s="29"/>
      <c r="G832" s="29"/>
    </row>
    <row r="833" customFormat="false" ht="15" hidden="false" customHeight="false" outlineLevel="0" collapsed="false">
      <c r="A833" s="27"/>
      <c r="B833" s="35"/>
      <c r="C833" s="28"/>
      <c r="D833" s="35"/>
      <c r="E833" s="29"/>
      <c r="G833" s="29"/>
    </row>
    <row r="834" customFormat="false" ht="15" hidden="false" customHeight="false" outlineLevel="0" collapsed="false">
      <c r="A834" s="27"/>
      <c r="B834" s="35"/>
      <c r="C834" s="28"/>
      <c r="D834" s="35"/>
      <c r="E834" s="29"/>
      <c r="G834" s="29"/>
    </row>
    <row r="835" customFormat="false" ht="15" hidden="false" customHeight="false" outlineLevel="0" collapsed="false">
      <c r="A835" s="27"/>
      <c r="B835" s="35"/>
      <c r="C835" s="28"/>
      <c r="D835" s="35"/>
      <c r="E835" s="29"/>
      <c r="G835" s="29"/>
    </row>
    <row r="836" customFormat="false" ht="15" hidden="false" customHeight="false" outlineLevel="0" collapsed="false">
      <c r="A836" s="27"/>
      <c r="B836" s="35"/>
      <c r="C836" s="28"/>
      <c r="D836" s="35"/>
      <c r="E836" s="29"/>
      <c r="G836" s="29"/>
    </row>
    <row r="837" customFormat="false" ht="15" hidden="false" customHeight="false" outlineLevel="0" collapsed="false">
      <c r="A837" s="27"/>
      <c r="B837" s="35"/>
      <c r="C837" s="28"/>
      <c r="D837" s="35"/>
      <c r="E837" s="29"/>
      <c r="G837" s="29"/>
    </row>
    <row r="838" customFormat="false" ht="15" hidden="false" customHeight="false" outlineLevel="0" collapsed="false">
      <c r="A838" s="27"/>
      <c r="B838" s="35"/>
      <c r="C838" s="28"/>
      <c r="D838" s="35"/>
      <c r="E838" s="29"/>
      <c r="G838" s="29"/>
    </row>
    <row r="839" customFormat="false" ht="15" hidden="false" customHeight="false" outlineLevel="0" collapsed="false">
      <c r="A839" s="27"/>
      <c r="B839" s="35"/>
      <c r="C839" s="28"/>
      <c r="D839" s="35"/>
      <c r="E839" s="29"/>
      <c r="G839" s="29"/>
    </row>
    <row r="840" customFormat="false" ht="15" hidden="false" customHeight="false" outlineLevel="0" collapsed="false">
      <c r="A840" s="27"/>
      <c r="B840" s="35"/>
      <c r="C840" s="28"/>
      <c r="D840" s="35"/>
      <c r="E840" s="29"/>
      <c r="G840" s="29"/>
    </row>
    <row r="841" customFormat="false" ht="15" hidden="false" customHeight="false" outlineLevel="0" collapsed="false">
      <c r="A841" s="27"/>
      <c r="B841" s="35"/>
      <c r="C841" s="28"/>
      <c r="D841" s="35"/>
      <c r="E841" s="29"/>
      <c r="G841" s="29"/>
    </row>
    <row r="842" customFormat="false" ht="15" hidden="false" customHeight="false" outlineLevel="0" collapsed="false">
      <c r="A842" s="27"/>
      <c r="B842" s="35"/>
      <c r="C842" s="28"/>
      <c r="D842" s="35"/>
      <c r="E842" s="29"/>
      <c r="G842" s="29"/>
    </row>
    <row r="843" customFormat="false" ht="15" hidden="false" customHeight="false" outlineLevel="0" collapsed="false">
      <c r="A843" s="27"/>
      <c r="B843" s="35"/>
      <c r="C843" s="28"/>
      <c r="D843" s="35"/>
      <c r="E843" s="29"/>
      <c r="G843" s="29"/>
    </row>
    <row r="844" customFormat="false" ht="15" hidden="false" customHeight="false" outlineLevel="0" collapsed="false">
      <c r="A844" s="27"/>
      <c r="B844" s="35"/>
      <c r="C844" s="28"/>
      <c r="D844" s="35"/>
      <c r="E844" s="29"/>
      <c r="G844" s="29"/>
    </row>
    <row r="845" customFormat="false" ht="15" hidden="false" customHeight="false" outlineLevel="0" collapsed="false">
      <c r="A845" s="27"/>
      <c r="B845" s="35"/>
      <c r="C845" s="28"/>
      <c r="D845" s="35"/>
      <c r="E845" s="29"/>
      <c r="G845" s="29"/>
    </row>
    <row r="846" customFormat="false" ht="15" hidden="false" customHeight="false" outlineLevel="0" collapsed="false">
      <c r="A846" s="27"/>
      <c r="B846" s="35"/>
      <c r="C846" s="28"/>
      <c r="D846" s="35"/>
      <c r="E846" s="29"/>
      <c r="G846" s="29"/>
    </row>
    <row r="847" customFormat="false" ht="15" hidden="false" customHeight="false" outlineLevel="0" collapsed="false">
      <c r="A847" s="27"/>
      <c r="B847" s="35"/>
      <c r="C847" s="28"/>
      <c r="D847" s="35"/>
      <c r="E847" s="29"/>
      <c r="G847" s="29"/>
    </row>
    <row r="848" customFormat="false" ht="15" hidden="false" customHeight="false" outlineLevel="0" collapsed="false">
      <c r="A848" s="27"/>
      <c r="B848" s="35"/>
      <c r="C848" s="28"/>
      <c r="D848" s="35"/>
      <c r="E848" s="29"/>
      <c r="G848" s="29"/>
    </row>
    <row r="849" customFormat="false" ht="15" hidden="false" customHeight="false" outlineLevel="0" collapsed="false">
      <c r="A849" s="27"/>
      <c r="B849" s="35"/>
      <c r="C849" s="28"/>
      <c r="D849" s="35"/>
      <c r="E849" s="29"/>
      <c r="G849" s="29"/>
    </row>
    <row r="850" customFormat="false" ht="15" hidden="false" customHeight="false" outlineLevel="0" collapsed="false">
      <c r="A850" s="27"/>
      <c r="B850" s="35"/>
      <c r="C850" s="28"/>
      <c r="D850" s="35"/>
      <c r="E850" s="29"/>
      <c r="G850" s="29"/>
    </row>
    <row r="851" customFormat="false" ht="15" hidden="false" customHeight="false" outlineLevel="0" collapsed="false">
      <c r="A851" s="27"/>
      <c r="B851" s="35"/>
      <c r="C851" s="28"/>
      <c r="D851" s="35"/>
      <c r="E851" s="29"/>
      <c r="G851" s="29"/>
    </row>
    <row r="852" customFormat="false" ht="15" hidden="false" customHeight="false" outlineLevel="0" collapsed="false">
      <c r="A852" s="27"/>
      <c r="B852" s="35"/>
      <c r="C852" s="28"/>
      <c r="D852" s="35"/>
      <c r="E852" s="29"/>
      <c r="G852" s="29"/>
    </row>
    <row r="853" customFormat="false" ht="15" hidden="false" customHeight="false" outlineLevel="0" collapsed="false">
      <c r="A853" s="27"/>
      <c r="B853" s="35"/>
      <c r="C853" s="28"/>
      <c r="D853" s="35"/>
      <c r="E853" s="29"/>
      <c r="G853" s="29"/>
    </row>
    <row r="854" customFormat="false" ht="15" hidden="false" customHeight="false" outlineLevel="0" collapsed="false">
      <c r="A854" s="27"/>
      <c r="B854" s="35"/>
      <c r="C854" s="28"/>
      <c r="D854" s="35"/>
      <c r="E854" s="29"/>
      <c r="G854" s="29"/>
    </row>
    <row r="855" customFormat="false" ht="15" hidden="false" customHeight="false" outlineLevel="0" collapsed="false">
      <c r="A855" s="27"/>
      <c r="B855" s="35"/>
      <c r="C855" s="28"/>
      <c r="D855" s="35"/>
      <c r="E855" s="29"/>
      <c r="G855" s="29"/>
    </row>
    <row r="856" customFormat="false" ht="15" hidden="false" customHeight="false" outlineLevel="0" collapsed="false">
      <c r="A856" s="27"/>
      <c r="B856" s="35"/>
      <c r="C856" s="28"/>
      <c r="D856" s="35"/>
      <c r="E856" s="29"/>
      <c r="G856" s="29"/>
    </row>
    <row r="857" customFormat="false" ht="15" hidden="false" customHeight="false" outlineLevel="0" collapsed="false">
      <c r="A857" s="27"/>
      <c r="B857" s="35"/>
      <c r="C857" s="28"/>
      <c r="D857" s="35"/>
      <c r="E857" s="29"/>
      <c r="G857" s="29"/>
    </row>
    <row r="858" customFormat="false" ht="15" hidden="false" customHeight="false" outlineLevel="0" collapsed="false">
      <c r="A858" s="27"/>
      <c r="B858" s="35"/>
      <c r="C858" s="28"/>
      <c r="D858" s="35"/>
      <c r="E858" s="29"/>
      <c r="G858" s="29"/>
    </row>
    <row r="859" customFormat="false" ht="15" hidden="false" customHeight="false" outlineLevel="0" collapsed="false">
      <c r="A859" s="27"/>
      <c r="B859" s="35"/>
      <c r="C859" s="28"/>
      <c r="D859" s="35"/>
      <c r="E859" s="29"/>
      <c r="G859" s="29"/>
    </row>
    <row r="860" customFormat="false" ht="15" hidden="false" customHeight="false" outlineLevel="0" collapsed="false">
      <c r="A860" s="27"/>
      <c r="B860" s="35"/>
      <c r="C860" s="28"/>
      <c r="D860" s="35"/>
      <c r="E860" s="29"/>
      <c r="G860" s="29"/>
    </row>
    <row r="861" customFormat="false" ht="15" hidden="false" customHeight="false" outlineLevel="0" collapsed="false">
      <c r="A861" s="27"/>
      <c r="B861" s="35"/>
      <c r="C861" s="28"/>
      <c r="D861" s="35"/>
      <c r="E861" s="29"/>
      <c r="G861" s="29"/>
    </row>
    <row r="862" customFormat="false" ht="15" hidden="false" customHeight="false" outlineLevel="0" collapsed="false">
      <c r="A862" s="27"/>
      <c r="B862" s="35"/>
      <c r="C862" s="28"/>
      <c r="D862" s="35"/>
      <c r="E862" s="29"/>
      <c r="G862" s="29"/>
    </row>
    <row r="863" customFormat="false" ht="15" hidden="false" customHeight="false" outlineLevel="0" collapsed="false">
      <c r="A863" s="27"/>
      <c r="B863" s="35"/>
      <c r="C863" s="28"/>
      <c r="D863" s="35"/>
      <c r="E863" s="29"/>
      <c r="G863" s="29"/>
    </row>
    <row r="864" customFormat="false" ht="15" hidden="false" customHeight="false" outlineLevel="0" collapsed="false">
      <c r="A864" s="27"/>
      <c r="B864" s="35"/>
      <c r="C864" s="28"/>
      <c r="D864" s="35"/>
      <c r="E864" s="29"/>
      <c r="G864" s="29"/>
    </row>
    <row r="865" customFormat="false" ht="15" hidden="false" customHeight="false" outlineLevel="0" collapsed="false">
      <c r="A865" s="27"/>
      <c r="B865" s="35"/>
      <c r="C865" s="28"/>
      <c r="D865" s="35"/>
      <c r="E865" s="29"/>
      <c r="G865" s="29"/>
    </row>
    <row r="866" customFormat="false" ht="15" hidden="false" customHeight="false" outlineLevel="0" collapsed="false">
      <c r="A866" s="27"/>
      <c r="B866" s="35"/>
      <c r="C866" s="28"/>
      <c r="D866" s="35"/>
      <c r="E866" s="29"/>
      <c r="G866" s="29"/>
    </row>
    <row r="867" customFormat="false" ht="15" hidden="false" customHeight="false" outlineLevel="0" collapsed="false">
      <c r="A867" s="27"/>
      <c r="B867" s="35"/>
      <c r="C867" s="28"/>
      <c r="D867" s="35"/>
      <c r="E867" s="29"/>
      <c r="G867" s="29"/>
    </row>
    <row r="868" customFormat="false" ht="15" hidden="false" customHeight="false" outlineLevel="0" collapsed="false">
      <c r="A868" s="27"/>
      <c r="B868" s="35"/>
      <c r="C868" s="28"/>
      <c r="D868" s="35"/>
      <c r="E868" s="29"/>
      <c r="G868" s="29"/>
    </row>
    <row r="869" customFormat="false" ht="15" hidden="false" customHeight="false" outlineLevel="0" collapsed="false">
      <c r="A869" s="27"/>
      <c r="B869" s="35"/>
      <c r="C869" s="28"/>
      <c r="D869" s="35"/>
      <c r="E869" s="29"/>
      <c r="G869" s="29"/>
    </row>
    <row r="870" customFormat="false" ht="15" hidden="false" customHeight="false" outlineLevel="0" collapsed="false">
      <c r="A870" s="27"/>
      <c r="B870" s="35"/>
      <c r="C870" s="28"/>
      <c r="D870" s="35"/>
      <c r="E870" s="29"/>
      <c r="G870" s="29"/>
    </row>
    <row r="871" customFormat="false" ht="15" hidden="false" customHeight="false" outlineLevel="0" collapsed="false">
      <c r="A871" s="27"/>
      <c r="B871" s="35"/>
      <c r="C871" s="28"/>
      <c r="D871" s="35"/>
      <c r="E871" s="29"/>
      <c r="G871" s="29"/>
    </row>
    <row r="872" customFormat="false" ht="15" hidden="false" customHeight="false" outlineLevel="0" collapsed="false">
      <c r="A872" s="27"/>
      <c r="B872" s="35"/>
      <c r="C872" s="28"/>
      <c r="D872" s="35"/>
      <c r="E872" s="29"/>
      <c r="G872" s="29"/>
    </row>
    <row r="873" customFormat="false" ht="15" hidden="false" customHeight="false" outlineLevel="0" collapsed="false">
      <c r="A873" s="27"/>
      <c r="B873" s="35"/>
      <c r="C873" s="28"/>
      <c r="D873" s="35"/>
      <c r="E873" s="29"/>
      <c r="G873" s="29"/>
    </row>
    <row r="874" customFormat="false" ht="15" hidden="false" customHeight="false" outlineLevel="0" collapsed="false">
      <c r="A874" s="27"/>
      <c r="B874" s="35"/>
      <c r="C874" s="28"/>
      <c r="D874" s="35"/>
      <c r="E874" s="29"/>
      <c r="G874" s="29"/>
    </row>
    <row r="875" customFormat="false" ht="15" hidden="false" customHeight="false" outlineLevel="0" collapsed="false">
      <c r="A875" s="27"/>
      <c r="B875" s="35"/>
      <c r="C875" s="28"/>
      <c r="D875" s="35"/>
      <c r="E875" s="29"/>
      <c r="G875" s="29"/>
    </row>
    <row r="876" customFormat="false" ht="15" hidden="false" customHeight="false" outlineLevel="0" collapsed="false">
      <c r="A876" s="27"/>
      <c r="B876" s="35"/>
      <c r="C876" s="28"/>
      <c r="D876" s="35"/>
      <c r="E876" s="29"/>
      <c r="G876" s="29"/>
    </row>
    <row r="877" customFormat="false" ht="15" hidden="false" customHeight="false" outlineLevel="0" collapsed="false">
      <c r="A877" s="27"/>
      <c r="B877" s="35"/>
      <c r="C877" s="28"/>
      <c r="D877" s="35"/>
      <c r="E877" s="29"/>
      <c r="G877" s="29"/>
    </row>
    <row r="878" customFormat="false" ht="15" hidden="false" customHeight="false" outlineLevel="0" collapsed="false">
      <c r="A878" s="27"/>
      <c r="B878" s="35"/>
      <c r="C878" s="28"/>
      <c r="D878" s="35"/>
      <c r="E878" s="29"/>
      <c r="G878" s="29"/>
    </row>
    <row r="879" customFormat="false" ht="15" hidden="false" customHeight="false" outlineLevel="0" collapsed="false">
      <c r="A879" s="27"/>
      <c r="B879" s="35"/>
      <c r="C879" s="28"/>
      <c r="D879" s="35"/>
      <c r="E879" s="29"/>
      <c r="G879" s="29"/>
    </row>
    <row r="880" customFormat="false" ht="15" hidden="false" customHeight="false" outlineLevel="0" collapsed="false">
      <c r="A880" s="27"/>
      <c r="B880" s="35"/>
      <c r="C880" s="28"/>
      <c r="D880" s="35"/>
      <c r="E880" s="29"/>
      <c r="G880" s="29"/>
    </row>
    <row r="881" customFormat="false" ht="15" hidden="false" customHeight="false" outlineLevel="0" collapsed="false">
      <c r="A881" s="27"/>
      <c r="B881" s="35"/>
      <c r="C881" s="28"/>
      <c r="D881" s="35"/>
      <c r="E881" s="29"/>
      <c r="G881" s="29"/>
    </row>
    <row r="882" customFormat="false" ht="15" hidden="false" customHeight="false" outlineLevel="0" collapsed="false">
      <c r="A882" s="27"/>
      <c r="B882" s="35"/>
      <c r="C882" s="28"/>
      <c r="D882" s="35"/>
      <c r="E882" s="29"/>
      <c r="G882" s="29"/>
    </row>
    <row r="883" customFormat="false" ht="15" hidden="false" customHeight="false" outlineLevel="0" collapsed="false">
      <c r="A883" s="27"/>
      <c r="B883" s="35"/>
      <c r="C883" s="28"/>
      <c r="D883" s="35"/>
      <c r="E883" s="29"/>
      <c r="G883" s="29"/>
    </row>
    <row r="884" customFormat="false" ht="15" hidden="false" customHeight="false" outlineLevel="0" collapsed="false">
      <c r="A884" s="27"/>
      <c r="B884" s="35"/>
      <c r="C884" s="28"/>
      <c r="D884" s="35"/>
      <c r="E884" s="29"/>
      <c r="G884" s="29"/>
    </row>
    <row r="885" customFormat="false" ht="15" hidden="false" customHeight="false" outlineLevel="0" collapsed="false">
      <c r="A885" s="27"/>
      <c r="B885" s="35"/>
      <c r="C885" s="28"/>
      <c r="D885" s="35"/>
      <c r="E885" s="29"/>
      <c r="G885" s="29"/>
    </row>
    <row r="886" customFormat="false" ht="15" hidden="false" customHeight="false" outlineLevel="0" collapsed="false">
      <c r="A886" s="27"/>
      <c r="B886" s="35"/>
      <c r="C886" s="28"/>
      <c r="D886" s="35"/>
      <c r="E886" s="29"/>
      <c r="G886" s="29"/>
    </row>
    <row r="887" customFormat="false" ht="15" hidden="false" customHeight="false" outlineLevel="0" collapsed="false">
      <c r="A887" s="27"/>
      <c r="B887" s="35"/>
      <c r="C887" s="28"/>
      <c r="D887" s="35"/>
      <c r="E887" s="29"/>
      <c r="G887" s="29"/>
    </row>
    <row r="888" customFormat="false" ht="15" hidden="false" customHeight="false" outlineLevel="0" collapsed="false">
      <c r="A888" s="27"/>
      <c r="B888" s="35"/>
      <c r="C888" s="28"/>
      <c r="D888" s="35"/>
      <c r="E888" s="29"/>
      <c r="G888" s="29"/>
    </row>
    <row r="889" customFormat="false" ht="15" hidden="false" customHeight="false" outlineLevel="0" collapsed="false">
      <c r="A889" s="27"/>
      <c r="B889" s="35"/>
      <c r="C889" s="28"/>
      <c r="D889" s="35"/>
      <c r="E889" s="29"/>
      <c r="G889" s="29"/>
    </row>
    <row r="890" customFormat="false" ht="15" hidden="false" customHeight="false" outlineLevel="0" collapsed="false">
      <c r="A890" s="27"/>
      <c r="B890" s="35"/>
      <c r="C890" s="28"/>
      <c r="D890" s="35"/>
      <c r="E890" s="29"/>
      <c r="G890" s="29"/>
    </row>
    <row r="891" customFormat="false" ht="15" hidden="false" customHeight="false" outlineLevel="0" collapsed="false">
      <c r="A891" s="27"/>
      <c r="B891" s="35"/>
      <c r="C891" s="28"/>
      <c r="D891" s="35"/>
      <c r="E891" s="29"/>
      <c r="G891" s="29"/>
    </row>
    <row r="892" customFormat="false" ht="15" hidden="false" customHeight="false" outlineLevel="0" collapsed="false">
      <c r="A892" s="27"/>
      <c r="B892" s="35"/>
      <c r="C892" s="28"/>
      <c r="D892" s="35"/>
      <c r="E892" s="29"/>
      <c r="G892" s="29"/>
    </row>
    <row r="893" customFormat="false" ht="15" hidden="false" customHeight="false" outlineLevel="0" collapsed="false">
      <c r="A893" s="27"/>
      <c r="B893" s="35"/>
      <c r="C893" s="28"/>
      <c r="D893" s="35"/>
      <c r="E893" s="29"/>
      <c r="G893" s="29"/>
    </row>
    <row r="894" customFormat="false" ht="15" hidden="false" customHeight="false" outlineLevel="0" collapsed="false">
      <c r="A894" s="27"/>
      <c r="B894" s="35"/>
      <c r="C894" s="28"/>
      <c r="D894" s="35"/>
      <c r="E894" s="29"/>
      <c r="G894" s="29"/>
    </row>
    <row r="895" customFormat="false" ht="15" hidden="false" customHeight="false" outlineLevel="0" collapsed="false">
      <c r="A895" s="27"/>
      <c r="B895" s="35"/>
      <c r="C895" s="28"/>
      <c r="D895" s="35"/>
      <c r="E895" s="29"/>
      <c r="G895" s="29"/>
    </row>
    <row r="896" customFormat="false" ht="15" hidden="false" customHeight="false" outlineLevel="0" collapsed="false">
      <c r="A896" s="27"/>
      <c r="B896" s="35"/>
      <c r="C896" s="28"/>
      <c r="D896" s="35"/>
      <c r="E896" s="29"/>
      <c r="G896" s="29"/>
    </row>
    <row r="897" customFormat="false" ht="15" hidden="false" customHeight="false" outlineLevel="0" collapsed="false">
      <c r="A897" s="27"/>
      <c r="B897" s="35"/>
      <c r="C897" s="28"/>
      <c r="D897" s="35"/>
      <c r="E897" s="29"/>
      <c r="G897" s="29"/>
    </row>
    <row r="898" customFormat="false" ht="15" hidden="false" customHeight="false" outlineLevel="0" collapsed="false">
      <c r="A898" s="27"/>
      <c r="B898" s="35"/>
      <c r="C898" s="28"/>
      <c r="D898" s="35"/>
      <c r="E898" s="29"/>
      <c r="G898" s="29"/>
    </row>
    <row r="899" customFormat="false" ht="15" hidden="false" customHeight="false" outlineLevel="0" collapsed="false">
      <c r="A899" s="27"/>
      <c r="B899" s="35"/>
      <c r="C899" s="28"/>
      <c r="D899" s="35"/>
      <c r="E899" s="29"/>
      <c r="G899" s="29"/>
    </row>
    <row r="900" customFormat="false" ht="15" hidden="false" customHeight="false" outlineLevel="0" collapsed="false">
      <c r="A900" s="27"/>
      <c r="B900" s="35"/>
      <c r="C900" s="28"/>
      <c r="D900" s="35"/>
      <c r="E900" s="29"/>
      <c r="G900" s="29"/>
    </row>
    <row r="901" customFormat="false" ht="15" hidden="false" customHeight="false" outlineLevel="0" collapsed="false">
      <c r="A901" s="27"/>
      <c r="B901" s="35"/>
      <c r="C901" s="28"/>
      <c r="D901" s="35"/>
      <c r="E901" s="29"/>
      <c r="G901" s="29"/>
    </row>
    <row r="902" customFormat="false" ht="15" hidden="false" customHeight="false" outlineLevel="0" collapsed="false">
      <c r="A902" s="27"/>
      <c r="B902" s="35"/>
      <c r="C902" s="28"/>
      <c r="D902" s="35"/>
      <c r="E902" s="29"/>
      <c r="G902" s="29"/>
    </row>
    <row r="903" customFormat="false" ht="15" hidden="false" customHeight="false" outlineLevel="0" collapsed="false">
      <c r="A903" s="27"/>
      <c r="B903" s="35"/>
      <c r="C903" s="28"/>
      <c r="D903" s="35"/>
      <c r="E903" s="29"/>
      <c r="G903" s="29"/>
    </row>
    <row r="904" customFormat="false" ht="15" hidden="false" customHeight="false" outlineLevel="0" collapsed="false">
      <c r="A904" s="27"/>
      <c r="B904" s="35"/>
      <c r="C904" s="28"/>
      <c r="D904" s="35"/>
      <c r="E904" s="29"/>
      <c r="G904" s="29"/>
    </row>
    <row r="905" customFormat="false" ht="15" hidden="false" customHeight="false" outlineLevel="0" collapsed="false">
      <c r="A905" s="27"/>
      <c r="B905" s="35"/>
      <c r="C905" s="28"/>
      <c r="D905" s="35"/>
      <c r="E905" s="29"/>
      <c r="G905" s="29"/>
    </row>
    <row r="906" customFormat="false" ht="15" hidden="false" customHeight="false" outlineLevel="0" collapsed="false">
      <c r="A906" s="27"/>
      <c r="B906" s="35"/>
      <c r="C906" s="28"/>
      <c r="D906" s="35"/>
      <c r="E906" s="29"/>
      <c r="G906" s="29"/>
    </row>
    <row r="907" customFormat="false" ht="15" hidden="false" customHeight="false" outlineLevel="0" collapsed="false">
      <c r="A907" s="27"/>
      <c r="B907" s="35"/>
      <c r="C907" s="28"/>
      <c r="D907" s="35"/>
      <c r="E907" s="29"/>
      <c r="G907" s="29"/>
    </row>
    <row r="908" customFormat="false" ht="15" hidden="false" customHeight="false" outlineLevel="0" collapsed="false">
      <c r="A908" s="27"/>
      <c r="B908" s="35"/>
      <c r="C908" s="28"/>
      <c r="D908" s="35"/>
      <c r="E908" s="29"/>
      <c r="G908" s="29"/>
    </row>
    <row r="909" customFormat="false" ht="15" hidden="false" customHeight="false" outlineLevel="0" collapsed="false">
      <c r="A909" s="27"/>
      <c r="B909" s="35"/>
      <c r="C909" s="28"/>
      <c r="D909" s="35"/>
      <c r="E909" s="29"/>
      <c r="G909" s="29"/>
    </row>
    <row r="910" customFormat="false" ht="15" hidden="false" customHeight="false" outlineLevel="0" collapsed="false">
      <c r="A910" s="27"/>
      <c r="B910" s="35"/>
      <c r="C910" s="28"/>
      <c r="D910" s="35"/>
      <c r="E910" s="29"/>
      <c r="G910" s="29"/>
    </row>
    <row r="911" customFormat="false" ht="15" hidden="false" customHeight="false" outlineLevel="0" collapsed="false">
      <c r="A911" s="27"/>
      <c r="B911" s="35"/>
      <c r="C911" s="28"/>
      <c r="D911" s="35"/>
      <c r="E911" s="29"/>
      <c r="G911" s="29"/>
    </row>
    <row r="912" customFormat="false" ht="15" hidden="false" customHeight="false" outlineLevel="0" collapsed="false">
      <c r="A912" s="27"/>
      <c r="B912" s="35"/>
      <c r="C912" s="28"/>
      <c r="D912" s="35"/>
      <c r="E912" s="29"/>
      <c r="G912" s="29"/>
    </row>
    <row r="913" customFormat="false" ht="15" hidden="false" customHeight="false" outlineLevel="0" collapsed="false">
      <c r="A913" s="27"/>
      <c r="B913" s="35"/>
      <c r="C913" s="28"/>
      <c r="D913" s="35"/>
      <c r="E913" s="29"/>
      <c r="G913" s="29"/>
    </row>
    <row r="914" customFormat="false" ht="15" hidden="false" customHeight="false" outlineLevel="0" collapsed="false">
      <c r="A914" s="27"/>
      <c r="B914" s="35"/>
      <c r="C914" s="28"/>
      <c r="D914" s="35"/>
      <c r="E914" s="29"/>
      <c r="G914" s="29"/>
    </row>
    <row r="915" customFormat="false" ht="15" hidden="false" customHeight="false" outlineLevel="0" collapsed="false">
      <c r="A915" s="27"/>
      <c r="B915" s="35"/>
      <c r="C915" s="28"/>
      <c r="D915" s="35"/>
      <c r="E915" s="29"/>
      <c r="G915" s="29"/>
    </row>
    <row r="916" customFormat="false" ht="15" hidden="false" customHeight="false" outlineLevel="0" collapsed="false">
      <c r="A916" s="27"/>
      <c r="B916" s="35"/>
      <c r="C916" s="28"/>
      <c r="D916" s="35"/>
      <c r="E916" s="29"/>
      <c r="G916" s="29"/>
    </row>
    <row r="917" customFormat="false" ht="15" hidden="false" customHeight="false" outlineLevel="0" collapsed="false">
      <c r="A917" s="27"/>
      <c r="B917" s="35"/>
      <c r="C917" s="28"/>
      <c r="D917" s="35"/>
      <c r="E917" s="29"/>
      <c r="G917" s="29"/>
    </row>
    <row r="918" customFormat="false" ht="15" hidden="false" customHeight="false" outlineLevel="0" collapsed="false">
      <c r="A918" s="27"/>
      <c r="B918" s="35"/>
      <c r="C918" s="28"/>
      <c r="D918" s="35"/>
      <c r="E918" s="29"/>
      <c r="G918" s="29"/>
    </row>
    <row r="919" customFormat="false" ht="15" hidden="false" customHeight="false" outlineLevel="0" collapsed="false">
      <c r="A919" s="27"/>
      <c r="B919" s="35"/>
      <c r="C919" s="28"/>
      <c r="D919" s="35"/>
      <c r="E919" s="29"/>
      <c r="G919" s="29"/>
    </row>
    <row r="920" customFormat="false" ht="15" hidden="false" customHeight="false" outlineLevel="0" collapsed="false">
      <c r="A920" s="27"/>
      <c r="B920" s="35"/>
      <c r="C920" s="28"/>
      <c r="D920" s="35"/>
      <c r="E920" s="29"/>
      <c r="G920" s="29"/>
    </row>
    <row r="921" customFormat="false" ht="15" hidden="false" customHeight="false" outlineLevel="0" collapsed="false">
      <c r="A921" s="27"/>
      <c r="B921" s="35"/>
      <c r="C921" s="28"/>
      <c r="D921" s="35"/>
      <c r="E921" s="29"/>
      <c r="G921" s="29"/>
    </row>
    <row r="922" customFormat="false" ht="15" hidden="false" customHeight="false" outlineLevel="0" collapsed="false">
      <c r="A922" s="27"/>
      <c r="B922" s="35"/>
      <c r="C922" s="28"/>
      <c r="D922" s="35"/>
      <c r="E922" s="29"/>
      <c r="G922" s="29"/>
    </row>
    <row r="923" customFormat="false" ht="15" hidden="false" customHeight="false" outlineLevel="0" collapsed="false">
      <c r="A923" s="27"/>
      <c r="B923" s="35"/>
      <c r="C923" s="28"/>
      <c r="D923" s="35"/>
      <c r="E923" s="29"/>
      <c r="G923" s="29"/>
    </row>
    <row r="924" customFormat="false" ht="15" hidden="false" customHeight="false" outlineLevel="0" collapsed="false">
      <c r="A924" s="27"/>
      <c r="B924" s="35"/>
      <c r="C924" s="28"/>
      <c r="D924" s="35"/>
      <c r="E924" s="29"/>
      <c r="G924" s="29"/>
    </row>
    <row r="925" customFormat="false" ht="15" hidden="false" customHeight="false" outlineLevel="0" collapsed="false">
      <c r="A925" s="27"/>
      <c r="B925" s="35"/>
      <c r="C925" s="28"/>
      <c r="D925" s="35"/>
      <c r="E925" s="29"/>
      <c r="G925" s="29"/>
    </row>
    <row r="926" customFormat="false" ht="15" hidden="false" customHeight="false" outlineLevel="0" collapsed="false">
      <c r="A926" s="27"/>
      <c r="B926" s="35"/>
      <c r="C926" s="28"/>
      <c r="D926" s="35"/>
      <c r="E926" s="29"/>
      <c r="G926" s="29"/>
    </row>
    <row r="927" customFormat="false" ht="15" hidden="false" customHeight="false" outlineLevel="0" collapsed="false">
      <c r="A927" s="27"/>
      <c r="B927" s="35"/>
      <c r="C927" s="28"/>
      <c r="D927" s="35"/>
      <c r="E927" s="29"/>
      <c r="G927" s="29"/>
    </row>
    <row r="928" customFormat="false" ht="15" hidden="false" customHeight="false" outlineLevel="0" collapsed="false">
      <c r="A928" s="27"/>
      <c r="B928" s="35"/>
      <c r="C928" s="28"/>
      <c r="D928" s="35"/>
      <c r="E928" s="29"/>
      <c r="G928" s="29"/>
    </row>
    <row r="929" customFormat="false" ht="15" hidden="false" customHeight="false" outlineLevel="0" collapsed="false">
      <c r="A929" s="27"/>
      <c r="B929" s="35"/>
      <c r="C929" s="28"/>
      <c r="D929" s="35"/>
      <c r="E929" s="29"/>
      <c r="G929" s="29"/>
    </row>
    <row r="930" customFormat="false" ht="15" hidden="false" customHeight="false" outlineLevel="0" collapsed="false">
      <c r="A930" s="27"/>
      <c r="B930" s="35"/>
      <c r="C930" s="28"/>
      <c r="D930" s="35"/>
      <c r="E930" s="29"/>
      <c r="G930" s="29"/>
    </row>
    <row r="931" customFormat="false" ht="15" hidden="false" customHeight="false" outlineLevel="0" collapsed="false">
      <c r="A931" s="27"/>
      <c r="B931" s="35"/>
      <c r="C931" s="28"/>
      <c r="D931" s="35"/>
      <c r="E931" s="29"/>
      <c r="G931" s="29"/>
    </row>
    <row r="932" customFormat="false" ht="15" hidden="false" customHeight="false" outlineLevel="0" collapsed="false">
      <c r="A932" s="27"/>
      <c r="B932" s="35"/>
      <c r="C932" s="28"/>
      <c r="D932" s="35"/>
      <c r="E932" s="29"/>
      <c r="G932" s="29"/>
    </row>
    <row r="933" customFormat="false" ht="15" hidden="false" customHeight="false" outlineLevel="0" collapsed="false">
      <c r="A933" s="27"/>
      <c r="B933" s="35"/>
      <c r="C933" s="28"/>
      <c r="D933" s="35"/>
      <c r="E933" s="29"/>
      <c r="G933" s="29"/>
    </row>
    <row r="934" customFormat="false" ht="15" hidden="false" customHeight="false" outlineLevel="0" collapsed="false">
      <c r="A934" s="27"/>
      <c r="B934" s="35"/>
      <c r="C934" s="28"/>
      <c r="D934" s="35"/>
      <c r="E934" s="29"/>
      <c r="G934" s="29"/>
    </row>
    <row r="935" customFormat="false" ht="15" hidden="false" customHeight="false" outlineLevel="0" collapsed="false">
      <c r="A935" s="27"/>
      <c r="B935" s="35"/>
      <c r="C935" s="28"/>
      <c r="D935" s="35"/>
      <c r="E935" s="29"/>
      <c r="G935" s="29"/>
    </row>
    <row r="936" customFormat="false" ht="15" hidden="false" customHeight="false" outlineLevel="0" collapsed="false">
      <c r="A936" s="27"/>
      <c r="B936" s="35"/>
      <c r="C936" s="28"/>
      <c r="D936" s="35"/>
      <c r="E936" s="29"/>
      <c r="G936" s="29"/>
    </row>
    <row r="937" customFormat="false" ht="15" hidden="false" customHeight="false" outlineLevel="0" collapsed="false">
      <c r="A937" s="27"/>
      <c r="B937" s="35"/>
      <c r="C937" s="28"/>
      <c r="D937" s="35"/>
      <c r="E937" s="29"/>
      <c r="G937" s="29"/>
    </row>
    <row r="938" customFormat="false" ht="15" hidden="false" customHeight="false" outlineLevel="0" collapsed="false">
      <c r="A938" s="27"/>
      <c r="B938" s="35"/>
      <c r="C938" s="28"/>
      <c r="D938" s="35"/>
      <c r="E938" s="29"/>
      <c r="G938" s="29"/>
    </row>
    <row r="939" customFormat="false" ht="15" hidden="false" customHeight="false" outlineLevel="0" collapsed="false">
      <c r="A939" s="27"/>
      <c r="B939" s="35"/>
      <c r="C939" s="28"/>
      <c r="D939" s="35"/>
      <c r="E939" s="29"/>
      <c r="G939" s="29"/>
    </row>
    <row r="940" customFormat="false" ht="15" hidden="false" customHeight="false" outlineLevel="0" collapsed="false">
      <c r="A940" s="27"/>
      <c r="B940" s="35"/>
      <c r="C940" s="28"/>
      <c r="D940" s="35"/>
      <c r="E940" s="29"/>
      <c r="G940" s="29"/>
    </row>
    <row r="941" customFormat="false" ht="15" hidden="false" customHeight="false" outlineLevel="0" collapsed="false">
      <c r="A941" s="27"/>
      <c r="B941" s="35"/>
      <c r="C941" s="28"/>
      <c r="D941" s="35"/>
      <c r="E941" s="29"/>
      <c r="G941" s="29"/>
    </row>
    <row r="942" customFormat="false" ht="15" hidden="false" customHeight="false" outlineLevel="0" collapsed="false">
      <c r="A942" s="27"/>
      <c r="B942" s="35"/>
      <c r="C942" s="28"/>
      <c r="D942" s="35"/>
      <c r="E942" s="29"/>
      <c r="G942" s="29"/>
    </row>
    <row r="943" customFormat="false" ht="15" hidden="false" customHeight="false" outlineLevel="0" collapsed="false">
      <c r="A943" s="27"/>
      <c r="B943" s="35"/>
      <c r="C943" s="28"/>
      <c r="D943" s="35"/>
      <c r="E943" s="29"/>
      <c r="G943" s="29"/>
    </row>
    <row r="944" customFormat="false" ht="15" hidden="false" customHeight="false" outlineLevel="0" collapsed="false">
      <c r="A944" s="27"/>
      <c r="B944" s="35"/>
      <c r="C944" s="28"/>
      <c r="D944" s="35"/>
      <c r="E944" s="29"/>
      <c r="G944" s="29"/>
    </row>
    <row r="945" customFormat="false" ht="15" hidden="false" customHeight="false" outlineLevel="0" collapsed="false">
      <c r="A945" s="27"/>
      <c r="B945" s="35"/>
      <c r="C945" s="28"/>
      <c r="D945" s="35"/>
      <c r="E945" s="29"/>
      <c r="G945" s="29"/>
    </row>
    <row r="946" customFormat="false" ht="15" hidden="false" customHeight="false" outlineLevel="0" collapsed="false">
      <c r="A946" s="27"/>
      <c r="B946" s="35"/>
      <c r="C946" s="28"/>
      <c r="D946" s="35"/>
      <c r="E946" s="29"/>
      <c r="G946" s="29"/>
    </row>
    <row r="947" customFormat="false" ht="15" hidden="false" customHeight="false" outlineLevel="0" collapsed="false">
      <c r="A947" s="27"/>
      <c r="B947" s="35"/>
      <c r="C947" s="28"/>
      <c r="D947" s="35"/>
      <c r="E947" s="29"/>
      <c r="G947" s="29"/>
    </row>
    <row r="948" customFormat="false" ht="15" hidden="false" customHeight="false" outlineLevel="0" collapsed="false">
      <c r="A948" s="27"/>
      <c r="B948" s="35"/>
      <c r="C948" s="28"/>
      <c r="D948" s="35"/>
      <c r="E948" s="29"/>
      <c r="G948" s="29"/>
    </row>
    <row r="949" customFormat="false" ht="15" hidden="false" customHeight="false" outlineLevel="0" collapsed="false">
      <c r="A949" s="27"/>
      <c r="B949" s="35"/>
      <c r="C949" s="28"/>
      <c r="D949" s="35"/>
      <c r="E949" s="29"/>
      <c r="G949" s="29"/>
    </row>
    <row r="950" customFormat="false" ht="15" hidden="false" customHeight="false" outlineLevel="0" collapsed="false">
      <c r="A950" s="27"/>
      <c r="B950" s="35"/>
      <c r="C950" s="28"/>
      <c r="D950" s="35"/>
      <c r="E950" s="29"/>
      <c r="G950" s="29"/>
    </row>
    <row r="951" customFormat="false" ht="15" hidden="false" customHeight="false" outlineLevel="0" collapsed="false">
      <c r="A951" s="27"/>
      <c r="B951" s="35"/>
      <c r="C951" s="28"/>
      <c r="D951" s="35"/>
      <c r="E951" s="29"/>
      <c r="G951" s="29"/>
    </row>
    <row r="952" customFormat="false" ht="15" hidden="false" customHeight="false" outlineLevel="0" collapsed="false">
      <c r="A952" s="27"/>
      <c r="B952" s="35"/>
      <c r="C952" s="28"/>
      <c r="D952" s="35"/>
      <c r="E952" s="29"/>
      <c r="G952" s="29"/>
    </row>
    <row r="953" customFormat="false" ht="15" hidden="false" customHeight="false" outlineLevel="0" collapsed="false">
      <c r="A953" s="27"/>
      <c r="B953" s="35"/>
      <c r="C953" s="28"/>
      <c r="D953" s="35"/>
      <c r="E953" s="29"/>
      <c r="G953" s="29"/>
    </row>
    <row r="954" customFormat="false" ht="15" hidden="false" customHeight="false" outlineLevel="0" collapsed="false">
      <c r="A954" s="27"/>
      <c r="B954" s="35"/>
      <c r="C954" s="28"/>
      <c r="D954" s="35"/>
      <c r="E954" s="29"/>
      <c r="G954" s="29"/>
    </row>
    <row r="955" customFormat="false" ht="15" hidden="false" customHeight="false" outlineLevel="0" collapsed="false">
      <c r="A955" s="27"/>
      <c r="B955" s="35"/>
      <c r="C955" s="28"/>
      <c r="D955" s="35"/>
      <c r="E955" s="29"/>
      <c r="G955" s="29"/>
    </row>
    <row r="956" customFormat="false" ht="15" hidden="false" customHeight="false" outlineLevel="0" collapsed="false">
      <c r="A956" s="27"/>
      <c r="B956" s="35"/>
      <c r="C956" s="28"/>
      <c r="D956" s="35"/>
      <c r="E956" s="29"/>
      <c r="G956" s="29"/>
    </row>
    <row r="957" customFormat="false" ht="15" hidden="false" customHeight="false" outlineLevel="0" collapsed="false">
      <c r="A957" s="27"/>
      <c r="B957" s="35"/>
      <c r="C957" s="28"/>
      <c r="D957" s="35"/>
      <c r="E957" s="29"/>
      <c r="G957" s="29"/>
    </row>
    <row r="958" customFormat="false" ht="15" hidden="false" customHeight="false" outlineLevel="0" collapsed="false">
      <c r="A958" s="27"/>
      <c r="B958" s="35"/>
      <c r="C958" s="28"/>
      <c r="D958" s="35"/>
      <c r="E958" s="29"/>
      <c r="G958" s="29"/>
    </row>
    <row r="959" customFormat="false" ht="15" hidden="false" customHeight="false" outlineLevel="0" collapsed="false">
      <c r="A959" s="27"/>
      <c r="B959" s="35"/>
      <c r="C959" s="28"/>
      <c r="D959" s="35"/>
      <c r="E959" s="29"/>
      <c r="G959" s="29"/>
    </row>
    <row r="960" customFormat="false" ht="15" hidden="false" customHeight="false" outlineLevel="0" collapsed="false">
      <c r="A960" s="27"/>
      <c r="B960" s="35"/>
      <c r="C960" s="28"/>
      <c r="D960" s="35"/>
      <c r="E960" s="29"/>
      <c r="G960" s="29"/>
    </row>
    <row r="961" customFormat="false" ht="15" hidden="false" customHeight="false" outlineLevel="0" collapsed="false">
      <c r="A961" s="27"/>
      <c r="B961" s="35"/>
      <c r="C961" s="28"/>
      <c r="D961" s="35"/>
      <c r="E961" s="29"/>
      <c r="G961" s="29"/>
    </row>
    <row r="962" customFormat="false" ht="15" hidden="false" customHeight="false" outlineLevel="0" collapsed="false">
      <c r="A962" s="27"/>
      <c r="B962" s="35"/>
      <c r="C962" s="28"/>
      <c r="D962" s="35"/>
      <c r="E962" s="29"/>
      <c r="G962" s="29"/>
    </row>
    <row r="963" customFormat="false" ht="15" hidden="false" customHeight="false" outlineLevel="0" collapsed="false">
      <c r="A963" s="27"/>
      <c r="B963" s="35"/>
      <c r="C963" s="28"/>
      <c r="D963" s="35"/>
      <c r="E963" s="29"/>
      <c r="G963" s="29"/>
    </row>
    <row r="964" customFormat="false" ht="15" hidden="false" customHeight="false" outlineLevel="0" collapsed="false">
      <c r="A964" s="27"/>
      <c r="B964" s="35"/>
      <c r="C964" s="28"/>
      <c r="D964" s="35"/>
      <c r="E964" s="29"/>
      <c r="G964" s="29"/>
    </row>
    <row r="965" customFormat="false" ht="15" hidden="false" customHeight="false" outlineLevel="0" collapsed="false">
      <c r="A965" s="27"/>
      <c r="B965" s="35"/>
      <c r="C965" s="28"/>
      <c r="D965" s="35"/>
      <c r="E965" s="29"/>
      <c r="G965" s="29"/>
    </row>
    <row r="966" customFormat="false" ht="15" hidden="false" customHeight="false" outlineLevel="0" collapsed="false">
      <c r="A966" s="27"/>
      <c r="B966" s="35"/>
      <c r="C966" s="28"/>
      <c r="D966" s="35"/>
      <c r="E966" s="29"/>
      <c r="G966" s="29"/>
    </row>
    <row r="967" customFormat="false" ht="15" hidden="false" customHeight="false" outlineLevel="0" collapsed="false">
      <c r="A967" s="27"/>
      <c r="B967" s="35"/>
      <c r="C967" s="28"/>
      <c r="D967" s="35"/>
      <c r="E967" s="29"/>
      <c r="G967" s="29"/>
    </row>
    <row r="968" customFormat="false" ht="15" hidden="false" customHeight="false" outlineLevel="0" collapsed="false">
      <c r="A968" s="27"/>
      <c r="B968" s="35"/>
      <c r="C968" s="28"/>
      <c r="D968" s="35"/>
      <c r="E968" s="29"/>
      <c r="G968" s="29"/>
    </row>
    <row r="969" customFormat="false" ht="15" hidden="false" customHeight="false" outlineLevel="0" collapsed="false">
      <c r="A969" s="27"/>
      <c r="B969" s="35"/>
      <c r="C969" s="28"/>
      <c r="D969" s="35"/>
      <c r="E969" s="29"/>
      <c r="G969" s="29"/>
    </row>
    <row r="970" customFormat="false" ht="15" hidden="false" customHeight="false" outlineLevel="0" collapsed="false">
      <c r="A970" s="27"/>
      <c r="B970" s="35"/>
      <c r="C970" s="28"/>
      <c r="D970" s="35"/>
      <c r="E970" s="29"/>
      <c r="G970" s="29"/>
    </row>
    <row r="971" customFormat="false" ht="15" hidden="false" customHeight="false" outlineLevel="0" collapsed="false">
      <c r="A971" s="27"/>
      <c r="B971" s="35"/>
      <c r="C971" s="28"/>
      <c r="D971" s="35"/>
      <c r="E971" s="29"/>
      <c r="G971" s="29"/>
    </row>
    <row r="972" customFormat="false" ht="15" hidden="false" customHeight="false" outlineLevel="0" collapsed="false">
      <c r="A972" s="27"/>
      <c r="B972" s="35"/>
      <c r="C972" s="28"/>
      <c r="D972" s="35"/>
      <c r="E972" s="29"/>
      <c r="G972" s="29"/>
    </row>
    <row r="973" customFormat="false" ht="15" hidden="false" customHeight="false" outlineLevel="0" collapsed="false">
      <c r="A973" s="27"/>
      <c r="B973" s="35"/>
      <c r="C973" s="28"/>
      <c r="D973" s="35"/>
      <c r="E973" s="29"/>
      <c r="G973" s="29"/>
    </row>
    <row r="974" customFormat="false" ht="15" hidden="false" customHeight="false" outlineLevel="0" collapsed="false">
      <c r="A974" s="27"/>
      <c r="B974" s="35"/>
      <c r="C974" s="28"/>
      <c r="D974" s="35"/>
      <c r="E974" s="29"/>
      <c r="G974" s="29"/>
    </row>
    <row r="975" customFormat="false" ht="15" hidden="false" customHeight="false" outlineLevel="0" collapsed="false">
      <c r="A975" s="27"/>
      <c r="B975" s="35"/>
      <c r="C975" s="28"/>
      <c r="D975" s="35"/>
      <c r="E975" s="29"/>
      <c r="G975" s="29"/>
    </row>
    <row r="976" customFormat="false" ht="15" hidden="false" customHeight="false" outlineLevel="0" collapsed="false">
      <c r="A976" s="27"/>
      <c r="B976" s="35"/>
      <c r="C976" s="28"/>
      <c r="D976" s="35"/>
      <c r="E976" s="29"/>
      <c r="G976" s="29"/>
    </row>
    <row r="977" customFormat="false" ht="15" hidden="false" customHeight="false" outlineLevel="0" collapsed="false">
      <c r="A977" s="27"/>
      <c r="B977" s="35"/>
      <c r="C977" s="28"/>
      <c r="D977" s="35"/>
      <c r="E977" s="29"/>
      <c r="G977" s="29"/>
    </row>
    <row r="978" customFormat="false" ht="15" hidden="false" customHeight="false" outlineLevel="0" collapsed="false">
      <c r="A978" s="27"/>
      <c r="B978" s="35"/>
      <c r="C978" s="28"/>
      <c r="D978" s="35"/>
      <c r="E978" s="29"/>
      <c r="G978" s="29"/>
    </row>
    <row r="979" customFormat="false" ht="15" hidden="false" customHeight="false" outlineLevel="0" collapsed="false">
      <c r="A979" s="27"/>
      <c r="B979" s="35"/>
      <c r="C979" s="28"/>
      <c r="D979" s="35"/>
      <c r="E979" s="29"/>
      <c r="G979" s="29"/>
    </row>
    <row r="980" customFormat="false" ht="15" hidden="false" customHeight="false" outlineLevel="0" collapsed="false">
      <c r="A980" s="27"/>
      <c r="B980" s="35"/>
      <c r="C980" s="28"/>
      <c r="D980" s="35"/>
      <c r="E980" s="29"/>
      <c r="G980" s="29"/>
    </row>
    <row r="981" customFormat="false" ht="15" hidden="false" customHeight="false" outlineLevel="0" collapsed="false">
      <c r="A981" s="27"/>
      <c r="B981" s="35"/>
      <c r="C981" s="28"/>
      <c r="D981" s="35"/>
      <c r="E981" s="29"/>
      <c r="G981" s="29"/>
    </row>
    <row r="982" customFormat="false" ht="15" hidden="false" customHeight="false" outlineLevel="0" collapsed="false">
      <c r="A982" s="27"/>
      <c r="B982" s="35"/>
      <c r="C982" s="28"/>
      <c r="D982" s="35"/>
      <c r="E982" s="29"/>
      <c r="G982" s="29"/>
    </row>
    <row r="983" customFormat="false" ht="15" hidden="false" customHeight="false" outlineLevel="0" collapsed="false">
      <c r="A983" s="27"/>
      <c r="B983" s="35"/>
      <c r="C983" s="28"/>
      <c r="D983" s="35"/>
      <c r="E983" s="29"/>
      <c r="G983" s="29"/>
    </row>
    <row r="984" customFormat="false" ht="15" hidden="false" customHeight="false" outlineLevel="0" collapsed="false">
      <c r="A984" s="27"/>
      <c r="B984" s="35"/>
      <c r="C984" s="28"/>
      <c r="D984" s="35"/>
      <c r="E984" s="29"/>
      <c r="G984" s="29"/>
    </row>
    <row r="985" customFormat="false" ht="15" hidden="false" customHeight="false" outlineLevel="0" collapsed="false">
      <c r="A985" s="27"/>
      <c r="B985" s="35"/>
      <c r="C985" s="28"/>
      <c r="D985" s="35"/>
      <c r="E985" s="29"/>
      <c r="G985" s="29"/>
    </row>
    <row r="986" customFormat="false" ht="15" hidden="false" customHeight="false" outlineLevel="0" collapsed="false">
      <c r="A986" s="27"/>
      <c r="B986" s="35"/>
      <c r="C986" s="28"/>
      <c r="D986" s="35"/>
      <c r="E986" s="29"/>
      <c r="G986" s="29"/>
    </row>
    <row r="987" customFormat="false" ht="15" hidden="false" customHeight="false" outlineLevel="0" collapsed="false">
      <c r="A987" s="27"/>
      <c r="B987" s="35"/>
      <c r="C987" s="28"/>
      <c r="D987" s="35"/>
      <c r="E987" s="29"/>
      <c r="G987" s="29"/>
    </row>
    <row r="988" customFormat="false" ht="15" hidden="false" customHeight="false" outlineLevel="0" collapsed="false">
      <c r="A988" s="27"/>
      <c r="B988" s="35"/>
      <c r="C988" s="28"/>
      <c r="D988" s="35"/>
      <c r="E988" s="29"/>
      <c r="G988" s="29"/>
    </row>
    <row r="989" customFormat="false" ht="15" hidden="false" customHeight="false" outlineLevel="0" collapsed="false">
      <c r="A989" s="27"/>
      <c r="B989" s="35"/>
      <c r="C989" s="28"/>
      <c r="D989" s="35"/>
      <c r="E989" s="29"/>
      <c r="G989" s="29"/>
    </row>
    <row r="990" customFormat="false" ht="15" hidden="false" customHeight="false" outlineLevel="0" collapsed="false">
      <c r="A990" s="27"/>
      <c r="B990" s="35"/>
      <c r="C990" s="28"/>
      <c r="D990" s="35"/>
      <c r="E990" s="29"/>
      <c r="G990" s="29"/>
    </row>
    <row r="991" customFormat="false" ht="15" hidden="false" customHeight="false" outlineLevel="0" collapsed="false">
      <c r="A991" s="27"/>
      <c r="B991" s="35"/>
      <c r="C991" s="28"/>
      <c r="D991" s="35"/>
      <c r="E991" s="29"/>
      <c r="G991" s="29"/>
    </row>
    <row r="992" customFormat="false" ht="15" hidden="false" customHeight="false" outlineLevel="0" collapsed="false">
      <c r="A992" s="27"/>
      <c r="B992" s="35"/>
      <c r="C992" s="28"/>
      <c r="D992" s="35"/>
      <c r="E992" s="29"/>
      <c r="G992" s="29"/>
    </row>
    <row r="993" customFormat="false" ht="15" hidden="false" customHeight="false" outlineLevel="0" collapsed="false">
      <c r="A993" s="27"/>
      <c r="B993" s="35"/>
      <c r="C993" s="28"/>
      <c r="D993" s="35"/>
      <c r="E993" s="29"/>
      <c r="G993" s="29"/>
    </row>
    <row r="994" customFormat="false" ht="15" hidden="false" customHeight="false" outlineLevel="0" collapsed="false">
      <c r="A994" s="27"/>
      <c r="B994" s="35"/>
      <c r="C994" s="28"/>
      <c r="D994" s="35"/>
      <c r="E994" s="29"/>
      <c r="G994" s="29"/>
    </row>
    <row r="995" customFormat="false" ht="15" hidden="false" customHeight="false" outlineLevel="0" collapsed="false">
      <c r="A995" s="27"/>
      <c r="B995" s="35"/>
      <c r="C995" s="28"/>
      <c r="D995" s="35"/>
      <c r="E995" s="29"/>
      <c r="G995" s="29"/>
    </row>
    <row r="996" customFormat="false" ht="15" hidden="false" customHeight="false" outlineLevel="0" collapsed="false">
      <c r="A996" s="27"/>
      <c r="B996" s="35"/>
      <c r="C996" s="28"/>
      <c r="D996" s="35"/>
      <c r="E996" s="29"/>
      <c r="G996" s="29"/>
    </row>
    <row r="997" customFormat="false" ht="15" hidden="false" customHeight="false" outlineLevel="0" collapsed="false">
      <c r="A997" s="27"/>
      <c r="B997" s="35"/>
      <c r="C997" s="28"/>
      <c r="D997" s="35"/>
      <c r="E997" s="29"/>
      <c r="G997" s="29"/>
    </row>
    <row r="998" customFormat="false" ht="15" hidden="false" customHeight="false" outlineLevel="0" collapsed="false">
      <c r="A998" s="27"/>
      <c r="B998" s="35"/>
      <c r="C998" s="28"/>
      <c r="D998" s="35"/>
      <c r="E998" s="29"/>
      <c r="G998" s="29"/>
    </row>
    <row r="999" customFormat="false" ht="15" hidden="false" customHeight="false" outlineLevel="0" collapsed="false">
      <c r="A999" s="27"/>
      <c r="B999" s="35"/>
      <c r="C999" s="28"/>
      <c r="D999" s="35"/>
      <c r="E999" s="29"/>
      <c r="G999" s="29"/>
    </row>
    <row r="1000" customFormat="false" ht="15" hidden="false" customHeight="false" outlineLevel="0" collapsed="false">
      <c r="A1000" s="27"/>
      <c r="B1000" s="35"/>
      <c r="C1000" s="28"/>
      <c r="D1000" s="35"/>
      <c r="E1000" s="29"/>
      <c r="G1000" s="29"/>
    </row>
    <row r="1001" customFormat="false" ht="15" hidden="false" customHeight="false" outlineLevel="0" collapsed="false">
      <c r="A1001" s="27"/>
      <c r="B1001" s="35"/>
      <c r="C1001" s="28"/>
      <c r="D1001" s="35"/>
      <c r="E1001" s="29"/>
      <c r="G1001" s="29"/>
    </row>
    <row r="1002" customFormat="false" ht="15" hidden="false" customHeight="false" outlineLevel="0" collapsed="false">
      <c r="A1002" s="27"/>
      <c r="B1002" s="35"/>
      <c r="C1002" s="28"/>
      <c r="D1002" s="35"/>
      <c r="E1002" s="29"/>
      <c r="G1002" s="29"/>
    </row>
    <row r="1003" customFormat="false" ht="15" hidden="false" customHeight="false" outlineLevel="0" collapsed="false">
      <c r="A1003" s="27"/>
      <c r="B1003" s="35"/>
      <c r="C1003" s="28"/>
      <c r="D1003" s="35"/>
      <c r="E1003" s="29"/>
      <c r="G1003" s="29"/>
    </row>
    <row r="1004" customFormat="false" ht="15" hidden="false" customHeight="false" outlineLevel="0" collapsed="false">
      <c r="A1004" s="27"/>
      <c r="B1004" s="27"/>
      <c r="C1004" s="27"/>
      <c r="D1004" s="27"/>
    </row>
    <row r="1006" customFormat="false" ht="19.5" hidden="false" customHeight="true" outlineLevel="0" collapsed="false">
      <c r="A1006" s="11" t="s">
        <v>101</v>
      </c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</row>
  </sheetData>
  <sheetProtection sheet="true" password="cc3d" objects="true" scenarios="true" deleteColumns="false" deleteRows="false"/>
  <mergeCells count="3">
    <mergeCell ref="A1:AD1"/>
    <mergeCell ref="A3:G3"/>
    <mergeCell ref="A1006:AN1006"/>
  </mergeCells>
  <conditionalFormatting sqref="G6">
    <cfRule type="cellIs" priority="2" operator="greaterThan" aboveAverage="0" equalAverage="0" bottom="0" percent="0" rank="0" text="" dxfId="1">
      <formula>0</formula>
    </cfRule>
    <cfRule type="cellIs" priority="3" operator="lessThanOrEqual" aboveAverage="0" equalAverage="0" bottom="0" percent="0" rank="0" text="" dxfId="0">
      <formula>0</formula>
    </cfRule>
  </conditionalFormatting>
  <conditionalFormatting sqref="F6">
    <cfRule type="cellIs" priority="4" operator="greaterThan" aboveAverage="0" equalAverage="0" bottom="0" percent="0" rank="0" text="" dxfId="10">
      <formula>30</formula>
    </cfRule>
  </conditionalFormatting>
  <conditionalFormatting sqref="G7">
    <cfRule type="cellIs" priority="5" operator="greaterThan" aboveAverage="0" equalAverage="0" bottom="0" percent="0" rank="0" text="" dxfId="1">
      <formula>0</formula>
    </cfRule>
    <cfRule type="cellIs" priority="6" operator="lessThanOrEqual" aboveAverage="0" equalAverage="0" bottom="0" percent="0" rank="0" text="" dxfId="0">
      <formula>0</formula>
    </cfRule>
  </conditionalFormatting>
  <conditionalFormatting sqref="F7">
    <cfRule type="cellIs" priority="7" operator="greaterThan" aboveAverage="0" equalAverage="0" bottom="0" percent="0" rank="0" text="" dxfId="10">
      <formula>30</formula>
    </cfRule>
  </conditionalFormatting>
  <conditionalFormatting sqref="G8">
    <cfRule type="cellIs" priority="8" operator="greaterThan" aboveAverage="0" equalAverage="0" bottom="0" percent="0" rank="0" text="" dxfId="1">
      <formula>0</formula>
    </cfRule>
    <cfRule type="cellIs" priority="9" operator="lessThanOrEqual" aboveAverage="0" equalAverage="0" bottom="0" percent="0" rank="0" text="" dxfId="0">
      <formula>0</formula>
    </cfRule>
  </conditionalFormatting>
  <conditionalFormatting sqref="F8">
    <cfRule type="cellIs" priority="10" operator="greaterThan" aboveAverage="0" equalAverage="0" bottom="0" percent="0" rank="0" text="" dxfId="10">
      <formula>30</formula>
    </cfRule>
  </conditionalFormatting>
  <conditionalFormatting sqref="G9">
    <cfRule type="cellIs" priority="11" operator="greaterThan" aboveAverage="0" equalAverage="0" bottom="0" percent="0" rank="0" text="" dxfId="1">
      <formula>0</formula>
    </cfRule>
    <cfRule type="cellIs" priority="12" operator="lessThanOrEqual" aboveAverage="0" equalAverage="0" bottom="0" percent="0" rank="0" text="" dxfId="0">
      <formula>0</formula>
    </cfRule>
  </conditionalFormatting>
  <conditionalFormatting sqref="F9">
    <cfRule type="cellIs" priority="13" operator="greaterThan" aboveAverage="0" equalAverage="0" bottom="0" percent="0" rank="0" text="" dxfId="10">
      <formula>30</formula>
    </cfRule>
  </conditionalFormatting>
  <conditionalFormatting sqref="G10">
    <cfRule type="cellIs" priority="14" operator="greaterThan" aboveAverage="0" equalAverage="0" bottom="0" percent="0" rank="0" text="" dxfId="1">
      <formula>0</formula>
    </cfRule>
    <cfRule type="cellIs" priority="15" operator="lessThanOrEqual" aboveAverage="0" equalAverage="0" bottom="0" percent="0" rank="0" text="" dxfId="0">
      <formula>0</formula>
    </cfRule>
  </conditionalFormatting>
  <conditionalFormatting sqref="F10">
    <cfRule type="cellIs" priority="16" operator="greaterThan" aboveAverage="0" equalAverage="0" bottom="0" percent="0" rank="0" text="" dxfId="10">
      <formula>30</formula>
    </cfRule>
  </conditionalFormatting>
  <conditionalFormatting sqref="G11">
    <cfRule type="cellIs" priority="17" operator="greaterThan" aboveAverage="0" equalAverage="0" bottom="0" percent="0" rank="0" text="" dxfId="1">
      <formula>0</formula>
    </cfRule>
    <cfRule type="cellIs" priority="18" operator="lessThanOrEqual" aboveAverage="0" equalAverage="0" bottom="0" percent="0" rank="0" text="" dxfId="0">
      <formula>0</formula>
    </cfRule>
  </conditionalFormatting>
  <conditionalFormatting sqref="F11">
    <cfRule type="cellIs" priority="19" operator="greaterThan" aboveAverage="0" equalAverage="0" bottom="0" percent="0" rank="0" text="" dxfId="10">
      <formula>30</formula>
    </cfRule>
  </conditionalFormatting>
  <conditionalFormatting sqref="G12">
    <cfRule type="cellIs" priority="20" operator="greaterThan" aboveAverage="0" equalAverage="0" bottom="0" percent="0" rank="0" text="" dxfId="1">
      <formula>0</formula>
    </cfRule>
    <cfRule type="cellIs" priority="21" operator="lessThanOrEqual" aboveAverage="0" equalAverage="0" bottom="0" percent="0" rank="0" text="" dxfId="0">
      <formula>0</formula>
    </cfRule>
  </conditionalFormatting>
  <conditionalFormatting sqref="F12">
    <cfRule type="cellIs" priority="22" operator="greaterThan" aboveAverage="0" equalAverage="0" bottom="0" percent="0" rank="0" text="" dxfId="10">
      <formula>30</formula>
    </cfRule>
  </conditionalFormatting>
  <conditionalFormatting sqref="G13">
    <cfRule type="cellIs" priority="23" operator="greaterThan" aboveAverage="0" equalAverage="0" bottom="0" percent="0" rank="0" text="" dxfId="1">
      <formula>0</formula>
    </cfRule>
    <cfRule type="cellIs" priority="24" operator="lessThanOrEqual" aboveAverage="0" equalAverage="0" bottom="0" percent="0" rank="0" text="" dxfId="0">
      <formula>0</formula>
    </cfRule>
  </conditionalFormatting>
  <conditionalFormatting sqref="F13">
    <cfRule type="cellIs" priority="25" operator="greaterThan" aboveAverage="0" equalAverage="0" bottom="0" percent="0" rank="0" text="" dxfId="10">
      <formula>30</formula>
    </cfRule>
  </conditionalFormatting>
  <conditionalFormatting sqref="G14">
    <cfRule type="cellIs" priority="26" operator="greaterThan" aboveAverage="0" equalAverage="0" bottom="0" percent="0" rank="0" text="" dxfId="1">
      <formula>0</formula>
    </cfRule>
    <cfRule type="cellIs" priority="27" operator="lessThanOrEqual" aboveAverage="0" equalAverage="0" bottom="0" percent="0" rank="0" text="" dxfId="0">
      <formula>0</formula>
    </cfRule>
  </conditionalFormatting>
  <conditionalFormatting sqref="F14">
    <cfRule type="cellIs" priority="28" operator="greaterThan" aboveAverage="0" equalAverage="0" bottom="0" percent="0" rank="0" text="" dxfId="10">
      <formula>30</formula>
    </cfRule>
  </conditionalFormatting>
  <conditionalFormatting sqref="G15">
    <cfRule type="cellIs" priority="29" operator="greaterThan" aboveAverage="0" equalAverage="0" bottom="0" percent="0" rank="0" text="" dxfId="1">
      <formula>0</formula>
    </cfRule>
    <cfRule type="cellIs" priority="30" operator="lessThanOrEqual" aboveAverage="0" equalAverage="0" bottom="0" percent="0" rank="0" text="" dxfId="0">
      <formula>0</formula>
    </cfRule>
  </conditionalFormatting>
  <conditionalFormatting sqref="F15">
    <cfRule type="cellIs" priority="31" operator="greaterThan" aboveAverage="0" equalAverage="0" bottom="0" percent="0" rank="0" text="" dxfId="10">
      <formula>30</formula>
    </cfRule>
  </conditionalFormatting>
  <conditionalFormatting sqref="G16">
    <cfRule type="cellIs" priority="32" operator="greaterThan" aboveAverage="0" equalAverage="0" bottom="0" percent="0" rank="0" text="" dxfId="1">
      <formula>0</formula>
    </cfRule>
    <cfRule type="cellIs" priority="33" operator="lessThanOrEqual" aboveAverage="0" equalAverage="0" bottom="0" percent="0" rank="0" text="" dxfId="0">
      <formula>0</formula>
    </cfRule>
  </conditionalFormatting>
  <conditionalFormatting sqref="F16">
    <cfRule type="cellIs" priority="34" operator="greaterThan" aboveAverage="0" equalAverage="0" bottom="0" percent="0" rank="0" text="" dxfId="10">
      <formula>30</formula>
    </cfRule>
  </conditionalFormatting>
  <conditionalFormatting sqref="G17">
    <cfRule type="cellIs" priority="35" operator="greaterThan" aboveAverage="0" equalAverage="0" bottom="0" percent="0" rank="0" text="" dxfId="1">
      <formula>0</formula>
    </cfRule>
    <cfRule type="cellIs" priority="36" operator="lessThanOrEqual" aboveAverage="0" equalAverage="0" bottom="0" percent="0" rank="0" text="" dxfId="0">
      <formula>0</formula>
    </cfRule>
  </conditionalFormatting>
  <conditionalFormatting sqref="F17">
    <cfRule type="cellIs" priority="37" operator="greaterThan" aboveAverage="0" equalAverage="0" bottom="0" percent="0" rank="0" text="" dxfId="10">
      <formula>30</formula>
    </cfRule>
  </conditionalFormatting>
  <conditionalFormatting sqref="G18">
    <cfRule type="cellIs" priority="38" operator="greaterThan" aboveAverage="0" equalAverage="0" bottom="0" percent="0" rank="0" text="" dxfId="1">
      <formula>0</formula>
    </cfRule>
    <cfRule type="cellIs" priority="39" operator="lessThanOrEqual" aboveAverage="0" equalAverage="0" bottom="0" percent="0" rank="0" text="" dxfId="0">
      <formula>0</formula>
    </cfRule>
  </conditionalFormatting>
  <conditionalFormatting sqref="F18">
    <cfRule type="cellIs" priority="40" operator="greaterThan" aboveAverage="0" equalAverage="0" bottom="0" percent="0" rank="0" text="" dxfId="10">
      <formula>30</formula>
    </cfRule>
  </conditionalFormatting>
  <conditionalFormatting sqref="G19">
    <cfRule type="cellIs" priority="41" operator="greaterThan" aboveAverage="0" equalAverage="0" bottom="0" percent="0" rank="0" text="" dxfId="1">
      <formula>0</formula>
    </cfRule>
    <cfRule type="cellIs" priority="42" operator="lessThanOrEqual" aboveAverage="0" equalAverage="0" bottom="0" percent="0" rank="0" text="" dxfId="0">
      <formula>0</formula>
    </cfRule>
  </conditionalFormatting>
  <conditionalFormatting sqref="F19">
    <cfRule type="cellIs" priority="43" operator="greaterThan" aboveAverage="0" equalAverage="0" bottom="0" percent="0" rank="0" text="" dxfId="10">
      <formula>30</formula>
    </cfRule>
  </conditionalFormatting>
  <conditionalFormatting sqref="G20">
    <cfRule type="cellIs" priority="44" operator="greaterThan" aboveAverage="0" equalAverage="0" bottom="0" percent="0" rank="0" text="" dxfId="1">
      <formula>0</formula>
    </cfRule>
    <cfRule type="cellIs" priority="45" operator="lessThanOrEqual" aboveAverage="0" equalAverage="0" bottom="0" percent="0" rank="0" text="" dxfId="0">
      <formula>0</formula>
    </cfRule>
  </conditionalFormatting>
  <conditionalFormatting sqref="F20">
    <cfRule type="cellIs" priority="46" operator="greaterThan" aboveAverage="0" equalAverage="0" bottom="0" percent="0" rank="0" text="" dxfId="10">
      <formula>30</formula>
    </cfRule>
  </conditionalFormatting>
  <conditionalFormatting sqref="G21">
    <cfRule type="cellIs" priority="47" operator="greaterThan" aboveAverage="0" equalAverage="0" bottom="0" percent="0" rank="0" text="" dxfId="1">
      <formula>0</formula>
    </cfRule>
    <cfRule type="cellIs" priority="48" operator="lessThanOrEqual" aboveAverage="0" equalAverage="0" bottom="0" percent="0" rank="0" text="" dxfId="0">
      <formula>0</formula>
    </cfRule>
  </conditionalFormatting>
  <conditionalFormatting sqref="F21">
    <cfRule type="cellIs" priority="49" operator="greaterThan" aboveAverage="0" equalAverage="0" bottom="0" percent="0" rank="0" text="" dxfId="10">
      <formula>30</formula>
    </cfRule>
  </conditionalFormatting>
  <conditionalFormatting sqref="G22">
    <cfRule type="cellIs" priority="50" operator="greaterThan" aboveAverage="0" equalAverage="0" bottom="0" percent="0" rank="0" text="" dxfId="1">
      <formula>0</formula>
    </cfRule>
    <cfRule type="cellIs" priority="51" operator="lessThanOrEqual" aboveAverage="0" equalAverage="0" bottom="0" percent="0" rank="0" text="" dxfId="0">
      <formula>0</formula>
    </cfRule>
  </conditionalFormatting>
  <conditionalFormatting sqref="F22">
    <cfRule type="cellIs" priority="52" operator="greaterThan" aboveAverage="0" equalAverage="0" bottom="0" percent="0" rank="0" text="" dxfId="10">
      <formula>30</formula>
    </cfRule>
  </conditionalFormatting>
  <conditionalFormatting sqref="G23">
    <cfRule type="cellIs" priority="53" operator="greaterThan" aboveAverage="0" equalAverage="0" bottom="0" percent="0" rank="0" text="" dxfId="1">
      <formula>0</formula>
    </cfRule>
    <cfRule type="cellIs" priority="54" operator="lessThanOrEqual" aboveAverage="0" equalAverage="0" bottom="0" percent="0" rank="0" text="" dxfId="0">
      <formula>0</formula>
    </cfRule>
  </conditionalFormatting>
  <conditionalFormatting sqref="F23">
    <cfRule type="cellIs" priority="55" operator="greaterThan" aboveAverage="0" equalAverage="0" bottom="0" percent="0" rank="0" text="" dxfId="10">
      <formula>30</formula>
    </cfRule>
  </conditionalFormatting>
  <conditionalFormatting sqref="G24">
    <cfRule type="cellIs" priority="56" operator="greaterThan" aboveAverage="0" equalAverage="0" bottom="0" percent="0" rank="0" text="" dxfId="1">
      <formula>0</formula>
    </cfRule>
    <cfRule type="cellIs" priority="57" operator="lessThanOrEqual" aboveAverage="0" equalAverage="0" bottom="0" percent="0" rank="0" text="" dxfId="0">
      <formula>0</formula>
    </cfRule>
  </conditionalFormatting>
  <conditionalFormatting sqref="F24">
    <cfRule type="cellIs" priority="58" operator="greaterThan" aboveAverage="0" equalAverage="0" bottom="0" percent="0" rank="0" text="" dxfId="10">
      <formula>30</formula>
    </cfRule>
  </conditionalFormatting>
  <conditionalFormatting sqref="G25">
    <cfRule type="cellIs" priority="59" operator="greaterThan" aboveAverage="0" equalAverage="0" bottom="0" percent="0" rank="0" text="" dxfId="1">
      <formula>0</formula>
    </cfRule>
    <cfRule type="cellIs" priority="60" operator="lessThanOrEqual" aboveAverage="0" equalAverage="0" bottom="0" percent="0" rank="0" text="" dxfId="0">
      <formula>0</formula>
    </cfRule>
  </conditionalFormatting>
  <conditionalFormatting sqref="F25">
    <cfRule type="cellIs" priority="61" operator="greaterThan" aboveAverage="0" equalAverage="0" bottom="0" percent="0" rank="0" text="" dxfId="10">
      <formula>30</formula>
    </cfRule>
  </conditionalFormatting>
  <conditionalFormatting sqref="G26">
    <cfRule type="cellIs" priority="62" operator="greaterThan" aboveAverage="0" equalAverage="0" bottom="0" percent="0" rank="0" text="" dxfId="1">
      <formula>0</formula>
    </cfRule>
    <cfRule type="cellIs" priority="63" operator="lessThanOrEqual" aboveAverage="0" equalAverage="0" bottom="0" percent="0" rank="0" text="" dxfId="0">
      <formula>0</formula>
    </cfRule>
  </conditionalFormatting>
  <conditionalFormatting sqref="F26">
    <cfRule type="cellIs" priority="64" operator="greaterThan" aboveAverage="0" equalAverage="0" bottom="0" percent="0" rank="0" text="" dxfId="10">
      <formula>30</formula>
    </cfRule>
  </conditionalFormatting>
  <conditionalFormatting sqref="G27">
    <cfRule type="cellIs" priority="65" operator="greaterThan" aboveAverage="0" equalAverage="0" bottom="0" percent="0" rank="0" text="" dxfId="1">
      <formula>0</formula>
    </cfRule>
    <cfRule type="cellIs" priority="66" operator="lessThanOrEqual" aboveAverage="0" equalAverage="0" bottom="0" percent="0" rank="0" text="" dxfId="0">
      <formula>0</formula>
    </cfRule>
  </conditionalFormatting>
  <conditionalFormatting sqref="F27">
    <cfRule type="cellIs" priority="67" operator="greaterThan" aboveAverage="0" equalAverage="0" bottom="0" percent="0" rank="0" text="" dxfId="10">
      <formula>30</formula>
    </cfRule>
  </conditionalFormatting>
  <conditionalFormatting sqref="G28">
    <cfRule type="cellIs" priority="68" operator="greaterThan" aboveAverage="0" equalAverage="0" bottom="0" percent="0" rank="0" text="" dxfId="1">
      <formula>0</formula>
    </cfRule>
    <cfRule type="cellIs" priority="69" operator="lessThanOrEqual" aboveAverage="0" equalAverage="0" bottom="0" percent="0" rank="0" text="" dxfId="0">
      <formula>0</formula>
    </cfRule>
  </conditionalFormatting>
  <conditionalFormatting sqref="F28">
    <cfRule type="cellIs" priority="70" operator="greaterThan" aboveAverage="0" equalAverage="0" bottom="0" percent="0" rank="0" text="" dxfId="10">
      <formula>30</formula>
    </cfRule>
  </conditionalFormatting>
  <conditionalFormatting sqref="G29">
    <cfRule type="cellIs" priority="71" operator="greaterThan" aboveAverage="0" equalAverage="0" bottom="0" percent="0" rank="0" text="" dxfId="1">
      <formula>0</formula>
    </cfRule>
    <cfRule type="cellIs" priority="72" operator="lessThanOrEqual" aboveAverage="0" equalAverage="0" bottom="0" percent="0" rank="0" text="" dxfId="0">
      <formula>0</formula>
    </cfRule>
  </conditionalFormatting>
  <conditionalFormatting sqref="F29">
    <cfRule type="cellIs" priority="73" operator="greaterThan" aboveAverage="0" equalAverage="0" bottom="0" percent="0" rank="0" text="" dxfId="10">
      <formula>30</formula>
    </cfRule>
  </conditionalFormatting>
  <conditionalFormatting sqref="G30">
    <cfRule type="cellIs" priority="74" operator="greaterThan" aboveAverage="0" equalAverage="0" bottom="0" percent="0" rank="0" text="" dxfId="1">
      <formula>0</formula>
    </cfRule>
    <cfRule type="cellIs" priority="75" operator="lessThanOrEqual" aboveAverage="0" equalAverage="0" bottom="0" percent="0" rank="0" text="" dxfId="0">
      <formula>0</formula>
    </cfRule>
  </conditionalFormatting>
  <conditionalFormatting sqref="F30">
    <cfRule type="cellIs" priority="76" operator="greaterThan" aboveAverage="0" equalAverage="0" bottom="0" percent="0" rank="0" text="" dxfId="10">
      <formula>30</formula>
    </cfRule>
  </conditionalFormatting>
  <conditionalFormatting sqref="G31">
    <cfRule type="cellIs" priority="77" operator="greaterThan" aboveAverage="0" equalAverage="0" bottom="0" percent="0" rank="0" text="" dxfId="1">
      <formula>0</formula>
    </cfRule>
    <cfRule type="cellIs" priority="78" operator="lessThanOrEqual" aboveAverage="0" equalAverage="0" bottom="0" percent="0" rank="0" text="" dxfId="0">
      <formula>0</formula>
    </cfRule>
  </conditionalFormatting>
  <conditionalFormatting sqref="F31">
    <cfRule type="cellIs" priority="79" operator="greaterThan" aboveAverage="0" equalAverage="0" bottom="0" percent="0" rank="0" text="" dxfId="10">
      <formula>30</formula>
    </cfRule>
  </conditionalFormatting>
  <conditionalFormatting sqref="G32">
    <cfRule type="cellIs" priority="80" operator="greaterThan" aboveAverage="0" equalAverage="0" bottom="0" percent="0" rank="0" text="" dxfId="1">
      <formula>0</formula>
    </cfRule>
    <cfRule type="cellIs" priority="81" operator="lessThanOrEqual" aboveAverage="0" equalAverage="0" bottom="0" percent="0" rank="0" text="" dxfId="0">
      <formula>0</formula>
    </cfRule>
  </conditionalFormatting>
  <conditionalFormatting sqref="F32">
    <cfRule type="cellIs" priority="82" operator="greaterThan" aboveAverage="0" equalAverage="0" bottom="0" percent="0" rank="0" text="" dxfId="10">
      <formula>30</formula>
    </cfRule>
  </conditionalFormatting>
  <conditionalFormatting sqref="G33">
    <cfRule type="cellIs" priority="83" operator="greaterThan" aboveAverage="0" equalAverage="0" bottom="0" percent="0" rank="0" text="" dxfId="1">
      <formula>0</formula>
    </cfRule>
    <cfRule type="cellIs" priority="84" operator="lessThanOrEqual" aboveAverage="0" equalAverage="0" bottom="0" percent="0" rank="0" text="" dxfId="0">
      <formula>0</formula>
    </cfRule>
  </conditionalFormatting>
  <conditionalFormatting sqref="F33">
    <cfRule type="cellIs" priority="85" operator="greaterThan" aboveAverage="0" equalAverage="0" bottom="0" percent="0" rank="0" text="" dxfId="10">
      <formula>30</formula>
    </cfRule>
  </conditionalFormatting>
  <conditionalFormatting sqref="G34">
    <cfRule type="cellIs" priority="86" operator="greaterThan" aboveAverage="0" equalAverage="0" bottom="0" percent="0" rank="0" text="" dxfId="1">
      <formula>0</formula>
    </cfRule>
    <cfRule type="cellIs" priority="87" operator="lessThanOrEqual" aboveAverage="0" equalAverage="0" bottom="0" percent="0" rank="0" text="" dxfId="0">
      <formula>0</formula>
    </cfRule>
  </conditionalFormatting>
  <conditionalFormatting sqref="F34">
    <cfRule type="cellIs" priority="88" operator="greaterThan" aboveAverage="0" equalAverage="0" bottom="0" percent="0" rank="0" text="" dxfId="10">
      <formula>30</formula>
    </cfRule>
  </conditionalFormatting>
  <conditionalFormatting sqref="G35">
    <cfRule type="cellIs" priority="89" operator="greaterThan" aboveAverage="0" equalAverage="0" bottom="0" percent="0" rank="0" text="" dxfId="1">
      <formula>0</formula>
    </cfRule>
    <cfRule type="cellIs" priority="90" operator="lessThanOrEqual" aboveAverage="0" equalAverage="0" bottom="0" percent="0" rank="0" text="" dxfId="0">
      <formula>0</formula>
    </cfRule>
  </conditionalFormatting>
  <conditionalFormatting sqref="F35">
    <cfRule type="cellIs" priority="91" operator="greaterThan" aboveAverage="0" equalAverage="0" bottom="0" percent="0" rank="0" text="" dxfId="10">
      <formula>30</formula>
    </cfRule>
  </conditionalFormatting>
  <conditionalFormatting sqref="G36">
    <cfRule type="cellIs" priority="92" operator="greaterThan" aboveAverage="0" equalAverage="0" bottom="0" percent="0" rank="0" text="" dxfId="1">
      <formula>0</formula>
    </cfRule>
    <cfRule type="cellIs" priority="93" operator="lessThanOrEqual" aboveAverage="0" equalAverage="0" bottom="0" percent="0" rank="0" text="" dxfId="0">
      <formula>0</formula>
    </cfRule>
  </conditionalFormatting>
  <conditionalFormatting sqref="F36">
    <cfRule type="cellIs" priority="94" operator="greaterThan" aboveAverage="0" equalAverage="0" bottom="0" percent="0" rank="0" text="" dxfId="10">
      <formula>30</formula>
    </cfRule>
  </conditionalFormatting>
  <conditionalFormatting sqref="G37">
    <cfRule type="cellIs" priority="95" operator="greaterThan" aboveAverage="0" equalAverage="0" bottom="0" percent="0" rank="0" text="" dxfId="1">
      <formula>0</formula>
    </cfRule>
    <cfRule type="cellIs" priority="96" operator="lessThanOrEqual" aboveAverage="0" equalAverage="0" bottom="0" percent="0" rank="0" text="" dxfId="0">
      <formula>0</formula>
    </cfRule>
  </conditionalFormatting>
  <conditionalFormatting sqref="F37">
    <cfRule type="cellIs" priority="97" operator="greaterThan" aboveAverage="0" equalAverage="0" bottom="0" percent="0" rank="0" text="" dxfId="10">
      <formula>30</formula>
    </cfRule>
  </conditionalFormatting>
  <conditionalFormatting sqref="G38">
    <cfRule type="cellIs" priority="98" operator="greaterThan" aboveAverage="0" equalAverage="0" bottom="0" percent="0" rank="0" text="" dxfId="1">
      <formula>0</formula>
    </cfRule>
    <cfRule type="cellIs" priority="99" operator="lessThanOrEqual" aboveAverage="0" equalAverage="0" bottom="0" percent="0" rank="0" text="" dxfId="0">
      <formula>0</formula>
    </cfRule>
  </conditionalFormatting>
  <conditionalFormatting sqref="F38">
    <cfRule type="cellIs" priority="100" operator="greaterThan" aboveAverage="0" equalAverage="0" bottom="0" percent="0" rank="0" text="" dxfId="10">
      <formula>30</formula>
    </cfRule>
  </conditionalFormatting>
  <conditionalFormatting sqref="G39">
    <cfRule type="cellIs" priority="101" operator="greaterThan" aboveAverage="0" equalAverage="0" bottom="0" percent="0" rank="0" text="" dxfId="1">
      <formula>0</formula>
    </cfRule>
    <cfRule type="cellIs" priority="102" operator="lessThanOrEqual" aboveAverage="0" equalAverage="0" bottom="0" percent="0" rank="0" text="" dxfId="0">
      <formula>0</formula>
    </cfRule>
  </conditionalFormatting>
  <conditionalFormatting sqref="F39">
    <cfRule type="cellIs" priority="103" operator="greaterThan" aboveAverage="0" equalAverage="0" bottom="0" percent="0" rank="0" text="" dxfId="10">
      <formula>30</formula>
    </cfRule>
  </conditionalFormatting>
  <conditionalFormatting sqref="G40">
    <cfRule type="cellIs" priority="104" operator="greaterThan" aboveAverage="0" equalAverage="0" bottom="0" percent="0" rank="0" text="" dxfId="1">
      <formula>0</formula>
    </cfRule>
    <cfRule type="cellIs" priority="105" operator="lessThanOrEqual" aboveAverage="0" equalAverage="0" bottom="0" percent="0" rank="0" text="" dxfId="0">
      <formula>0</formula>
    </cfRule>
  </conditionalFormatting>
  <conditionalFormatting sqref="F40">
    <cfRule type="cellIs" priority="106" operator="greaterThan" aboveAverage="0" equalAverage="0" bottom="0" percent="0" rank="0" text="" dxfId="10">
      <formula>30</formula>
    </cfRule>
  </conditionalFormatting>
  <conditionalFormatting sqref="G41">
    <cfRule type="cellIs" priority="107" operator="greaterThan" aboveAverage="0" equalAverage="0" bottom="0" percent="0" rank="0" text="" dxfId="1">
      <formula>0</formula>
    </cfRule>
    <cfRule type="cellIs" priority="108" operator="lessThanOrEqual" aboveAverage="0" equalAverage="0" bottom="0" percent="0" rank="0" text="" dxfId="0">
      <formula>0</formula>
    </cfRule>
  </conditionalFormatting>
  <conditionalFormatting sqref="F41">
    <cfRule type="cellIs" priority="109" operator="greaterThan" aboveAverage="0" equalAverage="0" bottom="0" percent="0" rank="0" text="" dxfId="10">
      <formula>30</formula>
    </cfRule>
  </conditionalFormatting>
  <conditionalFormatting sqref="G42">
    <cfRule type="cellIs" priority="110" operator="greaterThan" aboveAverage="0" equalAverage="0" bottom="0" percent="0" rank="0" text="" dxfId="1">
      <formula>0</formula>
    </cfRule>
    <cfRule type="cellIs" priority="111" operator="lessThanOrEqual" aboveAverage="0" equalAverage="0" bottom="0" percent="0" rank="0" text="" dxfId="0">
      <formula>0</formula>
    </cfRule>
  </conditionalFormatting>
  <conditionalFormatting sqref="F42">
    <cfRule type="cellIs" priority="112" operator="greaterThan" aboveAverage="0" equalAverage="0" bottom="0" percent="0" rank="0" text="" dxfId="10">
      <formula>30</formula>
    </cfRule>
  </conditionalFormatting>
  <conditionalFormatting sqref="G43">
    <cfRule type="cellIs" priority="113" operator="greaterThan" aboveAverage="0" equalAverage="0" bottom="0" percent="0" rank="0" text="" dxfId="1">
      <formula>0</formula>
    </cfRule>
    <cfRule type="cellIs" priority="114" operator="lessThanOrEqual" aboveAverage="0" equalAverage="0" bottom="0" percent="0" rank="0" text="" dxfId="0">
      <formula>0</formula>
    </cfRule>
  </conditionalFormatting>
  <conditionalFormatting sqref="F43">
    <cfRule type="cellIs" priority="115" operator="greaterThan" aboveAverage="0" equalAverage="0" bottom="0" percent="0" rank="0" text="" dxfId="10">
      <formula>30</formula>
    </cfRule>
  </conditionalFormatting>
  <conditionalFormatting sqref="G44">
    <cfRule type="cellIs" priority="116" operator="greaterThan" aboveAverage="0" equalAverage="0" bottom="0" percent="0" rank="0" text="" dxfId="1">
      <formula>0</formula>
    </cfRule>
    <cfRule type="cellIs" priority="117" operator="lessThanOrEqual" aboveAverage="0" equalAverage="0" bottom="0" percent="0" rank="0" text="" dxfId="0">
      <formula>0</formula>
    </cfRule>
  </conditionalFormatting>
  <conditionalFormatting sqref="F44">
    <cfRule type="cellIs" priority="118" operator="greaterThan" aboveAverage="0" equalAverage="0" bottom="0" percent="0" rank="0" text="" dxfId="10">
      <formula>30</formula>
    </cfRule>
  </conditionalFormatting>
  <conditionalFormatting sqref="G45">
    <cfRule type="cellIs" priority="119" operator="greaterThan" aboveAverage="0" equalAverage="0" bottom="0" percent="0" rank="0" text="" dxfId="1">
      <formula>0</formula>
    </cfRule>
    <cfRule type="cellIs" priority="120" operator="lessThanOrEqual" aboveAverage="0" equalAverage="0" bottom="0" percent="0" rank="0" text="" dxfId="0">
      <formula>0</formula>
    </cfRule>
  </conditionalFormatting>
  <conditionalFormatting sqref="F45">
    <cfRule type="cellIs" priority="121" operator="greaterThan" aboveAverage="0" equalAverage="0" bottom="0" percent="0" rank="0" text="" dxfId="10">
      <formula>30</formula>
    </cfRule>
  </conditionalFormatting>
  <conditionalFormatting sqref="G46">
    <cfRule type="cellIs" priority="122" operator="greaterThan" aboveAverage="0" equalAverage="0" bottom="0" percent="0" rank="0" text="" dxfId="1">
      <formula>0</formula>
    </cfRule>
    <cfRule type="cellIs" priority="123" operator="lessThanOrEqual" aboveAverage="0" equalAverage="0" bottom="0" percent="0" rank="0" text="" dxfId="0">
      <formula>0</formula>
    </cfRule>
  </conditionalFormatting>
  <conditionalFormatting sqref="F46">
    <cfRule type="cellIs" priority="124" operator="greaterThan" aboveAverage="0" equalAverage="0" bottom="0" percent="0" rank="0" text="" dxfId="10">
      <formula>30</formula>
    </cfRule>
  </conditionalFormatting>
  <conditionalFormatting sqref="G47">
    <cfRule type="cellIs" priority="125" operator="greaterThan" aboveAverage="0" equalAverage="0" bottom="0" percent="0" rank="0" text="" dxfId="1">
      <formula>0</formula>
    </cfRule>
    <cfRule type="cellIs" priority="126" operator="lessThanOrEqual" aboveAverage="0" equalAverage="0" bottom="0" percent="0" rank="0" text="" dxfId="0">
      <formula>0</formula>
    </cfRule>
  </conditionalFormatting>
  <conditionalFormatting sqref="F47">
    <cfRule type="cellIs" priority="127" operator="greaterThan" aboveAverage="0" equalAverage="0" bottom="0" percent="0" rank="0" text="" dxfId="10">
      <formula>30</formula>
    </cfRule>
  </conditionalFormatting>
  <conditionalFormatting sqref="G48">
    <cfRule type="cellIs" priority="128" operator="greaterThan" aboveAverage="0" equalAverage="0" bottom="0" percent="0" rank="0" text="" dxfId="1">
      <formula>0</formula>
    </cfRule>
    <cfRule type="cellIs" priority="129" operator="lessThanOrEqual" aboveAverage="0" equalAverage="0" bottom="0" percent="0" rank="0" text="" dxfId="0">
      <formula>0</formula>
    </cfRule>
  </conditionalFormatting>
  <conditionalFormatting sqref="F48">
    <cfRule type="cellIs" priority="130" operator="greaterThan" aboveAverage="0" equalAverage="0" bottom="0" percent="0" rank="0" text="" dxfId="10">
      <formula>30</formula>
    </cfRule>
  </conditionalFormatting>
  <conditionalFormatting sqref="G49">
    <cfRule type="cellIs" priority="131" operator="greaterThan" aboveAverage="0" equalAverage="0" bottom="0" percent="0" rank="0" text="" dxfId="1">
      <formula>0</formula>
    </cfRule>
    <cfRule type="cellIs" priority="132" operator="lessThanOrEqual" aboveAverage="0" equalAverage="0" bottom="0" percent="0" rank="0" text="" dxfId="0">
      <formula>0</formula>
    </cfRule>
  </conditionalFormatting>
  <conditionalFormatting sqref="F49">
    <cfRule type="cellIs" priority="133" operator="greaterThan" aboveAverage="0" equalAverage="0" bottom="0" percent="0" rank="0" text="" dxfId="10">
      <formula>30</formula>
    </cfRule>
  </conditionalFormatting>
  <conditionalFormatting sqref="G50">
    <cfRule type="cellIs" priority="134" operator="greaterThan" aboveAverage="0" equalAverage="0" bottom="0" percent="0" rank="0" text="" dxfId="1">
      <formula>0</formula>
    </cfRule>
    <cfRule type="cellIs" priority="135" operator="lessThanOrEqual" aboveAverage="0" equalAverage="0" bottom="0" percent="0" rank="0" text="" dxfId="0">
      <formula>0</formula>
    </cfRule>
  </conditionalFormatting>
  <conditionalFormatting sqref="F50">
    <cfRule type="cellIs" priority="136" operator="greaterThan" aboveAverage="0" equalAverage="0" bottom="0" percent="0" rank="0" text="" dxfId="10">
      <formula>30</formula>
    </cfRule>
  </conditionalFormatting>
  <conditionalFormatting sqref="G51">
    <cfRule type="cellIs" priority="137" operator="greaterThan" aboveAverage="0" equalAverage="0" bottom="0" percent="0" rank="0" text="" dxfId="1">
      <formula>0</formula>
    </cfRule>
    <cfRule type="cellIs" priority="138" operator="lessThanOrEqual" aboveAverage="0" equalAverage="0" bottom="0" percent="0" rank="0" text="" dxfId="0">
      <formula>0</formula>
    </cfRule>
  </conditionalFormatting>
  <conditionalFormatting sqref="F51">
    <cfRule type="cellIs" priority="139" operator="greaterThan" aboveAverage="0" equalAverage="0" bottom="0" percent="0" rank="0" text="" dxfId="10">
      <formula>30</formula>
    </cfRule>
  </conditionalFormatting>
  <conditionalFormatting sqref="G52">
    <cfRule type="cellIs" priority="140" operator="greaterThan" aboveAverage="0" equalAverage="0" bottom="0" percent="0" rank="0" text="" dxfId="1">
      <formula>0</formula>
    </cfRule>
    <cfRule type="cellIs" priority="141" operator="lessThanOrEqual" aboveAverage="0" equalAverage="0" bottom="0" percent="0" rank="0" text="" dxfId="0">
      <formula>0</formula>
    </cfRule>
  </conditionalFormatting>
  <conditionalFormatting sqref="F52">
    <cfRule type="cellIs" priority="142" operator="greaterThan" aboveAverage="0" equalAverage="0" bottom="0" percent="0" rank="0" text="" dxfId="10">
      <formula>30</formula>
    </cfRule>
  </conditionalFormatting>
  <conditionalFormatting sqref="G53">
    <cfRule type="cellIs" priority="143" operator="greaterThan" aboveAverage="0" equalAverage="0" bottom="0" percent="0" rank="0" text="" dxfId="1">
      <formula>0</formula>
    </cfRule>
    <cfRule type="cellIs" priority="144" operator="lessThanOrEqual" aboveAverage="0" equalAverage="0" bottom="0" percent="0" rank="0" text="" dxfId="0">
      <formula>0</formula>
    </cfRule>
  </conditionalFormatting>
  <conditionalFormatting sqref="F53">
    <cfRule type="cellIs" priority="145" operator="greaterThan" aboveAverage="0" equalAverage="0" bottom="0" percent="0" rank="0" text="" dxfId="10">
      <formula>30</formula>
    </cfRule>
  </conditionalFormatting>
  <conditionalFormatting sqref="G54">
    <cfRule type="cellIs" priority="146" operator="greaterThan" aboveAverage="0" equalAverage="0" bottom="0" percent="0" rank="0" text="" dxfId="1">
      <formula>0</formula>
    </cfRule>
    <cfRule type="cellIs" priority="147" operator="lessThanOrEqual" aboveAverage="0" equalAverage="0" bottom="0" percent="0" rank="0" text="" dxfId="0">
      <formula>0</formula>
    </cfRule>
  </conditionalFormatting>
  <conditionalFormatting sqref="F54">
    <cfRule type="cellIs" priority="148" operator="greaterThan" aboveAverage="0" equalAverage="0" bottom="0" percent="0" rank="0" text="" dxfId="10">
      <formula>30</formula>
    </cfRule>
  </conditionalFormatting>
  <conditionalFormatting sqref="G55">
    <cfRule type="cellIs" priority="149" operator="greaterThan" aboveAverage="0" equalAverage="0" bottom="0" percent="0" rank="0" text="" dxfId="1">
      <formula>0</formula>
    </cfRule>
    <cfRule type="cellIs" priority="150" operator="lessThanOrEqual" aboveAverage="0" equalAverage="0" bottom="0" percent="0" rank="0" text="" dxfId="0">
      <formula>0</formula>
    </cfRule>
  </conditionalFormatting>
  <conditionalFormatting sqref="F55">
    <cfRule type="cellIs" priority="151" operator="greaterThan" aboveAverage="0" equalAverage="0" bottom="0" percent="0" rank="0" text="" dxfId="10">
      <formula>30</formula>
    </cfRule>
  </conditionalFormatting>
  <conditionalFormatting sqref="G56">
    <cfRule type="cellIs" priority="152" operator="greaterThan" aboveAverage="0" equalAverage="0" bottom="0" percent="0" rank="0" text="" dxfId="1">
      <formula>0</formula>
    </cfRule>
    <cfRule type="cellIs" priority="153" operator="lessThanOrEqual" aboveAverage="0" equalAverage="0" bottom="0" percent="0" rank="0" text="" dxfId="0">
      <formula>0</formula>
    </cfRule>
  </conditionalFormatting>
  <conditionalFormatting sqref="F56">
    <cfRule type="cellIs" priority="154" operator="greaterThan" aboveAverage="0" equalAverage="0" bottom="0" percent="0" rank="0" text="" dxfId="10">
      <formula>30</formula>
    </cfRule>
  </conditionalFormatting>
  <conditionalFormatting sqref="G57">
    <cfRule type="cellIs" priority="155" operator="greaterThan" aboveAverage="0" equalAverage="0" bottom="0" percent="0" rank="0" text="" dxfId="1">
      <formula>0</formula>
    </cfRule>
    <cfRule type="cellIs" priority="156" operator="lessThanOrEqual" aboveAverage="0" equalAverage="0" bottom="0" percent="0" rank="0" text="" dxfId="0">
      <formula>0</formula>
    </cfRule>
  </conditionalFormatting>
  <conditionalFormatting sqref="F57">
    <cfRule type="cellIs" priority="157" operator="greaterThan" aboveAverage="0" equalAverage="0" bottom="0" percent="0" rank="0" text="" dxfId="10">
      <formula>30</formula>
    </cfRule>
  </conditionalFormatting>
  <conditionalFormatting sqref="G58">
    <cfRule type="cellIs" priority="158" operator="greaterThan" aboveAverage="0" equalAverage="0" bottom="0" percent="0" rank="0" text="" dxfId="1">
      <formula>0</formula>
    </cfRule>
    <cfRule type="cellIs" priority="159" operator="lessThanOrEqual" aboveAverage="0" equalAverage="0" bottom="0" percent="0" rank="0" text="" dxfId="0">
      <formula>0</formula>
    </cfRule>
  </conditionalFormatting>
  <conditionalFormatting sqref="F58">
    <cfRule type="cellIs" priority="160" operator="greaterThan" aboveAverage="0" equalAverage="0" bottom="0" percent="0" rank="0" text="" dxfId="10">
      <formula>30</formula>
    </cfRule>
  </conditionalFormatting>
  <conditionalFormatting sqref="G59">
    <cfRule type="cellIs" priority="161" operator="greaterThan" aboveAverage="0" equalAverage="0" bottom="0" percent="0" rank="0" text="" dxfId="1">
      <formula>0</formula>
    </cfRule>
    <cfRule type="cellIs" priority="162" operator="lessThanOrEqual" aboveAverage="0" equalAverage="0" bottom="0" percent="0" rank="0" text="" dxfId="0">
      <formula>0</formula>
    </cfRule>
  </conditionalFormatting>
  <conditionalFormatting sqref="F59">
    <cfRule type="cellIs" priority="163" operator="greaterThan" aboveAverage="0" equalAverage="0" bottom="0" percent="0" rank="0" text="" dxfId="10">
      <formula>30</formula>
    </cfRule>
  </conditionalFormatting>
  <conditionalFormatting sqref="G60">
    <cfRule type="cellIs" priority="164" operator="greaterThan" aboveAverage="0" equalAverage="0" bottom="0" percent="0" rank="0" text="" dxfId="1">
      <formula>0</formula>
    </cfRule>
    <cfRule type="cellIs" priority="165" operator="lessThanOrEqual" aboveAverage="0" equalAverage="0" bottom="0" percent="0" rank="0" text="" dxfId="0">
      <formula>0</formula>
    </cfRule>
  </conditionalFormatting>
  <conditionalFormatting sqref="F60">
    <cfRule type="cellIs" priority="166" operator="greaterThan" aboveAverage="0" equalAverage="0" bottom="0" percent="0" rank="0" text="" dxfId="10">
      <formula>30</formula>
    </cfRule>
  </conditionalFormatting>
  <conditionalFormatting sqref="G61">
    <cfRule type="cellIs" priority="167" operator="greaterThan" aboveAverage="0" equalAverage="0" bottom="0" percent="0" rank="0" text="" dxfId="1">
      <formula>0</formula>
    </cfRule>
    <cfRule type="cellIs" priority="168" operator="lessThanOrEqual" aboveAverage="0" equalAverage="0" bottom="0" percent="0" rank="0" text="" dxfId="0">
      <formula>0</formula>
    </cfRule>
  </conditionalFormatting>
  <conditionalFormatting sqref="F61">
    <cfRule type="cellIs" priority="169" operator="greaterThan" aboveAverage="0" equalAverage="0" bottom="0" percent="0" rank="0" text="" dxfId="10">
      <formula>30</formula>
    </cfRule>
  </conditionalFormatting>
  <conditionalFormatting sqref="G62">
    <cfRule type="cellIs" priority="170" operator="greaterThan" aboveAverage="0" equalAverage="0" bottom="0" percent="0" rank="0" text="" dxfId="1">
      <formula>0</formula>
    </cfRule>
    <cfRule type="cellIs" priority="171" operator="lessThanOrEqual" aboveAverage="0" equalAverage="0" bottom="0" percent="0" rank="0" text="" dxfId="0">
      <formula>0</formula>
    </cfRule>
  </conditionalFormatting>
  <conditionalFormatting sqref="F62">
    <cfRule type="cellIs" priority="172" operator="greaterThan" aboveAverage="0" equalAverage="0" bottom="0" percent="0" rank="0" text="" dxfId="10">
      <formula>30</formula>
    </cfRule>
  </conditionalFormatting>
  <conditionalFormatting sqref="G63">
    <cfRule type="cellIs" priority="173" operator="greaterThan" aboveAverage="0" equalAverage="0" bottom="0" percent="0" rank="0" text="" dxfId="1">
      <formula>0</formula>
    </cfRule>
    <cfRule type="cellIs" priority="174" operator="lessThanOrEqual" aboveAverage="0" equalAverage="0" bottom="0" percent="0" rank="0" text="" dxfId="0">
      <formula>0</formula>
    </cfRule>
  </conditionalFormatting>
  <conditionalFormatting sqref="F63">
    <cfRule type="cellIs" priority="175" operator="greaterThan" aboveAverage="0" equalAverage="0" bottom="0" percent="0" rank="0" text="" dxfId="10">
      <formula>30</formula>
    </cfRule>
  </conditionalFormatting>
  <conditionalFormatting sqref="G64">
    <cfRule type="cellIs" priority="176" operator="greaterThan" aboveAverage="0" equalAverage="0" bottom="0" percent="0" rank="0" text="" dxfId="1">
      <formula>0</formula>
    </cfRule>
    <cfRule type="cellIs" priority="177" operator="lessThanOrEqual" aboveAverage="0" equalAverage="0" bottom="0" percent="0" rank="0" text="" dxfId="0">
      <formula>0</formula>
    </cfRule>
  </conditionalFormatting>
  <conditionalFormatting sqref="F64">
    <cfRule type="cellIs" priority="178" operator="greaterThan" aboveAverage="0" equalAverage="0" bottom="0" percent="0" rank="0" text="" dxfId="10">
      <formula>30</formula>
    </cfRule>
  </conditionalFormatting>
  <conditionalFormatting sqref="G65">
    <cfRule type="cellIs" priority="179" operator="greaterThan" aboveAverage="0" equalAverage="0" bottom="0" percent="0" rank="0" text="" dxfId="1">
      <formula>0</formula>
    </cfRule>
    <cfRule type="cellIs" priority="180" operator="lessThanOrEqual" aboveAverage="0" equalAverage="0" bottom="0" percent="0" rank="0" text="" dxfId="0">
      <formula>0</formula>
    </cfRule>
  </conditionalFormatting>
  <conditionalFormatting sqref="F65">
    <cfRule type="cellIs" priority="181" operator="greaterThan" aboveAverage="0" equalAverage="0" bottom="0" percent="0" rank="0" text="" dxfId="10">
      <formula>30</formula>
    </cfRule>
  </conditionalFormatting>
  <conditionalFormatting sqref="G66">
    <cfRule type="cellIs" priority="182" operator="greaterThan" aboveAverage="0" equalAverage="0" bottom="0" percent="0" rank="0" text="" dxfId="1">
      <formula>0</formula>
    </cfRule>
    <cfRule type="cellIs" priority="183" operator="lessThanOrEqual" aboveAverage="0" equalAverage="0" bottom="0" percent="0" rank="0" text="" dxfId="0">
      <formula>0</formula>
    </cfRule>
  </conditionalFormatting>
  <conditionalFormatting sqref="F66">
    <cfRule type="cellIs" priority="184" operator="greaterThan" aboveAverage="0" equalAverage="0" bottom="0" percent="0" rank="0" text="" dxfId="10">
      <formula>30</formula>
    </cfRule>
  </conditionalFormatting>
  <conditionalFormatting sqref="G67">
    <cfRule type="cellIs" priority="185" operator="greaterThan" aboveAverage="0" equalAverage="0" bottom="0" percent="0" rank="0" text="" dxfId="1">
      <formula>0</formula>
    </cfRule>
    <cfRule type="cellIs" priority="186" operator="lessThanOrEqual" aboveAverage="0" equalAverage="0" bottom="0" percent="0" rank="0" text="" dxfId="0">
      <formula>0</formula>
    </cfRule>
  </conditionalFormatting>
  <conditionalFormatting sqref="F67">
    <cfRule type="cellIs" priority="187" operator="greaterThan" aboveAverage="0" equalAverage="0" bottom="0" percent="0" rank="0" text="" dxfId="10">
      <formula>30</formula>
    </cfRule>
  </conditionalFormatting>
  <conditionalFormatting sqref="G68">
    <cfRule type="cellIs" priority="188" operator="greaterThan" aboveAverage="0" equalAverage="0" bottom="0" percent="0" rank="0" text="" dxfId="1">
      <formula>0</formula>
    </cfRule>
    <cfRule type="cellIs" priority="189" operator="lessThanOrEqual" aboveAverage="0" equalAverage="0" bottom="0" percent="0" rank="0" text="" dxfId="0">
      <formula>0</formula>
    </cfRule>
  </conditionalFormatting>
  <conditionalFormatting sqref="F68">
    <cfRule type="cellIs" priority="190" operator="greaterThan" aboveAverage="0" equalAverage="0" bottom="0" percent="0" rank="0" text="" dxfId="10">
      <formula>30</formula>
    </cfRule>
  </conditionalFormatting>
  <conditionalFormatting sqref="G69">
    <cfRule type="cellIs" priority="191" operator="greaterThan" aboveAverage="0" equalAverage="0" bottom="0" percent="0" rank="0" text="" dxfId="1">
      <formula>0</formula>
    </cfRule>
    <cfRule type="cellIs" priority="192" operator="lessThanOrEqual" aboveAverage="0" equalAverage="0" bottom="0" percent="0" rank="0" text="" dxfId="0">
      <formula>0</formula>
    </cfRule>
  </conditionalFormatting>
  <conditionalFormatting sqref="F69">
    <cfRule type="cellIs" priority="193" operator="greaterThan" aboveAverage="0" equalAverage="0" bottom="0" percent="0" rank="0" text="" dxfId="10">
      <formula>30</formula>
    </cfRule>
  </conditionalFormatting>
  <conditionalFormatting sqref="G70">
    <cfRule type="cellIs" priority="194" operator="greaterThan" aboveAverage="0" equalAverage="0" bottom="0" percent="0" rank="0" text="" dxfId="1">
      <formula>0</formula>
    </cfRule>
    <cfRule type="cellIs" priority="195" operator="lessThanOrEqual" aboveAverage="0" equalAverage="0" bottom="0" percent="0" rank="0" text="" dxfId="0">
      <formula>0</formula>
    </cfRule>
  </conditionalFormatting>
  <conditionalFormatting sqref="F70">
    <cfRule type="cellIs" priority="196" operator="greaterThan" aboveAverage="0" equalAverage="0" bottom="0" percent="0" rank="0" text="" dxfId="10">
      <formula>30</formula>
    </cfRule>
  </conditionalFormatting>
  <conditionalFormatting sqref="G71">
    <cfRule type="cellIs" priority="197" operator="greaterThan" aboveAverage="0" equalAverage="0" bottom="0" percent="0" rank="0" text="" dxfId="1">
      <formula>0</formula>
    </cfRule>
    <cfRule type="cellIs" priority="198" operator="lessThanOrEqual" aboveAverage="0" equalAverage="0" bottom="0" percent="0" rank="0" text="" dxfId="0">
      <formula>0</formula>
    </cfRule>
  </conditionalFormatting>
  <conditionalFormatting sqref="F71">
    <cfRule type="cellIs" priority="199" operator="greaterThan" aboveAverage="0" equalAverage="0" bottom="0" percent="0" rank="0" text="" dxfId="10">
      <formula>30</formula>
    </cfRule>
  </conditionalFormatting>
  <conditionalFormatting sqref="G72">
    <cfRule type="cellIs" priority="200" operator="greaterThan" aboveAverage="0" equalAverage="0" bottom="0" percent="0" rank="0" text="" dxfId="1">
      <formula>0</formula>
    </cfRule>
    <cfRule type="cellIs" priority="201" operator="lessThanOrEqual" aboveAverage="0" equalAverage="0" bottom="0" percent="0" rank="0" text="" dxfId="0">
      <formula>0</formula>
    </cfRule>
  </conditionalFormatting>
  <conditionalFormatting sqref="F72">
    <cfRule type="cellIs" priority="202" operator="greaterThan" aboveAverage="0" equalAverage="0" bottom="0" percent="0" rank="0" text="" dxfId="10">
      <formula>30</formula>
    </cfRule>
  </conditionalFormatting>
  <conditionalFormatting sqref="G73">
    <cfRule type="cellIs" priority="203" operator="greaterThan" aboveAverage="0" equalAverage="0" bottom="0" percent="0" rank="0" text="" dxfId="1">
      <formula>0</formula>
    </cfRule>
    <cfRule type="cellIs" priority="204" operator="lessThanOrEqual" aboveAverage="0" equalAverage="0" bottom="0" percent="0" rank="0" text="" dxfId="0">
      <formula>0</formula>
    </cfRule>
  </conditionalFormatting>
  <conditionalFormatting sqref="F73">
    <cfRule type="cellIs" priority="205" operator="greaterThan" aboveAverage="0" equalAverage="0" bottom="0" percent="0" rank="0" text="" dxfId="10">
      <formula>30</formula>
    </cfRule>
  </conditionalFormatting>
  <conditionalFormatting sqref="G74">
    <cfRule type="cellIs" priority="206" operator="greaterThan" aboveAverage="0" equalAverage="0" bottom="0" percent="0" rank="0" text="" dxfId="1">
      <formula>0</formula>
    </cfRule>
    <cfRule type="cellIs" priority="207" operator="lessThanOrEqual" aboveAverage="0" equalAverage="0" bottom="0" percent="0" rank="0" text="" dxfId="0">
      <formula>0</formula>
    </cfRule>
  </conditionalFormatting>
  <conditionalFormatting sqref="F74">
    <cfRule type="cellIs" priority="208" operator="greaterThan" aboveAverage="0" equalAverage="0" bottom="0" percent="0" rank="0" text="" dxfId="10">
      <formula>30</formula>
    </cfRule>
  </conditionalFormatting>
  <conditionalFormatting sqref="G75">
    <cfRule type="cellIs" priority="209" operator="greaterThan" aboveAverage="0" equalAverage="0" bottom="0" percent="0" rank="0" text="" dxfId="1">
      <formula>0</formula>
    </cfRule>
    <cfRule type="cellIs" priority="210" operator="lessThanOrEqual" aboveAverage="0" equalAverage="0" bottom="0" percent="0" rank="0" text="" dxfId="0">
      <formula>0</formula>
    </cfRule>
  </conditionalFormatting>
  <conditionalFormatting sqref="F75">
    <cfRule type="cellIs" priority="211" operator="greaterThan" aboveAverage="0" equalAverage="0" bottom="0" percent="0" rank="0" text="" dxfId="10">
      <formula>30</formula>
    </cfRule>
  </conditionalFormatting>
  <conditionalFormatting sqref="G76">
    <cfRule type="cellIs" priority="212" operator="greaterThan" aboveAverage="0" equalAverage="0" bottom="0" percent="0" rank="0" text="" dxfId="1">
      <formula>0</formula>
    </cfRule>
    <cfRule type="cellIs" priority="213" operator="lessThanOrEqual" aboveAverage="0" equalAverage="0" bottom="0" percent="0" rank="0" text="" dxfId="0">
      <formula>0</formula>
    </cfRule>
  </conditionalFormatting>
  <conditionalFormatting sqref="F76">
    <cfRule type="cellIs" priority="214" operator="greaterThan" aboveAverage="0" equalAverage="0" bottom="0" percent="0" rank="0" text="" dxfId="10">
      <formula>30</formula>
    </cfRule>
  </conditionalFormatting>
  <conditionalFormatting sqref="G77">
    <cfRule type="cellIs" priority="215" operator="greaterThan" aboveAverage="0" equalAverage="0" bottom="0" percent="0" rank="0" text="" dxfId="1">
      <formula>0</formula>
    </cfRule>
    <cfRule type="cellIs" priority="216" operator="lessThanOrEqual" aboveAverage="0" equalAverage="0" bottom="0" percent="0" rank="0" text="" dxfId="0">
      <formula>0</formula>
    </cfRule>
  </conditionalFormatting>
  <conditionalFormatting sqref="F77">
    <cfRule type="cellIs" priority="217" operator="greaterThan" aboveAverage="0" equalAverage="0" bottom="0" percent="0" rank="0" text="" dxfId="10">
      <formula>30</formula>
    </cfRule>
  </conditionalFormatting>
  <conditionalFormatting sqref="G78">
    <cfRule type="cellIs" priority="218" operator="greaterThan" aboveAverage="0" equalAverage="0" bottom="0" percent="0" rank="0" text="" dxfId="1">
      <formula>0</formula>
    </cfRule>
    <cfRule type="cellIs" priority="219" operator="lessThanOrEqual" aboveAverage="0" equalAverage="0" bottom="0" percent="0" rank="0" text="" dxfId="0">
      <formula>0</formula>
    </cfRule>
  </conditionalFormatting>
  <conditionalFormatting sqref="F78">
    <cfRule type="cellIs" priority="220" operator="greaterThan" aboveAverage="0" equalAverage="0" bottom="0" percent="0" rank="0" text="" dxfId="10">
      <formula>30</formula>
    </cfRule>
  </conditionalFormatting>
  <conditionalFormatting sqref="G79">
    <cfRule type="cellIs" priority="221" operator="greaterThan" aboveAverage="0" equalAverage="0" bottom="0" percent="0" rank="0" text="" dxfId="1">
      <formula>0</formula>
    </cfRule>
    <cfRule type="cellIs" priority="222" operator="lessThanOrEqual" aboveAverage="0" equalAverage="0" bottom="0" percent="0" rank="0" text="" dxfId="0">
      <formula>0</formula>
    </cfRule>
  </conditionalFormatting>
  <conditionalFormatting sqref="F79">
    <cfRule type="cellIs" priority="223" operator="greaterThan" aboveAverage="0" equalAverage="0" bottom="0" percent="0" rank="0" text="" dxfId="10">
      <formula>30</formula>
    </cfRule>
  </conditionalFormatting>
  <conditionalFormatting sqref="G80">
    <cfRule type="cellIs" priority="224" operator="greaterThan" aboveAverage="0" equalAverage="0" bottom="0" percent="0" rank="0" text="" dxfId="1">
      <formula>0</formula>
    </cfRule>
    <cfRule type="cellIs" priority="225" operator="lessThanOrEqual" aboveAverage="0" equalAverage="0" bottom="0" percent="0" rank="0" text="" dxfId="0">
      <formula>0</formula>
    </cfRule>
  </conditionalFormatting>
  <conditionalFormatting sqref="F80">
    <cfRule type="cellIs" priority="226" operator="greaterThan" aboveAverage="0" equalAverage="0" bottom="0" percent="0" rank="0" text="" dxfId="10">
      <formula>30</formula>
    </cfRule>
  </conditionalFormatting>
  <conditionalFormatting sqref="G81">
    <cfRule type="cellIs" priority="227" operator="greaterThan" aboveAverage="0" equalAverage="0" bottom="0" percent="0" rank="0" text="" dxfId="1">
      <formula>0</formula>
    </cfRule>
    <cfRule type="cellIs" priority="228" operator="lessThanOrEqual" aboveAverage="0" equalAverage="0" bottom="0" percent="0" rank="0" text="" dxfId="0">
      <formula>0</formula>
    </cfRule>
  </conditionalFormatting>
  <conditionalFormatting sqref="F81">
    <cfRule type="cellIs" priority="229" operator="greaterThan" aboveAverage="0" equalAverage="0" bottom="0" percent="0" rank="0" text="" dxfId="10">
      <formula>30</formula>
    </cfRule>
  </conditionalFormatting>
  <conditionalFormatting sqref="G82">
    <cfRule type="cellIs" priority="230" operator="greaterThan" aboveAverage="0" equalAverage="0" bottom="0" percent="0" rank="0" text="" dxfId="1">
      <formula>0</formula>
    </cfRule>
    <cfRule type="cellIs" priority="231" operator="lessThanOrEqual" aboveAverage="0" equalAverage="0" bottom="0" percent="0" rank="0" text="" dxfId="0">
      <formula>0</formula>
    </cfRule>
  </conditionalFormatting>
  <conditionalFormatting sqref="F82">
    <cfRule type="cellIs" priority="232" operator="greaterThan" aboveAverage="0" equalAverage="0" bottom="0" percent="0" rank="0" text="" dxfId="10">
      <formula>30</formula>
    </cfRule>
  </conditionalFormatting>
  <conditionalFormatting sqref="G83">
    <cfRule type="cellIs" priority="233" operator="greaterThan" aboveAverage="0" equalAverage="0" bottom="0" percent="0" rank="0" text="" dxfId="1">
      <formula>0</formula>
    </cfRule>
    <cfRule type="cellIs" priority="234" operator="lessThanOrEqual" aboveAverage="0" equalAverage="0" bottom="0" percent="0" rank="0" text="" dxfId="0">
      <formula>0</formula>
    </cfRule>
  </conditionalFormatting>
  <conditionalFormatting sqref="F83">
    <cfRule type="cellIs" priority="235" operator="greaterThan" aboveAverage="0" equalAverage="0" bottom="0" percent="0" rank="0" text="" dxfId="10">
      <formula>30</formula>
    </cfRule>
  </conditionalFormatting>
  <conditionalFormatting sqref="G84">
    <cfRule type="cellIs" priority="236" operator="greaterThan" aboveAverage="0" equalAverage="0" bottom="0" percent="0" rank="0" text="" dxfId="1">
      <formula>0</formula>
    </cfRule>
    <cfRule type="cellIs" priority="237" operator="lessThanOrEqual" aboveAverage="0" equalAverage="0" bottom="0" percent="0" rank="0" text="" dxfId="0">
      <formula>0</formula>
    </cfRule>
  </conditionalFormatting>
  <conditionalFormatting sqref="F84">
    <cfRule type="cellIs" priority="238" operator="greaterThan" aboveAverage="0" equalAverage="0" bottom="0" percent="0" rank="0" text="" dxfId="10">
      <formula>30</formula>
    </cfRule>
  </conditionalFormatting>
  <conditionalFormatting sqref="G85">
    <cfRule type="cellIs" priority="239" operator="greaterThan" aboveAverage="0" equalAverage="0" bottom="0" percent="0" rank="0" text="" dxfId="1">
      <formula>0</formula>
    </cfRule>
    <cfRule type="cellIs" priority="240" operator="lessThanOrEqual" aboveAverage="0" equalAverage="0" bottom="0" percent="0" rank="0" text="" dxfId="0">
      <formula>0</formula>
    </cfRule>
  </conditionalFormatting>
  <conditionalFormatting sqref="F85">
    <cfRule type="cellIs" priority="241" operator="greaterThan" aboveAverage="0" equalAverage="0" bottom="0" percent="0" rank="0" text="" dxfId="10">
      <formula>30</formula>
    </cfRule>
  </conditionalFormatting>
  <conditionalFormatting sqref="G86">
    <cfRule type="cellIs" priority="242" operator="greaterThan" aboveAverage="0" equalAverage="0" bottom="0" percent="0" rank="0" text="" dxfId="1">
      <formula>0</formula>
    </cfRule>
    <cfRule type="cellIs" priority="243" operator="lessThanOrEqual" aboveAverage="0" equalAverage="0" bottom="0" percent="0" rank="0" text="" dxfId="0">
      <formula>0</formula>
    </cfRule>
  </conditionalFormatting>
  <conditionalFormatting sqref="F86">
    <cfRule type="cellIs" priority="244" operator="greaterThan" aboveAverage="0" equalAverage="0" bottom="0" percent="0" rank="0" text="" dxfId="10">
      <formula>30</formula>
    </cfRule>
  </conditionalFormatting>
  <conditionalFormatting sqref="G87">
    <cfRule type="cellIs" priority="245" operator="greaterThan" aboveAverage="0" equalAverage="0" bottom="0" percent="0" rank="0" text="" dxfId="1">
      <formula>0</formula>
    </cfRule>
    <cfRule type="cellIs" priority="246" operator="lessThanOrEqual" aboveAverage="0" equalAverage="0" bottom="0" percent="0" rank="0" text="" dxfId="0">
      <formula>0</formula>
    </cfRule>
  </conditionalFormatting>
  <conditionalFormatting sqref="F87">
    <cfRule type="cellIs" priority="247" operator="greaterThan" aboveAverage="0" equalAverage="0" bottom="0" percent="0" rank="0" text="" dxfId="10">
      <formula>30</formula>
    </cfRule>
  </conditionalFormatting>
  <conditionalFormatting sqref="G88">
    <cfRule type="cellIs" priority="248" operator="greaterThan" aboveAverage="0" equalAverage="0" bottom="0" percent="0" rank="0" text="" dxfId="1">
      <formula>0</formula>
    </cfRule>
    <cfRule type="cellIs" priority="249" operator="lessThanOrEqual" aboveAverage="0" equalAverage="0" bottom="0" percent="0" rank="0" text="" dxfId="0">
      <formula>0</formula>
    </cfRule>
  </conditionalFormatting>
  <conditionalFormatting sqref="F88">
    <cfRule type="cellIs" priority="250" operator="greaterThan" aboveAverage="0" equalAverage="0" bottom="0" percent="0" rank="0" text="" dxfId="10">
      <formula>30</formula>
    </cfRule>
  </conditionalFormatting>
  <conditionalFormatting sqref="G89">
    <cfRule type="cellIs" priority="251" operator="greaterThan" aboveAverage="0" equalAverage="0" bottom="0" percent="0" rank="0" text="" dxfId="1">
      <formula>0</formula>
    </cfRule>
    <cfRule type="cellIs" priority="252" operator="lessThanOrEqual" aboveAverage="0" equalAverage="0" bottom="0" percent="0" rank="0" text="" dxfId="0">
      <formula>0</formula>
    </cfRule>
  </conditionalFormatting>
  <conditionalFormatting sqref="F89">
    <cfRule type="cellIs" priority="253" operator="greaterThan" aboveAverage="0" equalAverage="0" bottom="0" percent="0" rank="0" text="" dxfId="10">
      <formula>30</formula>
    </cfRule>
  </conditionalFormatting>
  <conditionalFormatting sqref="G90">
    <cfRule type="cellIs" priority="254" operator="greaterThan" aboveAverage="0" equalAverage="0" bottom="0" percent="0" rank="0" text="" dxfId="1">
      <formula>0</formula>
    </cfRule>
    <cfRule type="cellIs" priority="255" operator="lessThanOrEqual" aboveAverage="0" equalAverage="0" bottom="0" percent="0" rank="0" text="" dxfId="0">
      <formula>0</formula>
    </cfRule>
  </conditionalFormatting>
  <conditionalFormatting sqref="F90">
    <cfRule type="cellIs" priority="256" operator="greaterThan" aboveAverage="0" equalAverage="0" bottom="0" percent="0" rank="0" text="" dxfId="10">
      <formula>30</formula>
    </cfRule>
  </conditionalFormatting>
  <conditionalFormatting sqref="G91">
    <cfRule type="cellIs" priority="257" operator="greaterThan" aboveAverage="0" equalAverage="0" bottom="0" percent="0" rank="0" text="" dxfId="1">
      <formula>0</formula>
    </cfRule>
    <cfRule type="cellIs" priority="258" operator="lessThanOrEqual" aboveAverage="0" equalAverage="0" bottom="0" percent="0" rank="0" text="" dxfId="0">
      <formula>0</formula>
    </cfRule>
  </conditionalFormatting>
  <conditionalFormatting sqref="F91">
    <cfRule type="cellIs" priority="259" operator="greaterThan" aboveAverage="0" equalAverage="0" bottom="0" percent="0" rank="0" text="" dxfId="10">
      <formula>30</formula>
    </cfRule>
  </conditionalFormatting>
  <conditionalFormatting sqref="G92">
    <cfRule type="cellIs" priority="260" operator="greaterThan" aboveAverage="0" equalAverage="0" bottom="0" percent="0" rank="0" text="" dxfId="1">
      <formula>0</formula>
    </cfRule>
    <cfRule type="cellIs" priority="261" operator="lessThanOrEqual" aboveAverage="0" equalAverage="0" bottom="0" percent="0" rank="0" text="" dxfId="0">
      <formula>0</formula>
    </cfRule>
  </conditionalFormatting>
  <conditionalFormatting sqref="F92">
    <cfRule type="cellIs" priority="262" operator="greaterThan" aboveAverage="0" equalAverage="0" bottom="0" percent="0" rank="0" text="" dxfId="10">
      <formula>30</formula>
    </cfRule>
  </conditionalFormatting>
  <conditionalFormatting sqref="G93">
    <cfRule type="cellIs" priority="263" operator="greaterThan" aboveAverage="0" equalAverage="0" bottom="0" percent="0" rank="0" text="" dxfId="1">
      <formula>0</formula>
    </cfRule>
    <cfRule type="cellIs" priority="264" operator="lessThanOrEqual" aboveAverage="0" equalAverage="0" bottom="0" percent="0" rank="0" text="" dxfId="0">
      <formula>0</formula>
    </cfRule>
  </conditionalFormatting>
  <conditionalFormatting sqref="F93">
    <cfRule type="cellIs" priority="265" operator="greaterThan" aboveAverage="0" equalAverage="0" bottom="0" percent="0" rank="0" text="" dxfId="10">
      <formula>30</formula>
    </cfRule>
  </conditionalFormatting>
  <conditionalFormatting sqref="G94">
    <cfRule type="cellIs" priority="266" operator="greaterThan" aboveAverage="0" equalAverage="0" bottom="0" percent="0" rank="0" text="" dxfId="1">
      <formula>0</formula>
    </cfRule>
    <cfRule type="cellIs" priority="267" operator="lessThanOrEqual" aboveAverage="0" equalAverage="0" bottom="0" percent="0" rank="0" text="" dxfId="0">
      <formula>0</formula>
    </cfRule>
  </conditionalFormatting>
  <conditionalFormatting sqref="F94">
    <cfRule type="cellIs" priority="268" operator="greaterThan" aboveAverage="0" equalAverage="0" bottom="0" percent="0" rank="0" text="" dxfId="10">
      <formula>30</formula>
    </cfRule>
  </conditionalFormatting>
  <conditionalFormatting sqref="G95">
    <cfRule type="cellIs" priority="269" operator="greaterThan" aboveAverage="0" equalAverage="0" bottom="0" percent="0" rank="0" text="" dxfId="1">
      <formula>0</formula>
    </cfRule>
    <cfRule type="cellIs" priority="270" operator="lessThanOrEqual" aboveAverage="0" equalAverage="0" bottom="0" percent="0" rank="0" text="" dxfId="0">
      <formula>0</formula>
    </cfRule>
  </conditionalFormatting>
  <conditionalFormatting sqref="F95">
    <cfRule type="cellIs" priority="271" operator="greaterThan" aboveAverage="0" equalAverage="0" bottom="0" percent="0" rank="0" text="" dxfId="10">
      <formula>30</formula>
    </cfRule>
  </conditionalFormatting>
  <conditionalFormatting sqref="G96">
    <cfRule type="cellIs" priority="272" operator="greaterThan" aboveAverage="0" equalAverage="0" bottom="0" percent="0" rank="0" text="" dxfId="1">
      <formula>0</formula>
    </cfRule>
    <cfRule type="cellIs" priority="273" operator="lessThanOrEqual" aboveAverage="0" equalAverage="0" bottom="0" percent="0" rank="0" text="" dxfId="0">
      <formula>0</formula>
    </cfRule>
  </conditionalFormatting>
  <conditionalFormatting sqref="F96">
    <cfRule type="cellIs" priority="274" operator="greaterThan" aboveAverage="0" equalAverage="0" bottom="0" percent="0" rank="0" text="" dxfId="10">
      <formula>30</formula>
    </cfRule>
  </conditionalFormatting>
  <conditionalFormatting sqref="G97">
    <cfRule type="cellIs" priority="275" operator="greaterThan" aboveAverage="0" equalAverage="0" bottom="0" percent="0" rank="0" text="" dxfId="1">
      <formula>0</formula>
    </cfRule>
    <cfRule type="cellIs" priority="276" operator="lessThanOrEqual" aboveAverage="0" equalAverage="0" bottom="0" percent="0" rank="0" text="" dxfId="0">
      <formula>0</formula>
    </cfRule>
  </conditionalFormatting>
  <conditionalFormatting sqref="F97">
    <cfRule type="cellIs" priority="277" operator="greaterThan" aboveAverage="0" equalAverage="0" bottom="0" percent="0" rank="0" text="" dxfId="10">
      <formula>30</formula>
    </cfRule>
  </conditionalFormatting>
  <conditionalFormatting sqref="G98">
    <cfRule type="cellIs" priority="278" operator="greaterThan" aboveAverage="0" equalAverage="0" bottom="0" percent="0" rank="0" text="" dxfId="1">
      <formula>0</formula>
    </cfRule>
    <cfRule type="cellIs" priority="279" operator="lessThanOrEqual" aboveAverage="0" equalAverage="0" bottom="0" percent="0" rank="0" text="" dxfId="0">
      <formula>0</formula>
    </cfRule>
  </conditionalFormatting>
  <conditionalFormatting sqref="F98">
    <cfRule type="cellIs" priority="280" operator="greaterThan" aboveAverage="0" equalAverage="0" bottom="0" percent="0" rank="0" text="" dxfId="10">
      <formula>30</formula>
    </cfRule>
  </conditionalFormatting>
  <conditionalFormatting sqref="G99">
    <cfRule type="cellIs" priority="281" operator="greaterThan" aboveAverage="0" equalAverage="0" bottom="0" percent="0" rank="0" text="" dxfId="1">
      <formula>0</formula>
    </cfRule>
    <cfRule type="cellIs" priority="282" operator="lessThanOrEqual" aboveAverage="0" equalAverage="0" bottom="0" percent="0" rank="0" text="" dxfId="0">
      <formula>0</formula>
    </cfRule>
  </conditionalFormatting>
  <conditionalFormatting sqref="F99">
    <cfRule type="cellIs" priority="283" operator="greaterThan" aboveAverage="0" equalAverage="0" bottom="0" percent="0" rank="0" text="" dxfId="10">
      <formula>30</formula>
    </cfRule>
  </conditionalFormatting>
  <conditionalFormatting sqref="G100">
    <cfRule type="cellIs" priority="284" operator="greaterThan" aboveAverage="0" equalAverage="0" bottom="0" percent="0" rank="0" text="" dxfId="1">
      <formula>0</formula>
    </cfRule>
    <cfRule type="cellIs" priority="285" operator="lessThanOrEqual" aboveAverage="0" equalAverage="0" bottom="0" percent="0" rank="0" text="" dxfId="0">
      <formula>0</formula>
    </cfRule>
  </conditionalFormatting>
  <conditionalFormatting sqref="F100">
    <cfRule type="cellIs" priority="286" operator="greaterThan" aboveAverage="0" equalAverage="0" bottom="0" percent="0" rank="0" text="" dxfId="10">
      <formula>30</formula>
    </cfRule>
  </conditionalFormatting>
  <conditionalFormatting sqref="G101">
    <cfRule type="cellIs" priority="287" operator="greaterThan" aboveAverage="0" equalAverage="0" bottom="0" percent="0" rank="0" text="" dxfId="1">
      <formula>0</formula>
    </cfRule>
    <cfRule type="cellIs" priority="288" operator="lessThanOrEqual" aboveAverage="0" equalAverage="0" bottom="0" percent="0" rank="0" text="" dxfId="0">
      <formula>0</formula>
    </cfRule>
  </conditionalFormatting>
  <conditionalFormatting sqref="F101">
    <cfRule type="cellIs" priority="289" operator="greaterThan" aboveAverage="0" equalAverage="0" bottom="0" percent="0" rank="0" text="" dxfId="10">
      <formula>30</formula>
    </cfRule>
  </conditionalFormatting>
  <conditionalFormatting sqref="G102">
    <cfRule type="cellIs" priority="290" operator="greaterThan" aboveAverage="0" equalAverage="0" bottom="0" percent="0" rank="0" text="" dxfId="1">
      <formula>0</formula>
    </cfRule>
    <cfRule type="cellIs" priority="291" operator="lessThanOrEqual" aboveAverage="0" equalAverage="0" bottom="0" percent="0" rank="0" text="" dxfId="0">
      <formula>0</formula>
    </cfRule>
  </conditionalFormatting>
  <conditionalFormatting sqref="F102">
    <cfRule type="cellIs" priority="292" operator="greaterThan" aboveAverage="0" equalAverage="0" bottom="0" percent="0" rank="0" text="" dxfId="10">
      <formula>30</formula>
    </cfRule>
  </conditionalFormatting>
  <conditionalFormatting sqref="G103">
    <cfRule type="cellIs" priority="293" operator="greaterThan" aboveAverage="0" equalAverage="0" bottom="0" percent="0" rank="0" text="" dxfId="1">
      <formula>0</formula>
    </cfRule>
    <cfRule type="cellIs" priority="294" operator="lessThanOrEqual" aboveAverage="0" equalAverage="0" bottom="0" percent="0" rank="0" text="" dxfId="0">
      <formula>0</formula>
    </cfRule>
  </conditionalFormatting>
  <conditionalFormatting sqref="F103">
    <cfRule type="cellIs" priority="295" operator="greaterThan" aboveAverage="0" equalAverage="0" bottom="0" percent="0" rank="0" text="" dxfId="10">
      <formula>30</formula>
    </cfRule>
  </conditionalFormatting>
  <conditionalFormatting sqref="G104">
    <cfRule type="cellIs" priority="296" operator="greaterThan" aboveAverage="0" equalAverage="0" bottom="0" percent="0" rank="0" text="" dxfId="1">
      <formula>0</formula>
    </cfRule>
    <cfRule type="cellIs" priority="297" operator="lessThanOrEqual" aboveAverage="0" equalAverage="0" bottom="0" percent="0" rank="0" text="" dxfId="0">
      <formula>0</formula>
    </cfRule>
  </conditionalFormatting>
  <conditionalFormatting sqref="F104">
    <cfRule type="cellIs" priority="298" operator="greaterThan" aboveAverage="0" equalAverage="0" bottom="0" percent="0" rank="0" text="" dxfId="10">
      <formula>30</formula>
    </cfRule>
  </conditionalFormatting>
  <conditionalFormatting sqref="G105">
    <cfRule type="cellIs" priority="299" operator="greaterThan" aboveAverage="0" equalAverage="0" bottom="0" percent="0" rank="0" text="" dxfId="1">
      <formula>0</formula>
    </cfRule>
    <cfRule type="cellIs" priority="300" operator="lessThanOrEqual" aboveAverage="0" equalAverage="0" bottom="0" percent="0" rank="0" text="" dxfId="0">
      <formula>0</formula>
    </cfRule>
  </conditionalFormatting>
  <conditionalFormatting sqref="F105">
    <cfRule type="cellIs" priority="301" operator="greaterThan" aboveAverage="0" equalAverage="0" bottom="0" percent="0" rank="0" text="" dxfId="10">
      <formula>30</formula>
    </cfRule>
  </conditionalFormatting>
  <conditionalFormatting sqref="G106">
    <cfRule type="cellIs" priority="302" operator="greaterThan" aboveAverage="0" equalAverage="0" bottom="0" percent="0" rank="0" text="" dxfId="1">
      <formula>0</formula>
    </cfRule>
    <cfRule type="cellIs" priority="303" operator="lessThanOrEqual" aboveAverage="0" equalAverage="0" bottom="0" percent="0" rank="0" text="" dxfId="0">
      <formula>0</formula>
    </cfRule>
  </conditionalFormatting>
  <conditionalFormatting sqref="F106">
    <cfRule type="cellIs" priority="304" operator="greaterThan" aboveAverage="0" equalAverage="0" bottom="0" percent="0" rank="0" text="" dxfId="10">
      <formula>30</formula>
    </cfRule>
  </conditionalFormatting>
  <conditionalFormatting sqref="G107">
    <cfRule type="cellIs" priority="305" operator="greaterThan" aboveAverage="0" equalAverage="0" bottom="0" percent="0" rank="0" text="" dxfId="1">
      <formula>0</formula>
    </cfRule>
    <cfRule type="cellIs" priority="306" operator="lessThanOrEqual" aboveAverage="0" equalAverage="0" bottom="0" percent="0" rank="0" text="" dxfId="0">
      <formula>0</formula>
    </cfRule>
  </conditionalFormatting>
  <conditionalFormatting sqref="F107">
    <cfRule type="cellIs" priority="307" operator="greaterThan" aboveAverage="0" equalAverage="0" bottom="0" percent="0" rank="0" text="" dxfId="10">
      <formula>30</formula>
    </cfRule>
  </conditionalFormatting>
  <conditionalFormatting sqref="G108">
    <cfRule type="cellIs" priority="308" operator="greaterThan" aboveAverage="0" equalAverage="0" bottom="0" percent="0" rank="0" text="" dxfId="1">
      <formula>0</formula>
    </cfRule>
    <cfRule type="cellIs" priority="309" operator="lessThanOrEqual" aboveAverage="0" equalAverage="0" bottom="0" percent="0" rank="0" text="" dxfId="0">
      <formula>0</formula>
    </cfRule>
  </conditionalFormatting>
  <conditionalFormatting sqref="F108">
    <cfRule type="cellIs" priority="310" operator="greaterThan" aboveAverage="0" equalAverage="0" bottom="0" percent="0" rank="0" text="" dxfId="10">
      <formula>30</formula>
    </cfRule>
  </conditionalFormatting>
  <conditionalFormatting sqref="G109">
    <cfRule type="cellIs" priority="311" operator="greaterThan" aboveAverage="0" equalAverage="0" bottom="0" percent="0" rank="0" text="" dxfId="1">
      <formula>0</formula>
    </cfRule>
    <cfRule type="cellIs" priority="312" operator="lessThanOrEqual" aboveAverage="0" equalAverage="0" bottom="0" percent="0" rank="0" text="" dxfId="0">
      <formula>0</formula>
    </cfRule>
  </conditionalFormatting>
  <conditionalFormatting sqref="F109">
    <cfRule type="cellIs" priority="313" operator="greaterThan" aboveAverage="0" equalAverage="0" bottom="0" percent="0" rank="0" text="" dxfId="10">
      <formula>30</formula>
    </cfRule>
  </conditionalFormatting>
  <conditionalFormatting sqref="G110">
    <cfRule type="cellIs" priority="314" operator="greaterThan" aboveAverage="0" equalAverage="0" bottom="0" percent="0" rank="0" text="" dxfId="1">
      <formula>0</formula>
    </cfRule>
    <cfRule type="cellIs" priority="315" operator="lessThanOrEqual" aboveAverage="0" equalAverage="0" bottom="0" percent="0" rank="0" text="" dxfId="0">
      <formula>0</formula>
    </cfRule>
  </conditionalFormatting>
  <conditionalFormatting sqref="F110">
    <cfRule type="cellIs" priority="316" operator="greaterThan" aboveAverage="0" equalAverage="0" bottom="0" percent="0" rank="0" text="" dxfId="10">
      <formula>30</formula>
    </cfRule>
  </conditionalFormatting>
  <conditionalFormatting sqref="G111">
    <cfRule type="cellIs" priority="317" operator="greaterThan" aboveAverage="0" equalAverage="0" bottom="0" percent="0" rank="0" text="" dxfId="1">
      <formula>0</formula>
    </cfRule>
    <cfRule type="cellIs" priority="318" operator="lessThanOrEqual" aboveAverage="0" equalAverage="0" bottom="0" percent="0" rank="0" text="" dxfId="0">
      <formula>0</formula>
    </cfRule>
  </conditionalFormatting>
  <conditionalFormatting sqref="F111">
    <cfRule type="cellIs" priority="319" operator="greaterThan" aboveAverage="0" equalAverage="0" bottom="0" percent="0" rank="0" text="" dxfId="10">
      <formula>30</formula>
    </cfRule>
  </conditionalFormatting>
  <conditionalFormatting sqref="G112">
    <cfRule type="cellIs" priority="320" operator="greaterThan" aboveAverage="0" equalAverage="0" bottom="0" percent="0" rank="0" text="" dxfId="1">
      <formula>0</formula>
    </cfRule>
    <cfRule type="cellIs" priority="321" operator="lessThanOrEqual" aboveAverage="0" equalAverage="0" bottom="0" percent="0" rank="0" text="" dxfId="0">
      <formula>0</formula>
    </cfRule>
  </conditionalFormatting>
  <conditionalFormatting sqref="F112">
    <cfRule type="cellIs" priority="322" operator="greaterThan" aboveAverage="0" equalAverage="0" bottom="0" percent="0" rank="0" text="" dxfId="10">
      <formula>30</formula>
    </cfRule>
  </conditionalFormatting>
  <conditionalFormatting sqref="G113">
    <cfRule type="cellIs" priority="323" operator="greaterThan" aboveAverage="0" equalAverage="0" bottom="0" percent="0" rank="0" text="" dxfId="1">
      <formula>0</formula>
    </cfRule>
    <cfRule type="cellIs" priority="324" operator="lessThanOrEqual" aboveAverage="0" equalAverage="0" bottom="0" percent="0" rank="0" text="" dxfId="0">
      <formula>0</formula>
    </cfRule>
  </conditionalFormatting>
  <conditionalFormatting sqref="F113">
    <cfRule type="cellIs" priority="325" operator="greaterThan" aboveAverage="0" equalAverage="0" bottom="0" percent="0" rank="0" text="" dxfId="10">
      <formula>30</formula>
    </cfRule>
  </conditionalFormatting>
  <conditionalFormatting sqref="G114">
    <cfRule type="cellIs" priority="326" operator="greaterThan" aboveAverage="0" equalAverage="0" bottom="0" percent="0" rank="0" text="" dxfId="1">
      <formula>0</formula>
    </cfRule>
    <cfRule type="cellIs" priority="327" operator="lessThanOrEqual" aboveAverage="0" equalAverage="0" bottom="0" percent="0" rank="0" text="" dxfId="0">
      <formula>0</formula>
    </cfRule>
  </conditionalFormatting>
  <conditionalFormatting sqref="F114">
    <cfRule type="cellIs" priority="328" operator="greaterThan" aboveAverage="0" equalAverage="0" bottom="0" percent="0" rank="0" text="" dxfId="10">
      <formula>30</formula>
    </cfRule>
  </conditionalFormatting>
  <conditionalFormatting sqref="G115">
    <cfRule type="cellIs" priority="329" operator="greaterThan" aboveAverage="0" equalAverage="0" bottom="0" percent="0" rank="0" text="" dxfId="1">
      <formula>0</formula>
    </cfRule>
    <cfRule type="cellIs" priority="330" operator="lessThanOrEqual" aboveAverage="0" equalAverage="0" bottom="0" percent="0" rank="0" text="" dxfId="0">
      <formula>0</formula>
    </cfRule>
  </conditionalFormatting>
  <conditionalFormatting sqref="F115">
    <cfRule type="cellIs" priority="331" operator="greaterThan" aboveAverage="0" equalAverage="0" bottom="0" percent="0" rank="0" text="" dxfId="10">
      <formula>30</formula>
    </cfRule>
  </conditionalFormatting>
  <conditionalFormatting sqref="G116">
    <cfRule type="cellIs" priority="332" operator="greaterThan" aboveAverage="0" equalAverage="0" bottom="0" percent="0" rank="0" text="" dxfId="1">
      <formula>0</formula>
    </cfRule>
    <cfRule type="cellIs" priority="333" operator="lessThanOrEqual" aboveAverage="0" equalAverage="0" bottom="0" percent="0" rank="0" text="" dxfId="0">
      <formula>0</formula>
    </cfRule>
  </conditionalFormatting>
  <conditionalFormatting sqref="F116">
    <cfRule type="cellIs" priority="334" operator="greaterThan" aboveAverage="0" equalAverage="0" bottom="0" percent="0" rank="0" text="" dxfId="10">
      <formula>30</formula>
    </cfRule>
  </conditionalFormatting>
  <conditionalFormatting sqref="G117">
    <cfRule type="cellIs" priority="335" operator="greaterThan" aboveAverage="0" equalAverage="0" bottom="0" percent="0" rank="0" text="" dxfId="1">
      <formula>0</formula>
    </cfRule>
    <cfRule type="cellIs" priority="336" operator="lessThanOrEqual" aboveAverage="0" equalAverage="0" bottom="0" percent="0" rank="0" text="" dxfId="0">
      <formula>0</formula>
    </cfRule>
  </conditionalFormatting>
  <conditionalFormatting sqref="F117">
    <cfRule type="cellIs" priority="337" operator="greaterThan" aboveAverage="0" equalAverage="0" bottom="0" percent="0" rank="0" text="" dxfId="10">
      <formula>30</formula>
    </cfRule>
  </conditionalFormatting>
  <conditionalFormatting sqref="G118">
    <cfRule type="cellIs" priority="338" operator="greaterThan" aboveAverage="0" equalAverage="0" bottom="0" percent="0" rank="0" text="" dxfId="1">
      <formula>0</formula>
    </cfRule>
    <cfRule type="cellIs" priority="339" operator="lessThanOrEqual" aboveAverage="0" equalAverage="0" bottom="0" percent="0" rank="0" text="" dxfId="0">
      <formula>0</formula>
    </cfRule>
  </conditionalFormatting>
  <conditionalFormatting sqref="F118">
    <cfRule type="cellIs" priority="340" operator="greaterThan" aboveAverage="0" equalAverage="0" bottom="0" percent="0" rank="0" text="" dxfId="10">
      <formula>30</formula>
    </cfRule>
  </conditionalFormatting>
  <conditionalFormatting sqref="G119">
    <cfRule type="cellIs" priority="341" operator="greaterThan" aboveAverage="0" equalAverage="0" bottom="0" percent="0" rank="0" text="" dxfId="1">
      <formula>0</formula>
    </cfRule>
    <cfRule type="cellIs" priority="342" operator="lessThanOrEqual" aboveAverage="0" equalAverage="0" bottom="0" percent="0" rank="0" text="" dxfId="0">
      <formula>0</formula>
    </cfRule>
  </conditionalFormatting>
  <conditionalFormatting sqref="F119">
    <cfRule type="cellIs" priority="343" operator="greaterThan" aboveAverage="0" equalAverage="0" bottom="0" percent="0" rank="0" text="" dxfId="10">
      <formula>30</formula>
    </cfRule>
  </conditionalFormatting>
  <conditionalFormatting sqref="G120">
    <cfRule type="cellIs" priority="344" operator="greaterThan" aboveAverage="0" equalAverage="0" bottom="0" percent="0" rank="0" text="" dxfId="1">
      <formula>0</formula>
    </cfRule>
    <cfRule type="cellIs" priority="345" operator="lessThanOrEqual" aboveAverage="0" equalAverage="0" bottom="0" percent="0" rank="0" text="" dxfId="0">
      <formula>0</formula>
    </cfRule>
  </conditionalFormatting>
  <conditionalFormatting sqref="F120">
    <cfRule type="cellIs" priority="346" operator="greaterThan" aboveAverage="0" equalAverage="0" bottom="0" percent="0" rank="0" text="" dxfId="10">
      <formula>30</formula>
    </cfRule>
  </conditionalFormatting>
  <conditionalFormatting sqref="G121">
    <cfRule type="cellIs" priority="347" operator="greaterThan" aboveAverage="0" equalAverage="0" bottom="0" percent="0" rank="0" text="" dxfId="1">
      <formula>0</formula>
    </cfRule>
    <cfRule type="cellIs" priority="348" operator="lessThanOrEqual" aboveAverage="0" equalAverage="0" bottom="0" percent="0" rank="0" text="" dxfId="0">
      <formula>0</formula>
    </cfRule>
  </conditionalFormatting>
  <conditionalFormatting sqref="F121">
    <cfRule type="cellIs" priority="349" operator="greaterThan" aboveAverage="0" equalAverage="0" bottom="0" percent="0" rank="0" text="" dxfId="10">
      <formula>30</formula>
    </cfRule>
  </conditionalFormatting>
  <conditionalFormatting sqref="G122">
    <cfRule type="cellIs" priority="350" operator="greaterThan" aboveAverage="0" equalAverage="0" bottom="0" percent="0" rank="0" text="" dxfId="1">
      <formula>0</formula>
    </cfRule>
    <cfRule type="cellIs" priority="351" operator="lessThanOrEqual" aboveAverage="0" equalAverage="0" bottom="0" percent="0" rank="0" text="" dxfId="0">
      <formula>0</formula>
    </cfRule>
  </conditionalFormatting>
  <conditionalFormatting sqref="F122">
    <cfRule type="cellIs" priority="352" operator="greaterThan" aboveAverage="0" equalAverage="0" bottom="0" percent="0" rank="0" text="" dxfId="10">
      <formula>30</formula>
    </cfRule>
  </conditionalFormatting>
  <conditionalFormatting sqref="G123">
    <cfRule type="cellIs" priority="353" operator="greaterThan" aboveAverage="0" equalAverage="0" bottom="0" percent="0" rank="0" text="" dxfId="1">
      <formula>0</formula>
    </cfRule>
    <cfRule type="cellIs" priority="354" operator="lessThanOrEqual" aboveAverage="0" equalAverage="0" bottom="0" percent="0" rank="0" text="" dxfId="0">
      <formula>0</formula>
    </cfRule>
  </conditionalFormatting>
  <conditionalFormatting sqref="F123">
    <cfRule type="cellIs" priority="355" operator="greaterThan" aboveAverage="0" equalAverage="0" bottom="0" percent="0" rank="0" text="" dxfId="10">
      <formula>30</formula>
    </cfRule>
  </conditionalFormatting>
  <conditionalFormatting sqref="G124">
    <cfRule type="cellIs" priority="356" operator="greaterThan" aboveAverage="0" equalAverage="0" bottom="0" percent="0" rank="0" text="" dxfId="1">
      <formula>0</formula>
    </cfRule>
    <cfRule type="cellIs" priority="357" operator="lessThanOrEqual" aboveAverage="0" equalAverage="0" bottom="0" percent="0" rank="0" text="" dxfId="0">
      <formula>0</formula>
    </cfRule>
  </conditionalFormatting>
  <conditionalFormatting sqref="F124">
    <cfRule type="cellIs" priority="358" operator="greaterThan" aboveAverage="0" equalAverage="0" bottom="0" percent="0" rank="0" text="" dxfId="10">
      <formula>30</formula>
    </cfRule>
  </conditionalFormatting>
  <conditionalFormatting sqref="G125">
    <cfRule type="cellIs" priority="359" operator="greaterThan" aboveAverage="0" equalAverage="0" bottom="0" percent="0" rank="0" text="" dxfId="1">
      <formula>0</formula>
    </cfRule>
    <cfRule type="cellIs" priority="360" operator="lessThanOrEqual" aboveAverage="0" equalAverage="0" bottom="0" percent="0" rank="0" text="" dxfId="0">
      <formula>0</formula>
    </cfRule>
  </conditionalFormatting>
  <conditionalFormatting sqref="F125">
    <cfRule type="cellIs" priority="361" operator="greaterThan" aboveAverage="0" equalAverage="0" bottom="0" percent="0" rank="0" text="" dxfId="10">
      <formula>30</formula>
    </cfRule>
  </conditionalFormatting>
  <conditionalFormatting sqref="G126">
    <cfRule type="cellIs" priority="362" operator="greaterThan" aboveAverage="0" equalAverage="0" bottom="0" percent="0" rank="0" text="" dxfId="1">
      <formula>0</formula>
    </cfRule>
    <cfRule type="cellIs" priority="363" operator="lessThanOrEqual" aboveAverage="0" equalAverage="0" bottom="0" percent="0" rank="0" text="" dxfId="0">
      <formula>0</formula>
    </cfRule>
  </conditionalFormatting>
  <conditionalFormatting sqref="F126">
    <cfRule type="cellIs" priority="364" operator="greaterThan" aboveAverage="0" equalAverage="0" bottom="0" percent="0" rank="0" text="" dxfId="10">
      <formula>30</formula>
    </cfRule>
  </conditionalFormatting>
  <conditionalFormatting sqref="G127">
    <cfRule type="cellIs" priority="365" operator="greaterThan" aboveAverage="0" equalAverage="0" bottom="0" percent="0" rank="0" text="" dxfId="1">
      <formula>0</formula>
    </cfRule>
    <cfRule type="cellIs" priority="366" operator="lessThanOrEqual" aboveAverage="0" equalAverage="0" bottom="0" percent="0" rank="0" text="" dxfId="0">
      <formula>0</formula>
    </cfRule>
  </conditionalFormatting>
  <conditionalFormatting sqref="F127">
    <cfRule type="cellIs" priority="367" operator="greaterThan" aboveAverage="0" equalAverage="0" bottom="0" percent="0" rank="0" text="" dxfId="10">
      <formula>30</formula>
    </cfRule>
  </conditionalFormatting>
  <conditionalFormatting sqref="G128">
    <cfRule type="cellIs" priority="368" operator="greaterThan" aboveAverage="0" equalAverage="0" bottom="0" percent="0" rank="0" text="" dxfId="1">
      <formula>0</formula>
    </cfRule>
    <cfRule type="cellIs" priority="369" operator="lessThanOrEqual" aboveAverage="0" equalAverage="0" bottom="0" percent="0" rank="0" text="" dxfId="0">
      <formula>0</formula>
    </cfRule>
  </conditionalFormatting>
  <conditionalFormatting sqref="F128">
    <cfRule type="cellIs" priority="370" operator="greaterThan" aboveAverage="0" equalAverage="0" bottom="0" percent="0" rank="0" text="" dxfId="10">
      <formula>30</formula>
    </cfRule>
  </conditionalFormatting>
  <conditionalFormatting sqref="G129">
    <cfRule type="cellIs" priority="371" operator="greaterThan" aboveAverage="0" equalAverage="0" bottom="0" percent="0" rank="0" text="" dxfId="1">
      <formula>0</formula>
    </cfRule>
    <cfRule type="cellIs" priority="372" operator="lessThanOrEqual" aboveAverage="0" equalAverage="0" bottom="0" percent="0" rank="0" text="" dxfId="0">
      <formula>0</formula>
    </cfRule>
  </conditionalFormatting>
  <conditionalFormatting sqref="F129">
    <cfRule type="cellIs" priority="373" operator="greaterThan" aboveAverage="0" equalAverage="0" bottom="0" percent="0" rank="0" text="" dxfId="10">
      <formula>30</formula>
    </cfRule>
  </conditionalFormatting>
  <conditionalFormatting sqref="G130">
    <cfRule type="cellIs" priority="374" operator="greaterThan" aboveAverage="0" equalAverage="0" bottom="0" percent="0" rank="0" text="" dxfId="1">
      <formula>0</formula>
    </cfRule>
    <cfRule type="cellIs" priority="375" operator="lessThanOrEqual" aboveAverage="0" equalAverage="0" bottom="0" percent="0" rank="0" text="" dxfId="0">
      <formula>0</formula>
    </cfRule>
  </conditionalFormatting>
  <conditionalFormatting sqref="F130">
    <cfRule type="cellIs" priority="376" operator="greaterThan" aboveAverage="0" equalAverage="0" bottom="0" percent="0" rank="0" text="" dxfId="10">
      <formula>30</formula>
    </cfRule>
  </conditionalFormatting>
  <conditionalFormatting sqref="G131">
    <cfRule type="cellIs" priority="377" operator="greaterThan" aboveAverage="0" equalAverage="0" bottom="0" percent="0" rank="0" text="" dxfId="1">
      <formula>0</formula>
    </cfRule>
    <cfRule type="cellIs" priority="378" operator="lessThanOrEqual" aboveAverage="0" equalAverage="0" bottom="0" percent="0" rank="0" text="" dxfId="0">
      <formula>0</formula>
    </cfRule>
  </conditionalFormatting>
  <conditionalFormatting sqref="F131">
    <cfRule type="cellIs" priority="379" operator="greaterThan" aboveAverage="0" equalAverage="0" bottom="0" percent="0" rank="0" text="" dxfId="10">
      <formula>30</formula>
    </cfRule>
  </conditionalFormatting>
  <conditionalFormatting sqref="G132">
    <cfRule type="cellIs" priority="380" operator="greaterThan" aboveAverage="0" equalAverage="0" bottom="0" percent="0" rank="0" text="" dxfId="1">
      <formula>0</formula>
    </cfRule>
    <cfRule type="cellIs" priority="381" operator="lessThanOrEqual" aboveAverage="0" equalAverage="0" bottom="0" percent="0" rank="0" text="" dxfId="0">
      <formula>0</formula>
    </cfRule>
  </conditionalFormatting>
  <conditionalFormatting sqref="F132">
    <cfRule type="cellIs" priority="382" operator="greaterThan" aboveAverage="0" equalAverage="0" bottom="0" percent="0" rank="0" text="" dxfId="10">
      <formula>30</formula>
    </cfRule>
  </conditionalFormatting>
  <conditionalFormatting sqref="G133">
    <cfRule type="cellIs" priority="383" operator="greaterThan" aboveAverage="0" equalAverage="0" bottom="0" percent="0" rank="0" text="" dxfId="1">
      <formula>0</formula>
    </cfRule>
    <cfRule type="cellIs" priority="384" operator="lessThanOrEqual" aboveAverage="0" equalAverage="0" bottom="0" percent="0" rank="0" text="" dxfId="0">
      <formula>0</formula>
    </cfRule>
  </conditionalFormatting>
  <conditionalFormatting sqref="F133">
    <cfRule type="cellIs" priority="385" operator="greaterThan" aboveAverage="0" equalAverage="0" bottom="0" percent="0" rank="0" text="" dxfId="10">
      <formula>30</formula>
    </cfRule>
  </conditionalFormatting>
  <conditionalFormatting sqref="G134">
    <cfRule type="cellIs" priority="386" operator="greaterThan" aboveAverage="0" equalAverage="0" bottom="0" percent="0" rank="0" text="" dxfId="1">
      <formula>0</formula>
    </cfRule>
    <cfRule type="cellIs" priority="387" operator="lessThanOrEqual" aboveAverage="0" equalAverage="0" bottom="0" percent="0" rank="0" text="" dxfId="0">
      <formula>0</formula>
    </cfRule>
  </conditionalFormatting>
  <conditionalFormatting sqref="F134">
    <cfRule type="cellIs" priority="388" operator="greaterThan" aboveAverage="0" equalAverage="0" bottom="0" percent="0" rank="0" text="" dxfId="10">
      <formula>30</formula>
    </cfRule>
  </conditionalFormatting>
  <conditionalFormatting sqref="G135">
    <cfRule type="cellIs" priority="389" operator="greaterThan" aboveAverage="0" equalAverage="0" bottom="0" percent="0" rank="0" text="" dxfId="1">
      <formula>0</formula>
    </cfRule>
    <cfRule type="cellIs" priority="390" operator="lessThanOrEqual" aboveAverage="0" equalAverage="0" bottom="0" percent="0" rank="0" text="" dxfId="0">
      <formula>0</formula>
    </cfRule>
  </conditionalFormatting>
  <conditionalFormatting sqref="F135">
    <cfRule type="cellIs" priority="391" operator="greaterThan" aboveAverage="0" equalAverage="0" bottom="0" percent="0" rank="0" text="" dxfId="10">
      <formula>30</formula>
    </cfRule>
  </conditionalFormatting>
  <conditionalFormatting sqref="G136">
    <cfRule type="cellIs" priority="392" operator="greaterThan" aboveAverage="0" equalAverage="0" bottom="0" percent="0" rank="0" text="" dxfId="1">
      <formula>0</formula>
    </cfRule>
    <cfRule type="cellIs" priority="393" operator="lessThanOrEqual" aboveAverage="0" equalAverage="0" bottom="0" percent="0" rank="0" text="" dxfId="0">
      <formula>0</formula>
    </cfRule>
  </conditionalFormatting>
  <conditionalFormatting sqref="F136">
    <cfRule type="cellIs" priority="394" operator="greaterThan" aboveAverage="0" equalAverage="0" bottom="0" percent="0" rank="0" text="" dxfId="10">
      <formula>30</formula>
    </cfRule>
  </conditionalFormatting>
  <conditionalFormatting sqref="G137">
    <cfRule type="cellIs" priority="395" operator="greaterThan" aboveAverage="0" equalAverage="0" bottom="0" percent="0" rank="0" text="" dxfId="1">
      <formula>0</formula>
    </cfRule>
    <cfRule type="cellIs" priority="396" operator="lessThanOrEqual" aboveAverage="0" equalAverage="0" bottom="0" percent="0" rank="0" text="" dxfId="0">
      <formula>0</formula>
    </cfRule>
  </conditionalFormatting>
  <conditionalFormatting sqref="F137">
    <cfRule type="cellIs" priority="397" operator="greaterThan" aboveAverage="0" equalAverage="0" bottom="0" percent="0" rank="0" text="" dxfId="10">
      <formula>30</formula>
    </cfRule>
  </conditionalFormatting>
  <conditionalFormatting sqref="G138">
    <cfRule type="cellIs" priority="398" operator="greaterThan" aboveAverage="0" equalAverage="0" bottom="0" percent="0" rank="0" text="" dxfId="1">
      <formula>0</formula>
    </cfRule>
    <cfRule type="cellIs" priority="399" operator="lessThanOrEqual" aboveAverage="0" equalAverage="0" bottom="0" percent="0" rank="0" text="" dxfId="0">
      <formula>0</formula>
    </cfRule>
  </conditionalFormatting>
  <conditionalFormatting sqref="F138">
    <cfRule type="cellIs" priority="400" operator="greaterThan" aboveAverage="0" equalAverage="0" bottom="0" percent="0" rank="0" text="" dxfId="10">
      <formula>30</formula>
    </cfRule>
  </conditionalFormatting>
  <conditionalFormatting sqref="G139">
    <cfRule type="cellIs" priority="401" operator="greaterThan" aboveAverage="0" equalAverage="0" bottom="0" percent="0" rank="0" text="" dxfId="1">
      <formula>0</formula>
    </cfRule>
    <cfRule type="cellIs" priority="402" operator="lessThanOrEqual" aboveAverage="0" equalAverage="0" bottom="0" percent="0" rank="0" text="" dxfId="0">
      <formula>0</formula>
    </cfRule>
  </conditionalFormatting>
  <conditionalFormatting sqref="F139">
    <cfRule type="cellIs" priority="403" operator="greaterThan" aboveAverage="0" equalAverage="0" bottom="0" percent="0" rank="0" text="" dxfId="10">
      <formula>30</formula>
    </cfRule>
  </conditionalFormatting>
  <conditionalFormatting sqref="G140">
    <cfRule type="cellIs" priority="404" operator="greaterThan" aboveAverage="0" equalAverage="0" bottom="0" percent="0" rank="0" text="" dxfId="1">
      <formula>0</formula>
    </cfRule>
    <cfRule type="cellIs" priority="405" operator="lessThanOrEqual" aboveAverage="0" equalAverage="0" bottom="0" percent="0" rank="0" text="" dxfId="0">
      <formula>0</formula>
    </cfRule>
  </conditionalFormatting>
  <conditionalFormatting sqref="F140">
    <cfRule type="cellIs" priority="406" operator="greaterThan" aboveAverage="0" equalAverage="0" bottom="0" percent="0" rank="0" text="" dxfId="10">
      <formula>30</formula>
    </cfRule>
  </conditionalFormatting>
  <conditionalFormatting sqref="G141">
    <cfRule type="cellIs" priority="407" operator="greaterThan" aboveAverage="0" equalAverage="0" bottom="0" percent="0" rank="0" text="" dxfId="1">
      <formula>0</formula>
    </cfRule>
    <cfRule type="cellIs" priority="408" operator="lessThanOrEqual" aboveAverage="0" equalAverage="0" bottom="0" percent="0" rank="0" text="" dxfId="0">
      <formula>0</formula>
    </cfRule>
  </conditionalFormatting>
  <conditionalFormatting sqref="F141">
    <cfRule type="cellIs" priority="409" operator="greaterThan" aboveAverage="0" equalAverage="0" bottom="0" percent="0" rank="0" text="" dxfId="10">
      <formula>30</formula>
    </cfRule>
  </conditionalFormatting>
  <conditionalFormatting sqref="G142">
    <cfRule type="cellIs" priority="410" operator="greaterThan" aboveAverage="0" equalAverage="0" bottom="0" percent="0" rank="0" text="" dxfId="1">
      <formula>0</formula>
    </cfRule>
    <cfRule type="cellIs" priority="411" operator="lessThanOrEqual" aboveAverage="0" equalAverage="0" bottom="0" percent="0" rank="0" text="" dxfId="0">
      <formula>0</formula>
    </cfRule>
  </conditionalFormatting>
  <conditionalFormatting sqref="F142">
    <cfRule type="cellIs" priority="412" operator="greaterThan" aboveAverage="0" equalAverage="0" bottom="0" percent="0" rank="0" text="" dxfId="10">
      <formula>30</formula>
    </cfRule>
  </conditionalFormatting>
  <conditionalFormatting sqref="G143">
    <cfRule type="cellIs" priority="413" operator="greaterThan" aboveAverage="0" equalAverage="0" bottom="0" percent="0" rank="0" text="" dxfId="1">
      <formula>0</formula>
    </cfRule>
    <cfRule type="cellIs" priority="414" operator="lessThanOrEqual" aboveAverage="0" equalAverage="0" bottom="0" percent="0" rank="0" text="" dxfId="0">
      <formula>0</formula>
    </cfRule>
  </conditionalFormatting>
  <conditionalFormatting sqref="F143">
    <cfRule type="cellIs" priority="415" operator="greaterThan" aboveAverage="0" equalAverage="0" bottom="0" percent="0" rank="0" text="" dxfId="10">
      <formula>30</formula>
    </cfRule>
  </conditionalFormatting>
  <conditionalFormatting sqref="G144">
    <cfRule type="cellIs" priority="416" operator="greaterThan" aboveAverage="0" equalAverage="0" bottom="0" percent="0" rank="0" text="" dxfId="1">
      <formula>0</formula>
    </cfRule>
    <cfRule type="cellIs" priority="417" operator="lessThanOrEqual" aboveAverage="0" equalAverage="0" bottom="0" percent="0" rank="0" text="" dxfId="0">
      <formula>0</formula>
    </cfRule>
  </conditionalFormatting>
  <conditionalFormatting sqref="F144">
    <cfRule type="cellIs" priority="418" operator="greaterThan" aboveAverage="0" equalAverage="0" bottom="0" percent="0" rank="0" text="" dxfId="10">
      <formula>30</formula>
    </cfRule>
  </conditionalFormatting>
  <conditionalFormatting sqref="G145">
    <cfRule type="cellIs" priority="419" operator="greaterThan" aboveAverage="0" equalAverage="0" bottom="0" percent="0" rank="0" text="" dxfId="1">
      <formula>0</formula>
    </cfRule>
    <cfRule type="cellIs" priority="420" operator="lessThanOrEqual" aboveAverage="0" equalAverage="0" bottom="0" percent="0" rank="0" text="" dxfId="0">
      <formula>0</formula>
    </cfRule>
  </conditionalFormatting>
  <conditionalFormatting sqref="F145">
    <cfRule type="cellIs" priority="421" operator="greaterThan" aboveAverage="0" equalAverage="0" bottom="0" percent="0" rank="0" text="" dxfId="10">
      <formula>30</formula>
    </cfRule>
  </conditionalFormatting>
  <conditionalFormatting sqref="G146">
    <cfRule type="cellIs" priority="422" operator="greaterThan" aboveAverage="0" equalAverage="0" bottom="0" percent="0" rank="0" text="" dxfId="1">
      <formula>0</formula>
    </cfRule>
    <cfRule type="cellIs" priority="423" operator="lessThanOrEqual" aboveAverage="0" equalAverage="0" bottom="0" percent="0" rank="0" text="" dxfId="0">
      <formula>0</formula>
    </cfRule>
  </conditionalFormatting>
  <conditionalFormatting sqref="F146">
    <cfRule type="cellIs" priority="424" operator="greaterThan" aboveAverage="0" equalAverage="0" bottom="0" percent="0" rank="0" text="" dxfId="10">
      <formula>30</formula>
    </cfRule>
  </conditionalFormatting>
  <conditionalFormatting sqref="G147">
    <cfRule type="cellIs" priority="425" operator="greaterThan" aboveAverage="0" equalAverage="0" bottom="0" percent="0" rank="0" text="" dxfId="1">
      <formula>0</formula>
    </cfRule>
    <cfRule type="cellIs" priority="426" operator="lessThanOrEqual" aboveAverage="0" equalAverage="0" bottom="0" percent="0" rank="0" text="" dxfId="0">
      <formula>0</formula>
    </cfRule>
  </conditionalFormatting>
  <conditionalFormatting sqref="F147">
    <cfRule type="cellIs" priority="427" operator="greaterThan" aboveAverage="0" equalAverage="0" bottom="0" percent="0" rank="0" text="" dxfId="10">
      <formula>30</formula>
    </cfRule>
  </conditionalFormatting>
  <conditionalFormatting sqref="G148">
    <cfRule type="cellIs" priority="428" operator="greaterThan" aboveAverage="0" equalAverage="0" bottom="0" percent="0" rank="0" text="" dxfId="1">
      <formula>0</formula>
    </cfRule>
    <cfRule type="cellIs" priority="429" operator="lessThanOrEqual" aboveAverage="0" equalAverage="0" bottom="0" percent="0" rank="0" text="" dxfId="0">
      <formula>0</formula>
    </cfRule>
  </conditionalFormatting>
  <conditionalFormatting sqref="F148">
    <cfRule type="cellIs" priority="430" operator="greaterThan" aboveAverage="0" equalAverage="0" bottom="0" percent="0" rank="0" text="" dxfId="10">
      <formula>30</formula>
    </cfRule>
  </conditionalFormatting>
  <conditionalFormatting sqref="G149">
    <cfRule type="cellIs" priority="431" operator="greaterThan" aboveAverage="0" equalAverage="0" bottom="0" percent="0" rank="0" text="" dxfId="1">
      <formula>0</formula>
    </cfRule>
    <cfRule type="cellIs" priority="432" operator="lessThanOrEqual" aboveAverage="0" equalAverage="0" bottom="0" percent="0" rank="0" text="" dxfId="0">
      <formula>0</formula>
    </cfRule>
  </conditionalFormatting>
  <conditionalFormatting sqref="F149">
    <cfRule type="cellIs" priority="433" operator="greaterThan" aboveAverage="0" equalAverage="0" bottom="0" percent="0" rank="0" text="" dxfId="10">
      <formula>30</formula>
    </cfRule>
  </conditionalFormatting>
  <conditionalFormatting sqref="G150">
    <cfRule type="cellIs" priority="434" operator="greaterThan" aboveAverage="0" equalAverage="0" bottom="0" percent="0" rank="0" text="" dxfId="1">
      <formula>0</formula>
    </cfRule>
    <cfRule type="cellIs" priority="435" operator="lessThanOrEqual" aboveAverage="0" equalAverage="0" bottom="0" percent="0" rank="0" text="" dxfId="0">
      <formula>0</formula>
    </cfRule>
  </conditionalFormatting>
  <conditionalFormatting sqref="F150">
    <cfRule type="cellIs" priority="436" operator="greaterThan" aboveAverage="0" equalAverage="0" bottom="0" percent="0" rank="0" text="" dxfId="10">
      <formula>30</formula>
    </cfRule>
  </conditionalFormatting>
  <conditionalFormatting sqref="G151">
    <cfRule type="cellIs" priority="437" operator="greaterThan" aboveAverage="0" equalAverage="0" bottom="0" percent="0" rank="0" text="" dxfId="1">
      <formula>0</formula>
    </cfRule>
    <cfRule type="cellIs" priority="438" operator="lessThanOrEqual" aboveAverage="0" equalAverage="0" bottom="0" percent="0" rank="0" text="" dxfId="0">
      <formula>0</formula>
    </cfRule>
  </conditionalFormatting>
  <conditionalFormatting sqref="F151">
    <cfRule type="cellIs" priority="439" operator="greaterThan" aboveAverage="0" equalAverage="0" bottom="0" percent="0" rank="0" text="" dxfId="10">
      <formula>30</formula>
    </cfRule>
  </conditionalFormatting>
  <conditionalFormatting sqref="G152">
    <cfRule type="cellIs" priority="440" operator="greaterThan" aboveAverage="0" equalAverage="0" bottom="0" percent="0" rank="0" text="" dxfId="1">
      <formula>0</formula>
    </cfRule>
    <cfRule type="cellIs" priority="441" operator="lessThanOrEqual" aboveAverage="0" equalAverage="0" bottom="0" percent="0" rank="0" text="" dxfId="0">
      <formula>0</formula>
    </cfRule>
  </conditionalFormatting>
  <conditionalFormatting sqref="F152">
    <cfRule type="cellIs" priority="442" operator="greaterThan" aboveAverage="0" equalAverage="0" bottom="0" percent="0" rank="0" text="" dxfId="10">
      <formula>30</formula>
    </cfRule>
  </conditionalFormatting>
  <conditionalFormatting sqref="G153">
    <cfRule type="cellIs" priority="443" operator="greaterThan" aboveAverage="0" equalAverage="0" bottom="0" percent="0" rank="0" text="" dxfId="1">
      <formula>0</formula>
    </cfRule>
    <cfRule type="cellIs" priority="444" operator="lessThanOrEqual" aboveAverage="0" equalAverage="0" bottom="0" percent="0" rank="0" text="" dxfId="0">
      <formula>0</formula>
    </cfRule>
  </conditionalFormatting>
  <conditionalFormatting sqref="F153">
    <cfRule type="cellIs" priority="445" operator="greaterThan" aboveAverage="0" equalAverage="0" bottom="0" percent="0" rank="0" text="" dxfId="10">
      <formula>30</formula>
    </cfRule>
  </conditionalFormatting>
  <conditionalFormatting sqref="G154">
    <cfRule type="cellIs" priority="446" operator="greaterThan" aboveAverage="0" equalAverage="0" bottom="0" percent="0" rank="0" text="" dxfId="1">
      <formula>0</formula>
    </cfRule>
    <cfRule type="cellIs" priority="447" operator="lessThanOrEqual" aboveAverage="0" equalAverage="0" bottom="0" percent="0" rank="0" text="" dxfId="0">
      <formula>0</formula>
    </cfRule>
  </conditionalFormatting>
  <conditionalFormatting sqref="F154">
    <cfRule type="cellIs" priority="448" operator="greaterThan" aboveAverage="0" equalAverage="0" bottom="0" percent="0" rank="0" text="" dxfId="10">
      <formula>30</formula>
    </cfRule>
  </conditionalFormatting>
  <conditionalFormatting sqref="G155">
    <cfRule type="cellIs" priority="449" operator="greaterThan" aboveAverage="0" equalAverage="0" bottom="0" percent="0" rank="0" text="" dxfId="1">
      <formula>0</formula>
    </cfRule>
    <cfRule type="cellIs" priority="450" operator="lessThanOrEqual" aboveAverage="0" equalAverage="0" bottom="0" percent="0" rank="0" text="" dxfId="0">
      <formula>0</formula>
    </cfRule>
  </conditionalFormatting>
  <conditionalFormatting sqref="F155">
    <cfRule type="cellIs" priority="451" operator="greaterThan" aboveAverage="0" equalAverage="0" bottom="0" percent="0" rank="0" text="" dxfId="10">
      <formula>30</formula>
    </cfRule>
  </conditionalFormatting>
  <conditionalFormatting sqref="G156">
    <cfRule type="cellIs" priority="452" operator="greaterThan" aboveAverage="0" equalAverage="0" bottom="0" percent="0" rank="0" text="" dxfId="1">
      <formula>0</formula>
    </cfRule>
    <cfRule type="cellIs" priority="453" operator="lessThanOrEqual" aboveAverage="0" equalAverage="0" bottom="0" percent="0" rank="0" text="" dxfId="0">
      <formula>0</formula>
    </cfRule>
  </conditionalFormatting>
  <conditionalFormatting sqref="F156">
    <cfRule type="cellIs" priority="454" operator="greaterThan" aboveAverage="0" equalAverage="0" bottom="0" percent="0" rank="0" text="" dxfId="10">
      <formula>30</formula>
    </cfRule>
  </conditionalFormatting>
  <conditionalFormatting sqref="G157">
    <cfRule type="cellIs" priority="455" operator="greaterThan" aboveAverage="0" equalAverage="0" bottom="0" percent="0" rank="0" text="" dxfId="1">
      <formula>0</formula>
    </cfRule>
    <cfRule type="cellIs" priority="456" operator="lessThanOrEqual" aboveAverage="0" equalAverage="0" bottom="0" percent="0" rank="0" text="" dxfId="0">
      <formula>0</formula>
    </cfRule>
  </conditionalFormatting>
  <conditionalFormatting sqref="F157">
    <cfRule type="cellIs" priority="457" operator="greaterThan" aboveAverage="0" equalAverage="0" bottom="0" percent="0" rank="0" text="" dxfId="10">
      <formula>30</formula>
    </cfRule>
  </conditionalFormatting>
  <conditionalFormatting sqref="G158">
    <cfRule type="cellIs" priority="458" operator="greaterThan" aboveAverage="0" equalAverage="0" bottom="0" percent="0" rank="0" text="" dxfId="1">
      <formula>0</formula>
    </cfRule>
    <cfRule type="cellIs" priority="459" operator="lessThanOrEqual" aboveAverage="0" equalAverage="0" bottom="0" percent="0" rank="0" text="" dxfId="0">
      <formula>0</formula>
    </cfRule>
  </conditionalFormatting>
  <conditionalFormatting sqref="F158">
    <cfRule type="cellIs" priority="460" operator="greaterThan" aboveAverage="0" equalAverage="0" bottom="0" percent="0" rank="0" text="" dxfId="10">
      <formula>30</formula>
    </cfRule>
  </conditionalFormatting>
  <conditionalFormatting sqref="G159">
    <cfRule type="cellIs" priority="461" operator="greaterThan" aboveAverage="0" equalAverage="0" bottom="0" percent="0" rank="0" text="" dxfId="1">
      <formula>0</formula>
    </cfRule>
    <cfRule type="cellIs" priority="462" operator="lessThanOrEqual" aboveAverage="0" equalAverage="0" bottom="0" percent="0" rank="0" text="" dxfId="0">
      <formula>0</formula>
    </cfRule>
  </conditionalFormatting>
  <conditionalFormatting sqref="F159">
    <cfRule type="cellIs" priority="463" operator="greaterThan" aboveAverage="0" equalAverage="0" bottom="0" percent="0" rank="0" text="" dxfId="10">
      <formula>30</formula>
    </cfRule>
  </conditionalFormatting>
  <conditionalFormatting sqref="G160">
    <cfRule type="cellIs" priority="464" operator="greaterThan" aboveAverage="0" equalAverage="0" bottom="0" percent="0" rank="0" text="" dxfId="1">
      <formula>0</formula>
    </cfRule>
    <cfRule type="cellIs" priority="465" operator="lessThanOrEqual" aboveAverage="0" equalAverage="0" bottom="0" percent="0" rank="0" text="" dxfId="0">
      <formula>0</formula>
    </cfRule>
  </conditionalFormatting>
  <conditionalFormatting sqref="F160">
    <cfRule type="cellIs" priority="466" operator="greaterThan" aboveAverage="0" equalAverage="0" bottom="0" percent="0" rank="0" text="" dxfId="10">
      <formula>30</formula>
    </cfRule>
  </conditionalFormatting>
  <conditionalFormatting sqref="G161">
    <cfRule type="cellIs" priority="467" operator="greaterThan" aboveAverage="0" equalAverage="0" bottom="0" percent="0" rank="0" text="" dxfId="1">
      <formula>0</formula>
    </cfRule>
    <cfRule type="cellIs" priority="468" operator="lessThanOrEqual" aboveAverage="0" equalAverage="0" bottom="0" percent="0" rank="0" text="" dxfId="0">
      <formula>0</formula>
    </cfRule>
  </conditionalFormatting>
  <conditionalFormatting sqref="F161">
    <cfRule type="cellIs" priority="469" operator="greaterThan" aboveAverage="0" equalAverage="0" bottom="0" percent="0" rank="0" text="" dxfId="10">
      <formula>30</formula>
    </cfRule>
  </conditionalFormatting>
  <conditionalFormatting sqref="G162">
    <cfRule type="cellIs" priority="470" operator="greaterThan" aboveAverage="0" equalAverage="0" bottom="0" percent="0" rank="0" text="" dxfId="1">
      <formula>0</formula>
    </cfRule>
    <cfRule type="cellIs" priority="471" operator="lessThanOrEqual" aboveAverage="0" equalAverage="0" bottom="0" percent="0" rank="0" text="" dxfId="0">
      <formula>0</formula>
    </cfRule>
  </conditionalFormatting>
  <conditionalFormatting sqref="F162">
    <cfRule type="cellIs" priority="472" operator="greaterThan" aboveAverage="0" equalAverage="0" bottom="0" percent="0" rank="0" text="" dxfId="10">
      <formula>30</formula>
    </cfRule>
  </conditionalFormatting>
  <conditionalFormatting sqref="G163">
    <cfRule type="cellIs" priority="473" operator="greaterThan" aboveAverage="0" equalAverage="0" bottom="0" percent="0" rank="0" text="" dxfId="1">
      <formula>0</formula>
    </cfRule>
    <cfRule type="cellIs" priority="474" operator="lessThanOrEqual" aboveAverage="0" equalAverage="0" bottom="0" percent="0" rank="0" text="" dxfId="0">
      <formula>0</formula>
    </cfRule>
  </conditionalFormatting>
  <conditionalFormatting sqref="F163">
    <cfRule type="cellIs" priority="475" operator="greaterThan" aboveAverage="0" equalAverage="0" bottom="0" percent="0" rank="0" text="" dxfId="10">
      <formula>30</formula>
    </cfRule>
  </conditionalFormatting>
  <conditionalFormatting sqref="G164">
    <cfRule type="cellIs" priority="476" operator="greaterThan" aboveAverage="0" equalAverage="0" bottom="0" percent="0" rank="0" text="" dxfId="1">
      <formula>0</formula>
    </cfRule>
    <cfRule type="cellIs" priority="477" operator="lessThanOrEqual" aboveAverage="0" equalAverage="0" bottom="0" percent="0" rank="0" text="" dxfId="0">
      <formula>0</formula>
    </cfRule>
  </conditionalFormatting>
  <conditionalFormatting sqref="F164">
    <cfRule type="cellIs" priority="478" operator="greaterThan" aboveAverage="0" equalAverage="0" bottom="0" percent="0" rank="0" text="" dxfId="10">
      <formula>30</formula>
    </cfRule>
  </conditionalFormatting>
  <conditionalFormatting sqref="G165">
    <cfRule type="cellIs" priority="479" operator="greaterThan" aboveAverage="0" equalAverage="0" bottom="0" percent="0" rank="0" text="" dxfId="1">
      <formula>0</formula>
    </cfRule>
    <cfRule type="cellIs" priority="480" operator="lessThanOrEqual" aboveAverage="0" equalAverage="0" bottom="0" percent="0" rank="0" text="" dxfId="0">
      <formula>0</formula>
    </cfRule>
  </conditionalFormatting>
  <conditionalFormatting sqref="F165">
    <cfRule type="cellIs" priority="481" operator="greaterThan" aboveAverage="0" equalAverage="0" bottom="0" percent="0" rank="0" text="" dxfId="10">
      <formula>30</formula>
    </cfRule>
  </conditionalFormatting>
  <conditionalFormatting sqref="G166">
    <cfRule type="cellIs" priority="482" operator="greaterThan" aboveAverage="0" equalAverage="0" bottom="0" percent="0" rank="0" text="" dxfId="1">
      <formula>0</formula>
    </cfRule>
    <cfRule type="cellIs" priority="483" operator="lessThanOrEqual" aboveAverage="0" equalAverage="0" bottom="0" percent="0" rank="0" text="" dxfId="0">
      <formula>0</formula>
    </cfRule>
  </conditionalFormatting>
  <conditionalFormatting sqref="F166">
    <cfRule type="cellIs" priority="484" operator="greaterThan" aboveAverage="0" equalAverage="0" bottom="0" percent="0" rank="0" text="" dxfId="10">
      <formula>30</formula>
    </cfRule>
  </conditionalFormatting>
  <conditionalFormatting sqref="G167">
    <cfRule type="cellIs" priority="485" operator="greaterThan" aboveAverage="0" equalAverage="0" bottom="0" percent="0" rank="0" text="" dxfId="1">
      <formula>0</formula>
    </cfRule>
    <cfRule type="cellIs" priority="486" operator="lessThanOrEqual" aboveAverage="0" equalAverage="0" bottom="0" percent="0" rank="0" text="" dxfId="0">
      <formula>0</formula>
    </cfRule>
  </conditionalFormatting>
  <conditionalFormatting sqref="F167">
    <cfRule type="cellIs" priority="487" operator="greaterThan" aboveAverage="0" equalAverage="0" bottom="0" percent="0" rank="0" text="" dxfId="10">
      <formula>30</formula>
    </cfRule>
  </conditionalFormatting>
  <conditionalFormatting sqref="G168">
    <cfRule type="cellIs" priority="488" operator="greaterThan" aboveAverage="0" equalAverage="0" bottom="0" percent="0" rank="0" text="" dxfId="1">
      <formula>0</formula>
    </cfRule>
    <cfRule type="cellIs" priority="489" operator="lessThanOrEqual" aboveAverage="0" equalAverage="0" bottom="0" percent="0" rank="0" text="" dxfId="0">
      <formula>0</formula>
    </cfRule>
  </conditionalFormatting>
  <conditionalFormatting sqref="F168">
    <cfRule type="cellIs" priority="490" operator="greaterThan" aboveAverage="0" equalAverage="0" bottom="0" percent="0" rank="0" text="" dxfId="10">
      <formula>30</formula>
    </cfRule>
  </conditionalFormatting>
  <conditionalFormatting sqref="G169">
    <cfRule type="cellIs" priority="491" operator="greaterThan" aboveAverage="0" equalAverage="0" bottom="0" percent="0" rank="0" text="" dxfId="1">
      <formula>0</formula>
    </cfRule>
    <cfRule type="cellIs" priority="492" operator="lessThanOrEqual" aboveAverage="0" equalAverage="0" bottom="0" percent="0" rank="0" text="" dxfId="0">
      <formula>0</formula>
    </cfRule>
  </conditionalFormatting>
  <conditionalFormatting sqref="F169">
    <cfRule type="cellIs" priority="493" operator="greaterThan" aboveAverage="0" equalAverage="0" bottom="0" percent="0" rank="0" text="" dxfId="10">
      <formula>30</formula>
    </cfRule>
  </conditionalFormatting>
  <conditionalFormatting sqref="G170">
    <cfRule type="cellIs" priority="494" operator="greaterThan" aboveAverage="0" equalAverage="0" bottom="0" percent="0" rank="0" text="" dxfId="1">
      <formula>0</formula>
    </cfRule>
    <cfRule type="cellIs" priority="495" operator="lessThanOrEqual" aboveAverage="0" equalAverage="0" bottom="0" percent="0" rank="0" text="" dxfId="0">
      <formula>0</formula>
    </cfRule>
  </conditionalFormatting>
  <conditionalFormatting sqref="F170">
    <cfRule type="cellIs" priority="496" operator="greaterThan" aboveAverage="0" equalAverage="0" bottom="0" percent="0" rank="0" text="" dxfId="10">
      <formula>30</formula>
    </cfRule>
  </conditionalFormatting>
  <conditionalFormatting sqref="G171">
    <cfRule type="cellIs" priority="497" operator="greaterThan" aboveAverage="0" equalAverage="0" bottom="0" percent="0" rank="0" text="" dxfId="1">
      <formula>0</formula>
    </cfRule>
    <cfRule type="cellIs" priority="498" operator="lessThanOrEqual" aboveAverage="0" equalAverage="0" bottom="0" percent="0" rank="0" text="" dxfId="0">
      <formula>0</formula>
    </cfRule>
  </conditionalFormatting>
  <conditionalFormatting sqref="F171">
    <cfRule type="cellIs" priority="499" operator="greaterThan" aboveAverage="0" equalAverage="0" bottom="0" percent="0" rank="0" text="" dxfId="10">
      <formula>30</formula>
    </cfRule>
  </conditionalFormatting>
  <conditionalFormatting sqref="G172">
    <cfRule type="cellIs" priority="500" operator="greaterThan" aboveAverage="0" equalAverage="0" bottom="0" percent="0" rank="0" text="" dxfId="1">
      <formula>0</formula>
    </cfRule>
    <cfRule type="cellIs" priority="501" operator="lessThanOrEqual" aboveAverage="0" equalAverage="0" bottom="0" percent="0" rank="0" text="" dxfId="0">
      <formula>0</formula>
    </cfRule>
  </conditionalFormatting>
  <conditionalFormatting sqref="F172">
    <cfRule type="cellIs" priority="502" operator="greaterThan" aboveAverage="0" equalAverage="0" bottom="0" percent="0" rank="0" text="" dxfId="10">
      <formula>30</formula>
    </cfRule>
  </conditionalFormatting>
  <conditionalFormatting sqref="G173">
    <cfRule type="cellIs" priority="503" operator="greaterThan" aboveAverage="0" equalAverage="0" bottom="0" percent="0" rank="0" text="" dxfId="1">
      <formula>0</formula>
    </cfRule>
    <cfRule type="cellIs" priority="504" operator="lessThanOrEqual" aboveAverage="0" equalAverage="0" bottom="0" percent="0" rank="0" text="" dxfId="0">
      <formula>0</formula>
    </cfRule>
  </conditionalFormatting>
  <conditionalFormatting sqref="F173">
    <cfRule type="cellIs" priority="505" operator="greaterThan" aboveAverage="0" equalAverage="0" bottom="0" percent="0" rank="0" text="" dxfId="10">
      <formula>30</formula>
    </cfRule>
  </conditionalFormatting>
  <conditionalFormatting sqref="G174">
    <cfRule type="cellIs" priority="506" operator="greaterThan" aboveAverage="0" equalAverage="0" bottom="0" percent="0" rank="0" text="" dxfId="1">
      <formula>0</formula>
    </cfRule>
    <cfRule type="cellIs" priority="507" operator="lessThanOrEqual" aboveAverage="0" equalAverage="0" bottom="0" percent="0" rank="0" text="" dxfId="0">
      <formula>0</formula>
    </cfRule>
  </conditionalFormatting>
  <conditionalFormatting sqref="F174">
    <cfRule type="cellIs" priority="508" operator="greaterThan" aboveAverage="0" equalAverage="0" bottom="0" percent="0" rank="0" text="" dxfId="10">
      <formula>30</formula>
    </cfRule>
  </conditionalFormatting>
  <conditionalFormatting sqref="G175">
    <cfRule type="cellIs" priority="509" operator="greaterThan" aboveAverage="0" equalAverage="0" bottom="0" percent="0" rank="0" text="" dxfId="1">
      <formula>0</formula>
    </cfRule>
    <cfRule type="cellIs" priority="510" operator="lessThanOrEqual" aboveAverage="0" equalAverage="0" bottom="0" percent="0" rank="0" text="" dxfId="0">
      <formula>0</formula>
    </cfRule>
  </conditionalFormatting>
  <conditionalFormatting sqref="F175">
    <cfRule type="cellIs" priority="511" operator="greaterThan" aboveAverage="0" equalAverage="0" bottom="0" percent="0" rank="0" text="" dxfId="10">
      <formula>30</formula>
    </cfRule>
  </conditionalFormatting>
  <conditionalFormatting sqref="G176">
    <cfRule type="cellIs" priority="512" operator="greaterThan" aboveAverage="0" equalAverage="0" bottom="0" percent="0" rank="0" text="" dxfId="1">
      <formula>0</formula>
    </cfRule>
    <cfRule type="cellIs" priority="513" operator="lessThanOrEqual" aboveAverage="0" equalAverage="0" bottom="0" percent="0" rank="0" text="" dxfId="0">
      <formula>0</formula>
    </cfRule>
  </conditionalFormatting>
  <conditionalFormatting sqref="F176">
    <cfRule type="cellIs" priority="514" operator="greaterThan" aboveAverage="0" equalAverage="0" bottom="0" percent="0" rank="0" text="" dxfId="10">
      <formula>30</formula>
    </cfRule>
  </conditionalFormatting>
  <conditionalFormatting sqref="G177">
    <cfRule type="cellIs" priority="515" operator="greaterThan" aboveAverage="0" equalAverage="0" bottom="0" percent="0" rank="0" text="" dxfId="1">
      <formula>0</formula>
    </cfRule>
    <cfRule type="cellIs" priority="516" operator="lessThanOrEqual" aboveAverage="0" equalAverage="0" bottom="0" percent="0" rank="0" text="" dxfId="0">
      <formula>0</formula>
    </cfRule>
  </conditionalFormatting>
  <conditionalFormatting sqref="F177">
    <cfRule type="cellIs" priority="517" operator="greaterThan" aboveAverage="0" equalAverage="0" bottom="0" percent="0" rank="0" text="" dxfId="10">
      <formula>30</formula>
    </cfRule>
  </conditionalFormatting>
  <conditionalFormatting sqref="G178">
    <cfRule type="cellIs" priority="518" operator="greaterThan" aboveAverage="0" equalAverage="0" bottom="0" percent="0" rank="0" text="" dxfId="1">
      <formula>0</formula>
    </cfRule>
    <cfRule type="cellIs" priority="519" operator="lessThanOrEqual" aboveAverage="0" equalAverage="0" bottom="0" percent="0" rank="0" text="" dxfId="0">
      <formula>0</formula>
    </cfRule>
  </conditionalFormatting>
  <conditionalFormatting sqref="F178">
    <cfRule type="cellIs" priority="520" operator="greaterThan" aboveAverage="0" equalAverage="0" bottom="0" percent="0" rank="0" text="" dxfId="10">
      <formula>30</formula>
    </cfRule>
  </conditionalFormatting>
  <conditionalFormatting sqref="G179">
    <cfRule type="cellIs" priority="521" operator="greaterThan" aboveAverage="0" equalAverage="0" bottom="0" percent="0" rank="0" text="" dxfId="1">
      <formula>0</formula>
    </cfRule>
    <cfRule type="cellIs" priority="522" operator="lessThanOrEqual" aboveAverage="0" equalAverage="0" bottom="0" percent="0" rank="0" text="" dxfId="0">
      <formula>0</formula>
    </cfRule>
  </conditionalFormatting>
  <conditionalFormatting sqref="F179">
    <cfRule type="cellIs" priority="523" operator="greaterThan" aboveAverage="0" equalAverage="0" bottom="0" percent="0" rank="0" text="" dxfId="10">
      <formula>30</formula>
    </cfRule>
  </conditionalFormatting>
  <conditionalFormatting sqref="G180">
    <cfRule type="cellIs" priority="524" operator="greaterThan" aboveAverage="0" equalAverage="0" bottom="0" percent="0" rank="0" text="" dxfId="1">
      <formula>0</formula>
    </cfRule>
    <cfRule type="cellIs" priority="525" operator="lessThanOrEqual" aboveAverage="0" equalAverage="0" bottom="0" percent="0" rank="0" text="" dxfId="0">
      <formula>0</formula>
    </cfRule>
  </conditionalFormatting>
  <conditionalFormatting sqref="F180">
    <cfRule type="cellIs" priority="526" operator="greaterThan" aboveAverage="0" equalAverage="0" bottom="0" percent="0" rank="0" text="" dxfId="10">
      <formula>30</formula>
    </cfRule>
  </conditionalFormatting>
  <conditionalFormatting sqref="G181">
    <cfRule type="cellIs" priority="527" operator="greaterThan" aboveAverage="0" equalAverage="0" bottom="0" percent="0" rank="0" text="" dxfId="1">
      <formula>0</formula>
    </cfRule>
    <cfRule type="cellIs" priority="528" operator="lessThanOrEqual" aboveAverage="0" equalAverage="0" bottom="0" percent="0" rank="0" text="" dxfId="0">
      <formula>0</formula>
    </cfRule>
  </conditionalFormatting>
  <conditionalFormatting sqref="F181">
    <cfRule type="cellIs" priority="529" operator="greaterThan" aboveAverage="0" equalAverage="0" bottom="0" percent="0" rank="0" text="" dxfId="10">
      <formula>30</formula>
    </cfRule>
  </conditionalFormatting>
  <conditionalFormatting sqref="G182">
    <cfRule type="cellIs" priority="530" operator="greaterThan" aboveAverage="0" equalAverage="0" bottom="0" percent="0" rank="0" text="" dxfId="1">
      <formula>0</formula>
    </cfRule>
    <cfRule type="cellIs" priority="531" operator="lessThanOrEqual" aboveAverage="0" equalAverage="0" bottom="0" percent="0" rank="0" text="" dxfId="0">
      <formula>0</formula>
    </cfRule>
  </conditionalFormatting>
  <conditionalFormatting sqref="F182">
    <cfRule type="cellIs" priority="532" operator="greaterThan" aboveAverage="0" equalAverage="0" bottom="0" percent="0" rank="0" text="" dxfId="10">
      <formula>30</formula>
    </cfRule>
  </conditionalFormatting>
  <conditionalFormatting sqref="G183">
    <cfRule type="cellIs" priority="533" operator="greaterThan" aboveAverage="0" equalAverage="0" bottom="0" percent="0" rank="0" text="" dxfId="1">
      <formula>0</formula>
    </cfRule>
    <cfRule type="cellIs" priority="534" operator="lessThanOrEqual" aboveAverage="0" equalAverage="0" bottom="0" percent="0" rank="0" text="" dxfId="0">
      <formula>0</formula>
    </cfRule>
  </conditionalFormatting>
  <conditionalFormatting sqref="F183">
    <cfRule type="cellIs" priority="535" operator="greaterThan" aboveAverage="0" equalAverage="0" bottom="0" percent="0" rank="0" text="" dxfId="10">
      <formula>30</formula>
    </cfRule>
  </conditionalFormatting>
  <conditionalFormatting sqref="G184">
    <cfRule type="cellIs" priority="536" operator="greaterThan" aboveAverage="0" equalAverage="0" bottom="0" percent="0" rank="0" text="" dxfId="1">
      <formula>0</formula>
    </cfRule>
    <cfRule type="cellIs" priority="537" operator="lessThanOrEqual" aboveAverage="0" equalAverage="0" bottom="0" percent="0" rank="0" text="" dxfId="0">
      <formula>0</formula>
    </cfRule>
  </conditionalFormatting>
  <conditionalFormatting sqref="F184">
    <cfRule type="cellIs" priority="538" operator="greaterThan" aboveAverage="0" equalAverage="0" bottom="0" percent="0" rank="0" text="" dxfId="10">
      <formula>30</formula>
    </cfRule>
  </conditionalFormatting>
  <conditionalFormatting sqref="G185">
    <cfRule type="cellIs" priority="539" operator="greaterThan" aboveAverage="0" equalAverage="0" bottom="0" percent="0" rank="0" text="" dxfId="1">
      <formula>0</formula>
    </cfRule>
    <cfRule type="cellIs" priority="540" operator="lessThanOrEqual" aboveAverage="0" equalAverage="0" bottom="0" percent="0" rank="0" text="" dxfId="0">
      <formula>0</formula>
    </cfRule>
  </conditionalFormatting>
  <conditionalFormatting sqref="F185">
    <cfRule type="cellIs" priority="541" operator="greaterThan" aboveAverage="0" equalAverage="0" bottom="0" percent="0" rank="0" text="" dxfId="10">
      <formula>30</formula>
    </cfRule>
  </conditionalFormatting>
  <conditionalFormatting sqref="G186">
    <cfRule type="cellIs" priority="542" operator="greaterThan" aboveAverage="0" equalAverage="0" bottom="0" percent="0" rank="0" text="" dxfId="1">
      <formula>0</formula>
    </cfRule>
    <cfRule type="cellIs" priority="543" operator="lessThanOrEqual" aboveAverage="0" equalAverage="0" bottom="0" percent="0" rank="0" text="" dxfId="0">
      <formula>0</formula>
    </cfRule>
  </conditionalFormatting>
  <conditionalFormatting sqref="F186">
    <cfRule type="cellIs" priority="544" operator="greaterThan" aboveAverage="0" equalAverage="0" bottom="0" percent="0" rank="0" text="" dxfId="10">
      <formula>30</formula>
    </cfRule>
  </conditionalFormatting>
  <conditionalFormatting sqref="G187">
    <cfRule type="cellIs" priority="545" operator="greaterThan" aboveAverage="0" equalAverage="0" bottom="0" percent="0" rank="0" text="" dxfId="1">
      <formula>0</formula>
    </cfRule>
    <cfRule type="cellIs" priority="546" operator="lessThanOrEqual" aboveAverage="0" equalAverage="0" bottom="0" percent="0" rank="0" text="" dxfId="0">
      <formula>0</formula>
    </cfRule>
  </conditionalFormatting>
  <conditionalFormatting sqref="F187">
    <cfRule type="cellIs" priority="547" operator="greaterThan" aboveAverage="0" equalAverage="0" bottom="0" percent="0" rank="0" text="" dxfId="10">
      <formula>30</formula>
    </cfRule>
  </conditionalFormatting>
  <conditionalFormatting sqref="G188">
    <cfRule type="cellIs" priority="548" operator="greaterThan" aboveAverage="0" equalAverage="0" bottom="0" percent="0" rank="0" text="" dxfId="1">
      <formula>0</formula>
    </cfRule>
    <cfRule type="cellIs" priority="549" operator="lessThanOrEqual" aboveAverage="0" equalAverage="0" bottom="0" percent="0" rank="0" text="" dxfId="0">
      <formula>0</formula>
    </cfRule>
  </conditionalFormatting>
  <conditionalFormatting sqref="F188">
    <cfRule type="cellIs" priority="550" operator="greaterThan" aboveAverage="0" equalAverage="0" bottom="0" percent="0" rank="0" text="" dxfId="10">
      <formula>30</formula>
    </cfRule>
  </conditionalFormatting>
  <conditionalFormatting sqref="G189">
    <cfRule type="cellIs" priority="551" operator="greaterThan" aboveAverage="0" equalAverage="0" bottom="0" percent="0" rank="0" text="" dxfId="1">
      <formula>0</formula>
    </cfRule>
    <cfRule type="cellIs" priority="552" operator="lessThanOrEqual" aboveAverage="0" equalAverage="0" bottom="0" percent="0" rank="0" text="" dxfId="0">
      <formula>0</formula>
    </cfRule>
  </conditionalFormatting>
  <conditionalFormatting sqref="F189">
    <cfRule type="cellIs" priority="553" operator="greaterThan" aboveAverage="0" equalAverage="0" bottom="0" percent="0" rank="0" text="" dxfId="10">
      <formula>30</formula>
    </cfRule>
  </conditionalFormatting>
  <conditionalFormatting sqref="G190">
    <cfRule type="cellIs" priority="554" operator="greaterThan" aboveAverage="0" equalAverage="0" bottom="0" percent="0" rank="0" text="" dxfId="1">
      <formula>0</formula>
    </cfRule>
    <cfRule type="cellIs" priority="555" operator="lessThanOrEqual" aboveAverage="0" equalAverage="0" bottom="0" percent="0" rank="0" text="" dxfId="0">
      <formula>0</formula>
    </cfRule>
  </conditionalFormatting>
  <conditionalFormatting sqref="F190">
    <cfRule type="cellIs" priority="556" operator="greaterThan" aboveAverage="0" equalAverage="0" bottom="0" percent="0" rank="0" text="" dxfId="10">
      <formula>30</formula>
    </cfRule>
  </conditionalFormatting>
  <conditionalFormatting sqref="G191">
    <cfRule type="cellIs" priority="557" operator="greaterThan" aboveAverage="0" equalAverage="0" bottom="0" percent="0" rank="0" text="" dxfId="1">
      <formula>0</formula>
    </cfRule>
    <cfRule type="cellIs" priority="558" operator="lessThanOrEqual" aboveAverage="0" equalAverage="0" bottom="0" percent="0" rank="0" text="" dxfId="0">
      <formula>0</formula>
    </cfRule>
  </conditionalFormatting>
  <conditionalFormatting sqref="F191">
    <cfRule type="cellIs" priority="559" operator="greaterThan" aboveAverage="0" equalAverage="0" bottom="0" percent="0" rank="0" text="" dxfId="10">
      <formula>30</formula>
    </cfRule>
  </conditionalFormatting>
  <conditionalFormatting sqref="G192">
    <cfRule type="cellIs" priority="560" operator="greaterThan" aboveAverage="0" equalAverage="0" bottom="0" percent="0" rank="0" text="" dxfId="1">
      <formula>0</formula>
    </cfRule>
    <cfRule type="cellIs" priority="561" operator="lessThanOrEqual" aboveAverage="0" equalAverage="0" bottom="0" percent="0" rank="0" text="" dxfId="0">
      <formula>0</formula>
    </cfRule>
  </conditionalFormatting>
  <conditionalFormatting sqref="F192">
    <cfRule type="cellIs" priority="562" operator="greaterThan" aboveAverage="0" equalAverage="0" bottom="0" percent="0" rank="0" text="" dxfId="10">
      <formula>30</formula>
    </cfRule>
  </conditionalFormatting>
  <conditionalFormatting sqref="G193">
    <cfRule type="cellIs" priority="563" operator="greaterThan" aboveAverage="0" equalAverage="0" bottom="0" percent="0" rank="0" text="" dxfId="1">
      <formula>0</formula>
    </cfRule>
    <cfRule type="cellIs" priority="564" operator="lessThanOrEqual" aboveAverage="0" equalAverage="0" bottom="0" percent="0" rank="0" text="" dxfId="0">
      <formula>0</formula>
    </cfRule>
  </conditionalFormatting>
  <conditionalFormatting sqref="F193">
    <cfRule type="cellIs" priority="565" operator="greaterThan" aboveAverage="0" equalAverage="0" bottom="0" percent="0" rank="0" text="" dxfId="10">
      <formula>30</formula>
    </cfRule>
  </conditionalFormatting>
  <conditionalFormatting sqref="G194">
    <cfRule type="cellIs" priority="566" operator="greaterThan" aboveAverage="0" equalAverage="0" bottom="0" percent="0" rank="0" text="" dxfId="1">
      <formula>0</formula>
    </cfRule>
    <cfRule type="cellIs" priority="567" operator="lessThanOrEqual" aboveAverage="0" equalAverage="0" bottom="0" percent="0" rank="0" text="" dxfId="0">
      <formula>0</formula>
    </cfRule>
  </conditionalFormatting>
  <conditionalFormatting sqref="F194">
    <cfRule type="cellIs" priority="568" operator="greaterThan" aboveAverage="0" equalAverage="0" bottom="0" percent="0" rank="0" text="" dxfId="10">
      <formula>30</formula>
    </cfRule>
  </conditionalFormatting>
  <conditionalFormatting sqref="G195">
    <cfRule type="cellIs" priority="569" operator="greaterThan" aboveAverage="0" equalAverage="0" bottom="0" percent="0" rank="0" text="" dxfId="1">
      <formula>0</formula>
    </cfRule>
    <cfRule type="cellIs" priority="570" operator="lessThanOrEqual" aboveAverage="0" equalAverage="0" bottom="0" percent="0" rank="0" text="" dxfId="0">
      <formula>0</formula>
    </cfRule>
  </conditionalFormatting>
  <conditionalFormatting sqref="F195">
    <cfRule type="cellIs" priority="571" operator="greaterThan" aboveAverage="0" equalAverage="0" bottom="0" percent="0" rank="0" text="" dxfId="10">
      <formula>30</formula>
    </cfRule>
  </conditionalFormatting>
  <conditionalFormatting sqref="G196">
    <cfRule type="cellIs" priority="572" operator="greaterThan" aboveAverage="0" equalAverage="0" bottom="0" percent="0" rank="0" text="" dxfId="1">
      <formula>0</formula>
    </cfRule>
    <cfRule type="cellIs" priority="573" operator="lessThanOrEqual" aboveAverage="0" equalAverage="0" bottom="0" percent="0" rank="0" text="" dxfId="0">
      <formula>0</formula>
    </cfRule>
  </conditionalFormatting>
  <conditionalFormatting sqref="F196">
    <cfRule type="cellIs" priority="574" operator="greaterThan" aboveAverage="0" equalAverage="0" bottom="0" percent="0" rank="0" text="" dxfId="10">
      <formula>30</formula>
    </cfRule>
  </conditionalFormatting>
  <conditionalFormatting sqref="G197">
    <cfRule type="cellIs" priority="575" operator="greaterThan" aboveAverage="0" equalAverage="0" bottom="0" percent="0" rank="0" text="" dxfId="1">
      <formula>0</formula>
    </cfRule>
    <cfRule type="cellIs" priority="576" operator="lessThanOrEqual" aboveAverage="0" equalAverage="0" bottom="0" percent="0" rank="0" text="" dxfId="0">
      <formula>0</formula>
    </cfRule>
  </conditionalFormatting>
  <conditionalFormatting sqref="F197">
    <cfRule type="cellIs" priority="577" operator="greaterThan" aboveAverage="0" equalAverage="0" bottom="0" percent="0" rank="0" text="" dxfId="10">
      <formula>30</formula>
    </cfRule>
  </conditionalFormatting>
  <conditionalFormatting sqref="G198">
    <cfRule type="cellIs" priority="578" operator="greaterThan" aboveAverage="0" equalAverage="0" bottom="0" percent="0" rank="0" text="" dxfId="1">
      <formula>0</formula>
    </cfRule>
    <cfRule type="cellIs" priority="579" operator="lessThanOrEqual" aboveAverage="0" equalAverage="0" bottom="0" percent="0" rank="0" text="" dxfId="0">
      <formula>0</formula>
    </cfRule>
  </conditionalFormatting>
  <conditionalFormatting sqref="F198">
    <cfRule type="cellIs" priority="580" operator="greaterThan" aboveAverage="0" equalAverage="0" bottom="0" percent="0" rank="0" text="" dxfId="10">
      <formula>30</formula>
    </cfRule>
  </conditionalFormatting>
  <conditionalFormatting sqref="G199">
    <cfRule type="cellIs" priority="581" operator="greaterThan" aboveAverage="0" equalAverage="0" bottom="0" percent="0" rank="0" text="" dxfId="1">
      <formula>0</formula>
    </cfRule>
    <cfRule type="cellIs" priority="582" operator="lessThanOrEqual" aboveAverage="0" equalAverage="0" bottom="0" percent="0" rank="0" text="" dxfId="0">
      <formula>0</formula>
    </cfRule>
  </conditionalFormatting>
  <conditionalFormatting sqref="F199">
    <cfRule type="cellIs" priority="583" operator="greaterThan" aboveAverage="0" equalAverage="0" bottom="0" percent="0" rank="0" text="" dxfId="10">
      <formula>30</formula>
    </cfRule>
  </conditionalFormatting>
  <conditionalFormatting sqref="G200">
    <cfRule type="cellIs" priority="584" operator="greaterThan" aboveAverage="0" equalAverage="0" bottom="0" percent="0" rank="0" text="" dxfId="1">
      <formula>0</formula>
    </cfRule>
    <cfRule type="cellIs" priority="585" operator="lessThanOrEqual" aboveAverage="0" equalAverage="0" bottom="0" percent="0" rank="0" text="" dxfId="0">
      <formula>0</formula>
    </cfRule>
  </conditionalFormatting>
  <conditionalFormatting sqref="F200">
    <cfRule type="cellIs" priority="586" operator="greaterThan" aboveAverage="0" equalAverage="0" bottom="0" percent="0" rank="0" text="" dxfId="10">
      <formula>30</formula>
    </cfRule>
  </conditionalFormatting>
  <conditionalFormatting sqref="G201">
    <cfRule type="cellIs" priority="587" operator="greaterThan" aboveAverage="0" equalAverage="0" bottom="0" percent="0" rank="0" text="" dxfId="1">
      <formula>0</formula>
    </cfRule>
    <cfRule type="cellIs" priority="588" operator="lessThanOrEqual" aboveAverage="0" equalAverage="0" bottom="0" percent="0" rank="0" text="" dxfId="0">
      <formula>0</formula>
    </cfRule>
  </conditionalFormatting>
  <conditionalFormatting sqref="F201">
    <cfRule type="cellIs" priority="589" operator="greaterThan" aboveAverage="0" equalAverage="0" bottom="0" percent="0" rank="0" text="" dxfId="10">
      <formula>30</formula>
    </cfRule>
  </conditionalFormatting>
  <conditionalFormatting sqref="G202">
    <cfRule type="cellIs" priority="590" operator="greaterThan" aboveAverage="0" equalAverage="0" bottom="0" percent="0" rank="0" text="" dxfId="1">
      <formula>0</formula>
    </cfRule>
    <cfRule type="cellIs" priority="591" operator="lessThanOrEqual" aboveAverage="0" equalAverage="0" bottom="0" percent="0" rank="0" text="" dxfId="0">
      <formula>0</formula>
    </cfRule>
  </conditionalFormatting>
  <conditionalFormatting sqref="F202">
    <cfRule type="cellIs" priority="592" operator="greaterThan" aboveAverage="0" equalAverage="0" bottom="0" percent="0" rank="0" text="" dxfId="10">
      <formula>30</formula>
    </cfRule>
  </conditionalFormatting>
  <conditionalFormatting sqref="G203">
    <cfRule type="cellIs" priority="593" operator="greaterThan" aboveAverage="0" equalAverage="0" bottom="0" percent="0" rank="0" text="" dxfId="1">
      <formula>0</formula>
    </cfRule>
    <cfRule type="cellIs" priority="594" operator="lessThanOrEqual" aboveAverage="0" equalAverage="0" bottom="0" percent="0" rank="0" text="" dxfId="0">
      <formula>0</formula>
    </cfRule>
  </conditionalFormatting>
  <conditionalFormatting sqref="F203">
    <cfRule type="cellIs" priority="595" operator="greaterThan" aboveAverage="0" equalAverage="0" bottom="0" percent="0" rank="0" text="" dxfId="10">
      <formula>30</formula>
    </cfRule>
  </conditionalFormatting>
  <conditionalFormatting sqref="G204">
    <cfRule type="cellIs" priority="596" operator="greaterThan" aboveAverage="0" equalAverage="0" bottom="0" percent="0" rank="0" text="" dxfId="1">
      <formula>0</formula>
    </cfRule>
    <cfRule type="cellIs" priority="597" operator="lessThanOrEqual" aboveAverage="0" equalAverage="0" bottom="0" percent="0" rank="0" text="" dxfId="0">
      <formula>0</formula>
    </cfRule>
  </conditionalFormatting>
  <conditionalFormatting sqref="F204">
    <cfRule type="cellIs" priority="598" operator="greaterThan" aboveAverage="0" equalAverage="0" bottom="0" percent="0" rank="0" text="" dxfId="10">
      <formula>30</formula>
    </cfRule>
  </conditionalFormatting>
  <conditionalFormatting sqref="G205">
    <cfRule type="cellIs" priority="599" operator="greaterThan" aboveAverage="0" equalAverage="0" bottom="0" percent="0" rank="0" text="" dxfId="1">
      <formula>0</formula>
    </cfRule>
    <cfRule type="cellIs" priority="600" operator="lessThanOrEqual" aboveAverage="0" equalAverage="0" bottom="0" percent="0" rank="0" text="" dxfId="0">
      <formula>0</formula>
    </cfRule>
  </conditionalFormatting>
  <conditionalFormatting sqref="F205">
    <cfRule type="cellIs" priority="601" operator="greaterThan" aboveAverage="0" equalAverage="0" bottom="0" percent="0" rank="0" text="" dxfId="10">
      <formula>30</formula>
    </cfRule>
  </conditionalFormatting>
  <conditionalFormatting sqref="G206">
    <cfRule type="cellIs" priority="602" operator="greaterThan" aboveAverage="0" equalAverage="0" bottom="0" percent="0" rank="0" text="" dxfId="1">
      <formula>0</formula>
    </cfRule>
    <cfRule type="cellIs" priority="603" operator="lessThanOrEqual" aboveAverage="0" equalAverage="0" bottom="0" percent="0" rank="0" text="" dxfId="0">
      <formula>0</formula>
    </cfRule>
  </conditionalFormatting>
  <conditionalFormatting sqref="F206">
    <cfRule type="cellIs" priority="604" operator="greaterThan" aboveAverage="0" equalAverage="0" bottom="0" percent="0" rank="0" text="" dxfId="10">
      <formula>30</formula>
    </cfRule>
  </conditionalFormatting>
  <conditionalFormatting sqref="G207">
    <cfRule type="cellIs" priority="605" operator="greaterThan" aboveAverage="0" equalAverage="0" bottom="0" percent="0" rank="0" text="" dxfId="1">
      <formula>0</formula>
    </cfRule>
    <cfRule type="cellIs" priority="606" operator="lessThanOrEqual" aboveAverage="0" equalAverage="0" bottom="0" percent="0" rank="0" text="" dxfId="0">
      <formula>0</formula>
    </cfRule>
  </conditionalFormatting>
  <conditionalFormatting sqref="F207">
    <cfRule type="cellIs" priority="607" operator="greaterThan" aboveAverage="0" equalAverage="0" bottom="0" percent="0" rank="0" text="" dxfId="10">
      <formula>30</formula>
    </cfRule>
  </conditionalFormatting>
  <conditionalFormatting sqref="G208">
    <cfRule type="cellIs" priority="608" operator="greaterThan" aboveAverage="0" equalAverage="0" bottom="0" percent="0" rank="0" text="" dxfId="1">
      <formula>0</formula>
    </cfRule>
    <cfRule type="cellIs" priority="609" operator="lessThanOrEqual" aboveAverage="0" equalAverage="0" bottom="0" percent="0" rank="0" text="" dxfId="0">
      <formula>0</formula>
    </cfRule>
  </conditionalFormatting>
  <conditionalFormatting sqref="F208">
    <cfRule type="cellIs" priority="610" operator="greaterThan" aboveAverage="0" equalAverage="0" bottom="0" percent="0" rank="0" text="" dxfId="10">
      <formula>30</formula>
    </cfRule>
  </conditionalFormatting>
  <conditionalFormatting sqref="G209">
    <cfRule type="cellIs" priority="611" operator="greaterThan" aboveAverage="0" equalAverage="0" bottom="0" percent="0" rank="0" text="" dxfId="1">
      <formula>0</formula>
    </cfRule>
    <cfRule type="cellIs" priority="612" operator="lessThanOrEqual" aboveAverage="0" equalAverage="0" bottom="0" percent="0" rank="0" text="" dxfId="0">
      <formula>0</formula>
    </cfRule>
  </conditionalFormatting>
  <conditionalFormatting sqref="F209">
    <cfRule type="cellIs" priority="613" operator="greaterThan" aboveAverage="0" equalAverage="0" bottom="0" percent="0" rank="0" text="" dxfId="10">
      <formula>30</formula>
    </cfRule>
  </conditionalFormatting>
  <conditionalFormatting sqref="G210">
    <cfRule type="cellIs" priority="614" operator="greaterThan" aboveAverage="0" equalAverage="0" bottom="0" percent="0" rank="0" text="" dxfId="1">
      <formula>0</formula>
    </cfRule>
    <cfRule type="cellIs" priority="615" operator="lessThanOrEqual" aboveAverage="0" equalAverage="0" bottom="0" percent="0" rank="0" text="" dxfId="0">
      <formula>0</formula>
    </cfRule>
  </conditionalFormatting>
  <conditionalFormatting sqref="F210">
    <cfRule type="cellIs" priority="616" operator="greaterThan" aboveAverage="0" equalAverage="0" bottom="0" percent="0" rank="0" text="" dxfId="10">
      <formula>30</formula>
    </cfRule>
  </conditionalFormatting>
  <conditionalFormatting sqref="G211">
    <cfRule type="cellIs" priority="617" operator="greaterThan" aboveAverage="0" equalAverage="0" bottom="0" percent="0" rank="0" text="" dxfId="1">
      <formula>0</formula>
    </cfRule>
    <cfRule type="cellIs" priority="618" operator="lessThanOrEqual" aboveAverage="0" equalAverage="0" bottom="0" percent="0" rank="0" text="" dxfId="0">
      <formula>0</formula>
    </cfRule>
  </conditionalFormatting>
  <conditionalFormatting sqref="F211">
    <cfRule type="cellIs" priority="619" operator="greaterThan" aboveAverage="0" equalAverage="0" bottom="0" percent="0" rank="0" text="" dxfId="10">
      <formula>30</formula>
    </cfRule>
  </conditionalFormatting>
  <conditionalFormatting sqref="G212">
    <cfRule type="cellIs" priority="620" operator="greaterThan" aboveAverage="0" equalAverage="0" bottom="0" percent="0" rank="0" text="" dxfId="1">
      <formula>0</formula>
    </cfRule>
    <cfRule type="cellIs" priority="621" operator="lessThanOrEqual" aboveAverage="0" equalAverage="0" bottom="0" percent="0" rank="0" text="" dxfId="0">
      <formula>0</formula>
    </cfRule>
  </conditionalFormatting>
  <conditionalFormatting sqref="F212">
    <cfRule type="cellIs" priority="622" operator="greaterThan" aboveAverage="0" equalAverage="0" bottom="0" percent="0" rank="0" text="" dxfId="10">
      <formula>30</formula>
    </cfRule>
  </conditionalFormatting>
  <conditionalFormatting sqref="G213">
    <cfRule type="cellIs" priority="623" operator="greaterThan" aboveAverage="0" equalAverage="0" bottom="0" percent="0" rank="0" text="" dxfId="1">
      <formula>0</formula>
    </cfRule>
    <cfRule type="cellIs" priority="624" operator="lessThanOrEqual" aboveAverage="0" equalAverage="0" bottom="0" percent="0" rank="0" text="" dxfId="0">
      <formula>0</formula>
    </cfRule>
  </conditionalFormatting>
  <conditionalFormatting sqref="F213">
    <cfRule type="cellIs" priority="625" operator="greaterThan" aboveAverage="0" equalAverage="0" bottom="0" percent="0" rank="0" text="" dxfId="10">
      <formula>30</formula>
    </cfRule>
  </conditionalFormatting>
  <conditionalFormatting sqref="G214">
    <cfRule type="cellIs" priority="626" operator="greaterThan" aboveAverage="0" equalAverage="0" bottom="0" percent="0" rank="0" text="" dxfId="1">
      <formula>0</formula>
    </cfRule>
    <cfRule type="cellIs" priority="627" operator="lessThanOrEqual" aboveAverage="0" equalAverage="0" bottom="0" percent="0" rank="0" text="" dxfId="0">
      <formula>0</formula>
    </cfRule>
  </conditionalFormatting>
  <conditionalFormatting sqref="F214">
    <cfRule type="cellIs" priority="628" operator="greaterThan" aboveAverage="0" equalAverage="0" bottom="0" percent="0" rank="0" text="" dxfId="10">
      <formula>30</formula>
    </cfRule>
  </conditionalFormatting>
  <conditionalFormatting sqref="G215">
    <cfRule type="cellIs" priority="629" operator="greaterThan" aboveAverage="0" equalAverage="0" bottom="0" percent="0" rank="0" text="" dxfId="1">
      <formula>0</formula>
    </cfRule>
    <cfRule type="cellIs" priority="630" operator="lessThanOrEqual" aboveAverage="0" equalAverage="0" bottom="0" percent="0" rank="0" text="" dxfId="0">
      <formula>0</formula>
    </cfRule>
  </conditionalFormatting>
  <conditionalFormatting sqref="F215">
    <cfRule type="cellIs" priority="631" operator="greaterThan" aboveAverage="0" equalAverage="0" bottom="0" percent="0" rank="0" text="" dxfId="10">
      <formula>30</formula>
    </cfRule>
  </conditionalFormatting>
  <conditionalFormatting sqref="G216">
    <cfRule type="cellIs" priority="632" operator="greaterThan" aboveAverage="0" equalAverage="0" bottom="0" percent="0" rank="0" text="" dxfId="1">
      <formula>0</formula>
    </cfRule>
    <cfRule type="cellIs" priority="633" operator="lessThanOrEqual" aboveAverage="0" equalAverage="0" bottom="0" percent="0" rank="0" text="" dxfId="0">
      <formula>0</formula>
    </cfRule>
  </conditionalFormatting>
  <conditionalFormatting sqref="F216">
    <cfRule type="cellIs" priority="634" operator="greaterThan" aboveAverage="0" equalAverage="0" bottom="0" percent="0" rank="0" text="" dxfId="10">
      <formula>30</formula>
    </cfRule>
  </conditionalFormatting>
  <conditionalFormatting sqref="G217">
    <cfRule type="cellIs" priority="635" operator="greaterThan" aboveAverage="0" equalAverage="0" bottom="0" percent="0" rank="0" text="" dxfId="1">
      <formula>0</formula>
    </cfRule>
    <cfRule type="cellIs" priority="636" operator="lessThanOrEqual" aboveAverage="0" equalAverage="0" bottom="0" percent="0" rank="0" text="" dxfId="0">
      <formula>0</formula>
    </cfRule>
  </conditionalFormatting>
  <conditionalFormatting sqref="F217">
    <cfRule type="cellIs" priority="637" operator="greaterThan" aboveAverage="0" equalAverage="0" bottom="0" percent="0" rank="0" text="" dxfId="10">
      <formula>30</formula>
    </cfRule>
  </conditionalFormatting>
  <conditionalFormatting sqref="G218">
    <cfRule type="cellIs" priority="638" operator="greaterThan" aboveAverage="0" equalAverage="0" bottom="0" percent="0" rank="0" text="" dxfId="1">
      <formula>0</formula>
    </cfRule>
    <cfRule type="cellIs" priority="639" operator="lessThanOrEqual" aboveAverage="0" equalAverage="0" bottom="0" percent="0" rank="0" text="" dxfId="0">
      <formula>0</formula>
    </cfRule>
  </conditionalFormatting>
  <conditionalFormatting sqref="F218">
    <cfRule type="cellIs" priority="640" operator="greaterThan" aboveAverage="0" equalAverage="0" bottom="0" percent="0" rank="0" text="" dxfId="10">
      <formula>30</formula>
    </cfRule>
  </conditionalFormatting>
  <conditionalFormatting sqref="G219">
    <cfRule type="cellIs" priority="641" operator="greaterThan" aboveAverage="0" equalAverage="0" bottom="0" percent="0" rank="0" text="" dxfId="1">
      <formula>0</formula>
    </cfRule>
    <cfRule type="cellIs" priority="642" operator="lessThanOrEqual" aboveAverage="0" equalAverage="0" bottom="0" percent="0" rank="0" text="" dxfId="0">
      <formula>0</formula>
    </cfRule>
  </conditionalFormatting>
  <conditionalFormatting sqref="F219">
    <cfRule type="cellIs" priority="643" operator="greaterThan" aboveAverage="0" equalAverage="0" bottom="0" percent="0" rank="0" text="" dxfId="10">
      <formula>30</formula>
    </cfRule>
  </conditionalFormatting>
  <conditionalFormatting sqref="G220">
    <cfRule type="cellIs" priority="644" operator="greaterThan" aboveAverage="0" equalAverage="0" bottom="0" percent="0" rank="0" text="" dxfId="1">
      <formula>0</formula>
    </cfRule>
    <cfRule type="cellIs" priority="645" operator="lessThanOrEqual" aboveAverage="0" equalAverage="0" bottom="0" percent="0" rank="0" text="" dxfId="0">
      <formula>0</formula>
    </cfRule>
  </conditionalFormatting>
  <conditionalFormatting sqref="F220">
    <cfRule type="cellIs" priority="646" operator="greaterThan" aboveAverage="0" equalAverage="0" bottom="0" percent="0" rank="0" text="" dxfId="10">
      <formula>30</formula>
    </cfRule>
  </conditionalFormatting>
  <conditionalFormatting sqref="G221">
    <cfRule type="cellIs" priority="647" operator="greaterThan" aboveAverage="0" equalAverage="0" bottom="0" percent="0" rank="0" text="" dxfId="1">
      <formula>0</formula>
    </cfRule>
    <cfRule type="cellIs" priority="648" operator="lessThanOrEqual" aboveAverage="0" equalAverage="0" bottom="0" percent="0" rank="0" text="" dxfId="0">
      <formula>0</formula>
    </cfRule>
  </conditionalFormatting>
  <conditionalFormatting sqref="F221">
    <cfRule type="cellIs" priority="649" operator="greaterThan" aboveAverage="0" equalAverage="0" bottom="0" percent="0" rank="0" text="" dxfId="10">
      <formula>30</formula>
    </cfRule>
  </conditionalFormatting>
  <conditionalFormatting sqref="G222">
    <cfRule type="cellIs" priority="650" operator="greaterThan" aboveAverage="0" equalAverage="0" bottom="0" percent="0" rank="0" text="" dxfId="1">
      <formula>0</formula>
    </cfRule>
    <cfRule type="cellIs" priority="651" operator="lessThanOrEqual" aboveAverage="0" equalAverage="0" bottom="0" percent="0" rank="0" text="" dxfId="0">
      <formula>0</formula>
    </cfRule>
  </conditionalFormatting>
  <conditionalFormatting sqref="F222">
    <cfRule type="cellIs" priority="652" operator="greaterThan" aboveAverage="0" equalAverage="0" bottom="0" percent="0" rank="0" text="" dxfId="10">
      <formula>30</formula>
    </cfRule>
  </conditionalFormatting>
  <conditionalFormatting sqref="G223">
    <cfRule type="cellIs" priority="653" operator="greaterThan" aboveAverage="0" equalAverage="0" bottom="0" percent="0" rank="0" text="" dxfId="1">
      <formula>0</formula>
    </cfRule>
    <cfRule type="cellIs" priority="654" operator="lessThanOrEqual" aboveAverage="0" equalAverage="0" bottom="0" percent="0" rank="0" text="" dxfId="0">
      <formula>0</formula>
    </cfRule>
  </conditionalFormatting>
  <conditionalFormatting sqref="F223">
    <cfRule type="cellIs" priority="655" operator="greaterThan" aboveAverage="0" equalAverage="0" bottom="0" percent="0" rank="0" text="" dxfId="10">
      <formula>30</formula>
    </cfRule>
  </conditionalFormatting>
  <conditionalFormatting sqref="G224">
    <cfRule type="cellIs" priority="656" operator="greaterThan" aboveAverage="0" equalAverage="0" bottom="0" percent="0" rank="0" text="" dxfId="1">
      <formula>0</formula>
    </cfRule>
    <cfRule type="cellIs" priority="657" operator="lessThanOrEqual" aboveAverage="0" equalAverage="0" bottom="0" percent="0" rank="0" text="" dxfId="0">
      <formula>0</formula>
    </cfRule>
  </conditionalFormatting>
  <conditionalFormatting sqref="F224">
    <cfRule type="cellIs" priority="658" operator="greaterThan" aboveAverage="0" equalAverage="0" bottom="0" percent="0" rank="0" text="" dxfId="10">
      <formula>30</formula>
    </cfRule>
  </conditionalFormatting>
  <conditionalFormatting sqref="G225">
    <cfRule type="cellIs" priority="659" operator="greaterThan" aboveAverage="0" equalAverage="0" bottom="0" percent="0" rank="0" text="" dxfId="1">
      <formula>0</formula>
    </cfRule>
    <cfRule type="cellIs" priority="660" operator="lessThanOrEqual" aboveAverage="0" equalAverage="0" bottom="0" percent="0" rank="0" text="" dxfId="0">
      <formula>0</formula>
    </cfRule>
  </conditionalFormatting>
  <conditionalFormatting sqref="F225">
    <cfRule type="cellIs" priority="661" operator="greaterThan" aboveAverage="0" equalAverage="0" bottom="0" percent="0" rank="0" text="" dxfId="10">
      <formula>30</formula>
    </cfRule>
  </conditionalFormatting>
  <conditionalFormatting sqref="G226">
    <cfRule type="cellIs" priority="662" operator="greaterThan" aboveAverage="0" equalAverage="0" bottom="0" percent="0" rank="0" text="" dxfId="1">
      <formula>0</formula>
    </cfRule>
    <cfRule type="cellIs" priority="663" operator="lessThanOrEqual" aboveAverage="0" equalAverage="0" bottom="0" percent="0" rank="0" text="" dxfId="0">
      <formula>0</formula>
    </cfRule>
  </conditionalFormatting>
  <conditionalFormatting sqref="F226">
    <cfRule type="cellIs" priority="664" operator="greaterThan" aboveAverage="0" equalAverage="0" bottom="0" percent="0" rank="0" text="" dxfId="10">
      <formula>30</formula>
    </cfRule>
  </conditionalFormatting>
  <conditionalFormatting sqref="G227">
    <cfRule type="cellIs" priority="665" operator="greaterThan" aboveAverage="0" equalAverage="0" bottom="0" percent="0" rank="0" text="" dxfId="1">
      <formula>0</formula>
    </cfRule>
    <cfRule type="cellIs" priority="666" operator="lessThanOrEqual" aboveAverage="0" equalAverage="0" bottom="0" percent="0" rank="0" text="" dxfId="0">
      <formula>0</formula>
    </cfRule>
  </conditionalFormatting>
  <conditionalFormatting sqref="F227">
    <cfRule type="cellIs" priority="667" operator="greaterThan" aboveAverage="0" equalAverage="0" bottom="0" percent="0" rank="0" text="" dxfId="10">
      <formula>30</formula>
    </cfRule>
  </conditionalFormatting>
  <conditionalFormatting sqref="G228">
    <cfRule type="cellIs" priority="668" operator="greaterThan" aboveAverage="0" equalAverage="0" bottom="0" percent="0" rank="0" text="" dxfId="1">
      <formula>0</formula>
    </cfRule>
    <cfRule type="cellIs" priority="669" operator="lessThanOrEqual" aboveAverage="0" equalAverage="0" bottom="0" percent="0" rank="0" text="" dxfId="0">
      <formula>0</formula>
    </cfRule>
  </conditionalFormatting>
  <conditionalFormatting sqref="F228">
    <cfRule type="cellIs" priority="670" operator="greaterThan" aboveAverage="0" equalAverage="0" bottom="0" percent="0" rank="0" text="" dxfId="10">
      <formula>30</formula>
    </cfRule>
  </conditionalFormatting>
  <conditionalFormatting sqref="G229">
    <cfRule type="cellIs" priority="671" operator="greaterThan" aboveAverage="0" equalAverage="0" bottom="0" percent="0" rank="0" text="" dxfId="1">
      <formula>0</formula>
    </cfRule>
    <cfRule type="cellIs" priority="672" operator="lessThanOrEqual" aboveAverage="0" equalAverage="0" bottom="0" percent="0" rank="0" text="" dxfId="0">
      <formula>0</formula>
    </cfRule>
  </conditionalFormatting>
  <conditionalFormatting sqref="F229">
    <cfRule type="cellIs" priority="673" operator="greaterThan" aboveAverage="0" equalAverage="0" bottom="0" percent="0" rank="0" text="" dxfId="10">
      <formula>30</formula>
    </cfRule>
  </conditionalFormatting>
  <conditionalFormatting sqref="G230">
    <cfRule type="cellIs" priority="674" operator="greaterThan" aboveAverage="0" equalAverage="0" bottom="0" percent="0" rank="0" text="" dxfId="1">
      <formula>0</formula>
    </cfRule>
    <cfRule type="cellIs" priority="675" operator="lessThanOrEqual" aboveAverage="0" equalAverage="0" bottom="0" percent="0" rank="0" text="" dxfId="0">
      <formula>0</formula>
    </cfRule>
  </conditionalFormatting>
  <conditionalFormatting sqref="F230">
    <cfRule type="cellIs" priority="676" operator="greaterThan" aboveAverage="0" equalAverage="0" bottom="0" percent="0" rank="0" text="" dxfId="10">
      <formula>30</formula>
    </cfRule>
  </conditionalFormatting>
  <conditionalFormatting sqref="G231">
    <cfRule type="cellIs" priority="677" operator="greaterThan" aboveAverage="0" equalAverage="0" bottom="0" percent="0" rank="0" text="" dxfId="1">
      <formula>0</formula>
    </cfRule>
    <cfRule type="cellIs" priority="678" operator="lessThanOrEqual" aboveAverage="0" equalAverage="0" bottom="0" percent="0" rank="0" text="" dxfId="0">
      <formula>0</formula>
    </cfRule>
  </conditionalFormatting>
  <conditionalFormatting sqref="F231">
    <cfRule type="cellIs" priority="679" operator="greaterThan" aboveAverage="0" equalAverage="0" bottom="0" percent="0" rank="0" text="" dxfId="10">
      <formula>30</formula>
    </cfRule>
  </conditionalFormatting>
  <conditionalFormatting sqref="G232">
    <cfRule type="cellIs" priority="680" operator="greaterThan" aboveAverage="0" equalAverage="0" bottom="0" percent="0" rank="0" text="" dxfId="1">
      <formula>0</formula>
    </cfRule>
    <cfRule type="cellIs" priority="681" operator="lessThanOrEqual" aboveAverage="0" equalAverage="0" bottom="0" percent="0" rank="0" text="" dxfId="0">
      <formula>0</formula>
    </cfRule>
  </conditionalFormatting>
  <conditionalFormatting sqref="F232">
    <cfRule type="cellIs" priority="682" operator="greaterThan" aboveAverage="0" equalAverage="0" bottom="0" percent="0" rank="0" text="" dxfId="10">
      <formula>30</formula>
    </cfRule>
  </conditionalFormatting>
  <conditionalFormatting sqref="G233">
    <cfRule type="cellIs" priority="683" operator="greaterThan" aboveAverage="0" equalAverage="0" bottom="0" percent="0" rank="0" text="" dxfId="1">
      <formula>0</formula>
    </cfRule>
    <cfRule type="cellIs" priority="684" operator="lessThanOrEqual" aboveAverage="0" equalAverage="0" bottom="0" percent="0" rank="0" text="" dxfId="0">
      <formula>0</formula>
    </cfRule>
  </conditionalFormatting>
  <conditionalFormatting sqref="F233">
    <cfRule type="cellIs" priority="685" operator="greaterThan" aboveAverage="0" equalAverage="0" bottom="0" percent="0" rank="0" text="" dxfId="10">
      <formula>30</formula>
    </cfRule>
  </conditionalFormatting>
  <conditionalFormatting sqref="G234">
    <cfRule type="cellIs" priority="686" operator="greaterThan" aboveAverage="0" equalAverage="0" bottom="0" percent="0" rank="0" text="" dxfId="1">
      <formula>0</formula>
    </cfRule>
    <cfRule type="cellIs" priority="687" operator="lessThanOrEqual" aboveAverage="0" equalAverage="0" bottom="0" percent="0" rank="0" text="" dxfId="0">
      <formula>0</formula>
    </cfRule>
  </conditionalFormatting>
  <conditionalFormatting sqref="F234">
    <cfRule type="cellIs" priority="688" operator="greaterThan" aboveAverage="0" equalAverage="0" bottom="0" percent="0" rank="0" text="" dxfId="10">
      <formula>30</formula>
    </cfRule>
  </conditionalFormatting>
  <conditionalFormatting sqref="G235">
    <cfRule type="cellIs" priority="689" operator="greaterThan" aboveAverage="0" equalAverage="0" bottom="0" percent="0" rank="0" text="" dxfId="1">
      <formula>0</formula>
    </cfRule>
    <cfRule type="cellIs" priority="690" operator="lessThanOrEqual" aboveAverage="0" equalAverage="0" bottom="0" percent="0" rank="0" text="" dxfId="0">
      <formula>0</formula>
    </cfRule>
  </conditionalFormatting>
  <conditionalFormatting sqref="F235">
    <cfRule type="cellIs" priority="691" operator="greaterThan" aboveAverage="0" equalAverage="0" bottom="0" percent="0" rank="0" text="" dxfId="10">
      <formula>30</formula>
    </cfRule>
  </conditionalFormatting>
  <conditionalFormatting sqref="G236">
    <cfRule type="cellIs" priority="692" operator="greaterThan" aboveAverage="0" equalAverage="0" bottom="0" percent="0" rank="0" text="" dxfId="1">
      <formula>0</formula>
    </cfRule>
    <cfRule type="cellIs" priority="693" operator="lessThanOrEqual" aboveAverage="0" equalAverage="0" bottom="0" percent="0" rank="0" text="" dxfId="0">
      <formula>0</formula>
    </cfRule>
  </conditionalFormatting>
  <conditionalFormatting sqref="F236">
    <cfRule type="cellIs" priority="694" operator="greaterThan" aboveAverage="0" equalAverage="0" bottom="0" percent="0" rank="0" text="" dxfId="10">
      <formula>30</formula>
    </cfRule>
  </conditionalFormatting>
  <conditionalFormatting sqref="G237">
    <cfRule type="cellIs" priority="695" operator="greaterThan" aboveAverage="0" equalAverage="0" bottom="0" percent="0" rank="0" text="" dxfId="1">
      <formula>0</formula>
    </cfRule>
    <cfRule type="cellIs" priority="696" operator="lessThanOrEqual" aboveAverage="0" equalAverage="0" bottom="0" percent="0" rank="0" text="" dxfId="0">
      <formula>0</formula>
    </cfRule>
  </conditionalFormatting>
  <conditionalFormatting sqref="F237">
    <cfRule type="cellIs" priority="697" operator="greaterThan" aboveAverage="0" equalAverage="0" bottom="0" percent="0" rank="0" text="" dxfId="10">
      <formula>30</formula>
    </cfRule>
  </conditionalFormatting>
  <conditionalFormatting sqref="G238">
    <cfRule type="cellIs" priority="698" operator="greaterThan" aboveAverage="0" equalAverage="0" bottom="0" percent="0" rank="0" text="" dxfId="1">
      <formula>0</formula>
    </cfRule>
    <cfRule type="cellIs" priority="699" operator="lessThanOrEqual" aboveAverage="0" equalAverage="0" bottom="0" percent="0" rank="0" text="" dxfId="0">
      <formula>0</formula>
    </cfRule>
  </conditionalFormatting>
  <conditionalFormatting sqref="F238">
    <cfRule type="cellIs" priority="700" operator="greaterThan" aboveAverage="0" equalAverage="0" bottom="0" percent="0" rank="0" text="" dxfId="10">
      <formula>30</formula>
    </cfRule>
  </conditionalFormatting>
  <conditionalFormatting sqref="G239">
    <cfRule type="cellIs" priority="701" operator="greaterThan" aboveAverage="0" equalAverage="0" bottom="0" percent="0" rank="0" text="" dxfId="1">
      <formula>0</formula>
    </cfRule>
    <cfRule type="cellIs" priority="702" operator="lessThanOrEqual" aboveAverage="0" equalAverage="0" bottom="0" percent="0" rank="0" text="" dxfId="0">
      <formula>0</formula>
    </cfRule>
  </conditionalFormatting>
  <conditionalFormatting sqref="F239">
    <cfRule type="cellIs" priority="703" operator="greaterThan" aboveAverage="0" equalAverage="0" bottom="0" percent="0" rank="0" text="" dxfId="10">
      <formula>30</formula>
    </cfRule>
  </conditionalFormatting>
  <conditionalFormatting sqref="G240">
    <cfRule type="cellIs" priority="704" operator="greaterThan" aboveAverage="0" equalAverage="0" bottom="0" percent="0" rank="0" text="" dxfId="1">
      <formula>0</formula>
    </cfRule>
    <cfRule type="cellIs" priority="705" operator="lessThanOrEqual" aboveAverage="0" equalAverage="0" bottom="0" percent="0" rank="0" text="" dxfId="0">
      <formula>0</formula>
    </cfRule>
  </conditionalFormatting>
  <conditionalFormatting sqref="F240">
    <cfRule type="cellIs" priority="706" operator="greaterThan" aboveAverage="0" equalAverage="0" bottom="0" percent="0" rank="0" text="" dxfId="10">
      <formula>30</formula>
    </cfRule>
  </conditionalFormatting>
  <conditionalFormatting sqref="G241">
    <cfRule type="cellIs" priority="707" operator="greaterThan" aboveAverage="0" equalAverage="0" bottom="0" percent="0" rank="0" text="" dxfId="1">
      <formula>0</formula>
    </cfRule>
    <cfRule type="cellIs" priority="708" operator="lessThanOrEqual" aboveAverage="0" equalAverage="0" bottom="0" percent="0" rank="0" text="" dxfId="0">
      <formula>0</formula>
    </cfRule>
  </conditionalFormatting>
  <conditionalFormatting sqref="F241">
    <cfRule type="cellIs" priority="709" operator="greaterThan" aboveAverage="0" equalAverage="0" bottom="0" percent="0" rank="0" text="" dxfId="10">
      <formula>30</formula>
    </cfRule>
  </conditionalFormatting>
  <conditionalFormatting sqref="G242">
    <cfRule type="cellIs" priority="710" operator="greaterThan" aboveAverage="0" equalAverage="0" bottom="0" percent="0" rank="0" text="" dxfId="1">
      <formula>0</formula>
    </cfRule>
    <cfRule type="cellIs" priority="711" operator="lessThanOrEqual" aboveAverage="0" equalAverage="0" bottom="0" percent="0" rank="0" text="" dxfId="0">
      <formula>0</formula>
    </cfRule>
  </conditionalFormatting>
  <conditionalFormatting sqref="F242">
    <cfRule type="cellIs" priority="712" operator="greaterThan" aboveAverage="0" equalAverage="0" bottom="0" percent="0" rank="0" text="" dxfId="10">
      <formula>30</formula>
    </cfRule>
  </conditionalFormatting>
  <conditionalFormatting sqref="G243">
    <cfRule type="cellIs" priority="713" operator="greaterThan" aboveAverage="0" equalAverage="0" bottom="0" percent="0" rank="0" text="" dxfId="1">
      <formula>0</formula>
    </cfRule>
    <cfRule type="cellIs" priority="714" operator="lessThanOrEqual" aboveAverage="0" equalAverage="0" bottom="0" percent="0" rank="0" text="" dxfId="0">
      <formula>0</formula>
    </cfRule>
  </conditionalFormatting>
  <conditionalFormatting sqref="F243">
    <cfRule type="cellIs" priority="715" operator="greaterThan" aboveAverage="0" equalAverage="0" bottom="0" percent="0" rank="0" text="" dxfId="10">
      <formula>30</formula>
    </cfRule>
  </conditionalFormatting>
  <conditionalFormatting sqref="G244">
    <cfRule type="cellIs" priority="716" operator="greaterThan" aboveAverage="0" equalAverage="0" bottom="0" percent="0" rank="0" text="" dxfId="1">
      <formula>0</formula>
    </cfRule>
    <cfRule type="cellIs" priority="717" operator="lessThanOrEqual" aboveAverage="0" equalAverage="0" bottom="0" percent="0" rank="0" text="" dxfId="0">
      <formula>0</formula>
    </cfRule>
  </conditionalFormatting>
  <conditionalFormatting sqref="F244">
    <cfRule type="cellIs" priority="718" operator="greaterThan" aboveAverage="0" equalAverage="0" bottom="0" percent="0" rank="0" text="" dxfId="10">
      <formula>30</formula>
    </cfRule>
  </conditionalFormatting>
  <conditionalFormatting sqref="G245">
    <cfRule type="cellIs" priority="719" operator="greaterThan" aboveAverage="0" equalAverage="0" bottom="0" percent="0" rank="0" text="" dxfId="1">
      <formula>0</formula>
    </cfRule>
    <cfRule type="cellIs" priority="720" operator="lessThanOrEqual" aboveAverage="0" equalAverage="0" bottom="0" percent="0" rank="0" text="" dxfId="0">
      <formula>0</formula>
    </cfRule>
  </conditionalFormatting>
  <conditionalFormatting sqref="F245">
    <cfRule type="cellIs" priority="721" operator="greaterThan" aboveAverage="0" equalAverage="0" bottom="0" percent="0" rank="0" text="" dxfId="10">
      <formula>30</formula>
    </cfRule>
  </conditionalFormatting>
  <conditionalFormatting sqref="G246">
    <cfRule type="cellIs" priority="722" operator="greaterThan" aboveAverage="0" equalAverage="0" bottom="0" percent="0" rank="0" text="" dxfId="1">
      <formula>0</formula>
    </cfRule>
    <cfRule type="cellIs" priority="723" operator="lessThanOrEqual" aboveAverage="0" equalAverage="0" bottom="0" percent="0" rank="0" text="" dxfId="0">
      <formula>0</formula>
    </cfRule>
  </conditionalFormatting>
  <conditionalFormatting sqref="F246">
    <cfRule type="cellIs" priority="724" operator="greaterThan" aboveAverage="0" equalAverage="0" bottom="0" percent="0" rank="0" text="" dxfId="10">
      <formula>30</formula>
    </cfRule>
  </conditionalFormatting>
  <conditionalFormatting sqref="G247">
    <cfRule type="cellIs" priority="725" operator="greaterThan" aboveAverage="0" equalAverage="0" bottom="0" percent="0" rank="0" text="" dxfId="1">
      <formula>0</formula>
    </cfRule>
    <cfRule type="cellIs" priority="726" operator="lessThanOrEqual" aboveAverage="0" equalAverage="0" bottom="0" percent="0" rank="0" text="" dxfId="0">
      <formula>0</formula>
    </cfRule>
  </conditionalFormatting>
  <conditionalFormatting sqref="F247">
    <cfRule type="cellIs" priority="727" operator="greaterThan" aboveAverage="0" equalAverage="0" bottom="0" percent="0" rank="0" text="" dxfId="10">
      <formula>30</formula>
    </cfRule>
  </conditionalFormatting>
  <conditionalFormatting sqref="G248">
    <cfRule type="cellIs" priority="728" operator="greaterThan" aboveAverage="0" equalAverage="0" bottom="0" percent="0" rank="0" text="" dxfId="1">
      <formula>0</formula>
    </cfRule>
    <cfRule type="cellIs" priority="729" operator="lessThanOrEqual" aboveAverage="0" equalAverage="0" bottom="0" percent="0" rank="0" text="" dxfId="0">
      <formula>0</formula>
    </cfRule>
  </conditionalFormatting>
  <conditionalFormatting sqref="F248">
    <cfRule type="cellIs" priority="730" operator="greaterThan" aboveAverage="0" equalAverage="0" bottom="0" percent="0" rank="0" text="" dxfId="10">
      <formula>30</formula>
    </cfRule>
  </conditionalFormatting>
  <conditionalFormatting sqref="G249">
    <cfRule type="cellIs" priority="731" operator="greaterThan" aboveAverage="0" equalAverage="0" bottom="0" percent="0" rank="0" text="" dxfId="1">
      <formula>0</formula>
    </cfRule>
    <cfRule type="cellIs" priority="732" operator="lessThanOrEqual" aboveAverage="0" equalAverage="0" bottom="0" percent="0" rank="0" text="" dxfId="0">
      <formula>0</formula>
    </cfRule>
  </conditionalFormatting>
  <conditionalFormatting sqref="F249">
    <cfRule type="cellIs" priority="733" operator="greaterThan" aboveAverage="0" equalAverage="0" bottom="0" percent="0" rank="0" text="" dxfId="10">
      <formula>30</formula>
    </cfRule>
  </conditionalFormatting>
  <conditionalFormatting sqref="G250">
    <cfRule type="cellIs" priority="734" operator="greaterThan" aboveAverage="0" equalAverage="0" bottom="0" percent="0" rank="0" text="" dxfId="1">
      <formula>0</formula>
    </cfRule>
    <cfRule type="cellIs" priority="735" operator="lessThanOrEqual" aboveAverage="0" equalAverage="0" bottom="0" percent="0" rank="0" text="" dxfId="0">
      <formula>0</formula>
    </cfRule>
  </conditionalFormatting>
  <conditionalFormatting sqref="F250">
    <cfRule type="cellIs" priority="736" operator="greaterThan" aboveAverage="0" equalAverage="0" bottom="0" percent="0" rank="0" text="" dxfId="10">
      <formula>30</formula>
    </cfRule>
  </conditionalFormatting>
  <conditionalFormatting sqref="G251">
    <cfRule type="cellIs" priority="737" operator="greaterThan" aboveAverage="0" equalAverage="0" bottom="0" percent="0" rank="0" text="" dxfId="1">
      <formula>0</formula>
    </cfRule>
    <cfRule type="cellIs" priority="738" operator="lessThanOrEqual" aboveAverage="0" equalAverage="0" bottom="0" percent="0" rank="0" text="" dxfId="0">
      <formula>0</formula>
    </cfRule>
  </conditionalFormatting>
  <conditionalFormatting sqref="F251">
    <cfRule type="cellIs" priority="739" operator="greaterThan" aboveAverage="0" equalAverage="0" bottom="0" percent="0" rank="0" text="" dxfId="10">
      <formula>30</formula>
    </cfRule>
  </conditionalFormatting>
  <conditionalFormatting sqref="G252">
    <cfRule type="cellIs" priority="740" operator="greaterThan" aboveAverage="0" equalAverage="0" bottom="0" percent="0" rank="0" text="" dxfId="1">
      <formula>0</formula>
    </cfRule>
    <cfRule type="cellIs" priority="741" operator="lessThanOrEqual" aboveAverage="0" equalAverage="0" bottom="0" percent="0" rank="0" text="" dxfId="0">
      <formula>0</formula>
    </cfRule>
  </conditionalFormatting>
  <conditionalFormatting sqref="F252">
    <cfRule type="cellIs" priority="742" operator="greaterThan" aboveAverage="0" equalAverage="0" bottom="0" percent="0" rank="0" text="" dxfId="10">
      <formula>30</formula>
    </cfRule>
  </conditionalFormatting>
  <conditionalFormatting sqref="G253">
    <cfRule type="cellIs" priority="743" operator="greaterThan" aboveAverage="0" equalAverage="0" bottom="0" percent="0" rank="0" text="" dxfId="1">
      <formula>0</formula>
    </cfRule>
    <cfRule type="cellIs" priority="744" operator="lessThanOrEqual" aboveAverage="0" equalAverage="0" bottom="0" percent="0" rank="0" text="" dxfId="0">
      <formula>0</formula>
    </cfRule>
  </conditionalFormatting>
  <conditionalFormatting sqref="F253">
    <cfRule type="cellIs" priority="745" operator="greaterThan" aboveAverage="0" equalAverage="0" bottom="0" percent="0" rank="0" text="" dxfId="10">
      <formula>30</formula>
    </cfRule>
  </conditionalFormatting>
  <conditionalFormatting sqref="G254">
    <cfRule type="cellIs" priority="746" operator="greaterThan" aboveAverage="0" equalAverage="0" bottom="0" percent="0" rank="0" text="" dxfId="1">
      <formula>0</formula>
    </cfRule>
    <cfRule type="cellIs" priority="747" operator="lessThanOrEqual" aboveAverage="0" equalAverage="0" bottom="0" percent="0" rank="0" text="" dxfId="0">
      <formula>0</formula>
    </cfRule>
  </conditionalFormatting>
  <conditionalFormatting sqref="F254">
    <cfRule type="cellIs" priority="748" operator="greaterThan" aboveAverage="0" equalAverage="0" bottom="0" percent="0" rank="0" text="" dxfId="10">
      <formula>30</formula>
    </cfRule>
  </conditionalFormatting>
  <conditionalFormatting sqref="G255">
    <cfRule type="cellIs" priority="749" operator="greaterThan" aboveAverage="0" equalAverage="0" bottom="0" percent="0" rank="0" text="" dxfId="1">
      <formula>0</formula>
    </cfRule>
    <cfRule type="cellIs" priority="750" operator="lessThanOrEqual" aboveAverage="0" equalAverage="0" bottom="0" percent="0" rank="0" text="" dxfId="0">
      <formula>0</formula>
    </cfRule>
  </conditionalFormatting>
  <conditionalFormatting sqref="F255">
    <cfRule type="cellIs" priority="751" operator="greaterThan" aboveAverage="0" equalAverage="0" bottom="0" percent="0" rank="0" text="" dxfId="10">
      <formula>30</formula>
    </cfRule>
  </conditionalFormatting>
  <conditionalFormatting sqref="G256">
    <cfRule type="cellIs" priority="752" operator="greaterThan" aboveAverage="0" equalAverage="0" bottom="0" percent="0" rank="0" text="" dxfId="1">
      <formula>0</formula>
    </cfRule>
    <cfRule type="cellIs" priority="753" operator="lessThanOrEqual" aboveAverage="0" equalAverage="0" bottom="0" percent="0" rank="0" text="" dxfId="0">
      <formula>0</formula>
    </cfRule>
  </conditionalFormatting>
  <conditionalFormatting sqref="F256">
    <cfRule type="cellIs" priority="754" operator="greaterThan" aboveAverage="0" equalAverage="0" bottom="0" percent="0" rank="0" text="" dxfId="10">
      <formula>30</formula>
    </cfRule>
  </conditionalFormatting>
  <conditionalFormatting sqref="G257">
    <cfRule type="cellIs" priority="755" operator="greaterThan" aboveAverage="0" equalAverage="0" bottom="0" percent="0" rank="0" text="" dxfId="1">
      <formula>0</formula>
    </cfRule>
    <cfRule type="cellIs" priority="756" operator="lessThanOrEqual" aboveAverage="0" equalAverage="0" bottom="0" percent="0" rank="0" text="" dxfId="0">
      <formula>0</formula>
    </cfRule>
  </conditionalFormatting>
  <conditionalFormatting sqref="F257">
    <cfRule type="cellIs" priority="757" operator="greaterThan" aboveAverage="0" equalAverage="0" bottom="0" percent="0" rank="0" text="" dxfId="10">
      <formula>30</formula>
    </cfRule>
  </conditionalFormatting>
  <conditionalFormatting sqref="G258">
    <cfRule type="cellIs" priority="758" operator="greaterThan" aboveAverage="0" equalAverage="0" bottom="0" percent="0" rank="0" text="" dxfId="1">
      <formula>0</formula>
    </cfRule>
    <cfRule type="cellIs" priority="759" operator="lessThanOrEqual" aboveAverage="0" equalAverage="0" bottom="0" percent="0" rank="0" text="" dxfId="0">
      <formula>0</formula>
    </cfRule>
  </conditionalFormatting>
  <conditionalFormatting sqref="F258">
    <cfRule type="cellIs" priority="760" operator="greaterThan" aboveAverage="0" equalAverage="0" bottom="0" percent="0" rank="0" text="" dxfId="10">
      <formula>30</formula>
    </cfRule>
  </conditionalFormatting>
  <conditionalFormatting sqref="G259">
    <cfRule type="cellIs" priority="761" operator="greaterThan" aboveAverage="0" equalAverage="0" bottom="0" percent="0" rank="0" text="" dxfId="1">
      <formula>0</formula>
    </cfRule>
    <cfRule type="cellIs" priority="762" operator="lessThanOrEqual" aboveAverage="0" equalAverage="0" bottom="0" percent="0" rank="0" text="" dxfId="0">
      <formula>0</formula>
    </cfRule>
  </conditionalFormatting>
  <conditionalFormatting sqref="F259">
    <cfRule type="cellIs" priority="763" operator="greaterThan" aboveAverage="0" equalAverage="0" bottom="0" percent="0" rank="0" text="" dxfId="10">
      <formula>30</formula>
    </cfRule>
  </conditionalFormatting>
  <conditionalFormatting sqref="G260">
    <cfRule type="cellIs" priority="764" operator="greaterThan" aboveAverage="0" equalAverage="0" bottom="0" percent="0" rank="0" text="" dxfId="1">
      <formula>0</formula>
    </cfRule>
    <cfRule type="cellIs" priority="765" operator="lessThanOrEqual" aboveAverage="0" equalAverage="0" bottom="0" percent="0" rank="0" text="" dxfId="0">
      <formula>0</formula>
    </cfRule>
  </conditionalFormatting>
  <conditionalFormatting sqref="F260">
    <cfRule type="cellIs" priority="766" operator="greaterThan" aboveAverage="0" equalAverage="0" bottom="0" percent="0" rank="0" text="" dxfId="10">
      <formula>30</formula>
    </cfRule>
  </conditionalFormatting>
  <conditionalFormatting sqref="G261">
    <cfRule type="cellIs" priority="767" operator="greaterThan" aboveAverage="0" equalAverage="0" bottom="0" percent="0" rank="0" text="" dxfId="1">
      <formula>0</formula>
    </cfRule>
    <cfRule type="cellIs" priority="768" operator="lessThanOrEqual" aboveAverage="0" equalAverage="0" bottom="0" percent="0" rank="0" text="" dxfId="0">
      <formula>0</formula>
    </cfRule>
  </conditionalFormatting>
  <conditionalFormatting sqref="F261">
    <cfRule type="cellIs" priority="769" operator="greaterThan" aboveAverage="0" equalAverage="0" bottom="0" percent="0" rank="0" text="" dxfId="10">
      <formula>30</formula>
    </cfRule>
  </conditionalFormatting>
  <conditionalFormatting sqref="G262">
    <cfRule type="cellIs" priority="770" operator="greaterThan" aboveAverage="0" equalAverage="0" bottom="0" percent="0" rank="0" text="" dxfId="1">
      <formula>0</formula>
    </cfRule>
    <cfRule type="cellIs" priority="771" operator="lessThanOrEqual" aboveAverage="0" equalAverage="0" bottom="0" percent="0" rank="0" text="" dxfId="0">
      <formula>0</formula>
    </cfRule>
  </conditionalFormatting>
  <conditionalFormatting sqref="F262">
    <cfRule type="cellIs" priority="772" operator="greaterThan" aboveAverage="0" equalAverage="0" bottom="0" percent="0" rank="0" text="" dxfId="10">
      <formula>30</formula>
    </cfRule>
  </conditionalFormatting>
  <conditionalFormatting sqref="G263">
    <cfRule type="cellIs" priority="773" operator="greaterThan" aboveAverage="0" equalAverage="0" bottom="0" percent="0" rank="0" text="" dxfId="1">
      <formula>0</formula>
    </cfRule>
    <cfRule type="cellIs" priority="774" operator="lessThanOrEqual" aboveAverage="0" equalAverage="0" bottom="0" percent="0" rank="0" text="" dxfId="0">
      <formula>0</formula>
    </cfRule>
  </conditionalFormatting>
  <conditionalFormatting sqref="F263">
    <cfRule type="cellIs" priority="775" operator="greaterThan" aboveAverage="0" equalAverage="0" bottom="0" percent="0" rank="0" text="" dxfId="10">
      <formula>30</formula>
    </cfRule>
  </conditionalFormatting>
  <conditionalFormatting sqref="G264">
    <cfRule type="cellIs" priority="776" operator="greaterThan" aboveAverage="0" equalAverage="0" bottom="0" percent="0" rank="0" text="" dxfId="1">
      <formula>0</formula>
    </cfRule>
    <cfRule type="cellIs" priority="777" operator="lessThanOrEqual" aboveAverage="0" equalAverage="0" bottom="0" percent="0" rank="0" text="" dxfId="0">
      <formula>0</formula>
    </cfRule>
  </conditionalFormatting>
  <conditionalFormatting sqref="F264">
    <cfRule type="cellIs" priority="778" operator="greaterThan" aboveAverage="0" equalAverage="0" bottom="0" percent="0" rank="0" text="" dxfId="10">
      <formula>30</formula>
    </cfRule>
  </conditionalFormatting>
  <conditionalFormatting sqref="G265">
    <cfRule type="cellIs" priority="779" operator="greaterThan" aboveAverage="0" equalAverage="0" bottom="0" percent="0" rank="0" text="" dxfId="1">
      <formula>0</formula>
    </cfRule>
    <cfRule type="cellIs" priority="780" operator="lessThanOrEqual" aboveAverage="0" equalAverage="0" bottom="0" percent="0" rank="0" text="" dxfId="0">
      <formula>0</formula>
    </cfRule>
  </conditionalFormatting>
  <conditionalFormatting sqref="F265">
    <cfRule type="cellIs" priority="781" operator="greaterThan" aboveAverage="0" equalAverage="0" bottom="0" percent="0" rank="0" text="" dxfId="10">
      <formula>30</formula>
    </cfRule>
  </conditionalFormatting>
  <conditionalFormatting sqref="G266">
    <cfRule type="cellIs" priority="782" operator="greaterThan" aboveAverage="0" equalAverage="0" bottom="0" percent="0" rank="0" text="" dxfId="1">
      <formula>0</formula>
    </cfRule>
    <cfRule type="cellIs" priority="783" operator="lessThanOrEqual" aboveAverage="0" equalAverage="0" bottom="0" percent="0" rank="0" text="" dxfId="0">
      <formula>0</formula>
    </cfRule>
  </conditionalFormatting>
  <conditionalFormatting sqref="F266">
    <cfRule type="cellIs" priority="784" operator="greaterThan" aboveAverage="0" equalAverage="0" bottom="0" percent="0" rank="0" text="" dxfId="10">
      <formula>30</formula>
    </cfRule>
  </conditionalFormatting>
  <conditionalFormatting sqref="G267">
    <cfRule type="cellIs" priority="785" operator="greaterThan" aboveAverage="0" equalAverage="0" bottom="0" percent="0" rank="0" text="" dxfId="1">
      <formula>0</formula>
    </cfRule>
    <cfRule type="cellIs" priority="786" operator="lessThanOrEqual" aboveAverage="0" equalAverage="0" bottom="0" percent="0" rank="0" text="" dxfId="0">
      <formula>0</formula>
    </cfRule>
  </conditionalFormatting>
  <conditionalFormatting sqref="F267">
    <cfRule type="cellIs" priority="787" operator="greaterThan" aboveAverage="0" equalAverage="0" bottom="0" percent="0" rank="0" text="" dxfId="10">
      <formula>30</formula>
    </cfRule>
  </conditionalFormatting>
  <conditionalFormatting sqref="G268">
    <cfRule type="cellIs" priority="788" operator="greaterThan" aboveAverage="0" equalAverage="0" bottom="0" percent="0" rank="0" text="" dxfId="1">
      <formula>0</formula>
    </cfRule>
    <cfRule type="cellIs" priority="789" operator="lessThanOrEqual" aboveAverage="0" equalAverage="0" bottom="0" percent="0" rank="0" text="" dxfId="0">
      <formula>0</formula>
    </cfRule>
  </conditionalFormatting>
  <conditionalFormatting sqref="F268">
    <cfRule type="cellIs" priority="790" operator="greaterThan" aboveAverage="0" equalAverage="0" bottom="0" percent="0" rank="0" text="" dxfId="10">
      <formula>30</formula>
    </cfRule>
  </conditionalFormatting>
  <conditionalFormatting sqref="G269">
    <cfRule type="cellIs" priority="791" operator="greaterThan" aboveAverage="0" equalAverage="0" bottom="0" percent="0" rank="0" text="" dxfId="1">
      <formula>0</formula>
    </cfRule>
    <cfRule type="cellIs" priority="792" operator="lessThanOrEqual" aboveAverage="0" equalAverage="0" bottom="0" percent="0" rank="0" text="" dxfId="0">
      <formula>0</formula>
    </cfRule>
  </conditionalFormatting>
  <conditionalFormatting sqref="F269">
    <cfRule type="cellIs" priority="793" operator="greaterThan" aboveAverage="0" equalAverage="0" bottom="0" percent="0" rank="0" text="" dxfId="10">
      <formula>30</formula>
    </cfRule>
  </conditionalFormatting>
  <conditionalFormatting sqref="G270">
    <cfRule type="cellIs" priority="794" operator="greaterThan" aboveAverage="0" equalAverage="0" bottom="0" percent="0" rank="0" text="" dxfId="1">
      <formula>0</formula>
    </cfRule>
    <cfRule type="cellIs" priority="795" operator="lessThanOrEqual" aboveAverage="0" equalAverage="0" bottom="0" percent="0" rank="0" text="" dxfId="0">
      <formula>0</formula>
    </cfRule>
  </conditionalFormatting>
  <conditionalFormatting sqref="F270">
    <cfRule type="cellIs" priority="796" operator="greaterThan" aboveAverage="0" equalAverage="0" bottom="0" percent="0" rank="0" text="" dxfId="10">
      <formula>30</formula>
    </cfRule>
  </conditionalFormatting>
  <conditionalFormatting sqref="G271">
    <cfRule type="cellIs" priority="797" operator="greaterThan" aboveAverage="0" equalAverage="0" bottom="0" percent="0" rank="0" text="" dxfId="1">
      <formula>0</formula>
    </cfRule>
    <cfRule type="cellIs" priority="798" operator="lessThanOrEqual" aboveAverage="0" equalAverage="0" bottom="0" percent="0" rank="0" text="" dxfId="0">
      <formula>0</formula>
    </cfRule>
  </conditionalFormatting>
  <conditionalFormatting sqref="F271">
    <cfRule type="cellIs" priority="799" operator="greaterThan" aboveAverage="0" equalAverage="0" bottom="0" percent="0" rank="0" text="" dxfId="10">
      <formula>30</formula>
    </cfRule>
  </conditionalFormatting>
  <conditionalFormatting sqref="G272">
    <cfRule type="cellIs" priority="800" operator="greaterThan" aboveAverage="0" equalAverage="0" bottom="0" percent="0" rank="0" text="" dxfId="1">
      <formula>0</formula>
    </cfRule>
    <cfRule type="cellIs" priority="801" operator="lessThanOrEqual" aboveAverage="0" equalAverage="0" bottom="0" percent="0" rank="0" text="" dxfId="0">
      <formula>0</formula>
    </cfRule>
  </conditionalFormatting>
  <conditionalFormatting sqref="F272">
    <cfRule type="cellIs" priority="802" operator="greaterThan" aboveAverage="0" equalAverage="0" bottom="0" percent="0" rank="0" text="" dxfId="10">
      <formula>30</formula>
    </cfRule>
  </conditionalFormatting>
  <conditionalFormatting sqref="G273">
    <cfRule type="cellIs" priority="803" operator="greaterThan" aboveAverage="0" equalAverage="0" bottom="0" percent="0" rank="0" text="" dxfId="1">
      <formula>0</formula>
    </cfRule>
    <cfRule type="cellIs" priority="804" operator="lessThanOrEqual" aboveAverage="0" equalAverage="0" bottom="0" percent="0" rank="0" text="" dxfId="0">
      <formula>0</formula>
    </cfRule>
  </conditionalFormatting>
  <conditionalFormatting sqref="F273">
    <cfRule type="cellIs" priority="805" operator="greaterThan" aboveAverage="0" equalAverage="0" bottom="0" percent="0" rank="0" text="" dxfId="10">
      <formula>30</formula>
    </cfRule>
  </conditionalFormatting>
  <conditionalFormatting sqref="G274">
    <cfRule type="cellIs" priority="806" operator="greaterThan" aboveAverage="0" equalAverage="0" bottom="0" percent="0" rank="0" text="" dxfId="1">
      <formula>0</formula>
    </cfRule>
    <cfRule type="cellIs" priority="807" operator="lessThanOrEqual" aboveAverage="0" equalAverage="0" bottom="0" percent="0" rank="0" text="" dxfId="0">
      <formula>0</formula>
    </cfRule>
  </conditionalFormatting>
  <conditionalFormatting sqref="F274">
    <cfRule type="cellIs" priority="808" operator="greaterThan" aboveAverage="0" equalAverage="0" bottom="0" percent="0" rank="0" text="" dxfId="10">
      <formula>30</formula>
    </cfRule>
  </conditionalFormatting>
  <conditionalFormatting sqref="G275">
    <cfRule type="cellIs" priority="809" operator="greaterThan" aboveAverage="0" equalAverage="0" bottom="0" percent="0" rank="0" text="" dxfId="1">
      <formula>0</formula>
    </cfRule>
    <cfRule type="cellIs" priority="810" operator="lessThanOrEqual" aboveAverage="0" equalAverage="0" bottom="0" percent="0" rank="0" text="" dxfId="0">
      <formula>0</formula>
    </cfRule>
  </conditionalFormatting>
  <conditionalFormatting sqref="F275">
    <cfRule type="cellIs" priority="811" operator="greaterThan" aboveAverage="0" equalAverage="0" bottom="0" percent="0" rank="0" text="" dxfId="10">
      <formula>30</formula>
    </cfRule>
  </conditionalFormatting>
  <conditionalFormatting sqref="G276">
    <cfRule type="cellIs" priority="812" operator="greaterThan" aboveAverage="0" equalAverage="0" bottom="0" percent="0" rank="0" text="" dxfId="1">
      <formula>0</formula>
    </cfRule>
    <cfRule type="cellIs" priority="813" operator="lessThanOrEqual" aboveAverage="0" equalAverage="0" bottom="0" percent="0" rank="0" text="" dxfId="0">
      <formula>0</formula>
    </cfRule>
  </conditionalFormatting>
  <conditionalFormatting sqref="F276">
    <cfRule type="cellIs" priority="814" operator="greaterThan" aboveAverage="0" equalAverage="0" bottom="0" percent="0" rank="0" text="" dxfId="10">
      <formula>30</formula>
    </cfRule>
  </conditionalFormatting>
  <conditionalFormatting sqref="G277">
    <cfRule type="cellIs" priority="815" operator="greaterThan" aboveAverage="0" equalAverage="0" bottom="0" percent="0" rank="0" text="" dxfId="1">
      <formula>0</formula>
    </cfRule>
    <cfRule type="cellIs" priority="816" operator="lessThanOrEqual" aboveAverage="0" equalAverage="0" bottom="0" percent="0" rank="0" text="" dxfId="0">
      <formula>0</formula>
    </cfRule>
  </conditionalFormatting>
  <conditionalFormatting sqref="F277">
    <cfRule type="cellIs" priority="817" operator="greaterThan" aboveAverage="0" equalAverage="0" bottom="0" percent="0" rank="0" text="" dxfId="10">
      <formula>30</formula>
    </cfRule>
  </conditionalFormatting>
  <conditionalFormatting sqref="G278">
    <cfRule type="cellIs" priority="818" operator="greaterThan" aboveAverage="0" equalAverage="0" bottom="0" percent="0" rank="0" text="" dxfId="1">
      <formula>0</formula>
    </cfRule>
    <cfRule type="cellIs" priority="819" operator="lessThanOrEqual" aboveAverage="0" equalAverage="0" bottom="0" percent="0" rank="0" text="" dxfId="0">
      <formula>0</formula>
    </cfRule>
  </conditionalFormatting>
  <conditionalFormatting sqref="F278">
    <cfRule type="cellIs" priority="820" operator="greaterThan" aboveAverage="0" equalAverage="0" bottom="0" percent="0" rank="0" text="" dxfId="10">
      <formula>30</formula>
    </cfRule>
  </conditionalFormatting>
  <conditionalFormatting sqref="G279">
    <cfRule type="cellIs" priority="821" operator="greaterThan" aboveAverage="0" equalAverage="0" bottom="0" percent="0" rank="0" text="" dxfId="1">
      <formula>0</formula>
    </cfRule>
    <cfRule type="cellIs" priority="822" operator="lessThanOrEqual" aboveAverage="0" equalAverage="0" bottom="0" percent="0" rank="0" text="" dxfId="0">
      <formula>0</formula>
    </cfRule>
  </conditionalFormatting>
  <conditionalFormatting sqref="F279">
    <cfRule type="cellIs" priority="823" operator="greaterThan" aboveAverage="0" equalAverage="0" bottom="0" percent="0" rank="0" text="" dxfId="10">
      <formula>30</formula>
    </cfRule>
  </conditionalFormatting>
  <conditionalFormatting sqref="G280">
    <cfRule type="cellIs" priority="824" operator="greaterThan" aboveAverage="0" equalAverage="0" bottom="0" percent="0" rank="0" text="" dxfId="1">
      <formula>0</formula>
    </cfRule>
    <cfRule type="cellIs" priority="825" operator="lessThanOrEqual" aboveAverage="0" equalAverage="0" bottom="0" percent="0" rank="0" text="" dxfId="0">
      <formula>0</formula>
    </cfRule>
  </conditionalFormatting>
  <conditionalFormatting sqref="F280">
    <cfRule type="cellIs" priority="826" operator="greaterThan" aboveAverage="0" equalAverage="0" bottom="0" percent="0" rank="0" text="" dxfId="10">
      <formula>30</formula>
    </cfRule>
  </conditionalFormatting>
  <conditionalFormatting sqref="G281">
    <cfRule type="cellIs" priority="827" operator="greaterThan" aboveAverage="0" equalAverage="0" bottom="0" percent="0" rank="0" text="" dxfId="1">
      <formula>0</formula>
    </cfRule>
    <cfRule type="cellIs" priority="828" operator="lessThanOrEqual" aboveAverage="0" equalAverage="0" bottom="0" percent="0" rank="0" text="" dxfId="0">
      <formula>0</formula>
    </cfRule>
  </conditionalFormatting>
  <conditionalFormatting sqref="F281">
    <cfRule type="cellIs" priority="829" operator="greaterThan" aboveAverage="0" equalAverage="0" bottom="0" percent="0" rank="0" text="" dxfId="10">
      <formula>30</formula>
    </cfRule>
  </conditionalFormatting>
  <conditionalFormatting sqref="G282">
    <cfRule type="cellIs" priority="830" operator="greaterThan" aboveAverage="0" equalAverage="0" bottom="0" percent="0" rank="0" text="" dxfId="1">
      <formula>0</formula>
    </cfRule>
    <cfRule type="cellIs" priority="831" operator="lessThanOrEqual" aboveAverage="0" equalAverage="0" bottom="0" percent="0" rank="0" text="" dxfId="0">
      <formula>0</formula>
    </cfRule>
  </conditionalFormatting>
  <conditionalFormatting sqref="F282">
    <cfRule type="cellIs" priority="832" operator="greaterThan" aboveAverage="0" equalAverage="0" bottom="0" percent="0" rank="0" text="" dxfId="10">
      <formula>30</formula>
    </cfRule>
  </conditionalFormatting>
  <conditionalFormatting sqref="G283">
    <cfRule type="cellIs" priority="833" operator="greaterThan" aboveAverage="0" equalAverage="0" bottom="0" percent="0" rank="0" text="" dxfId="1">
      <formula>0</formula>
    </cfRule>
    <cfRule type="cellIs" priority="834" operator="lessThanOrEqual" aboveAverage="0" equalAverage="0" bottom="0" percent="0" rank="0" text="" dxfId="0">
      <formula>0</formula>
    </cfRule>
  </conditionalFormatting>
  <conditionalFormatting sqref="F283">
    <cfRule type="cellIs" priority="835" operator="greaterThan" aboveAverage="0" equalAverage="0" bottom="0" percent="0" rank="0" text="" dxfId="10">
      <formula>30</formula>
    </cfRule>
  </conditionalFormatting>
  <conditionalFormatting sqref="G284">
    <cfRule type="cellIs" priority="836" operator="greaterThan" aboveAverage="0" equalAverage="0" bottom="0" percent="0" rank="0" text="" dxfId="1">
      <formula>0</formula>
    </cfRule>
    <cfRule type="cellIs" priority="837" operator="lessThanOrEqual" aboveAverage="0" equalAverage="0" bottom="0" percent="0" rank="0" text="" dxfId="0">
      <formula>0</formula>
    </cfRule>
  </conditionalFormatting>
  <conditionalFormatting sqref="F284">
    <cfRule type="cellIs" priority="838" operator="greaterThan" aboveAverage="0" equalAverage="0" bottom="0" percent="0" rank="0" text="" dxfId="10">
      <formula>30</formula>
    </cfRule>
  </conditionalFormatting>
  <conditionalFormatting sqref="G285">
    <cfRule type="cellIs" priority="839" operator="greaterThan" aboveAverage="0" equalAverage="0" bottom="0" percent="0" rank="0" text="" dxfId="1">
      <formula>0</formula>
    </cfRule>
    <cfRule type="cellIs" priority="840" operator="lessThanOrEqual" aboveAverage="0" equalAverage="0" bottom="0" percent="0" rank="0" text="" dxfId="0">
      <formula>0</formula>
    </cfRule>
  </conditionalFormatting>
  <conditionalFormatting sqref="F285">
    <cfRule type="cellIs" priority="841" operator="greaterThan" aboveAverage="0" equalAverage="0" bottom="0" percent="0" rank="0" text="" dxfId="10">
      <formula>30</formula>
    </cfRule>
  </conditionalFormatting>
  <conditionalFormatting sqref="G286">
    <cfRule type="cellIs" priority="842" operator="greaterThan" aboveAverage="0" equalAverage="0" bottom="0" percent="0" rank="0" text="" dxfId="1">
      <formula>0</formula>
    </cfRule>
    <cfRule type="cellIs" priority="843" operator="lessThanOrEqual" aboveAverage="0" equalAverage="0" bottom="0" percent="0" rank="0" text="" dxfId="0">
      <formula>0</formula>
    </cfRule>
  </conditionalFormatting>
  <conditionalFormatting sqref="F286">
    <cfRule type="cellIs" priority="844" operator="greaterThan" aboveAverage="0" equalAverage="0" bottom="0" percent="0" rank="0" text="" dxfId="10">
      <formula>30</formula>
    </cfRule>
  </conditionalFormatting>
  <conditionalFormatting sqref="G287">
    <cfRule type="cellIs" priority="845" operator="greaterThan" aboveAverage="0" equalAverage="0" bottom="0" percent="0" rank="0" text="" dxfId="1">
      <formula>0</formula>
    </cfRule>
    <cfRule type="cellIs" priority="846" operator="lessThanOrEqual" aboveAverage="0" equalAverage="0" bottom="0" percent="0" rank="0" text="" dxfId="0">
      <formula>0</formula>
    </cfRule>
  </conditionalFormatting>
  <conditionalFormatting sqref="F287">
    <cfRule type="cellIs" priority="847" operator="greaterThan" aboveAverage="0" equalAverage="0" bottom="0" percent="0" rank="0" text="" dxfId="10">
      <formula>30</formula>
    </cfRule>
  </conditionalFormatting>
  <conditionalFormatting sqref="G288">
    <cfRule type="cellIs" priority="848" operator="greaterThan" aboveAverage="0" equalAverage="0" bottom="0" percent="0" rank="0" text="" dxfId="1">
      <formula>0</formula>
    </cfRule>
    <cfRule type="cellIs" priority="849" operator="lessThanOrEqual" aboveAverage="0" equalAverage="0" bottom="0" percent="0" rank="0" text="" dxfId="0">
      <formula>0</formula>
    </cfRule>
  </conditionalFormatting>
  <conditionalFormatting sqref="F288">
    <cfRule type="cellIs" priority="850" operator="greaterThan" aboveAverage="0" equalAverage="0" bottom="0" percent="0" rank="0" text="" dxfId="10">
      <formula>30</formula>
    </cfRule>
  </conditionalFormatting>
  <conditionalFormatting sqref="G289">
    <cfRule type="cellIs" priority="851" operator="greaterThan" aboveAverage="0" equalAverage="0" bottom="0" percent="0" rank="0" text="" dxfId="1">
      <formula>0</formula>
    </cfRule>
    <cfRule type="cellIs" priority="852" operator="lessThanOrEqual" aboveAverage="0" equalAverage="0" bottom="0" percent="0" rank="0" text="" dxfId="0">
      <formula>0</formula>
    </cfRule>
  </conditionalFormatting>
  <conditionalFormatting sqref="F289">
    <cfRule type="cellIs" priority="853" operator="greaterThan" aboveAverage="0" equalAverage="0" bottom="0" percent="0" rank="0" text="" dxfId="10">
      <formula>30</formula>
    </cfRule>
  </conditionalFormatting>
  <conditionalFormatting sqref="G290">
    <cfRule type="cellIs" priority="854" operator="greaterThan" aboveAverage="0" equalAverage="0" bottom="0" percent="0" rank="0" text="" dxfId="1">
      <formula>0</formula>
    </cfRule>
    <cfRule type="cellIs" priority="855" operator="lessThanOrEqual" aboveAverage="0" equalAverage="0" bottom="0" percent="0" rank="0" text="" dxfId="0">
      <formula>0</formula>
    </cfRule>
  </conditionalFormatting>
  <conditionalFormatting sqref="F290">
    <cfRule type="cellIs" priority="856" operator="greaterThan" aboveAverage="0" equalAverage="0" bottom="0" percent="0" rank="0" text="" dxfId="10">
      <formula>30</formula>
    </cfRule>
  </conditionalFormatting>
  <conditionalFormatting sqref="G291">
    <cfRule type="cellIs" priority="857" operator="greaterThan" aboveAverage="0" equalAverage="0" bottom="0" percent="0" rank="0" text="" dxfId="1">
      <formula>0</formula>
    </cfRule>
    <cfRule type="cellIs" priority="858" operator="lessThanOrEqual" aboveAverage="0" equalAverage="0" bottom="0" percent="0" rank="0" text="" dxfId="0">
      <formula>0</formula>
    </cfRule>
  </conditionalFormatting>
  <conditionalFormatting sqref="F291">
    <cfRule type="cellIs" priority="859" operator="greaterThan" aboveAverage="0" equalAverage="0" bottom="0" percent="0" rank="0" text="" dxfId="10">
      <formula>30</formula>
    </cfRule>
  </conditionalFormatting>
  <conditionalFormatting sqref="G292">
    <cfRule type="cellIs" priority="860" operator="greaterThan" aboveAverage="0" equalAverage="0" bottom="0" percent="0" rank="0" text="" dxfId="1">
      <formula>0</formula>
    </cfRule>
    <cfRule type="cellIs" priority="861" operator="lessThanOrEqual" aboveAverage="0" equalAverage="0" bottom="0" percent="0" rank="0" text="" dxfId="0">
      <formula>0</formula>
    </cfRule>
  </conditionalFormatting>
  <conditionalFormatting sqref="F292">
    <cfRule type="cellIs" priority="862" operator="greaterThan" aboveAverage="0" equalAverage="0" bottom="0" percent="0" rank="0" text="" dxfId="10">
      <formula>30</formula>
    </cfRule>
  </conditionalFormatting>
  <conditionalFormatting sqref="G293">
    <cfRule type="cellIs" priority="863" operator="greaterThan" aboveAverage="0" equalAverage="0" bottom="0" percent="0" rank="0" text="" dxfId="1">
      <formula>0</formula>
    </cfRule>
    <cfRule type="cellIs" priority="864" operator="lessThanOrEqual" aboveAverage="0" equalAverage="0" bottom="0" percent="0" rank="0" text="" dxfId="0">
      <formula>0</formula>
    </cfRule>
  </conditionalFormatting>
  <conditionalFormatting sqref="F293">
    <cfRule type="cellIs" priority="865" operator="greaterThan" aboveAverage="0" equalAverage="0" bottom="0" percent="0" rank="0" text="" dxfId="10">
      <formula>30</formula>
    </cfRule>
  </conditionalFormatting>
  <conditionalFormatting sqref="G294">
    <cfRule type="cellIs" priority="866" operator="greaterThan" aboveAverage="0" equalAverage="0" bottom="0" percent="0" rank="0" text="" dxfId="1">
      <formula>0</formula>
    </cfRule>
    <cfRule type="cellIs" priority="867" operator="lessThanOrEqual" aboveAverage="0" equalAverage="0" bottom="0" percent="0" rank="0" text="" dxfId="0">
      <formula>0</formula>
    </cfRule>
  </conditionalFormatting>
  <conditionalFormatting sqref="F294">
    <cfRule type="cellIs" priority="868" operator="greaterThan" aboveAverage="0" equalAverage="0" bottom="0" percent="0" rank="0" text="" dxfId="10">
      <formula>30</formula>
    </cfRule>
  </conditionalFormatting>
  <conditionalFormatting sqref="G295">
    <cfRule type="cellIs" priority="869" operator="greaterThan" aboveAverage="0" equalAverage="0" bottom="0" percent="0" rank="0" text="" dxfId="1">
      <formula>0</formula>
    </cfRule>
    <cfRule type="cellIs" priority="870" operator="lessThanOrEqual" aboveAverage="0" equalAverage="0" bottom="0" percent="0" rank="0" text="" dxfId="0">
      <formula>0</formula>
    </cfRule>
  </conditionalFormatting>
  <conditionalFormatting sqref="F295">
    <cfRule type="cellIs" priority="871" operator="greaterThan" aboveAverage="0" equalAverage="0" bottom="0" percent="0" rank="0" text="" dxfId="10">
      <formula>30</formula>
    </cfRule>
  </conditionalFormatting>
  <conditionalFormatting sqref="G296">
    <cfRule type="cellIs" priority="872" operator="greaterThan" aboveAverage="0" equalAverage="0" bottom="0" percent="0" rank="0" text="" dxfId="1">
      <formula>0</formula>
    </cfRule>
    <cfRule type="cellIs" priority="873" operator="lessThanOrEqual" aboveAverage="0" equalAverage="0" bottom="0" percent="0" rank="0" text="" dxfId="0">
      <formula>0</formula>
    </cfRule>
  </conditionalFormatting>
  <conditionalFormatting sqref="F296">
    <cfRule type="cellIs" priority="874" operator="greaterThan" aboveAverage="0" equalAverage="0" bottom="0" percent="0" rank="0" text="" dxfId="10">
      <formula>30</formula>
    </cfRule>
  </conditionalFormatting>
  <conditionalFormatting sqref="G297">
    <cfRule type="cellIs" priority="875" operator="greaterThan" aboveAverage="0" equalAverage="0" bottom="0" percent="0" rank="0" text="" dxfId="1">
      <formula>0</formula>
    </cfRule>
    <cfRule type="cellIs" priority="876" operator="lessThanOrEqual" aboveAverage="0" equalAverage="0" bottom="0" percent="0" rank="0" text="" dxfId="0">
      <formula>0</formula>
    </cfRule>
  </conditionalFormatting>
  <conditionalFormatting sqref="F297">
    <cfRule type="cellIs" priority="877" operator="greaterThan" aboveAverage="0" equalAverage="0" bottom="0" percent="0" rank="0" text="" dxfId="10">
      <formula>30</formula>
    </cfRule>
  </conditionalFormatting>
  <conditionalFormatting sqref="G298">
    <cfRule type="cellIs" priority="878" operator="greaterThan" aboveAverage="0" equalAverage="0" bottom="0" percent="0" rank="0" text="" dxfId="1">
      <formula>0</formula>
    </cfRule>
    <cfRule type="cellIs" priority="879" operator="lessThanOrEqual" aboveAverage="0" equalAverage="0" bottom="0" percent="0" rank="0" text="" dxfId="0">
      <formula>0</formula>
    </cfRule>
  </conditionalFormatting>
  <conditionalFormatting sqref="F298">
    <cfRule type="cellIs" priority="880" operator="greaterThan" aboveAverage="0" equalAverage="0" bottom="0" percent="0" rank="0" text="" dxfId="10">
      <formula>30</formula>
    </cfRule>
  </conditionalFormatting>
  <conditionalFormatting sqref="G299">
    <cfRule type="cellIs" priority="881" operator="greaterThan" aboveAverage="0" equalAverage="0" bottom="0" percent="0" rank="0" text="" dxfId="1">
      <formula>0</formula>
    </cfRule>
    <cfRule type="cellIs" priority="882" operator="lessThanOrEqual" aboveAverage="0" equalAverage="0" bottom="0" percent="0" rank="0" text="" dxfId="0">
      <formula>0</formula>
    </cfRule>
  </conditionalFormatting>
  <conditionalFormatting sqref="F299">
    <cfRule type="cellIs" priority="883" operator="greaterThan" aboveAverage="0" equalAverage="0" bottom="0" percent="0" rank="0" text="" dxfId="10">
      <formula>30</formula>
    </cfRule>
  </conditionalFormatting>
  <conditionalFormatting sqref="G300">
    <cfRule type="cellIs" priority="884" operator="greaterThan" aboveAverage="0" equalAverage="0" bottom="0" percent="0" rank="0" text="" dxfId="1">
      <formula>0</formula>
    </cfRule>
    <cfRule type="cellIs" priority="885" operator="lessThanOrEqual" aboveAverage="0" equalAverage="0" bottom="0" percent="0" rank="0" text="" dxfId="0">
      <formula>0</formula>
    </cfRule>
  </conditionalFormatting>
  <conditionalFormatting sqref="F300">
    <cfRule type="cellIs" priority="886" operator="greaterThan" aboveAverage="0" equalAverage="0" bottom="0" percent="0" rank="0" text="" dxfId="10">
      <formula>30</formula>
    </cfRule>
  </conditionalFormatting>
  <conditionalFormatting sqref="G301">
    <cfRule type="cellIs" priority="887" operator="greaterThan" aboveAverage="0" equalAverage="0" bottom="0" percent="0" rank="0" text="" dxfId="1">
      <formula>0</formula>
    </cfRule>
    <cfRule type="cellIs" priority="888" operator="lessThanOrEqual" aboveAverage="0" equalAverage="0" bottom="0" percent="0" rank="0" text="" dxfId="0">
      <formula>0</formula>
    </cfRule>
  </conditionalFormatting>
  <conditionalFormatting sqref="F301">
    <cfRule type="cellIs" priority="889" operator="greaterThan" aboveAverage="0" equalAverage="0" bottom="0" percent="0" rank="0" text="" dxfId="10">
      <formula>30</formula>
    </cfRule>
  </conditionalFormatting>
  <conditionalFormatting sqref="G302">
    <cfRule type="cellIs" priority="890" operator="greaterThan" aboveAverage="0" equalAverage="0" bottom="0" percent="0" rank="0" text="" dxfId="1">
      <formula>0</formula>
    </cfRule>
    <cfRule type="cellIs" priority="891" operator="lessThanOrEqual" aboveAverage="0" equalAverage="0" bottom="0" percent="0" rank="0" text="" dxfId="0">
      <formula>0</formula>
    </cfRule>
  </conditionalFormatting>
  <conditionalFormatting sqref="F302">
    <cfRule type="cellIs" priority="892" operator="greaterThan" aboveAverage="0" equalAverage="0" bottom="0" percent="0" rank="0" text="" dxfId="10">
      <formula>30</formula>
    </cfRule>
  </conditionalFormatting>
  <conditionalFormatting sqref="G303">
    <cfRule type="cellIs" priority="893" operator="greaterThan" aboveAverage="0" equalAverage="0" bottom="0" percent="0" rank="0" text="" dxfId="1">
      <formula>0</formula>
    </cfRule>
    <cfRule type="cellIs" priority="894" operator="lessThanOrEqual" aboveAverage="0" equalAverage="0" bottom="0" percent="0" rank="0" text="" dxfId="0">
      <formula>0</formula>
    </cfRule>
  </conditionalFormatting>
  <conditionalFormatting sqref="F303">
    <cfRule type="cellIs" priority="895" operator="greaterThan" aboveAverage="0" equalAverage="0" bottom="0" percent="0" rank="0" text="" dxfId="10">
      <formula>30</formula>
    </cfRule>
  </conditionalFormatting>
  <conditionalFormatting sqref="G304">
    <cfRule type="cellIs" priority="896" operator="greaterThan" aboveAverage="0" equalAverage="0" bottom="0" percent="0" rank="0" text="" dxfId="1">
      <formula>0</formula>
    </cfRule>
    <cfRule type="cellIs" priority="897" operator="lessThanOrEqual" aboveAverage="0" equalAverage="0" bottom="0" percent="0" rank="0" text="" dxfId="0">
      <formula>0</formula>
    </cfRule>
  </conditionalFormatting>
  <conditionalFormatting sqref="F304">
    <cfRule type="cellIs" priority="898" operator="greaterThan" aboveAverage="0" equalAverage="0" bottom="0" percent="0" rank="0" text="" dxfId="10">
      <formula>30</formula>
    </cfRule>
  </conditionalFormatting>
  <conditionalFormatting sqref="G305">
    <cfRule type="cellIs" priority="899" operator="greaterThan" aboveAverage="0" equalAverage="0" bottom="0" percent="0" rank="0" text="" dxfId="1">
      <formula>0</formula>
    </cfRule>
    <cfRule type="cellIs" priority="900" operator="lessThanOrEqual" aboveAverage="0" equalAverage="0" bottom="0" percent="0" rank="0" text="" dxfId="0">
      <formula>0</formula>
    </cfRule>
  </conditionalFormatting>
  <conditionalFormatting sqref="F305">
    <cfRule type="cellIs" priority="901" operator="greaterThan" aboveAverage="0" equalAverage="0" bottom="0" percent="0" rank="0" text="" dxfId="10">
      <formula>30</formula>
    </cfRule>
  </conditionalFormatting>
  <conditionalFormatting sqref="G306">
    <cfRule type="cellIs" priority="902" operator="greaterThan" aboveAverage="0" equalAverage="0" bottom="0" percent="0" rank="0" text="" dxfId="1">
      <formula>0</formula>
    </cfRule>
    <cfRule type="cellIs" priority="903" operator="lessThanOrEqual" aboveAverage="0" equalAverage="0" bottom="0" percent="0" rank="0" text="" dxfId="0">
      <formula>0</formula>
    </cfRule>
  </conditionalFormatting>
  <conditionalFormatting sqref="F306">
    <cfRule type="cellIs" priority="904" operator="greaterThan" aboveAverage="0" equalAverage="0" bottom="0" percent="0" rank="0" text="" dxfId="10">
      <formula>30</formula>
    </cfRule>
  </conditionalFormatting>
  <conditionalFormatting sqref="G307">
    <cfRule type="cellIs" priority="905" operator="greaterThan" aboveAverage="0" equalAverage="0" bottom="0" percent="0" rank="0" text="" dxfId="1">
      <formula>0</formula>
    </cfRule>
    <cfRule type="cellIs" priority="906" operator="lessThanOrEqual" aboveAverage="0" equalAverage="0" bottom="0" percent="0" rank="0" text="" dxfId="0">
      <formula>0</formula>
    </cfRule>
  </conditionalFormatting>
  <conditionalFormatting sqref="F307">
    <cfRule type="cellIs" priority="907" operator="greaterThan" aboveAverage="0" equalAverage="0" bottom="0" percent="0" rank="0" text="" dxfId="10">
      <formula>30</formula>
    </cfRule>
  </conditionalFormatting>
  <conditionalFormatting sqref="G308">
    <cfRule type="cellIs" priority="908" operator="greaterThan" aboveAverage="0" equalAverage="0" bottom="0" percent="0" rank="0" text="" dxfId="1">
      <formula>0</formula>
    </cfRule>
    <cfRule type="cellIs" priority="909" operator="lessThanOrEqual" aboveAverage="0" equalAverage="0" bottom="0" percent="0" rank="0" text="" dxfId="0">
      <formula>0</formula>
    </cfRule>
  </conditionalFormatting>
  <conditionalFormatting sqref="F308">
    <cfRule type="cellIs" priority="910" operator="greaterThan" aboveAverage="0" equalAverage="0" bottom="0" percent="0" rank="0" text="" dxfId="10">
      <formula>30</formula>
    </cfRule>
  </conditionalFormatting>
  <conditionalFormatting sqref="G309">
    <cfRule type="cellIs" priority="911" operator="greaterThan" aboveAverage="0" equalAverage="0" bottom="0" percent="0" rank="0" text="" dxfId="1">
      <formula>0</formula>
    </cfRule>
    <cfRule type="cellIs" priority="912" operator="lessThanOrEqual" aboveAverage="0" equalAverage="0" bottom="0" percent="0" rank="0" text="" dxfId="0">
      <formula>0</formula>
    </cfRule>
  </conditionalFormatting>
  <conditionalFormatting sqref="F309">
    <cfRule type="cellIs" priority="913" operator="greaterThan" aboveAverage="0" equalAverage="0" bottom="0" percent="0" rank="0" text="" dxfId="10">
      <formula>30</formula>
    </cfRule>
  </conditionalFormatting>
  <conditionalFormatting sqref="G310">
    <cfRule type="cellIs" priority="914" operator="greaterThan" aboveAverage="0" equalAverage="0" bottom="0" percent="0" rank="0" text="" dxfId="1">
      <formula>0</formula>
    </cfRule>
    <cfRule type="cellIs" priority="915" operator="lessThanOrEqual" aboveAverage="0" equalAverage="0" bottom="0" percent="0" rank="0" text="" dxfId="0">
      <formula>0</formula>
    </cfRule>
  </conditionalFormatting>
  <conditionalFormatting sqref="F310">
    <cfRule type="cellIs" priority="916" operator="greaterThan" aboveAverage="0" equalAverage="0" bottom="0" percent="0" rank="0" text="" dxfId="10">
      <formula>30</formula>
    </cfRule>
  </conditionalFormatting>
  <conditionalFormatting sqref="G311">
    <cfRule type="cellIs" priority="917" operator="greaterThan" aboveAverage="0" equalAverage="0" bottom="0" percent="0" rank="0" text="" dxfId="1">
      <formula>0</formula>
    </cfRule>
    <cfRule type="cellIs" priority="918" operator="lessThanOrEqual" aboveAverage="0" equalAverage="0" bottom="0" percent="0" rank="0" text="" dxfId="0">
      <formula>0</formula>
    </cfRule>
  </conditionalFormatting>
  <conditionalFormatting sqref="F311">
    <cfRule type="cellIs" priority="919" operator="greaterThan" aboveAverage="0" equalAverage="0" bottom="0" percent="0" rank="0" text="" dxfId="10">
      <formula>30</formula>
    </cfRule>
  </conditionalFormatting>
  <conditionalFormatting sqref="G312">
    <cfRule type="cellIs" priority="920" operator="greaterThan" aboveAverage="0" equalAverage="0" bottom="0" percent="0" rank="0" text="" dxfId="1">
      <formula>0</formula>
    </cfRule>
    <cfRule type="cellIs" priority="921" operator="lessThanOrEqual" aboveAverage="0" equalAverage="0" bottom="0" percent="0" rank="0" text="" dxfId="0">
      <formula>0</formula>
    </cfRule>
  </conditionalFormatting>
  <conditionalFormatting sqref="F312">
    <cfRule type="cellIs" priority="922" operator="greaterThan" aboveAverage="0" equalAverage="0" bottom="0" percent="0" rank="0" text="" dxfId="10">
      <formula>30</formula>
    </cfRule>
  </conditionalFormatting>
  <conditionalFormatting sqref="G313">
    <cfRule type="cellIs" priority="923" operator="greaterThan" aboveAverage="0" equalAverage="0" bottom="0" percent="0" rank="0" text="" dxfId="1">
      <formula>0</formula>
    </cfRule>
    <cfRule type="cellIs" priority="924" operator="lessThanOrEqual" aboveAverage="0" equalAverage="0" bottom="0" percent="0" rank="0" text="" dxfId="0">
      <formula>0</formula>
    </cfRule>
  </conditionalFormatting>
  <conditionalFormatting sqref="F313">
    <cfRule type="cellIs" priority="925" operator="greaterThan" aboveAverage="0" equalAverage="0" bottom="0" percent="0" rank="0" text="" dxfId="10">
      <formula>30</formula>
    </cfRule>
  </conditionalFormatting>
  <conditionalFormatting sqref="G314">
    <cfRule type="cellIs" priority="926" operator="greaterThan" aboveAverage="0" equalAverage="0" bottom="0" percent="0" rank="0" text="" dxfId="1">
      <formula>0</formula>
    </cfRule>
    <cfRule type="cellIs" priority="927" operator="lessThanOrEqual" aboveAverage="0" equalAverage="0" bottom="0" percent="0" rank="0" text="" dxfId="0">
      <formula>0</formula>
    </cfRule>
  </conditionalFormatting>
  <conditionalFormatting sqref="F314">
    <cfRule type="cellIs" priority="928" operator="greaterThan" aboveAverage="0" equalAverage="0" bottom="0" percent="0" rank="0" text="" dxfId="10">
      <formula>30</formula>
    </cfRule>
  </conditionalFormatting>
  <conditionalFormatting sqref="G315">
    <cfRule type="cellIs" priority="929" operator="greaterThan" aboveAverage="0" equalAverage="0" bottom="0" percent="0" rank="0" text="" dxfId="1">
      <formula>0</formula>
    </cfRule>
    <cfRule type="cellIs" priority="930" operator="lessThanOrEqual" aboveAverage="0" equalAverage="0" bottom="0" percent="0" rank="0" text="" dxfId="0">
      <formula>0</formula>
    </cfRule>
  </conditionalFormatting>
  <conditionalFormatting sqref="F315">
    <cfRule type="cellIs" priority="931" operator="greaterThan" aboveAverage="0" equalAverage="0" bottom="0" percent="0" rank="0" text="" dxfId="10">
      <formula>30</formula>
    </cfRule>
  </conditionalFormatting>
  <conditionalFormatting sqref="G316">
    <cfRule type="cellIs" priority="932" operator="greaterThan" aboveAverage="0" equalAverage="0" bottom="0" percent="0" rank="0" text="" dxfId="1">
      <formula>0</formula>
    </cfRule>
    <cfRule type="cellIs" priority="933" operator="lessThanOrEqual" aboveAverage="0" equalAverage="0" bottom="0" percent="0" rank="0" text="" dxfId="0">
      <formula>0</formula>
    </cfRule>
  </conditionalFormatting>
  <conditionalFormatting sqref="F316">
    <cfRule type="cellIs" priority="934" operator="greaterThan" aboveAverage="0" equalAverage="0" bottom="0" percent="0" rank="0" text="" dxfId="10">
      <formula>30</formula>
    </cfRule>
  </conditionalFormatting>
  <conditionalFormatting sqref="G317">
    <cfRule type="cellIs" priority="935" operator="greaterThan" aboveAverage="0" equalAverage="0" bottom="0" percent="0" rank="0" text="" dxfId="1">
      <formula>0</formula>
    </cfRule>
    <cfRule type="cellIs" priority="936" operator="lessThanOrEqual" aboveAverage="0" equalAverage="0" bottom="0" percent="0" rank="0" text="" dxfId="0">
      <formula>0</formula>
    </cfRule>
  </conditionalFormatting>
  <conditionalFormatting sqref="F317">
    <cfRule type="cellIs" priority="937" operator="greaterThan" aboveAverage="0" equalAverage="0" bottom="0" percent="0" rank="0" text="" dxfId="10">
      <formula>30</formula>
    </cfRule>
  </conditionalFormatting>
  <conditionalFormatting sqref="G318">
    <cfRule type="cellIs" priority="938" operator="greaterThan" aboveAverage="0" equalAverage="0" bottom="0" percent="0" rank="0" text="" dxfId="1">
      <formula>0</formula>
    </cfRule>
    <cfRule type="cellIs" priority="939" operator="lessThanOrEqual" aboveAverage="0" equalAverage="0" bottom="0" percent="0" rank="0" text="" dxfId="0">
      <formula>0</formula>
    </cfRule>
  </conditionalFormatting>
  <conditionalFormatting sqref="F318">
    <cfRule type="cellIs" priority="940" operator="greaterThan" aboveAverage="0" equalAverage="0" bottom="0" percent="0" rank="0" text="" dxfId="10">
      <formula>30</formula>
    </cfRule>
  </conditionalFormatting>
  <conditionalFormatting sqref="G319">
    <cfRule type="cellIs" priority="941" operator="greaterThan" aboveAverage="0" equalAverage="0" bottom="0" percent="0" rank="0" text="" dxfId="1">
      <formula>0</formula>
    </cfRule>
    <cfRule type="cellIs" priority="942" operator="lessThanOrEqual" aboveAverage="0" equalAverage="0" bottom="0" percent="0" rank="0" text="" dxfId="0">
      <formula>0</formula>
    </cfRule>
  </conditionalFormatting>
  <conditionalFormatting sqref="F319">
    <cfRule type="cellIs" priority="943" operator="greaterThan" aboveAverage="0" equalAverage="0" bottom="0" percent="0" rank="0" text="" dxfId="10">
      <formula>30</formula>
    </cfRule>
  </conditionalFormatting>
  <conditionalFormatting sqref="G320">
    <cfRule type="cellIs" priority="944" operator="greaterThan" aboveAverage="0" equalAverage="0" bottom="0" percent="0" rank="0" text="" dxfId="1">
      <formula>0</formula>
    </cfRule>
    <cfRule type="cellIs" priority="945" operator="lessThanOrEqual" aboveAverage="0" equalAverage="0" bottom="0" percent="0" rank="0" text="" dxfId="0">
      <formula>0</formula>
    </cfRule>
  </conditionalFormatting>
  <conditionalFormatting sqref="F320">
    <cfRule type="cellIs" priority="946" operator="greaterThan" aboveAverage="0" equalAverage="0" bottom="0" percent="0" rank="0" text="" dxfId="10">
      <formula>30</formula>
    </cfRule>
  </conditionalFormatting>
  <conditionalFormatting sqref="G321">
    <cfRule type="cellIs" priority="947" operator="greaterThan" aboveAverage="0" equalAverage="0" bottom="0" percent="0" rank="0" text="" dxfId="1">
      <formula>0</formula>
    </cfRule>
    <cfRule type="cellIs" priority="948" operator="lessThanOrEqual" aboveAverage="0" equalAverage="0" bottom="0" percent="0" rank="0" text="" dxfId="0">
      <formula>0</formula>
    </cfRule>
  </conditionalFormatting>
  <conditionalFormatting sqref="F321">
    <cfRule type="cellIs" priority="949" operator="greaterThan" aboveAverage="0" equalAverage="0" bottom="0" percent="0" rank="0" text="" dxfId="10">
      <formula>30</formula>
    </cfRule>
  </conditionalFormatting>
  <conditionalFormatting sqref="G322">
    <cfRule type="cellIs" priority="950" operator="greaterThan" aboveAverage="0" equalAverage="0" bottom="0" percent="0" rank="0" text="" dxfId="1">
      <formula>0</formula>
    </cfRule>
    <cfRule type="cellIs" priority="951" operator="lessThanOrEqual" aboveAverage="0" equalAverage="0" bottom="0" percent="0" rank="0" text="" dxfId="0">
      <formula>0</formula>
    </cfRule>
  </conditionalFormatting>
  <conditionalFormatting sqref="F322">
    <cfRule type="cellIs" priority="952" operator="greaterThan" aboveAverage="0" equalAverage="0" bottom="0" percent="0" rank="0" text="" dxfId="10">
      <formula>30</formula>
    </cfRule>
  </conditionalFormatting>
  <conditionalFormatting sqref="G323">
    <cfRule type="cellIs" priority="953" operator="greaterThan" aboveAverage="0" equalAverage="0" bottom="0" percent="0" rank="0" text="" dxfId="1">
      <formula>0</formula>
    </cfRule>
    <cfRule type="cellIs" priority="954" operator="lessThanOrEqual" aboveAverage="0" equalAverage="0" bottom="0" percent="0" rank="0" text="" dxfId="0">
      <formula>0</formula>
    </cfRule>
  </conditionalFormatting>
  <conditionalFormatting sqref="F323">
    <cfRule type="cellIs" priority="955" operator="greaterThan" aboveAverage="0" equalAverage="0" bottom="0" percent="0" rank="0" text="" dxfId="10">
      <formula>30</formula>
    </cfRule>
  </conditionalFormatting>
  <conditionalFormatting sqref="G324">
    <cfRule type="cellIs" priority="956" operator="greaterThan" aboveAverage="0" equalAverage="0" bottom="0" percent="0" rank="0" text="" dxfId="1">
      <formula>0</formula>
    </cfRule>
    <cfRule type="cellIs" priority="957" operator="lessThanOrEqual" aboveAverage="0" equalAverage="0" bottom="0" percent="0" rank="0" text="" dxfId="0">
      <formula>0</formula>
    </cfRule>
  </conditionalFormatting>
  <conditionalFormatting sqref="F324">
    <cfRule type="cellIs" priority="958" operator="greaterThan" aboveAverage="0" equalAverage="0" bottom="0" percent="0" rank="0" text="" dxfId="10">
      <formula>30</formula>
    </cfRule>
  </conditionalFormatting>
  <conditionalFormatting sqref="G325">
    <cfRule type="cellIs" priority="959" operator="greaterThan" aboveAverage="0" equalAverage="0" bottom="0" percent="0" rank="0" text="" dxfId="1">
      <formula>0</formula>
    </cfRule>
    <cfRule type="cellIs" priority="960" operator="lessThanOrEqual" aboveAverage="0" equalAverage="0" bottom="0" percent="0" rank="0" text="" dxfId="0">
      <formula>0</formula>
    </cfRule>
  </conditionalFormatting>
  <conditionalFormatting sqref="F325">
    <cfRule type="cellIs" priority="961" operator="greaterThan" aboveAverage="0" equalAverage="0" bottom="0" percent="0" rank="0" text="" dxfId="10">
      <formula>30</formula>
    </cfRule>
  </conditionalFormatting>
  <conditionalFormatting sqref="G326">
    <cfRule type="cellIs" priority="962" operator="greaterThan" aboveAverage="0" equalAverage="0" bottom="0" percent="0" rank="0" text="" dxfId="1">
      <formula>0</formula>
    </cfRule>
    <cfRule type="cellIs" priority="963" operator="lessThanOrEqual" aboveAverage="0" equalAverage="0" bottom="0" percent="0" rank="0" text="" dxfId="0">
      <formula>0</formula>
    </cfRule>
  </conditionalFormatting>
  <conditionalFormatting sqref="F326">
    <cfRule type="cellIs" priority="964" operator="greaterThan" aboveAverage="0" equalAverage="0" bottom="0" percent="0" rank="0" text="" dxfId="10">
      <formula>30</formula>
    </cfRule>
  </conditionalFormatting>
  <conditionalFormatting sqref="G327">
    <cfRule type="cellIs" priority="965" operator="greaterThan" aboveAverage="0" equalAverage="0" bottom="0" percent="0" rank="0" text="" dxfId="1">
      <formula>0</formula>
    </cfRule>
    <cfRule type="cellIs" priority="966" operator="lessThanOrEqual" aboveAverage="0" equalAverage="0" bottom="0" percent="0" rank="0" text="" dxfId="0">
      <formula>0</formula>
    </cfRule>
  </conditionalFormatting>
  <conditionalFormatting sqref="F327">
    <cfRule type="cellIs" priority="967" operator="greaterThan" aboveAverage="0" equalAverage="0" bottom="0" percent="0" rank="0" text="" dxfId="10">
      <formula>30</formula>
    </cfRule>
  </conditionalFormatting>
  <conditionalFormatting sqref="G328">
    <cfRule type="cellIs" priority="968" operator="greaterThan" aboveAverage="0" equalAverage="0" bottom="0" percent="0" rank="0" text="" dxfId="1">
      <formula>0</formula>
    </cfRule>
    <cfRule type="cellIs" priority="969" operator="lessThanOrEqual" aboveAverage="0" equalAverage="0" bottom="0" percent="0" rank="0" text="" dxfId="0">
      <formula>0</formula>
    </cfRule>
  </conditionalFormatting>
  <conditionalFormatting sqref="F328">
    <cfRule type="cellIs" priority="970" operator="greaterThan" aboveAverage="0" equalAverage="0" bottom="0" percent="0" rank="0" text="" dxfId="10">
      <formula>30</formula>
    </cfRule>
  </conditionalFormatting>
  <conditionalFormatting sqref="G329">
    <cfRule type="cellIs" priority="971" operator="greaterThan" aboveAverage="0" equalAverage="0" bottom="0" percent="0" rank="0" text="" dxfId="1">
      <formula>0</formula>
    </cfRule>
    <cfRule type="cellIs" priority="972" operator="lessThanOrEqual" aboveAverage="0" equalAverage="0" bottom="0" percent="0" rank="0" text="" dxfId="0">
      <formula>0</formula>
    </cfRule>
  </conditionalFormatting>
  <conditionalFormatting sqref="F329">
    <cfRule type="cellIs" priority="973" operator="greaterThan" aboveAverage="0" equalAverage="0" bottom="0" percent="0" rank="0" text="" dxfId="10">
      <formula>30</formula>
    </cfRule>
  </conditionalFormatting>
  <conditionalFormatting sqref="G330">
    <cfRule type="cellIs" priority="974" operator="greaterThan" aboveAverage="0" equalAverage="0" bottom="0" percent="0" rank="0" text="" dxfId="1">
      <formula>0</formula>
    </cfRule>
    <cfRule type="cellIs" priority="975" operator="lessThanOrEqual" aboveAverage="0" equalAverage="0" bottom="0" percent="0" rank="0" text="" dxfId="0">
      <formula>0</formula>
    </cfRule>
  </conditionalFormatting>
  <conditionalFormatting sqref="F330">
    <cfRule type="cellIs" priority="976" operator="greaterThan" aboveAverage="0" equalAverage="0" bottom="0" percent="0" rank="0" text="" dxfId="10">
      <formula>30</formula>
    </cfRule>
  </conditionalFormatting>
  <conditionalFormatting sqref="G331">
    <cfRule type="cellIs" priority="977" operator="greaterThan" aboveAverage="0" equalAverage="0" bottom="0" percent="0" rank="0" text="" dxfId="1">
      <formula>0</formula>
    </cfRule>
    <cfRule type="cellIs" priority="978" operator="lessThanOrEqual" aboveAverage="0" equalAverage="0" bottom="0" percent="0" rank="0" text="" dxfId="0">
      <formula>0</formula>
    </cfRule>
  </conditionalFormatting>
  <conditionalFormatting sqref="F331">
    <cfRule type="cellIs" priority="979" operator="greaterThan" aboveAverage="0" equalAverage="0" bottom="0" percent="0" rank="0" text="" dxfId="10">
      <formula>30</formula>
    </cfRule>
  </conditionalFormatting>
  <conditionalFormatting sqref="G332">
    <cfRule type="cellIs" priority="980" operator="greaterThan" aboveAverage="0" equalAverage="0" bottom="0" percent="0" rank="0" text="" dxfId="1">
      <formula>0</formula>
    </cfRule>
    <cfRule type="cellIs" priority="981" operator="lessThanOrEqual" aboveAverage="0" equalAverage="0" bottom="0" percent="0" rank="0" text="" dxfId="0">
      <formula>0</formula>
    </cfRule>
  </conditionalFormatting>
  <conditionalFormatting sqref="F332">
    <cfRule type="cellIs" priority="982" operator="greaterThan" aboveAverage="0" equalAverage="0" bottom="0" percent="0" rank="0" text="" dxfId="10">
      <formula>30</formula>
    </cfRule>
  </conditionalFormatting>
  <conditionalFormatting sqref="G333">
    <cfRule type="cellIs" priority="983" operator="greaterThan" aboveAverage="0" equalAverage="0" bottom="0" percent="0" rank="0" text="" dxfId="1">
      <formula>0</formula>
    </cfRule>
    <cfRule type="cellIs" priority="984" operator="lessThanOrEqual" aboveAverage="0" equalAverage="0" bottom="0" percent="0" rank="0" text="" dxfId="0">
      <formula>0</formula>
    </cfRule>
  </conditionalFormatting>
  <conditionalFormatting sqref="F333">
    <cfRule type="cellIs" priority="985" operator="greaterThan" aboveAverage="0" equalAverage="0" bottom="0" percent="0" rank="0" text="" dxfId="10">
      <formula>30</formula>
    </cfRule>
  </conditionalFormatting>
  <conditionalFormatting sqref="G334">
    <cfRule type="cellIs" priority="986" operator="greaterThan" aboveAverage="0" equalAverage="0" bottom="0" percent="0" rank="0" text="" dxfId="1">
      <formula>0</formula>
    </cfRule>
    <cfRule type="cellIs" priority="987" operator="lessThanOrEqual" aboveAverage="0" equalAverage="0" bottom="0" percent="0" rank="0" text="" dxfId="0">
      <formula>0</formula>
    </cfRule>
  </conditionalFormatting>
  <conditionalFormatting sqref="F334">
    <cfRule type="cellIs" priority="988" operator="greaterThan" aboveAverage="0" equalAverage="0" bottom="0" percent="0" rank="0" text="" dxfId="10">
      <formula>30</formula>
    </cfRule>
  </conditionalFormatting>
  <conditionalFormatting sqref="G335">
    <cfRule type="cellIs" priority="989" operator="greaterThan" aboveAverage="0" equalAverage="0" bottom="0" percent="0" rank="0" text="" dxfId="1">
      <formula>0</formula>
    </cfRule>
    <cfRule type="cellIs" priority="990" operator="lessThanOrEqual" aboveAverage="0" equalAverage="0" bottom="0" percent="0" rank="0" text="" dxfId="0">
      <formula>0</formula>
    </cfRule>
  </conditionalFormatting>
  <conditionalFormatting sqref="F335">
    <cfRule type="cellIs" priority="991" operator="greaterThan" aboveAverage="0" equalAverage="0" bottom="0" percent="0" rank="0" text="" dxfId="10">
      <formula>30</formula>
    </cfRule>
  </conditionalFormatting>
  <conditionalFormatting sqref="G336">
    <cfRule type="cellIs" priority="992" operator="greaterThan" aboveAverage="0" equalAverage="0" bottom="0" percent="0" rank="0" text="" dxfId="1">
      <formula>0</formula>
    </cfRule>
    <cfRule type="cellIs" priority="993" operator="lessThanOrEqual" aboveAverage="0" equalAverage="0" bottom="0" percent="0" rank="0" text="" dxfId="0">
      <formula>0</formula>
    </cfRule>
  </conditionalFormatting>
  <conditionalFormatting sqref="F336">
    <cfRule type="cellIs" priority="994" operator="greaterThan" aboveAverage="0" equalAverage="0" bottom="0" percent="0" rank="0" text="" dxfId="10">
      <formula>30</formula>
    </cfRule>
  </conditionalFormatting>
  <conditionalFormatting sqref="G337">
    <cfRule type="cellIs" priority="995" operator="greaterThan" aboveAverage="0" equalAverage="0" bottom="0" percent="0" rank="0" text="" dxfId="1">
      <formula>0</formula>
    </cfRule>
    <cfRule type="cellIs" priority="996" operator="lessThanOrEqual" aboveAverage="0" equalAverage="0" bottom="0" percent="0" rank="0" text="" dxfId="0">
      <formula>0</formula>
    </cfRule>
  </conditionalFormatting>
  <conditionalFormatting sqref="F337">
    <cfRule type="cellIs" priority="997" operator="greaterThan" aboveAverage="0" equalAverage="0" bottom="0" percent="0" rank="0" text="" dxfId="10">
      <formula>30</formula>
    </cfRule>
  </conditionalFormatting>
  <conditionalFormatting sqref="G338">
    <cfRule type="cellIs" priority="998" operator="greaterThan" aboveAverage="0" equalAverage="0" bottom="0" percent="0" rank="0" text="" dxfId="1">
      <formula>0</formula>
    </cfRule>
    <cfRule type="cellIs" priority="999" operator="lessThanOrEqual" aboveAverage="0" equalAverage="0" bottom="0" percent="0" rank="0" text="" dxfId="0">
      <formula>0</formula>
    </cfRule>
  </conditionalFormatting>
  <conditionalFormatting sqref="F338">
    <cfRule type="cellIs" priority="1000" operator="greaterThan" aboveAverage="0" equalAverage="0" bottom="0" percent="0" rank="0" text="" dxfId="10">
      <formula>30</formula>
    </cfRule>
  </conditionalFormatting>
  <conditionalFormatting sqref="G339">
    <cfRule type="cellIs" priority="1001" operator="greaterThan" aboveAverage="0" equalAverage="0" bottom="0" percent="0" rank="0" text="" dxfId="1">
      <formula>0</formula>
    </cfRule>
    <cfRule type="cellIs" priority="1002" operator="lessThanOrEqual" aboveAverage="0" equalAverage="0" bottom="0" percent="0" rank="0" text="" dxfId="0">
      <formula>0</formula>
    </cfRule>
  </conditionalFormatting>
  <conditionalFormatting sqref="F339">
    <cfRule type="cellIs" priority="1003" operator="greaterThan" aboveAverage="0" equalAverage="0" bottom="0" percent="0" rank="0" text="" dxfId="10">
      <formula>30</formula>
    </cfRule>
  </conditionalFormatting>
  <conditionalFormatting sqref="G340">
    <cfRule type="cellIs" priority="1004" operator="greaterThan" aboveAverage="0" equalAverage="0" bottom="0" percent="0" rank="0" text="" dxfId="1">
      <formula>0</formula>
    </cfRule>
    <cfRule type="cellIs" priority="1005" operator="lessThanOrEqual" aboveAverage="0" equalAverage="0" bottom="0" percent="0" rank="0" text="" dxfId="0">
      <formula>0</formula>
    </cfRule>
  </conditionalFormatting>
  <conditionalFormatting sqref="F340">
    <cfRule type="cellIs" priority="1006" operator="greaterThan" aboveAverage="0" equalAverage="0" bottom="0" percent="0" rank="0" text="" dxfId="10">
      <formula>30</formula>
    </cfRule>
  </conditionalFormatting>
  <conditionalFormatting sqref="G341">
    <cfRule type="cellIs" priority="1007" operator="greaterThan" aboveAverage="0" equalAverage="0" bottom="0" percent="0" rank="0" text="" dxfId="1">
      <formula>0</formula>
    </cfRule>
    <cfRule type="cellIs" priority="1008" operator="lessThanOrEqual" aboveAverage="0" equalAverage="0" bottom="0" percent="0" rank="0" text="" dxfId="0">
      <formula>0</formula>
    </cfRule>
  </conditionalFormatting>
  <conditionalFormatting sqref="F341">
    <cfRule type="cellIs" priority="1009" operator="greaterThan" aboveAverage="0" equalAverage="0" bottom="0" percent="0" rank="0" text="" dxfId="10">
      <formula>30</formula>
    </cfRule>
  </conditionalFormatting>
  <conditionalFormatting sqref="G342">
    <cfRule type="cellIs" priority="1010" operator="greaterThan" aboveAverage="0" equalAverage="0" bottom="0" percent="0" rank="0" text="" dxfId="1">
      <formula>0</formula>
    </cfRule>
    <cfRule type="cellIs" priority="1011" operator="lessThanOrEqual" aboveAverage="0" equalAverage="0" bottom="0" percent="0" rank="0" text="" dxfId="0">
      <formula>0</formula>
    </cfRule>
  </conditionalFormatting>
  <conditionalFormatting sqref="F342">
    <cfRule type="cellIs" priority="1012" operator="greaterThan" aboveAverage="0" equalAverage="0" bottom="0" percent="0" rank="0" text="" dxfId="10">
      <formula>30</formula>
    </cfRule>
  </conditionalFormatting>
  <conditionalFormatting sqref="G343">
    <cfRule type="cellIs" priority="1013" operator="greaterThan" aboveAverage="0" equalAverage="0" bottom="0" percent="0" rank="0" text="" dxfId="1">
      <formula>0</formula>
    </cfRule>
    <cfRule type="cellIs" priority="1014" operator="lessThanOrEqual" aboveAverage="0" equalAverage="0" bottom="0" percent="0" rank="0" text="" dxfId="0">
      <formula>0</formula>
    </cfRule>
  </conditionalFormatting>
  <conditionalFormatting sqref="F343">
    <cfRule type="cellIs" priority="1015" operator="greaterThan" aboveAverage="0" equalAverage="0" bottom="0" percent="0" rank="0" text="" dxfId="10">
      <formula>30</formula>
    </cfRule>
  </conditionalFormatting>
  <conditionalFormatting sqref="G344">
    <cfRule type="cellIs" priority="1016" operator="greaterThan" aboveAverage="0" equalAverage="0" bottom="0" percent="0" rank="0" text="" dxfId="1">
      <formula>0</formula>
    </cfRule>
    <cfRule type="cellIs" priority="1017" operator="lessThanOrEqual" aboveAverage="0" equalAverage="0" bottom="0" percent="0" rank="0" text="" dxfId="0">
      <formula>0</formula>
    </cfRule>
  </conditionalFormatting>
  <conditionalFormatting sqref="F344">
    <cfRule type="cellIs" priority="1018" operator="greaterThan" aboveAverage="0" equalAverage="0" bottom="0" percent="0" rank="0" text="" dxfId="10">
      <formula>30</formula>
    </cfRule>
  </conditionalFormatting>
  <conditionalFormatting sqref="G345">
    <cfRule type="cellIs" priority="1019" operator="greaterThan" aboveAverage="0" equalAverage="0" bottom="0" percent="0" rank="0" text="" dxfId="1">
      <formula>0</formula>
    </cfRule>
    <cfRule type="cellIs" priority="1020" operator="lessThanOrEqual" aboveAverage="0" equalAverage="0" bottom="0" percent="0" rank="0" text="" dxfId="0">
      <formula>0</formula>
    </cfRule>
  </conditionalFormatting>
  <conditionalFormatting sqref="F345">
    <cfRule type="cellIs" priority="1021" operator="greaterThan" aboveAverage="0" equalAverage="0" bottom="0" percent="0" rank="0" text="" dxfId="10">
      <formula>30</formula>
    </cfRule>
  </conditionalFormatting>
  <conditionalFormatting sqref="G346">
    <cfRule type="cellIs" priority="1022" operator="greaterThan" aboveAverage="0" equalAverage="0" bottom="0" percent="0" rank="0" text="" dxfId="1">
      <formula>0</formula>
    </cfRule>
    <cfRule type="cellIs" priority="1023" operator="lessThanOrEqual" aboveAverage="0" equalAverage="0" bottom="0" percent="0" rank="0" text="" dxfId="0">
      <formula>0</formula>
    </cfRule>
  </conditionalFormatting>
  <conditionalFormatting sqref="F346">
    <cfRule type="cellIs" priority="1024" operator="greaterThan" aboveAverage="0" equalAverage="0" bottom="0" percent="0" rank="0" text="" dxfId="10">
      <formula>30</formula>
    </cfRule>
  </conditionalFormatting>
  <conditionalFormatting sqref="G347">
    <cfRule type="cellIs" priority="1025" operator="greaterThan" aboveAverage="0" equalAverage="0" bottom="0" percent="0" rank="0" text="" dxfId="1">
      <formula>0</formula>
    </cfRule>
    <cfRule type="cellIs" priority="1026" operator="lessThanOrEqual" aboveAverage="0" equalAverage="0" bottom="0" percent="0" rank="0" text="" dxfId="0">
      <formula>0</formula>
    </cfRule>
  </conditionalFormatting>
  <conditionalFormatting sqref="F347">
    <cfRule type="cellIs" priority="1027" operator="greaterThan" aboveAverage="0" equalAverage="0" bottom="0" percent="0" rank="0" text="" dxfId="10">
      <formula>30</formula>
    </cfRule>
  </conditionalFormatting>
  <conditionalFormatting sqref="G348">
    <cfRule type="cellIs" priority="1028" operator="greaterThan" aboveAverage="0" equalAverage="0" bottom="0" percent="0" rank="0" text="" dxfId="1">
      <formula>0</formula>
    </cfRule>
    <cfRule type="cellIs" priority="1029" operator="lessThanOrEqual" aboveAverage="0" equalAverage="0" bottom="0" percent="0" rank="0" text="" dxfId="0">
      <formula>0</formula>
    </cfRule>
  </conditionalFormatting>
  <conditionalFormatting sqref="F348">
    <cfRule type="cellIs" priority="1030" operator="greaterThan" aboveAverage="0" equalAverage="0" bottom="0" percent="0" rank="0" text="" dxfId="10">
      <formula>30</formula>
    </cfRule>
  </conditionalFormatting>
  <conditionalFormatting sqref="G349">
    <cfRule type="cellIs" priority="1031" operator="greaterThan" aboveAverage="0" equalAverage="0" bottom="0" percent="0" rank="0" text="" dxfId="1">
      <formula>0</formula>
    </cfRule>
    <cfRule type="cellIs" priority="1032" operator="lessThanOrEqual" aboveAverage="0" equalAverage="0" bottom="0" percent="0" rank="0" text="" dxfId="0">
      <formula>0</formula>
    </cfRule>
  </conditionalFormatting>
  <conditionalFormatting sqref="F349">
    <cfRule type="cellIs" priority="1033" operator="greaterThan" aboveAverage="0" equalAverage="0" bottom="0" percent="0" rank="0" text="" dxfId="10">
      <formula>30</formula>
    </cfRule>
  </conditionalFormatting>
  <conditionalFormatting sqref="G350">
    <cfRule type="cellIs" priority="1034" operator="greaterThan" aboveAverage="0" equalAverage="0" bottom="0" percent="0" rank="0" text="" dxfId="1">
      <formula>0</formula>
    </cfRule>
    <cfRule type="cellIs" priority="1035" operator="lessThanOrEqual" aboveAverage="0" equalAverage="0" bottom="0" percent="0" rank="0" text="" dxfId="0">
      <formula>0</formula>
    </cfRule>
  </conditionalFormatting>
  <conditionalFormatting sqref="F350">
    <cfRule type="cellIs" priority="1036" operator="greaterThan" aboveAverage="0" equalAverage="0" bottom="0" percent="0" rank="0" text="" dxfId="10">
      <formula>30</formula>
    </cfRule>
  </conditionalFormatting>
  <conditionalFormatting sqref="G351">
    <cfRule type="cellIs" priority="1037" operator="greaterThan" aboveAverage="0" equalAverage="0" bottom="0" percent="0" rank="0" text="" dxfId="1">
      <formula>0</formula>
    </cfRule>
    <cfRule type="cellIs" priority="1038" operator="lessThanOrEqual" aboveAverage="0" equalAverage="0" bottom="0" percent="0" rank="0" text="" dxfId="0">
      <formula>0</formula>
    </cfRule>
  </conditionalFormatting>
  <conditionalFormatting sqref="F351">
    <cfRule type="cellIs" priority="1039" operator="greaterThan" aboveAverage="0" equalAverage="0" bottom="0" percent="0" rank="0" text="" dxfId="10">
      <formula>30</formula>
    </cfRule>
  </conditionalFormatting>
  <conditionalFormatting sqref="G352">
    <cfRule type="cellIs" priority="1040" operator="greaterThan" aboveAverage="0" equalAverage="0" bottom="0" percent="0" rank="0" text="" dxfId="1">
      <formula>0</formula>
    </cfRule>
    <cfRule type="cellIs" priority="1041" operator="lessThanOrEqual" aboveAverage="0" equalAverage="0" bottom="0" percent="0" rank="0" text="" dxfId="0">
      <formula>0</formula>
    </cfRule>
  </conditionalFormatting>
  <conditionalFormatting sqref="F352">
    <cfRule type="cellIs" priority="1042" operator="greaterThan" aboveAverage="0" equalAverage="0" bottom="0" percent="0" rank="0" text="" dxfId="10">
      <formula>30</formula>
    </cfRule>
  </conditionalFormatting>
  <conditionalFormatting sqref="G353">
    <cfRule type="cellIs" priority="1043" operator="greaterThan" aboveAverage="0" equalAverage="0" bottom="0" percent="0" rank="0" text="" dxfId="1">
      <formula>0</formula>
    </cfRule>
    <cfRule type="cellIs" priority="1044" operator="lessThanOrEqual" aboveAverage="0" equalAverage="0" bottom="0" percent="0" rank="0" text="" dxfId="0">
      <formula>0</formula>
    </cfRule>
  </conditionalFormatting>
  <conditionalFormatting sqref="F353">
    <cfRule type="cellIs" priority="1045" operator="greaterThan" aboveAverage="0" equalAverage="0" bottom="0" percent="0" rank="0" text="" dxfId="10">
      <formula>30</formula>
    </cfRule>
  </conditionalFormatting>
  <conditionalFormatting sqref="G354">
    <cfRule type="cellIs" priority="1046" operator="greaterThan" aboveAverage="0" equalAverage="0" bottom="0" percent="0" rank="0" text="" dxfId="1">
      <formula>0</formula>
    </cfRule>
    <cfRule type="cellIs" priority="1047" operator="lessThanOrEqual" aboveAverage="0" equalAverage="0" bottom="0" percent="0" rank="0" text="" dxfId="0">
      <formula>0</formula>
    </cfRule>
  </conditionalFormatting>
  <conditionalFormatting sqref="F354">
    <cfRule type="cellIs" priority="1048" operator="greaterThan" aboveAverage="0" equalAverage="0" bottom="0" percent="0" rank="0" text="" dxfId="10">
      <formula>30</formula>
    </cfRule>
  </conditionalFormatting>
  <conditionalFormatting sqref="G355">
    <cfRule type="cellIs" priority="1049" operator="greaterThan" aboveAverage="0" equalAverage="0" bottom="0" percent="0" rank="0" text="" dxfId="1">
      <formula>0</formula>
    </cfRule>
    <cfRule type="cellIs" priority="1050" operator="lessThanOrEqual" aboveAverage="0" equalAverage="0" bottom="0" percent="0" rank="0" text="" dxfId="0">
      <formula>0</formula>
    </cfRule>
  </conditionalFormatting>
  <conditionalFormatting sqref="F355">
    <cfRule type="cellIs" priority="1051" operator="greaterThan" aboveAverage="0" equalAverage="0" bottom="0" percent="0" rank="0" text="" dxfId="10">
      <formula>30</formula>
    </cfRule>
  </conditionalFormatting>
  <conditionalFormatting sqref="G356">
    <cfRule type="cellIs" priority="1052" operator="greaterThan" aboveAverage="0" equalAverage="0" bottom="0" percent="0" rank="0" text="" dxfId="1">
      <formula>0</formula>
    </cfRule>
    <cfRule type="cellIs" priority="1053" operator="lessThanOrEqual" aboveAverage="0" equalAverage="0" bottom="0" percent="0" rank="0" text="" dxfId="0">
      <formula>0</formula>
    </cfRule>
  </conditionalFormatting>
  <conditionalFormatting sqref="F356">
    <cfRule type="cellIs" priority="1054" operator="greaterThan" aboveAverage="0" equalAverage="0" bottom="0" percent="0" rank="0" text="" dxfId="10">
      <formula>30</formula>
    </cfRule>
  </conditionalFormatting>
  <conditionalFormatting sqref="G357">
    <cfRule type="cellIs" priority="1055" operator="greaterThan" aboveAverage="0" equalAverage="0" bottom="0" percent="0" rank="0" text="" dxfId="1">
      <formula>0</formula>
    </cfRule>
    <cfRule type="cellIs" priority="1056" operator="lessThanOrEqual" aboveAverage="0" equalAverage="0" bottom="0" percent="0" rank="0" text="" dxfId="0">
      <formula>0</formula>
    </cfRule>
  </conditionalFormatting>
  <conditionalFormatting sqref="F357">
    <cfRule type="cellIs" priority="1057" operator="greaterThan" aboveAverage="0" equalAverage="0" bottom="0" percent="0" rank="0" text="" dxfId="10">
      <formula>30</formula>
    </cfRule>
  </conditionalFormatting>
  <conditionalFormatting sqref="G358">
    <cfRule type="cellIs" priority="1058" operator="greaterThan" aboveAverage="0" equalAverage="0" bottom="0" percent="0" rank="0" text="" dxfId="1">
      <formula>0</formula>
    </cfRule>
    <cfRule type="cellIs" priority="1059" operator="lessThanOrEqual" aboveAverage="0" equalAverage="0" bottom="0" percent="0" rank="0" text="" dxfId="0">
      <formula>0</formula>
    </cfRule>
  </conditionalFormatting>
  <conditionalFormatting sqref="F358">
    <cfRule type="cellIs" priority="1060" operator="greaterThan" aboveAverage="0" equalAverage="0" bottom="0" percent="0" rank="0" text="" dxfId="10">
      <formula>30</formula>
    </cfRule>
  </conditionalFormatting>
  <conditionalFormatting sqref="G359">
    <cfRule type="cellIs" priority="1061" operator="greaterThan" aboveAverage="0" equalAverage="0" bottom="0" percent="0" rank="0" text="" dxfId="1">
      <formula>0</formula>
    </cfRule>
    <cfRule type="cellIs" priority="1062" operator="lessThanOrEqual" aboveAverage="0" equalAverage="0" bottom="0" percent="0" rank="0" text="" dxfId="0">
      <formula>0</formula>
    </cfRule>
  </conditionalFormatting>
  <conditionalFormatting sqref="F359">
    <cfRule type="cellIs" priority="1063" operator="greaterThan" aboveAverage="0" equalAverage="0" bottom="0" percent="0" rank="0" text="" dxfId="10">
      <formula>30</formula>
    </cfRule>
  </conditionalFormatting>
  <conditionalFormatting sqref="G360">
    <cfRule type="cellIs" priority="1064" operator="greaterThan" aboveAverage="0" equalAverage="0" bottom="0" percent="0" rank="0" text="" dxfId="1">
      <formula>0</formula>
    </cfRule>
    <cfRule type="cellIs" priority="1065" operator="lessThanOrEqual" aboveAverage="0" equalAverage="0" bottom="0" percent="0" rank="0" text="" dxfId="0">
      <formula>0</formula>
    </cfRule>
  </conditionalFormatting>
  <conditionalFormatting sqref="F360">
    <cfRule type="cellIs" priority="1066" operator="greaterThan" aboveAverage="0" equalAverage="0" bottom="0" percent="0" rank="0" text="" dxfId="10">
      <formula>30</formula>
    </cfRule>
  </conditionalFormatting>
  <conditionalFormatting sqref="G361">
    <cfRule type="cellIs" priority="1067" operator="greaterThan" aboveAverage="0" equalAverage="0" bottom="0" percent="0" rank="0" text="" dxfId="1">
      <formula>0</formula>
    </cfRule>
    <cfRule type="cellIs" priority="1068" operator="lessThanOrEqual" aboveAverage="0" equalAverage="0" bottom="0" percent="0" rank="0" text="" dxfId="0">
      <formula>0</formula>
    </cfRule>
  </conditionalFormatting>
  <conditionalFormatting sqref="F361">
    <cfRule type="cellIs" priority="1069" operator="greaterThan" aboveAverage="0" equalAverage="0" bottom="0" percent="0" rank="0" text="" dxfId="10">
      <formula>30</formula>
    </cfRule>
  </conditionalFormatting>
  <conditionalFormatting sqref="G362">
    <cfRule type="cellIs" priority="1070" operator="greaterThan" aboveAverage="0" equalAverage="0" bottom="0" percent="0" rank="0" text="" dxfId="1">
      <formula>0</formula>
    </cfRule>
    <cfRule type="cellIs" priority="1071" operator="lessThanOrEqual" aboveAverage="0" equalAverage="0" bottom="0" percent="0" rank="0" text="" dxfId="0">
      <formula>0</formula>
    </cfRule>
  </conditionalFormatting>
  <conditionalFormatting sqref="F362">
    <cfRule type="cellIs" priority="1072" operator="greaterThan" aboveAverage="0" equalAverage="0" bottom="0" percent="0" rank="0" text="" dxfId="10">
      <formula>30</formula>
    </cfRule>
  </conditionalFormatting>
  <conditionalFormatting sqref="G363">
    <cfRule type="cellIs" priority="1073" operator="greaterThan" aboveAverage="0" equalAverage="0" bottom="0" percent="0" rank="0" text="" dxfId="1">
      <formula>0</formula>
    </cfRule>
    <cfRule type="cellIs" priority="1074" operator="lessThanOrEqual" aboveAverage="0" equalAverage="0" bottom="0" percent="0" rank="0" text="" dxfId="0">
      <formula>0</formula>
    </cfRule>
  </conditionalFormatting>
  <conditionalFormatting sqref="F363">
    <cfRule type="cellIs" priority="1075" operator="greaterThan" aboveAverage="0" equalAverage="0" bottom="0" percent="0" rank="0" text="" dxfId="10">
      <formula>30</formula>
    </cfRule>
  </conditionalFormatting>
  <conditionalFormatting sqref="G364">
    <cfRule type="cellIs" priority="1076" operator="greaterThan" aboveAverage="0" equalAverage="0" bottom="0" percent="0" rank="0" text="" dxfId="1">
      <formula>0</formula>
    </cfRule>
    <cfRule type="cellIs" priority="1077" operator="lessThanOrEqual" aboveAverage="0" equalAverage="0" bottom="0" percent="0" rank="0" text="" dxfId="0">
      <formula>0</formula>
    </cfRule>
  </conditionalFormatting>
  <conditionalFormatting sqref="F364">
    <cfRule type="cellIs" priority="1078" operator="greaterThan" aboveAverage="0" equalAverage="0" bottom="0" percent="0" rank="0" text="" dxfId="10">
      <formula>30</formula>
    </cfRule>
  </conditionalFormatting>
  <conditionalFormatting sqref="G365">
    <cfRule type="cellIs" priority="1079" operator="greaterThan" aboveAverage="0" equalAverage="0" bottom="0" percent="0" rank="0" text="" dxfId="1">
      <formula>0</formula>
    </cfRule>
    <cfRule type="cellIs" priority="1080" operator="lessThanOrEqual" aboveAverage="0" equalAverage="0" bottom="0" percent="0" rank="0" text="" dxfId="0">
      <formula>0</formula>
    </cfRule>
  </conditionalFormatting>
  <conditionalFormatting sqref="F365">
    <cfRule type="cellIs" priority="1081" operator="greaterThan" aboveAverage="0" equalAverage="0" bottom="0" percent="0" rank="0" text="" dxfId="10">
      <formula>30</formula>
    </cfRule>
  </conditionalFormatting>
  <conditionalFormatting sqref="G366">
    <cfRule type="cellIs" priority="1082" operator="greaterThan" aboveAverage="0" equalAverage="0" bottom="0" percent="0" rank="0" text="" dxfId="1">
      <formula>0</formula>
    </cfRule>
    <cfRule type="cellIs" priority="1083" operator="lessThanOrEqual" aboveAverage="0" equalAverage="0" bottom="0" percent="0" rank="0" text="" dxfId="0">
      <formula>0</formula>
    </cfRule>
  </conditionalFormatting>
  <conditionalFormatting sqref="F366">
    <cfRule type="cellIs" priority="1084" operator="greaterThan" aboveAverage="0" equalAverage="0" bottom="0" percent="0" rank="0" text="" dxfId="10">
      <formula>30</formula>
    </cfRule>
  </conditionalFormatting>
  <conditionalFormatting sqref="G367">
    <cfRule type="cellIs" priority="1085" operator="greaterThan" aboveAverage="0" equalAverage="0" bottom="0" percent="0" rank="0" text="" dxfId="1">
      <formula>0</formula>
    </cfRule>
    <cfRule type="cellIs" priority="1086" operator="lessThanOrEqual" aboveAverage="0" equalAverage="0" bottom="0" percent="0" rank="0" text="" dxfId="0">
      <formula>0</formula>
    </cfRule>
  </conditionalFormatting>
  <conditionalFormatting sqref="F367">
    <cfRule type="cellIs" priority="1087" operator="greaterThan" aboveAverage="0" equalAverage="0" bottom="0" percent="0" rank="0" text="" dxfId="10">
      <formula>30</formula>
    </cfRule>
  </conditionalFormatting>
  <conditionalFormatting sqref="G368">
    <cfRule type="cellIs" priority="1088" operator="greaterThan" aboveAverage="0" equalAverage="0" bottom="0" percent="0" rank="0" text="" dxfId="1">
      <formula>0</formula>
    </cfRule>
    <cfRule type="cellIs" priority="1089" operator="lessThanOrEqual" aboveAverage="0" equalAverage="0" bottom="0" percent="0" rank="0" text="" dxfId="0">
      <formula>0</formula>
    </cfRule>
  </conditionalFormatting>
  <conditionalFormatting sqref="F368">
    <cfRule type="cellIs" priority="1090" operator="greaterThan" aboveAverage="0" equalAverage="0" bottom="0" percent="0" rank="0" text="" dxfId="10">
      <formula>30</formula>
    </cfRule>
  </conditionalFormatting>
  <conditionalFormatting sqref="G369">
    <cfRule type="cellIs" priority="1091" operator="greaterThan" aboveAverage="0" equalAverage="0" bottom="0" percent="0" rank="0" text="" dxfId="1">
      <formula>0</formula>
    </cfRule>
    <cfRule type="cellIs" priority="1092" operator="lessThanOrEqual" aboveAverage="0" equalAverage="0" bottom="0" percent="0" rank="0" text="" dxfId="0">
      <formula>0</formula>
    </cfRule>
  </conditionalFormatting>
  <conditionalFormatting sqref="F369">
    <cfRule type="cellIs" priority="1093" operator="greaterThan" aboveAverage="0" equalAverage="0" bottom="0" percent="0" rank="0" text="" dxfId="10">
      <formula>30</formula>
    </cfRule>
  </conditionalFormatting>
  <conditionalFormatting sqref="G370">
    <cfRule type="cellIs" priority="1094" operator="greaterThan" aboveAverage="0" equalAverage="0" bottom="0" percent="0" rank="0" text="" dxfId="1">
      <formula>0</formula>
    </cfRule>
    <cfRule type="cellIs" priority="1095" operator="lessThanOrEqual" aboveAverage="0" equalAverage="0" bottom="0" percent="0" rank="0" text="" dxfId="0">
      <formula>0</formula>
    </cfRule>
  </conditionalFormatting>
  <conditionalFormatting sqref="F370">
    <cfRule type="cellIs" priority="1096" operator="greaterThan" aboveAverage="0" equalAverage="0" bottom="0" percent="0" rank="0" text="" dxfId="10">
      <formula>30</formula>
    </cfRule>
  </conditionalFormatting>
  <conditionalFormatting sqref="G371">
    <cfRule type="cellIs" priority="1097" operator="greaterThan" aboveAverage="0" equalAverage="0" bottom="0" percent="0" rank="0" text="" dxfId="1">
      <formula>0</formula>
    </cfRule>
    <cfRule type="cellIs" priority="1098" operator="lessThanOrEqual" aboveAverage="0" equalAverage="0" bottom="0" percent="0" rank="0" text="" dxfId="0">
      <formula>0</formula>
    </cfRule>
  </conditionalFormatting>
  <conditionalFormatting sqref="F371">
    <cfRule type="cellIs" priority="1099" operator="greaterThan" aboveAverage="0" equalAverage="0" bottom="0" percent="0" rank="0" text="" dxfId="10">
      <formula>30</formula>
    </cfRule>
  </conditionalFormatting>
  <conditionalFormatting sqref="G372">
    <cfRule type="cellIs" priority="1100" operator="greaterThan" aboveAverage="0" equalAverage="0" bottom="0" percent="0" rank="0" text="" dxfId="1">
      <formula>0</formula>
    </cfRule>
    <cfRule type="cellIs" priority="1101" operator="lessThanOrEqual" aboveAverage="0" equalAverage="0" bottom="0" percent="0" rank="0" text="" dxfId="0">
      <formula>0</formula>
    </cfRule>
  </conditionalFormatting>
  <conditionalFormatting sqref="F372">
    <cfRule type="cellIs" priority="1102" operator="greaterThan" aboveAverage="0" equalAverage="0" bottom="0" percent="0" rank="0" text="" dxfId="10">
      <formula>30</formula>
    </cfRule>
  </conditionalFormatting>
  <conditionalFormatting sqref="G373">
    <cfRule type="cellIs" priority="1103" operator="greaterThan" aboveAverage="0" equalAverage="0" bottom="0" percent="0" rank="0" text="" dxfId="1">
      <formula>0</formula>
    </cfRule>
    <cfRule type="cellIs" priority="1104" operator="lessThanOrEqual" aboveAverage="0" equalAverage="0" bottom="0" percent="0" rank="0" text="" dxfId="0">
      <formula>0</formula>
    </cfRule>
  </conditionalFormatting>
  <conditionalFormatting sqref="F373">
    <cfRule type="cellIs" priority="1105" operator="greaterThan" aboveAverage="0" equalAverage="0" bottom="0" percent="0" rank="0" text="" dxfId="10">
      <formula>30</formula>
    </cfRule>
  </conditionalFormatting>
  <conditionalFormatting sqref="G374">
    <cfRule type="cellIs" priority="1106" operator="greaterThan" aboveAverage="0" equalAverage="0" bottom="0" percent="0" rank="0" text="" dxfId="1">
      <formula>0</formula>
    </cfRule>
    <cfRule type="cellIs" priority="1107" operator="lessThanOrEqual" aboveAverage="0" equalAverage="0" bottom="0" percent="0" rank="0" text="" dxfId="0">
      <formula>0</formula>
    </cfRule>
  </conditionalFormatting>
  <conditionalFormatting sqref="F374">
    <cfRule type="cellIs" priority="1108" operator="greaterThan" aboveAverage="0" equalAverage="0" bottom="0" percent="0" rank="0" text="" dxfId="10">
      <formula>30</formula>
    </cfRule>
  </conditionalFormatting>
  <conditionalFormatting sqref="G375">
    <cfRule type="cellIs" priority="1109" operator="greaterThan" aboveAverage="0" equalAverage="0" bottom="0" percent="0" rank="0" text="" dxfId="1">
      <formula>0</formula>
    </cfRule>
    <cfRule type="cellIs" priority="1110" operator="lessThanOrEqual" aboveAverage="0" equalAverage="0" bottom="0" percent="0" rank="0" text="" dxfId="0">
      <formula>0</formula>
    </cfRule>
  </conditionalFormatting>
  <conditionalFormatting sqref="F375">
    <cfRule type="cellIs" priority="1111" operator="greaterThan" aboveAverage="0" equalAverage="0" bottom="0" percent="0" rank="0" text="" dxfId="10">
      <formula>30</formula>
    </cfRule>
  </conditionalFormatting>
  <conditionalFormatting sqref="G376">
    <cfRule type="cellIs" priority="1112" operator="greaterThan" aboveAverage="0" equalAverage="0" bottom="0" percent="0" rank="0" text="" dxfId="1">
      <formula>0</formula>
    </cfRule>
    <cfRule type="cellIs" priority="1113" operator="lessThanOrEqual" aboveAverage="0" equalAverage="0" bottom="0" percent="0" rank="0" text="" dxfId="0">
      <formula>0</formula>
    </cfRule>
  </conditionalFormatting>
  <conditionalFormatting sqref="F376">
    <cfRule type="cellIs" priority="1114" operator="greaterThan" aboveAverage="0" equalAverage="0" bottom="0" percent="0" rank="0" text="" dxfId="10">
      <formula>30</formula>
    </cfRule>
  </conditionalFormatting>
  <conditionalFormatting sqref="G377">
    <cfRule type="cellIs" priority="1115" operator="greaterThan" aboveAverage="0" equalAverage="0" bottom="0" percent="0" rank="0" text="" dxfId="1">
      <formula>0</formula>
    </cfRule>
    <cfRule type="cellIs" priority="1116" operator="lessThanOrEqual" aboveAverage="0" equalAverage="0" bottom="0" percent="0" rank="0" text="" dxfId="0">
      <formula>0</formula>
    </cfRule>
  </conditionalFormatting>
  <conditionalFormatting sqref="F377">
    <cfRule type="cellIs" priority="1117" operator="greaterThan" aboveAverage="0" equalAverage="0" bottom="0" percent="0" rank="0" text="" dxfId="10">
      <formula>30</formula>
    </cfRule>
  </conditionalFormatting>
  <conditionalFormatting sqref="G378">
    <cfRule type="cellIs" priority="1118" operator="greaterThan" aboveAverage="0" equalAverage="0" bottom="0" percent="0" rank="0" text="" dxfId="1">
      <formula>0</formula>
    </cfRule>
    <cfRule type="cellIs" priority="1119" operator="lessThanOrEqual" aboveAverage="0" equalAverage="0" bottom="0" percent="0" rank="0" text="" dxfId="0">
      <formula>0</formula>
    </cfRule>
  </conditionalFormatting>
  <conditionalFormatting sqref="F378">
    <cfRule type="cellIs" priority="1120" operator="greaterThan" aboveAverage="0" equalAverage="0" bottom="0" percent="0" rank="0" text="" dxfId="10">
      <formula>30</formula>
    </cfRule>
  </conditionalFormatting>
  <conditionalFormatting sqref="G379">
    <cfRule type="cellIs" priority="1121" operator="greaterThan" aboveAverage="0" equalAverage="0" bottom="0" percent="0" rank="0" text="" dxfId="1">
      <formula>0</formula>
    </cfRule>
    <cfRule type="cellIs" priority="1122" operator="lessThanOrEqual" aboveAverage="0" equalAverage="0" bottom="0" percent="0" rank="0" text="" dxfId="0">
      <formula>0</formula>
    </cfRule>
  </conditionalFormatting>
  <conditionalFormatting sqref="F379">
    <cfRule type="cellIs" priority="1123" operator="greaterThan" aboveAverage="0" equalAverage="0" bottom="0" percent="0" rank="0" text="" dxfId="10">
      <formula>30</formula>
    </cfRule>
  </conditionalFormatting>
  <conditionalFormatting sqref="G380">
    <cfRule type="cellIs" priority="1124" operator="greaterThan" aboveAverage="0" equalAverage="0" bottom="0" percent="0" rank="0" text="" dxfId="1">
      <formula>0</formula>
    </cfRule>
    <cfRule type="cellIs" priority="1125" operator="lessThanOrEqual" aboveAverage="0" equalAverage="0" bottom="0" percent="0" rank="0" text="" dxfId="0">
      <formula>0</formula>
    </cfRule>
  </conditionalFormatting>
  <conditionalFormatting sqref="F380">
    <cfRule type="cellIs" priority="1126" operator="greaterThan" aboveAverage="0" equalAverage="0" bottom="0" percent="0" rank="0" text="" dxfId="10">
      <formula>30</formula>
    </cfRule>
  </conditionalFormatting>
  <conditionalFormatting sqref="G381">
    <cfRule type="cellIs" priority="1127" operator="greaterThan" aboveAverage="0" equalAverage="0" bottom="0" percent="0" rank="0" text="" dxfId="1">
      <formula>0</formula>
    </cfRule>
    <cfRule type="cellIs" priority="1128" operator="lessThanOrEqual" aboveAverage="0" equalAverage="0" bottom="0" percent="0" rank="0" text="" dxfId="0">
      <formula>0</formula>
    </cfRule>
  </conditionalFormatting>
  <conditionalFormatting sqref="F381">
    <cfRule type="cellIs" priority="1129" operator="greaterThan" aboveAverage="0" equalAverage="0" bottom="0" percent="0" rank="0" text="" dxfId="10">
      <formula>30</formula>
    </cfRule>
  </conditionalFormatting>
  <conditionalFormatting sqref="G382">
    <cfRule type="cellIs" priority="1130" operator="greaterThan" aboveAverage="0" equalAverage="0" bottom="0" percent="0" rank="0" text="" dxfId="1">
      <formula>0</formula>
    </cfRule>
    <cfRule type="cellIs" priority="1131" operator="lessThanOrEqual" aboveAverage="0" equalAverage="0" bottom="0" percent="0" rank="0" text="" dxfId="0">
      <formula>0</formula>
    </cfRule>
  </conditionalFormatting>
  <conditionalFormatting sqref="F382">
    <cfRule type="cellIs" priority="1132" operator="greaterThan" aboveAverage="0" equalAverage="0" bottom="0" percent="0" rank="0" text="" dxfId="10">
      <formula>30</formula>
    </cfRule>
  </conditionalFormatting>
  <conditionalFormatting sqref="G383">
    <cfRule type="cellIs" priority="1133" operator="greaterThan" aboveAverage="0" equalAverage="0" bottom="0" percent="0" rank="0" text="" dxfId="1">
      <formula>0</formula>
    </cfRule>
    <cfRule type="cellIs" priority="1134" operator="lessThanOrEqual" aboveAverage="0" equalAverage="0" bottom="0" percent="0" rank="0" text="" dxfId="0">
      <formula>0</formula>
    </cfRule>
  </conditionalFormatting>
  <conditionalFormatting sqref="F383">
    <cfRule type="cellIs" priority="1135" operator="greaterThan" aboveAverage="0" equalAverage="0" bottom="0" percent="0" rank="0" text="" dxfId="10">
      <formula>30</formula>
    </cfRule>
  </conditionalFormatting>
  <conditionalFormatting sqref="G384">
    <cfRule type="cellIs" priority="1136" operator="greaterThan" aboveAverage="0" equalAverage="0" bottom="0" percent="0" rank="0" text="" dxfId="1">
      <formula>0</formula>
    </cfRule>
    <cfRule type="cellIs" priority="1137" operator="lessThanOrEqual" aboveAverage="0" equalAverage="0" bottom="0" percent="0" rank="0" text="" dxfId="0">
      <formula>0</formula>
    </cfRule>
  </conditionalFormatting>
  <conditionalFormatting sqref="F384">
    <cfRule type="cellIs" priority="1138" operator="greaterThan" aboveAverage="0" equalAverage="0" bottom="0" percent="0" rank="0" text="" dxfId="10">
      <formula>30</formula>
    </cfRule>
  </conditionalFormatting>
  <conditionalFormatting sqref="G385">
    <cfRule type="cellIs" priority="1139" operator="greaterThan" aboveAverage="0" equalAverage="0" bottom="0" percent="0" rank="0" text="" dxfId="1">
      <formula>0</formula>
    </cfRule>
    <cfRule type="cellIs" priority="1140" operator="lessThanOrEqual" aboveAverage="0" equalAverage="0" bottom="0" percent="0" rank="0" text="" dxfId="0">
      <formula>0</formula>
    </cfRule>
  </conditionalFormatting>
  <conditionalFormatting sqref="F385">
    <cfRule type="cellIs" priority="1141" operator="greaterThan" aboveAverage="0" equalAverage="0" bottom="0" percent="0" rank="0" text="" dxfId="10">
      <formula>30</formula>
    </cfRule>
  </conditionalFormatting>
  <conditionalFormatting sqref="G386">
    <cfRule type="cellIs" priority="1142" operator="greaterThan" aboveAverage="0" equalAverage="0" bottom="0" percent="0" rank="0" text="" dxfId="1">
      <formula>0</formula>
    </cfRule>
    <cfRule type="cellIs" priority="1143" operator="lessThanOrEqual" aboveAverage="0" equalAverage="0" bottom="0" percent="0" rank="0" text="" dxfId="0">
      <formula>0</formula>
    </cfRule>
  </conditionalFormatting>
  <conditionalFormatting sqref="F386">
    <cfRule type="cellIs" priority="1144" operator="greaterThan" aboveAverage="0" equalAverage="0" bottom="0" percent="0" rank="0" text="" dxfId="10">
      <formula>30</formula>
    </cfRule>
  </conditionalFormatting>
  <conditionalFormatting sqref="G387">
    <cfRule type="cellIs" priority="1145" operator="greaterThan" aboveAverage="0" equalAverage="0" bottom="0" percent="0" rank="0" text="" dxfId="1">
      <formula>0</formula>
    </cfRule>
    <cfRule type="cellIs" priority="1146" operator="lessThanOrEqual" aboveAverage="0" equalAverage="0" bottom="0" percent="0" rank="0" text="" dxfId="0">
      <formula>0</formula>
    </cfRule>
  </conditionalFormatting>
  <conditionalFormatting sqref="F387">
    <cfRule type="cellIs" priority="1147" operator="greaterThan" aboveAverage="0" equalAverage="0" bottom="0" percent="0" rank="0" text="" dxfId="10">
      <formula>30</formula>
    </cfRule>
  </conditionalFormatting>
  <conditionalFormatting sqref="G388">
    <cfRule type="cellIs" priority="1148" operator="greaterThan" aboveAverage="0" equalAverage="0" bottom="0" percent="0" rank="0" text="" dxfId="1">
      <formula>0</formula>
    </cfRule>
    <cfRule type="cellIs" priority="1149" operator="lessThanOrEqual" aboveAverage="0" equalAverage="0" bottom="0" percent="0" rank="0" text="" dxfId="0">
      <formula>0</formula>
    </cfRule>
  </conditionalFormatting>
  <conditionalFormatting sqref="F388">
    <cfRule type="cellIs" priority="1150" operator="greaterThan" aboveAverage="0" equalAverage="0" bottom="0" percent="0" rank="0" text="" dxfId="10">
      <formula>30</formula>
    </cfRule>
  </conditionalFormatting>
  <conditionalFormatting sqref="G389">
    <cfRule type="cellIs" priority="1151" operator="greaterThan" aboveAverage="0" equalAverage="0" bottom="0" percent="0" rank="0" text="" dxfId="1">
      <formula>0</formula>
    </cfRule>
    <cfRule type="cellIs" priority="1152" operator="lessThanOrEqual" aboveAverage="0" equalAverage="0" bottom="0" percent="0" rank="0" text="" dxfId="0">
      <formula>0</formula>
    </cfRule>
  </conditionalFormatting>
  <conditionalFormatting sqref="F389">
    <cfRule type="cellIs" priority="1153" operator="greaterThan" aboveAverage="0" equalAverage="0" bottom="0" percent="0" rank="0" text="" dxfId="10">
      <formula>30</formula>
    </cfRule>
  </conditionalFormatting>
  <conditionalFormatting sqref="G390">
    <cfRule type="cellIs" priority="1154" operator="greaterThan" aboveAverage="0" equalAverage="0" bottom="0" percent="0" rank="0" text="" dxfId="1">
      <formula>0</formula>
    </cfRule>
    <cfRule type="cellIs" priority="1155" operator="lessThanOrEqual" aboveAverage="0" equalAverage="0" bottom="0" percent="0" rank="0" text="" dxfId="0">
      <formula>0</formula>
    </cfRule>
  </conditionalFormatting>
  <conditionalFormatting sqref="F390">
    <cfRule type="cellIs" priority="1156" operator="greaterThan" aboveAverage="0" equalAverage="0" bottom="0" percent="0" rank="0" text="" dxfId="10">
      <formula>30</formula>
    </cfRule>
  </conditionalFormatting>
  <conditionalFormatting sqref="G391">
    <cfRule type="cellIs" priority="1157" operator="greaterThan" aboveAverage="0" equalAverage="0" bottom="0" percent="0" rank="0" text="" dxfId="1">
      <formula>0</formula>
    </cfRule>
    <cfRule type="cellIs" priority="1158" operator="lessThanOrEqual" aboveAverage="0" equalAverage="0" bottom="0" percent="0" rank="0" text="" dxfId="0">
      <formula>0</formula>
    </cfRule>
  </conditionalFormatting>
  <conditionalFormatting sqref="F391">
    <cfRule type="cellIs" priority="1159" operator="greaterThan" aboveAverage="0" equalAverage="0" bottom="0" percent="0" rank="0" text="" dxfId="10">
      <formula>30</formula>
    </cfRule>
  </conditionalFormatting>
  <conditionalFormatting sqref="G392">
    <cfRule type="cellIs" priority="1160" operator="greaterThan" aboveAverage="0" equalAverage="0" bottom="0" percent="0" rank="0" text="" dxfId="1">
      <formula>0</formula>
    </cfRule>
    <cfRule type="cellIs" priority="1161" operator="lessThanOrEqual" aboveAverage="0" equalAverage="0" bottom="0" percent="0" rank="0" text="" dxfId="0">
      <formula>0</formula>
    </cfRule>
  </conditionalFormatting>
  <conditionalFormatting sqref="F392">
    <cfRule type="cellIs" priority="1162" operator="greaterThan" aboveAverage="0" equalAverage="0" bottom="0" percent="0" rank="0" text="" dxfId="10">
      <formula>30</formula>
    </cfRule>
  </conditionalFormatting>
  <conditionalFormatting sqref="G393">
    <cfRule type="cellIs" priority="1163" operator="greaterThan" aboveAverage="0" equalAverage="0" bottom="0" percent="0" rank="0" text="" dxfId="1">
      <formula>0</formula>
    </cfRule>
    <cfRule type="cellIs" priority="1164" operator="lessThanOrEqual" aboveAverage="0" equalAverage="0" bottom="0" percent="0" rank="0" text="" dxfId="0">
      <formula>0</formula>
    </cfRule>
  </conditionalFormatting>
  <conditionalFormatting sqref="F393">
    <cfRule type="cellIs" priority="1165" operator="greaterThan" aboveAverage="0" equalAverage="0" bottom="0" percent="0" rank="0" text="" dxfId="10">
      <formula>30</formula>
    </cfRule>
  </conditionalFormatting>
  <conditionalFormatting sqref="G394">
    <cfRule type="cellIs" priority="1166" operator="greaterThan" aboveAverage="0" equalAverage="0" bottom="0" percent="0" rank="0" text="" dxfId="1">
      <formula>0</formula>
    </cfRule>
    <cfRule type="cellIs" priority="1167" operator="lessThanOrEqual" aboveAverage="0" equalAverage="0" bottom="0" percent="0" rank="0" text="" dxfId="0">
      <formula>0</formula>
    </cfRule>
  </conditionalFormatting>
  <conditionalFormatting sqref="F394">
    <cfRule type="cellIs" priority="1168" operator="greaterThan" aboveAverage="0" equalAverage="0" bottom="0" percent="0" rank="0" text="" dxfId="10">
      <formula>30</formula>
    </cfRule>
  </conditionalFormatting>
  <conditionalFormatting sqref="G395">
    <cfRule type="cellIs" priority="1169" operator="greaterThan" aboveAverage="0" equalAverage="0" bottom="0" percent="0" rank="0" text="" dxfId="1">
      <formula>0</formula>
    </cfRule>
    <cfRule type="cellIs" priority="1170" operator="lessThanOrEqual" aboveAverage="0" equalAverage="0" bottom="0" percent="0" rank="0" text="" dxfId="0">
      <formula>0</formula>
    </cfRule>
  </conditionalFormatting>
  <conditionalFormatting sqref="F395">
    <cfRule type="cellIs" priority="1171" operator="greaterThan" aboveAverage="0" equalAverage="0" bottom="0" percent="0" rank="0" text="" dxfId="10">
      <formula>30</formula>
    </cfRule>
  </conditionalFormatting>
  <conditionalFormatting sqref="G396">
    <cfRule type="cellIs" priority="1172" operator="greaterThan" aboveAverage="0" equalAverage="0" bottom="0" percent="0" rank="0" text="" dxfId="1">
      <formula>0</formula>
    </cfRule>
    <cfRule type="cellIs" priority="1173" operator="lessThanOrEqual" aboveAverage="0" equalAverage="0" bottom="0" percent="0" rank="0" text="" dxfId="0">
      <formula>0</formula>
    </cfRule>
  </conditionalFormatting>
  <conditionalFormatting sqref="F396">
    <cfRule type="cellIs" priority="1174" operator="greaterThan" aboveAverage="0" equalAverage="0" bottom="0" percent="0" rank="0" text="" dxfId="10">
      <formula>30</formula>
    </cfRule>
  </conditionalFormatting>
  <conditionalFormatting sqref="G397">
    <cfRule type="cellIs" priority="1175" operator="greaterThan" aboveAverage="0" equalAverage="0" bottom="0" percent="0" rank="0" text="" dxfId="1">
      <formula>0</formula>
    </cfRule>
    <cfRule type="cellIs" priority="1176" operator="lessThanOrEqual" aboveAverage="0" equalAverage="0" bottom="0" percent="0" rank="0" text="" dxfId="0">
      <formula>0</formula>
    </cfRule>
  </conditionalFormatting>
  <conditionalFormatting sqref="F397">
    <cfRule type="cellIs" priority="1177" operator="greaterThan" aboveAverage="0" equalAverage="0" bottom="0" percent="0" rank="0" text="" dxfId="10">
      <formula>30</formula>
    </cfRule>
  </conditionalFormatting>
  <conditionalFormatting sqref="G398">
    <cfRule type="cellIs" priority="1178" operator="greaterThan" aboveAverage="0" equalAverage="0" bottom="0" percent="0" rank="0" text="" dxfId="1">
      <formula>0</formula>
    </cfRule>
    <cfRule type="cellIs" priority="1179" operator="lessThanOrEqual" aboveAverage="0" equalAverage="0" bottom="0" percent="0" rank="0" text="" dxfId="0">
      <formula>0</formula>
    </cfRule>
  </conditionalFormatting>
  <conditionalFormatting sqref="F398">
    <cfRule type="cellIs" priority="1180" operator="greaterThan" aboveAverage="0" equalAverage="0" bottom="0" percent="0" rank="0" text="" dxfId="10">
      <formula>30</formula>
    </cfRule>
  </conditionalFormatting>
  <conditionalFormatting sqref="G399">
    <cfRule type="cellIs" priority="1181" operator="greaterThan" aboveAverage="0" equalAverage="0" bottom="0" percent="0" rank="0" text="" dxfId="1">
      <formula>0</formula>
    </cfRule>
    <cfRule type="cellIs" priority="1182" operator="lessThanOrEqual" aboveAverage="0" equalAverage="0" bottom="0" percent="0" rank="0" text="" dxfId="0">
      <formula>0</formula>
    </cfRule>
  </conditionalFormatting>
  <conditionalFormatting sqref="F399">
    <cfRule type="cellIs" priority="1183" operator="greaterThan" aboveAverage="0" equalAverage="0" bottom="0" percent="0" rank="0" text="" dxfId="10">
      <formula>30</formula>
    </cfRule>
  </conditionalFormatting>
  <conditionalFormatting sqref="G400">
    <cfRule type="cellIs" priority="1184" operator="greaterThan" aboveAverage="0" equalAverage="0" bottom="0" percent="0" rank="0" text="" dxfId="1">
      <formula>0</formula>
    </cfRule>
    <cfRule type="cellIs" priority="1185" operator="lessThanOrEqual" aboveAverage="0" equalAverage="0" bottom="0" percent="0" rank="0" text="" dxfId="0">
      <formula>0</formula>
    </cfRule>
  </conditionalFormatting>
  <conditionalFormatting sqref="F400">
    <cfRule type="cellIs" priority="1186" operator="greaterThan" aboveAverage="0" equalAverage="0" bottom="0" percent="0" rank="0" text="" dxfId="10">
      <formula>30</formula>
    </cfRule>
  </conditionalFormatting>
  <conditionalFormatting sqref="G401">
    <cfRule type="cellIs" priority="1187" operator="greaterThan" aboveAverage="0" equalAverage="0" bottom="0" percent="0" rank="0" text="" dxfId="1">
      <formula>0</formula>
    </cfRule>
    <cfRule type="cellIs" priority="1188" operator="lessThanOrEqual" aboveAverage="0" equalAverage="0" bottom="0" percent="0" rank="0" text="" dxfId="0">
      <formula>0</formula>
    </cfRule>
  </conditionalFormatting>
  <conditionalFormatting sqref="F401">
    <cfRule type="cellIs" priority="1189" operator="greaterThan" aboveAverage="0" equalAverage="0" bottom="0" percent="0" rank="0" text="" dxfId="10">
      <formula>30</formula>
    </cfRule>
  </conditionalFormatting>
  <conditionalFormatting sqref="G402">
    <cfRule type="cellIs" priority="1190" operator="greaterThan" aboveAverage="0" equalAverage="0" bottom="0" percent="0" rank="0" text="" dxfId="1">
      <formula>0</formula>
    </cfRule>
    <cfRule type="cellIs" priority="1191" operator="lessThanOrEqual" aboveAverage="0" equalAverage="0" bottom="0" percent="0" rank="0" text="" dxfId="0">
      <formula>0</formula>
    </cfRule>
  </conditionalFormatting>
  <conditionalFormatting sqref="F402">
    <cfRule type="cellIs" priority="1192" operator="greaterThan" aboveAverage="0" equalAverage="0" bottom="0" percent="0" rank="0" text="" dxfId="10">
      <formula>30</formula>
    </cfRule>
  </conditionalFormatting>
  <conditionalFormatting sqref="G403">
    <cfRule type="cellIs" priority="1193" operator="greaterThan" aboveAverage="0" equalAverage="0" bottom="0" percent="0" rank="0" text="" dxfId="1">
      <formula>0</formula>
    </cfRule>
    <cfRule type="cellIs" priority="1194" operator="lessThanOrEqual" aboveAverage="0" equalAverage="0" bottom="0" percent="0" rank="0" text="" dxfId="0">
      <formula>0</formula>
    </cfRule>
  </conditionalFormatting>
  <conditionalFormatting sqref="F403">
    <cfRule type="cellIs" priority="1195" operator="greaterThan" aboveAverage="0" equalAverage="0" bottom="0" percent="0" rank="0" text="" dxfId="10">
      <formula>30</formula>
    </cfRule>
  </conditionalFormatting>
  <conditionalFormatting sqref="G404">
    <cfRule type="cellIs" priority="1196" operator="greaterThan" aboveAverage="0" equalAverage="0" bottom="0" percent="0" rank="0" text="" dxfId="1">
      <formula>0</formula>
    </cfRule>
    <cfRule type="cellIs" priority="1197" operator="lessThanOrEqual" aboveAverage="0" equalAverage="0" bottom="0" percent="0" rank="0" text="" dxfId="0">
      <formula>0</formula>
    </cfRule>
  </conditionalFormatting>
  <conditionalFormatting sqref="F404">
    <cfRule type="cellIs" priority="1198" operator="greaterThan" aboveAverage="0" equalAverage="0" bottom="0" percent="0" rank="0" text="" dxfId="10">
      <formula>30</formula>
    </cfRule>
  </conditionalFormatting>
  <conditionalFormatting sqref="G405">
    <cfRule type="cellIs" priority="1199" operator="greaterThan" aboveAverage="0" equalAverage="0" bottom="0" percent="0" rank="0" text="" dxfId="1">
      <formula>0</formula>
    </cfRule>
    <cfRule type="cellIs" priority="1200" operator="lessThanOrEqual" aboveAverage="0" equalAverage="0" bottom="0" percent="0" rank="0" text="" dxfId="0">
      <formula>0</formula>
    </cfRule>
  </conditionalFormatting>
  <conditionalFormatting sqref="F405">
    <cfRule type="cellIs" priority="1201" operator="greaterThan" aboveAverage="0" equalAverage="0" bottom="0" percent="0" rank="0" text="" dxfId="10">
      <formula>30</formula>
    </cfRule>
  </conditionalFormatting>
  <conditionalFormatting sqref="G406">
    <cfRule type="cellIs" priority="1202" operator="greaterThan" aboveAverage="0" equalAverage="0" bottom="0" percent="0" rank="0" text="" dxfId="1">
      <formula>0</formula>
    </cfRule>
    <cfRule type="cellIs" priority="1203" operator="lessThanOrEqual" aboveAverage="0" equalAverage="0" bottom="0" percent="0" rank="0" text="" dxfId="0">
      <formula>0</formula>
    </cfRule>
  </conditionalFormatting>
  <conditionalFormatting sqref="F406">
    <cfRule type="cellIs" priority="1204" operator="greaterThan" aboveAverage="0" equalAverage="0" bottom="0" percent="0" rank="0" text="" dxfId="10">
      <formula>30</formula>
    </cfRule>
  </conditionalFormatting>
  <conditionalFormatting sqref="G407">
    <cfRule type="cellIs" priority="1205" operator="greaterThan" aboveAverage="0" equalAverage="0" bottom="0" percent="0" rank="0" text="" dxfId="1">
      <formula>0</formula>
    </cfRule>
    <cfRule type="cellIs" priority="1206" operator="lessThanOrEqual" aboveAverage="0" equalAverage="0" bottom="0" percent="0" rank="0" text="" dxfId="0">
      <formula>0</formula>
    </cfRule>
  </conditionalFormatting>
  <conditionalFormatting sqref="F407">
    <cfRule type="cellIs" priority="1207" operator="greaterThan" aboveAverage="0" equalAverage="0" bottom="0" percent="0" rank="0" text="" dxfId="10">
      <formula>30</formula>
    </cfRule>
  </conditionalFormatting>
  <conditionalFormatting sqref="G408">
    <cfRule type="cellIs" priority="1208" operator="greaterThan" aboveAverage="0" equalAverage="0" bottom="0" percent="0" rank="0" text="" dxfId="1">
      <formula>0</formula>
    </cfRule>
    <cfRule type="cellIs" priority="1209" operator="lessThanOrEqual" aboveAverage="0" equalAverage="0" bottom="0" percent="0" rank="0" text="" dxfId="0">
      <formula>0</formula>
    </cfRule>
  </conditionalFormatting>
  <conditionalFormatting sqref="F408">
    <cfRule type="cellIs" priority="1210" operator="greaterThan" aboveAverage="0" equalAverage="0" bottom="0" percent="0" rank="0" text="" dxfId="10">
      <formula>30</formula>
    </cfRule>
  </conditionalFormatting>
  <conditionalFormatting sqref="G409">
    <cfRule type="cellIs" priority="1211" operator="greaterThan" aboveAverage="0" equalAverage="0" bottom="0" percent="0" rank="0" text="" dxfId="1">
      <formula>0</formula>
    </cfRule>
    <cfRule type="cellIs" priority="1212" operator="lessThanOrEqual" aboveAverage="0" equalAverage="0" bottom="0" percent="0" rank="0" text="" dxfId="0">
      <formula>0</formula>
    </cfRule>
  </conditionalFormatting>
  <conditionalFormatting sqref="F409">
    <cfRule type="cellIs" priority="1213" operator="greaterThan" aboveAverage="0" equalAverage="0" bottom="0" percent="0" rank="0" text="" dxfId="10">
      <formula>30</formula>
    </cfRule>
  </conditionalFormatting>
  <conditionalFormatting sqref="G410">
    <cfRule type="cellIs" priority="1214" operator="greaterThan" aboveAverage="0" equalAverage="0" bottom="0" percent="0" rank="0" text="" dxfId="1">
      <formula>0</formula>
    </cfRule>
    <cfRule type="cellIs" priority="1215" operator="lessThanOrEqual" aboveAverage="0" equalAverage="0" bottom="0" percent="0" rank="0" text="" dxfId="0">
      <formula>0</formula>
    </cfRule>
  </conditionalFormatting>
  <conditionalFormatting sqref="F410">
    <cfRule type="cellIs" priority="1216" operator="greaterThan" aboveAverage="0" equalAverage="0" bottom="0" percent="0" rank="0" text="" dxfId="10">
      <formula>30</formula>
    </cfRule>
  </conditionalFormatting>
  <conditionalFormatting sqref="G411">
    <cfRule type="cellIs" priority="1217" operator="greaterThan" aboveAverage="0" equalAverage="0" bottom="0" percent="0" rank="0" text="" dxfId="1">
      <formula>0</formula>
    </cfRule>
    <cfRule type="cellIs" priority="1218" operator="lessThanOrEqual" aboveAverage="0" equalAverage="0" bottom="0" percent="0" rank="0" text="" dxfId="0">
      <formula>0</formula>
    </cfRule>
  </conditionalFormatting>
  <conditionalFormatting sqref="F411">
    <cfRule type="cellIs" priority="1219" operator="greaterThan" aboveAverage="0" equalAverage="0" bottom="0" percent="0" rank="0" text="" dxfId="10">
      <formula>30</formula>
    </cfRule>
  </conditionalFormatting>
  <conditionalFormatting sqref="G412">
    <cfRule type="cellIs" priority="1220" operator="greaterThan" aboveAverage="0" equalAverage="0" bottom="0" percent="0" rank="0" text="" dxfId="1">
      <formula>0</formula>
    </cfRule>
    <cfRule type="cellIs" priority="1221" operator="lessThanOrEqual" aboveAverage="0" equalAverage="0" bottom="0" percent="0" rank="0" text="" dxfId="0">
      <formula>0</formula>
    </cfRule>
  </conditionalFormatting>
  <conditionalFormatting sqref="F412">
    <cfRule type="cellIs" priority="1222" operator="greaterThan" aboveAverage="0" equalAverage="0" bottom="0" percent="0" rank="0" text="" dxfId="10">
      <formula>30</formula>
    </cfRule>
  </conditionalFormatting>
  <conditionalFormatting sqref="G413">
    <cfRule type="cellIs" priority="1223" operator="greaterThan" aboveAverage="0" equalAverage="0" bottom="0" percent="0" rank="0" text="" dxfId="1">
      <formula>0</formula>
    </cfRule>
    <cfRule type="cellIs" priority="1224" operator="lessThanOrEqual" aboveAverage="0" equalAverage="0" bottom="0" percent="0" rank="0" text="" dxfId="0">
      <formula>0</formula>
    </cfRule>
  </conditionalFormatting>
  <conditionalFormatting sqref="F413">
    <cfRule type="cellIs" priority="1225" operator="greaterThan" aboveAverage="0" equalAverage="0" bottom="0" percent="0" rank="0" text="" dxfId="10">
      <formula>30</formula>
    </cfRule>
  </conditionalFormatting>
  <conditionalFormatting sqref="G414">
    <cfRule type="cellIs" priority="1226" operator="greaterThan" aboveAverage="0" equalAverage="0" bottom="0" percent="0" rank="0" text="" dxfId="1">
      <formula>0</formula>
    </cfRule>
    <cfRule type="cellIs" priority="1227" operator="lessThanOrEqual" aboveAverage="0" equalAverage="0" bottom="0" percent="0" rank="0" text="" dxfId="0">
      <formula>0</formula>
    </cfRule>
  </conditionalFormatting>
  <conditionalFormatting sqref="F414">
    <cfRule type="cellIs" priority="1228" operator="greaterThan" aboveAverage="0" equalAverage="0" bottom="0" percent="0" rank="0" text="" dxfId="10">
      <formula>30</formula>
    </cfRule>
  </conditionalFormatting>
  <conditionalFormatting sqref="G415">
    <cfRule type="cellIs" priority="1229" operator="greaterThan" aboveAverage="0" equalAverage="0" bottom="0" percent="0" rank="0" text="" dxfId="1">
      <formula>0</formula>
    </cfRule>
    <cfRule type="cellIs" priority="1230" operator="lessThanOrEqual" aboveAverage="0" equalAverage="0" bottom="0" percent="0" rank="0" text="" dxfId="0">
      <formula>0</formula>
    </cfRule>
  </conditionalFormatting>
  <conditionalFormatting sqref="F415">
    <cfRule type="cellIs" priority="1231" operator="greaterThan" aboveAverage="0" equalAverage="0" bottom="0" percent="0" rank="0" text="" dxfId="10">
      <formula>30</formula>
    </cfRule>
  </conditionalFormatting>
  <conditionalFormatting sqref="G416">
    <cfRule type="cellIs" priority="1232" operator="greaterThan" aboveAverage="0" equalAverage="0" bottom="0" percent="0" rank="0" text="" dxfId="1">
      <formula>0</formula>
    </cfRule>
    <cfRule type="cellIs" priority="1233" operator="lessThanOrEqual" aboveAverage="0" equalAverage="0" bottom="0" percent="0" rank="0" text="" dxfId="0">
      <formula>0</formula>
    </cfRule>
  </conditionalFormatting>
  <conditionalFormatting sqref="F416">
    <cfRule type="cellIs" priority="1234" operator="greaterThan" aboveAverage="0" equalAverage="0" bottom="0" percent="0" rank="0" text="" dxfId="10">
      <formula>30</formula>
    </cfRule>
  </conditionalFormatting>
  <conditionalFormatting sqref="G417">
    <cfRule type="cellIs" priority="1235" operator="greaterThan" aboveAverage="0" equalAverage="0" bottom="0" percent="0" rank="0" text="" dxfId="1">
      <formula>0</formula>
    </cfRule>
    <cfRule type="cellIs" priority="1236" operator="lessThanOrEqual" aboveAverage="0" equalAverage="0" bottom="0" percent="0" rank="0" text="" dxfId="0">
      <formula>0</formula>
    </cfRule>
  </conditionalFormatting>
  <conditionalFormatting sqref="F417">
    <cfRule type="cellIs" priority="1237" operator="greaterThan" aboveAverage="0" equalAverage="0" bottom="0" percent="0" rank="0" text="" dxfId="10">
      <formula>30</formula>
    </cfRule>
  </conditionalFormatting>
  <conditionalFormatting sqref="G418">
    <cfRule type="cellIs" priority="1238" operator="greaterThan" aboveAverage="0" equalAverage="0" bottom="0" percent="0" rank="0" text="" dxfId="1">
      <formula>0</formula>
    </cfRule>
    <cfRule type="cellIs" priority="1239" operator="lessThanOrEqual" aboveAverage="0" equalAverage="0" bottom="0" percent="0" rank="0" text="" dxfId="0">
      <formula>0</formula>
    </cfRule>
  </conditionalFormatting>
  <conditionalFormatting sqref="F418">
    <cfRule type="cellIs" priority="1240" operator="greaterThan" aboveAverage="0" equalAverage="0" bottom="0" percent="0" rank="0" text="" dxfId="10">
      <formula>30</formula>
    </cfRule>
  </conditionalFormatting>
  <conditionalFormatting sqref="G419">
    <cfRule type="cellIs" priority="1241" operator="greaterThan" aboveAverage="0" equalAverage="0" bottom="0" percent="0" rank="0" text="" dxfId="1">
      <formula>0</formula>
    </cfRule>
    <cfRule type="cellIs" priority="1242" operator="lessThanOrEqual" aboveAverage="0" equalAverage="0" bottom="0" percent="0" rank="0" text="" dxfId="0">
      <formula>0</formula>
    </cfRule>
  </conditionalFormatting>
  <conditionalFormatting sqref="F419">
    <cfRule type="cellIs" priority="1243" operator="greaterThan" aboveAverage="0" equalAverage="0" bottom="0" percent="0" rank="0" text="" dxfId="10">
      <formula>30</formula>
    </cfRule>
  </conditionalFormatting>
  <conditionalFormatting sqref="G420">
    <cfRule type="cellIs" priority="1244" operator="greaterThan" aboveAverage="0" equalAverage="0" bottom="0" percent="0" rank="0" text="" dxfId="1">
      <formula>0</formula>
    </cfRule>
    <cfRule type="cellIs" priority="1245" operator="lessThanOrEqual" aboveAverage="0" equalAverage="0" bottom="0" percent="0" rank="0" text="" dxfId="0">
      <formula>0</formula>
    </cfRule>
  </conditionalFormatting>
  <conditionalFormatting sqref="F420">
    <cfRule type="cellIs" priority="1246" operator="greaterThan" aboveAverage="0" equalAverage="0" bottom="0" percent="0" rank="0" text="" dxfId="10">
      <formula>30</formula>
    </cfRule>
  </conditionalFormatting>
  <conditionalFormatting sqref="G421">
    <cfRule type="cellIs" priority="1247" operator="greaterThan" aboveAverage="0" equalAverage="0" bottom="0" percent="0" rank="0" text="" dxfId="1">
      <formula>0</formula>
    </cfRule>
    <cfRule type="cellIs" priority="1248" operator="lessThanOrEqual" aboveAverage="0" equalAverage="0" bottom="0" percent="0" rank="0" text="" dxfId="0">
      <formula>0</formula>
    </cfRule>
  </conditionalFormatting>
  <conditionalFormatting sqref="F421">
    <cfRule type="cellIs" priority="1249" operator="greaterThan" aboveAverage="0" equalAverage="0" bottom="0" percent="0" rank="0" text="" dxfId="10">
      <formula>30</formula>
    </cfRule>
  </conditionalFormatting>
  <conditionalFormatting sqref="G422">
    <cfRule type="cellIs" priority="1250" operator="greaterThan" aboveAverage="0" equalAverage="0" bottom="0" percent="0" rank="0" text="" dxfId="1">
      <formula>0</formula>
    </cfRule>
    <cfRule type="cellIs" priority="1251" operator="lessThanOrEqual" aboveAverage="0" equalAverage="0" bottom="0" percent="0" rank="0" text="" dxfId="0">
      <formula>0</formula>
    </cfRule>
  </conditionalFormatting>
  <conditionalFormatting sqref="F422">
    <cfRule type="cellIs" priority="1252" operator="greaterThan" aboveAverage="0" equalAverage="0" bottom="0" percent="0" rank="0" text="" dxfId="10">
      <formula>30</formula>
    </cfRule>
  </conditionalFormatting>
  <conditionalFormatting sqref="G423">
    <cfRule type="cellIs" priority="1253" operator="greaterThan" aboveAverage="0" equalAverage="0" bottom="0" percent="0" rank="0" text="" dxfId="1">
      <formula>0</formula>
    </cfRule>
    <cfRule type="cellIs" priority="1254" operator="lessThanOrEqual" aboveAverage="0" equalAverage="0" bottom="0" percent="0" rank="0" text="" dxfId="0">
      <formula>0</formula>
    </cfRule>
  </conditionalFormatting>
  <conditionalFormatting sqref="F423">
    <cfRule type="cellIs" priority="1255" operator="greaterThan" aboveAverage="0" equalAverage="0" bottom="0" percent="0" rank="0" text="" dxfId="10">
      <formula>30</formula>
    </cfRule>
  </conditionalFormatting>
  <conditionalFormatting sqref="G424">
    <cfRule type="cellIs" priority="1256" operator="greaterThan" aboveAverage="0" equalAverage="0" bottom="0" percent="0" rank="0" text="" dxfId="1">
      <formula>0</formula>
    </cfRule>
    <cfRule type="cellIs" priority="1257" operator="lessThanOrEqual" aboveAverage="0" equalAverage="0" bottom="0" percent="0" rank="0" text="" dxfId="0">
      <formula>0</formula>
    </cfRule>
  </conditionalFormatting>
  <conditionalFormatting sqref="F424">
    <cfRule type="cellIs" priority="1258" operator="greaterThan" aboveAverage="0" equalAverage="0" bottom="0" percent="0" rank="0" text="" dxfId="10">
      <formula>30</formula>
    </cfRule>
  </conditionalFormatting>
  <conditionalFormatting sqref="G425">
    <cfRule type="cellIs" priority="1259" operator="greaterThan" aboveAverage="0" equalAverage="0" bottom="0" percent="0" rank="0" text="" dxfId="1">
      <formula>0</formula>
    </cfRule>
    <cfRule type="cellIs" priority="1260" operator="lessThanOrEqual" aboveAverage="0" equalAverage="0" bottom="0" percent="0" rank="0" text="" dxfId="0">
      <formula>0</formula>
    </cfRule>
  </conditionalFormatting>
  <conditionalFormatting sqref="F425">
    <cfRule type="cellIs" priority="1261" operator="greaterThan" aboveAverage="0" equalAverage="0" bottom="0" percent="0" rank="0" text="" dxfId="10">
      <formula>30</formula>
    </cfRule>
  </conditionalFormatting>
  <conditionalFormatting sqref="G426">
    <cfRule type="cellIs" priority="1262" operator="greaterThan" aboveAverage="0" equalAverage="0" bottom="0" percent="0" rank="0" text="" dxfId="1">
      <formula>0</formula>
    </cfRule>
    <cfRule type="cellIs" priority="1263" operator="lessThanOrEqual" aboveAverage="0" equalAverage="0" bottom="0" percent="0" rank="0" text="" dxfId="0">
      <formula>0</formula>
    </cfRule>
  </conditionalFormatting>
  <conditionalFormatting sqref="F426">
    <cfRule type="cellIs" priority="1264" operator="greaterThan" aboveAverage="0" equalAverage="0" bottom="0" percent="0" rank="0" text="" dxfId="10">
      <formula>30</formula>
    </cfRule>
  </conditionalFormatting>
  <conditionalFormatting sqref="G427">
    <cfRule type="cellIs" priority="1265" operator="greaterThan" aboveAverage="0" equalAverage="0" bottom="0" percent="0" rank="0" text="" dxfId="1">
      <formula>0</formula>
    </cfRule>
    <cfRule type="cellIs" priority="1266" operator="lessThanOrEqual" aboveAverage="0" equalAverage="0" bottom="0" percent="0" rank="0" text="" dxfId="0">
      <formula>0</formula>
    </cfRule>
  </conditionalFormatting>
  <conditionalFormatting sqref="F427">
    <cfRule type="cellIs" priority="1267" operator="greaterThan" aboveAverage="0" equalAverage="0" bottom="0" percent="0" rank="0" text="" dxfId="10">
      <formula>30</formula>
    </cfRule>
  </conditionalFormatting>
  <conditionalFormatting sqref="G428">
    <cfRule type="cellIs" priority="1268" operator="greaterThan" aboveAverage="0" equalAverage="0" bottom="0" percent="0" rank="0" text="" dxfId="1">
      <formula>0</formula>
    </cfRule>
    <cfRule type="cellIs" priority="1269" operator="lessThanOrEqual" aboveAverage="0" equalAverage="0" bottom="0" percent="0" rank="0" text="" dxfId="0">
      <formula>0</formula>
    </cfRule>
  </conditionalFormatting>
  <conditionalFormatting sqref="F428">
    <cfRule type="cellIs" priority="1270" operator="greaterThan" aboveAverage="0" equalAverage="0" bottom="0" percent="0" rank="0" text="" dxfId="10">
      <formula>30</formula>
    </cfRule>
  </conditionalFormatting>
  <conditionalFormatting sqref="G429">
    <cfRule type="cellIs" priority="1271" operator="greaterThan" aboveAverage="0" equalAverage="0" bottom="0" percent="0" rank="0" text="" dxfId="1">
      <formula>0</formula>
    </cfRule>
    <cfRule type="cellIs" priority="1272" operator="lessThanOrEqual" aboveAverage="0" equalAverage="0" bottom="0" percent="0" rank="0" text="" dxfId="0">
      <formula>0</formula>
    </cfRule>
  </conditionalFormatting>
  <conditionalFormatting sqref="F429">
    <cfRule type="cellIs" priority="1273" operator="greaterThan" aboveAverage="0" equalAverage="0" bottom="0" percent="0" rank="0" text="" dxfId="10">
      <formula>30</formula>
    </cfRule>
  </conditionalFormatting>
  <conditionalFormatting sqref="G430">
    <cfRule type="cellIs" priority="1274" operator="greaterThan" aboveAverage="0" equalAverage="0" bottom="0" percent="0" rank="0" text="" dxfId="1">
      <formula>0</formula>
    </cfRule>
    <cfRule type="cellIs" priority="1275" operator="lessThanOrEqual" aboveAverage="0" equalAverage="0" bottom="0" percent="0" rank="0" text="" dxfId="0">
      <formula>0</formula>
    </cfRule>
  </conditionalFormatting>
  <conditionalFormatting sqref="F430">
    <cfRule type="cellIs" priority="1276" operator="greaterThan" aboveAverage="0" equalAverage="0" bottom="0" percent="0" rank="0" text="" dxfId="10">
      <formula>30</formula>
    </cfRule>
  </conditionalFormatting>
  <conditionalFormatting sqref="G431">
    <cfRule type="cellIs" priority="1277" operator="greaterThan" aboveAverage="0" equalAverage="0" bottom="0" percent="0" rank="0" text="" dxfId="1">
      <formula>0</formula>
    </cfRule>
    <cfRule type="cellIs" priority="1278" operator="lessThanOrEqual" aboveAverage="0" equalAverage="0" bottom="0" percent="0" rank="0" text="" dxfId="0">
      <formula>0</formula>
    </cfRule>
  </conditionalFormatting>
  <conditionalFormatting sqref="F431">
    <cfRule type="cellIs" priority="1279" operator="greaterThan" aboveAverage="0" equalAverage="0" bottom="0" percent="0" rank="0" text="" dxfId="10">
      <formula>30</formula>
    </cfRule>
  </conditionalFormatting>
  <conditionalFormatting sqref="G432">
    <cfRule type="cellIs" priority="1280" operator="greaterThan" aboveAverage="0" equalAverage="0" bottom="0" percent="0" rank="0" text="" dxfId="1">
      <formula>0</formula>
    </cfRule>
    <cfRule type="cellIs" priority="1281" operator="lessThanOrEqual" aboveAverage="0" equalAverage="0" bottom="0" percent="0" rank="0" text="" dxfId="0">
      <formula>0</formula>
    </cfRule>
  </conditionalFormatting>
  <conditionalFormatting sqref="F432">
    <cfRule type="cellIs" priority="1282" operator="greaterThan" aboveAverage="0" equalAverage="0" bottom="0" percent="0" rank="0" text="" dxfId="10">
      <formula>30</formula>
    </cfRule>
  </conditionalFormatting>
  <conditionalFormatting sqref="G433">
    <cfRule type="cellIs" priority="1283" operator="greaterThan" aboveAverage="0" equalAverage="0" bottom="0" percent="0" rank="0" text="" dxfId="1">
      <formula>0</formula>
    </cfRule>
    <cfRule type="cellIs" priority="1284" operator="lessThanOrEqual" aboveAverage="0" equalAverage="0" bottom="0" percent="0" rank="0" text="" dxfId="0">
      <formula>0</formula>
    </cfRule>
  </conditionalFormatting>
  <conditionalFormatting sqref="F433">
    <cfRule type="cellIs" priority="1285" operator="greaterThan" aboveAverage="0" equalAverage="0" bottom="0" percent="0" rank="0" text="" dxfId="10">
      <formula>30</formula>
    </cfRule>
  </conditionalFormatting>
  <conditionalFormatting sqref="G434">
    <cfRule type="cellIs" priority="1286" operator="greaterThan" aboveAverage="0" equalAverage="0" bottom="0" percent="0" rank="0" text="" dxfId="1">
      <formula>0</formula>
    </cfRule>
    <cfRule type="cellIs" priority="1287" operator="lessThanOrEqual" aboveAverage="0" equalAverage="0" bottom="0" percent="0" rank="0" text="" dxfId="0">
      <formula>0</formula>
    </cfRule>
  </conditionalFormatting>
  <conditionalFormatting sqref="F434">
    <cfRule type="cellIs" priority="1288" operator="greaterThan" aboveAverage="0" equalAverage="0" bottom="0" percent="0" rank="0" text="" dxfId="10">
      <formula>30</formula>
    </cfRule>
  </conditionalFormatting>
  <conditionalFormatting sqref="G435">
    <cfRule type="cellIs" priority="1289" operator="greaterThan" aboveAverage="0" equalAverage="0" bottom="0" percent="0" rank="0" text="" dxfId="1">
      <formula>0</formula>
    </cfRule>
    <cfRule type="cellIs" priority="1290" operator="lessThanOrEqual" aboveAverage="0" equalAverage="0" bottom="0" percent="0" rank="0" text="" dxfId="0">
      <formula>0</formula>
    </cfRule>
  </conditionalFormatting>
  <conditionalFormatting sqref="F435">
    <cfRule type="cellIs" priority="1291" operator="greaterThan" aboveAverage="0" equalAverage="0" bottom="0" percent="0" rank="0" text="" dxfId="10">
      <formula>30</formula>
    </cfRule>
  </conditionalFormatting>
  <conditionalFormatting sqref="G436">
    <cfRule type="cellIs" priority="1292" operator="greaterThan" aboveAverage="0" equalAverage="0" bottom="0" percent="0" rank="0" text="" dxfId="1">
      <formula>0</formula>
    </cfRule>
    <cfRule type="cellIs" priority="1293" operator="lessThanOrEqual" aboveAverage="0" equalAverage="0" bottom="0" percent="0" rank="0" text="" dxfId="0">
      <formula>0</formula>
    </cfRule>
  </conditionalFormatting>
  <conditionalFormatting sqref="F436">
    <cfRule type="cellIs" priority="1294" operator="greaterThan" aboveAverage="0" equalAverage="0" bottom="0" percent="0" rank="0" text="" dxfId="10">
      <formula>30</formula>
    </cfRule>
  </conditionalFormatting>
  <conditionalFormatting sqref="G437">
    <cfRule type="cellIs" priority="1295" operator="greaterThan" aboveAverage="0" equalAverage="0" bottom="0" percent="0" rank="0" text="" dxfId="1">
      <formula>0</formula>
    </cfRule>
    <cfRule type="cellIs" priority="1296" operator="lessThanOrEqual" aboveAverage="0" equalAverage="0" bottom="0" percent="0" rank="0" text="" dxfId="0">
      <formula>0</formula>
    </cfRule>
  </conditionalFormatting>
  <conditionalFormatting sqref="F437">
    <cfRule type="cellIs" priority="1297" operator="greaterThan" aboveAverage="0" equalAverage="0" bottom="0" percent="0" rank="0" text="" dxfId="10">
      <formula>30</formula>
    </cfRule>
  </conditionalFormatting>
  <conditionalFormatting sqref="G438">
    <cfRule type="cellIs" priority="1298" operator="greaterThan" aboveAverage="0" equalAverage="0" bottom="0" percent="0" rank="0" text="" dxfId="1">
      <formula>0</formula>
    </cfRule>
    <cfRule type="cellIs" priority="1299" operator="lessThanOrEqual" aboveAverage="0" equalAverage="0" bottom="0" percent="0" rank="0" text="" dxfId="0">
      <formula>0</formula>
    </cfRule>
  </conditionalFormatting>
  <conditionalFormatting sqref="F438">
    <cfRule type="cellIs" priority="1300" operator="greaterThan" aboveAverage="0" equalAverage="0" bottom="0" percent="0" rank="0" text="" dxfId="10">
      <formula>30</formula>
    </cfRule>
  </conditionalFormatting>
  <conditionalFormatting sqref="G439">
    <cfRule type="cellIs" priority="1301" operator="greaterThan" aboveAverage="0" equalAverage="0" bottom="0" percent="0" rank="0" text="" dxfId="1">
      <formula>0</formula>
    </cfRule>
    <cfRule type="cellIs" priority="1302" operator="lessThanOrEqual" aboveAverage="0" equalAverage="0" bottom="0" percent="0" rank="0" text="" dxfId="0">
      <formula>0</formula>
    </cfRule>
  </conditionalFormatting>
  <conditionalFormatting sqref="F439">
    <cfRule type="cellIs" priority="1303" operator="greaterThan" aboveAverage="0" equalAverage="0" bottom="0" percent="0" rank="0" text="" dxfId="10">
      <formula>30</formula>
    </cfRule>
  </conditionalFormatting>
  <conditionalFormatting sqref="G440">
    <cfRule type="cellIs" priority="1304" operator="greaterThan" aboveAverage="0" equalAverage="0" bottom="0" percent="0" rank="0" text="" dxfId="1">
      <formula>0</formula>
    </cfRule>
    <cfRule type="cellIs" priority="1305" operator="lessThanOrEqual" aboveAverage="0" equalAverage="0" bottom="0" percent="0" rank="0" text="" dxfId="0">
      <formula>0</formula>
    </cfRule>
  </conditionalFormatting>
  <conditionalFormatting sqref="F440">
    <cfRule type="cellIs" priority="1306" operator="greaterThan" aboveAverage="0" equalAverage="0" bottom="0" percent="0" rank="0" text="" dxfId="10">
      <formula>30</formula>
    </cfRule>
  </conditionalFormatting>
  <conditionalFormatting sqref="G441">
    <cfRule type="cellIs" priority="1307" operator="greaterThan" aboveAverage="0" equalAverage="0" bottom="0" percent="0" rank="0" text="" dxfId="1">
      <formula>0</formula>
    </cfRule>
    <cfRule type="cellIs" priority="1308" operator="lessThanOrEqual" aboveAverage="0" equalAverage="0" bottom="0" percent="0" rank="0" text="" dxfId="0">
      <formula>0</formula>
    </cfRule>
  </conditionalFormatting>
  <conditionalFormatting sqref="F441">
    <cfRule type="cellIs" priority="1309" operator="greaterThan" aboveAverage="0" equalAverage="0" bottom="0" percent="0" rank="0" text="" dxfId="10">
      <formula>30</formula>
    </cfRule>
  </conditionalFormatting>
  <conditionalFormatting sqref="G442">
    <cfRule type="cellIs" priority="1310" operator="greaterThan" aboveAverage="0" equalAverage="0" bottom="0" percent="0" rank="0" text="" dxfId="1">
      <formula>0</formula>
    </cfRule>
    <cfRule type="cellIs" priority="1311" operator="lessThanOrEqual" aboveAverage="0" equalAverage="0" bottom="0" percent="0" rank="0" text="" dxfId="0">
      <formula>0</formula>
    </cfRule>
  </conditionalFormatting>
  <conditionalFormatting sqref="F442">
    <cfRule type="cellIs" priority="1312" operator="greaterThan" aboveAverage="0" equalAverage="0" bottom="0" percent="0" rank="0" text="" dxfId="10">
      <formula>30</formula>
    </cfRule>
  </conditionalFormatting>
  <conditionalFormatting sqref="G443">
    <cfRule type="cellIs" priority="1313" operator="greaterThan" aboveAverage="0" equalAverage="0" bottom="0" percent="0" rank="0" text="" dxfId="1">
      <formula>0</formula>
    </cfRule>
    <cfRule type="cellIs" priority="1314" operator="lessThanOrEqual" aboveAverage="0" equalAverage="0" bottom="0" percent="0" rank="0" text="" dxfId="0">
      <formula>0</formula>
    </cfRule>
  </conditionalFormatting>
  <conditionalFormatting sqref="F443">
    <cfRule type="cellIs" priority="1315" operator="greaterThan" aboveAverage="0" equalAverage="0" bottom="0" percent="0" rank="0" text="" dxfId="10">
      <formula>30</formula>
    </cfRule>
  </conditionalFormatting>
  <conditionalFormatting sqref="G444">
    <cfRule type="cellIs" priority="1316" operator="greaterThan" aboveAverage="0" equalAverage="0" bottom="0" percent="0" rank="0" text="" dxfId="1">
      <formula>0</formula>
    </cfRule>
    <cfRule type="cellIs" priority="1317" operator="lessThanOrEqual" aboveAverage="0" equalAverage="0" bottom="0" percent="0" rank="0" text="" dxfId="0">
      <formula>0</formula>
    </cfRule>
  </conditionalFormatting>
  <conditionalFormatting sqref="F444">
    <cfRule type="cellIs" priority="1318" operator="greaterThan" aboveAverage="0" equalAverage="0" bottom="0" percent="0" rank="0" text="" dxfId="10">
      <formula>30</formula>
    </cfRule>
  </conditionalFormatting>
  <conditionalFormatting sqref="G445">
    <cfRule type="cellIs" priority="1319" operator="greaterThan" aboveAverage="0" equalAverage="0" bottom="0" percent="0" rank="0" text="" dxfId="1">
      <formula>0</formula>
    </cfRule>
    <cfRule type="cellIs" priority="1320" operator="lessThanOrEqual" aboveAverage="0" equalAverage="0" bottom="0" percent="0" rank="0" text="" dxfId="0">
      <formula>0</formula>
    </cfRule>
  </conditionalFormatting>
  <conditionalFormatting sqref="F445">
    <cfRule type="cellIs" priority="1321" operator="greaterThan" aboveAverage="0" equalAverage="0" bottom="0" percent="0" rank="0" text="" dxfId="10">
      <formula>30</formula>
    </cfRule>
  </conditionalFormatting>
  <conditionalFormatting sqref="G446">
    <cfRule type="cellIs" priority="1322" operator="greaterThan" aboveAverage="0" equalAverage="0" bottom="0" percent="0" rank="0" text="" dxfId="1">
      <formula>0</formula>
    </cfRule>
    <cfRule type="cellIs" priority="1323" operator="lessThanOrEqual" aboveAverage="0" equalAverage="0" bottom="0" percent="0" rank="0" text="" dxfId="0">
      <formula>0</formula>
    </cfRule>
  </conditionalFormatting>
  <conditionalFormatting sqref="F446">
    <cfRule type="cellIs" priority="1324" operator="greaterThan" aboveAverage="0" equalAverage="0" bottom="0" percent="0" rank="0" text="" dxfId="10">
      <formula>30</formula>
    </cfRule>
  </conditionalFormatting>
  <conditionalFormatting sqref="G447">
    <cfRule type="cellIs" priority="1325" operator="greaterThan" aboveAverage="0" equalAverage="0" bottom="0" percent="0" rank="0" text="" dxfId="1">
      <formula>0</formula>
    </cfRule>
    <cfRule type="cellIs" priority="1326" operator="lessThanOrEqual" aboveAverage="0" equalAverage="0" bottom="0" percent="0" rank="0" text="" dxfId="0">
      <formula>0</formula>
    </cfRule>
  </conditionalFormatting>
  <conditionalFormatting sqref="F447">
    <cfRule type="cellIs" priority="1327" operator="greaterThan" aboveAverage="0" equalAverage="0" bottom="0" percent="0" rank="0" text="" dxfId="10">
      <formula>30</formula>
    </cfRule>
  </conditionalFormatting>
  <conditionalFormatting sqref="G448">
    <cfRule type="cellIs" priority="1328" operator="greaterThan" aboveAverage="0" equalAverage="0" bottom="0" percent="0" rank="0" text="" dxfId="1">
      <formula>0</formula>
    </cfRule>
    <cfRule type="cellIs" priority="1329" operator="lessThanOrEqual" aboveAverage="0" equalAverage="0" bottom="0" percent="0" rank="0" text="" dxfId="0">
      <formula>0</formula>
    </cfRule>
  </conditionalFormatting>
  <conditionalFormatting sqref="F448">
    <cfRule type="cellIs" priority="1330" operator="greaterThan" aboveAverage="0" equalAverage="0" bottom="0" percent="0" rank="0" text="" dxfId="10">
      <formula>30</formula>
    </cfRule>
  </conditionalFormatting>
  <conditionalFormatting sqref="G449">
    <cfRule type="cellIs" priority="1331" operator="greaterThan" aboveAverage="0" equalAverage="0" bottom="0" percent="0" rank="0" text="" dxfId="1">
      <formula>0</formula>
    </cfRule>
    <cfRule type="cellIs" priority="1332" operator="lessThanOrEqual" aboveAverage="0" equalAverage="0" bottom="0" percent="0" rank="0" text="" dxfId="0">
      <formula>0</formula>
    </cfRule>
  </conditionalFormatting>
  <conditionalFormatting sqref="F449">
    <cfRule type="cellIs" priority="1333" operator="greaterThan" aboveAverage="0" equalAverage="0" bottom="0" percent="0" rank="0" text="" dxfId="10">
      <formula>30</formula>
    </cfRule>
  </conditionalFormatting>
  <conditionalFormatting sqref="G450">
    <cfRule type="cellIs" priority="1334" operator="greaterThan" aboveAverage="0" equalAverage="0" bottom="0" percent="0" rank="0" text="" dxfId="1">
      <formula>0</formula>
    </cfRule>
    <cfRule type="cellIs" priority="1335" operator="lessThanOrEqual" aboveAverage="0" equalAverage="0" bottom="0" percent="0" rank="0" text="" dxfId="0">
      <formula>0</formula>
    </cfRule>
  </conditionalFormatting>
  <conditionalFormatting sqref="F450">
    <cfRule type="cellIs" priority="1336" operator="greaterThan" aboveAverage="0" equalAverage="0" bottom="0" percent="0" rank="0" text="" dxfId="10">
      <formula>30</formula>
    </cfRule>
  </conditionalFormatting>
  <conditionalFormatting sqref="G451">
    <cfRule type="cellIs" priority="1337" operator="greaterThan" aboveAverage="0" equalAverage="0" bottom="0" percent="0" rank="0" text="" dxfId="1">
      <formula>0</formula>
    </cfRule>
    <cfRule type="cellIs" priority="1338" operator="lessThanOrEqual" aboveAverage="0" equalAverage="0" bottom="0" percent="0" rank="0" text="" dxfId="0">
      <formula>0</formula>
    </cfRule>
  </conditionalFormatting>
  <conditionalFormatting sqref="F451">
    <cfRule type="cellIs" priority="1339" operator="greaterThan" aboveAverage="0" equalAverage="0" bottom="0" percent="0" rank="0" text="" dxfId="10">
      <formula>30</formula>
    </cfRule>
  </conditionalFormatting>
  <conditionalFormatting sqref="G452">
    <cfRule type="cellIs" priority="1340" operator="greaterThan" aboveAverage="0" equalAverage="0" bottom="0" percent="0" rank="0" text="" dxfId="1">
      <formula>0</formula>
    </cfRule>
    <cfRule type="cellIs" priority="1341" operator="lessThanOrEqual" aboveAverage="0" equalAverage="0" bottom="0" percent="0" rank="0" text="" dxfId="0">
      <formula>0</formula>
    </cfRule>
  </conditionalFormatting>
  <conditionalFormatting sqref="F452">
    <cfRule type="cellIs" priority="1342" operator="greaterThan" aboveAverage="0" equalAverage="0" bottom="0" percent="0" rank="0" text="" dxfId="10">
      <formula>30</formula>
    </cfRule>
  </conditionalFormatting>
  <conditionalFormatting sqref="G453">
    <cfRule type="cellIs" priority="1343" operator="greaterThan" aboveAverage="0" equalAverage="0" bottom="0" percent="0" rank="0" text="" dxfId="1">
      <formula>0</formula>
    </cfRule>
    <cfRule type="cellIs" priority="1344" operator="lessThanOrEqual" aboveAverage="0" equalAverage="0" bottom="0" percent="0" rank="0" text="" dxfId="0">
      <formula>0</formula>
    </cfRule>
  </conditionalFormatting>
  <conditionalFormatting sqref="F453">
    <cfRule type="cellIs" priority="1345" operator="greaterThan" aboveAverage="0" equalAverage="0" bottom="0" percent="0" rank="0" text="" dxfId="10">
      <formula>30</formula>
    </cfRule>
  </conditionalFormatting>
  <conditionalFormatting sqref="G454">
    <cfRule type="cellIs" priority="1346" operator="greaterThan" aboveAverage="0" equalAverage="0" bottom="0" percent="0" rank="0" text="" dxfId="1">
      <formula>0</formula>
    </cfRule>
    <cfRule type="cellIs" priority="1347" operator="lessThanOrEqual" aboveAverage="0" equalAverage="0" bottom="0" percent="0" rank="0" text="" dxfId="0">
      <formula>0</formula>
    </cfRule>
  </conditionalFormatting>
  <conditionalFormatting sqref="F454">
    <cfRule type="cellIs" priority="1348" operator="greaterThan" aboveAverage="0" equalAverage="0" bottom="0" percent="0" rank="0" text="" dxfId="10">
      <formula>30</formula>
    </cfRule>
  </conditionalFormatting>
  <conditionalFormatting sqref="G455">
    <cfRule type="cellIs" priority="1349" operator="greaterThan" aboveAverage="0" equalAverage="0" bottom="0" percent="0" rank="0" text="" dxfId="1">
      <formula>0</formula>
    </cfRule>
    <cfRule type="cellIs" priority="1350" operator="lessThanOrEqual" aboveAverage="0" equalAverage="0" bottom="0" percent="0" rank="0" text="" dxfId="0">
      <formula>0</formula>
    </cfRule>
  </conditionalFormatting>
  <conditionalFormatting sqref="F455">
    <cfRule type="cellIs" priority="1351" operator="greaterThan" aboveAverage="0" equalAverage="0" bottom="0" percent="0" rank="0" text="" dxfId="10">
      <formula>30</formula>
    </cfRule>
  </conditionalFormatting>
  <conditionalFormatting sqref="G456">
    <cfRule type="cellIs" priority="1352" operator="greaterThan" aboveAverage="0" equalAverage="0" bottom="0" percent="0" rank="0" text="" dxfId="1">
      <formula>0</formula>
    </cfRule>
    <cfRule type="cellIs" priority="1353" operator="lessThanOrEqual" aboveAverage="0" equalAverage="0" bottom="0" percent="0" rank="0" text="" dxfId="0">
      <formula>0</formula>
    </cfRule>
  </conditionalFormatting>
  <conditionalFormatting sqref="F456">
    <cfRule type="cellIs" priority="1354" operator="greaterThan" aboveAverage="0" equalAverage="0" bottom="0" percent="0" rank="0" text="" dxfId="10">
      <formula>30</formula>
    </cfRule>
  </conditionalFormatting>
  <conditionalFormatting sqref="G457">
    <cfRule type="cellIs" priority="1355" operator="greaterThan" aboveAverage="0" equalAverage="0" bottom="0" percent="0" rank="0" text="" dxfId="1">
      <formula>0</formula>
    </cfRule>
    <cfRule type="cellIs" priority="1356" operator="lessThanOrEqual" aboveAverage="0" equalAverage="0" bottom="0" percent="0" rank="0" text="" dxfId="0">
      <formula>0</formula>
    </cfRule>
  </conditionalFormatting>
  <conditionalFormatting sqref="F457">
    <cfRule type="cellIs" priority="1357" operator="greaterThan" aboveAverage="0" equalAverage="0" bottom="0" percent="0" rank="0" text="" dxfId="10">
      <formula>30</formula>
    </cfRule>
  </conditionalFormatting>
  <conditionalFormatting sqref="G458">
    <cfRule type="cellIs" priority="1358" operator="greaterThan" aboveAverage="0" equalAverage="0" bottom="0" percent="0" rank="0" text="" dxfId="1">
      <formula>0</formula>
    </cfRule>
    <cfRule type="cellIs" priority="1359" operator="lessThanOrEqual" aboveAverage="0" equalAverage="0" bottom="0" percent="0" rank="0" text="" dxfId="0">
      <formula>0</formula>
    </cfRule>
  </conditionalFormatting>
  <conditionalFormatting sqref="F458">
    <cfRule type="cellIs" priority="1360" operator="greaterThan" aboveAverage="0" equalAverage="0" bottom="0" percent="0" rank="0" text="" dxfId="10">
      <formula>30</formula>
    </cfRule>
  </conditionalFormatting>
  <conditionalFormatting sqref="G459">
    <cfRule type="cellIs" priority="1361" operator="greaterThan" aboveAverage="0" equalAverage="0" bottom="0" percent="0" rank="0" text="" dxfId="1">
      <formula>0</formula>
    </cfRule>
    <cfRule type="cellIs" priority="1362" operator="lessThanOrEqual" aboveAverage="0" equalAverage="0" bottom="0" percent="0" rank="0" text="" dxfId="0">
      <formula>0</formula>
    </cfRule>
  </conditionalFormatting>
  <conditionalFormatting sqref="F459">
    <cfRule type="cellIs" priority="1363" operator="greaterThan" aboveAverage="0" equalAverage="0" bottom="0" percent="0" rank="0" text="" dxfId="10">
      <formula>30</formula>
    </cfRule>
  </conditionalFormatting>
  <conditionalFormatting sqref="G460">
    <cfRule type="cellIs" priority="1364" operator="greaterThan" aboveAverage="0" equalAverage="0" bottom="0" percent="0" rank="0" text="" dxfId="1">
      <formula>0</formula>
    </cfRule>
    <cfRule type="cellIs" priority="1365" operator="lessThanOrEqual" aboveAverage="0" equalAverage="0" bottom="0" percent="0" rank="0" text="" dxfId="0">
      <formula>0</formula>
    </cfRule>
  </conditionalFormatting>
  <conditionalFormatting sqref="F460">
    <cfRule type="cellIs" priority="1366" operator="greaterThan" aboveAverage="0" equalAverage="0" bottom="0" percent="0" rank="0" text="" dxfId="10">
      <formula>30</formula>
    </cfRule>
  </conditionalFormatting>
  <conditionalFormatting sqref="G461">
    <cfRule type="cellIs" priority="1367" operator="greaterThan" aboveAverage="0" equalAverage="0" bottom="0" percent="0" rank="0" text="" dxfId="1">
      <formula>0</formula>
    </cfRule>
    <cfRule type="cellIs" priority="1368" operator="lessThanOrEqual" aboveAverage="0" equalAverage="0" bottom="0" percent="0" rank="0" text="" dxfId="0">
      <formula>0</formula>
    </cfRule>
  </conditionalFormatting>
  <conditionalFormatting sqref="F461">
    <cfRule type="cellIs" priority="1369" operator="greaterThan" aboveAverage="0" equalAverage="0" bottom="0" percent="0" rank="0" text="" dxfId="10">
      <formula>30</formula>
    </cfRule>
  </conditionalFormatting>
  <conditionalFormatting sqref="G462">
    <cfRule type="cellIs" priority="1370" operator="greaterThan" aboveAverage="0" equalAverage="0" bottom="0" percent="0" rank="0" text="" dxfId="1">
      <formula>0</formula>
    </cfRule>
    <cfRule type="cellIs" priority="1371" operator="lessThanOrEqual" aboveAverage="0" equalAverage="0" bottom="0" percent="0" rank="0" text="" dxfId="0">
      <formula>0</formula>
    </cfRule>
  </conditionalFormatting>
  <conditionalFormatting sqref="F462">
    <cfRule type="cellIs" priority="1372" operator="greaterThan" aboveAverage="0" equalAverage="0" bottom="0" percent="0" rank="0" text="" dxfId="10">
      <formula>30</formula>
    </cfRule>
  </conditionalFormatting>
  <conditionalFormatting sqref="G463">
    <cfRule type="cellIs" priority="1373" operator="greaterThan" aboveAverage="0" equalAverage="0" bottom="0" percent="0" rank="0" text="" dxfId="1">
      <formula>0</formula>
    </cfRule>
    <cfRule type="cellIs" priority="1374" operator="lessThanOrEqual" aboveAverage="0" equalAverage="0" bottom="0" percent="0" rank="0" text="" dxfId="0">
      <formula>0</formula>
    </cfRule>
  </conditionalFormatting>
  <conditionalFormatting sqref="F463">
    <cfRule type="cellIs" priority="1375" operator="greaterThan" aboveAverage="0" equalAverage="0" bottom="0" percent="0" rank="0" text="" dxfId="10">
      <formula>30</formula>
    </cfRule>
  </conditionalFormatting>
  <conditionalFormatting sqref="G464">
    <cfRule type="cellIs" priority="1376" operator="greaterThan" aboveAverage="0" equalAverage="0" bottom="0" percent="0" rank="0" text="" dxfId="1">
      <formula>0</formula>
    </cfRule>
    <cfRule type="cellIs" priority="1377" operator="lessThanOrEqual" aboveAverage="0" equalAverage="0" bottom="0" percent="0" rank="0" text="" dxfId="0">
      <formula>0</formula>
    </cfRule>
  </conditionalFormatting>
  <conditionalFormatting sqref="F464">
    <cfRule type="cellIs" priority="1378" operator="greaterThan" aboveAverage="0" equalAverage="0" bottom="0" percent="0" rank="0" text="" dxfId="10">
      <formula>30</formula>
    </cfRule>
  </conditionalFormatting>
  <conditionalFormatting sqref="G465">
    <cfRule type="cellIs" priority="1379" operator="greaterThan" aboveAverage="0" equalAverage="0" bottom="0" percent="0" rank="0" text="" dxfId="1">
      <formula>0</formula>
    </cfRule>
    <cfRule type="cellIs" priority="1380" operator="lessThanOrEqual" aboveAverage="0" equalAverage="0" bottom="0" percent="0" rank="0" text="" dxfId="0">
      <formula>0</formula>
    </cfRule>
  </conditionalFormatting>
  <conditionalFormatting sqref="F465">
    <cfRule type="cellIs" priority="1381" operator="greaterThan" aboveAverage="0" equalAverage="0" bottom="0" percent="0" rank="0" text="" dxfId="10">
      <formula>30</formula>
    </cfRule>
  </conditionalFormatting>
  <conditionalFormatting sqref="G466">
    <cfRule type="cellIs" priority="1382" operator="greaterThan" aboveAverage="0" equalAverage="0" bottom="0" percent="0" rank="0" text="" dxfId="1">
      <formula>0</formula>
    </cfRule>
    <cfRule type="cellIs" priority="1383" operator="lessThanOrEqual" aboveAverage="0" equalAverage="0" bottom="0" percent="0" rank="0" text="" dxfId="0">
      <formula>0</formula>
    </cfRule>
  </conditionalFormatting>
  <conditionalFormatting sqref="F466">
    <cfRule type="cellIs" priority="1384" operator="greaterThan" aboveAverage="0" equalAverage="0" bottom="0" percent="0" rank="0" text="" dxfId="10">
      <formula>30</formula>
    </cfRule>
  </conditionalFormatting>
  <conditionalFormatting sqref="G467">
    <cfRule type="cellIs" priority="1385" operator="greaterThan" aboveAverage="0" equalAverage="0" bottom="0" percent="0" rank="0" text="" dxfId="1">
      <formula>0</formula>
    </cfRule>
    <cfRule type="cellIs" priority="1386" operator="lessThanOrEqual" aboveAverage="0" equalAverage="0" bottom="0" percent="0" rank="0" text="" dxfId="0">
      <formula>0</formula>
    </cfRule>
  </conditionalFormatting>
  <conditionalFormatting sqref="F467">
    <cfRule type="cellIs" priority="1387" operator="greaterThan" aboveAverage="0" equalAverage="0" bottom="0" percent="0" rank="0" text="" dxfId="10">
      <formula>30</formula>
    </cfRule>
  </conditionalFormatting>
  <conditionalFormatting sqref="G468">
    <cfRule type="cellIs" priority="1388" operator="greaterThan" aboveAverage="0" equalAverage="0" bottom="0" percent="0" rank="0" text="" dxfId="1">
      <formula>0</formula>
    </cfRule>
    <cfRule type="cellIs" priority="1389" operator="lessThanOrEqual" aboveAverage="0" equalAverage="0" bottom="0" percent="0" rank="0" text="" dxfId="0">
      <formula>0</formula>
    </cfRule>
  </conditionalFormatting>
  <conditionalFormatting sqref="F468">
    <cfRule type="cellIs" priority="1390" operator="greaterThan" aboveAverage="0" equalAverage="0" bottom="0" percent="0" rank="0" text="" dxfId="10">
      <formula>30</formula>
    </cfRule>
  </conditionalFormatting>
  <conditionalFormatting sqref="G469">
    <cfRule type="cellIs" priority="1391" operator="greaterThan" aboveAverage="0" equalAverage="0" bottom="0" percent="0" rank="0" text="" dxfId="1">
      <formula>0</formula>
    </cfRule>
    <cfRule type="cellIs" priority="1392" operator="lessThanOrEqual" aboveAverage="0" equalAverage="0" bottom="0" percent="0" rank="0" text="" dxfId="0">
      <formula>0</formula>
    </cfRule>
  </conditionalFormatting>
  <conditionalFormatting sqref="F469">
    <cfRule type="cellIs" priority="1393" operator="greaterThan" aboveAverage="0" equalAverage="0" bottom="0" percent="0" rank="0" text="" dxfId="10">
      <formula>30</formula>
    </cfRule>
  </conditionalFormatting>
  <conditionalFormatting sqref="G470">
    <cfRule type="cellIs" priority="1394" operator="greaterThan" aboveAverage="0" equalAverage="0" bottom="0" percent="0" rank="0" text="" dxfId="1">
      <formula>0</formula>
    </cfRule>
    <cfRule type="cellIs" priority="1395" operator="lessThanOrEqual" aboveAverage="0" equalAverage="0" bottom="0" percent="0" rank="0" text="" dxfId="0">
      <formula>0</formula>
    </cfRule>
  </conditionalFormatting>
  <conditionalFormatting sqref="F470">
    <cfRule type="cellIs" priority="1396" operator="greaterThan" aboveAverage="0" equalAverage="0" bottom="0" percent="0" rank="0" text="" dxfId="10">
      <formula>30</formula>
    </cfRule>
  </conditionalFormatting>
  <conditionalFormatting sqref="G471">
    <cfRule type="cellIs" priority="1397" operator="greaterThan" aboveAverage="0" equalAverage="0" bottom="0" percent="0" rank="0" text="" dxfId="1">
      <formula>0</formula>
    </cfRule>
    <cfRule type="cellIs" priority="1398" operator="lessThanOrEqual" aboveAverage="0" equalAverage="0" bottom="0" percent="0" rank="0" text="" dxfId="0">
      <formula>0</formula>
    </cfRule>
  </conditionalFormatting>
  <conditionalFormatting sqref="F471">
    <cfRule type="cellIs" priority="1399" operator="greaterThan" aboveAverage="0" equalAverage="0" bottom="0" percent="0" rank="0" text="" dxfId="10">
      <formula>30</formula>
    </cfRule>
  </conditionalFormatting>
  <conditionalFormatting sqref="G472">
    <cfRule type="cellIs" priority="1400" operator="greaterThan" aboveAverage="0" equalAverage="0" bottom="0" percent="0" rank="0" text="" dxfId="1">
      <formula>0</formula>
    </cfRule>
    <cfRule type="cellIs" priority="1401" operator="lessThanOrEqual" aboveAverage="0" equalAverage="0" bottom="0" percent="0" rank="0" text="" dxfId="0">
      <formula>0</formula>
    </cfRule>
  </conditionalFormatting>
  <conditionalFormatting sqref="F472">
    <cfRule type="cellIs" priority="1402" operator="greaterThan" aboveAverage="0" equalAverage="0" bottom="0" percent="0" rank="0" text="" dxfId="10">
      <formula>30</formula>
    </cfRule>
  </conditionalFormatting>
  <conditionalFormatting sqref="G473">
    <cfRule type="cellIs" priority="1403" operator="greaterThan" aboveAverage="0" equalAverage="0" bottom="0" percent="0" rank="0" text="" dxfId="1">
      <formula>0</formula>
    </cfRule>
    <cfRule type="cellIs" priority="1404" operator="lessThanOrEqual" aboveAverage="0" equalAverage="0" bottom="0" percent="0" rank="0" text="" dxfId="0">
      <formula>0</formula>
    </cfRule>
  </conditionalFormatting>
  <conditionalFormatting sqref="F473">
    <cfRule type="cellIs" priority="1405" operator="greaterThan" aboveAverage="0" equalAverage="0" bottom="0" percent="0" rank="0" text="" dxfId="10">
      <formula>30</formula>
    </cfRule>
  </conditionalFormatting>
  <conditionalFormatting sqref="G474">
    <cfRule type="cellIs" priority="1406" operator="greaterThan" aboveAverage="0" equalAverage="0" bottom="0" percent="0" rank="0" text="" dxfId="1">
      <formula>0</formula>
    </cfRule>
    <cfRule type="cellIs" priority="1407" operator="lessThanOrEqual" aboveAverage="0" equalAverage="0" bottom="0" percent="0" rank="0" text="" dxfId="0">
      <formula>0</formula>
    </cfRule>
  </conditionalFormatting>
  <conditionalFormatting sqref="F474">
    <cfRule type="cellIs" priority="1408" operator="greaterThan" aboveAverage="0" equalAverage="0" bottom="0" percent="0" rank="0" text="" dxfId="10">
      <formula>30</formula>
    </cfRule>
  </conditionalFormatting>
  <conditionalFormatting sqref="G475">
    <cfRule type="cellIs" priority="1409" operator="greaterThan" aboveAverage="0" equalAverage="0" bottom="0" percent="0" rank="0" text="" dxfId="1">
      <formula>0</formula>
    </cfRule>
    <cfRule type="cellIs" priority="1410" operator="lessThanOrEqual" aboveAverage="0" equalAverage="0" bottom="0" percent="0" rank="0" text="" dxfId="0">
      <formula>0</formula>
    </cfRule>
  </conditionalFormatting>
  <conditionalFormatting sqref="F475">
    <cfRule type="cellIs" priority="1411" operator="greaterThan" aboveAverage="0" equalAverage="0" bottom="0" percent="0" rank="0" text="" dxfId="10">
      <formula>30</formula>
    </cfRule>
  </conditionalFormatting>
  <conditionalFormatting sqref="G476">
    <cfRule type="cellIs" priority="1412" operator="greaterThan" aboveAverage="0" equalAverage="0" bottom="0" percent="0" rank="0" text="" dxfId="1">
      <formula>0</formula>
    </cfRule>
    <cfRule type="cellIs" priority="1413" operator="lessThanOrEqual" aboveAverage="0" equalAverage="0" bottom="0" percent="0" rank="0" text="" dxfId="0">
      <formula>0</formula>
    </cfRule>
  </conditionalFormatting>
  <conditionalFormatting sqref="F476">
    <cfRule type="cellIs" priority="1414" operator="greaterThan" aboveAverage="0" equalAverage="0" bottom="0" percent="0" rank="0" text="" dxfId="10">
      <formula>30</formula>
    </cfRule>
  </conditionalFormatting>
  <conditionalFormatting sqref="G477">
    <cfRule type="cellIs" priority="1415" operator="greaterThan" aboveAverage="0" equalAverage="0" bottom="0" percent="0" rank="0" text="" dxfId="1">
      <formula>0</formula>
    </cfRule>
    <cfRule type="cellIs" priority="1416" operator="lessThanOrEqual" aboveAverage="0" equalAverage="0" bottom="0" percent="0" rank="0" text="" dxfId="0">
      <formula>0</formula>
    </cfRule>
  </conditionalFormatting>
  <conditionalFormatting sqref="F477">
    <cfRule type="cellIs" priority="1417" operator="greaterThan" aboveAverage="0" equalAverage="0" bottom="0" percent="0" rank="0" text="" dxfId="10">
      <formula>30</formula>
    </cfRule>
  </conditionalFormatting>
  <conditionalFormatting sqref="G478">
    <cfRule type="cellIs" priority="1418" operator="greaterThan" aboveAverage="0" equalAverage="0" bottom="0" percent="0" rank="0" text="" dxfId="1">
      <formula>0</formula>
    </cfRule>
    <cfRule type="cellIs" priority="1419" operator="lessThanOrEqual" aboveAverage="0" equalAverage="0" bottom="0" percent="0" rank="0" text="" dxfId="0">
      <formula>0</formula>
    </cfRule>
  </conditionalFormatting>
  <conditionalFormatting sqref="F478">
    <cfRule type="cellIs" priority="1420" operator="greaterThan" aboveAverage="0" equalAverage="0" bottom="0" percent="0" rank="0" text="" dxfId="10">
      <formula>30</formula>
    </cfRule>
  </conditionalFormatting>
  <conditionalFormatting sqref="G479">
    <cfRule type="cellIs" priority="1421" operator="greaterThan" aboveAverage="0" equalAverage="0" bottom="0" percent="0" rank="0" text="" dxfId="1">
      <formula>0</formula>
    </cfRule>
    <cfRule type="cellIs" priority="1422" operator="lessThanOrEqual" aboveAverage="0" equalAverage="0" bottom="0" percent="0" rank="0" text="" dxfId="0">
      <formula>0</formula>
    </cfRule>
  </conditionalFormatting>
  <conditionalFormatting sqref="F479">
    <cfRule type="cellIs" priority="1423" operator="greaterThan" aboveAverage="0" equalAverage="0" bottom="0" percent="0" rank="0" text="" dxfId="10">
      <formula>30</formula>
    </cfRule>
  </conditionalFormatting>
  <conditionalFormatting sqref="G480">
    <cfRule type="cellIs" priority="1424" operator="greaterThan" aboveAverage="0" equalAverage="0" bottom="0" percent="0" rank="0" text="" dxfId="1">
      <formula>0</formula>
    </cfRule>
    <cfRule type="cellIs" priority="1425" operator="lessThanOrEqual" aboveAverage="0" equalAverage="0" bottom="0" percent="0" rank="0" text="" dxfId="0">
      <formula>0</formula>
    </cfRule>
  </conditionalFormatting>
  <conditionalFormatting sqref="F480">
    <cfRule type="cellIs" priority="1426" operator="greaterThan" aboveAverage="0" equalAverage="0" bottom="0" percent="0" rank="0" text="" dxfId="10">
      <formula>30</formula>
    </cfRule>
  </conditionalFormatting>
  <conditionalFormatting sqref="G481">
    <cfRule type="cellIs" priority="1427" operator="greaterThan" aboveAverage="0" equalAverage="0" bottom="0" percent="0" rank="0" text="" dxfId="1">
      <formula>0</formula>
    </cfRule>
    <cfRule type="cellIs" priority="1428" operator="lessThanOrEqual" aboveAverage="0" equalAverage="0" bottom="0" percent="0" rank="0" text="" dxfId="0">
      <formula>0</formula>
    </cfRule>
  </conditionalFormatting>
  <conditionalFormatting sqref="F481">
    <cfRule type="cellIs" priority="1429" operator="greaterThan" aboveAverage="0" equalAverage="0" bottom="0" percent="0" rank="0" text="" dxfId="10">
      <formula>30</formula>
    </cfRule>
  </conditionalFormatting>
  <conditionalFormatting sqref="G482">
    <cfRule type="cellIs" priority="1430" operator="greaterThan" aboveAverage="0" equalAverage="0" bottom="0" percent="0" rank="0" text="" dxfId="1">
      <formula>0</formula>
    </cfRule>
    <cfRule type="cellIs" priority="1431" operator="lessThanOrEqual" aboveAverage="0" equalAverage="0" bottom="0" percent="0" rank="0" text="" dxfId="0">
      <formula>0</formula>
    </cfRule>
  </conditionalFormatting>
  <conditionalFormatting sqref="F482">
    <cfRule type="cellIs" priority="1432" operator="greaterThan" aboveAverage="0" equalAverage="0" bottom="0" percent="0" rank="0" text="" dxfId="10">
      <formula>30</formula>
    </cfRule>
  </conditionalFormatting>
  <conditionalFormatting sqref="G483">
    <cfRule type="cellIs" priority="1433" operator="greaterThan" aboveAverage="0" equalAverage="0" bottom="0" percent="0" rank="0" text="" dxfId="1">
      <formula>0</formula>
    </cfRule>
    <cfRule type="cellIs" priority="1434" operator="lessThanOrEqual" aboveAverage="0" equalAverage="0" bottom="0" percent="0" rank="0" text="" dxfId="0">
      <formula>0</formula>
    </cfRule>
  </conditionalFormatting>
  <conditionalFormatting sqref="F483">
    <cfRule type="cellIs" priority="1435" operator="greaterThan" aboveAverage="0" equalAverage="0" bottom="0" percent="0" rank="0" text="" dxfId="10">
      <formula>30</formula>
    </cfRule>
  </conditionalFormatting>
  <conditionalFormatting sqref="G484">
    <cfRule type="cellIs" priority="1436" operator="greaterThan" aboveAverage="0" equalAverage="0" bottom="0" percent="0" rank="0" text="" dxfId="1">
      <formula>0</formula>
    </cfRule>
    <cfRule type="cellIs" priority="1437" operator="lessThanOrEqual" aboveAverage="0" equalAverage="0" bottom="0" percent="0" rank="0" text="" dxfId="0">
      <formula>0</formula>
    </cfRule>
  </conditionalFormatting>
  <conditionalFormatting sqref="F484">
    <cfRule type="cellIs" priority="1438" operator="greaterThan" aboveAverage="0" equalAverage="0" bottom="0" percent="0" rank="0" text="" dxfId="10">
      <formula>30</formula>
    </cfRule>
  </conditionalFormatting>
  <conditionalFormatting sqref="G485">
    <cfRule type="cellIs" priority="1439" operator="greaterThan" aboveAverage="0" equalAverage="0" bottom="0" percent="0" rank="0" text="" dxfId="1">
      <formula>0</formula>
    </cfRule>
    <cfRule type="cellIs" priority="1440" operator="lessThanOrEqual" aboveAverage="0" equalAverage="0" bottom="0" percent="0" rank="0" text="" dxfId="0">
      <formula>0</formula>
    </cfRule>
  </conditionalFormatting>
  <conditionalFormatting sqref="F485">
    <cfRule type="cellIs" priority="1441" operator="greaterThan" aboveAverage="0" equalAverage="0" bottom="0" percent="0" rank="0" text="" dxfId="10">
      <formula>30</formula>
    </cfRule>
  </conditionalFormatting>
  <conditionalFormatting sqref="G486">
    <cfRule type="cellIs" priority="1442" operator="greaterThan" aboveAverage="0" equalAverage="0" bottom="0" percent="0" rank="0" text="" dxfId="1">
      <formula>0</formula>
    </cfRule>
    <cfRule type="cellIs" priority="1443" operator="lessThanOrEqual" aboveAverage="0" equalAverage="0" bottom="0" percent="0" rank="0" text="" dxfId="0">
      <formula>0</formula>
    </cfRule>
  </conditionalFormatting>
  <conditionalFormatting sqref="F486">
    <cfRule type="cellIs" priority="1444" operator="greaterThan" aboveAverage="0" equalAverage="0" bottom="0" percent="0" rank="0" text="" dxfId="10">
      <formula>30</formula>
    </cfRule>
  </conditionalFormatting>
  <conditionalFormatting sqref="G487">
    <cfRule type="cellIs" priority="1445" operator="greaterThan" aboveAverage="0" equalAverage="0" bottom="0" percent="0" rank="0" text="" dxfId="1">
      <formula>0</formula>
    </cfRule>
    <cfRule type="cellIs" priority="1446" operator="lessThanOrEqual" aboveAverage="0" equalAverage="0" bottom="0" percent="0" rank="0" text="" dxfId="0">
      <formula>0</formula>
    </cfRule>
  </conditionalFormatting>
  <conditionalFormatting sqref="F487">
    <cfRule type="cellIs" priority="1447" operator="greaterThan" aboveAverage="0" equalAverage="0" bottom="0" percent="0" rank="0" text="" dxfId="10">
      <formula>30</formula>
    </cfRule>
  </conditionalFormatting>
  <conditionalFormatting sqref="G488">
    <cfRule type="cellIs" priority="1448" operator="greaterThan" aboveAverage="0" equalAverage="0" bottom="0" percent="0" rank="0" text="" dxfId="1">
      <formula>0</formula>
    </cfRule>
    <cfRule type="cellIs" priority="1449" operator="lessThanOrEqual" aboveAverage="0" equalAverage="0" bottom="0" percent="0" rank="0" text="" dxfId="0">
      <formula>0</formula>
    </cfRule>
  </conditionalFormatting>
  <conditionalFormatting sqref="F488">
    <cfRule type="cellIs" priority="1450" operator="greaterThan" aboveAverage="0" equalAverage="0" bottom="0" percent="0" rank="0" text="" dxfId="10">
      <formula>30</formula>
    </cfRule>
  </conditionalFormatting>
  <conditionalFormatting sqref="G489">
    <cfRule type="cellIs" priority="1451" operator="greaterThan" aboveAverage="0" equalAverage="0" bottom="0" percent="0" rank="0" text="" dxfId="1">
      <formula>0</formula>
    </cfRule>
    <cfRule type="cellIs" priority="1452" operator="lessThanOrEqual" aboveAverage="0" equalAverage="0" bottom="0" percent="0" rank="0" text="" dxfId="0">
      <formula>0</formula>
    </cfRule>
  </conditionalFormatting>
  <conditionalFormatting sqref="F489">
    <cfRule type="cellIs" priority="1453" operator="greaterThan" aboveAverage="0" equalAverage="0" bottom="0" percent="0" rank="0" text="" dxfId="10">
      <formula>30</formula>
    </cfRule>
  </conditionalFormatting>
  <conditionalFormatting sqref="G490">
    <cfRule type="cellIs" priority="1454" operator="greaterThan" aboveAverage="0" equalAverage="0" bottom="0" percent="0" rank="0" text="" dxfId="1">
      <formula>0</formula>
    </cfRule>
    <cfRule type="cellIs" priority="1455" operator="lessThanOrEqual" aboveAverage="0" equalAverage="0" bottom="0" percent="0" rank="0" text="" dxfId="0">
      <formula>0</formula>
    </cfRule>
  </conditionalFormatting>
  <conditionalFormatting sqref="F490">
    <cfRule type="cellIs" priority="1456" operator="greaterThan" aboveAverage="0" equalAverage="0" bottom="0" percent="0" rank="0" text="" dxfId="10">
      <formula>30</formula>
    </cfRule>
  </conditionalFormatting>
  <conditionalFormatting sqref="G491">
    <cfRule type="cellIs" priority="1457" operator="greaterThan" aboveAverage="0" equalAverage="0" bottom="0" percent="0" rank="0" text="" dxfId="1">
      <formula>0</formula>
    </cfRule>
    <cfRule type="cellIs" priority="1458" operator="lessThanOrEqual" aboveAverage="0" equalAverage="0" bottom="0" percent="0" rank="0" text="" dxfId="0">
      <formula>0</formula>
    </cfRule>
  </conditionalFormatting>
  <conditionalFormatting sqref="F491">
    <cfRule type="cellIs" priority="1459" operator="greaterThan" aboveAverage="0" equalAverage="0" bottom="0" percent="0" rank="0" text="" dxfId="10">
      <formula>30</formula>
    </cfRule>
  </conditionalFormatting>
  <conditionalFormatting sqref="G492">
    <cfRule type="cellIs" priority="1460" operator="greaterThan" aboveAverage="0" equalAverage="0" bottom="0" percent="0" rank="0" text="" dxfId="1">
      <formula>0</formula>
    </cfRule>
    <cfRule type="cellIs" priority="1461" operator="lessThanOrEqual" aboveAverage="0" equalAverage="0" bottom="0" percent="0" rank="0" text="" dxfId="0">
      <formula>0</formula>
    </cfRule>
  </conditionalFormatting>
  <conditionalFormatting sqref="F492">
    <cfRule type="cellIs" priority="1462" operator="greaterThan" aboveAverage="0" equalAverage="0" bottom="0" percent="0" rank="0" text="" dxfId="10">
      <formula>30</formula>
    </cfRule>
  </conditionalFormatting>
  <conditionalFormatting sqref="G493">
    <cfRule type="cellIs" priority="1463" operator="greaterThan" aboveAverage="0" equalAverage="0" bottom="0" percent="0" rank="0" text="" dxfId="1">
      <formula>0</formula>
    </cfRule>
    <cfRule type="cellIs" priority="1464" operator="lessThanOrEqual" aboveAverage="0" equalAverage="0" bottom="0" percent="0" rank="0" text="" dxfId="0">
      <formula>0</formula>
    </cfRule>
  </conditionalFormatting>
  <conditionalFormatting sqref="F493">
    <cfRule type="cellIs" priority="1465" operator="greaterThan" aboveAverage="0" equalAverage="0" bottom="0" percent="0" rank="0" text="" dxfId="10">
      <formula>30</formula>
    </cfRule>
  </conditionalFormatting>
  <conditionalFormatting sqref="G494">
    <cfRule type="cellIs" priority="1466" operator="greaterThan" aboveAverage="0" equalAverage="0" bottom="0" percent="0" rank="0" text="" dxfId="1">
      <formula>0</formula>
    </cfRule>
    <cfRule type="cellIs" priority="1467" operator="lessThanOrEqual" aboveAverage="0" equalAverage="0" bottom="0" percent="0" rank="0" text="" dxfId="0">
      <formula>0</formula>
    </cfRule>
  </conditionalFormatting>
  <conditionalFormatting sqref="F494">
    <cfRule type="cellIs" priority="1468" operator="greaterThan" aboveAverage="0" equalAverage="0" bottom="0" percent="0" rank="0" text="" dxfId="10">
      <formula>30</formula>
    </cfRule>
  </conditionalFormatting>
  <conditionalFormatting sqref="G495">
    <cfRule type="cellIs" priority="1469" operator="greaterThan" aboveAverage="0" equalAverage="0" bottom="0" percent="0" rank="0" text="" dxfId="1">
      <formula>0</formula>
    </cfRule>
    <cfRule type="cellIs" priority="1470" operator="lessThanOrEqual" aboveAverage="0" equalAverage="0" bottom="0" percent="0" rank="0" text="" dxfId="0">
      <formula>0</formula>
    </cfRule>
  </conditionalFormatting>
  <conditionalFormatting sqref="F495">
    <cfRule type="cellIs" priority="1471" operator="greaterThan" aboveAverage="0" equalAverage="0" bottom="0" percent="0" rank="0" text="" dxfId="10">
      <formula>30</formula>
    </cfRule>
  </conditionalFormatting>
  <conditionalFormatting sqref="G496">
    <cfRule type="cellIs" priority="1472" operator="greaterThan" aboveAverage="0" equalAverage="0" bottom="0" percent="0" rank="0" text="" dxfId="1">
      <formula>0</formula>
    </cfRule>
    <cfRule type="cellIs" priority="1473" operator="lessThanOrEqual" aboveAverage="0" equalAverage="0" bottom="0" percent="0" rank="0" text="" dxfId="0">
      <formula>0</formula>
    </cfRule>
  </conditionalFormatting>
  <conditionalFormatting sqref="F496">
    <cfRule type="cellIs" priority="1474" operator="greaterThan" aboveAverage="0" equalAverage="0" bottom="0" percent="0" rank="0" text="" dxfId="10">
      <formula>30</formula>
    </cfRule>
  </conditionalFormatting>
  <conditionalFormatting sqref="G497">
    <cfRule type="cellIs" priority="1475" operator="greaterThan" aboveAverage="0" equalAverage="0" bottom="0" percent="0" rank="0" text="" dxfId="1">
      <formula>0</formula>
    </cfRule>
    <cfRule type="cellIs" priority="1476" operator="lessThanOrEqual" aboveAverage="0" equalAverage="0" bottom="0" percent="0" rank="0" text="" dxfId="0">
      <formula>0</formula>
    </cfRule>
  </conditionalFormatting>
  <conditionalFormatting sqref="F497">
    <cfRule type="cellIs" priority="1477" operator="greaterThan" aboveAverage="0" equalAverage="0" bottom="0" percent="0" rank="0" text="" dxfId="10">
      <formula>30</formula>
    </cfRule>
  </conditionalFormatting>
  <conditionalFormatting sqref="G498">
    <cfRule type="cellIs" priority="1478" operator="greaterThan" aboveAverage="0" equalAverage="0" bottom="0" percent="0" rank="0" text="" dxfId="1">
      <formula>0</formula>
    </cfRule>
    <cfRule type="cellIs" priority="1479" operator="lessThanOrEqual" aboveAverage="0" equalAverage="0" bottom="0" percent="0" rank="0" text="" dxfId="0">
      <formula>0</formula>
    </cfRule>
  </conditionalFormatting>
  <conditionalFormatting sqref="F498">
    <cfRule type="cellIs" priority="1480" operator="greaterThan" aboveAverage="0" equalAverage="0" bottom="0" percent="0" rank="0" text="" dxfId="10">
      <formula>30</formula>
    </cfRule>
  </conditionalFormatting>
  <conditionalFormatting sqref="G499">
    <cfRule type="cellIs" priority="1481" operator="greaterThan" aboveAverage="0" equalAverage="0" bottom="0" percent="0" rank="0" text="" dxfId="1">
      <formula>0</formula>
    </cfRule>
    <cfRule type="cellIs" priority="1482" operator="lessThanOrEqual" aboveAverage="0" equalAverage="0" bottom="0" percent="0" rank="0" text="" dxfId="0">
      <formula>0</formula>
    </cfRule>
  </conditionalFormatting>
  <conditionalFormatting sqref="F499">
    <cfRule type="cellIs" priority="1483" operator="greaterThan" aboveAverage="0" equalAverage="0" bottom="0" percent="0" rank="0" text="" dxfId="10">
      <formula>30</formula>
    </cfRule>
  </conditionalFormatting>
  <conditionalFormatting sqref="G500">
    <cfRule type="cellIs" priority="1484" operator="greaterThan" aboveAverage="0" equalAverage="0" bottom="0" percent="0" rank="0" text="" dxfId="1">
      <formula>0</formula>
    </cfRule>
    <cfRule type="cellIs" priority="1485" operator="lessThanOrEqual" aboveAverage="0" equalAverage="0" bottom="0" percent="0" rank="0" text="" dxfId="0">
      <formula>0</formula>
    </cfRule>
  </conditionalFormatting>
  <conditionalFormatting sqref="F500">
    <cfRule type="cellIs" priority="1486" operator="greaterThan" aboveAverage="0" equalAverage="0" bottom="0" percent="0" rank="0" text="" dxfId="10">
      <formula>30</formula>
    </cfRule>
  </conditionalFormatting>
  <conditionalFormatting sqref="G501">
    <cfRule type="cellIs" priority="1487" operator="greaterThan" aboveAverage="0" equalAverage="0" bottom="0" percent="0" rank="0" text="" dxfId="1">
      <formula>0</formula>
    </cfRule>
    <cfRule type="cellIs" priority="1488" operator="lessThanOrEqual" aboveAverage="0" equalAverage="0" bottom="0" percent="0" rank="0" text="" dxfId="0">
      <formula>0</formula>
    </cfRule>
  </conditionalFormatting>
  <conditionalFormatting sqref="F501">
    <cfRule type="cellIs" priority="1489" operator="greaterThan" aboveAverage="0" equalAverage="0" bottom="0" percent="0" rank="0" text="" dxfId="10">
      <formula>30</formula>
    </cfRule>
  </conditionalFormatting>
  <conditionalFormatting sqref="G502">
    <cfRule type="cellIs" priority="1490" operator="greaterThan" aboveAverage="0" equalAverage="0" bottom="0" percent="0" rank="0" text="" dxfId="1">
      <formula>0</formula>
    </cfRule>
    <cfRule type="cellIs" priority="1491" operator="lessThanOrEqual" aboveAverage="0" equalAverage="0" bottom="0" percent="0" rank="0" text="" dxfId="0">
      <formula>0</formula>
    </cfRule>
  </conditionalFormatting>
  <conditionalFormatting sqref="F502">
    <cfRule type="cellIs" priority="1492" operator="greaterThan" aboveAverage="0" equalAverage="0" bottom="0" percent="0" rank="0" text="" dxfId="10">
      <formula>30</formula>
    </cfRule>
  </conditionalFormatting>
  <conditionalFormatting sqref="G503">
    <cfRule type="cellIs" priority="1493" operator="greaterThan" aboveAverage="0" equalAverage="0" bottom="0" percent="0" rank="0" text="" dxfId="1">
      <formula>0</formula>
    </cfRule>
    <cfRule type="cellIs" priority="1494" operator="lessThanOrEqual" aboveAverage="0" equalAverage="0" bottom="0" percent="0" rank="0" text="" dxfId="0">
      <formula>0</formula>
    </cfRule>
  </conditionalFormatting>
  <conditionalFormatting sqref="F503">
    <cfRule type="cellIs" priority="1495" operator="greaterThan" aboveAverage="0" equalAverage="0" bottom="0" percent="0" rank="0" text="" dxfId="10">
      <formula>30</formula>
    </cfRule>
  </conditionalFormatting>
  <conditionalFormatting sqref="G504">
    <cfRule type="cellIs" priority="1496" operator="greaterThan" aboveAverage="0" equalAverage="0" bottom="0" percent="0" rank="0" text="" dxfId="1">
      <formula>0</formula>
    </cfRule>
    <cfRule type="cellIs" priority="1497" operator="lessThanOrEqual" aboveAverage="0" equalAverage="0" bottom="0" percent="0" rank="0" text="" dxfId="0">
      <formula>0</formula>
    </cfRule>
  </conditionalFormatting>
  <conditionalFormatting sqref="F504">
    <cfRule type="cellIs" priority="1498" operator="greaterThan" aboveAverage="0" equalAverage="0" bottom="0" percent="0" rank="0" text="" dxfId="10">
      <formula>30</formula>
    </cfRule>
  </conditionalFormatting>
  <conditionalFormatting sqref="G505">
    <cfRule type="cellIs" priority="1499" operator="greaterThan" aboveAverage="0" equalAverage="0" bottom="0" percent="0" rank="0" text="" dxfId="1">
      <formula>0</formula>
    </cfRule>
    <cfRule type="cellIs" priority="1500" operator="lessThanOrEqual" aboveAverage="0" equalAverage="0" bottom="0" percent="0" rank="0" text="" dxfId="0">
      <formula>0</formula>
    </cfRule>
  </conditionalFormatting>
  <conditionalFormatting sqref="F505">
    <cfRule type="cellIs" priority="1501" operator="greaterThan" aboveAverage="0" equalAverage="0" bottom="0" percent="0" rank="0" text="" dxfId="10">
      <formula>30</formula>
    </cfRule>
  </conditionalFormatting>
  <conditionalFormatting sqref="G506">
    <cfRule type="cellIs" priority="1502" operator="greaterThan" aboveAverage="0" equalAverage="0" bottom="0" percent="0" rank="0" text="" dxfId="1">
      <formula>0</formula>
    </cfRule>
    <cfRule type="cellIs" priority="1503" operator="lessThanOrEqual" aboveAverage="0" equalAverage="0" bottom="0" percent="0" rank="0" text="" dxfId="0">
      <formula>0</formula>
    </cfRule>
  </conditionalFormatting>
  <conditionalFormatting sqref="F506">
    <cfRule type="cellIs" priority="1504" operator="greaterThan" aboveAverage="0" equalAverage="0" bottom="0" percent="0" rank="0" text="" dxfId="10">
      <formula>30</formula>
    </cfRule>
  </conditionalFormatting>
  <conditionalFormatting sqref="G507">
    <cfRule type="cellIs" priority="1505" operator="greaterThan" aboveAverage="0" equalAverage="0" bottom="0" percent="0" rank="0" text="" dxfId="1">
      <formula>0</formula>
    </cfRule>
    <cfRule type="cellIs" priority="1506" operator="lessThanOrEqual" aboveAverage="0" equalAverage="0" bottom="0" percent="0" rank="0" text="" dxfId="0">
      <formula>0</formula>
    </cfRule>
  </conditionalFormatting>
  <conditionalFormatting sqref="F507">
    <cfRule type="cellIs" priority="1507" operator="greaterThan" aboveAverage="0" equalAverage="0" bottom="0" percent="0" rank="0" text="" dxfId="10">
      <formula>30</formula>
    </cfRule>
  </conditionalFormatting>
  <conditionalFormatting sqref="G508">
    <cfRule type="cellIs" priority="1508" operator="greaterThan" aboveAverage="0" equalAverage="0" bottom="0" percent="0" rank="0" text="" dxfId="1">
      <formula>0</formula>
    </cfRule>
    <cfRule type="cellIs" priority="1509" operator="lessThanOrEqual" aboveAverage="0" equalAverage="0" bottom="0" percent="0" rank="0" text="" dxfId="0">
      <formula>0</formula>
    </cfRule>
  </conditionalFormatting>
  <conditionalFormatting sqref="F508">
    <cfRule type="cellIs" priority="1510" operator="greaterThan" aboveAverage="0" equalAverage="0" bottom="0" percent="0" rank="0" text="" dxfId="10">
      <formula>30</formula>
    </cfRule>
  </conditionalFormatting>
  <conditionalFormatting sqref="G509">
    <cfRule type="cellIs" priority="1511" operator="greaterThan" aboveAverage="0" equalAverage="0" bottom="0" percent="0" rank="0" text="" dxfId="1">
      <formula>0</formula>
    </cfRule>
    <cfRule type="cellIs" priority="1512" operator="lessThanOrEqual" aboveAverage="0" equalAverage="0" bottom="0" percent="0" rank="0" text="" dxfId="0">
      <formula>0</formula>
    </cfRule>
  </conditionalFormatting>
  <conditionalFormatting sqref="F509">
    <cfRule type="cellIs" priority="1513" operator="greaterThan" aboveAverage="0" equalAverage="0" bottom="0" percent="0" rank="0" text="" dxfId="10">
      <formula>30</formula>
    </cfRule>
  </conditionalFormatting>
  <conditionalFormatting sqref="G510">
    <cfRule type="cellIs" priority="1514" operator="greaterThan" aboveAverage="0" equalAverage="0" bottom="0" percent="0" rank="0" text="" dxfId="1">
      <formula>0</formula>
    </cfRule>
    <cfRule type="cellIs" priority="1515" operator="lessThanOrEqual" aboveAverage="0" equalAverage="0" bottom="0" percent="0" rank="0" text="" dxfId="0">
      <formula>0</formula>
    </cfRule>
  </conditionalFormatting>
  <conditionalFormatting sqref="F510">
    <cfRule type="cellIs" priority="1516" operator="greaterThan" aboveAverage="0" equalAverage="0" bottom="0" percent="0" rank="0" text="" dxfId="10">
      <formula>30</formula>
    </cfRule>
  </conditionalFormatting>
  <conditionalFormatting sqref="G511">
    <cfRule type="cellIs" priority="1517" operator="greaterThan" aboveAverage="0" equalAverage="0" bottom="0" percent="0" rank="0" text="" dxfId="1">
      <formula>0</formula>
    </cfRule>
    <cfRule type="cellIs" priority="1518" operator="lessThanOrEqual" aboveAverage="0" equalAverage="0" bottom="0" percent="0" rank="0" text="" dxfId="0">
      <formula>0</formula>
    </cfRule>
  </conditionalFormatting>
  <conditionalFormatting sqref="F511">
    <cfRule type="cellIs" priority="1519" operator="greaterThan" aboveAverage="0" equalAverage="0" bottom="0" percent="0" rank="0" text="" dxfId="10">
      <formula>30</formula>
    </cfRule>
  </conditionalFormatting>
  <conditionalFormatting sqref="G512">
    <cfRule type="cellIs" priority="1520" operator="greaterThan" aboveAverage="0" equalAverage="0" bottom="0" percent="0" rank="0" text="" dxfId="1">
      <formula>0</formula>
    </cfRule>
    <cfRule type="cellIs" priority="1521" operator="lessThanOrEqual" aboveAverage="0" equalAverage="0" bottom="0" percent="0" rank="0" text="" dxfId="0">
      <formula>0</formula>
    </cfRule>
  </conditionalFormatting>
  <conditionalFormatting sqref="F512">
    <cfRule type="cellIs" priority="1522" operator="greaterThan" aboveAverage="0" equalAverage="0" bottom="0" percent="0" rank="0" text="" dxfId="10">
      <formula>30</formula>
    </cfRule>
  </conditionalFormatting>
  <conditionalFormatting sqref="G513">
    <cfRule type="cellIs" priority="1523" operator="greaterThan" aboveAverage="0" equalAverage="0" bottom="0" percent="0" rank="0" text="" dxfId="1">
      <formula>0</formula>
    </cfRule>
    <cfRule type="cellIs" priority="1524" operator="lessThanOrEqual" aboveAverage="0" equalAverage="0" bottom="0" percent="0" rank="0" text="" dxfId="0">
      <formula>0</formula>
    </cfRule>
  </conditionalFormatting>
  <conditionalFormatting sqref="F513">
    <cfRule type="cellIs" priority="1525" operator="greaterThan" aboveAverage="0" equalAverage="0" bottom="0" percent="0" rank="0" text="" dxfId="10">
      <formula>30</formula>
    </cfRule>
  </conditionalFormatting>
  <conditionalFormatting sqref="G514">
    <cfRule type="cellIs" priority="1526" operator="greaterThan" aboveAverage="0" equalAverage="0" bottom="0" percent="0" rank="0" text="" dxfId="1">
      <formula>0</formula>
    </cfRule>
    <cfRule type="cellIs" priority="1527" operator="lessThanOrEqual" aboveAverage="0" equalAverage="0" bottom="0" percent="0" rank="0" text="" dxfId="0">
      <formula>0</formula>
    </cfRule>
  </conditionalFormatting>
  <conditionalFormatting sqref="F514">
    <cfRule type="cellIs" priority="1528" operator="greaterThan" aboveAverage="0" equalAverage="0" bottom="0" percent="0" rank="0" text="" dxfId="10">
      <formula>30</formula>
    </cfRule>
  </conditionalFormatting>
  <conditionalFormatting sqref="G515">
    <cfRule type="cellIs" priority="1529" operator="greaterThan" aboveAverage="0" equalAverage="0" bottom="0" percent="0" rank="0" text="" dxfId="1">
      <formula>0</formula>
    </cfRule>
    <cfRule type="cellIs" priority="1530" operator="lessThanOrEqual" aboveAverage="0" equalAverage="0" bottom="0" percent="0" rank="0" text="" dxfId="0">
      <formula>0</formula>
    </cfRule>
  </conditionalFormatting>
  <conditionalFormatting sqref="F515">
    <cfRule type="cellIs" priority="1531" operator="greaterThan" aboveAverage="0" equalAverage="0" bottom="0" percent="0" rank="0" text="" dxfId="10">
      <formula>30</formula>
    </cfRule>
  </conditionalFormatting>
  <conditionalFormatting sqref="G516">
    <cfRule type="cellIs" priority="1532" operator="greaterThan" aboveAverage="0" equalAverage="0" bottom="0" percent="0" rank="0" text="" dxfId="1">
      <formula>0</formula>
    </cfRule>
    <cfRule type="cellIs" priority="1533" operator="lessThanOrEqual" aboveAverage="0" equalAverage="0" bottom="0" percent="0" rank="0" text="" dxfId="0">
      <formula>0</formula>
    </cfRule>
  </conditionalFormatting>
  <conditionalFormatting sqref="F516">
    <cfRule type="cellIs" priority="1534" operator="greaterThan" aboveAverage="0" equalAverage="0" bottom="0" percent="0" rank="0" text="" dxfId="10">
      <formula>30</formula>
    </cfRule>
  </conditionalFormatting>
  <conditionalFormatting sqref="G517">
    <cfRule type="cellIs" priority="1535" operator="greaterThan" aboveAverage="0" equalAverage="0" bottom="0" percent="0" rank="0" text="" dxfId="1">
      <formula>0</formula>
    </cfRule>
    <cfRule type="cellIs" priority="1536" operator="lessThanOrEqual" aboveAverage="0" equalAverage="0" bottom="0" percent="0" rank="0" text="" dxfId="0">
      <formula>0</formula>
    </cfRule>
  </conditionalFormatting>
  <conditionalFormatting sqref="F517">
    <cfRule type="cellIs" priority="1537" operator="greaterThan" aboveAverage="0" equalAverage="0" bottom="0" percent="0" rank="0" text="" dxfId="10">
      <formula>30</formula>
    </cfRule>
  </conditionalFormatting>
  <conditionalFormatting sqref="G518">
    <cfRule type="cellIs" priority="1538" operator="greaterThan" aboveAverage="0" equalAverage="0" bottom="0" percent="0" rank="0" text="" dxfId="1">
      <formula>0</formula>
    </cfRule>
    <cfRule type="cellIs" priority="1539" operator="lessThanOrEqual" aboveAverage="0" equalAverage="0" bottom="0" percent="0" rank="0" text="" dxfId="0">
      <formula>0</formula>
    </cfRule>
  </conditionalFormatting>
  <conditionalFormatting sqref="F518">
    <cfRule type="cellIs" priority="1540" operator="greaterThan" aboveAverage="0" equalAverage="0" bottom="0" percent="0" rank="0" text="" dxfId="10">
      <formula>30</formula>
    </cfRule>
  </conditionalFormatting>
  <conditionalFormatting sqref="G519">
    <cfRule type="cellIs" priority="1541" operator="greaterThan" aboveAverage="0" equalAverage="0" bottom="0" percent="0" rank="0" text="" dxfId="1">
      <formula>0</formula>
    </cfRule>
    <cfRule type="cellIs" priority="1542" operator="lessThanOrEqual" aboveAverage="0" equalAverage="0" bottom="0" percent="0" rank="0" text="" dxfId="0">
      <formula>0</formula>
    </cfRule>
  </conditionalFormatting>
  <conditionalFormatting sqref="F519">
    <cfRule type="cellIs" priority="1543" operator="greaterThan" aboveAverage="0" equalAverage="0" bottom="0" percent="0" rank="0" text="" dxfId="10">
      <formula>30</formula>
    </cfRule>
  </conditionalFormatting>
  <conditionalFormatting sqref="G520">
    <cfRule type="cellIs" priority="1544" operator="greaterThan" aboveAverage="0" equalAverage="0" bottom="0" percent="0" rank="0" text="" dxfId="1">
      <formula>0</formula>
    </cfRule>
    <cfRule type="cellIs" priority="1545" operator="lessThanOrEqual" aboveAverage="0" equalAverage="0" bottom="0" percent="0" rank="0" text="" dxfId="0">
      <formula>0</formula>
    </cfRule>
  </conditionalFormatting>
  <conditionalFormatting sqref="F520">
    <cfRule type="cellIs" priority="1546" operator="greaterThan" aboveAverage="0" equalAverage="0" bottom="0" percent="0" rank="0" text="" dxfId="10">
      <formula>30</formula>
    </cfRule>
  </conditionalFormatting>
  <conditionalFormatting sqref="G521">
    <cfRule type="cellIs" priority="1547" operator="greaterThan" aboveAverage="0" equalAverage="0" bottom="0" percent="0" rank="0" text="" dxfId="1">
      <formula>0</formula>
    </cfRule>
    <cfRule type="cellIs" priority="1548" operator="lessThanOrEqual" aboveAverage="0" equalAverage="0" bottom="0" percent="0" rank="0" text="" dxfId="0">
      <formula>0</formula>
    </cfRule>
  </conditionalFormatting>
  <conditionalFormatting sqref="F521">
    <cfRule type="cellIs" priority="1549" operator="greaterThan" aboveAverage="0" equalAverage="0" bottom="0" percent="0" rank="0" text="" dxfId="10">
      <formula>30</formula>
    </cfRule>
  </conditionalFormatting>
  <conditionalFormatting sqref="G522">
    <cfRule type="cellIs" priority="1550" operator="greaterThan" aboveAverage="0" equalAverage="0" bottom="0" percent="0" rank="0" text="" dxfId="1">
      <formula>0</formula>
    </cfRule>
    <cfRule type="cellIs" priority="1551" operator="lessThanOrEqual" aboveAverage="0" equalAverage="0" bottom="0" percent="0" rank="0" text="" dxfId="0">
      <formula>0</formula>
    </cfRule>
  </conditionalFormatting>
  <conditionalFormatting sqref="F522">
    <cfRule type="cellIs" priority="1552" operator="greaterThan" aboveAverage="0" equalAverage="0" bottom="0" percent="0" rank="0" text="" dxfId="10">
      <formula>30</formula>
    </cfRule>
  </conditionalFormatting>
  <conditionalFormatting sqref="G523">
    <cfRule type="cellIs" priority="1553" operator="greaterThan" aboveAverage="0" equalAverage="0" bottom="0" percent="0" rank="0" text="" dxfId="1">
      <formula>0</formula>
    </cfRule>
    <cfRule type="cellIs" priority="1554" operator="lessThanOrEqual" aboveAverage="0" equalAverage="0" bottom="0" percent="0" rank="0" text="" dxfId="0">
      <formula>0</formula>
    </cfRule>
  </conditionalFormatting>
  <conditionalFormatting sqref="F523">
    <cfRule type="cellIs" priority="1555" operator="greaterThan" aboveAverage="0" equalAverage="0" bottom="0" percent="0" rank="0" text="" dxfId="10">
      <formula>30</formula>
    </cfRule>
  </conditionalFormatting>
  <conditionalFormatting sqref="G524">
    <cfRule type="cellIs" priority="1556" operator="greaterThan" aboveAverage="0" equalAverage="0" bottom="0" percent="0" rank="0" text="" dxfId="1">
      <formula>0</formula>
    </cfRule>
    <cfRule type="cellIs" priority="1557" operator="lessThanOrEqual" aboveAverage="0" equalAverage="0" bottom="0" percent="0" rank="0" text="" dxfId="0">
      <formula>0</formula>
    </cfRule>
  </conditionalFormatting>
  <conditionalFormatting sqref="F524">
    <cfRule type="cellIs" priority="1558" operator="greaterThan" aboveAverage="0" equalAverage="0" bottom="0" percent="0" rank="0" text="" dxfId="10">
      <formula>30</formula>
    </cfRule>
  </conditionalFormatting>
  <conditionalFormatting sqref="G525">
    <cfRule type="cellIs" priority="1559" operator="greaterThan" aboveAverage="0" equalAverage="0" bottom="0" percent="0" rank="0" text="" dxfId="1">
      <formula>0</formula>
    </cfRule>
    <cfRule type="cellIs" priority="1560" operator="lessThanOrEqual" aboveAverage="0" equalAverage="0" bottom="0" percent="0" rank="0" text="" dxfId="0">
      <formula>0</formula>
    </cfRule>
  </conditionalFormatting>
  <conditionalFormatting sqref="F525">
    <cfRule type="cellIs" priority="1561" operator="greaterThan" aboveAverage="0" equalAverage="0" bottom="0" percent="0" rank="0" text="" dxfId="10">
      <formula>30</formula>
    </cfRule>
  </conditionalFormatting>
  <conditionalFormatting sqref="G526">
    <cfRule type="cellIs" priority="1562" operator="greaterThan" aboveAverage="0" equalAverage="0" bottom="0" percent="0" rank="0" text="" dxfId="1">
      <formula>0</formula>
    </cfRule>
    <cfRule type="cellIs" priority="1563" operator="lessThanOrEqual" aboveAverage="0" equalAverage="0" bottom="0" percent="0" rank="0" text="" dxfId="0">
      <formula>0</formula>
    </cfRule>
  </conditionalFormatting>
  <conditionalFormatting sqref="F526">
    <cfRule type="cellIs" priority="1564" operator="greaterThan" aboveAverage="0" equalAverage="0" bottom="0" percent="0" rank="0" text="" dxfId="10">
      <formula>30</formula>
    </cfRule>
  </conditionalFormatting>
  <conditionalFormatting sqref="G527">
    <cfRule type="cellIs" priority="1565" operator="greaterThan" aboveAverage="0" equalAverage="0" bottom="0" percent="0" rank="0" text="" dxfId="1">
      <formula>0</formula>
    </cfRule>
    <cfRule type="cellIs" priority="1566" operator="lessThanOrEqual" aboveAverage="0" equalAverage="0" bottom="0" percent="0" rank="0" text="" dxfId="0">
      <formula>0</formula>
    </cfRule>
  </conditionalFormatting>
  <conditionalFormatting sqref="F527">
    <cfRule type="cellIs" priority="1567" operator="greaterThan" aboveAverage="0" equalAverage="0" bottom="0" percent="0" rank="0" text="" dxfId="10">
      <formula>30</formula>
    </cfRule>
  </conditionalFormatting>
  <conditionalFormatting sqref="G528">
    <cfRule type="cellIs" priority="1568" operator="greaterThan" aboveAverage="0" equalAverage="0" bottom="0" percent="0" rank="0" text="" dxfId="1">
      <formula>0</formula>
    </cfRule>
    <cfRule type="cellIs" priority="1569" operator="lessThanOrEqual" aboveAverage="0" equalAverage="0" bottom="0" percent="0" rank="0" text="" dxfId="0">
      <formula>0</formula>
    </cfRule>
  </conditionalFormatting>
  <conditionalFormatting sqref="F528">
    <cfRule type="cellIs" priority="1570" operator="greaterThan" aboveAverage="0" equalAverage="0" bottom="0" percent="0" rank="0" text="" dxfId="10">
      <formula>30</formula>
    </cfRule>
  </conditionalFormatting>
  <conditionalFormatting sqref="G529">
    <cfRule type="cellIs" priority="1571" operator="greaterThan" aboveAverage="0" equalAverage="0" bottom="0" percent="0" rank="0" text="" dxfId="1">
      <formula>0</formula>
    </cfRule>
    <cfRule type="cellIs" priority="1572" operator="lessThanOrEqual" aboveAverage="0" equalAverage="0" bottom="0" percent="0" rank="0" text="" dxfId="0">
      <formula>0</formula>
    </cfRule>
  </conditionalFormatting>
  <conditionalFormatting sqref="F529">
    <cfRule type="cellIs" priority="1573" operator="greaterThan" aboveAverage="0" equalAverage="0" bottom="0" percent="0" rank="0" text="" dxfId="10">
      <formula>30</formula>
    </cfRule>
  </conditionalFormatting>
  <conditionalFormatting sqref="G530">
    <cfRule type="cellIs" priority="1574" operator="greaterThan" aboveAverage="0" equalAverage="0" bottom="0" percent="0" rank="0" text="" dxfId="1">
      <formula>0</formula>
    </cfRule>
    <cfRule type="cellIs" priority="1575" operator="lessThanOrEqual" aboveAverage="0" equalAverage="0" bottom="0" percent="0" rank="0" text="" dxfId="0">
      <formula>0</formula>
    </cfRule>
  </conditionalFormatting>
  <conditionalFormatting sqref="F530">
    <cfRule type="cellIs" priority="1576" operator="greaterThan" aboveAverage="0" equalAverage="0" bottom="0" percent="0" rank="0" text="" dxfId="10">
      <formula>30</formula>
    </cfRule>
  </conditionalFormatting>
  <conditionalFormatting sqref="G531">
    <cfRule type="cellIs" priority="1577" operator="greaterThan" aboveAverage="0" equalAverage="0" bottom="0" percent="0" rank="0" text="" dxfId="1">
      <formula>0</formula>
    </cfRule>
    <cfRule type="cellIs" priority="1578" operator="lessThanOrEqual" aboveAverage="0" equalAverage="0" bottom="0" percent="0" rank="0" text="" dxfId="0">
      <formula>0</formula>
    </cfRule>
  </conditionalFormatting>
  <conditionalFormatting sqref="F531">
    <cfRule type="cellIs" priority="1579" operator="greaterThan" aboveAverage="0" equalAverage="0" bottom="0" percent="0" rank="0" text="" dxfId="10">
      <formula>30</formula>
    </cfRule>
  </conditionalFormatting>
  <conditionalFormatting sqref="G532">
    <cfRule type="cellIs" priority="1580" operator="greaterThan" aboveAverage="0" equalAverage="0" bottom="0" percent="0" rank="0" text="" dxfId="1">
      <formula>0</formula>
    </cfRule>
    <cfRule type="cellIs" priority="1581" operator="lessThanOrEqual" aboveAverage="0" equalAverage="0" bottom="0" percent="0" rank="0" text="" dxfId="0">
      <formula>0</formula>
    </cfRule>
  </conditionalFormatting>
  <conditionalFormatting sqref="F532">
    <cfRule type="cellIs" priority="1582" operator="greaterThan" aboveAverage="0" equalAverage="0" bottom="0" percent="0" rank="0" text="" dxfId="10">
      <formula>30</formula>
    </cfRule>
  </conditionalFormatting>
  <conditionalFormatting sqref="G533">
    <cfRule type="cellIs" priority="1583" operator="greaterThan" aboveAverage="0" equalAverage="0" bottom="0" percent="0" rank="0" text="" dxfId="1">
      <formula>0</formula>
    </cfRule>
    <cfRule type="cellIs" priority="1584" operator="lessThanOrEqual" aboveAverage="0" equalAverage="0" bottom="0" percent="0" rank="0" text="" dxfId="0">
      <formula>0</formula>
    </cfRule>
  </conditionalFormatting>
  <conditionalFormatting sqref="F533">
    <cfRule type="cellIs" priority="1585" operator="greaterThan" aboveAverage="0" equalAverage="0" bottom="0" percent="0" rank="0" text="" dxfId="10">
      <formula>30</formula>
    </cfRule>
  </conditionalFormatting>
  <conditionalFormatting sqref="G534">
    <cfRule type="cellIs" priority="1586" operator="greaterThan" aboveAverage="0" equalAverage="0" bottom="0" percent="0" rank="0" text="" dxfId="1">
      <formula>0</formula>
    </cfRule>
    <cfRule type="cellIs" priority="1587" operator="lessThanOrEqual" aboveAverage="0" equalAverage="0" bottom="0" percent="0" rank="0" text="" dxfId="0">
      <formula>0</formula>
    </cfRule>
  </conditionalFormatting>
  <conditionalFormatting sqref="F534">
    <cfRule type="cellIs" priority="1588" operator="greaterThan" aboveAverage="0" equalAverage="0" bottom="0" percent="0" rank="0" text="" dxfId="10">
      <formula>30</formula>
    </cfRule>
  </conditionalFormatting>
  <conditionalFormatting sqref="G535">
    <cfRule type="cellIs" priority="1589" operator="greaterThan" aboveAverage="0" equalAverage="0" bottom="0" percent="0" rank="0" text="" dxfId="1">
      <formula>0</formula>
    </cfRule>
    <cfRule type="cellIs" priority="1590" operator="lessThanOrEqual" aboveAverage="0" equalAverage="0" bottom="0" percent="0" rank="0" text="" dxfId="0">
      <formula>0</formula>
    </cfRule>
  </conditionalFormatting>
  <conditionalFormatting sqref="F535">
    <cfRule type="cellIs" priority="1591" operator="greaterThan" aboveAverage="0" equalAverage="0" bottom="0" percent="0" rank="0" text="" dxfId="10">
      <formula>30</formula>
    </cfRule>
  </conditionalFormatting>
  <conditionalFormatting sqref="G536">
    <cfRule type="cellIs" priority="1592" operator="greaterThan" aboveAverage="0" equalAverage="0" bottom="0" percent="0" rank="0" text="" dxfId="1">
      <formula>0</formula>
    </cfRule>
    <cfRule type="cellIs" priority="1593" operator="lessThanOrEqual" aboveAverage="0" equalAverage="0" bottom="0" percent="0" rank="0" text="" dxfId="0">
      <formula>0</formula>
    </cfRule>
  </conditionalFormatting>
  <conditionalFormatting sqref="F536">
    <cfRule type="cellIs" priority="1594" operator="greaterThan" aboveAverage="0" equalAverage="0" bottom="0" percent="0" rank="0" text="" dxfId="10">
      <formula>30</formula>
    </cfRule>
  </conditionalFormatting>
  <conditionalFormatting sqref="G537">
    <cfRule type="cellIs" priority="1595" operator="greaterThan" aboveAverage="0" equalAverage="0" bottom="0" percent="0" rank="0" text="" dxfId="1">
      <formula>0</formula>
    </cfRule>
    <cfRule type="cellIs" priority="1596" operator="lessThanOrEqual" aboveAverage="0" equalAverage="0" bottom="0" percent="0" rank="0" text="" dxfId="0">
      <formula>0</formula>
    </cfRule>
  </conditionalFormatting>
  <conditionalFormatting sqref="F537">
    <cfRule type="cellIs" priority="1597" operator="greaterThan" aboveAverage="0" equalAverage="0" bottom="0" percent="0" rank="0" text="" dxfId="10">
      <formula>30</formula>
    </cfRule>
  </conditionalFormatting>
  <conditionalFormatting sqref="G538">
    <cfRule type="cellIs" priority="1598" operator="greaterThan" aboveAverage="0" equalAverage="0" bottom="0" percent="0" rank="0" text="" dxfId="1">
      <formula>0</formula>
    </cfRule>
    <cfRule type="cellIs" priority="1599" operator="lessThanOrEqual" aboveAverage="0" equalAverage="0" bottom="0" percent="0" rank="0" text="" dxfId="0">
      <formula>0</formula>
    </cfRule>
  </conditionalFormatting>
  <conditionalFormatting sqref="F538">
    <cfRule type="cellIs" priority="1600" operator="greaterThan" aboveAverage="0" equalAverage="0" bottom="0" percent="0" rank="0" text="" dxfId="10">
      <formula>30</formula>
    </cfRule>
  </conditionalFormatting>
  <conditionalFormatting sqref="G539">
    <cfRule type="cellIs" priority="1601" operator="greaterThan" aboveAverage="0" equalAverage="0" bottom="0" percent="0" rank="0" text="" dxfId="1">
      <formula>0</formula>
    </cfRule>
    <cfRule type="cellIs" priority="1602" operator="lessThanOrEqual" aboveAverage="0" equalAverage="0" bottom="0" percent="0" rank="0" text="" dxfId="0">
      <formula>0</formula>
    </cfRule>
  </conditionalFormatting>
  <conditionalFormatting sqref="F539">
    <cfRule type="cellIs" priority="1603" operator="greaterThan" aboveAverage="0" equalAverage="0" bottom="0" percent="0" rank="0" text="" dxfId="10">
      <formula>30</formula>
    </cfRule>
  </conditionalFormatting>
  <conditionalFormatting sqref="G540">
    <cfRule type="cellIs" priority="1604" operator="greaterThan" aboveAverage="0" equalAverage="0" bottom="0" percent="0" rank="0" text="" dxfId="1">
      <formula>0</formula>
    </cfRule>
    <cfRule type="cellIs" priority="1605" operator="lessThanOrEqual" aboveAverage="0" equalAverage="0" bottom="0" percent="0" rank="0" text="" dxfId="0">
      <formula>0</formula>
    </cfRule>
  </conditionalFormatting>
  <conditionalFormatting sqref="F540">
    <cfRule type="cellIs" priority="1606" operator="greaterThan" aboveAverage="0" equalAverage="0" bottom="0" percent="0" rank="0" text="" dxfId="10">
      <formula>30</formula>
    </cfRule>
  </conditionalFormatting>
  <conditionalFormatting sqref="G541">
    <cfRule type="cellIs" priority="1607" operator="greaterThan" aboveAverage="0" equalAverage="0" bottom="0" percent="0" rank="0" text="" dxfId="1">
      <formula>0</formula>
    </cfRule>
    <cfRule type="cellIs" priority="1608" operator="lessThanOrEqual" aboveAverage="0" equalAverage="0" bottom="0" percent="0" rank="0" text="" dxfId="0">
      <formula>0</formula>
    </cfRule>
  </conditionalFormatting>
  <conditionalFormatting sqref="F541">
    <cfRule type="cellIs" priority="1609" operator="greaterThan" aboveAverage="0" equalAverage="0" bottom="0" percent="0" rank="0" text="" dxfId="10">
      <formula>30</formula>
    </cfRule>
  </conditionalFormatting>
  <conditionalFormatting sqref="G542">
    <cfRule type="cellIs" priority="1610" operator="greaterThan" aboveAverage="0" equalAverage="0" bottom="0" percent="0" rank="0" text="" dxfId="1">
      <formula>0</formula>
    </cfRule>
    <cfRule type="cellIs" priority="1611" operator="lessThanOrEqual" aboveAverage="0" equalAverage="0" bottom="0" percent="0" rank="0" text="" dxfId="0">
      <formula>0</formula>
    </cfRule>
  </conditionalFormatting>
  <conditionalFormatting sqref="F542">
    <cfRule type="cellIs" priority="1612" operator="greaterThan" aboveAverage="0" equalAverage="0" bottom="0" percent="0" rank="0" text="" dxfId="10">
      <formula>30</formula>
    </cfRule>
  </conditionalFormatting>
  <conditionalFormatting sqref="G543">
    <cfRule type="cellIs" priority="1613" operator="greaterThan" aboveAverage="0" equalAverage="0" bottom="0" percent="0" rank="0" text="" dxfId="1">
      <formula>0</formula>
    </cfRule>
    <cfRule type="cellIs" priority="1614" operator="lessThanOrEqual" aboveAverage="0" equalAverage="0" bottom="0" percent="0" rank="0" text="" dxfId="0">
      <formula>0</formula>
    </cfRule>
  </conditionalFormatting>
  <conditionalFormatting sqref="F543">
    <cfRule type="cellIs" priority="1615" operator="greaterThan" aboveAverage="0" equalAverage="0" bottom="0" percent="0" rank="0" text="" dxfId="10">
      <formula>30</formula>
    </cfRule>
  </conditionalFormatting>
  <conditionalFormatting sqref="G544">
    <cfRule type="cellIs" priority="1616" operator="greaterThan" aboveAverage="0" equalAverage="0" bottom="0" percent="0" rank="0" text="" dxfId="1">
      <formula>0</formula>
    </cfRule>
    <cfRule type="cellIs" priority="1617" operator="lessThanOrEqual" aboveAverage="0" equalAverage="0" bottom="0" percent="0" rank="0" text="" dxfId="0">
      <formula>0</formula>
    </cfRule>
  </conditionalFormatting>
  <conditionalFormatting sqref="F544">
    <cfRule type="cellIs" priority="1618" operator="greaterThan" aboveAverage="0" equalAverage="0" bottom="0" percent="0" rank="0" text="" dxfId="10">
      <formula>30</formula>
    </cfRule>
  </conditionalFormatting>
  <conditionalFormatting sqref="G545">
    <cfRule type="cellIs" priority="1619" operator="greaterThan" aboveAverage="0" equalAverage="0" bottom="0" percent="0" rank="0" text="" dxfId="1">
      <formula>0</formula>
    </cfRule>
    <cfRule type="cellIs" priority="1620" operator="lessThanOrEqual" aboveAverage="0" equalAverage="0" bottom="0" percent="0" rank="0" text="" dxfId="0">
      <formula>0</formula>
    </cfRule>
  </conditionalFormatting>
  <conditionalFormatting sqref="F545">
    <cfRule type="cellIs" priority="1621" operator="greaterThan" aboveAverage="0" equalAverage="0" bottom="0" percent="0" rank="0" text="" dxfId="10">
      <formula>30</formula>
    </cfRule>
  </conditionalFormatting>
  <conditionalFormatting sqref="G546">
    <cfRule type="cellIs" priority="1622" operator="greaterThan" aboveAverage="0" equalAverage="0" bottom="0" percent="0" rank="0" text="" dxfId="1">
      <formula>0</formula>
    </cfRule>
    <cfRule type="cellIs" priority="1623" operator="lessThanOrEqual" aboveAverage="0" equalAverage="0" bottom="0" percent="0" rank="0" text="" dxfId="0">
      <formula>0</formula>
    </cfRule>
  </conditionalFormatting>
  <conditionalFormatting sqref="F546">
    <cfRule type="cellIs" priority="1624" operator="greaterThan" aboveAverage="0" equalAverage="0" bottom="0" percent="0" rank="0" text="" dxfId="10">
      <formula>30</formula>
    </cfRule>
  </conditionalFormatting>
  <conditionalFormatting sqref="G547">
    <cfRule type="cellIs" priority="1625" operator="greaterThan" aboveAverage="0" equalAverage="0" bottom="0" percent="0" rank="0" text="" dxfId="1">
      <formula>0</formula>
    </cfRule>
    <cfRule type="cellIs" priority="1626" operator="lessThanOrEqual" aboveAverage="0" equalAverage="0" bottom="0" percent="0" rank="0" text="" dxfId="0">
      <formula>0</formula>
    </cfRule>
  </conditionalFormatting>
  <conditionalFormatting sqref="F547">
    <cfRule type="cellIs" priority="1627" operator="greaterThan" aboveAverage="0" equalAverage="0" bottom="0" percent="0" rank="0" text="" dxfId="10">
      <formula>30</formula>
    </cfRule>
  </conditionalFormatting>
  <conditionalFormatting sqref="G548">
    <cfRule type="cellIs" priority="1628" operator="greaterThan" aboveAverage="0" equalAverage="0" bottom="0" percent="0" rank="0" text="" dxfId="1">
      <formula>0</formula>
    </cfRule>
    <cfRule type="cellIs" priority="1629" operator="lessThanOrEqual" aboveAverage="0" equalAverage="0" bottom="0" percent="0" rank="0" text="" dxfId="0">
      <formula>0</formula>
    </cfRule>
  </conditionalFormatting>
  <conditionalFormatting sqref="F548">
    <cfRule type="cellIs" priority="1630" operator="greaterThan" aboveAverage="0" equalAverage="0" bottom="0" percent="0" rank="0" text="" dxfId="10">
      <formula>30</formula>
    </cfRule>
  </conditionalFormatting>
  <conditionalFormatting sqref="G549">
    <cfRule type="cellIs" priority="1631" operator="greaterThan" aboveAverage="0" equalAverage="0" bottom="0" percent="0" rank="0" text="" dxfId="1">
      <formula>0</formula>
    </cfRule>
    <cfRule type="cellIs" priority="1632" operator="lessThanOrEqual" aboveAverage="0" equalAverage="0" bottom="0" percent="0" rank="0" text="" dxfId="0">
      <formula>0</formula>
    </cfRule>
  </conditionalFormatting>
  <conditionalFormatting sqref="F549">
    <cfRule type="cellIs" priority="1633" operator="greaterThan" aboveAverage="0" equalAverage="0" bottom="0" percent="0" rank="0" text="" dxfId="10">
      <formula>30</formula>
    </cfRule>
  </conditionalFormatting>
  <conditionalFormatting sqref="G550">
    <cfRule type="cellIs" priority="1634" operator="greaterThan" aboveAverage="0" equalAverage="0" bottom="0" percent="0" rank="0" text="" dxfId="1">
      <formula>0</formula>
    </cfRule>
    <cfRule type="cellIs" priority="1635" operator="lessThanOrEqual" aboveAverage="0" equalAverage="0" bottom="0" percent="0" rank="0" text="" dxfId="0">
      <formula>0</formula>
    </cfRule>
  </conditionalFormatting>
  <conditionalFormatting sqref="F550">
    <cfRule type="cellIs" priority="1636" operator="greaterThan" aboveAverage="0" equalAverage="0" bottom="0" percent="0" rank="0" text="" dxfId="10">
      <formula>30</formula>
    </cfRule>
  </conditionalFormatting>
  <conditionalFormatting sqref="G551">
    <cfRule type="cellIs" priority="1637" operator="greaterThan" aboveAverage="0" equalAverage="0" bottom="0" percent="0" rank="0" text="" dxfId="1">
      <formula>0</formula>
    </cfRule>
    <cfRule type="cellIs" priority="1638" operator="lessThanOrEqual" aboveAverage="0" equalAverage="0" bottom="0" percent="0" rank="0" text="" dxfId="0">
      <formula>0</formula>
    </cfRule>
  </conditionalFormatting>
  <conditionalFormatting sqref="F551">
    <cfRule type="cellIs" priority="1639" operator="greaterThan" aboveAverage="0" equalAverage="0" bottom="0" percent="0" rank="0" text="" dxfId="10">
      <formula>30</formula>
    </cfRule>
  </conditionalFormatting>
  <conditionalFormatting sqref="G552">
    <cfRule type="cellIs" priority="1640" operator="greaterThan" aboveAverage="0" equalAverage="0" bottom="0" percent="0" rank="0" text="" dxfId="1">
      <formula>0</formula>
    </cfRule>
    <cfRule type="cellIs" priority="1641" operator="lessThanOrEqual" aboveAverage="0" equalAverage="0" bottom="0" percent="0" rank="0" text="" dxfId="0">
      <formula>0</formula>
    </cfRule>
  </conditionalFormatting>
  <conditionalFormatting sqref="F552">
    <cfRule type="cellIs" priority="1642" operator="greaterThan" aboveAverage="0" equalAverage="0" bottom="0" percent="0" rank="0" text="" dxfId="10">
      <formula>30</formula>
    </cfRule>
  </conditionalFormatting>
  <conditionalFormatting sqref="G553">
    <cfRule type="cellIs" priority="1643" operator="greaterThan" aboveAverage="0" equalAverage="0" bottom="0" percent="0" rank="0" text="" dxfId="1">
      <formula>0</formula>
    </cfRule>
    <cfRule type="cellIs" priority="1644" operator="lessThanOrEqual" aboveAverage="0" equalAverage="0" bottom="0" percent="0" rank="0" text="" dxfId="0">
      <formula>0</formula>
    </cfRule>
  </conditionalFormatting>
  <conditionalFormatting sqref="F553">
    <cfRule type="cellIs" priority="1645" operator="greaterThan" aboveAverage="0" equalAverage="0" bottom="0" percent="0" rank="0" text="" dxfId="10">
      <formula>30</formula>
    </cfRule>
  </conditionalFormatting>
  <conditionalFormatting sqref="G554">
    <cfRule type="cellIs" priority="1646" operator="greaterThan" aboveAverage="0" equalAverage="0" bottom="0" percent="0" rank="0" text="" dxfId="1">
      <formula>0</formula>
    </cfRule>
    <cfRule type="cellIs" priority="1647" operator="lessThanOrEqual" aboveAverage="0" equalAverage="0" bottom="0" percent="0" rank="0" text="" dxfId="0">
      <formula>0</formula>
    </cfRule>
  </conditionalFormatting>
  <conditionalFormatting sqref="F554">
    <cfRule type="cellIs" priority="1648" operator="greaterThan" aboveAverage="0" equalAverage="0" bottom="0" percent="0" rank="0" text="" dxfId="10">
      <formula>30</formula>
    </cfRule>
  </conditionalFormatting>
  <conditionalFormatting sqref="G555">
    <cfRule type="cellIs" priority="1649" operator="greaterThan" aboveAverage="0" equalAverage="0" bottom="0" percent="0" rank="0" text="" dxfId="1">
      <formula>0</formula>
    </cfRule>
    <cfRule type="cellIs" priority="1650" operator="lessThanOrEqual" aboveAverage="0" equalAverage="0" bottom="0" percent="0" rank="0" text="" dxfId="0">
      <formula>0</formula>
    </cfRule>
  </conditionalFormatting>
  <conditionalFormatting sqref="F555">
    <cfRule type="cellIs" priority="1651" operator="greaterThan" aboveAverage="0" equalAverage="0" bottom="0" percent="0" rank="0" text="" dxfId="10">
      <formula>30</formula>
    </cfRule>
  </conditionalFormatting>
  <conditionalFormatting sqref="G556">
    <cfRule type="cellIs" priority="1652" operator="greaterThan" aboveAverage="0" equalAverage="0" bottom="0" percent="0" rank="0" text="" dxfId="1">
      <formula>0</formula>
    </cfRule>
    <cfRule type="cellIs" priority="1653" operator="lessThanOrEqual" aboveAverage="0" equalAverage="0" bottom="0" percent="0" rank="0" text="" dxfId="0">
      <formula>0</formula>
    </cfRule>
  </conditionalFormatting>
  <conditionalFormatting sqref="F556">
    <cfRule type="cellIs" priority="1654" operator="greaterThan" aboveAverage="0" equalAverage="0" bottom="0" percent="0" rank="0" text="" dxfId="10">
      <formula>30</formula>
    </cfRule>
  </conditionalFormatting>
  <conditionalFormatting sqref="G557">
    <cfRule type="cellIs" priority="1655" operator="greaterThan" aboveAverage="0" equalAverage="0" bottom="0" percent="0" rank="0" text="" dxfId="1">
      <formula>0</formula>
    </cfRule>
    <cfRule type="cellIs" priority="1656" operator="lessThanOrEqual" aboveAverage="0" equalAverage="0" bottom="0" percent="0" rank="0" text="" dxfId="0">
      <formula>0</formula>
    </cfRule>
  </conditionalFormatting>
  <conditionalFormatting sqref="F557">
    <cfRule type="cellIs" priority="1657" operator="greaterThan" aboveAverage="0" equalAverage="0" bottom="0" percent="0" rank="0" text="" dxfId="10">
      <formula>30</formula>
    </cfRule>
  </conditionalFormatting>
  <conditionalFormatting sqref="G558">
    <cfRule type="cellIs" priority="1658" operator="greaterThan" aboveAverage="0" equalAverage="0" bottom="0" percent="0" rank="0" text="" dxfId="1">
      <formula>0</formula>
    </cfRule>
    <cfRule type="cellIs" priority="1659" operator="lessThanOrEqual" aboveAverage="0" equalAverage="0" bottom="0" percent="0" rank="0" text="" dxfId="0">
      <formula>0</formula>
    </cfRule>
  </conditionalFormatting>
  <conditionalFormatting sqref="F558">
    <cfRule type="cellIs" priority="1660" operator="greaterThan" aboveAverage="0" equalAverage="0" bottom="0" percent="0" rank="0" text="" dxfId="10">
      <formula>30</formula>
    </cfRule>
  </conditionalFormatting>
  <conditionalFormatting sqref="G559">
    <cfRule type="cellIs" priority="1661" operator="greaterThan" aboveAverage="0" equalAverage="0" bottom="0" percent="0" rank="0" text="" dxfId="1">
      <formula>0</formula>
    </cfRule>
    <cfRule type="cellIs" priority="1662" operator="lessThanOrEqual" aboveAverage="0" equalAverage="0" bottom="0" percent="0" rank="0" text="" dxfId="0">
      <formula>0</formula>
    </cfRule>
  </conditionalFormatting>
  <conditionalFormatting sqref="F559">
    <cfRule type="cellIs" priority="1663" operator="greaterThan" aboveAverage="0" equalAverage="0" bottom="0" percent="0" rank="0" text="" dxfId="10">
      <formula>30</formula>
    </cfRule>
  </conditionalFormatting>
  <conditionalFormatting sqref="G560">
    <cfRule type="cellIs" priority="1664" operator="greaterThan" aboveAverage="0" equalAverage="0" bottom="0" percent="0" rank="0" text="" dxfId="1">
      <formula>0</formula>
    </cfRule>
    <cfRule type="cellIs" priority="1665" operator="lessThanOrEqual" aboveAverage="0" equalAverage="0" bottom="0" percent="0" rank="0" text="" dxfId="0">
      <formula>0</formula>
    </cfRule>
  </conditionalFormatting>
  <conditionalFormatting sqref="F560">
    <cfRule type="cellIs" priority="1666" operator="greaterThan" aboveAverage="0" equalAverage="0" bottom="0" percent="0" rank="0" text="" dxfId="10">
      <formula>30</formula>
    </cfRule>
  </conditionalFormatting>
  <conditionalFormatting sqref="G561">
    <cfRule type="cellIs" priority="1667" operator="greaterThan" aboveAverage="0" equalAverage="0" bottom="0" percent="0" rank="0" text="" dxfId="1">
      <formula>0</formula>
    </cfRule>
    <cfRule type="cellIs" priority="1668" operator="lessThanOrEqual" aboveAverage="0" equalAverage="0" bottom="0" percent="0" rank="0" text="" dxfId="0">
      <formula>0</formula>
    </cfRule>
  </conditionalFormatting>
  <conditionalFormatting sqref="F561">
    <cfRule type="cellIs" priority="1669" operator="greaterThan" aboveAverage="0" equalAverage="0" bottom="0" percent="0" rank="0" text="" dxfId="10">
      <formula>30</formula>
    </cfRule>
  </conditionalFormatting>
  <conditionalFormatting sqref="G562">
    <cfRule type="cellIs" priority="1670" operator="greaterThan" aboveAverage="0" equalAverage="0" bottom="0" percent="0" rank="0" text="" dxfId="1">
      <formula>0</formula>
    </cfRule>
    <cfRule type="cellIs" priority="1671" operator="lessThanOrEqual" aboveAverage="0" equalAverage="0" bottom="0" percent="0" rank="0" text="" dxfId="0">
      <formula>0</formula>
    </cfRule>
  </conditionalFormatting>
  <conditionalFormatting sqref="F562">
    <cfRule type="cellIs" priority="1672" operator="greaterThan" aboveAverage="0" equalAverage="0" bottom="0" percent="0" rank="0" text="" dxfId="10">
      <formula>30</formula>
    </cfRule>
  </conditionalFormatting>
  <conditionalFormatting sqref="G563">
    <cfRule type="cellIs" priority="1673" operator="greaterThan" aboveAverage="0" equalAverage="0" bottom="0" percent="0" rank="0" text="" dxfId="1">
      <formula>0</formula>
    </cfRule>
    <cfRule type="cellIs" priority="1674" operator="lessThanOrEqual" aboveAverage="0" equalAverage="0" bottom="0" percent="0" rank="0" text="" dxfId="0">
      <formula>0</formula>
    </cfRule>
  </conditionalFormatting>
  <conditionalFormatting sqref="F563">
    <cfRule type="cellIs" priority="1675" operator="greaterThan" aboveAverage="0" equalAverage="0" bottom="0" percent="0" rank="0" text="" dxfId="10">
      <formula>30</formula>
    </cfRule>
  </conditionalFormatting>
  <conditionalFormatting sqref="G564">
    <cfRule type="cellIs" priority="1676" operator="greaterThan" aboveAverage="0" equalAverage="0" bottom="0" percent="0" rank="0" text="" dxfId="1">
      <formula>0</formula>
    </cfRule>
    <cfRule type="cellIs" priority="1677" operator="lessThanOrEqual" aboveAverage="0" equalAverage="0" bottom="0" percent="0" rank="0" text="" dxfId="0">
      <formula>0</formula>
    </cfRule>
  </conditionalFormatting>
  <conditionalFormatting sqref="F564">
    <cfRule type="cellIs" priority="1678" operator="greaterThan" aboveAverage="0" equalAverage="0" bottom="0" percent="0" rank="0" text="" dxfId="10">
      <formula>30</formula>
    </cfRule>
  </conditionalFormatting>
  <conditionalFormatting sqref="G565">
    <cfRule type="cellIs" priority="1679" operator="greaterThan" aboveAverage="0" equalAverage="0" bottom="0" percent="0" rank="0" text="" dxfId="1">
      <formula>0</formula>
    </cfRule>
    <cfRule type="cellIs" priority="1680" operator="lessThanOrEqual" aboveAverage="0" equalAverage="0" bottom="0" percent="0" rank="0" text="" dxfId="0">
      <formula>0</formula>
    </cfRule>
  </conditionalFormatting>
  <conditionalFormatting sqref="F565">
    <cfRule type="cellIs" priority="1681" operator="greaterThan" aboveAverage="0" equalAverage="0" bottom="0" percent="0" rank="0" text="" dxfId="10">
      <formula>30</formula>
    </cfRule>
  </conditionalFormatting>
  <conditionalFormatting sqref="G566">
    <cfRule type="cellIs" priority="1682" operator="greaterThan" aboveAverage="0" equalAverage="0" bottom="0" percent="0" rank="0" text="" dxfId="1">
      <formula>0</formula>
    </cfRule>
    <cfRule type="cellIs" priority="1683" operator="lessThanOrEqual" aboveAverage="0" equalAverage="0" bottom="0" percent="0" rank="0" text="" dxfId="0">
      <formula>0</formula>
    </cfRule>
  </conditionalFormatting>
  <conditionalFormatting sqref="F566">
    <cfRule type="cellIs" priority="1684" operator="greaterThan" aboveAverage="0" equalAverage="0" bottom="0" percent="0" rank="0" text="" dxfId="10">
      <formula>30</formula>
    </cfRule>
  </conditionalFormatting>
  <conditionalFormatting sqref="G567">
    <cfRule type="cellIs" priority="1685" operator="greaterThan" aboveAverage="0" equalAverage="0" bottom="0" percent="0" rank="0" text="" dxfId="1">
      <formula>0</formula>
    </cfRule>
    <cfRule type="cellIs" priority="1686" operator="lessThanOrEqual" aboveAverage="0" equalAverage="0" bottom="0" percent="0" rank="0" text="" dxfId="0">
      <formula>0</formula>
    </cfRule>
  </conditionalFormatting>
  <conditionalFormatting sqref="F567">
    <cfRule type="cellIs" priority="1687" operator="greaterThan" aboveAverage="0" equalAverage="0" bottom="0" percent="0" rank="0" text="" dxfId="10">
      <formula>30</formula>
    </cfRule>
  </conditionalFormatting>
  <conditionalFormatting sqref="G568">
    <cfRule type="cellIs" priority="1688" operator="greaterThan" aboveAverage="0" equalAverage="0" bottom="0" percent="0" rank="0" text="" dxfId="1">
      <formula>0</formula>
    </cfRule>
    <cfRule type="cellIs" priority="1689" operator="lessThanOrEqual" aboveAverage="0" equalAverage="0" bottom="0" percent="0" rank="0" text="" dxfId="0">
      <formula>0</formula>
    </cfRule>
  </conditionalFormatting>
  <conditionalFormatting sqref="F568">
    <cfRule type="cellIs" priority="1690" operator="greaterThan" aboveAverage="0" equalAverage="0" bottom="0" percent="0" rank="0" text="" dxfId="10">
      <formula>30</formula>
    </cfRule>
  </conditionalFormatting>
  <conditionalFormatting sqref="G569">
    <cfRule type="cellIs" priority="1691" operator="greaterThan" aboveAverage="0" equalAverage="0" bottom="0" percent="0" rank="0" text="" dxfId="1">
      <formula>0</formula>
    </cfRule>
    <cfRule type="cellIs" priority="1692" operator="lessThanOrEqual" aboveAverage="0" equalAverage="0" bottom="0" percent="0" rank="0" text="" dxfId="0">
      <formula>0</formula>
    </cfRule>
  </conditionalFormatting>
  <conditionalFormatting sqref="F569">
    <cfRule type="cellIs" priority="1693" operator="greaterThan" aboveAverage="0" equalAverage="0" bottom="0" percent="0" rank="0" text="" dxfId="10">
      <formula>30</formula>
    </cfRule>
  </conditionalFormatting>
  <conditionalFormatting sqref="G570">
    <cfRule type="cellIs" priority="1694" operator="greaterThan" aboveAverage="0" equalAverage="0" bottom="0" percent="0" rank="0" text="" dxfId="1">
      <formula>0</formula>
    </cfRule>
    <cfRule type="cellIs" priority="1695" operator="lessThanOrEqual" aboveAverage="0" equalAverage="0" bottom="0" percent="0" rank="0" text="" dxfId="0">
      <formula>0</formula>
    </cfRule>
  </conditionalFormatting>
  <conditionalFormatting sqref="F570">
    <cfRule type="cellIs" priority="1696" operator="greaterThan" aboveAverage="0" equalAverage="0" bottom="0" percent="0" rank="0" text="" dxfId="10">
      <formula>30</formula>
    </cfRule>
  </conditionalFormatting>
  <conditionalFormatting sqref="G571">
    <cfRule type="cellIs" priority="1697" operator="greaterThan" aboveAverage="0" equalAverage="0" bottom="0" percent="0" rank="0" text="" dxfId="1">
      <formula>0</formula>
    </cfRule>
    <cfRule type="cellIs" priority="1698" operator="lessThanOrEqual" aboveAverage="0" equalAverage="0" bottom="0" percent="0" rank="0" text="" dxfId="0">
      <formula>0</formula>
    </cfRule>
  </conditionalFormatting>
  <conditionalFormatting sqref="F571">
    <cfRule type="cellIs" priority="1699" operator="greaterThan" aboveAverage="0" equalAverage="0" bottom="0" percent="0" rank="0" text="" dxfId="10">
      <formula>30</formula>
    </cfRule>
  </conditionalFormatting>
  <conditionalFormatting sqref="G572">
    <cfRule type="cellIs" priority="1700" operator="greaterThan" aboveAverage="0" equalAverage="0" bottom="0" percent="0" rank="0" text="" dxfId="1">
      <formula>0</formula>
    </cfRule>
    <cfRule type="cellIs" priority="1701" operator="lessThanOrEqual" aboveAverage="0" equalAverage="0" bottom="0" percent="0" rank="0" text="" dxfId="0">
      <formula>0</formula>
    </cfRule>
  </conditionalFormatting>
  <conditionalFormatting sqref="F572">
    <cfRule type="cellIs" priority="1702" operator="greaterThan" aboveAverage="0" equalAverage="0" bottom="0" percent="0" rank="0" text="" dxfId="10">
      <formula>30</formula>
    </cfRule>
  </conditionalFormatting>
  <conditionalFormatting sqref="G573">
    <cfRule type="cellIs" priority="1703" operator="greaterThan" aboveAverage="0" equalAverage="0" bottom="0" percent="0" rank="0" text="" dxfId="1">
      <formula>0</formula>
    </cfRule>
    <cfRule type="cellIs" priority="1704" operator="lessThanOrEqual" aboveAverage="0" equalAverage="0" bottom="0" percent="0" rank="0" text="" dxfId="0">
      <formula>0</formula>
    </cfRule>
  </conditionalFormatting>
  <conditionalFormatting sqref="F573">
    <cfRule type="cellIs" priority="1705" operator="greaterThan" aboveAverage="0" equalAverage="0" bottom="0" percent="0" rank="0" text="" dxfId="10">
      <formula>30</formula>
    </cfRule>
  </conditionalFormatting>
  <conditionalFormatting sqref="G574">
    <cfRule type="cellIs" priority="1706" operator="greaterThan" aboveAverage="0" equalAverage="0" bottom="0" percent="0" rank="0" text="" dxfId="1">
      <formula>0</formula>
    </cfRule>
    <cfRule type="cellIs" priority="1707" operator="lessThanOrEqual" aboveAverage="0" equalAverage="0" bottom="0" percent="0" rank="0" text="" dxfId="0">
      <formula>0</formula>
    </cfRule>
  </conditionalFormatting>
  <conditionalFormatting sqref="F574">
    <cfRule type="cellIs" priority="1708" operator="greaterThan" aboveAverage="0" equalAverage="0" bottom="0" percent="0" rank="0" text="" dxfId="10">
      <formula>30</formula>
    </cfRule>
  </conditionalFormatting>
  <conditionalFormatting sqref="G575">
    <cfRule type="cellIs" priority="1709" operator="greaterThan" aboveAverage="0" equalAverage="0" bottom="0" percent="0" rank="0" text="" dxfId="1">
      <formula>0</formula>
    </cfRule>
    <cfRule type="cellIs" priority="1710" operator="lessThanOrEqual" aboveAverage="0" equalAverage="0" bottom="0" percent="0" rank="0" text="" dxfId="0">
      <formula>0</formula>
    </cfRule>
  </conditionalFormatting>
  <conditionalFormatting sqref="F575">
    <cfRule type="cellIs" priority="1711" operator="greaterThan" aboveAverage="0" equalAverage="0" bottom="0" percent="0" rank="0" text="" dxfId="10">
      <formula>30</formula>
    </cfRule>
  </conditionalFormatting>
  <conditionalFormatting sqref="G576">
    <cfRule type="cellIs" priority="1712" operator="greaterThan" aboveAverage="0" equalAverage="0" bottom="0" percent="0" rank="0" text="" dxfId="1">
      <formula>0</formula>
    </cfRule>
    <cfRule type="cellIs" priority="1713" operator="lessThanOrEqual" aboveAverage="0" equalAverage="0" bottom="0" percent="0" rank="0" text="" dxfId="0">
      <formula>0</formula>
    </cfRule>
  </conditionalFormatting>
  <conditionalFormatting sqref="F576">
    <cfRule type="cellIs" priority="1714" operator="greaterThan" aboveAverage="0" equalAverage="0" bottom="0" percent="0" rank="0" text="" dxfId="10">
      <formula>30</formula>
    </cfRule>
  </conditionalFormatting>
  <conditionalFormatting sqref="G577">
    <cfRule type="cellIs" priority="1715" operator="greaterThan" aboveAverage="0" equalAverage="0" bottom="0" percent="0" rank="0" text="" dxfId="1">
      <formula>0</formula>
    </cfRule>
    <cfRule type="cellIs" priority="1716" operator="lessThanOrEqual" aboveAverage="0" equalAverage="0" bottom="0" percent="0" rank="0" text="" dxfId="0">
      <formula>0</formula>
    </cfRule>
  </conditionalFormatting>
  <conditionalFormatting sqref="F577">
    <cfRule type="cellIs" priority="1717" operator="greaterThan" aboveAverage="0" equalAverage="0" bottom="0" percent="0" rank="0" text="" dxfId="10">
      <formula>30</formula>
    </cfRule>
  </conditionalFormatting>
  <conditionalFormatting sqref="G578">
    <cfRule type="cellIs" priority="1718" operator="greaterThan" aboveAverage="0" equalAverage="0" bottom="0" percent="0" rank="0" text="" dxfId="1">
      <formula>0</formula>
    </cfRule>
    <cfRule type="cellIs" priority="1719" operator="lessThanOrEqual" aboveAverage="0" equalAverage="0" bottom="0" percent="0" rank="0" text="" dxfId="0">
      <formula>0</formula>
    </cfRule>
  </conditionalFormatting>
  <conditionalFormatting sqref="F578">
    <cfRule type="cellIs" priority="1720" operator="greaterThan" aboveAverage="0" equalAverage="0" bottom="0" percent="0" rank="0" text="" dxfId="10">
      <formula>30</formula>
    </cfRule>
  </conditionalFormatting>
  <conditionalFormatting sqref="G579">
    <cfRule type="cellIs" priority="1721" operator="greaterThan" aboveAverage="0" equalAverage="0" bottom="0" percent="0" rank="0" text="" dxfId="1">
      <formula>0</formula>
    </cfRule>
    <cfRule type="cellIs" priority="1722" operator="lessThanOrEqual" aboveAverage="0" equalAverage="0" bottom="0" percent="0" rank="0" text="" dxfId="0">
      <formula>0</formula>
    </cfRule>
  </conditionalFormatting>
  <conditionalFormatting sqref="F579">
    <cfRule type="cellIs" priority="1723" operator="greaterThan" aboveAverage="0" equalAverage="0" bottom="0" percent="0" rank="0" text="" dxfId="10">
      <formula>30</formula>
    </cfRule>
  </conditionalFormatting>
  <conditionalFormatting sqref="G580">
    <cfRule type="cellIs" priority="1724" operator="greaterThan" aboveAverage="0" equalAverage="0" bottom="0" percent="0" rank="0" text="" dxfId="1">
      <formula>0</formula>
    </cfRule>
    <cfRule type="cellIs" priority="1725" operator="lessThanOrEqual" aboveAverage="0" equalAverage="0" bottom="0" percent="0" rank="0" text="" dxfId="0">
      <formula>0</formula>
    </cfRule>
  </conditionalFormatting>
  <conditionalFormatting sqref="F580">
    <cfRule type="cellIs" priority="1726" operator="greaterThan" aboveAverage="0" equalAverage="0" bottom="0" percent="0" rank="0" text="" dxfId="10">
      <formula>30</formula>
    </cfRule>
  </conditionalFormatting>
  <conditionalFormatting sqref="G581">
    <cfRule type="cellIs" priority="1727" operator="greaterThan" aboveAverage="0" equalAverage="0" bottom="0" percent="0" rank="0" text="" dxfId="1">
      <formula>0</formula>
    </cfRule>
    <cfRule type="cellIs" priority="1728" operator="lessThanOrEqual" aboveAverage="0" equalAverage="0" bottom="0" percent="0" rank="0" text="" dxfId="0">
      <formula>0</formula>
    </cfRule>
  </conditionalFormatting>
  <conditionalFormatting sqref="F581">
    <cfRule type="cellIs" priority="1729" operator="greaterThan" aboveAverage="0" equalAverage="0" bottom="0" percent="0" rank="0" text="" dxfId="10">
      <formula>30</formula>
    </cfRule>
  </conditionalFormatting>
  <conditionalFormatting sqref="G582">
    <cfRule type="cellIs" priority="1730" operator="greaterThan" aboveAverage="0" equalAverage="0" bottom="0" percent="0" rank="0" text="" dxfId="1">
      <formula>0</formula>
    </cfRule>
    <cfRule type="cellIs" priority="1731" operator="lessThanOrEqual" aboveAverage="0" equalAverage="0" bottom="0" percent="0" rank="0" text="" dxfId="0">
      <formula>0</formula>
    </cfRule>
  </conditionalFormatting>
  <conditionalFormatting sqref="F582">
    <cfRule type="cellIs" priority="1732" operator="greaterThan" aboveAverage="0" equalAverage="0" bottom="0" percent="0" rank="0" text="" dxfId="10">
      <formula>30</formula>
    </cfRule>
  </conditionalFormatting>
  <conditionalFormatting sqref="G583">
    <cfRule type="cellIs" priority="1733" operator="greaterThan" aboveAverage="0" equalAverage="0" bottom="0" percent="0" rank="0" text="" dxfId="1">
      <formula>0</formula>
    </cfRule>
    <cfRule type="cellIs" priority="1734" operator="lessThanOrEqual" aboveAverage="0" equalAverage="0" bottom="0" percent="0" rank="0" text="" dxfId="0">
      <formula>0</formula>
    </cfRule>
  </conditionalFormatting>
  <conditionalFormatting sqref="F583">
    <cfRule type="cellIs" priority="1735" operator="greaterThan" aboveAverage="0" equalAverage="0" bottom="0" percent="0" rank="0" text="" dxfId="10">
      <formula>30</formula>
    </cfRule>
  </conditionalFormatting>
  <conditionalFormatting sqref="G584">
    <cfRule type="cellIs" priority="1736" operator="greaterThan" aboveAverage="0" equalAverage="0" bottom="0" percent="0" rank="0" text="" dxfId="1">
      <formula>0</formula>
    </cfRule>
    <cfRule type="cellIs" priority="1737" operator="lessThanOrEqual" aboveAverage="0" equalAverage="0" bottom="0" percent="0" rank="0" text="" dxfId="0">
      <formula>0</formula>
    </cfRule>
  </conditionalFormatting>
  <conditionalFormatting sqref="F584">
    <cfRule type="cellIs" priority="1738" operator="greaterThan" aboveAverage="0" equalAverage="0" bottom="0" percent="0" rank="0" text="" dxfId="10">
      <formula>30</formula>
    </cfRule>
  </conditionalFormatting>
  <conditionalFormatting sqref="G585">
    <cfRule type="cellIs" priority="1739" operator="greaterThan" aboveAverage="0" equalAverage="0" bottom="0" percent="0" rank="0" text="" dxfId="1">
      <formula>0</formula>
    </cfRule>
    <cfRule type="cellIs" priority="1740" operator="lessThanOrEqual" aboveAverage="0" equalAverage="0" bottom="0" percent="0" rank="0" text="" dxfId="0">
      <formula>0</formula>
    </cfRule>
  </conditionalFormatting>
  <conditionalFormatting sqref="F585">
    <cfRule type="cellIs" priority="1741" operator="greaterThan" aboveAverage="0" equalAverage="0" bottom="0" percent="0" rank="0" text="" dxfId="10">
      <formula>30</formula>
    </cfRule>
  </conditionalFormatting>
  <conditionalFormatting sqref="G586">
    <cfRule type="cellIs" priority="1742" operator="greaterThan" aboveAverage="0" equalAverage="0" bottom="0" percent="0" rank="0" text="" dxfId="1">
      <formula>0</formula>
    </cfRule>
    <cfRule type="cellIs" priority="1743" operator="lessThanOrEqual" aboveAverage="0" equalAverage="0" bottom="0" percent="0" rank="0" text="" dxfId="0">
      <formula>0</formula>
    </cfRule>
  </conditionalFormatting>
  <conditionalFormatting sqref="F586">
    <cfRule type="cellIs" priority="1744" operator="greaterThan" aboveAverage="0" equalAverage="0" bottom="0" percent="0" rank="0" text="" dxfId="10">
      <formula>30</formula>
    </cfRule>
  </conditionalFormatting>
  <conditionalFormatting sqref="G587">
    <cfRule type="cellIs" priority="1745" operator="greaterThan" aboveAverage="0" equalAverage="0" bottom="0" percent="0" rank="0" text="" dxfId="1">
      <formula>0</formula>
    </cfRule>
    <cfRule type="cellIs" priority="1746" operator="lessThanOrEqual" aboveAverage="0" equalAverage="0" bottom="0" percent="0" rank="0" text="" dxfId="0">
      <formula>0</formula>
    </cfRule>
  </conditionalFormatting>
  <conditionalFormatting sqref="F587">
    <cfRule type="cellIs" priority="1747" operator="greaterThan" aboveAverage="0" equalAverage="0" bottom="0" percent="0" rank="0" text="" dxfId="10">
      <formula>30</formula>
    </cfRule>
  </conditionalFormatting>
  <conditionalFormatting sqref="G588">
    <cfRule type="cellIs" priority="1748" operator="greaterThan" aboveAverage="0" equalAverage="0" bottom="0" percent="0" rank="0" text="" dxfId="1">
      <formula>0</formula>
    </cfRule>
    <cfRule type="cellIs" priority="1749" operator="lessThanOrEqual" aboveAverage="0" equalAverage="0" bottom="0" percent="0" rank="0" text="" dxfId="0">
      <formula>0</formula>
    </cfRule>
  </conditionalFormatting>
  <conditionalFormatting sqref="F588">
    <cfRule type="cellIs" priority="1750" operator="greaterThan" aboveAverage="0" equalAverage="0" bottom="0" percent="0" rank="0" text="" dxfId="10">
      <formula>30</formula>
    </cfRule>
  </conditionalFormatting>
  <conditionalFormatting sqref="G589">
    <cfRule type="cellIs" priority="1751" operator="greaterThan" aboveAverage="0" equalAverage="0" bottom="0" percent="0" rank="0" text="" dxfId="1">
      <formula>0</formula>
    </cfRule>
    <cfRule type="cellIs" priority="1752" operator="lessThanOrEqual" aboveAverage="0" equalAverage="0" bottom="0" percent="0" rank="0" text="" dxfId="0">
      <formula>0</formula>
    </cfRule>
  </conditionalFormatting>
  <conditionalFormatting sqref="F589">
    <cfRule type="cellIs" priority="1753" operator="greaterThan" aboveAverage="0" equalAverage="0" bottom="0" percent="0" rank="0" text="" dxfId="10">
      <formula>30</formula>
    </cfRule>
  </conditionalFormatting>
  <conditionalFormatting sqref="G590">
    <cfRule type="cellIs" priority="1754" operator="greaterThan" aboveAverage="0" equalAverage="0" bottom="0" percent="0" rank="0" text="" dxfId="1">
      <formula>0</formula>
    </cfRule>
    <cfRule type="cellIs" priority="1755" operator="lessThanOrEqual" aboveAverage="0" equalAverage="0" bottom="0" percent="0" rank="0" text="" dxfId="0">
      <formula>0</formula>
    </cfRule>
  </conditionalFormatting>
  <conditionalFormatting sqref="F590">
    <cfRule type="cellIs" priority="1756" operator="greaterThan" aboveAverage="0" equalAverage="0" bottom="0" percent="0" rank="0" text="" dxfId="10">
      <formula>30</formula>
    </cfRule>
  </conditionalFormatting>
  <conditionalFormatting sqref="G591">
    <cfRule type="cellIs" priority="1757" operator="greaterThan" aboveAverage="0" equalAverage="0" bottom="0" percent="0" rank="0" text="" dxfId="1">
      <formula>0</formula>
    </cfRule>
    <cfRule type="cellIs" priority="1758" operator="lessThanOrEqual" aboveAverage="0" equalAverage="0" bottom="0" percent="0" rank="0" text="" dxfId="0">
      <formula>0</formula>
    </cfRule>
  </conditionalFormatting>
  <conditionalFormatting sqref="F591">
    <cfRule type="cellIs" priority="1759" operator="greaterThan" aboveAverage="0" equalAverage="0" bottom="0" percent="0" rank="0" text="" dxfId="10">
      <formula>30</formula>
    </cfRule>
  </conditionalFormatting>
  <conditionalFormatting sqref="G592">
    <cfRule type="cellIs" priority="1760" operator="greaterThan" aboveAverage="0" equalAverage="0" bottom="0" percent="0" rank="0" text="" dxfId="1">
      <formula>0</formula>
    </cfRule>
    <cfRule type="cellIs" priority="1761" operator="lessThanOrEqual" aboveAverage="0" equalAverage="0" bottom="0" percent="0" rank="0" text="" dxfId="0">
      <formula>0</formula>
    </cfRule>
  </conditionalFormatting>
  <conditionalFormatting sqref="F592">
    <cfRule type="cellIs" priority="1762" operator="greaterThan" aboveAverage="0" equalAverage="0" bottom="0" percent="0" rank="0" text="" dxfId="10">
      <formula>30</formula>
    </cfRule>
  </conditionalFormatting>
  <conditionalFormatting sqref="G593">
    <cfRule type="cellIs" priority="1763" operator="greaterThan" aboveAverage="0" equalAverage="0" bottom="0" percent="0" rank="0" text="" dxfId="1">
      <formula>0</formula>
    </cfRule>
    <cfRule type="cellIs" priority="1764" operator="lessThanOrEqual" aboveAverage="0" equalAverage="0" bottom="0" percent="0" rank="0" text="" dxfId="0">
      <formula>0</formula>
    </cfRule>
  </conditionalFormatting>
  <conditionalFormatting sqref="F593">
    <cfRule type="cellIs" priority="1765" operator="greaterThan" aboveAverage="0" equalAverage="0" bottom="0" percent="0" rank="0" text="" dxfId="10">
      <formula>30</formula>
    </cfRule>
  </conditionalFormatting>
  <conditionalFormatting sqref="G594">
    <cfRule type="cellIs" priority="1766" operator="greaterThan" aboveAverage="0" equalAverage="0" bottom="0" percent="0" rank="0" text="" dxfId="1">
      <formula>0</formula>
    </cfRule>
    <cfRule type="cellIs" priority="1767" operator="lessThanOrEqual" aboveAverage="0" equalAverage="0" bottom="0" percent="0" rank="0" text="" dxfId="0">
      <formula>0</formula>
    </cfRule>
  </conditionalFormatting>
  <conditionalFormatting sqref="F594">
    <cfRule type="cellIs" priority="1768" operator="greaterThan" aboveAverage="0" equalAverage="0" bottom="0" percent="0" rank="0" text="" dxfId="10">
      <formula>30</formula>
    </cfRule>
  </conditionalFormatting>
  <conditionalFormatting sqref="G595">
    <cfRule type="cellIs" priority="1769" operator="greaterThan" aboveAverage="0" equalAverage="0" bottom="0" percent="0" rank="0" text="" dxfId="1">
      <formula>0</formula>
    </cfRule>
    <cfRule type="cellIs" priority="1770" operator="lessThanOrEqual" aboveAverage="0" equalAverage="0" bottom="0" percent="0" rank="0" text="" dxfId="0">
      <formula>0</formula>
    </cfRule>
  </conditionalFormatting>
  <conditionalFormatting sqref="F595">
    <cfRule type="cellIs" priority="1771" operator="greaterThan" aboveAverage="0" equalAverage="0" bottom="0" percent="0" rank="0" text="" dxfId="10">
      <formula>30</formula>
    </cfRule>
  </conditionalFormatting>
  <conditionalFormatting sqref="G596">
    <cfRule type="cellIs" priority="1772" operator="greaterThan" aboveAverage="0" equalAverage="0" bottom="0" percent="0" rank="0" text="" dxfId="1">
      <formula>0</formula>
    </cfRule>
    <cfRule type="cellIs" priority="1773" operator="lessThanOrEqual" aboveAverage="0" equalAverage="0" bottom="0" percent="0" rank="0" text="" dxfId="0">
      <formula>0</formula>
    </cfRule>
  </conditionalFormatting>
  <conditionalFormatting sqref="F596">
    <cfRule type="cellIs" priority="1774" operator="greaterThan" aboveAverage="0" equalAverage="0" bottom="0" percent="0" rank="0" text="" dxfId="10">
      <formula>30</formula>
    </cfRule>
  </conditionalFormatting>
  <conditionalFormatting sqref="G597">
    <cfRule type="cellIs" priority="1775" operator="greaterThan" aboveAverage="0" equalAverage="0" bottom="0" percent="0" rank="0" text="" dxfId="1">
      <formula>0</formula>
    </cfRule>
    <cfRule type="cellIs" priority="1776" operator="lessThanOrEqual" aboveAverage="0" equalAverage="0" bottom="0" percent="0" rank="0" text="" dxfId="0">
      <formula>0</formula>
    </cfRule>
  </conditionalFormatting>
  <conditionalFormatting sqref="F597">
    <cfRule type="cellIs" priority="1777" operator="greaterThan" aboveAverage="0" equalAverage="0" bottom="0" percent="0" rank="0" text="" dxfId="10">
      <formula>30</formula>
    </cfRule>
  </conditionalFormatting>
  <conditionalFormatting sqref="G598">
    <cfRule type="cellIs" priority="1778" operator="greaterThan" aboveAverage="0" equalAverage="0" bottom="0" percent="0" rank="0" text="" dxfId="1">
      <formula>0</formula>
    </cfRule>
    <cfRule type="cellIs" priority="1779" operator="lessThanOrEqual" aboveAverage="0" equalAverage="0" bottom="0" percent="0" rank="0" text="" dxfId="0">
      <formula>0</formula>
    </cfRule>
  </conditionalFormatting>
  <conditionalFormatting sqref="F598">
    <cfRule type="cellIs" priority="1780" operator="greaterThan" aboveAverage="0" equalAverage="0" bottom="0" percent="0" rank="0" text="" dxfId="10">
      <formula>30</formula>
    </cfRule>
  </conditionalFormatting>
  <conditionalFormatting sqref="G599">
    <cfRule type="cellIs" priority="1781" operator="greaterThan" aboveAverage="0" equalAverage="0" bottom="0" percent="0" rank="0" text="" dxfId="1">
      <formula>0</formula>
    </cfRule>
    <cfRule type="cellIs" priority="1782" operator="lessThanOrEqual" aboveAverage="0" equalAverage="0" bottom="0" percent="0" rank="0" text="" dxfId="0">
      <formula>0</formula>
    </cfRule>
  </conditionalFormatting>
  <conditionalFormatting sqref="F599">
    <cfRule type="cellIs" priority="1783" operator="greaterThan" aboveAverage="0" equalAverage="0" bottom="0" percent="0" rank="0" text="" dxfId="10">
      <formula>30</formula>
    </cfRule>
  </conditionalFormatting>
  <conditionalFormatting sqref="G600">
    <cfRule type="cellIs" priority="1784" operator="greaterThan" aboveAverage="0" equalAverage="0" bottom="0" percent="0" rank="0" text="" dxfId="1">
      <formula>0</formula>
    </cfRule>
    <cfRule type="cellIs" priority="1785" operator="lessThanOrEqual" aboveAverage="0" equalAverage="0" bottom="0" percent="0" rank="0" text="" dxfId="0">
      <formula>0</formula>
    </cfRule>
  </conditionalFormatting>
  <conditionalFormatting sqref="F600">
    <cfRule type="cellIs" priority="1786" operator="greaterThan" aboveAverage="0" equalAverage="0" bottom="0" percent="0" rank="0" text="" dxfId="10">
      <formula>30</formula>
    </cfRule>
  </conditionalFormatting>
  <conditionalFormatting sqref="G601">
    <cfRule type="cellIs" priority="1787" operator="greaterThan" aboveAverage="0" equalAverage="0" bottom="0" percent="0" rank="0" text="" dxfId="1">
      <formula>0</formula>
    </cfRule>
    <cfRule type="cellIs" priority="1788" operator="lessThanOrEqual" aboveAverage="0" equalAverage="0" bottom="0" percent="0" rank="0" text="" dxfId="0">
      <formula>0</formula>
    </cfRule>
  </conditionalFormatting>
  <conditionalFormatting sqref="F601">
    <cfRule type="cellIs" priority="1789" operator="greaterThan" aboveAverage="0" equalAverage="0" bottom="0" percent="0" rank="0" text="" dxfId="10">
      <formula>30</formula>
    </cfRule>
  </conditionalFormatting>
  <conditionalFormatting sqref="G602">
    <cfRule type="cellIs" priority="1790" operator="greaterThan" aboveAverage="0" equalAverage="0" bottom="0" percent="0" rank="0" text="" dxfId="1">
      <formula>0</formula>
    </cfRule>
    <cfRule type="cellIs" priority="1791" operator="lessThanOrEqual" aboveAverage="0" equalAverage="0" bottom="0" percent="0" rank="0" text="" dxfId="0">
      <formula>0</formula>
    </cfRule>
  </conditionalFormatting>
  <conditionalFormatting sqref="F602">
    <cfRule type="cellIs" priority="1792" operator="greaterThan" aboveAverage="0" equalAverage="0" bottom="0" percent="0" rank="0" text="" dxfId="10">
      <formula>30</formula>
    </cfRule>
  </conditionalFormatting>
  <conditionalFormatting sqref="G603">
    <cfRule type="cellIs" priority="1793" operator="greaterThan" aboveAverage="0" equalAverage="0" bottom="0" percent="0" rank="0" text="" dxfId="1">
      <formula>0</formula>
    </cfRule>
    <cfRule type="cellIs" priority="1794" operator="lessThanOrEqual" aboveAverage="0" equalAverage="0" bottom="0" percent="0" rank="0" text="" dxfId="0">
      <formula>0</formula>
    </cfRule>
  </conditionalFormatting>
  <conditionalFormatting sqref="F603">
    <cfRule type="cellIs" priority="1795" operator="greaterThan" aboveAverage="0" equalAverage="0" bottom="0" percent="0" rank="0" text="" dxfId="10">
      <formula>30</formula>
    </cfRule>
  </conditionalFormatting>
  <conditionalFormatting sqref="G604">
    <cfRule type="cellIs" priority="1796" operator="greaterThan" aboveAverage="0" equalAverage="0" bottom="0" percent="0" rank="0" text="" dxfId="1">
      <formula>0</formula>
    </cfRule>
    <cfRule type="cellIs" priority="1797" operator="lessThanOrEqual" aboveAverage="0" equalAverage="0" bottom="0" percent="0" rank="0" text="" dxfId="0">
      <formula>0</formula>
    </cfRule>
  </conditionalFormatting>
  <conditionalFormatting sqref="F604">
    <cfRule type="cellIs" priority="1798" operator="greaterThan" aboveAverage="0" equalAverage="0" bottom="0" percent="0" rank="0" text="" dxfId="10">
      <formula>30</formula>
    </cfRule>
  </conditionalFormatting>
  <conditionalFormatting sqref="G605">
    <cfRule type="cellIs" priority="1799" operator="greaterThan" aboveAverage="0" equalAverage="0" bottom="0" percent="0" rank="0" text="" dxfId="1">
      <formula>0</formula>
    </cfRule>
    <cfRule type="cellIs" priority="1800" operator="lessThanOrEqual" aboveAverage="0" equalAverage="0" bottom="0" percent="0" rank="0" text="" dxfId="0">
      <formula>0</formula>
    </cfRule>
  </conditionalFormatting>
  <conditionalFormatting sqref="F605">
    <cfRule type="cellIs" priority="1801" operator="greaterThan" aboveAverage="0" equalAverage="0" bottom="0" percent="0" rank="0" text="" dxfId="10">
      <formula>30</formula>
    </cfRule>
  </conditionalFormatting>
  <conditionalFormatting sqref="G606">
    <cfRule type="cellIs" priority="1802" operator="greaterThan" aboveAverage="0" equalAverage="0" bottom="0" percent="0" rank="0" text="" dxfId="1">
      <formula>0</formula>
    </cfRule>
    <cfRule type="cellIs" priority="1803" operator="lessThanOrEqual" aboveAverage="0" equalAverage="0" bottom="0" percent="0" rank="0" text="" dxfId="0">
      <formula>0</formula>
    </cfRule>
  </conditionalFormatting>
  <conditionalFormatting sqref="F606">
    <cfRule type="cellIs" priority="1804" operator="greaterThan" aboveAverage="0" equalAverage="0" bottom="0" percent="0" rank="0" text="" dxfId="10">
      <formula>30</formula>
    </cfRule>
  </conditionalFormatting>
  <conditionalFormatting sqref="G607">
    <cfRule type="cellIs" priority="1805" operator="greaterThan" aboveAverage="0" equalAverage="0" bottom="0" percent="0" rank="0" text="" dxfId="1">
      <formula>0</formula>
    </cfRule>
    <cfRule type="cellIs" priority="1806" operator="lessThanOrEqual" aboveAverage="0" equalAverage="0" bottom="0" percent="0" rank="0" text="" dxfId="0">
      <formula>0</formula>
    </cfRule>
  </conditionalFormatting>
  <conditionalFormatting sqref="F607">
    <cfRule type="cellIs" priority="1807" operator="greaterThan" aboveAverage="0" equalAverage="0" bottom="0" percent="0" rank="0" text="" dxfId="10">
      <formula>30</formula>
    </cfRule>
  </conditionalFormatting>
  <conditionalFormatting sqref="G608">
    <cfRule type="cellIs" priority="1808" operator="greaterThan" aboveAverage="0" equalAverage="0" bottom="0" percent="0" rank="0" text="" dxfId="1">
      <formula>0</formula>
    </cfRule>
    <cfRule type="cellIs" priority="1809" operator="lessThanOrEqual" aboveAverage="0" equalAverage="0" bottom="0" percent="0" rank="0" text="" dxfId="0">
      <formula>0</formula>
    </cfRule>
  </conditionalFormatting>
  <conditionalFormatting sqref="F608">
    <cfRule type="cellIs" priority="1810" operator="greaterThan" aboveAverage="0" equalAverage="0" bottom="0" percent="0" rank="0" text="" dxfId="10">
      <formula>30</formula>
    </cfRule>
  </conditionalFormatting>
  <conditionalFormatting sqref="G609">
    <cfRule type="cellIs" priority="1811" operator="greaterThan" aboveAverage="0" equalAverage="0" bottom="0" percent="0" rank="0" text="" dxfId="1">
      <formula>0</formula>
    </cfRule>
    <cfRule type="cellIs" priority="1812" operator="lessThanOrEqual" aboveAverage="0" equalAverage="0" bottom="0" percent="0" rank="0" text="" dxfId="0">
      <formula>0</formula>
    </cfRule>
  </conditionalFormatting>
  <conditionalFormatting sqref="F609">
    <cfRule type="cellIs" priority="1813" operator="greaterThan" aboveAverage="0" equalAverage="0" bottom="0" percent="0" rank="0" text="" dxfId="10">
      <formula>30</formula>
    </cfRule>
  </conditionalFormatting>
  <conditionalFormatting sqref="G610">
    <cfRule type="cellIs" priority="1814" operator="greaterThan" aboveAverage="0" equalAverage="0" bottom="0" percent="0" rank="0" text="" dxfId="1">
      <formula>0</formula>
    </cfRule>
    <cfRule type="cellIs" priority="1815" operator="lessThanOrEqual" aboveAverage="0" equalAverage="0" bottom="0" percent="0" rank="0" text="" dxfId="0">
      <formula>0</formula>
    </cfRule>
  </conditionalFormatting>
  <conditionalFormatting sqref="F610">
    <cfRule type="cellIs" priority="1816" operator="greaterThan" aboveAverage="0" equalAverage="0" bottom="0" percent="0" rank="0" text="" dxfId="10">
      <formula>30</formula>
    </cfRule>
  </conditionalFormatting>
  <conditionalFormatting sqref="G611">
    <cfRule type="cellIs" priority="1817" operator="greaterThan" aboveAverage="0" equalAverage="0" bottom="0" percent="0" rank="0" text="" dxfId="1">
      <formula>0</formula>
    </cfRule>
    <cfRule type="cellIs" priority="1818" operator="lessThanOrEqual" aboveAverage="0" equalAverage="0" bottom="0" percent="0" rank="0" text="" dxfId="0">
      <formula>0</formula>
    </cfRule>
  </conditionalFormatting>
  <conditionalFormatting sqref="F611">
    <cfRule type="cellIs" priority="1819" operator="greaterThan" aboveAverage="0" equalAverage="0" bottom="0" percent="0" rank="0" text="" dxfId="10">
      <formula>30</formula>
    </cfRule>
  </conditionalFormatting>
  <conditionalFormatting sqref="G612">
    <cfRule type="cellIs" priority="1820" operator="greaterThan" aboveAverage="0" equalAverage="0" bottom="0" percent="0" rank="0" text="" dxfId="1">
      <formula>0</formula>
    </cfRule>
    <cfRule type="cellIs" priority="1821" operator="lessThanOrEqual" aboveAverage="0" equalAverage="0" bottom="0" percent="0" rank="0" text="" dxfId="0">
      <formula>0</formula>
    </cfRule>
  </conditionalFormatting>
  <conditionalFormatting sqref="F612">
    <cfRule type="cellIs" priority="1822" operator="greaterThan" aboveAverage="0" equalAverage="0" bottom="0" percent="0" rank="0" text="" dxfId="10">
      <formula>30</formula>
    </cfRule>
  </conditionalFormatting>
  <conditionalFormatting sqref="G613">
    <cfRule type="cellIs" priority="1823" operator="greaterThan" aboveAverage="0" equalAverage="0" bottom="0" percent="0" rank="0" text="" dxfId="1">
      <formula>0</formula>
    </cfRule>
    <cfRule type="cellIs" priority="1824" operator="lessThanOrEqual" aboveAverage="0" equalAverage="0" bottom="0" percent="0" rank="0" text="" dxfId="0">
      <formula>0</formula>
    </cfRule>
  </conditionalFormatting>
  <conditionalFormatting sqref="F613">
    <cfRule type="cellIs" priority="1825" operator="greaterThan" aboveAverage="0" equalAverage="0" bottom="0" percent="0" rank="0" text="" dxfId="10">
      <formula>30</formula>
    </cfRule>
  </conditionalFormatting>
  <conditionalFormatting sqref="G614">
    <cfRule type="cellIs" priority="1826" operator="greaterThan" aboveAverage="0" equalAverage="0" bottom="0" percent="0" rank="0" text="" dxfId="1">
      <formula>0</formula>
    </cfRule>
    <cfRule type="cellIs" priority="1827" operator="lessThanOrEqual" aboveAverage="0" equalAverage="0" bottom="0" percent="0" rank="0" text="" dxfId="0">
      <formula>0</formula>
    </cfRule>
  </conditionalFormatting>
  <conditionalFormatting sqref="F614">
    <cfRule type="cellIs" priority="1828" operator="greaterThan" aboveAverage="0" equalAverage="0" bottom="0" percent="0" rank="0" text="" dxfId="10">
      <formula>30</formula>
    </cfRule>
  </conditionalFormatting>
  <conditionalFormatting sqref="G615">
    <cfRule type="cellIs" priority="1829" operator="greaterThan" aboveAverage="0" equalAverage="0" bottom="0" percent="0" rank="0" text="" dxfId="1">
      <formula>0</formula>
    </cfRule>
    <cfRule type="cellIs" priority="1830" operator="lessThanOrEqual" aboveAverage="0" equalAverage="0" bottom="0" percent="0" rank="0" text="" dxfId="0">
      <formula>0</formula>
    </cfRule>
  </conditionalFormatting>
  <conditionalFormatting sqref="F615">
    <cfRule type="cellIs" priority="1831" operator="greaterThan" aboveAverage="0" equalAverage="0" bottom="0" percent="0" rank="0" text="" dxfId="10">
      <formula>30</formula>
    </cfRule>
  </conditionalFormatting>
  <conditionalFormatting sqref="G616">
    <cfRule type="cellIs" priority="1832" operator="greaterThan" aboveAverage="0" equalAverage="0" bottom="0" percent="0" rank="0" text="" dxfId="1">
      <formula>0</formula>
    </cfRule>
    <cfRule type="cellIs" priority="1833" operator="lessThanOrEqual" aboveAverage="0" equalAverage="0" bottom="0" percent="0" rank="0" text="" dxfId="0">
      <formula>0</formula>
    </cfRule>
  </conditionalFormatting>
  <conditionalFormatting sqref="F616">
    <cfRule type="cellIs" priority="1834" operator="greaterThan" aboveAverage="0" equalAverage="0" bottom="0" percent="0" rank="0" text="" dxfId="10">
      <formula>30</formula>
    </cfRule>
  </conditionalFormatting>
  <conditionalFormatting sqref="G617">
    <cfRule type="cellIs" priority="1835" operator="greaterThan" aboveAverage="0" equalAverage="0" bottom="0" percent="0" rank="0" text="" dxfId="1">
      <formula>0</formula>
    </cfRule>
    <cfRule type="cellIs" priority="1836" operator="lessThanOrEqual" aboveAverage="0" equalAverage="0" bottom="0" percent="0" rank="0" text="" dxfId="0">
      <formula>0</formula>
    </cfRule>
  </conditionalFormatting>
  <conditionalFormatting sqref="F617">
    <cfRule type="cellIs" priority="1837" operator="greaterThan" aboveAverage="0" equalAverage="0" bottom="0" percent="0" rank="0" text="" dxfId="10">
      <formula>30</formula>
    </cfRule>
  </conditionalFormatting>
  <conditionalFormatting sqref="G618">
    <cfRule type="cellIs" priority="1838" operator="greaterThan" aboveAverage="0" equalAverage="0" bottom="0" percent="0" rank="0" text="" dxfId="1">
      <formula>0</formula>
    </cfRule>
    <cfRule type="cellIs" priority="1839" operator="lessThanOrEqual" aboveAverage="0" equalAverage="0" bottom="0" percent="0" rank="0" text="" dxfId="0">
      <formula>0</formula>
    </cfRule>
  </conditionalFormatting>
  <conditionalFormatting sqref="F618">
    <cfRule type="cellIs" priority="1840" operator="greaterThan" aboveAverage="0" equalAverage="0" bottom="0" percent="0" rank="0" text="" dxfId="10">
      <formula>30</formula>
    </cfRule>
  </conditionalFormatting>
  <conditionalFormatting sqref="G619">
    <cfRule type="cellIs" priority="1841" operator="greaterThan" aboveAverage="0" equalAverage="0" bottom="0" percent="0" rank="0" text="" dxfId="1">
      <formula>0</formula>
    </cfRule>
    <cfRule type="cellIs" priority="1842" operator="lessThanOrEqual" aboveAverage="0" equalAverage="0" bottom="0" percent="0" rank="0" text="" dxfId="0">
      <formula>0</formula>
    </cfRule>
  </conditionalFormatting>
  <conditionalFormatting sqref="F619">
    <cfRule type="cellIs" priority="1843" operator="greaterThan" aboveAverage="0" equalAverage="0" bottom="0" percent="0" rank="0" text="" dxfId="10">
      <formula>30</formula>
    </cfRule>
  </conditionalFormatting>
  <conditionalFormatting sqref="G620">
    <cfRule type="cellIs" priority="1844" operator="greaterThan" aboveAverage="0" equalAverage="0" bottom="0" percent="0" rank="0" text="" dxfId="1">
      <formula>0</formula>
    </cfRule>
    <cfRule type="cellIs" priority="1845" operator="lessThanOrEqual" aboveAverage="0" equalAverage="0" bottom="0" percent="0" rank="0" text="" dxfId="0">
      <formula>0</formula>
    </cfRule>
  </conditionalFormatting>
  <conditionalFormatting sqref="F620">
    <cfRule type="cellIs" priority="1846" operator="greaterThan" aboveAverage="0" equalAverage="0" bottom="0" percent="0" rank="0" text="" dxfId="10">
      <formula>30</formula>
    </cfRule>
  </conditionalFormatting>
  <conditionalFormatting sqref="G621">
    <cfRule type="cellIs" priority="1847" operator="greaterThan" aboveAverage="0" equalAverage="0" bottom="0" percent="0" rank="0" text="" dxfId="1">
      <formula>0</formula>
    </cfRule>
    <cfRule type="cellIs" priority="1848" operator="lessThanOrEqual" aboveAverage="0" equalAverage="0" bottom="0" percent="0" rank="0" text="" dxfId="0">
      <formula>0</formula>
    </cfRule>
  </conditionalFormatting>
  <conditionalFormatting sqref="F621">
    <cfRule type="cellIs" priority="1849" operator="greaterThan" aboveAverage="0" equalAverage="0" bottom="0" percent="0" rank="0" text="" dxfId="10">
      <formula>30</formula>
    </cfRule>
  </conditionalFormatting>
  <conditionalFormatting sqref="G622">
    <cfRule type="cellIs" priority="1850" operator="greaterThan" aboveAverage="0" equalAverage="0" bottom="0" percent="0" rank="0" text="" dxfId="1">
      <formula>0</formula>
    </cfRule>
    <cfRule type="cellIs" priority="1851" operator="lessThanOrEqual" aboveAverage="0" equalAverage="0" bottom="0" percent="0" rank="0" text="" dxfId="0">
      <formula>0</formula>
    </cfRule>
  </conditionalFormatting>
  <conditionalFormatting sqref="F622">
    <cfRule type="cellIs" priority="1852" operator="greaterThan" aboveAverage="0" equalAverage="0" bottom="0" percent="0" rank="0" text="" dxfId="10">
      <formula>30</formula>
    </cfRule>
  </conditionalFormatting>
  <conditionalFormatting sqref="G623">
    <cfRule type="cellIs" priority="1853" operator="greaterThan" aboveAverage="0" equalAverage="0" bottom="0" percent="0" rank="0" text="" dxfId="1">
      <formula>0</formula>
    </cfRule>
    <cfRule type="cellIs" priority="1854" operator="lessThanOrEqual" aboveAverage="0" equalAverage="0" bottom="0" percent="0" rank="0" text="" dxfId="0">
      <formula>0</formula>
    </cfRule>
  </conditionalFormatting>
  <conditionalFormatting sqref="F623">
    <cfRule type="cellIs" priority="1855" operator="greaterThan" aboveAverage="0" equalAverage="0" bottom="0" percent="0" rank="0" text="" dxfId="10">
      <formula>30</formula>
    </cfRule>
  </conditionalFormatting>
  <conditionalFormatting sqref="G624">
    <cfRule type="cellIs" priority="1856" operator="greaterThan" aboveAverage="0" equalAverage="0" bottom="0" percent="0" rank="0" text="" dxfId="1">
      <formula>0</formula>
    </cfRule>
    <cfRule type="cellIs" priority="1857" operator="lessThanOrEqual" aboveAverage="0" equalAverage="0" bottom="0" percent="0" rank="0" text="" dxfId="0">
      <formula>0</formula>
    </cfRule>
  </conditionalFormatting>
  <conditionalFormatting sqref="F624">
    <cfRule type="cellIs" priority="1858" operator="greaterThan" aboveAverage="0" equalAverage="0" bottom="0" percent="0" rank="0" text="" dxfId="10">
      <formula>30</formula>
    </cfRule>
  </conditionalFormatting>
  <conditionalFormatting sqref="G625">
    <cfRule type="cellIs" priority="1859" operator="greaterThan" aboveAverage="0" equalAverage="0" bottom="0" percent="0" rank="0" text="" dxfId="1">
      <formula>0</formula>
    </cfRule>
    <cfRule type="cellIs" priority="1860" operator="lessThanOrEqual" aboveAverage="0" equalAverage="0" bottom="0" percent="0" rank="0" text="" dxfId="0">
      <formula>0</formula>
    </cfRule>
  </conditionalFormatting>
  <conditionalFormatting sqref="F625">
    <cfRule type="cellIs" priority="1861" operator="greaterThan" aboveAverage="0" equalAverage="0" bottom="0" percent="0" rank="0" text="" dxfId="10">
      <formula>30</formula>
    </cfRule>
  </conditionalFormatting>
  <conditionalFormatting sqref="G626">
    <cfRule type="cellIs" priority="1862" operator="greaterThan" aboveAverage="0" equalAverage="0" bottom="0" percent="0" rank="0" text="" dxfId="1">
      <formula>0</formula>
    </cfRule>
    <cfRule type="cellIs" priority="1863" operator="lessThanOrEqual" aboveAverage="0" equalAverage="0" bottom="0" percent="0" rank="0" text="" dxfId="0">
      <formula>0</formula>
    </cfRule>
  </conditionalFormatting>
  <conditionalFormatting sqref="F626">
    <cfRule type="cellIs" priority="1864" operator="greaterThan" aboveAverage="0" equalAverage="0" bottom="0" percent="0" rank="0" text="" dxfId="10">
      <formula>30</formula>
    </cfRule>
  </conditionalFormatting>
  <conditionalFormatting sqref="G627">
    <cfRule type="cellIs" priority="1865" operator="greaterThan" aboveAverage="0" equalAverage="0" bottom="0" percent="0" rank="0" text="" dxfId="1">
      <formula>0</formula>
    </cfRule>
    <cfRule type="cellIs" priority="1866" operator="lessThanOrEqual" aboveAverage="0" equalAverage="0" bottom="0" percent="0" rank="0" text="" dxfId="0">
      <formula>0</formula>
    </cfRule>
  </conditionalFormatting>
  <conditionalFormatting sqref="F627">
    <cfRule type="cellIs" priority="1867" operator="greaterThan" aboveAverage="0" equalAverage="0" bottom="0" percent="0" rank="0" text="" dxfId="10">
      <formula>30</formula>
    </cfRule>
  </conditionalFormatting>
  <conditionalFormatting sqref="G628">
    <cfRule type="cellIs" priority="1868" operator="greaterThan" aboveAverage="0" equalAverage="0" bottom="0" percent="0" rank="0" text="" dxfId="1">
      <formula>0</formula>
    </cfRule>
    <cfRule type="cellIs" priority="1869" operator="lessThanOrEqual" aboveAverage="0" equalAverage="0" bottom="0" percent="0" rank="0" text="" dxfId="0">
      <formula>0</formula>
    </cfRule>
  </conditionalFormatting>
  <conditionalFormatting sqref="F628">
    <cfRule type="cellIs" priority="1870" operator="greaterThan" aboveAverage="0" equalAverage="0" bottom="0" percent="0" rank="0" text="" dxfId="10">
      <formula>30</formula>
    </cfRule>
  </conditionalFormatting>
  <conditionalFormatting sqref="G629">
    <cfRule type="cellIs" priority="1871" operator="greaterThan" aboveAverage="0" equalAverage="0" bottom="0" percent="0" rank="0" text="" dxfId="1">
      <formula>0</formula>
    </cfRule>
    <cfRule type="cellIs" priority="1872" operator="lessThanOrEqual" aboveAverage="0" equalAverage="0" bottom="0" percent="0" rank="0" text="" dxfId="0">
      <formula>0</formula>
    </cfRule>
  </conditionalFormatting>
  <conditionalFormatting sqref="F629">
    <cfRule type="cellIs" priority="1873" operator="greaterThan" aboveAverage="0" equalAverage="0" bottom="0" percent="0" rank="0" text="" dxfId="10">
      <formula>30</formula>
    </cfRule>
  </conditionalFormatting>
  <conditionalFormatting sqref="G630">
    <cfRule type="cellIs" priority="1874" operator="greaterThan" aboveAverage="0" equalAverage="0" bottom="0" percent="0" rank="0" text="" dxfId="1">
      <formula>0</formula>
    </cfRule>
    <cfRule type="cellIs" priority="1875" operator="lessThanOrEqual" aboveAverage="0" equalAverage="0" bottom="0" percent="0" rank="0" text="" dxfId="0">
      <formula>0</formula>
    </cfRule>
  </conditionalFormatting>
  <conditionalFormatting sqref="F630">
    <cfRule type="cellIs" priority="1876" operator="greaterThan" aboveAverage="0" equalAverage="0" bottom="0" percent="0" rank="0" text="" dxfId="10">
      <formula>30</formula>
    </cfRule>
  </conditionalFormatting>
  <conditionalFormatting sqref="G631">
    <cfRule type="cellIs" priority="1877" operator="greaterThan" aboveAverage="0" equalAverage="0" bottom="0" percent="0" rank="0" text="" dxfId="1">
      <formula>0</formula>
    </cfRule>
    <cfRule type="cellIs" priority="1878" operator="lessThanOrEqual" aboveAverage="0" equalAverage="0" bottom="0" percent="0" rank="0" text="" dxfId="0">
      <formula>0</formula>
    </cfRule>
  </conditionalFormatting>
  <conditionalFormatting sqref="F631">
    <cfRule type="cellIs" priority="1879" operator="greaterThan" aboveAverage="0" equalAverage="0" bottom="0" percent="0" rank="0" text="" dxfId="10">
      <formula>30</formula>
    </cfRule>
  </conditionalFormatting>
  <conditionalFormatting sqref="G632">
    <cfRule type="cellIs" priority="1880" operator="greaterThan" aboveAverage="0" equalAverage="0" bottom="0" percent="0" rank="0" text="" dxfId="1">
      <formula>0</formula>
    </cfRule>
    <cfRule type="cellIs" priority="1881" operator="lessThanOrEqual" aboveAverage="0" equalAverage="0" bottom="0" percent="0" rank="0" text="" dxfId="0">
      <formula>0</formula>
    </cfRule>
  </conditionalFormatting>
  <conditionalFormatting sqref="F632">
    <cfRule type="cellIs" priority="1882" operator="greaterThan" aboveAverage="0" equalAverage="0" bottom="0" percent="0" rank="0" text="" dxfId="10">
      <formula>30</formula>
    </cfRule>
  </conditionalFormatting>
  <conditionalFormatting sqref="G633">
    <cfRule type="cellIs" priority="1883" operator="greaterThan" aboveAverage="0" equalAverage="0" bottom="0" percent="0" rank="0" text="" dxfId="1">
      <formula>0</formula>
    </cfRule>
    <cfRule type="cellIs" priority="1884" operator="lessThanOrEqual" aboveAverage="0" equalAverage="0" bottom="0" percent="0" rank="0" text="" dxfId="0">
      <formula>0</formula>
    </cfRule>
  </conditionalFormatting>
  <conditionalFormatting sqref="F633">
    <cfRule type="cellIs" priority="1885" operator="greaterThan" aboveAverage="0" equalAverage="0" bottom="0" percent="0" rank="0" text="" dxfId="10">
      <formula>30</formula>
    </cfRule>
  </conditionalFormatting>
  <conditionalFormatting sqref="G634">
    <cfRule type="cellIs" priority="1886" operator="greaterThan" aboveAverage="0" equalAverage="0" bottom="0" percent="0" rank="0" text="" dxfId="1">
      <formula>0</formula>
    </cfRule>
    <cfRule type="cellIs" priority="1887" operator="lessThanOrEqual" aboveAverage="0" equalAverage="0" bottom="0" percent="0" rank="0" text="" dxfId="0">
      <formula>0</formula>
    </cfRule>
  </conditionalFormatting>
  <conditionalFormatting sqref="F634">
    <cfRule type="cellIs" priority="1888" operator="greaterThan" aboveAverage="0" equalAverage="0" bottom="0" percent="0" rank="0" text="" dxfId="10">
      <formula>30</formula>
    </cfRule>
  </conditionalFormatting>
  <conditionalFormatting sqref="G635">
    <cfRule type="cellIs" priority="1889" operator="greaterThan" aboveAverage="0" equalAverage="0" bottom="0" percent="0" rank="0" text="" dxfId="1">
      <formula>0</formula>
    </cfRule>
    <cfRule type="cellIs" priority="1890" operator="lessThanOrEqual" aboveAverage="0" equalAverage="0" bottom="0" percent="0" rank="0" text="" dxfId="0">
      <formula>0</formula>
    </cfRule>
  </conditionalFormatting>
  <conditionalFormatting sqref="F635">
    <cfRule type="cellIs" priority="1891" operator="greaterThan" aboveAverage="0" equalAverage="0" bottom="0" percent="0" rank="0" text="" dxfId="10">
      <formula>30</formula>
    </cfRule>
  </conditionalFormatting>
  <conditionalFormatting sqref="G636">
    <cfRule type="cellIs" priority="1892" operator="greaterThan" aboveAverage="0" equalAverage="0" bottom="0" percent="0" rank="0" text="" dxfId="1">
      <formula>0</formula>
    </cfRule>
    <cfRule type="cellIs" priority="1893" operator="lessThanOrEqual" aboveAverage="0" equalAverage="0" bottom="0" percent="0" rank="0" text="" dxfId="0">
      <formula>0</formula>
    </cfRule>
  </conditionalFormatting>
  <conditionalFormatting sqref="F636">
    <cfRule type="cellIs" priority="1894" operator="greaterThan" aboveAverage="0" equalAverage="0" bottom="0" percent="0" rank="0" text="" dxfId="10">
      <formula>30</formula>
    </cfRule>
  </conditionalFormatting>
  <conditionalFormatting sqref="G637">
    <cfRule type="cellIs" priority="1895" operator="greaterThan" aboveAverage="0" equalAverage="0" bottom="0" percent="0" rank="0" text="" dxfId="1">
      <formula>0</formula>
    </cfRule>
    <cfRule type="cellIs" priority="1896" operator="lessThanOrEqual" aboveAverage="0" equalAverage="0" bottom="0" percent="0" rank="0" text="" dxfId="0">
      <formula>0</formula>
    </cfRule>
  </conditionalFormatting>
  <conditionalFormatting sqref="F637">
    <cfRule type="cellIs" priority="1897" operator="greaterThan" aboveAverage="0" equalAverage="0" bottom="0" percent="0" rank="0" text="" dxfId="10">
      <formula>30</formula>
    </cfRule>
  </conditionalFormatting>
  <conditionalFormatting sqref="G638">
    <cfRule type="cellIs" priority="1898" operator="greaterThan" aboveAverage="0" equalAverage="0" bottom="0" percent="0" rank="0" text="" dxfId="1">
      <formula>0</formula>
    </cfRule>
    <cfRule type="cellIs" priority="1899" operator="lessThanOrEqual" aboveAverage="0" equalAverage="0" bottom="0" percent="0" rank="0" text="" dxfId="0">
      <formula>0</formula>
    </cfRule>
  </conditionalFormatting>
  <conditionalFormatting sqref="F638">
    <cfRule type="cellIs" priority="1900" operator="greaterThan" aboveAverage="0" equalAverage="0" bottom="0" percent="0" rank="0" text="" dxfId="10">
      <formula>30</formula>
    </cfRule>
  </conditionalFormatting>
  <conditionalFormatting sqref="G639">
    <cfRule type="cellIs" priority="1901" operator="greaterThan" aboveAverage="0" equalAverage="0" bottom="0" percent="0" rank="0" text="" dxfId="1">
      <formula>0</formula>
    </cfRule>
    <cfRule type="cellIs" priority="1902" operator="lessThanOrEqual" aboveAverage="0" equalAverage="0" bottom="0" percent="0" rank="0" text="" dxfId="0">
      <formula>0</formula>
    </cfRule>
  </conditionalFormatting>
  <conditionalFormatting sqref="F639">
    <cfRule type="cellIs" priority="1903" operator="greaterThan" aboveAverage="0" equalAverage="0" bottom="0" percent="0" rank="0" text="" dxfId="10">
      <formula>30</formula>
    </cfRule>
  </conditionalFormatting>
  <conditionalFormatting sqref="G640">
    <cfRule type="cellIs" priority="1904" operator="greaterThan" aboveAverage="0" equalAverage="0" bottom="0" percent="0" rank="0" text="" dxfId="1">
      <formula>0</formula>
    </cfRule>
    <cfRule type="cellIs" priority="1905" operator="lessThanOrEqual" aboveAverage="0" equalAverage="0" bottom="0" percent="0" rank="0" text="" dxfId="0">
      <formula>0</formula>
    </cfRule>
  </conditionalFormatting>
  <conditionalFormatting sqref="F640">
    <cfRule type="cellIs" priority="1906" operator="greaterThan" aboveAverage="0" equalAverage="0" bottom="0" percent="0" rank="0" text="" dxfId="10">
      <formula>30</formula>
    </cfRule>
  </conditionalFormatting>
  <conditionalFormatting sqref="G641">
    <cfRule type="cellIs" priority="1907" operator="greaterThan" aboveAverage="0" equalAverage="0" bottom="0" percent="0" rank="0" text="" dxfId="1">
      <formula>0</formula>
    </cfRule>
    <cfRule type="cellIs" priority="1908" operator="lessThanOrEqual" aboveAverage="0" equalAverage="0" bottom="0" percent="0" rank="0" text="" dxfId="0">
      <formula>0</formula>
    </cfRule>
  </conditionalFormatting>
  <conditionalFormatting sqref="F641">
    <cfRule type="cellIs" priority="1909" operator="greaterThan" aboveAverage="0" equalAverage="0" bottom="0" percent="0" rank="0" text="" dxfId="10">
      <formula>30</formula>
    </cfRule>
  </conditionalFormatting>
  <conditionalFormatting sqref="G642">
    <cfRule type="cellIs" priority="1910" operator="greaterThan" aboveAverage="0" equalAverage="0" bottom="0" percent="0" rank="0" text="" dxfId="1">
      <formula>0</formula>
    </cfRule>
    <cfRule type="cellIs" priority="1911" operator="lessThanOrEqual" aboveAverage="0" equalAverage="0" bottom="0" percent="0" rank="0" text="" dxfId="0">
      <formula>0</formula>
    </cfRule>
  </conditionalFormatting>
  <conditionalFormatting sqref="F642">
    <cfRule type="cellIs" priority="1912" operator="greaterThan" aboveAverage="0" equalAverage="0" bottom="0" percent="0" rank="0" text="" dxfId="10">
      <formula>30</formula>
    </cfRule>
  </conditionalFormatting>
  <conditionalFormatting sqref="G643">
    <cfRule type="cellIs" priority="1913" operator="greaterThan" aboveAverage="0" equalAverage="0" bottom="0" percent="0" rank="0" text="" dxfId="1">
      <formula>0</formula>
    </cfRule>
    <cfRule type="cellIs" priority="1914" operator="lessThanOrEqual" aboveAverage="0" equalAverage="0" bottom="0" percent="0" rank="0" text="" dxfId="0">
      <formula>0</formula>
    </cfRule>
  </conditionalFormatting>
  <conditionalFormatting sqref="F643">
    <cfRule type="cellIs" priority="1915" operator="greaterThan" aboveAverage="0" equalAverage="0" bottom="0" percent="0" rank="0" text="" dxfId="10">
      <formula>30</formula>
    </cfRule>
  </conditionalFormatting>
  <conditionalFormatting sqref="G644">
    <cfRule type="cellIs" priority="1916" operator="greaterThan" aboveAverage="0" equalAverage="0" bottom="0" percent="0" rank="0" text="" dxfId="1">
      <formula>0</formula>
    </cfRule>
    <cfRule type="cellIs" priority="1917" operator="lessThanOrEqual" aboveAverage="0" equalAverage="0" bottom="0" percent="0" rank="0" text="" dxfId="0">
      <formula>0</formula>
    </cfRule>
  </conditionalFormatting>
  <conditionalFormatting sqref="F644">
    <cfRule type="cellIs" priority="1918" operator="greaterThan" aboveAverage="0" equalAverage="0" bottom="0" percent="0" rank="0" text="" dxfId="10">
      <formula>30</formula>
    </cfRule>
  </conditionalFormatting>
  <conditionalFormatting sqref="G645">
    <cfRule type="cellIs" priority="1919" operator="greaterThan" aboveAverage="0" equalAverage="0" bottom="0" percent="0" rank="0" text="" dxfId="1">
      <formula>0</formula>
    </cfRule>
    <cfRule type="cellIs" priority="1920" operator="lessThanOrEqual" aboveAverage="0" equalAverage="0" bottom="0" percent="0" rank="0" text="" dxfId="0">
      <formula>0</formula>
    </cfRule>
  </conditionalFormatting>
  <conditionalFormatting sqref="F645">
    <cfRule type="cellIs" priority="1921" operator="greaterThan" aboveAverage="0" equalAverage="0" bottom="0" percent="0" rank="0" text="" dxfId="10">
      <formula>30</formula>
    </cfRule>
  </conditionalFormatting>
  <conditionalFormatting sqref="G646">
    <cfRule type="cellIs" priority="1922" operator="greaterThan" aboveAverage="0" equalAverage="0" bottom="0" percent="0" rank="0" text="" dxfId="1">
      <formula>0</formula>
    </cfRule>
    <cfRule type="cellIs" priority="1923" operator="lessThanOrEqual" aboveAverage="0" equalAverage="0" bottom="0" percent="0" rank="0" text="" dxfId="0">
      <formula>0</formula>
    </cfRule>
  </conditionalFormatting>
  <conditionalFormatting sqref="F646">
    <cfRule type="cellIs" priority="1924" operator="greaterThan" aboveAverage="0" equalAverage="0" bottom="0" percent="0" rank="0" text="" dxfId="10">
      <formula>30</formula>
    </cfRule>
  </conditionalFormatting>
  <conditionalFormatting sqref="G647">
    <cfRule type="cellIs" priority="1925" operator="greaterThan" aboveAverage="0" equalAverage="0" bottom="0" percent="0" rank="0" text="" dxfId="1">
      <formula>0</formula>
    </cfRule>
    <cfRule type="cellIs" priority="1926" operator="lessThanOrEqual" aboveAverage="0" equalAverage="0" bottom="0" percent="0" rank="0" text="" dxfId="0">
      <formula>0</formula>
    </cfRule>
  </conditionalFormatting>
  <conditionalFormatting sqref="F647">
    <cfRule type="cellIs" priority="1927" operator="greaterThan" aboveAverage="0" equalAverage="0" bottom="0" percent="0" rank="0" text="" dxfId="10">
      <formula>30</formula>
    </cfRule>
  </conditionalFormatting>
  <conditionalFormatting sqref="G648">
    <cfRule type="cellIs" priority="1928" operator="greaterThan" aboveAverage="0" equalAverage="0" bottom="0" percent="0" rank="0" text="" dxfId="1">
      <formula>0</formula>
    </cfRule>
    <cfRule type="cellIs" priority="1929" operator="lessThanOrEqual" aboveAverage="0" equalAverage="0" bottom="0" percent="0" rank="0" text="" dxfId="0">
      <formula>0</formula>
    </cfRule>
  </conditionalFormatting>
  <conditionalFormatting sqref="F648">
    <cfRule type="cellIs" priority="1930" operator="greaterThan" aboveAverage="0" equalAverage="0" bottom="0" percent="0" rank="0" text="" dxfId="10">
      <formula>30</formula>
    </cfRule>
  </conditionalFormatting>
  <conditionalFormatting sqref="G649">
    <cfRule type="cellIs" priority="1931" operator="greaterThan" aboveAverage="0" equalAverage="0" bottom="0" percent="0" rank="0" text="" dxfId="1">
      <formula>0</formula>
    </cfRule>
    <cfRule type="cellIs" priority="1932" operator="lessThanOrEqual" aboveAverage="0" equalAverage="0" bottom="0" percent="0" rank="0" text="" dxfId="0">
      <formula>0</formula>
    </cfRule>
  </conditionalFormatting>
  <conditionalFormatting sqref="F649">
    <cfRule type="cellIs" priority="1933" operator="greaterThan" aboveAverage="0" equalAverage="0" bottom="0" percent="0" rank="0" text="" dxfId="10">
      <formula>30</formula>
    </cfRule>
  </conditionalFormatting>
  <conditionalFormatting sqref="G650">
    <cfRule type="cellIs" priority="1934" operator="greaterThan" aboveAverage="0" equalAverage="0" bottom="0" percent="0" rank="0" text="" dxfId="1">
      <formula>0</formula>
    </cfRule>
    <cfRule type="cellIs" priority="1935" operator="lessThanOrEqual" aboveAverage="0" equalAverage="0" bottom="0" percent="0" rank="0" text="" dxfId="0">
      <formula>0</formula>
    </cfRule>
  </conditionalFormatting>
  <conditionalFormatting sqref="F650">
    <cfRule type="cellIs" priority="1936" operator="greaterThan" aboveAverage="0" equalAverage="0" bottom="0" percent="0" rank="0" text="" dxfId="10">
      <formula>30</formula>
    </cfRule>
  </conditionalFormatting>
  <conditionalFormatting sqref="G651">
    <cfRule type="cellIs" priority="1937" operator="greaterThan" aboveAverage="0" equalAverage="0" bottom="0" percent="0" rank="0" text="" dxfId="1">
      <formula>0</formula>
    </cfRule>
    <cfRule type="cellIs" priority="1938" operator="lessThanOrEqual" aboveAverage="0" equalAverage="0" bottom="0" percent="0" rank="0" text="" dxfId="0">
      <formula>0</formula>
    </cfRule>
  </conditionalFormatting>
  <conditionalFormatting sqref="F651">
    <cfRule type="cellIs" priority="1939" operator="greaterThan" aboveAverage="0" equalAverage="0" bottom="0" percent="0" rank="0" text="" dxfId="10">
      <formula>30</formula>
    </cfRule>
  </conditionalFormatting>
  <conditionalFormatting sqref="G652">
    <cfRule type="cellIs" priority="1940" operator="greaterThan" aboveAverage="0" equalAverage="0" bottom="0" percent="0" rank="0" text="" dxfId="1">
      <formula>0</formula>
    </cfRule>
    <cfRule type="cellIs" priority="1941" operator="lessThanOrEqual" aboveAverage="0" equalAverage="0" bottom="0" percent="0" rank="0" text="" dxfId="0">
      <formula>0</formula>
    </cfRule>
  </conditionalFormatting>
  <conditionalFormatting sqref="F652">
    <cfRule type="cellIs" priority="1942" operator="greaterThan" aboveAverage="0" equalAverage="0" bottom="0" percent="0" rank="0" text="" dxfId="10">
      <formula>30</formula>
    </cfRule>
  </conditionalFormatting>
  <conditionalFormatting sqref="G653">
    <cfRule type="cellIs" priority="1943" operator="greaterThan" aboveAverage="0" equalAverage="0" bottom="0" percent="0" rank="0" text="" dxfId="1">
      <formula>0</formula>
    </cfRule>
    <cfRule type="cellIs" priority="1944" operator="lessThanOrEqual" aboveAverage="0" equalAverage="0" bottom="0" percent="0" rank="0" text="" dxfId="0">
      <formula>0</formula>
    </cfRule>
  </conditionalFormatting>
  <conditionalFormatting sqref="F653">
    <cfRule type="cellIs" priority="1945" operator="greaterThan" aboveAverage="0" equalAverage="0" bottom="0" percent="0" rank="0" text="" dxfId="10">
      <formula>30</formula>
    </cfRule>
  </conditionalFormatting>
  <conditionalFormatting sqref="G654">
    <cfRule type="cellIs" priority="1946" operator="greaterThan" aboveAverage="0" equalAverage="0" bottom="0" percent="0" rank="0" text="" dxfId="1">
      <formula>0</formula>
    </cfRule>
    <cfRule type="cellIs" priority="1947" operator="lessThanOrEqual" aboveAverage="0" equalAverage="0" bottom="0" percent="0" rank="0" text="" dxfId="0">
      <formula>0</formula>
    </cfRule>
  </conditionalFormatting>
  <conditionalFormatting sqref="F654">
    <cfRule type="cellIs" priority="1948" operator="greaterThan" aboveAverage="0" equalAverage="0" bottom="0" percent="0" rank="0" text="" dxfId="10">
      <formula>30</formula>
    </cfRule>
  </conditionalFormatting>
  <conditionalFormatting sqref="G655">
    <cfRule type="cellIs" priority="1949" operator="greaterThan" aboveAverage="0" equalAverage="0" bottom="0" percent="0" rank="0" text="" dxfId="1">
      <formula>0</formula>
    </cfRule>
    <cfRule type="cellIs" priority="1950" operator="lessThanOrEqual" aboveAverage="0" equalAverage="0" bottom="0" percent="0" rank="0" text="" dxfId="0">
      <formula>0</formula>
    </cfRule>
  </conditionalFormatting>
  <conditionalFormatting sqref="F655">
    <cfRule type="cellIs" priority="1951" operator="greaterThan" aboveAverage="0" equalAverage="0" bottom="0" percent="0" rank="0" text="" dxfId="10">
      <formula>30</formula>
    </cfRule>
  </conditionalFormatting>
  <conditionalFormatting sqref="G656">
    <cfRule type="cellIs" priority="1952" operator="greaterThan" aboveAverage="0" equalAverage="0" bottom="0" percent="0" rank="0" text="" dxfId="1">
      <formula>0</formula>
    </cfRule>
    <cfRule type="cellIs" priority="1953" operator="lessThanOrEqual" aboveAverage="0" equalAverage="0" bottom="0" percent="0" rank="0" text="" dxfId="0">
      <formula>0</formula>
    </cfRule>
  </conditionalFormatting>
  <conditionalFormatting sqref="F656">
    <cfRule type="cellIs" priority="1954" operator="greaterThan" aboveAverage="0" equalAverage="0" bottom="0" percent="0" rank="0" text="" dxfId="10">
      <formula>30</formula>
    </cfRule>
  </conditionalFormatting>
  <conditionalFormatting sqref="G657">
    <cfRule type="cellIs" priority="1955" operator="greaterThan" aboveAverage="0" equalAverage="0" bottom="0" percent="0" rank="0" text="" dxfId="1">
      <formula>0</formula>
    </cfRule>
    <cfRule type="cellIs" priority="1956" operator="lessThanOrEqual" aboveAverage="0" equalAverage="0" bottom="0" percent="0" rank="0" text="" dxfId="0">
      <formula>0</formula>
    </cfRule>
  </conditionalFormatting>
  <conditionalFormatting sqref="F657">
    <cfRule type="cellIs" priority="1957" operator="greaterThan" aboveAverage="0" equalAverage="0" bottom="0" percent="0" rank="0" text="" dxfId="10">
      <formula>30</formula>
    </cfRule>
  </conditionalFormatting>
  <conditionalFormatting sqref="G658">
    <cfRule type="cellIs" priority="1958" operator="greaterThan" aboveAverage="0" equalAverage="0" bottom="0" percent="0" rank="0" text="" dxfId="1">
      <formula>0</formula>
    </cfRule>
    <cfRule type="cellIs" priority="1959" operator="lessThanOrEqual" aboveAverage="0" equalAverage="0" bottom="0" percent="0" rank="0" text="" dxfId="0">
      <formula>0</formula>
    </cfRule>
  </conditionalFormatting>
  <conditionalFormatting sqref="F658">
    <cfRule type="cellIs" priority="1960" operator="greaterThan" aboveAverage="0" equalAverage="0" bottom="0" percent="0" rank="0" text="" dxfId="10">
      <formula>30</formula>
    </cfRule>
  </conditionalFormatting>
  <conditionalFormatting sqref="G659">
    <cfRule type="cellIs" priority="1961" operator="greaterThan" aboveAverage="0" equalAverage="0" bottom="0" percent="0" rank="0" text="" dxfId="1">
      <formula>0</formula>
    </cfRule>
    <cfRule type="cellIs" priority="1962" operator="lessThanOrEqual" aboveAverage="0" equalAverage="0" bottom="0" percent="0" rank="0" text="" dxfId="0">
      <formula>0</formula>
    </cfRule>
  </conditionalFormatting>
  <conditionalFormatting sqref="F659">
    <cfRule type="cellIs" priority="1963" operator="greaterThan" aboveAverage="0" equalAverage="0" bottom="0" percent="0" rank="0" text="" dxfId="10">
      <formula>30</formula>
    </cfRule>
  </conditionalFormatting>
  <conditionalFormatting sqref="G660">
    <cfRule type="cellIs" priority="1964" operator="greaterThan" aboveAverage="0" equalAverage="0" bottom="0" percent="0" rank="0" text="" dxfId="1">
      <formula>0</formula>
    </cfRule>
    <cfRule type="cellIs" priority="1965" operator="lessThanOrEqual" aboveAverage="0" equalAverage="0" bottom="0" percent="0" rank="0" text="" dxfId="0">
      <formula>0</formula>
    </cfRule>
  </conditionalFormatting>
  <conditionalFormatting sqref="F660">
    <cfRule type="cellIs" priority="1966" operator="greaterThan" aboveAverage="0" equalAverage="0" bottom="0" percent="0" rank="0" text="" dxfId="10">
      <formula>30</formula>
    </cfRule>
  </conditionalFormatting>
  <conditionalFormatting sqref="G661">
    <cfRule type="cellIs" priority="1967" operator="greaterThan" aboveAverage="0" equalAverage="0" bottom="0" percent="0" rank="0" text="" dxfId="1">
      <formula>0</formula>
    </cfRule>
    <cfRule type="cellIs" priority="1968" operator="lessThanOrEqual" aboveAverage="0" equalAverage="0" bottom="0" percent="0" rank="0" text="" dxfId="0">
      <formula>0</formula>
    </cfRule>
  </conditionalFormatting>
  <conditionalFormatting sqref="F661">
    <cfRule type="cellIs" priority="1969" operator="greaterThan" aboveAverage="0" equalAverage="0" bottom="0" percent="0" rank="0" text="" dxfId="10">
      <formula>30</formula>
    </cfRule>
  </conditionalFormatting>
  <conditionalFormatting sqref="G662">
    <cfRule type="cellIs" priority="1970" operator="greaterThan" aboveAverage="0" equalAverage="0" bottom="0" percent="0" rank="0" text="" dxfId="1">
      <formula>0</formula>
    </cfRule>
    <cfRule type="cellIs" priority="1971" operator="lessThanOrEqual" aboveAverage="0" equalAverage="0" bottom="0" percent="0" rank="0" text="" dxfId="0">
      <formula>0</formula>
    </cfRule>
  </conditionalFormatting>
  <conditionalFormatting sqref="F662">
    <cfRule type="cellIs" priority="1972" operator="greaterThan" aboveAverage="0" equalAverage="0" bottom="0" percent="0" rank="0" text="" dxfId="10">
      <formula>30</formula>
    </cfRule>
  </conditionalFormatting>
  <conditionalFormatting sqref="G663">
    <cfRule type="cellIs" priority="1973" operator="greaterThan" aboveAverage="0" equalAverage="0" bottom="0" percent="0" rank="0" text="" dxfId="1">
      <formula>0</formula>
    </cfRule>
    <cfRule type="cellIs" priority="1974" operator="lessThanOrEqual" aboveAverage="0" equalAverage="0" bottom="0" percent="0" rank="0" text="" dxfId="0">
      <formula>0</formula>
    </cfRule>
  </conditionalFormatting>
  <conditionalFormatting sqref="F663">
    <cfRule type="cellIs" priority="1975" operator="greaterThan" aboveAverage="0" equalAverage="0" bottom="0" percent="0" rank="0" text="" dxfId="10">
      <formula>30</formula>
    </cfRule>
  </conditionalFormatting>
  <conditionalFormatting sqref="G664">
    <cfRule type="cellIs" priority="1976" operator="greaterThan" aboveAverage="0" equalAverage="0" bottom="0" percent="0" rank="0" text="" dxfId="1">
      <formula>0</formula>
    </cfRule>
    <cfRule type="cellIs" priority="1977" operator="lessThanOrEqual" aboveAverage="0" equalAverage="0" bottom="0" percent="0" rank="0" text="" dxfId="0">
      <formula>0</formula>
    </cfRule>
  </conditionalFormatting>
  <conditionalFormatting sqref="F664">
    <cfRule type="cellIs" priority="1978" operator="greaterThan" aboveAverage="0" equalAverage="0" bottom="0" percent="0" rank="0" text="" dxfId="10">
      <formula>30</formula>
    </cfRule>
  </conditionalFormatting>
  <conditionalFormatting sqref="G665">
    <cfRule type="cellIs" priority="1979" operator="greaterThan" aboveAverage="0" equalAverage="0" bottom="0" percent="0" rank="0" text="" dxfId="1">
      <formula>0</formula>
    </cfRule>
    <cfRule type="cellIs" priority="1980" operator="lessThanOrEqual" aboveAverage="0" equalAverage="0" bottom="0" percent="0" rank="0" text="" dxfId="0">
      <formula>0</formula>
    </cfRule>
  </conditionalFormatting>
  <conditionalFormatting sqref="F665">
    <cfRule type="cellIs" priority="1981" operator="greaterThan" aboveAverage="0" equalAverage="0" bottom="0" percent="0" rank="0" text="" dxfId="10">
      <formula>30</formula>
    </cfRule>
  </conditionalFormatting>
  <conditionalFormatting sqref="G666">
    <cfRule type="cellIs" priority="1982" operator="greaterThan" aboveAverage="0" equalAverage="0" bottom="0" percent="0" rank="0" text="" dxfId="1">
      <formula>0</formula>
    </cfRule>
    <cfRule type="cellIs" priority="1983" operator="lessThanOrEqual" aboveAverage="0" equalAverage="0" bottom="0" percent="0" rank="0" text="" dxfId="0">
      <formula>0</formula>
    </cfRule>
  </conditionalFormatting>
  <conditionalFormatting sqref="F666">
    <cfRule type="cellIs" priority="1984" operator="greaterThan" aboveAverage="0" equalAverage="0" bottom="0" percent="0" rank="0" text="" dxfId="10">
      <formula>30</formula>
    </cfRule>
  </conditionalFormatting>
  <conditionalFormatting sqref="G667">
    <cfRule type="cellIs" priority="1985" operator="greaterThan" aboveAverage="0" equalAverage="0" bottom="0" percent="0" rank="0" text="" dxfId="1">
      <formula>0</formula>
    </cfRule>
    <cfRule type="cellIs" priority="1986" operator="lessThanOrEqual" aboveAverage="0" equalAverage="0" bottom="0" percent="0" rank="0" text="" dxfId="0">
      <formula>0</formula>
    </cfRule>
  </conditionalFormatting>
  <conditionalFormatting sqref="F667">
    <cfRule type="cellIs" priority="1987" operator="greaterThan" aboveAverage="0" equalAverage="0" bottom="0" percent="0" rank="0" text="" dxfId="10">
      <formula>30</formula>
    </cfRule>
  </conditionalFormatting>
  <conditionalFormatting sqref="G668">
    <cfRule type="cellIs" priority="1988" operator="greaterThan" aboveAverage="0" equalAverage="0" bottom="0" percent="0" rank="0" text="" dxfId="1">
      <formula>0</formula>
    </cfRule>
    <cfRule type="cellIs" priority="1989" operator="lessThanOrEqual" aboveAverage="0" equalAverage="0" bottom="0" percent="0" rank="0" text="" dxfId="0">
      <formula>0</formula>
    </cfRule>
  </conditionalFormatting>
  <conditionalFormatting sqref="F668">
    <cfRule type="cellIs" priority="1990" operator="greaterThan" aboveAverage="0" equalAverage="0" bottom="0" percent="0" rank="0" text="" dxfId="10">
      <formula>30</formula>
    </cfRule>
  </conditionalFormatting>
  <conditionalFormatting sqref="G669">
    <cfRule type="cellIs" priority="1991" operator="greaterThan" aboveAverage="0" equalAverage="0" bottom="0" percent="0" rank="0" text="" dxfId="1">
      <formula>0</formula>
    </cfRule>
    <cfRule type="cellIs" priority="1992" operator="lessThanOrEqual" aboveAverage="0" equalAverage="0" bottom="0" percent="0" rank="0" text="" dxfId="0">
      <formula>0</formula>
    </cfRule>
  </conditionalFormatting>
  <conditionalFormatting sqref="F669">
    <cfRule type="cellIs" priority="1993" operator="greaterThan" aboveAverage="0" equalAverage="0" bottom="0" percent="0" rank="0" text="" dxfId="10">
      <formula>30</formula>
    </cfRule>
  </conditionalFormatting>
  <conditionalFormatting sqref="G670">
    <cfRule type="cellIs" priority="1994" operator="greaterThan" aboveAverage="0" equalAverage="0" bottom="0" percent="0" rank="0" text="" dxfId="1">
      <formula>0</formula>
    </cfRule>
    <cfRule type="cellIs" priority="1995" operator="lessThanOrEqual" aboveAverage="0" equalAverage="0" bottom="0" percent="0" rank="0" text="" dxfId="0">
      <formula>0</formula>
    </cfRule>
  </conditionalFormatting>
  <conditionalFormatting sqref="F670">
    <cfRule type="cellIs" priority="1996" operator="greaterThan" aboveAverage="0" equalAverage="0" bottom="0" percent="0" rank="0" text="" dxfId="10">
      <formula>30</formula>
    </cfRule>
  </conditionalFormatting>
  <conditionalFormatting sqref="G671">
    <cfRule type="cellIs" priority="1997" operator="greaterThan" aboveAverage="0" equalAverage="0" bottom="0" percent="0" rank="0" text="" dxfId="1">
      <formula>0</formula>
    </cfRule>
    <cfRule type="cellIs" priority="1998" operator="lessThanOrEqual" aboveAverage="0" equalAverage="0" bottom="0" percent="0" rank="0" text="" dxfId="0">
      <formula>0</formula>
    </cfRule>
  </conditionalFormatting>
  <conditionalFormatting sqref="F671">
    <cfRule type="cellIs" priority="1999" operator="greaterThan" aboveAverage="0" equalAverage="0" bottom="0" percent="0" rank="0" text="" dxfId="10">
      <formula>30</formula>
    </cfRule>
  </conditionalFormatting>
  <conditionalFormatting sqref="G672">
    <cfRule type="cellIs" priority="2000" operator="greaterThan" aboveAverage="0" equalAverage="0" bottom="0" percent="0" rank="0" text="" dxfId="1">
      <formula>0</formula>
    </cfRule>
    <cfRule type="cellIs" priority="2001" operator="lessThanOrEqual" aboveAverage="0" equalAverage="0" bottom="0" percent="0" rank="0" text="" dxfId="0">
      <formula>0</formula>
    </cfRule>
  </conditionalFormatting>
  <conditionalFormatting sqref="F672">
    <cfRule type="cellIs" priority="2002" operator="greaterThan" aboveAverage="0" equalAverage="0" bottom="0" percent="0" rank="0" text="" dxfId="10">
      <formula>30</formula>
    </cfRule>
  </conditionalFormatting>
  <conditionalFormatting sqref="G673">
    <cfRule type="cellIs" priority="2003" operator="greaterThan" aboveAverage="0" equalAverage="0" bottom="0" percent="0" rank="0" text="" dxfId="1">
      <formula>0</formula>
    </cfRule>
    <cfRule type="cellIs" priority="2004" operator="lessThanOrEqual" aboveAverage="0" equalAverage="0" bottom="0" percent="0" rank="0" text="" dxfId="0">
      <formula>0</formula>
    </cfRule>
  </conditionalFormatting>
  <conditionalFormatting sqref="F673">
    <cfRule type="cellIs" priority="2005" operator="greaterThan" aboveAverage="0" equalAverage="0" bottom="0" percent="0" rank="0" text="" dxfId="10">
      <formula>30</formula>
    </cfRule>
  </conditionalFormatting>
  <conditionalFormatting sqref="G674">
    <cfRule type="cellIs" priority="2006" operator="greaterThan" aboveAverage="0" equalAverage="0" bottom="0" percent="0" rank="0" text="" dxfId="1">
      <formula>0</formula>
    </cfRule>
    <cfRule type="cellIs" priority="2007" operator="lessThanOrEqual" aboveAverage="0" equalAverage="0" bottom="0" percent="0" rank="0" text="" dxfId="0">
      <formula>0</formula>
    </cfRule>
  </conditionalFormatting>
  <conditionalFormatting sqref="F674">
    <cfRule type="cellIs" priority="2008" operator="greaterThan" aboveAverage="0" equalAverage="0" bottom="0" percent="0" rank="0" text="" dxfId="10">
      <formula>30</formula>
    </cfRule>
  </conditionalFormatting>
  <conditionalFormatting sqref="G675">
    <cfRule type="cellIs" priority="2009" operator="greaterThan" aboveAverage="0" equalAverage="0" bottom="0" percent="0" rank="0" text="" dxfId="1">
      <formula>0</formula>
    </cfRule>
    <cfRule type="cellIs" priority="2010" operator="lessThanOrEqual" aboveAverage="0" equalAverage="0" bottom="0" percent="0" rank="0" text="" dxfId="0">
      <formula>0</formula>
    </cfRule>
  </conditionalFormatting>
  <conditionalFormatting sqref="F675">
    <cfRule type="cellIs" priority="2011" operator="greaterThan" aboveAverage="0" equalAverage="0" bottom="0" percent="0" rank="0" text="" dxfId="10">
      <formula>30</formula>
    </cfRule>
  </conditionalFormatting>
  <conditionalFormatting sqref="G676">
    <cfRule type="cellIs" priority="2012" operator="greaterThan" aboveAverage="0" equalAverage="0" bottom="0" percent="0" rank="0" text="" dxfId="1">
      <formula>0</formula>
    </cfRule>
    <cfRule type="cellIs" priority="2013" operator="lessThanOrEqual" aboveAverage="0" equalAverage="0" bottom="0" percent="0" rank="0" text="" dxfId="0">
      <formula>0</formula>
    </cfRule>
  </conditionalFormatting>
  <conditionalFormatting sqref="F676">
    <cfRule type="cellIs" priority="2014" operator="greaterThan" aboveAverage="0" equalAverage="0" bottom="0" percent="0" rank="0" text="" dxfId="10">
      <formula>30</formula>
    </cfRule>
  </conditionalFormatting>
  <conditionalFormatting sqref="G677">
    <cfRule type="cellIs" priority="2015" operator="greaterThan" aboveAverage="0" equalAverage="0" bottom="0" percent="0" rank="0" text="" dxfId="1">
      <formula>0</formula>
    </cfRule>
    <cfRule type="cellIs" priority="2016" operator="lessThanOrEqual" aboveAverage="0" equalAverage="0" bottom="0" percent="0" rank="0" text="" dxfId="0">
      <formula>0</formula>
    </cfRule>
  </conditionalFormatting>
  <conditionalFormatting sqref="F677">
    <cfRule type="cellIs" priority="2017" operator="greaterThan" aboveAverage="0" equalAverage="0" bottom="0" percent="0" rank="0" text="" dxfId="10">
      <formula>30</formula>
    </cfRule>
  </conditionalFormatting>
  <conditionalFormatting sqref="G678">
    <cfRule type="cellIs" priority="2018" operator="greaterThan" aboveAverage="0" equalAverage="0" bottom="0" percent="0" rank="0" text="" dxfId="1">
      <formula>0</formula>
    </cfRule>
    <cfRule type="cellIs" priority="2019" operator="lessThanOrEqual" aboveAverage="0" equalAverage="0" bottom="0" percent="0" rank="0" text="" dxfId="0">
      <formula>0</formula>
    </cfRule>
  </conditionalFormatting>
  <conditionalFormatting sqref="F678">
    <cfRule type="cellIs" priority="2020" operator="greaterThan" aboveAverage="0" equalAverage="0" bottom="0" percent="0" rank="0" text="" dxfId="10">
      <formula>30</formula>
    </cfRule>
  </conditionalFormatting>
  <conditionalFormatting sqref="G679">
    <cfRule type="cellIs" priority="2021" operator="greaterThan" aboveAverage="0" equalAverage="0" bottom="0" percent="0" rank="0" text="" dxfId="1">
      <formula>0</formula>
    </cfRule>
    <cfRule type="cellIs" priority="2022" operator="lessThanOrEqual" aboveAverage="0" equalAverage="0" bottom="0" percent="0" rank="0" text="" dxfId="0">
      <formula>0</formula>
    </cfRule>
  </conditionalFormatting>
  <conditionalFormatting sqref="F679">
    <cfRule type="cellIs" priority="2023" operator="greaterThan" aboveAverage="0" equalAverage="0" bottom="0" percent="0" rank="0" text="" dxfId="10">
      <formula>30</formula>
    </cfRule>
  </conditionalFormatting>
  <conditionalFormatting sqref="G680">
    <cfRule type="cellIs" priority="2024" operator="greaterThan" aboveAverage="0" equalAverage="0" bottom="0" percent="0" rank="0" text="" dxfId="1">
      <formula>0</formula>
    </cfRule>
    <cfRule type="cellIs" priority="2025" operator="lessThanOrEqual" aboveAverage="0" equalAverage="0" bottom="0" percent="0" rank="0" text="" dxfId="0">
      <formula>0</formula>
    </cfRule>
  </conditionalFormatting>
  <conditionalFormatting sqref="F680">
    <cfRule type="cellIs" priority="2026" operator="greaterThan" aboveAverage="0" equalAverage="0" bottom="0" percent="0" rank="0" text="" dxfId="10">
      <formula>30</formula>
    </cfRule>
  </conditionalFormatting>
  <conditionalFormatting sqref="G681">
    <cfRule type="cellIs" priority="2027" operator="greaterThan" aboveAverage="0" equalAverage="0" bottom="0" percent="0" rank="0" text="" dxfId="1">
      <formula>0</formula>
    </cfRule>
    <cfRule type="cellIs" priority="2028" operator="lessThanOrEqual" aboveAverage="0" equalAverage="0" bottom="0" percent="0" rank="0" text="" dxfId="0">
      <formula>0</formula>
    </cfRule>
  </conditionalFormatting>
  <conditionalFormatting sqref="F681">
    <cfRule type="cellIs" priority="2029" operator="greaterThan" aboveAverage="0" equalAverage="0" bottom="0" percent="0" rank="0" text="" dxfId="10">
      <formula>30</formula>
    </cfRule>
  </conditionalFormatting>
  <conditionalFormatting sqref="G682">
    <cfRule type="cellIs" priority="2030" operator="greaterThan" aboveAverage="0" equalAverage="0" bottom="0" percent="0" rank="0" text="" dxfId="1">
      <formula>0</formula>
    </cfRule>
    <cfRule type="cellIs" priority="2031" operator="lessThanOrEqual" aboveAverage="0" equalAverage="0" bottom="0" percent="0" rank="0" text="" dxfId="0">
      <formula>0</formula>
    </cfRule>
  </conditionalFormatting>
  <conditionalFormatting sqref="F682">
    <cfRule type="cellIs" priority="2032" operator="greaterThan" aboveAverage="0" equalAverage="0" bottom="0" percent="0" rank="0" text="" dxfId="10">
      <formula>30</formula>
    </cfRule>
  </conditionalFormatting>
  <conditionalFormatting sqref="G683">
    <cfRule type="cellIs" priority="2033" operator="greaterThan" aboveAverage="0" equalAverage="0" bottom="0" percent="0" rank="0" text="" dxfId="1">
      <formula>0</formula>
    </cfRule>
    <cfRule type="cellIs" priority="2034" operator="lessThanOrEqual" aboveAverage="0" equalAverage="0" bottom="0" percent="0" rank="0" text="" dxfId="0">
      <formula>0</formula>
    </cfRule>
  </conditionalFormatting>
  <conditionalFormatting sqref="F683">
    <cfRule type="cellIs" priority="2035" operator="greaterThan" aboveAverage="0" equalAverage="0" bottom="0" percent="0" rank="0" text="" dxfId="10">
      <formula>30</formula>
    </cfRule>
  </conditionalFormatting>
  <conditionalFormatting sqref="G684">
    <cfRule type="cellIs" priority="2036" operator="greaterThan" aboveAverage="0" equalAverage="0" bottom="0" percent="0" rank="0" text="" dxfId="1">
      <formula>0</formula>
    </cfRule>
    <cfRule type="cellIs" priority="2037" operator="lessThanOrEqual" aboveAverage="0" equalAverage="0" bottom="0" percent="0" rank="0" text="" dxfId="0">
      <formula>0</formula>
    </cfRule>
  </conditionalFormatting>
  <conditionalFormatting sqref="F684">
    <cfRule type="cellIs" priority="2038" operator="greaterThan" aboveAverage="0" equalAverage="0" bottom="0" percent="0" rank="0" text="" dxfId="10">
      <formula>30</formula>
    </cfRule>
  </conditionalFormatting>
  <conditionalFormatting sqref="G685">
    <cfRule type="cellIs" priority="2039" operator="greaterThan" aboveAverage="0" equalAverage="0" bottom="0" percent="0" rank="0" text="" dxfId="1">
      <formula>0</formula>
    </cfRule>
    <cfRule type="cellIs" priority="2040" operator="lessThanOrEqual" aboveAverage="0" equalAverage="0" bottom="0" percent="0" rank="0" text="" dxfId="0">
      <formula>0</formula>
    </cfRule>
  </conditionalFormatting>
  <conditionalFormatting sqref="F685">
    <cfRule type="cellIs" priority="2041" operator="greaterThan" aboveAverage="0" equalAverage="0" bottom="0" percent="0" rank="0" text="" dxfId="10">
      <formula>30</formula>
    </cfRule>
  </conditionalFormatting>
  <conditionalFormatting sqref="G686">
    <cfRule type="cellIs" priority="2042" operator="greaterThan" aboveAverage="0" equalAverage="0" bottom="0" percent="0" rank="0" text="" dxfId="1">
      <formula>0</formula>
    </cfRule>
    <cfRule type="cellIs" priority="2043" operator="lessThanOrEqual" aboveAverage="0" equalAverage="0" bottom="0" percent="0" rank="0" text="" dxfId="0">
      <formula>0</formula>
    </cfRule>
  </conditionalFormatting>
  <conditionalFormatting sqref="F686">
    <cfRule type="cellIs" priority="2044" operator="greaterThan" aboveAverage="0" equalAverage="0" bottom="0" percent="0" rank="0" text="" dxfId="10">
      <formula>30</formula>
    </cfRule>
  </conditionalFormatting>
  <conditionalFormatting sqref="G687">
    <cfRule type="cellIs" priority="2045" operator="greaterThan" aboveAverage="0" equalAverage="0" bottom="0" percent="0" rank="0" text="" dxfId="1">
      <formula>0</formula>
    </cfRule>
    <cfRule type="cellIs" priority="2046" operator="lessThanOrEqual" aboveAverage="0" equalAverage="0" bottom="0" percent="0" rank="0" text="" dxfId="0">
      <formula>0</formula>
    </cfRule>
  </conditionalFormatting>
  <conditionalFormatting sqref="F687">
    <cfRule type="cellIs" priority="2047" operator="greaterThan" aboveAverage="0" equalAverage="0" bottom="0" percent="0" rank="0" text="" dxfId="10">
      <formula>30</formula>
    </cfRule>
  </conditionalFormatting>
  <conditionalFormatting sqref="G688">
    <cfRule type="cellIs" priority="2048" operator="greaterThan" aboveAverage="0" equalAverage="0" bottom="0" percent="0" rank="0" text="" dxfId="1">
      <formula>0</formula>
    </cfRule>
    <cfRule type="cellIs" priority="2049" operator="lessThanOrEqual" aboveAverage="0" equalAverage="0" bottom="0" percent="0" rank="0" text="" dxfId="0">
      <formula>0</formula>
    </cfRule>
  </conditionalFormatting>
  <conditionalFormatting sqref="F688">
    <cfRule type="cellIs" priority="2050" operator="greaterThan" aboveAverage="0" equalAverage="0" bottom="0" percent="0" rank="0" text="" dxfId="10">
      <formula>30</formula>
    </cfRule>
  </conditionalFormatting>
  <conditionalFormatting sqref="G689">
    <cfRule type="cellIs" priority="2051" operator="greaterThan" aboveAverage="0" equalAverage="0" bottom="0" percent="0" rank="0" text="" dxfId="1">
      <formula>0</formula>
    </cfRule>
    <cfRule type="cellIs" priority="2052" operator="lessThanOrEqual" aboveAverage="0" equalAverage="0" bottom="0" percent="0" rank="0" text="" dxfId="0">
      <formula>0</formula>
    </cfRule>
  </conditionalFormatting>
  <conditionalFormatting sqref="F689">
    <cfRule type="cellIs" priority="2053" operator="greaterThan" aboveAverage="0" equalAverage="0" bottom="0" percent="0" rank="0" text="" dxfId="10">
      <formula>30</formula>
    </cfRule>
  </conditionalFormatting>
  <conditionalFormatting sqref="G690">
    <cfRule type="cellIs" priority="2054" operator="greaterThan" aboveAverage="0" equalAverage="0" bottom="0" percent="0" rank="0" text="" dxfId="1">
      <formula>0</formula>
    </cfRule>
    <cfRule type="cellIs" priority="2055" operator="lessThanOrEqual" aboveAverage="0" equalAverage="0" bottom="0" percent="0" rank="0" text="" dxfId="0">
      <formula>0</formula>
    </cfRule>
  </conditionalFormatting>
  <conditionalFormatting sqref="F690">
    <cfRule type="cellIs" priority="2056" operator="greaterThan" aboveAverage="0" equalAverage="0" bottom="0" percent="0" rank="0" text="" dxfId="10">
      <formula>30</formula>
    </cfRule>
  </conditionalFormatting>
  <conditionalFormatting sqref="G691">
    <cfRule type="cellIs" priority="2057" operator="greaterThan" aboveAverage="0" equalAverage="0" bottom="0" percent="0" rank="0" text="" dxfId="1">
      <formula>0</formula>
    </cfRule>
    <cfRule type="cellIs" priority="2058" operator="lessThanOrEqual" aboveAverage="0" equalAverage="0" bottom="0" percent="0" rank="0" text="" dxfId="0">
      <formula>0</formula>
    </cfRule>
  </conditionalFormatting>
  <conditionalFormatting sqref="F691">
    <cfRule type="cellIs" priority="2059" operator="greaterThan" aboveAverage="0" equalAverage="0" bottom="0" percent="0" rank="0" text="" dxfId="10">
      <formula>30</formula>
    </cfRule>
  </conditionalFormatting>
  <conditionalFormatting sqref="G692">
    <cfRule type="cellIs" priority="2060" operator="greaterThan" aboveAverage="0" equalAverage="0" bottom="0" percent="0" rank="0" text="" dxfId="1">
      <formula>0</formula>
    </cfRule>
    <cfRule type="cellIs" priority="2061" operator="lessThanOrEqual" aboveAverage="0" equalAverage="0" bottom="0" percent="0" rank="0" text="" dxfId="0">
      <formula>0</formula>
    </cfRule>
  </conditionalFormatting>
  <conditionalFormatting sqref="F692">
    <cfRule type="cellIs" priority="2062" operator="greaterThan" aboveAverage="0" equalAverage="0" bottom="0" percent="0" rank="0" text="" dxfId="10">
      <formula>30</formula>
    </cfRule>
  </conditionalFormatting>
  <conditionalFormatting sqref="G693">
    <cfRule type="cellIs" priority="2063" operator="greaterThan" aboveAverage="0" equalAverage="0" bottom="0" percent="0" rank="0" text="" dxfId="1">
      <formula>0</formula>
    </cfRule>
    <cfRule type="cellIs" priority="2064" operator="lessThanOrEqual" aboveAverage="0" equalAverage="0" bottom="0" percent="0" rank="0" text="" dxfId="0">
      <formula>0</formula>
    </cfRule>
  </conditionalFormatting>
  <conditionalFormatting sqref="F693">
    <cfRule type="cellIs" priority="2065" operator="greaterThan" aboveAverage="0" equalAverage="0" bottom="0" percent="0" rank="0" text="" dxfId="10">
      <formula>30</formula>
    </cfRule>
  </conditionalFormatting>
  <conditionalFormatting sqref="G694">
    <cfRule type="cellIs" priority="2066" operator="greaterThan" aboveAverage="0" equalAverage="0" bottom="0" percent="0" rank="0" text="" dxfId="1">
      <formula>0</formula>
    </cfRule>
    <cfRule type="cellIs" priority="2067" operator="lessThanOrEqual" aboveAverage="0" equalAverage="0" bottom="0" percent="0" rank="0" text="" dxfId="0">
      <formula>0</formula>
    </cfRule>
  </conditionalFormatting>
  <conditionalFormatting sqref="F694">
    <cfRule type="cellIs" priority="2068" operator="greaterThan" aboveAverage="0" equalAverage="0" bottom="0" percent="0" rank="0" text="" dxfId="10">
      <formula>30</formula>
    </cfRule>
  </conditionalFormatting>
  <conditionalFormatting sqref="G695">
    <cfRule type="cellIs" priority="2069" operator="greaterThan" aboveAverage="0" equalAverage="0" bottom="0" percent="0" rank="0" text="" dxfId="1">
      <formula>0</formula>
    </cfRule>
    <cfRule type="cellIs" priority="2070" operator="lessThanOrEqual" aboveAverage="0" equalAverage="0" bottom="0" percent="0" rank="0" text="" dxfId="0">
      <formula>0</formula>
    </cfRule>
  </conditionalFormatting>
  <conditionalFormatting sqref="F695">
    <cfRule type="cellIs" priority="2071" operator="greaterThan" aboveAverage="0" equalAverage="0" bottom="0" percent="0" rank="0" text="" dxfId="10">
      <formula>30</formula>
    </cfRule>
  </conditionalFormatting>
  <conditionalFormatting sqref="G696">
    <cfRule type="cellIs" priority="2072" operator="greaterThan" aboveAverage="0" equalAverage="0" bottom="0" percent="0" rank="0" text="" dxfId="1">
      <formula>0</formula>
    </cfRule>
    <cfRule type="cellIs" priority="2073" operator="lessThanOrEqual" aboveAverage="0" equalAverage="0" bottom="0" percent="0" rank="0" text="" dxfId="0">
      <formula>0</formula>
    </cfRule>
  </conditionalFormatting>
  <conditionalFormatting sqref="F696">
    <cfRule type="cellIs" priority="2074" operator="greaterThan" aboveAverage="0" equalAverage="0" bottom="0" percent="0" rank="0" text="" dxfId="10">
      <formula>30</formula>
    </cfRule>
  </conditionalFormatting>
  <conditionalFormatting sqref="G697">
    <cfRule type="cellIs" priority="2075" operator="greaterThan" aboveAverage="0" equalAverage="0" bottom="0" percent="0" rank="0" text="" dxfId="1">
      <formula>0</formula>
    </cfRule>
    <cfRule type="cellIs" priority="2076" operator="lessThanOrEqual" aboveAverage="0" equalAverage="0" bottom="0" percent="0" rank="0" text="" dxfId="0">
      <formula>0</formula>
    </cfRule>
  </conditionalFormatting>
  <conditionalFormatting sqref="F697">
    <cfRule type="cellIs" priority="2077" operator="greaterThan" aboveAverage="0" equalAverage="0" bottom="0" percent="0" rank="0" text="" dxfId="10">
      <formula>30</formula>
    </cfRule>
  </conditionalFormatting>
  <conditionalFormatting sqref="G698">
    <cfRule type="cellIs" priority="2078" operator="greaterThan" aboveAverage="0" equalAverage="0" bottom="0" percent="0" rank="0" text="" dxfId="1">
      <formula>0</formula>
    </cfRule>
    <cfRule type="cellIs" priority="2079" operator="lessThanOrEqual" aboveAverage="0" equalAverage="0" bottom="0" percent="0" rank="0" text="" dxfId="0">
      <formula>0</formula>
    </cfRule>
  </conditionalFormatting>
  <conditionalFormatting sqref="F698">
    <cfRule type="cellIs" priority="2080" operator="greaterThan" aboveAverage="0" equalAverage="0" bottom="0" percent="0" rank="0" text="" dxfId="10">
      <formula>30</formula>
    </cfRule>
  </conditionalFormatting>
  <conditionalFormatting sqref="G699">
    <cfRule type="cellIs" priority="2081" operator="greaterThan" aboveAverage="0" equalAverage="0" bottom="0" percent="0" rank="0" text="" dxfId="1">
      <formula>0</formula>
    </cfRule>
    <cfRule type="cellIs" priority="2082" operator="lessThanOrEqual" aboveAverage="0" equalAverage="0" bottom="0" percent="0" rank="0" text="" dxfId="0">
      <formula>0</formula>
    </cfRule>
  </conditionalFormatting>
  <conditionalFormatting sqref="F699">
    <cfRule type="cellIs" priority="2083" operator="greaterThan" aboveAverage="0" equalAverage="0" bottom="0" percent="0" rank="0" text="" dxfId="10">
      <formula>30</formula>
    </cfRule>
  </conditionalFormatting>
  <conditionalFormatting sqref="G700">
    <cfRule type="cellIs" priority="2084" operator="greaterThan" aboveAverage="0" equalAverage="0" bottom="0" percent="0" rank="0" text="" dxfId="1">
      <formula>0</formula>
    </cfRule>
    <cfRule type="cellIs" priority="2085" operator="lessThanOrEqual" aboveAverage="0" equalAverage="0" bottom="0" percent="0" rank="0" text="" dxfId="0">
      <formula>0</formula>
    </cfRule>
  </conditionalFormatting>
  <conditionalFormatting sqref="F700">
    <cfRule type="cellIs" priority="2086" operator="greaterThan" aboveAverage="0" equalAverage="0" bottom="0" percent="0" rank="0" text="" dxfId="10">
      <formula>30</formula>
    </cfRule>
  </conditionalFormatting>
  <conditionalFormatting sqref="G701">
    <cfRule type="cellIs" priority="2087" operator="greaterThan" aboveAverage="0" equalAverage="0" bottom="0" percent="0" rank="0" text="" dxfId="1">
      <formula>0</formula>
    </cfRule>
    <cfRule type="cellIs" priority="2088" operator="lessThanOrEqual" aboveAverage="0" equalAverage="0" bottom="0" percent="0" rank="0" text="" dxfId="0">
      <formula>0</formula>
    </cfRule>
  </conditionalFormatting>
  <conditionalFormatting sqref="F701">
    <cfRule type="cellIs" priority="2089" operator="greaterThan" aboveAverage="0" equalAverage="0" bottom="0" percent="0" rank="0" text="" dxfId="10">
      <formula>30</formula>
    </cfRule>
  </conditionalFormatting>
  <conditionalFormatting sqref="G702">
    <cfRule type="cellIs" priority="2090" operator="greaterThan" aboveAverage="0" equalAverage="0" bottom="0" percent="0" rank="0" text="" dxfId="1">
      <formula>0</formula>
    </cfRule>
    <cfRule type="cellIs" priority="2091" operator="lessThanOrEqual" aboveAverage="0" equalAverage="0" bottom="0" percent="0" rank="0" text="" dxfId="0">
      <formula>0</formula>
    </cfRule>
  </conditionalFormatting>
  <conditionalFormatting sqref="F702">
    <cfRule type="cellIs" priority="2092" operator="greaterThan" aboveAverage="0" equalAverage="0" bottom="0" percent="0" rank="0" text="" dxfId="10">
      <formula>30</formula>
    </cfRule>
  </conditionalFormatting>
  <conditionalFormatting sqref="G703">
    <cfRule type="cellIs" priority="2093" operator="greaterThan" aboveAverage="0" equalAverage="0" bottom="0" percent="0" rank="0" text="" dxfId="1">
      <formula>0</formula>
    </cfRule>
    <cfRule type="cellIs" priority="2094" operator="lessThanOrEqual" aboveAverage="0" equalAverage="0" bottom="0" percent="0" rank="0" text="" dxfId="0">
      <formula>0</formula>
    </cfRule>
  </conditionalFormatting>
  <conditionalFormatting sqref="F703">
    <cfRule type="cellIs" priority="2095" operator="greaterThan" aboveAverage="0" equalAverage="0" bottom="0" percent="0" rank="0" text="" dxfId="10">
      <formula>30</formula>
    </cfRule>
  </conditionalFormatting>
  <conditionalFormatting sqref="G704">
    <cfRule type="cellIs" priority="2096" operator="greaterThan" aboveAverage="0" equalAverage="0" bottom="0" percent="0" rank="0" text="" dxfId="1">
      <formula>0</formula>
    </cfRule>
    <cfRule type="cellIs" priority="2097" operator="lessThanOrEqual" aboveAverage="0" equalAverage="0" bottom="0" percent="0" rank="0" text="" dxfId="0">
      <formula>0</formula>
    </cfRule>
  </conditionalFormatting>
  <conditionalFormatting sqref="F704">
    <cfRule type="cellIs" priority="2098" operator="greaterThan" aboveAverage="0" equalAverage="0" bottom="0" percent="0" rank="0" text="" dxfId="10">
      <formula>30</formula>
    </cfRule>
  </conditionalFormatting>
  <conditionalFormatting sqref="G705">
    <cfRule type="cellIs" priority="2099" operator="greaterThan" aboveAverage="0" equalAverage="0" bottom="0" percent="0" rank="0" text="" dxfId="1">
      <formula>0</formula>
    </cfRule>
    <cfRule type="cellIs" priority="2100" operator="lessThanOrEqual" aboveAverage="0" equalAverage="0" bottom="0" percent="0" rank="0" text="" dxfId="0">
      <formula>0</formula>
    </cfRule>
  </conditionalFormatting>
  <conditionalFormatting sqref="F705">
    <cfRule type="cellIs" priority="2101" operator="greaterThan" aboveAverage="0" equalAverage="0" bottom="0" percent="0" rank="0" text="" dxfId="10">
      <formula>30</formula>
    </cfRule>
  </conditionalFormatting>
  <conditionalFormatting sqref="G706">
    <cfRule type="cellIs" priority="2102" operator="greaterThan" aboveAverage="0" equalAverage="0" bottom="0" percent="0" rank="0" text="" dxfId="1">
      <formula>0</formula>
    </cfRule>
    <cfRule type="cellIs" priority="2103" operator="lessThanOrEqual" aboveAverage="0" equalAverage="0" bottom="0" percent="0" rank="0" text="" dxfId="0">
      <formula>0</formula>
    </cfRule>
  </conditionalFormatting>
  <conditionalFormatting sqref="F706">
    <cfRule type="cellIs" priority="2104" operator="greaterThan" aboveAverage="0" equalAverage="0" bottom="0" percent="0" rank="0" text="" dxfId="10">
      <formula>30</formula>
    </cfRule>
  </conditionalFormatting>
  <conditionalFormatting sqref="G707">
    <cfRule type="cellIs" priority="2105" operator="greaterThan" aboveAverage="0" equalAverage="0" bottom="0" percent="0" rank="0" text="" dxfId="1">
      <formula>0</formula>
    </cfRule>
    <cfRule type="cellIs" priority="2106" operator="lessThanOrEqual" aboveAverage="0" equalAverage="0" bottom="0" percent="0" rank="0" text="" dxfId="0">
      <formula>0</formula>
    </cfRule>
  </conditionalFormatting>
  <conditionalFormatting sqref="F707">
    <cfRule type="cellIs" priority="2107" operator="greaterThan" aboveAverage="0" equalAverage="0" bottom="0" percent="0" rank="0" text="" dxfId="10">
      <formula>30</formula>
    </cfRule>
  </conditionalFormatting>
  <conditionalFormatting sqref="G708">
    <cfRule type="cellIs" priority="2108" operator="greaterThan" aboveAverage="0" equalAverage="0" bottom="0" percent="0" rank="0" text="" dxfId="1">
      <formula>0</formula>
    </cfRule>
    <cfRule type="cellIs" priority="2109" operator="lessThanOrEqual" aboveAverage="0" equalAverage="0" bottom="0" percent="0" rank="0" text="" dxfId="0">
      <formula>0</formula>
    </cfRule>
  </conditionalFormatting>
  <conditionalFormatting sqref="F708">
    <cfRule type="cellIs" priority="2110" operator="greaterThan" aboveAverage="0" equalAverage="0" bottom="0" percent="0" rank="0" text="" dxfId="10">
      <formula>30</formula>
    </cfRule>
  </conditionalFormatting>
  <conditionalFormatting sqref="G709">
    <cfRule type="cellIs" priority="2111" operator="greaterThan" aboveAverage="0" equalAverage="0" bottom="0" percent="0" rank="0" text="" dxfId="1">
      <formula>0</formula>
    </cfRule>
    <cfRule type="cellIs" priority="2112" operator="lessThanOrEqual" aboveAverage="0" equalAverage="0" bottom="0" percent="0" rank="0" text="" dxfId="0">
      <formula>0</formula>
    </cfRule>
  </conditionalFormatting>
  <conditionalFormatting sqref="F709">
    <cfRule type="cellIs" priority="2113" operator="greaterThan" aboveAverage="0" equalAverage="0" bottom="0" percent="0" rank="0" text="" dxfId="10">
      <formula>30</formula>
    </cfRule>
  </conditionalFormatting>
  <conditionalFormatting sqref="G710">
    <cfRule type="cellIs" priority="2114" operator="greaterThan" aboveAverage="0" equalAverage="0" bottom="0" percent="0" rank="0" text="" dxfId="1">
      <formula>0</formula>
    </cfRule>
    <cfRule type="cellIs" priority="2115" operator="lessThanOrEqual" aboveAverage="0" equalAverage="0" bottom="0" percent="0" rank="0" text="" dxfId="0">
      <formula>0</formula>
    </cfRule>
  </conditionalFormatting>
  <conditionalFormatting sqref="F710">
    <cfRule type="cellIs" priority="2116" operator="greaterThan" aboveAverage="0" equalAverage="0" bottom="0" percent="0" rank="0" text="" dxfId="10">
      <formula>30</formula>
    </cfRule>
  </conditionalFormatting>
  <conditionalFormatting sqref="G711">
    <cfRule type="cellIs" priority="2117" operator="greaterThan" aboveAverage="0" equalAverage="0" bottom="0" percent="0" rank="0" text="" dxfId="1">
      <formula>0</formula>
    </cfRule>
    <cfRule type="cellIs" priority="2118" operator="lessThanOrEqual" aboveAverage="0" equalAverage="0" bottom="0" percent="0" rank="0" text="" dxfId="0">
      <formula>0</formula>
    </cfRule>
  </conditionalFormatting>
  <conditionalFormatting sqref="F711">
    <cfRule type="cellIs" priority="2119" operator="greaterThan" aboveAverage="0" equalAverage="0" bottom="0" percent="0" rank="0" text="" dxfId="10">
      <formula>30</formula>
    </cfRule>
  </conditionalFormatting>
  <conditionalFormatting sqref="G712">
    <cfRule type="cellIs" priority="2120" operator="greaterThan" aboveAverage="0" equalAverage="0" bottom="0" percent="0" rank="0" text="" dxfId="1">
      <formula>0</formula>
    </cfRule>
    <cfRule type="cellIs" priority="2121" operator="lessThanOrEqual" aboveAverage="0" equalAverage="0" bottom="0" percent="0" rank="0" text="" dxfId="0">
      <formula>0</formula>
    </cfRule>
  </conditionalFormatting>
  <conditionalFormatting sqref="F712">
    <cfRule type="cellIs" priority="2122" operator="greaterThan" aboveAverage="0" equalAverage="0" bottom="0" percent="0" rank="0" text="" dxfId="10">
      <formula>30</formula>
    </cfRule>
  </conditionalFormatting>
  <conditionalFormatting sqref="G713">
    <cfRule type="cellIs" priority="2123" operator="greaterThan" aboveAverage="0" equalAverage="0" bottom="0" percent="0" rank="0" text="" dxfId="1">
      <formula>0</formula>
    </cfRule>
    <cfRule type="cellIs" priority="2124" operator="lessThanOrEqual" aboveAverage="0" equalAverage="0" bottom="0" percent="0" rank="0" text="" dxfId="0">
      <formula>0</formula>
    </cfRule>
  </conditionalFormatting>
  <conditionalFormatting sqref="F713">
    <cfRule type="cellIs" priority="2125" operator="greaterThan" aboveAverage="0" equalAverage="0" bottom="0" percent="0" rank="0" text="" dxfId="10">
      <formula>30</formula>
    </cfRule>
  </conditionalFormatting>
  <conditionalFormatting sqref="G714">
    <cfRule type="cellIs" priority="2126" operator="greaterThan" aboveAverage="0" equalAverage="0" bottom="0" percent="0" rank="0" text="" dxfId="1">
      <formula>0</formula>
    </cfRule>
    <cfRule type="cellIs" priority="2127" operator="lessThanOrEqual" aboveAverage="0" equalAverage="0" bottom="0" percent="0" rank="0" text="" dxfId="0">
      <formula>0</formula>
    </cfRule>
  </conditionalFormatting>
  <conditionalFormatting sqref="F714">
    <cfRule type="cellIs" priority="2128" operator="greaterThan" aboveAverage="0" equalAverage="0" bottom="0" percent="0" rank="0" text="" dxfId="10">
      <formula>30</formula>
    </cfRule>
  </conditionalFormatting>
  <conditionalFormatting sqref="G715">
    <cfRule type="cellIs" priority="2129" operator="greaterThan" aboveAverage="0" equalAverage="0" bottom="0" percent="0" rank="0" text="" dxfId="1">
      <formula>0</formula>
    </cfRule>
    <cfRule type="cellIs" priority="2130" operator="lessThanOrEqual" aboveAverage="0" equalAverage="0" bottom="0" percent="0" rank="0" text="" dxfId="0">
      <formula>0</formula>
    </cfRule>
  </conditionalFormatting>
  <conditionalFormatting sqref="F715">
    <cfRule type="cellIs" priority="2131" operator="greaterThan" aboveAverage="0" equalAverage="0" bottom="0" percent="0" rank="0" text="" dxfId="10">
      <formula>30</formula>
    </cfRule>
  </conditionalFormatting>
  <conditionalFormatting sqref="G716">
    <cfRule type="cellIs" priority="2132" operator="greaterThan" aboveAverage="0" equalAverage="0" bottom="0" percent="0" rank="0" text="" dxfId="1">
      <formula>0</formula>
    </cfRule>
    <cfRule type="cellIs" priority="2133" operator="lessThanOrEqual" aboveAverage="0" equalAverage="0" bottom="0" percent="0" rank="0" text="" dxfId="0">
      <formula>0</formula>
    </cfRule>
  </conditionalFormatting>
  <conditionalFormatting sqref="F716">
    <cfRule type="cellIs" priority="2134" operator="greaterThan" aboveAverage="0" equalAverage="0" bottom="0" percent="0" rank="0" text="" dxfId="10">
      <formula>30</formula>
    </cfRule>
  </conditionalFormatting>
  <conditionalFormatting sqref="G717">
    <cfRule type="cellIs" priority="2135" operator="greaterThan" aboveAverage="0" equalAverage="0" bottom="0" percent="0" rank="0" text="" dxfId="1">
      <formula>0</formula>
    </cfRule>
    <cfRule type="cellIs" priority="2136" operator="lessThanOrEqual" aboveAverage="0" equalAverage="0" bottom="0" percent="0" rank="0" text="" dxfId="0">
      <formula>0</formula>
    </cfRule>
  </conditionalFormatting>
  <conditionalFormatting sqref="F717">
    <cfRule type="cellIs" priority="2137" operator="greaterThan" aboveAverage="0" equalAverage="0" bottom="0" percent="0" rank="0" text="" dxfId="10">
      <formula>30</formula>
    </cfRule>
  </conditionalFormatting>
  <conditionalFormatting sqref="G718">
    <cfRule type="cellIs" priority="2138" operator="greaterThan" aboveAverage="0" equalAverage="0" bottom="0" percent="0" rank="0" text="" dxfId="1">
      <formula>0</formula>
    </cfRule>
    <cfRule type="cellIs" priority="2139" operator="lessThanOrEqual" aboveAverage="0" equalAverage="0" bottom="0" percent="0" rank="0" text="" dxfId="0">
      <formula>0</formula>
    </cfRule>
  </conditionalFormatting>
  <conditionalFormatting sqref="F718">
    <cfRule type="cellIs" priority="2140" operator="greaterThan" aboveAverage="0" equalAverage="0" bottom="0" percent="0" rank="0" text="" dxfId="10">
      <formula>30</formula>
    </cfRule>
  </conditionalFormatting>
  <conditionalFormatting sqref="G719">
    <cfRule type="cellIs" priority="2141" operator="greaterThan" aboveAverage="0" equalAverage="0" bottom="0" percent="0" rank="0" text="" dxfId="1">
      <formula>0</formula>
    </cfRule>
    <cfRule type="cellIs" priority="2142" operator="lessThanOrEqual" aboveAverage="0" equalAverage="0" bottom="0" percent="0" rank="0" text="" dxfId="0">
      <formula>0</formula>
    </cfRule>
  </conditionalFormatting>
  <conditionalFormatting sqref="F719">
    <cfRule type="cellIs" priority="2143" operator="greaterThan" aboveAverage="0" equalAverage="0" bottom="0" percent="0" rank="0" text="" dxfId="10">
      <formula>30</formula>
    </cfRule>
  </conditionalFormatting>
  <conditionalFormatting sqref="G720">
    <cfRule type="cellIs" priority="2144" operator="greaterThan" aboveAverage="0" equalAverage="0" bottom="0" percent="0" rank="0" text="" dxfId="1">
      <formula>0</formula>
    </cfRule>
    <cfRule type="cellIs" priority="2145" operator="lessThanOrEqual" aboveAverage="0" equalAverage="0" bottom="0" percent="0" rank="0" text="" dxfId="0">
      <formula>0</formula>
    </cfRule>
  </conditionalFormatting>
  <conditionalFormatting sqref="F720">
    <cfRule type="cellIs" priority="2146" operator="greaterThan" aboveAverage="0" equalAverage="0" bottom="0" percent="0" rank="0" text="" dxfId="10">
      <formula>30</formula>
    </cfRule>
  </conditionalFormatting>
  <conditionalFormatting sqref="G721">
    <cfRule type="cellIs" priority="2147" operator="greaterThan" aboveAverage="0" equalAverage="0" bottom="0" percent="0" rank="0" text="" dxfId="1">
      <formula>0</formula>
    </cfRule>
    <cfRule type="cellIs" priority="2148" operator="lessThanOrEqual" aboveAverage="0" equalAverage="0" bottom="0" percent="0" rank="0" text="" dxfId="0">
      <formula>0</formula>
    </cfRule>
  </conditionalFormatting>
  <conditionalFormatting sqref="F721">
    <cfRule type="cellIs" priority="2149" operator="greaterThan" aboveAverage="0" equalAverage="0" bottom="0" percent="0" rank="0" text="" dxfId="10">
      <formula>30</formula>
    </cfRule>
  </conditionalFormatting>
  <conditionalFormatting sqref="G722">
    <cfRule type="cellIs" priority="2150" operator="greaterThan" aboveAverage="0" equalAverage="0" bottom="0" percent="0" rank="0" text="" dxfId="1">
      <formula>0</formula>
    </cfRule>
    <cfRule type="cellIs" priority="2151" operator="lessThanOrEqual" aboveAverage="0" equalAverage="0" bottom="0" percent="0" rank="0" text="" dxfId="0">
      <formula>0</formula>
    </cfRule>
  </conditionalFormatting>
  <conditionalFormatting sqref="F722">
    <cfRule type="cellIs" priority="2152" operator="greaterThan" aboveAverage="0" equalAverage="0" bottom="0" percent="0" rank="0" text="" dxfId="10">
      <formula>30</formula>
    </cfRule>
  </conditionalFormatting>
  <conditionalFormatting sqref="G723">
    <cfRule type="cellIs" priority="2153" operator="greaterThan" aboveAverage="0" equalAverage="0" bottom="0" percent="0" rank="0" text="" dxfId="1">
      <formula>0</formula>
    </cfRule>
    <cfRule type="cellIs" priority="2154" operator="lessThanOrEqual" aboveAverage="0" equalAverage="0" bottom="0" percent="0" rank="0" text="" dxfId="0">
      <formula>0</formula>
    </cfRule>
  </conditionalFormatting>
  <conditionalFormatting sqref="F723">
    <cfRule type="cellIs" priority="2155" operator="greaterThan" aboveAverage="0" equalAverage="0" bottom="0" percent="0" rank="0" text="" dxfId="10">
      <formula>30</formula>
    </cfRule>
  </conditionalFormatting>
  <conditionalFormatting sqref="G724">
    <cfRule type="cellIs" priority="2156" operator="greaterThan" aboveAverage="0" equalAverage="0" bottom="0" percent="0" rank="0" text="" dxfId="1">
      <formula>0</formula>
    </cfRule>
    <cfRule type="cellIs" priority="2157" operator="lessThanOrEqual" aboveAverage="0" equalAverage="0" bottom="0" percent="0" rank="0" text="" dxfId="0">
      <formula>0</formula>
    </cfRule>
  </conditionalFormatting>
  <conditionalFormatting sqref="F724">
    <cfRule type="cellIs" priority="2158" operator="greaterThan" aboveAverage="0" equalAverage="0" bottom="0" percent="0" rank="0" text="" dxfId="10">
      <formula>30</formula>
    </cfRule>
  </conditionalFormatting>
  <conditionalFormatting sqref="G725">
    <cfRule type="cellIs" priority="2159" operator="greaterThan" aboveAverage="0" equalAverage="0" bottom="0" percent="0" rank="0" text="" dxfId="1">
      <formula>0</formula>
    </cfRule>
    <cfRule type="cellIs" priority="2160" operator="lessThanOrEqual" aboveAverage="0" equalAverage="0" bottom="0" percent="0" rank="0" text="" dxfId="0">
      <formula>0</formula>
    </cfRule>
  </conditionalFormatting>
  <conditionalFormatting sqref="F725">
    <cfRule type="cellIs" priority="2161" operator="greaterThan" aboveAverage="0" equalAverage="0" bottom="0" percent="0" rank="0" text="" dxfId="10">
      <formula>30</formula>
    </cfRule>
  </conditionalFormatting>
  <conditionalFormatting sqref="G726">
    <cfRule type="cellIs" priority="2162" operator="greaterThan" aboveAverage="0" equalAverage="0" bottom="0" percent="0" rank="0" text="" dxfId="1">
      <formula>0</formula>
    </cfRule>
    <cfRule type="cellIs" priority="2163" operator="lessThanOrEqual" aboveAverage="0" equalAverage="0" bottom="0" percent="0" rank="0" text="" dxfId="0">
      <formula>0</formula>
    </cfRule>
  </conditionalFormatting>
  <conditionalFormatting sqref="F726">
    <cfRule type="cellIs" priority="2164" operator="greaterThan" aboveAverage="0" equalAverage="0" bottom="0" percent="0" rank="0" text="" dxfId="10">
      <formula>30</formula>
    </cfRule>
  </conditionalFormatting>
  <conditionalFormatting sqref="G727">
    <cfRule type="cellIs" priority="2165" operator="greaterThan" aboveAverage="0" equalAverage="0" bottom="0" percent="0" rank="0" text="" dxfId="1">
      <formula>0</formula>
    </cfRule>
    <cfRule type="cellIs" priority="2166" operator="lessThanOrEqual" aboveAverage="0" equalAverage="0" bottom="0" percent="0" rank="0" text="" dxfId="0">
      <formula>0</formula>
    </cfRule>
  </conditionalFormatting>
  <conditionalFormatting sqref="F727">
    <cfRule type="cellIs" priority="2167" operator="greaterThan" aboveAverage="0" equalAverage="0" bottom="0" percent="0" rank="0" text="" dxfId="10">
      <formula>30</formula>
    </cfRule>
  </conditionalFormatting>
  <conditionalFormatting sqref="G728">
    <cfRule type="cellIs" priority="2168" operator="greaterThan" aboveAverage="0" equalAverage="0" bottom="0" percent="0" rank="0" text="" dxfId="1">
      <formula>0</formula>
    </cfRule>
    <cfRule type="cellIs" priority="2169" operator="lessThanOrEqual" aboveAverage="0" equalAverage="0" bottom="0" percent="0" rank="0" text="" dxfId="0">
      <formula>0</formula>
    </cfRule>
  </conditionalFormatting>
  <conditionalFormatting sqref="F728">
    <cfRule type="cellIs" priority="2170" operator="greaterThan" aboveAverage="0" equalAverage="0" bottom="0" percent="0" rank="0" text="" dxfId="10">
      <formula>30</formula>
    </cfRule>
  </conditionalFormatting>
  <conditionalFormatting sqref="G729">
    <cfRule type="cellIs" priority="2171" operator="greaterThan" aboveAverage="0" equalAverage="0" bottom="0" percent="0" rank="0" text="" dxfId="1">
      <formula>0</formula>
    </cfRule>
    <cfRule type="cellIs" priority="2172" operator="lessThanOrEqual" aboveAverage="0" equalAverage="0" bottom="0" percent="0" rank="0" text="" dxfId="0">
      <formula>0</formula>
    </cfRule>
  </conditionalFormatting>
  <conditionalFormatting sqref="F729">
    <cfRule type="cellIs" priority="2173" operator="greaterThan" aboveAverage="0" equalAverage="0" bottom="0" percent="0" rank="0" text="" dxfId="10">
      <formula>30</formula>
    </cfRule>
  </conditionalFormatting>
  <conditionalFormatting sqref="G730">
    <cfRule type="cellIs" priority="2174" operator="greaterThan" aboveAverage="0" equalAverage="0" bottom="0" percent="0" rank="0" text="" dxfId="1">
      <formula>0</formula>
    </cfRule>
    <cfRule type="cellIs" priority="2175" operator="lessThanOrEqual" aboveAverage="0" equalAverage="0" bottom="0" percent="0" rank="0" text="" dxfId="0">
      <formula>0</formula>
    </cfRule>
  </conditionalFormatting>
  <conditionalFormatting sqref="F730">
    <cfRule type="cellIs" priority="2176" operator="greaterThan" aboveAverage="0" equalAverage="0" bottom="0" percent="0" rank="0" text="" dxfId="10">
      <formula>30</formula>
    </cfRule>
  </conditionalFormatting>
  <conditionalFormatting sqref="G731">
    <cfRule type="cellIs" priority="2177" operator="greaterThan" aboveAverage="0" equalAverage="0" bottom="0" percent="0" rank="0" text="" dxfId="1">
      <formula>0</formula>
    </cfRule>
    <cfRule type="cellIs" priority="2178" operator="lessThanOrEqual" aboveAverage="0" equalAverage="0" bottom="0" percent="0" rank="0" text="" dxfId="0">
      <formula>0</formula>
    </cfRule>
  </conditionalFormatting>
  <conditionalFormatting sqref="F731">
    <cfRule type="cellIs" priority="2179" operator="greaterThan" aboveAverage="0" equalAverage="0" bottom="0" percent="0" rank="0" text="" dxfId="10">
      <formula>30</formula>
    </cfRule>
  </conditionalFormatting>
  <conditionalFormatting sqref="G732">
    <cfRule type="cellIs" priority="2180" operator="greaterThan" aboveAverage="0" equalAverage="0" bottom="0" percent="0" rank="0" text="" dxfId="1">
      <formula>0</formula>
    </cfRule>
    <cfRule type="cellIs" priority="2181" operator="lessThanOrEqual" aboveAverage="0" equalAverage="0" bottom="0" percent="0" rank="0" text="" dxfId="0">
      <formula>0</formula>
    </cfRule>
  </conditionalFormatting>
  <conditionalFormatting sqref="F732">
    <cfRule type="cellIs" priority="2182" operator="greaterThan" aboveAverage="0" equalAverage="0" bottom="0" percent="0" rank="0" text="" dxfId="10">
      <formula>30</formula>
    </cfRule>
  </conditionalFormatting>
  <conditionalFormatting sqref="G733">
    <cfRule type="cellIs" priority="2183" operator="greaterThan" aboveAverage="0" equalAverage="0" bottom="0" percent="0" rank="0" text="" dxfId="1">
      <formula>0</formula>
    </cfRule>
    <cfRule type="cellIs" priority="2184" operator="lessThanOrEqual" aboveAverage="0" equalAverage="0" bottom="0" percent="0" rank="0" text="" dxfId="0">
      <formula>0</formula>
    </cfRule>
  </conditionalFormatting>
  <conditionalFormatting sqref="F733">
    <cfRule type="cellIs" priority="2185" operator="greaterThan" aboveAverage="0" equalAverage="0" bottom="0" percent="0" rank="0" text="" dxfId="10">
      <formula>30</formula>
    </cfRule>
  </conditionalFormatting>
  <conditionalFormatting sqref="G734">
    <cfRule type="cellIs" priority="2186" operator="greaterThan" aboveAverage="0" equalAverage="0" bottom="0" percent="0" rank="0" text="" dxfId="1">
      <formula>0</formula>
    </cfRule>
    <cfRule type="cellIs" priority="2187" operator="lessThanOrEqual" aboveAverage="0" equalAverage="0" bottom="0" percent="0" rank="0" text="" dxfId="0">
      <formula>0</formula>
    </cfRule>
  </conditionalFormatting>
  <conditionalFormatting sqref="F734">
    <cfRule type="cellIs" priority="2188" operator="greaterThan" aboveAverage="0" equalAverage="0" bottom="0" percent="0" rank="0" text="" dxfId="10">
      <formula>30</formula>
    </cfRule>
  </conditionalFormatting>
  <conditionalFormatting sqref="G735">
    <cfRule type="cellIs" priority="2189" operator="greaterThan" aboveAverage="0" equalAverage="0" bottom="0" percent="0" rank="0" text="" dxfId="1">
      <formula>0</formula>
    </cfRule>
    <cfRule type="cellIs" priority="2190" operator="lessThanOrEqual" aboveAverage="0" equalAverage="0" bottom="0" percent="0" rank="0" text="" dxfId="0">
      <formula>0</formula>
    </cfRule>
  </conditionalFormatting>
  <conditionalFormatting sqref="F735">
    <cfRule type="cellIs" priority="2191" operator="greaterThan" aboveAverage="0" equalAverage="0" bottom="0" percent="0" rank="0" text="" dxfId="10">
      <formula>30</formula>
    </cfRule>
  </conditionalFormatting>
  <conditionalFormatting sqref="G736">
    <cfRule type="cellIs" priority="2192" operator="greaterThan" aboveAverage="0" equalAverage="0" bottom="0" percent="0" rank="0" text="" dxfId="1">
      <formula>0</formula>
    </cfRule>
    <cfRule type="cellIs" priority="2193" operator="lessThanOrEqual" aboveAverage="0" equalAverage="0" bottom="0" percent="0" rank="0" text="" dxfId="0">
      <formula>0</formula>
    </cfRule>
  </conditionalFormatting>
  <conditionalFormatting sqref="F736">
    <cfRule type="cellIs" priority="2194" operator="greaterThan" aboveAverage="0" equalAverage="0" bottom="0" percent="0" rank="0" text="" dxfId="10">
      <formula>30</formula>
    </cfRule>
  </conditionalFormatting>
  <conditionalFormatting sqref="G737">
    <cfRule type="cellIs" priority="2195" operator="greaterThan" aboveAverage="0" equalAverage="0" bottom="0" percent="0" rank="0" text="" dxfId="1">
      <formula>0</formula>
    </cfRule>
    <cfRule type="cellIs" priority="2196" operator="lessThanOrEqual" aboveAverage="0" equalAverage="0" bottom="0" percent="0" rank="0" text="" dxfId="0">
      <formula>0</formula>
    </cfRule>
  </conditionalFormatting>
  <conditionalFormatting sqref="F737">
    <cfRule type="cellIs" priority="2197" operator="greaterThan" aboveAverage="0" equalAverage="0" bottom="0" percent="0" rank="0" text="" dxfId="10">
      <formula>30</formula>
    </cfRule>
  </conditionalFormatting>
  <conditionalFormatting sqref="G738">
    <cfRule type="cellIs" priority="2198" operator="greaterThan" aboveAverage="0" equalAverage="0" bottom="0" percent="0" rank="0" text="" dxfId="1">
      <formula>0</formula>
    </cfRule>
    <cfRule type="cellIs" priority="2199" operator="lessThanOrEqual" aboveAverage="0" equalAverage="0" bottom="0" percent="0" rank="0" text="" dxfId="0">
      <formula>0</formula>
    </cfRule>
  </conditionalFormatting>
  <conditionalFormatting sqref="F738">
    <cfRule type="cellIs" priority="2200" operator="greaterThan" aboveAverage="0" equalAverage="0" bottom="0" percent="0" rank="0" text="" dxfId="10">
      <formula>30</formula>
    </cfRule>
  </conditionalFormatting>
  <conditionalFormatting sqref="G739">
    <cfRule type="cellIs" priority="2201" operator="greaterThan" aboveAverage="0" equalAverage="0" bottom="0" percent="0" rank="0" text="" dxfId="1">
      <formula>0</formula>
    </cfRule>
    <cfRule type="cellIs" priority="2202" operator="lessThanOrEqual" aboveAverage="0" equalAverage="0" bottom="0" percent="0" rank="0" text="" dxfId="0">
      <formula>0</formula>
    </cfRule>
  </conditionalFormatting>
  <conditionalFormatting sqref="F739">
    <cfRule type="cellIs" priority="2203" operator="greaterThan" aboveAverage="0" equalAverage="0" bottom="0" percent="0" rank="0" text="" dxfId="10">
      <formula>30</formula>
    </cfRule>
  </conditionalFormatting>
  <conditionalFormatting sqref="G740">
    <cfRule type="cellIs" priority="2204" operator="greaterThan" aboveAverage="0" equalAverage="0" bottom="0" percent="0" rank="0" text="" dxfId="1">
      <formula>0</formula>
    </cfRule>
    <cfRule type="cellIs" priority="2205" operator="lessThanOrEqual" aboveAverage="0" equalAverage="0" bottom="0" percent="0" rank="0" text="" dxfId="0">
      <formula>0</formula>
    </cfRule>
  </conditionalFormatting>
  <conditionalFormatting sqref="F740">
    <cfRule type="cellIs" priority="2206" operator="greaterThan" aboveAverage="0" equalAverage="0" bottom="0" percent="0" rank="0" text="" dxfId="10">
      <formula>30</formula>
    </cfRule>
  </conditionalFormatting>
  <conditionalFormatting sqref="G741">
    <cfRule type="cellIs" priority="2207" operator="greaterThan" aboveAverage="0" equalAverage="0" bottom="0" percent="0" rank="0" text="" dxfId="1">
      <formula>0</formula>
    </cfRule>
    <cfRule type="cellIs" priority="2208" operator="lessThanOrEqual" aboveAverage="0" equalAverage="0" bottom="0" percent="0" rank="0" text="" dxfId="0">
      <formula>0</formula>
    </cfRule>
  </conditionalFormatting>
  <conditionalFormatting sqref="F741">
    <cfRule type="cellIs" priority="2209" operator="greaterThan" aboveAverage="0" equalAverage="0" bottom="0" percent="0" rank="0" text="" dxfId="10">
      <formula>30</formula>
    </cfRule>
  </conditionalFormatting>
  <conditionalFormatting sqref="G742">
    <cfRule type="cellIs" priority="2210" operator="greaterThan" aboveAverage="0" equalAverage="0" bottom="0" percent="0" rank="0" text="" dxfId="1">
      <formula>0</formula>
    </cfRule>
    <cfRule type="cellIs" priority="2211" operator="lessThanOrEqual" aboveAverage="0" equalAverage="0" bottom="0" percent="0" rank="0" text="" dxfId="0">
      <formula>0</formula>
    </cfRule>
  </conditionalFormatting>
  <conditionalFormatting sqref="F742">
    <cfRule type="cellIs" priority="2212" operator="greaterThan" aboveAverage="0" equalAverage="0" bottom="0" percent="0" rank="0" text="" dxfId="10">
      <formula>30</formula>
    </cfRule>
  </conditionalFormatting>
  <conditionalFormatting sqref="G743">
    <cfRule type="cellIs" priority="2213" operator="greaterThan" aboveAverage="0" equalAverage="0" bottom="0" percent="0" rank="0" text="" dxfId="1">
      <formula>0</formula>
    </cfRule>
    <cfRule type="cellIs" priority="2214" operator="lessThanOrEqual" aboveAverage="0" equalAverage="0" bottom="0" percent="0" rank="0" text="" dxfId="0">
      <formula>0</formula>
    </cfRule>
  </conditionalFormatting>
  <conditionalFormatting sqref="F743">
    <cfRule type="cellIs" priority="2215" operator="greaterThan" aboveAverage="0" equalAverage="0" bottom="0" percent="0" rank="0" text="" dxfId="10">
      <formula>30</formula>
    </cfRule>
  </conditionalFormatting>
  <conditionalFormatting sqref="G744">
    <cfRule type="cellIs" priority="2216" operator="greaterThan" aboveAverage="0" equalAverage="0" bottom="0" percent="0" rank="0" text="" dxfId="1">
      <formula>0</formula>
    </cfRule>
    <cfRule type="cellIs" priority="2217" operator="lessThanOrEqual" aboveAverage="0" equalAverage="0" bottom="0" percent="0" rank="0" text="" dxfId="0">
      <formula>0</formula>
    </cfRule>
  </conditionalFormatting>
  <conditionalFormatting sqref="F744">
    <cfRule type="cellIs" priority="2218" operator="greaterThan" aboveAverage="0" equalAverage="0" bottom="0" percent="0" rank="0" text="" dxfId="10">
      <formula>30</formula>
    </cfRule>
  </conditionalFormatting>
  <conditionalFormatting sqref="G745">
    <cfRule type="cellIs" priority="2219" operator="greaterThan" aboveAverage="0" equalAverage="0" bottom="0" percent="0" rank="0" text="" dxfId="1">
      <formula>0</formula>
    </cfRule>
    <cfRule type="cellIs" priority="2220" operator="lessThanOrEqual" aboveAverage="0" equalAverage="0" bottom="0" percent="0" rank="0" text="" dxfId="0">
      <formula>0</formula>
    </cfRule>
  </conditionalFormatting>
  <conditionalFormatting sqref="F745">
    <cfRule type="cellIs" priority="2221" operator="greaterThan" aboveAverage="0" equalAverage="0" bottom="0" percent="0" rank="0" text="" dxfId="10">
      <formula>30</formula>
    </cfRule>
  </conditionalFormatting>
  <conditionalFormatting sqref="G746">
    <cfRule type="cellIs" priority="2222" operator="greaterThan" aboveAverage="0" equalAverage="0" bottom="0" percent="0" rank="0" text="" dxfId="1">
      <formula>0</formula>
    </cfRule>
    <cfRule type="cellIs" priority="2223" operator="lessThanOrEqual" aboveAverage="0" equalAverage="0" bottom="0" percent="0" rank="0" text="" dxfId="0">
      <formula>0</formula>
    </cfRule>
  </conditionalFormatting>
  <conditionalFormatting sqref="F746">
    <cfRule type="cellIs" priority="2224" operator="greaterThan" aboveAverage="0" equalAverage="0" bottom="0" percent="0" rank="0" text="" dxfId="10">
      <formula>30</formula>
    </cfRule>
  </conditionalFormatting>
  <conditionalFormatting sqref="G747">
    <cfRule type="cellIs" priority="2225" operator="greaterThan" aboveAverage="0" equalAverage="0" bottom="0" percent="0" rank="0" text="" dxfId="1">
      <formula>0</formula>
    </cfRule>
    <cfRule type="cellIs" priority="2226" operator="lessThanOrEqual" aboveAverage="0" equalAverage="0" bottom="0" percent="0" rank="0" text="" dxfId="0">
      <formula>0</formula>
    </cfRule>
  </conditionalFormatting>
  <conditionalFormatting sqref="F747">
    <cfRule type="cellIs" priority="2227" operator="greaterThan" aboveAverage="0" equalAverage="0" bottom="0" percent="0" rank="0" text="" dxfId="10">
      <formula>30</formula>
    </cfRule>
  </conditionalFormatting>
  <conditionalFormatting sqref="G748">
    <cfRule type="cellIs" priority="2228" operator="greaterThan" aboveAverage="0" equalAverage="0" bottom="0" percent="0" rank="0" text="" dxfId="1">
      <formula>0</formula>
    </cfRule>
    <cfRule type="cellIs" priority="2229" operator="lessThanOrEqual" aboveAverage="0" equalAverage="0" bottom="0" percent="0" rank="0" text="" dxfId="0">
      <formula>0</formula>
    </cfRule>
  </conditionalFormatting>
  <conditionalFormatting sqref="F748">
    <cfRule type="cellIs" priority="2230" operator="greaterThan" aboveAverage="0" equalAverage="0" bottom="0" percent="0" rank="0" text="" dxfId="10">
      <formula>30</formula>
    </cfRule>
  </conditionalFormatting>
  <conditionalFormatting sqref="G749">
    <cfRule type="cellIs" priority="2231" operator="greaterThan" aboveAverage="0" equalAverage="0" bottom="0" percent="0" rank="0" text="" dxfId="1">
      <formula>0</formula>
    </cfRule>
    <cfRule type="cellIs" priority="2232" operator="lessThanOrEqual" aboveAverage="0" equalAverage="0" bottom="0" percent="0" rank="0" text="" dxfId="0">
      <formula>0</formula>
    </cfRule>
  </conditionalFormatting>
  <conditionalFormatting sqref="F749">
    <cfRule type="cellIs" priority="2233" operator="greaterThan" aboveAverage="0" equalAverage="0" bottom="0" percent="0" rank="0" text="" dxfId="10">
      <formula>30</formula>
    </cfRule>
  </conditionalFormatting>
  <conditionalFormatting sqref="G750">
    <cfRule type="cellIs" priority="2234" operator="greaterThan" aboveAverage="0" equalAverage="0" bottom="0" percent="0" rank="0" text="" dxfId="1">
      <formula>0</formula>
    </cfRule>
    <cfRule type="cellIs" priority="2235" operator="lessThanOrEqual" aboveAverage="0" equalAverage="0" bottom="0" percent="0" rank="0" text="" dxfId="0">
      <formula>0</formula>
    </cfRule>
  </conditionalFormatting>
  <conditionalFormatting sqref="F750">
    <cfRule type="cellIs" priority="2236" operator="greaterThan" aboveAverage="0" equalAverage="0" bottom="0" percent="0" rank="0" text="" dxfId="10">
      <formula>30</formula>
    </cfRule>
  </conditionalFormatting>
  <conditionalFormatting sqref="G751">
    <cfRule type="cellIs" priority="2237" operator="greaterThan" aboveAverage="0" equalAverage="0" bottom="0" percent="0" rank="0" text="" dxfId="1">
      <formula>0</formula>
    </cfRule>
    <cfRule type="cellIs" priority="2238" operator="lessThanOrEqual" aboveAverage="0" equalAverage="0" bottom="0" percent="0" rank="0" text="" dxfId="0">
      <formula>0</formula>
    </cfRule>
  </conditionalFormatting>
  <conditionalFormatting sqref="F751">
    <cfRule type="cellIs" priority="2239" operator="greaterThan" aboveAverage="0" equalAverage="0" bottom="0" percent="0" rank="0" text="" dxfId="10">
      <formula>30</formula>
    </cfRule>
  </conditionalFormatting>
  <conditionalFormatting sqref="G752">
    <cfRule type="cellIs" priority="2240" operator="greaterThan" aboveAverage="0" equalAverage="0" bottom="0" percent="0" rank="0" text="" dxfId="1">
      <formula>0</formula>
    </cfRule>
    <cfRule type="cellIs" priority="2241" operator="lessThanOrEqual" aboveAverage="0" equalAverage="0" bottom="0" percent="0" rank="0" text="" dxfId="0">
      <formula>0</formula>
    </cfRule>
  </conditionalFormatting>
  <conditionalFormatting sqref="F752">
    <cfRule type="cellIs" priority="2242" operator="greaterThan" aboveAverage="0" equalAverage="0" bottom="0" percent="0" rank="0" text="" dxfId="10">
      <formula>30</formula>
    </cfRule>
  </conditionalFormatting>
  <conditionalFormatting sqref="G753">
    <cfRule type="cellIs" priority="2243" operator="greaterThan" aboveAverage="0" equalAverage="0" bottom="0" percent="0" rank="0" text="" dxfId="1">
      <formula>0</formula>
    </cfRule>
    <cfRule type="cellIs" priority="2244" operator="lessThanOrEqual" aboveAverage="0" equalAverage="0" bottom="0" percent="0" rank="0" text="" dxfId="0">
      <formula>0</formula>
    </cfRule>
  </conditionalFormatting>
  <conditionalFormatting sqref="F753">
    <cfRule type="cellIs" priority="2245" operator="greaterThan" aboveAverage="0" equalAverage="0" bottom="0" percent="0" rank="0" text="" dxfId="10">
      <formula>30</formula>
    </cfRule>
  </conditionalFormatting>
  <conditionalFormatting sqref="G754">
    <cfRule type="cellIs" priority="2246" operator="greaterThan" aboveAverage="0" equalAverage="0" bottom="0" percent="0" rank="0" text="" dxfId="1">
      <formula>0</formula>
    </cfRule>
    <cfRule type="cellIs" priority="2247" operator="lessThanOrEqual" aboveAverage="0" equalAverage="0" bottom="0" percent="0" rank="0" text="" dxfId="0">
      <formula>0</formula>
    </cfRule>
  </conditionalFormatting>
  <conditionalFormatting sqref="F754">
    <cfRule type="cellIs" priority="2248" operator="greaterThan" aboveAverage="0" equalAverage="0" bottom="0" percent="0" rank="0" text="" dxfId="10">
      <formula>30</formula>
    </cfRule>
  </conditionalFormatting>
  <conditionalFormatting sqref="G755">
    <cfRule type="cellIs" priority="2249" operator="greaterThan" aboveAverage="0" equalAverage="0" bottom="0" percent="0" rank="0" text="" dxfId="1">
      <formula>0</formula>
    </cfRule>
    <cfRule type="cellIs" priority="2250" operator="lessThanOrEqual" aboveAverage="0" equalAverage="0" bottom="0" percent="0" rank="0" text="" dxfId="0">
      <formula>0</formula>
    </cfRule>
  </conditionalFormatting>
  <conditionalFormatting sqref="F755">
    <cfRule type="cellIs" priority="2251" operator="greaterThan" aboveAverage="0" equalAverage="0" bottom="0" percent="0" rank="0" text="" dxfId="10">
      <formula>30</formula>
    </cfRule>
  </conditionalFormatting>
  <conditionalFormatting sqref="G756">
    <cfRule type="cellIs" priority="2252" operator="greaterThan" aboveAverage="0" equalAverage="0" bottom="0" percent="0" rank="0" text="" dxfId="1">
      <formula>0</formula>
    </cfRule>
    <cfRule type="cellIs" priority="2253" operator="lessThanOrEqual" aboveAverage="0" equalAverage="0" bottom="0" percent="0" rank="0" text="" dxfId="0">
      <formula>0</formula>
    </cfRule>
  </conditionalFormatting>
  <conditionalFormatting sqref="F756">
    <cfRule type="cellIs" priority="2254" operator="greaterThan" aboveAverage="0" equalAverage="0" bottom="0" percent="0" rank="0" text="" dxfId="10">
      <formula>30</formula>
    </cfRule>
  </conditionalFormatting>
  <conditionalFormatting sqref="G757">
    <cfRule type="cellIs" priority="2255" operator="greaterThan" aboveAverage="0" equalAverage="0" bottom="0" percent="0" rank="0" text="" dxfId="1">
      <formula>0</formula>
    </cfRule>
    <cfRule type="cellIs" priority="2256" operator="lessThanOrEqual" aboveAverage="0" equalAverage="0" bottom="0" percent="0" rank="0" text="" dxfId="0">
      <formula>0</formula>
    </cfRule>
  </conditionalFormatting>
  <conditionalFormatting sqref="F757">
    <cfRule type="cellIs" priority="2257" operator="greaterThan" aboveAverage="0" equalAverage="0" bottom="0" percent="0" rank="0" text="" dxfId="10">
      <formula>30</formula>
    </cfRule>
  </conditionalFormatting>
  <conditionalFormatting sqref="G758">
    <cfRule type="cellIs" priority="2258" operator="greaterThan" aboveAverage="0" equalAverage="0" bottom="0" percent="0" rank="0" text="" dxfId="1">
      <formula>0</formula>
    </cfRule>
    <cfRule type="cellIs" priority="2259" operator="lessThanOrEqual" aboveAverage="0" equalAverage="0" bottom="0" percent="0" rank="0" text="" dxfId="0">
      <formula>0</formula>
    </cfRule>
  </conditionalFormatting>
  <conditionalFormatting sqref="F758">
    <cfRule type="cellIs" priority="2260" operator="greaterThan" aboveAverage="0" equalAverage="0" bottom="0" percent="0" rank="0" text="" dxfId="10">
      <formula>30</formula>
    </cfRule>
  </conditionalFormatting>
  <conditionalFormatting sqref="G759">
    <cfRule type="cellIs" priority="2261" operator="greaterThan" aboveAverage="0" equalAverage="0" bottom="0" percent="0" rank="0" text="" dxfId="1">
      <formula>0</formula>
    </cfRule>
    <cfRule type="cellIs" priority="2262" operator="lessThanOrEqual" aboveAverage="0" equalAverage="0" bottom="0" percent="0" rank="0" text="" dxfId="0">
      <formula>0</formula>
    </cfRule>
  </conditionalFormatting>
  <conditionalFormatting sqref="F759">
    <cfRule type="cellIs" priority="2263" operator="greaterThan" aboveAverage="0" equalAverage="0" bottom="0" percent="0" rank="0" text="" dxfId="10">
      <formula>30</formula>
    </cfRule>
  </conditionalFormatting>
  <conditionalFormatting sqref="G760">
    <cfRule type="cellIs" priority="2264" operator="greaterThan" aboveAverage="0" equalAverage="0" bottom="0" percent="0" rank="0" text="" dxfId="1">
      <formula>0</formula>
    </cfRule>
    <cfRule type="cellIs" priority="2265" operator="lessThanOrEqual" aboveAverage="0" equalAverage="0" bottom="0" percent="0" rank="0" text="" dxfId="0">
      <formula>0</formula>
    </cfRule>
  </conditionalFormatting>
  <conditionalFormatting sqref="F760">
    <cfRule type="cellIs" priority="2266" operator="greaterThan" aboveAverage="0" equalAverage="0" bottom="0" percent="0" rank="0" text="" dxfId="10">
      <formula>30</formula>
    </cfRule>
  </conditionalFormatting>
  <conditionalFormatting sqref="G761">
    <cfRule type="cellIs" priority="2267" operator="greaterThan" aboveAverage="0" equalAverage="0" bottom="0" percent="0" rank="0" text="" dxfId="1">
      <formula>0</formula>
    </cfRule>
    <cfRule type="cellIs" priority="2268" operator="lessThanOrEqual" aboveAverage="0" equalAverage="0" bottom="0" percent="0" rank="0" text="" dxfId="0">
      <formula>0</formula>
    </cfRule>
  </conditionalFormatting>
  <conditionalFormatting sqref="F761">
    <cfRule type="cellIs" priority="2269" operator="greaterThan" aboveAverage="0" equalAverage="0" bottom="0" percent="0" rank="0" text="" dxfId="10">
      <formula>30</formula>
    </cfRule>
  </conditionalFormatting>
  <conditionalFormatting sqref="G762">
    <cfRule type="cellIs" priority="2270" operator="greaterThan" aboveAverage="0" equalAverage="0" bottom="0" percent="0" rank="0" text="" dxfId="1">
      <formula>0</formula>
    </cfRule>
    <cfRule type="cellIs" priority="2271" operator="lessThanOrEqual" aboveAverage="0" equalAverage="0" bottom="0" percent="0" rank="0" text="" dxfId="0">
      <formula>0</formula>
    </cfRule>
  </conditionalFormatting>
  <conditionalFormatting sqref="F762">
    <cfRule type="cellIs" priority="2272" operator="greaterThan" aboveAverage="0" equalAverage="0" bottom="0" percent="0" rank="0" text="" dxfId="10">
      <formula>30</formula>
    </cfRule>
  </conditionalFormatting>
  <conditionalFormatting sqref="G763">
    <cfRule type="cellIs" priority="2273" operator="greaterThan" aboveAverage="0" equalAverage="0" bottom="0" percent="0" rank="0" text="" dxfId="1">
      <formula>0</formula>
    </cfRule>
    <cfRule type="cellIs" priority="2274" operator="lessThanOrEqual" aboveAverage="0" equalAverage="0" bottom="0" percent="0" rank="0" text="" dxfId="0">
      <formula>0</formula>
    </cfRule>
  </conditionalFormatting>
  <conditionalFormatting sqref="F763">
    <cfRule type="cellIs" priority="2275" operator="greaterThan" aboveAverage="0" equalAverage="0" bottom="0" percent="0" rank="0" text="" dxfId="10">
      <formula>30</formula>
    </cfRule>
  </conditionalFormatting>
  <conditionalFormatting sqref="G764">
    <cfRule type="cellIs" priority="2276" operator="greaterThan" aboveAverage="0" equalAverage="0" bottom="0" percent="0" rank="0" text="" dxfId="1">
      <formula>0</formula>
    </cfRule>
    <cfRule type="cellIs" priority="2277" operator="lessThanOrEqual" aboveAverage="0" equalAverage="0" bottom="0" percent="0" rank="0" text="" dxfId="0">
      <formula>0</formula>
    </cfRule>
  </conditionalFormatting>
  <conditionalFormatting sqref="F764">
    <cfRule type="cellIs" priority="2278" operator="greaterThan" aboveAverage="0" equalAverage="0" bottom="0" percent="0" rank="0" text="" dxfId="10">
      <formula>30</formula>
    </cfRule>
  </conditionalFormatting>
  <conditionalFormatting sqref="G765">
    <cfRule type="cellIs" priority="2279" operator="greaterThan" aboveAverage="0" equalAverage="0" bottom="0" percent="0" rank="0" text="" dxfId="1">
      <formula>0</formula>
    </cfRule>
    <cfRule type="cellIs" priority="2280" operator="lessThanOrEqual" aboveAverage="0" equalAverage="0" bottom="0" percent="0" rank="0" text="" dxfId="0">
      <formula>0</formula>
    </cfRule>
  </conditionalFormatting>
  <conditionalFormatting sqref="F765">
    <cfRule type="cellIs" priority="2281" operator="greaterThan" aboveAverage="0" equalAverage="0" bottom="0" percent="0" rank="0" text="" dxfId="10">
      <formula>30</formula>
    </cfRule>
  </conditionalFormatting>
  <conditionalFormatting sqref="G766">
    <cfRule type="cellIs" priority="2282" operator="greaterThan" aboveAverage="0" equalAverage="0" bottom="0" percent="0" rank="0" text="" dxfId="1">
      <formula>0</formula>
    </cfRule>
    <cfRule type="cellIs" priority="2283" operator="lessThanOrEqual" aboveAverage="0" equalAverage="0" bottom="0" percent="0" rank="0" text="" dxfId="0">
      <formula>0</formula>
    </cfRule>
  </conditionalFormatting>
  <conditionalFormatting sqref="F766">
    <cfRule type="cellIs" priority="2284" operator="greaterThan" aboveAverage="0" equalAverage="0" bottom="0" percent="0" rank="0" text="" dxfId="10">
      <formula>30</formula>
    </cfRule>
  </conditionalFormatting>
  <conditionalFormatting sqref="G767">
    <cfRule type="cellIs" priority="2285" operator="greaterThan" aboveAverage="0" equalAverage="0" bottom="0" percent="0" rank="0" text="" dxfId="1">
      <formula>0</formula>
    </cfRule>
    <cfRule type="cellIs" priority="2286" operator="lessThanOrEqual" aboveAverage="0" equalAverage="0" bottom="0" percent="0" rank="0" text="" dxfId="0">
      <formula>0</formula>
    </cfRule>
  </conditionalFormatting>
  <conditionalFormatting sqref="F767">
    <cfRule type="cellIs" priority="2287" operator="greaterThan" aboveAverage="0" equalAverage="0" bottom="0" percent="0" rank="0" text="" dxfId="10">
      <formula>30</formula>
    </cfRule>
  </conditionalFormatting>
  <conditionalFormatting sqref="G768">
    <cfRule type="cellIs" priority="2288" operator="greaterThan" aboveAverage="0" equalAverage="0" bottom="0" percent="0" rank="0" text="" dxfId="1">
      <formula>0</formula>
    </cfRule>
    <cfRule type="cellIs" priority="2289" operator="lessThanOrEqual" aboveAverage="0" equalAverage="0" bottom="0" percent="0" rank="0" text="" dxfId="0">
      <formula>0</formula>
    </cfRule>
  </conditionalFormatting>
  <conditionalFormatting sqref="F768">
    <cfRule type="cellIs" priority="2290" operator="greaterThan" aboveAverage="0" equalAverage="0" bottom="0" percent="0" rank="0" text="" dxfId="10">
      <formula>30</formula>
    </cfRule>
  </conditionalFormatting>
  <conditionalFormatting sqref="G769">
    <cfRule type="cellIs" priority="2291" operator="greaterThan" aboveAverage="0" equalAverage="0" bottom="0" percent="0" rank="0" text="" dxfId="1">
      <formula>0</formula>
    </cfRule>
    <cfRule type="cellIs" priority="2292" operator="lessThanOrEqual" aboveAverage="0" equalAverage="0" bottom="0" percent="0" rank="0" text="" dxfId="0">
      <formula>0</formula>
    </cfRule>
  </conditionalFormatting>
  <conditionalFormatting sqref="F769">
    <cfRule type="cellIs" priority="2293" operator="greaterThan" aboveAverage="0" equalAverage="0" bottom="0" percent="0" rank="0" text="" dxfId="10">
      <formula>30</formula>
    </cfRule>
  </conditionalFormatting>
  <conditionalFormatting sqref="G770">
    <cfRule type="cellIs" priority="2294" operator="greaterThan" aboveAverage="0" equalAverage="0" bottom="0" percent="0" rank="0" text="" dxfId="1">
      <formula>0</formula>
    </cfRule>
    <cfRule type="cellIs" priority="2295" operator="lessThanOrEqual" aboveAverage="0" equalAverage="0" bottom="0" percent="0" rank="0" text="" dxfId="0">
      <formula>0</formula>
    </cfRule>
  </conditionalFormatting>
  <conditionalFormatting sqref="F770">
    <cfRule type="cellIs" priority="2296" operator="greaterThan" aboveAverage="0" equalAverage="0" bottom="0" percent="0" rank="0" text="" dxfId="10">
      <formula>30</formula>
    </cfRule>
  </conditionalFormatting>
  <conditionalFormatting sqref="G771">
    <cfRule type="cellIs" priority="2297" operator="greaterThan" aboveAverage="0" equalAverage="0" bottom="0" percent="0" rank="0" text="" dxfId="1">
      <formula>0</formula>
    </cfRule>
    <cfRule type="cellIs" priority="2298" operator="lessThanOrEqual" aboveAverage="0" equalAverage="0" bottom="0" percent="0" rank="0" text="" dxfId="0">
      <formula>0</formula>
    </cfRule>
  </conditionalFormatting>
  <conditionalFormatting sqref="F771">
    <cfRule type="cellIs" priority="2299" operator="greaterThan" aboveAverage="0" equalAverage="0" bottom="0" percent="0" rank="0" text="" dxfId="10">
      <formula>30</formula>
    </cfRule>
  </conditionalFormatting>
  <conditionalFormatting sqref="G772">
    <cfRule type="cellIs" priority="2300" operator="greaterThan" aboveAverage="0" equalAverage="0" bottom="0" percent="0" rank="0" text="" dxfId="1">
      <formula>0</formula>
    </cfRule>
    <cfRule type="cellIs" priority="2301" operator="lessThanOrEqual" aboveAverage="0" equalAverage="0" bottom="0" percent="0" rank="0" text="" dxfId="0">
      <formula>0</formula>
    </cfRule>
  </conditionalFormatting>
  <conditionalFormatting sqref="F772">
    <cfRule type="cellIs" priority="2302" operator="greaterThan" aboveAverage="0" equalAverage="0" bottom="0" percent="0" rank="0" text="" dxfId="10">
      <formula>30</formula>
    </cfRule>
  </conditionalFormatting>
  <conditionalFormatting sqref="G773">
    <cfRule type="cellIs" priority="2303" operator="greaterThan" aboveAverage="0" equalAverage="0" bottom="0" percent="0" rank="0" text="" dxfId="1">
      <formula>0</formula>
    </cfRule>
    <cfRule type="cellIs" priority="2304" operator="lessThanOrEqual" aboveAverage="0" equalAverage="0" bottom="0" percent="0" rank="0" text="" dxfId="0">
      <formula>0</formula>
    </cfRule>
  </conditionalFormatting>
  <conditionalFormatting sqref="F773">
    <cfRule type="cellIs" priority="2305" operator="greaterThan" aboveAverage="0" equalAverage="0" bottom="0" percent="0" rank="0" text="" dxfId="10">
      <formula>30</formula>
    </cfRule>
  </conditionalFormatting>
  <conditionalFormatting sqref="G774">
    <cfRule type="cellIs" priority="2306" operator="greaterThan" aboveAverage="0" equalAverage="0" bottom="0" percent="0" rank="0" text="" dxfId="1">
      <formula>0</formula>
    </cfRule>
    <cfRule type="cellIs" priority="2307" operator="lessThanOrEqual" aboveAverage="0" equalAverage="0" bottom="0" percent="0" rank="0" text="" dxfId="0">
      <formula>0</formula>
    </cfRule>
  </conditionalFormatting>
  <conditionalFormatting sqref="F774">
    <cfRule type="cellIs" priority="2308" operator="greaterThan" aboveAverage="0" equalAverage="0" bottom="0" percent="0" rank="0" text="" dxfId="10">
      <formula>30</formula>
    </cfRule>
  </conditionalFormatting>
  <conditionalFormatting sqref="G775">
    <cfRule type="cellIs" priority="2309" operator="greaterThan" aboveAverage="0" equalAverage="0" bottom="0" percent="0" rank="0" text="" dxfId="1">
      <formula>0</formula>
    </cfRule>
    <cfRule type="cellIs" priority="2310" operator="lessThanOrEqual" aboveAverage="0" equalAverage="0" bottom="0" percent="0" rank="0" text="" dxfId="0">
      <formula>0</formula>
    </cfRule>
  </conditionalFormatting>
  <conditionalFormatting sqref="F775">
    <cfRule type="cellIs" priority="2311" operator="greaterThan" aboveAverage="0" equalAverage="0" bottom="0" percent="0" rank="0" text="" dxfId="10">
      <formula>30</formula>
    </cfRule>
  </conditionalFormatting>
  <conditionalFormatting sqref="G776">
    <cfRule type="cellIs" priority="2312" operator="greaterThan" aboveAverage="0" equalAverage="0" bottom="0" percent="0" rank="0" text="" dxfId="1">
      <formula>0</formula>
    </cfRule>
    <cfRule type="cellIs" priority="2313" operator="lessThanOrEqual" aboveAverage="0" equalAverage="0" bottom="0" percent="0" rank="0" text="" dxfId="0">
      <formula>0</formula>
    </cfRule>
  </conditionalFormatting>
  <conditionalFormatting sqref="F776">
    <cfRule type="cellIs" priority="2314" operator="greaterThan" aboveAverage="0" equalAverage="0" bottom="0" percent="0" rank="0" text="" dxfId="10">
      <formula>30</formula>
    </cfRule>
  </conditionalFormatting>
  <conditionalFormatting sqref="G777">
    <cfRule type="cellIs" priority="2315" operator="greaterThan" aboveAverage="0" equalAverage="0" bottom="0" percent="0" rank="0" text="" dxfId="1">
      <formula>0</formula>
    </cfRule>
    <cfRule type="cellIs" priority="2316" operator="lessThanOrEqual" aboveAverage="0" equalAverage="0" bottom="0" percent="0" rank="0" text="" dxfId="0">
      <formula>0</formula>
    </cfRule>
  </conditionalFormatting>
  <conditionalFormatting sqref="F777">
    <cfRule type="cellIs" priority="2317" operator="greaterThan" aboveAverage="0" equalAverage="0" bottom="0" percent="0" rank="0" text="" dxfId="10">
      <formula>30</formula>
    </cfRule>
  </conditionalFormatting>
  <conditionalFormatting sqref="G778">
    <cfRule type="cellIs" priority="2318" operator="greaterThan" aboveAverage="0" equalAverage="0" bottom="0" percent="0" rank="0" text="" dxfId="1">
      <formula>0</formula>
    </cfRule>
    <cfRule type="cellIs" priority="2319" operator="lessThanOrEqual" aboveAverage="0" equalAverage="0" bottom="0" percent="0" rank="0" text="" dxfId="0">
      <formula>0</formula>
    </cfRule>
  </conditionalFormatting>
  <conditionalFormatting sqref="F778">
    <cfRule type="cellIs" priority="2320" operator="greaterThan" aboveAverage="0" equalAverage="0" bottom="0" percent="0" rank="0" text="" dxfId="10">
      <formula>30</formula>
    </cfRule>
  </conditionalFormatting>
  <conditionalFormatting sqref="G779">
    <cfRule type="cellIs" priority="2321" operator="greaterThan" aboveAverage="0" equalAverage="0" bottom="0" percent="0" rank="0" text="" dxfId="1">
      <formula>0</formula>
    </cfRule>
    <cfRule type="cellIs" priority="2322" operator="lessThanOrEqual" aboveAverage="0" equalAverage="0" bottom="0" percent="0" rank="0" text="" dxfId="0">
      <formula>0</formula>
    </cfRule>
  </conditionalFormatting>
  <conditionalFormatting sqref="F779">
    <cfRule type="cellIs" priority="2323" operator="greaterThan" aboveAverage="0" equalAverage="0" bottom="0" percent="0" rank="0" text="" dxfId="10">
      <formula>30</formula>
    </cfRule>
  </conditionalFormatting>
  <conditionalFormatting sqref="G780">
    <cfRule type="cellIs" priority="2324" operator="greaterThan" aboveAverage="0" equalAverage="0" bottom="0" percent="0" rank="0" text="" dxfId="1">
      <formula>0</formula>
    </cfRule>
    <cfRule type="cellIs" priority="2325" operator="lessThanOrEqual" aboveAverage="0" equalAverage="0" bottom="0" percent="0" rank="0" text="" dxfId="0">
      <formula>0</formula>
    </cfRule>
  </conditionalFormatting>
  <conditionalFormatting sqref="F780">
    <cfRule type="cellIs" priority="2326" operator="greaterThan" aboveAverage="0" equalAverage="0" bottom="0" percent="0" rank="0" text="" dxfId="10">
      <formula>30</formula>
    </cfRule>
  </conditionalFormatting>
  <conditionalFormatting sqref="G781">
    <cfRule type="cellIs" priority="2327" operator="greaterThan" aboveAverage="0" equalAverage="0" bottom="0" percent="0" rank="0" text="" dxfId="1">
      <formula>0</formula>
    </cfRule>
    <cfRule type="cellIs" priority="2328" operator="lessThanOrEqual" aboveAverage="0" equalAverage="0" bottom="0" percent="0" rank="0" text="" dxfId="0">
      <formula>0</formula>
    </cfRule>
  </conditionalFormatting>
  <conditionalFormatting sqref="F781">
    <cfRule type="cellIs" priority="2329" operator="greaterThan" aboveAverage="0" equalAverage="0" bottom="0" percent="0" rank="0" text="" dxfId="10">
      <formula>30</formula>
    </cfRule>
  </conditionalFormatting>
  <conditionalFormatting sqref="G782">
    <cfRule type="cellIs" priority="2330" operator="greaterThan" aboveAverage="0" equalAverage="0" bottom="0" percent="0" rank="0" text="" dxfId="1">
      <formula>0</formula>
    </cfRule>
    <cfRule type="cellIs" priority="2331" operator="lessThanOrEqual" aboveAverage="0" equalAverage="0" bottom="0" percent="0" rank="0" text="" dxfId="0">
      <formula>0</formula>
    </cfRule>
  </conditionalFormatting>
  <conditionalFormatting sqref="F782">
    <cfRule type="cellIs" priority="2332" operator="greaterThan" aboveAverage="0" equalAverage="0" bottom="0" percent="0" rank="0" text="" dxfId="10">
      <formula>30</formula>
    </cfRule>
  </conditionalFormatting>
  <conditionalFormatting sqref="G783">
    <cfRule type="cellIs" priority="2333" operator="greaterThan" aboveAverage="0" equalAverage="0" bottom="0" percent="0" rank="0" text="" dxfId="1">
      <formula>0</formula>
    </cfRule>
    <cfRule type="cellIs" priority="2334" operator="lessThanOrEqual" aboveAverage="0" equalAverage="0" bottom="0" percent="0" rank="0" text="" dxfId="0">
      <formula>0</formula>
    </cfRule>
  </conditionalFormatting>
  <conditionalFormatting sqref="F783">
    <cfRule type="cellIs" priority="2335" operator="greaterThan" aboveAverage="0" equalAverage="0" bottom="0" percent="0" rank="0" text="" dxfId="10">
      <formula>30</formula>
    </cfRule>
  </conditionalFormatting>
  <conditionalFormatting sqref="G784">
    <cfRule type="cellIs" priority="2336" operator="greaterThan" aboveAverage="0" equalAverage="0" bottom="0" percent="0" rank="0" text="" dxfId="1">
      <formula>0</formula>
    </cfRule>
    <cfRule type="cellIs" priority="2337" operator="lessThanOrEqual" aboveAverage="0" equalAverage="0" bottom="0" percent="0" rank="0" text="" dxfId="0">
      <formula>0</formula>
    </cfRule>
  </conditionalFormatting>
  <conditionalFormatting sqref="F784">
    <cfRule type="cellIs" priority="2338" operator="greaterThan" aboveAverage="0" equalAverage="0" bottom="0" percent="0" rank="0" text="" dxfId="10">
      <formula>30</formula>
    </cfRule>
  </conditionalFormatting>
  <conditionalFormatting sqref="G785">
    <cfRule type="cellIs" priority="2339" operator="greaterThan" aboveAverage="0" equalAverage="0" bottom="0" percent="0" rank="0" text="" dxfId="1">
      <formula>0</formula>
    </cfRule>
    <cfRule type="cellIs" priority="2340" operator="lessThanOrEqual" aboveAverage="0" equalAverage="0" bottom="0" percent="0" rank="0" text="" dxfId="0">
      <formula>0</formula>
    </cfRule>
  </conditionalFormatting>
  <conditionalFormatting sqref="F785">
    <cfRule type="cellIs" priority="2341" operator="greaterThan" aboveAverage="0" equalAverage="0" bottom="0" percent="0" rank="0" text="" dxfId="10">
      <formula>30</formula>
    </cfRule>
  </conditionalFormatting>
  <conditionalFormatting sqref="G786">
    <cfRule type="cellIs" priority="2342" operator="greaterThan" aboveAverage="0" equalAverage="0" bottom="0" percent="0" rank="0" text="" dxfId="1">
      <formula>0</formula>
    </cfRule>
    <cfRule type="cellIs" priority="2343" operator="lessThanOrEqual" aboveAverage="0" equalAverage="0" bottom="0" percent="0" rank="0" text="" dxfId="0">
      <formula>0</formula>
    </cfRule>
  </conditionalFormatting>
  <conditionalFormatting sqref="F786">
    <cfRule type="cellIs" priority="2344" operator="greaterThan" aboveAverage="0" equalAverage="0" bottom="0" percent="0" rank="0" text="" dxfId="10">
      <formula>30</formula>
    </cfRule>
  </conditionalFormatting>
  <conditionalFormatting sqref="G787">
    <cfRule type="cellIs" priority="2345" operator="greaterThan" aboveAverage="0" equalAverage="0" bottom="0" percent="0" rank="0" text="" dxfId="1">
      <formula>0</formula>
    </cfRule>
    <cfRule type="cellIs" priority="2346" operator="lessThanOrEqual" aboveAverage="0" equalAverage="0" bottom="0" percent="0" rank="0" text="" dxfId="0">
      <formula>0</formula>
    </cfRule>
  </conditionalFormatting>
  <conditionalFormatting sqref="F787">
    <cfRule type="cellIs" priority="2347" operator="greaterThan" aboveAverage="0" equalAverage="0" bottom="0" percent="0" rank="0" text="" dxfId="10">
      <formula>30</formula>
    </cfRule>
  </conditionalFormatting>
  <conditionalFormatting sqref="G788">
    <cfRule type="cellIs" priority="2348" operator="greaterThan" aboveAverage="0" equalAverage="0" bottom="0" percent="0" rank="0" text="" dxfId="1">
      <formula>0</formula>
    </cfRule>
    <cfRule type="cellIs" priority="2349" operator="lessThanOrEqual" aboveAverage="0" equalAverage="0" bottom="0" percent="0" rank="0" text="" dxfId="0">
      <formula>0</formula>
    </cfRule>
  </conditionalFormatting>
  <conditionalFormatting sqref="F788">
    <cfRule type="cellIs" priority="2350" operator="greaterThan" aboveAverage="0" equalAverage="0" bottom="0" percent="0" rank="0" text="" dxfId="10">
      <formula>30</formula>
    </cfRule>
  </conditionalFormatting>
  <conditionalFormatting sqref="G789">
    <cfRule type="cellIs" priority="2351" operator="greaterThan" aboveAverage="0" equalAverage="0" bottom="0" percent="0" rank="0" text="" dxfId="1">
      <formula>0</formula>
    </cfRule>
    <cfRule type="cellIs" priority="2352" operator="lessThanOrEqual" aboveAverage="0" equalAverage="0" bottom="0" percent="0" rank="0" text="" dxfId="0">
      <formula>0</formula>
    </cfRule>
  </conditionalFormatting>
  <conditionalFormatting sqref="F789">
    <cfRule type="cellIs" priority="2353" operator="greaterThan" aboveAverage="0" equalAverage="0" bottom="0" percent="0" rank="0" text="" dxfId="10">
      <formula>30</formula>
    </cfRule>
  </conditionalFormatting>
  <conditionalFormatting sqref="G790">
    <cfRule type="cellIs" priority="2354" operator="greaterThan" aboveAverage="0" equalAverage="0" bottom="0" percent="0" rank="0" text="" dxfId="1">
      <formula>0</formula>
    </cfRule>
    <cfRule type="cellIs" priority="2355" operator="lessThanOrEqual" aboveAverage="0" equalAverage="0" bottom="0" percent="0" rank="0" text="" dxfId="0">
      <formula>0</formula>
    </cfRule>
  </conditionalFormatting>
  <conditionalFormatting sqref="F790">
    <cfRule type="cellIs" priority="2356" operator="greaterThan" aboveAverage="0" equalAverage="0" bottom="0" percent="0" rank="0" text="" dxfId="10">
      <formula>30</formula>
    </cfRule>
  </conditionalFormatting>
  <conditionalFormatting sqref="G791">
    <cfRule type="cellIs" priority="2357" operator="greaterThan" aboveAverage="0" equalAverage="0" bottom="0" percent="0" rank="0" text="" dxfId="1">
      <formula>0</formula>
    </cfRule>
    <cfRule type="cellIs" priority="2358" operator="lessThanOrEqual" aboveAverage="0" equalAverage="0" bottom="0" percent="0" rank="0" text="" dxfId="0">
      <formula>0</formula>
    </cfRule>
  </conditionalFormatting>
  <conditionalFormatting sqref="F791">
    <cfRule type="cellIs" priority="2359" operator="greaterThan" aboveAverage="0" equalAverage="0" bottom="0" percent="0" rank="0" text="" dxfId="10">
      <formula>30</formula>
    </cfRule>
  </conditionalFormatting>
  <conditionalFormatting sqref="G792">
    <cfRule type="cellIs" priority="2360" operator="greaterThan" aboveAverage="0" equalAverage="0" bottom="0" percent="0" rank="0" text="" dxfId="1">
      <formula>0</formula>
    </cfRule>
    <cfRule type="cellIs" priority="2361" operator="lessThanOrEqual" aboveAverage="0" equalAverage="0" bottom="0" percent="0" rank="0" text="" dxfId="0">
      <formula>0</formula>
    </cfRule>
  </conditionalFormatting>
  <conditionalFormatting sqref="F792">
    <cfRule type="cellIs" priority="2362" operator="greaterThan" aboveAverage="0" equalAverage="0" bottom="0" percent="0" rank="0" text="" dxfId="10">
      <formula>30</formula>
    </cfRule>
  </conditionalFormatting>
  <conditionalFormatting sqref="G793">
    <cfRule type="cellIs" priority="2363" operator="greaterThan" aboveAverage="0" equalAverage="0" bottom="0" percent="0" rank="0" text="" dxfId="1">
      <formula>0</formula>
    </cfRule>
    <cfRule type="cellIs" priority="2364" operator="lessThanOrEqual" aboveAverage="0" equalAverage="0" bottom="0" percent="0" rank="0" text="" dxfId="0">
      <formula>0</formula>
    </cfRule>
  </conditionalFormatting>
  <conditionalFormatting sqref="F793">
    <cfRule type="cellIs" priority="2365" operator="greaterThan" aboveAverage="0" equalAverage="0" bottom="0" percent="0" rank="0" text="" dxfId="10">
      <formula>30</formula>
    </cfRule>
  </conditionalFormatting>
  <conditionalFormatting sqref="G794">
    <cfRule type="cellIs" priority="2366" operator="greaterThan" aboveAverage="0" equalAverage="0" bottom="0" percent="0" rank="0" text="" dxfId="1">
      <formula>0</formula>
    </cfRule>
    <cfRule type="cellIs" priority="2367" operator="lessThanOrEqual" aboveAverage="0" equalAverage="0" bottom="0" percent="0" rank="0" text="" dxfId="0">
      <formula>0</formula>
    </cfRule>
  </conditionalFormatting>
  <conditionalFormatting sqref="F794">
    <cfRule type="cellIs" priority="2368" operator="greaterThan" aboveAverage="0" equalAverage="0" bottom="0" percent="0" rank="0" text="" dxfId="10">
      <formula>30</formula>
    </cfRule>
  </conditionalFormatting>
  <conditionalFormatting sqref="G795">
    <cfRule type="cellIs" priority="2369" operator="greaterThan" aboveAverage="0" equalAverage="0" bottom="0" percent="0" rank="0" text="" dxfId="1">
      <formula>0</formula>
    </cfRule>
    <cfRule type="cellIs" priority="2370" operator="lessThanOrEqual" aboveAverage="0" equalAverage="0" bottom="0" percent="0" rank="0" text="" dxfId="0">
      <formula>0</formula>
    </cfRule>
  </conditionalFormatting>
  <conditionalFormatting sqref="F795">
    <cfRule type="cellIs" priority="2371" operator="greaterThan" aboveAverage="0" equalAverage="0" bottom="0" percent="0" rank="0" text="" dxfId="10">
      <formula>30</formula>
    </cfRule>
  </conditionalFormatting>
  <conditionalFormatting sqref="G796">
    <cfRule type="cellIs" priority="2372" operator="greaterThan" aboveAverage="0" equalAverage="0" bottom="0" percent="0" rank="0" text="" dxfId="1">
      <formula>0</formula>
    </cfRule>
    <cfRule type="cellIs" priority="2373" operator="lessThanOrEqual" aboveAverage="0" equalAverage="0" bottom="0" percent="0" rank="0" text="" dxfId="0">
      <formula>0</formula>
    </cfRule>
  </conditionalFormatting>
  <conditionalFormatting sqref="F796">
    <cfRule type="cellIs" priority="2374" operator="greaterThan" aboveAverage="0" equalAverage="0" bottom="0" percent="0" rank="0" text="" dxfId="10">
      <formula>30</formula>
    </cfRule>
  </conditionalFormatting>
  <conditionalFormatting sqref="G797">
    <cfRule type="cellIs" priority="2375" operator="greaterThan" aboveAverage="0" equalAverage="0" bottom="0" percent="0" rank="0" text="" dxfId="1">
      <formula>0</formula>
    </cfRule>
    <cfRule type="cellIs" priority="2376" operator="lessThanOrEqual" aboveAverage="0" equalAverage="0" bottom="0" percent="0" rank="0" text="" dxfId="0">
      <formula>0</formula>
    </cfRule>
  </conditionalFormatting>
  <conditionalFormatting sqref="F797">
    <cfRule type="cellIs" priority="2377" operator="greaterThan" aboveAverage="0" equalAverage="0" bottom="0" percent="0" rank="0" text="" dxfId="10">
      <formula>30</formula>
    </cfRule>
  </conditionalFormatting>
  <conditionalFormatting sqref="G798">
    <cfRule type="cellIs" priority="2378" operator="greaterThan" aboveAverage="0" equalAverage="0" bottom="0" percent="0" rank="0" text="" dxfId="1">
      <formula>0</formula>
    </cfRule>
    <cfRule type="cellIs" priority="2379" operator="lessThanOrEqual" aboveAverage="0" equalAverage="0" bottom="0" percent="0" rank="0" text="" dxfId="0">
      <formula>0</formula>
    </cfRule>
  </conditionalFormatting>
  <conditionalFormatting sqref="F798">
    <cfRule type="cellIs" priority="2380" operator="greaterThan" aboveAverage="0" equalAverage="0" bottom="0" percent="0" rank="0" text="" dxfId="10">
      <formula>30</formula>
    </cfRule>
  </conditionalFormatting>
  <conditionalFormatting sqref="G799">
    <cfRule type="cellIs" priority="2381" operator="greaterThan" aboveAverage="0" equalAverage="0" bottom="0" percent="0" rank="0" text="" dxfId="1">
      <formula>0</formula>
    </cfRule>
    <cfRule type="cellIs" priority="2382" operator="lessThanOrEqual" aboveAverage="0" equalAverage="0" bottom="0" percent="0" rank="0" text="" dxfId="0">
      <formula>0</formula>
    </cfRule>
  </conditionalFormatting>
  <conditionalFormatting sqref="F799">
    <cfRule type="cellIs" priority="2383" operator="greaterThan" aboveAverage="0" equalAverage="0" bottom="0" percent="0" rank="0" text="" dxfId="10">
      <formula>30</formula>
    </cfRule>
  </conditionalFormatting>
  <conditionalFormatting sqref="G800">
    <cfRule type="cellIs" priority="2384" operator="greaterThan" aboveAverage="0" equalAverage="0" bottom="0" percent="0" rank="0" text="" dxfId="1">
      <formula>0</formula>
    </cfRule>
    <cfRule type="cellIs" priority="2385" operator="lessThanOrEqual" aboveAverage="0" equalAverage="0" bottom="0" percent="0" rank="0" text="" dxfId="0">
      <formula>0</formula>
    </cfRule>
  </conditionalFormatting>
  <conditionalFormatting sqref="F800">
    <cfRule type="cellIs" priority="2386" operator="greaterThan" aboveAverage="0" equalAverage="0" bottom="0" percent="0" rank="0" text="" dxfId="10">
      <formula>30</formula>
    </cfRule>
  </conditionalFormatting>
  <conditionalFormatting sqref="G801">
    <cfRule type="cellIs" priority="2387" operator="greaterThan" aboveAverage="0" equalAverage="0" bottom="0" percent="0" rank="0" text="" dxfId="1">
      <formula>0</formula>
    </cfRule>
    <cfRule type="cellIs" priority="2388" operator="lessThanOrEqual" aboveAverage="0" equalAverage="0" bottom="0" percent="0" rank="0" text="" dxfId="0">
      <formula>0</formula>
    </cfRule>
  </conditionalFormatting>
  <conditionalFormatting sqref="F801">
    <cfRule type="cellIs" priority="2389" operator="greaterThan" aboveAverage="0" equalAverage="0" bottom="0" percent="0" rank="0" text="" dxfId="10">
      <formula>30</formula>
    </cfRule>
  </conditionalFormatting>
  <conditionalFormatting sqref="G802">
    <cfRule type="cellIs" priority="2390" operator="greaterThan" aboveAverage="0" equalAverage="0" bottom="0" percent="0" rank="0" text="" dxfId="1">
      <formula>0</formula>
    </cfRule>
    <cfRule type="cellIs" priority="2391" operator="lessThanOrEqual" aboveAverage="0" equalAverage="0" bottom="0" percent="0" rank="0" text="" dxfId="0">
      <formula>0</formula>
    </cfRule>
  </conditionalFormatting>
  <conditionalFormatting sqref="F802">
    <cfRule type="cellIs" priority="2392" operator="greaterThan" aboveAverage="0" equalAverage="0" bottom="0" percent="0" rank="0" text="" dxfId="10">
      <formula>30</formula>
    </cfRule>
  </conditionalFormatting>
  <conditionalFormatting sqref="G803">
    <cfRule type="cellIs" priority="2393" operator="greaterThan" aboveAverage="0" equalAverage="0" bottom="0" percent="0" rank="0" text="" dxfId="1">
      <formula>0</formula>
    </cfRule>
    <cfRule type="cellIs" priority="2394" operator="lessThanOrEqual" aboveAverage="0" equalAverage="0" bottom="0" percent="0" rank="0" text="" dxfId="0">
      <formula>0</formula>
    </cfRule>
  </conditionalFormatting>
  <conditionalFormatting sqref="F803">
    <cfRule type="cellIs" priority="2395" operator="greaterThan" aboveAverage="0" equalAverage="0" bottom="0" percent="0" rank="0" text="" dxfId="10">
      <formula>30</formula>
    </cfRule>
  </conditionalFormatting>
  <conditionalFormatting sqref="G804">
    <cfRule type="cellIs" priority="2396" operator="greaterThan" aboveAverage="0" equalAverage="0" bottom="0" percent="0" rank="0" text="" dxfId="1">
      <formula>0</formula>
    </cfRule>
    <cfRule type="cellIs" priority="2397" operator="lessThanOrEqual" aboveAverage="0" equalAverage="0" bottom="0" percent="0" rank="0" text="" dxfId="0">
      <formula>0</formula>
    </cfRule>
  </conditionalFormatting>
  <conditionalFormatting sqref="F804">
    <cfRule type="cellIs" priority="2398" operator="greaterThan" aboveAverage="0" equalAverage="0" bottom="0" percent="0" rank="0" text="" dxfId="10">
      <formula>30</formula>
    </cfRule>
  </conditionalFormatting>
  <conditionalFormatting sqref="G805">
    <cfRule type="cellIs" priority="2399" operator="greaterThan" aboveAverage="0" equalAverage="0" bottom="0" percent="0" rank="0" text="" dxfId="1">
      <formula>0</formula>
    </cfRule>
    <cfRule type="cellIs" priority="2400" operator="lessThanOrEqual" aboveAverage="0" equalAverage="0" bottom="0" percent="0" rank="0" text="" dxfId="0">
      <formula>0</formula>
    </cfRule>
  </conditionalFormatting>
  <conditionalFormatting sqref="F805">
    <cfRule type="cellIs" priority="2401" operator="greaterThan" aboveAverage="0" equalAverage="0" bottom="0" percent="0" rank="0" text="" dxfId="10">
      <formula>30</formula>
    </cfRule>
  </conditionalFormatting>
  <conditionalFormatting sqref="G806">
    <cfRule type="cellIs" priority="2402" operator="greaterThan" aboveAverage="0" equalAverage="0" bottom="0" percent="0" rank="0" text="" dxfId="1">
      <formula>0</formula>
    </cfRule>
    <cfRule type="cellIs" priority="2403" operator="lessThanOrEqual" aboveAverage="0" equalAverage="0" bottom="0" percent="0" rank="0" text="" dxfId="0">
      <formula>0</formula>
    </cfRule>
  </conditionalFormatting>
  <conditionalFormatting sqref="F806">
    <cfRule type="cellIs" priority="2404" operator="greaterThan" aboveAverage="0" equalAverage="0" bottom="0" percent="0" rank="0" text="" dxfId="10">
      <formula>30</formula>
    </cfRule>
  </conditionalFormatting>
  <conditionalFormatting sqref="G807">
    <cfRule type="cellIs" priority="2405" operator="greaterThan" aboveAverage="0" equalAverage="0" bottom="0" percent="0" rank="0" text="" dxfId="1">
      <formula>0</formula>
    </cfRule>
    <cfRule type="cellIs" priority="2406" operator="lessThanOrEqual" aboveAverage="0" equalAverage="0" bottom="0" percent="0" rank="0" text="" dxfId="0">
      <formula>0</formula>
    </cfRule>
  </conditionalFormatting>
  <conditionalFormatting sqref="F807">
    <cfRule type="cellIs" priority="2407" operator="greaterThan" aboveAverage="0" equalAverage="0" bottom="0" percent="0" rank="0" text="" dxfId="10">
      <formula>30</formula>
    </cfRule>
  </conditionalFormatting>
  <conditionalFormatting sqref="G808">
    <cfRule type="cellIs" priority="2408" operator="greaterThan" aboveAverage="0" equalAverage="0" bottom="0" percent="0" rank="0" text="" dxfId="1">
      <formula>0</formula>
    </cfRule>
    <cfRule type="cellIs" priority="2409" operator="lessThanOrEqual" aboveAverage="0" equalAverage="0" bottom="0" percent="0" rank="0" text="" dxfId="0">
      <formula>0</formula>
    </cfRule>
  </conditionalFormatting>
  <conditionalFormatting sqref="F808">
    <cfRule type="cellIs" priority="2410" operator="greaterThan" aboveAverage="0" equalAverage="0" bottom="0" percent="0" rank="0" text="" dxfId="10">
      <formula>30</formula>
    </cfRule>
  </conditionalFormatting>
  <conditionalFormatting sqref="G809">
    <cfRule type="cellIs" priority="2411" operator="greaterThan" aboveAverage="0" equalAverage="0" bottom="0" percent="0" rank="0" text="" dxfId="1">
      <formula>0</formula>
    </cfRule>
    <cfRule type="cellIs" priority="2412" operator="lessThanOrEqual" aboveAverage="0" equalAverage="0" bottom="0" percent="0" rank="0" text="" dxfId="0">
      <formula>0</formula>
    </cfRule>
  </conditionalFormatting>
  <conditionalFormatting sqref="F809">
    <cfRule type="cellIs" priority="2413" operator="greaterThan" aboveAverage="0" equalAverage="0" bottom="0" percent="0" rank="0" text="" dxfId="10">
      <formula>30</formula>
    </cfRule>
  </conditionalFormatting>
  <conditionalFormatting sqref="G810">
    <cfRule type="cellIs" priority="2414" operator="greaterThan" aboveAverage="0" equalAverage="0" bottom="0" percent="0" rank="0" text="" dxfId="1">
      <formula>0</formula>
    </cfRule>
    <cfRule type="cellIs" priority="2415" operator="lessThanOrEqual" aboveAverage="0" equalAverage="0" bottom="0" percent="0" rank="0" text="" dxfId="0">
      <formula>0</formula>
    </cfRule>
  </conditionalFormatting>
  <conditionalFormatting sqref="F810">
    <cfRule type="cellIs" priority="2416" operator="greaterThan" aboveAverage="0" equalAverage="0" bottom="0" percent="0" rank="0" text="" dxfId="10">
      <formula>30</formula>
    </cfRule>
  </conditionalFormatting>
  <conditionalFormatting sqref="G811">
    <cfRule type="cellIs" priority="2417" operator="greaterThan" aboveAverage="0" equalAverage="0" bottom="0" percent="0" rank="0" text="" dxfId="1">
      <formula>0</formula>
    </cfRule>
    <cfRule type="cellIs" priority="2418" operator="lessThanOrEqual" aboveAverage="0" equalAverage="0" bottom="0" percent="0" rank="0" text="" dxfId="0">
      <formula>0</formula>
    </cfRule>
  </conditionalFormatting>
  <conditionalFormatting sqref="F811">
    <cfRule type="cellIs" priority="2419" operator="greaterThan" aboveAverage="0" equalAverage="0" bottom="0" percent="0" rank="0" text="" dxfId="10">
      <formula>30</formula>
    </cfRule>
  </conditionalFormatting>
  <conditionalFormatting sqref="G812">
    <cfRule type="cellIs" priority="2420" operator="greaterThan" aboveAverage="0" equalAverage="0" bottom="0" percent="0" rank="0" text="" dxfId="1">
      <formula>0</formula>
    </cfRule>
    <cfRule type="cellIs" priority="2421" operator="lessThanOrEqual" aboveAverage="0" equalAverage="0" bottom="0" percent="0" rank="0" text="" dxfId="0">
      <formula>0</formula>
    </cfRule>
  </conditionalFormatting>
  <conditionalFormatting sqref="F812">
    <cfRule type="cellIs" priority="2422" operator="greaterThan" aboveAverage="0" equalAverage="0" bottom="0" percent="0" rank="0" text="" dxfId="10">
      <formula>30</formula>
    </cfRule>
  </conditionalFormatting>
  <conditionalFormatting sqref="G813">
    <cfRule type="cellIs" priority="2423" operator="greaterThan" aboveAverage="0" equalAverage="0" bottom="0" percent="0" rank="0" text="" dxfId="1">
      <formula>0</formula>
    </cfRule>
    <cfRule type="cellIs" priority="2424" operator="lessThanOrEqual" aboveAverage="0" equalAverage="0" bottom="0" percent="0" rank="0" text="" dxfId="0">
      <formula>0</formula>
    </cfRule>
  </conditionalFormatting>
  <conditionalFormatting sqref="F813">
    <cfRule type="cellIs" priority="2425" operator="greaterThan" aboveAverage="0" equalAverage="0" bottom="0" percent="0" rank="0" text="" dxfId="10">
      <formula>30</formula>
    </cfRule>
  </conditionalFormatting>
  <conditionalFormatting sqref="G814">
    <cfRule type="cellIs" priority="2426" operator="greaterThan" aboveAverage="0" equalAverage="0" bottom="0" percent="0" rank="0" text="" dxfId="1">
      <formula>0</formula>
    </cfRule>
    <cfRule type="cellIs" priority="2427" operator="lessThanOrEqual" aboveAverage="0" equalAverage="0" bottom="0" percent="0" rank="0" text="" dxfId="0">
      <formula>0</formula>
    </cfRule>
  </conditionalFormatting>
  <conditionalFormatting sqref="F814">
    <cfRule type="cellIs" priority="2428" operator="greaterThan" aboveAverage="0" equalAverage="0" bottom="0" percent="0" rank="0" text="" dxfId="10">
      <formula>30</formula>
    </cfRule>
  </conditionalFormatting>
  <conditionalFormatting sqref="G815">
    <cfRule type="cellIs" priority="2429" operator="greaterThan" aboveAverage="0" equalAverage="0" bottom="0" percent="0" rank="0" text="" dxfId="1">
      <formula>0</formula>
    </cfRule>
    <cfRule type="cellIs" priority="2430" operator="lessThanOrEqual" aboveAverage="0" equalAverage="0" bottom="0" percent="0" rank="0" text="" dxfId="0">
      <formula>0</formula>
    </cfRule>
  </conditionalFormatting>
  <conditionalFormatting sqref="F815">
    <cfRule type="cellIs" priority="2431" operator="greaterThan" aboveAverage="0" equalAverage="0" bottom="0" percent="0" rank="0" text="" dxfId="10">
      <formula>30</formula>
    </cfRule>
  </conditionalFormatting>
  <conditionalFormatting sqref="G816">
    <cfRule type="cellIs" priority="2432" operator="greaterThan" aboveAverage="0" equalAverage="0" bottom="0" percent="0" rank="0" text="" dxfId="1">
      <formula>0</formula>
    </cfRule>
    <cfRule type="cellIs" priority="2433" operator="lessThanOrEqual" aboveAverage="0" equalAverage="0" bottom="0" percent="0" rank="0" text="" dxfId="0">
      <formula>0</formula>
    </cfRule>
  </conditionalFormatting>
  <conditionalFormatting sqref="F816">
    <cfRule type="cellIs" priority="2434" operator="greaterThan" aboveAverage="0" equalAverage="0" bottom="0" percent="0" rank="0" text="" dxfId="10">
      <formula>30</formula>
    </cfRule>
  </conditionalFormatting>
  <conditionalFormatting sqref="G817">
    <cfRule type="cellIs" priority="2435" operator="greaterThan" aboveAverage="0" equalAverage="0" bottom="0" percent="0" rank="0" text="" dxfId="1">
      <formula>0</formula>
    </cfRule>
    <cfRule type="cellIs" priority="2436" operator="lessThanOrEqual" aboveAverage="0" equalAverage="0" bottom="0" percent="0" rank="0" text="" dxfId="0">
      <formula>0</formula>
    </cfRule>
  </conditionalFormatting>
  <conditionalFormatting sqref="F817">
    <cfRule type="cellIs" priority="2437" operator="greaterThan" aboveAverage="0" equalAverage="0" bottom="0" percent="0" rank="0" text="" dxfId="10">
      <formula>30</formula>
    </cfRule>
  </conditionalFormatting>
  <conditionalFormatting sqref="G818">
    <cfRule type="cellIs" priority="2438" operator="greaterThan" aboveAverage="0" equalAverage="0" bottom="0" percent="0" rank="0" text="" dxfId="1">
      <formula>0</formula>
    </cfRule>
    <cfRule type="cellIs" priority="2439" operator="lessThanOrEqual" aboveAverage="0" equalAverage="0" bottom="0" percent="0" rank="0" text="" dxfId="0">
      <formula>0</formula>
    </cfRule>
  </conditionalFormatting>
  <conditionalFormatting sqref="F818">
    <cfRule type="cellIs" priority="2440" operator="greaterThan" aboveAverage="0" equalAverage="0" bottom="0" percent="0" rank="0" text="" dxfId="10">
      <formula>30</formula>
    </cfRule>
  </conditionalFormatting>
  <conditionalFormatting sqref="G819">
    <cfRule type="cellIs" priority="2441" operator="greaterThan" aboveAverage="0" equalAverage="0" bottom="0" percent="0" rank="0" text="" dxfId="1">
      <formula>0</formula>
    </cfRule>
    <cfRule type="cellIs" priority="2442" operator="lessThanOrEqual" aboveAverage="0" equalAverage="0" bottom="0" percent="0" rank="0" text="" dxfId="0">
      <formula>0</formula>
    </cfRule>
  </conditionalFormatting>
  <conditionalFormatting sqref="F819">
    <cfRule type="cellIs" priority="2443" operator="greaterThan" aboveAverage="0" equalAverage="0" bottom="0" percent="0" rank="0" text="" dxfId="10">
      <formula>30</formula>
    </cfRule>
  </conditionalFormatting>
  <conditionalFormatting sqref="G820">
    <cfRule type="cellIs" priority="2444" operator="greaterThan" aboveAverage="0" equalAverage="0" bottom="0" percent="0" rank="0" text="" dxfId="1">
      <formula>0</formula>
    </cfRule>
    <cfRule type="cellIs" priority="2445" operator="lessThanOrEqual" aboveAverage="0" equalAverage="0" bottom="0" percent="0" rank="0" text="" dxfId="0">
      <formula>0</formula>
    </cfRule>
  </conditionalFormatting>
  <conditionalFormatting sqref="F820">
    <cfRule type="cellIs" priority="2446" operator="greaterThan" aboveAverage="0" equalAverage="0" bottom="0" percent="0" rank="0" text="" dxfId="10">
      <formula>30</formula>
    </cfRule>
  </conditionalFormatting>
  <conditionalFormatting sqref="G821">
    <cfRule type="cellIs" priority="2447" operator="greaterThan" aboveAverage="0" equalAverage="0" bottom="0" percent="0" rank="0" text="" dxfId="1">
      <formula>0</formula>
    </cfRule>
    <cfRule type="cellIs" priority="2448" operator="lessThanOrEqual" aboveAverage="0" equalAverage="0" bottom="0" percent="0" rank="0" text="" dxfId="0">
      <formula>0</formula>
    </cfRule>
  </conditionalFormatting>
  <conditionalFormatting sqref="F821">
    <cfRule type="cellIs" priority="2449" operator="greaterThan" aboveAverage="0" equalAverage="0" bottom="0" percent="0" rank="0" text="" dxfId="10">
      <formula>30</formula>
    </cfRule>
  </conditionalFormatting>
  <conditionalFormatting sqref="G822">
    <cfRule type="cellIs" priority="2450" operator="greaterThan" aboveAverage="0" equalAverage="0" bottom="0" percent="0" rank="0" text="" dxfId="1">
      <formula>0</formula>
    </cfRule>
    <cfRule type="cellIs" priority="2451" operator="lessThanOrEqual" aboveAverage="0" equalAverage="0" bottom="0" percent="0" rank="0" text="" dxfId="0">
      <formula>0</formula>
    </cfRule>
  </conditionalFormatting>
  <conditionalFormatting sqref="F822">
    <cfRule type="cellIs" priority="2452" operator="greaterThan" aboveAverage="0" equalAverage="0" bottom="0" percent="0" rank="0" text="" dxfId="10">
      <formula>30</formula>
    </cfRule>
  </conditionalFormatting>
  <conditionalFormatting sqref="G823">
    <cfRule type="cellIs" priority="2453" operator="greaterThan" aboveAverage="0" equalAverage="0" bottom="0" percent="0" rank="0" text="" dxfId="1">
      <formula>0</formula>
    </cfRule>
    <cfRule type="cellIs" priority="2454" operator="lessThanOrEqual" aboveAverage="0" equalAverage="0" bottom="0" percent="0" rank="0" text="" dxfId="0">
      <formula>0</formula>
    </cfRule>
  </conditionalFormatting>
  <conditionalFormatting sqref="F823">
    <cfRule type="cellIs" priority="2455" operator="greaterThan" aboveAverage="0" equalAverage="0" bottom="0" percent="0" rank="0" text="" dxfId="10">
      <formula>30</formula>
    </cfRule>
  </conditionalFormatting>
  <conditionalFormatting sqref="G824">
    <cfRule type="cellIs" priority="2456" operator="greaterThan" aboveAverage="0" equalAverage="0" bottom="0" percent="0" rank="0" text="" dxfId="1">
      <formula>0</formula>
    </cfRule>
    <cfRule type="cellIs" priority="2457" operator="lessThanOrEqual" aboveAverage="0" equalAverage="0" bottom="0" percent="0" rank="0" text="" dxfId="0">
      <formula>0</formula>
    </cfRule>
  </conditionalFormatting>
  <conditionalFormatting sqref="F824">
    <cfRule type="cellIs" priority="2458" operator="greaterThan" aboveAverage="0" equalAverage="0" bottom="0" percent="0" rank="0" text="" dxfId="10">
      <formula>30</formula>
    </cfRule>
  </conditionalFormatting>
  <conditionalFormatting sqref="G825">
    <cfRule type="cellIs" priority="2459" operator="greaterThan" aboveAverage="0" equalAverage="0" bottom="0" percent="0" rank="0" text="" dxfId="1">
      <formula>0</formula>
    </cfRule>
    <cfRule type="cellIs" priority="2460" operator="lessThanOrEqual" aboveAverage="0" equalAverage="0" bottom="0" percent="0" rank="0" text="" dxfId="0">
      <formula>0</formula>
    </cfRule>
  </conditionalFormatting>
  <conditionalFormatting sqref="F825">
    <cfRule type="cellIs" priority="2461" operator="greaterThan" aboveAverage="0" equalAverage="0" bottom="0" percent="0" rank="0" text="" dxfId="10">
      <formula>30</formula>
    </cfRule>
  </conditionalFormatting>
  <conditionalFormatting sqref="G826">
    <cfRule type="cellIs" priority="2462" operator="greaterThan" aboveAverage="0" equalAverage="0" bottom="0" percent="0" rank="0" text="" dxfId="1">
      <formula>0</formula>
    </cfRule>
    <cfRule type="cellIs" priority="2463" operator="lessThanOrEqual" aboveAverage="0" equalAverage="0" bottom="0" percent="0" rank="0" text="" dxfId="0">
      <formula>0</formula>
    </cfRule>
  </conditionalFormatting>
  <conditionalFormatting sqref="F826">
    <cfRule type="cellIs" priority="2464" operator="greaterThan" aboveAverage="0" equalAverage="0" bottom="0" percent="0" rank="0" text="" dxfId="10">
      <formula>30</formula>
    </cfRule>
  </conditionalFormatting>
  <conditionalFormatting sqref="G827">
    <cfRule type="cellIs" priority="2465" operator="greaterThan" aboveAverage="0" equalAverage="0" bottom="0" percent="0" rank="0" text="" dxfId="1">
      <formula>0</formula>
    </cfRule>
    <cfRule type="cellIs" priority="2466" operator="lessThanOrEqual" aboveAverage="0" equalAverage="0" bottom="0" percent="0" rank="0" text="" dxfId="0">
      <formula>0</formula>
    </cfRule>
  </conditionalFormatting>
  <conditionalFormatting sqref="F827">
    <cfRule type="cellIs" priority="2467" operator="greaterThan" aboveAverage="0" equalAverage="0" bottom="0" percent="0" rank="0" text="" dxfId="10">
      <formula>30</formula>
    </cfRule>
  </conditionalFormatting>
  <conditionalFormatting sqref="G828">
    <cfRule type="cellIs" priority="2468" operator="greaterThan" aboveAverage="0" equalAverage="0" bottom="0" percent="0" rank="0" text="" dxfId="1">
      <formula>0</formula>
    </cfRule>
    <cfRule type="cellIs" priority="2469" operator="lessThanOrEqual" aboveAverage="0" equalAverage="0" bottom="0" percent="0" rank="0" text="" dxfId="0">
      <formula>0</formula>
    </cfRule>
  </conditionalFormatting>
  <conditionalFormatting sqref="F828">
    <cfRule type="cellIs" priority="2470" operator="greaterThan" aboveAverage="0" equalAverage="0" bottom="0" percent="0" rank="0" text="" dxfId="10">
      <formula>30</formula>
    </cfRule>
  </conditionalFormatting>
  <conditionalFormatting sqref="G829">
    <cfRule type="cellIs" priority="2471" operator="greaterThan" aboveAverage="0" equalAverage="0" bottom="0" percent="0" rank="0" text="" dxfId="1">
      <formula>0</formula>
    </cfRule>
    <cfRule type="cellIs" priority="2472" operator="lessThanOrEqual" aboveAverage="0" equalAverage="0" bottom="0" percent="0" rank="0" text="" dxfId="0">
      <formula>0</formula>
    </cfRule>
  </conditionalFormatting>
  <conditionalFormatting sqref="F829">
    <cfRule type="cellIs" priority="2473" operator="greaterThan" aboveAverage="0" equalAverage="0" bottom="0" percent="0" rank="0" text="" dxfId="10">
      <formula>30</formula>
    </cfRule>
  </conditionalFormatting>
  <conditionalFormatting sqref="G830">
    <cfRule type="cellIs" priority="2474" operator="greaterThan" aboveAverage="0" equalAverage="0" bottom="0" percent="0" rank="0" text="" dxfId="1">
      <formula>0</formula>
    </cfRule>
    <cfRule type="cellIs" priority="2475" operator="lessThanOrEqual" aboveAverage="0" equalAverage="0" bottom="0" percent="0" rank="0" text="" dxfId="0">
      <formula>0</formula>
    </cfRule>
  </conditionalFormatting>
  <conditionalFormatting sqref="F830">
    <cfRule type="cellIs" priority="2476" operator="greaterThan" aboveAverage="0" equalAverage="0" bottom="0" percent="0" rank="0" text="" dxfId="10">
      <formula>30</formula>
    </cfRule>
  </conditionalFormatting>
  <conditionalFormatting sqref="G831">
    <cfRule type="cellIs" priority="2477" operator="greaterThan" aboveAverage="0" equalAverage="0" bottom="0" percent="0" rank="0" text="" dxfId="1">
      <formula>0</formula>
    </cfRule>
    <cfRule type="cellIs" priority="2478" operator="lessThanOrEqual" aboveAverage="0" equalAverage="0" bottom="0" percent="0" rank="0" text="" dxfId="0">
      <formula>0</formula>
    </cfRule>
  </conditionalFormatting>
  <conditionalFormatting sqref="F831">
    <cfRule type="cellIs" priority="2479" operator="greaterThan" aboveAverage="0" equalAverage="0" bottom="0" percent="0" rank="0" text="" dxfId="10">
      <formula>30</formula>
    </cfRule>
  </conditionalFormatting>
  <conditionalFormatting sqref="G832">
    <cfRule type="cellIs" priority="2480" operator="greaterThan" aboveAverage="0" equalAverage="0" bottom="0" percent="0" rank="0" text="" dxfId="1">
      <formula>0</formula>
    </cfRule>
    <cfRule type="cellIs" priority="2481" operator="lessThanOrEqual" aboveAverage="0" equalAverage="0" bottom="0" percent="0" rank="0" text="" dxfId="0">
      <formula>0</formula>
    </cfRule>
  </conditionalFormatting>
  <conditionalFormatting sqref="F832">
    <cfRule type="cellIs" priority="2482" operator="greaterThan" aboveAverage="0" equalAverage="0" bottom="0" percent="0" rank="0" text="" dxfId="10">
      <formula>30</formula>
    </cfRule>
  </conditionalFormatting>
  <conditionalFormatting sqref="G833">
    <cfRule type="cellIs" priority="2483" operator="greaterThan" aboveAverage="0" equalAverage="0" bottom="0" percent="0" rank="0" text="" dxfId="1">
      <formula>0</formula>
    </cfRule>
    <cfRule type="cellIs" priority="2484" operator="lessThanOrEqual" aboveAverage="0" equalAverage="0" bottom="0" percent="0" rank="0" text="" dxfId="0">
      <formula>0</formula>
    </cfRule>
  </conditionalFormatting>
  <conditionalFormatting sqref="F833">
    <cfRule type="cellIs" priority="2485" operator="greaterThan" aboveAverage="0" equalAverage="0" bottom="0" percent="0" rank="0" text="" dxfId="10">
      <formula>30</formula>
    </cfRule>
  </conditionalFormatting>
  <conditionalFormatting sqref="G834">
    <cfRule type="cellIs" priority="2486" operator="greaterThan" aboveAverage="0" equalAverage="0" bottom="0" percent="0" rank="0" text="" dxfId="1">
      <formula>0</formula>
    </cfRule>
    <cfRule type="cellIs" priority="2487" operator="lessThanOrEqual" aboveAverage="0" equalAverage="0" bottom="0" percent="0" rank="0" text="" dxfId="0">
      <formula>0</formula>
    </cfRule>
  </conditionalFormatting>
  <conditionalFormatting sqref="F834">
    <cfRule type="cellIs" priority="2488" operator="greaterThan" aboveAverage="0" equalAverage="0" bottom="0" percent="0" rank="0" text="" dxfId="10">
      <formula>30</formula>
    </cfRule>
  </conditionalFormatting>
  <conditionalFormatting sqref="G835">
    <cfRule type="cellIs" priority="2489" operator="greaterThan" aboveAverage="0" equalAverage="0" bottom="0" percent="0" rank="0" text="" dxfId="1">
      <formula>0</formula>
    </cfRule>
    <cfRule type="cellIs" priority="2490" operator="lessThanOrEqual" aboveAverage="0" equalAverage="0" bottom="0" percent="0" rank="0" text="" dxfId="0">
      <formula>0</formula>
    </cfRule>
  </conditionalFormatting>
  <conditionalFormatting sqref="F835">
    <cfRule type="cellIs" priority="2491" operator="greaterThan" aboveAverage="0" equalAverage="0" bottom="0" percent="0" rank="0" text="" dxfId="10">
      <formula>30</formula>
    </cfRule>
  </conditionalFormatting>
  <conditionalFormatting sqref="G836">
    <cfRule type="cellIs" priority="2492" operator="greaterThan" aboveAverage="0" equalAverage="0" bottom="0" percent="0" rank="0" text="" dxfId="1">
      <formula>0</formula>
    </cfRule>
    <cfRule type="cellIs" priority="2493" operator="lessThanOrEqual" aboveAverage="0" equalAverage="0" bottom="0" percent="0" rank="0" text="" dxfId="0">
      <formula>0</formula>
    </cfRule>
  </conditionalFormatting>
  <conditionalFormatting sqref="F836">
    <cfRule type="cellIs" priority="2494" operator="greaterThan" aboveAverage="0" equalAverage="0" bottom="0" percent="0" rank="0" text="" dxfId="10">
      <formula>30</formula>
    </cfRule>
  </conditionalFormatting>
  <conditionalFormatting sqref="G837">
    <cfRule type="cellIs" priority="2495" operator="greaterThan" aboveAverage="0" equalAverage="0" bottom="0" percent="0" rank="0" text="" dxfId="1">
      <formula>0</formula>
    </cfRule>
    <cfRule type="cellIs" priority="2496" operator="lessThanOrEqual" aboveAverage="0" equalAverage="0" bottom="0" percent="0" rank="0" text="" dxfId="0">
      <formula>0</formula>
    </cfRule>
  </conditionalFormatting>
  <conditionalFormatting sqref="F837">
    <cfRule type="cellIs" priority="2497" operator="greaterThan" aboveAverage="0" equalAverage="0" bottom="0" percent="0" rank="0" text="" dxfId="10">
      <formula>30</formula>
    </cfRule>
  </conditionalFormatting>
  <conditionalFormatting sqref="G838">
    <cfRule type="cellIs" priority="2498" operator="greaterThan" aboveAverage="0" equalAverage="0" bottom="0" percent="0" rank="0" text="" dxfId="1">
      <formula>0</formula>
    </cfRule>
    <cfRule type="cellIs" priority="2499" operator="lessThanOrEqual" aboveAverage="0" equalAverage="0" bottom="0" percent="0" rank="0" text="" dxfId="0">
      <formula>0</formula>
    </cfRule>
  </conditionalFormatting>
  <conditionalFormatting sqref="F838">
    <cfRule type="cellIs" priority="2500" operator="greaterThan" aboveAverage="0" equalAverage="0" bottom="0" percent="0" rank="0" text="" dxfId="10">
      <formula>30</formula>
    </cfRule>
  </conditionalFormatting>
  <conditionalFormatting sqref="G839">
    <cfRule type="cellIs" priority="2501" operator="greaterThan" aboveAverage="0" equalAverage="0" bottom="0" percent="0" rank="0" text="" dxfId="1">
      <formula>0</formula>
    </cfRule>
    <cfRule type="cellIs" priority="2502" operator="lessThanOrEqual" aboveAverage="0" equalAverage="0" bottom="0" percent="0" rank="0" text="" dxfId="0">
      <formula>0</formula>
    </cfRule>
  </conditionalFormatting>
  <conditionalFormatting sqref="F839">
    <cfRule type="cellIs" priority="2503" operator="greaterThan" aboveAverage="0" equalAverage="0" bottom="0" percent="0" rank="0" text="" dxfId="10">
      <formula>30</formula>
    </cfRule>
  </conditionalFormatting>
  <conditionalFormatting sqref="G840">
    <cfRule type="cellIs" priority="2504" operator="greaterThan" aboveAverage="0" equalAverage="0" bottom="0" percent="0" rank="0" text="" dxfId="1">
      <formula>0</formula>
    </cfRule>
    <cfRule type="cellIs" priority="2505" operator="lessThanOrEqual" aboveAverage="0" equalAverage="0" bottom="0" percent="0" rank="0" text="" dxfId="0">
      <formula>0</formula>
    </cfRule>
  </conditionalFormatting>
  <conditionalFormatting sqref="F840">
    <cfRule type="cellIs" priority="2506" operator="greaterThan" aboveAverage="0" equalAverage="0" bottom="0" percent="0" rank="0" text="" dxfId="10">
      <formula>30</formula>
    </cfRule>
  </conditionalFormatting>
  <conditionalFormatting sqref="G841">
    <cfRule type="cellIs" priority="2507" operator="greaterThan" aboveAverage="0" equalAverage="0" bottom="0" percent="0" rank="0" text="" dxfId="1">
      <formula>0</formula>
    </cfRule>
    <cfRule type="cellIs" priority="2508" operator="lessThanOrEqual" aboveAverage="0" equalAverage="0" bottom="0" percent="0" rank="0" text="" dxfId="0">
      <formula>0</formula>
    </cfRule>
  </conditionalFormatting>
  <conditionalFormatting sqref="F841">
    <cfRule type="cellIs" priority="2509" operator="greaterThan" aboveAverage="0" equalAverage="0" bottom="0" percent="0" rank="0" text="" dxfId="10">
      <formula>30</formula>
    </cfRule>
  </conditionalFormatting>
  <conditionalFormatting sqref="G842">
    <cfRule type="cellIs" priority="2510" operator="greaterThan" aboveAverage="0" equalAverage="0" bottom="0" percent="0" rank="0" text="" dxfId="1">
      <formula>0</formula>
    </cfRule>
    <cfRule type="cellIs" priority="2511" operator="lessThanOrEqual" aboveAverage="0" equalAverage="0" bottom="0" percent="0" rank="0" text="" dxfId="0">
      <formula>0</formula>
    </cfRule>
  </conditionalFormatting>
  <conditionalFormatting sqref="F842">
    <cfRule type="cellIs" priority="2512" operator="greaterThan" aboveAverage="0" equalAverage="0" bottom="0" percent="0" rank="0" text="" dxfId="10">
      <formula>30</formula>
    </cfRule>
  </conditionalFormatting>
  <conditionalFormatting sqref="G843">
    <cfRule type="cellIs" priority="2513" operator="greaterThan" aboveAverage="0" equalAverage="0" bottom="0" percent="0" rank="0" text="" dxfId="1">
      <formula>0</formula>
    </cfRule>
    <cfRule type="cellIs" priority="2514" operator="lessThanOrEqual" aboveAverage="0" equalAverage="0" bottom="0" percent="0" rank="0" text="" dxfId="0">
      <formula>0</formula>
    </cfRule>
  </conditionalFormatting>
  <conditionalFormatting sqref="F843">
    <cfRule type="cellIs" priority="2515" operator="greaterThan" aboveAverage="0" equalAverage="0" bottom="0" percent="0" rank="0" text="" dxfId="10">
      <formula>30</formula>
    </cfRule>
  </conditionalFormatting>
  <conditionalFormatting sqref="G844">
    <cfRule type="cellIs" priority="2516" operator="greaterThan" aboveAverage="0" equalAverage="0" bottom="0" percent="0" rank="0" text="" dxfId="1">
      <formula>0</formula>
    </cfRule>
    <cfRule type="cellIs" priority="2517" operator="lessThanOrEqual" aboveAverage="0" equalAverage="0" bottom="0" percent="0" rank="0" text="" dxfId="0">
      <formula>0</formula>
    </cfRule>
  </conditionalFormatting>
  <conditionalFormatting sqref="F844">
    <cfRule type="cellIs" priority="2518" operator="greaterThan" aboveAverage="0" equalAverage="0" bottom="0" percent="0" rank="0" text="" dxfId="10">
      <formula>30</formula>
    </cfRule>
  </conditionalFormatting>
  <conditionalFormatting sqref="G845">
    <cfRule type="cellIs" priority="2519" operator="greaterThan" aboveAverage="0" equalAverage="0" bottom="0" percent="0" rank="0" text="" dxfId="1">
      <formula>0</formula>
    </cfRule>
    <cfRule type="cellIs" priority="2520" operator="lessThanOrEqual" aboveAverage="0" equalAverage="0" bottom="0" percent="0" rank="0" text="" dxfId="0">
      <formula>0</formula>
    </cfRule>
  </conditionalFormatting>
  <conditionalFormatting sqref="F845">
    <cfRule type="cellIs" priority="2521" operator="greaterThan" aboveAverage="0" equalAverage="0" bottom="0" percent="0" rank="0" text="" dxfId="10">
      <formula>30</formula>
    </cfRule>
  </conditionalFormatting>
  <conditionalFormatting sqref="G846">
    <cfRule type="cellIs" priority="2522" operator="greaterThan" aboveAverage="0" equalAverage="0" bottom="0" percent="0" rank="0" text="" dxfId="1">
      <formula>0</formula>
    </cfRule>
    <cfRule type="cellIs" priority="2523" operator="lessThanOrEqual" aboveAverage="0" equalAverage="0" bottom="0" percent="0" rank="0" text="" dxfId="0">
      <formula>0</formula>
    </cfRule>
  </conditionalFormatting>
  <conditionalFormatting sqref="F846">
    <cfRule type="cellIs" priority="2524" operator="greaterThan" aboveAverage="0" equalAverage="0" bottom="0" percent="0" rank="0" text="" dxfId="10">
      <formula>30</formula>
    </cfRule>
  </conditionalFormatting>
  <conditionalFormatting sqref="G847">
    <cfRule type="cellIs" priority="2525" operator="greaterThan" aboveAverage="0" equalAverage="0" bottom="0" percent="0" rank="0" text="" dxfId="1">
      <formula>0</formula>
    </cfRule>
    <cfRule type="cellIs" priority="2526" operator="lessThanOrEqual" aboveAverage="0" equalAverage="0" bottom="0" percent="0" rank="0" text="" dxfId="0">
      <formula>0</formula>
    </cfRule>
  </conditionalFormatting>
  <conditionalFormatting sqref="F847">
    <cfRule type="cellIs" priority="2527" operator="greaterThan" aboveAverage="0" equalAverage="0" bottom="0" percent="0" rank="0" text="" dxfId="10">
      <formula>30</formula>
    </cfRule>
  </conditionalFormatting>
  <conditionalFormatting sqref="G848">
    <cfRule type="cellIs" priority="2528" operator="greaterThan" aboveAverage="0" equalAverage="0" bottom="0" percent="0" rank="0" text="" dxfId="1">
      <formula>0</formula>
    </cfRule>
    <cfRule type="cellIs" priority="2529" operator="lessThanOrEqual" aboveAverage="0" equalAverage="0" bottom="0" percent="0" rank="0" text="" dxfId="0">
      <formula>0</formula>
    </cfRule>
  </conditionalFormatting>
  <conditionalFormatting sqref="F848">
    <cfRule type="cellIs" priority="2530" operator="greaterThan" aboveAverage="0" equalAverage="0" bottom="0" percent="0" rank="0" text="" dxfId="10">
      <formula>30</formula>
    </cfRule>
  </conditionalFormatting>
  <conditionalFormatting sqref="G849">
    <cfRule type="cellIs" priority="2531" operator="greaterThan" aboveAverage="0" equalAverage="0" bottom="0" percent="0" rank="0" text="" dxfId="1">
      <formula>0</formula>
    </cfRule>
    <cfRule type="cellIs" priority="2532" operator="lessThanOrEqual" aboveAverage="0" equalAverage="0" bottom="0" percent="0" rank="0" text="" dxfId="0">
      <formula>0</formula>
    </cfRule>
  </conditionalFormatting>
  <conditionalFormatting sqref="F849">
    <cfRule type="cellIs" priority="2533" operator="greaterThan" aboveAverage="0" equalAverage="0" bottom="0" percent="0" rank="0" text="" dxfId="10">
      <formula>30</formula>
    </cfRule>
  </conditionalFormatting>
  <conditionalFormatting sqref="G850">
    <cfRule type="cellIs" priority="2534" operator="greaterThan" aboveAverage="0" equalAverage="0" bottom="0" percent="0" rank="0" text="" dxfId="1">
      <formula>0</formula>
    </cfRule>
    <cfRule type="cellIs" priority="2535" operator="lessThanOrEqual" aboveAverage="0" equalAverage="0" bottom="0" percent="0" rank="0" text="" dxfId="0">
      <formula>0</formula>
    </cfRule>
  </conditionalFormatting>
  <conditionalFormatting sqref="F850">
    <cfRule type="cellIs" priority="2536" operator="greaterThan" aboveAverage="0" equalAverage="0" bottom="0" percent="0" rank="0" text="" dxfId="10">
      <formula>30</formula>
    </cfRule>
  </conditionalFormatting>
  <conditionalFormatting sqref="G851">
    <cfRule type="cellIs" priority="2537" operator="greaterThan" aboveAverage="0" equalAverage="0" bottom="0" percent="0" rank="0" text="" dxfId="1">
      <formula>0</formula>
    </cfRule>
    <cfRule type="cellIs" priority="2538" operator="lessThanOrEqual" aboveAverage="0" equalAverage="0" bottom="0" percent="0" rank="0" text="" dxfId="0">
      <formula>0</formula>
    </cfRule>
  </conditionalFormatting>
  <conditionalFormatting sqref="F851">
    <cfRule type="cellIs" priority="2539" operator="greaterThan" aboveAverage="0" equalAverage="0" bottom="0" percent="0" rank="0" text="" dxfId="10">
      <formula>30</formula>
    </cfRule>
  </conditionalFormatting>
  <conditionalFormatting sqref="G852">
    <cfRule type="cellIs" priority="2540" operator="greaterThan" aboveAverage="0" equalAverage="0" bottom="0" percent="0" rank="0" text="" dxfId="1">
      <formula>0</formula>
    </cfRule>
    <cfRule type="cellIs" priority="2541" operator="lessThanOrEqual" aboveAverage="0" equalAverage="0" bottom="0" percent="0" rank="0" text="" dxfId="0">
      <formula>0</formula>
    </cfRule>
  </conditionalFormatting>
  <conditionalFormatting sqref="F852">
    <cfRule type="cellIs" priority="2542" operator="greaterThan" aboveAverage="0" equalAverage="0" bottom="0" percent="0" rank="0" text="" dxfId="10">
      <formula>30</formula>
    </cfRule>
  </conditionalFormatting>
  <conditionalFormatting sqref="G853">
    <cfRule type="cellIs" priority="2543" operator="greaterThan" aboveAverage="0" equalAverage="0" bottom="0" percent="0" rank="0" text="" dxfId="1">
      <formula>0</formula>
    </cfRule>
    <cfRule type="cellIs" priority="2544" operator="lessThanOrEqual" aboveAverage="0" equalAverage="0" bottom="0" percent="0" rank="0" text="" dxfId="0">
      <formula>0</formula>
    </cfRule>
  </conditionalFormatting>
  <conditionalFormatting sqref="F853">
    <cfRule type="cellIs" priority="2545" operator="greaterThan" aboveAverage="0" equalAverage="0" bottom="0" percent="0" rank="0" text="" dxfId="10">
      <formula>30</formula>
    </cfRule>
  </conditionalFormatting>
  <conditionalFormatting sqref="G854">
    <cfRule type="cellIs" priority="2546" operator="greaterThan" aboveAverage="0" equalAverage="0" bottom="0" percent="0" rank="0" text="" dxfId="1">
      <formula>0</formula>
    </cfRule>
    <cfRule type="cellIs" priority="2547" operator="lessThanOrEqual" aboveAverage="0" equalAverage="0" bottom="0" percent="0" rank="0" text="" dxfId="0">
      <formula>0</formula>
    </cfRule>
  </conditionalFormatting>
  <conditionalFormatting sqref="F854">
    <cfRule type="cellIs" priority="2548" operator="greaterThan" aboveAverage="0" equalAverage="0" bottom="0" percent="0" rank="0" text="" dxfId="10">
      <formula>30</formula>
    </cfRule>
  </conditionalFormatting>
  <conditionalFormatting sqref="G855">
    <cfRule type="cellIs" priority="2549" operator="greaterThan" aboveAverage="0" equalAverage="0" bottom="0" percent="0" rank="0" text="" dxfId="1">
      <formula>0</formula>
    </cfRule>
    <cfRule type="cellIs" priority="2550" operator="lessThanOrEqual" aboveAverage="0" equalAverage="0" bottom="0" percent="0" rank="0" text="" dxfId="0">
      <formula>0</formula>
    </cfRule>
  </conditionalFormatting>
  <conditionalFormatting sqref="F855">
    <cfRule type="cellIs" priority="2551" operator="greaterThan" aboveAverage="0" equalAverage="0" bottom="0" percent="0" rank="0" text="" dxfId="10">
      <formula>30</formula>
    </cfRule>
  </conditionalFormatting>
  <conditionalFormatting sqref="G856">
    <cfRule type="cellIs" priority="2552" operator="greaterThan" aboveAverage="0" equalAverage="0" bottom="0" percent="0" rank="0" text="" dxfId="1">
      <formula>0</formula>
    </cfRule>
    <cfRule type="cellIs" priority="2553" operator="lessThanOrEqual" aboveAverage="0" equalAverage="0" bottom="0" percent="0" rank="0" text="" dxfId="0">
      <formula>0</formula>
    </cfRule>
  </conditionalFormatting>
  <conditionalFormatting sqref="F856">
    <cfRule type="cellIs" priority="2554" operator="greaterThan" aboveAverage="0" equalAverage="0" bottom="0" percent="0" rank="0" text="" dxfId="10">
      <formula>30</formula>
    </cfRule>
  </conditionalFormatting>
  <conditionalFormatting sqref="G857">
    <cfRule type="cellIs" priority="2555" operator="greaterThan" aboveAverage="0" equalAverage="0" bottom="0" percent="0" rank="0" text="" dxfId="1">
      <formula>0</formula>
    </cfRule>
    <cfRule type="cellIs" priority="2556" operator="lessThanOrEqual" aboveAverage="0" equalAverage="0" bottom="0" percent="0" rank="0" text="" dxfId="0">
      <formula>0</formula>
    </cfRule>
  </conditionalFormatting>
  <conditionalFormatting sqref="F857">
    <cfRule type="cellIs" priority="2557" operator="greaterThan" aboveAverage="0" equalAverage="0" bottom="0" percent="0" rank="0" text="" dxfId="10">
      <formula>30</formula>
    </cfRule>
  </conditionalFormatting>
  <conditionalFormatting sqref="G858">
    <cfRule type="cellIs" priority="2558" operator="greaterThan" aboveAverage="0" equalAverage="0" bottom="0" percent="0" rank="0" text="" dxfId="1">
      <formula>0</formula>
    </cfRule>
    <cfRule type="cellIs" priority="2559" operator="lessThanOrEqual" aboveAverage="0" equalAverage="0" bottom="0" percent="0" rank="0" text="" dxfId="0">
      <formula>0</formula>
    </cfRule>
  </conditionalFormatting>
  <conditionalFormatting sqref="F858">
    <cfRule type="cellIs" priority="2560" operator="greaterThan" aboveAverage="0" equalAverage="0" bottom="0" percent="0" rank="0" text="" dxfId="10">
      <formula>30</formula>
    </cfRule>
  </conditionalFormatting>
  <conditionalFormatting sqref="G859">
    <cfRule type="cellIs" priority="2561" operator="greaterThan" aboveAverage="0" equalAverage="0" bottom="0" percent="0" rank="0" text="" dxfId="1">
      <formula>0</formula>
    </cfRule>
    <cfRule type="cellIs" priority="2562" operator="lessThanOrEqual" aboveAverage="0" equalAverage="0" bottom="0" percent="0" rank="0" text="" dxfId="0">
      <formula>0</formula>
    </cfRule>
  </conditionalFormatting>
  <conditionalFormatting sqref="F859">
    <cfRule type="cellIs" priority="2563" operator="greaterThan" aboveAverage="0" equalAverage="0" bottom="0" percent="0" rank="0" text="" dxfId="10">
      <formula>30</formula>
    </cfRule>
  </conditionalFormatting>
  <conditionalFormatting sqref="G860">
    <cfRule type="cellIs" priority="2564" operator="greaterThan" aboveAverage="0" equalAverage="0" bottom="0" percent="0" rank="0" text="" dxfId="1">
      <formula>0</formula>
    </cfRule>
    <cfRule type="cellIs" priority="2565" operator="lessThanOrEqual" aboveAverage="0" equalAverage="0" bottom="0" percent="0" rank="0" text="" dxfId="0">
      <formula>0</formula>
    </cfRule>
  </conditionalFormatting>
  <conditionalFormatting sqref="F860">
    <cfRule type="cellIs" priority="2566" operator="greaterThan" aboveAverage="0" equalAverage="0" bottom="0" percent="0" rank="0" text="" dxfId="10">
      <formula>30</formula>
    </cfRule>
  </conditionalFormatting>
  <conditionalFormatting sqref="G861">
    <cfRule type="cellIs" priority="2567" operator="greaterThan" aboveAverage="0" equalAverage="0" bottom="0" percent="0" rank="0" text="" dxfId="1">
      <formula>0</formula>
    </cfRule>
    <cfRule type="cellIs" priority="2568" operator="lessThanOrEqual" aboveAverage="0" equalAverage="0" bottom="0" percent="0" rank="0" text="" dxfId="0">
      <formula>0</formula>
    </cfRule>
  </conditionalFormatting>
  <conditionalFormatting sqref="F861">
    <cfRule type="cellIs" priority="2569" operator="greaterThan" aboveAverage="0" equalAverage="0" bottom="0" percent="0" rank="0" text="" dxfId="10">
      <formula>30</formula>
    </cfRule>
  </conditionalFormatting>
  <conditionalFormatting sqref="G862">
    <cfRule type="cellIs" priority="2570" operator="greaterThan" aboveAverage="0" equalAverage="0" bottom="0" percent="0" rank="0" text="" dxfId="1">
      <formula>0</formula>
    </cfRule>
    <cfRule type="cellIs" priority="2571" operator="lessThanOrEqual" aboveAverage="0" equalAverage="0" bottom="0" percent="0" rank="0" text="" dxfId="0">
      <formula>0</formula>
    </cfRule>
  </conditionalFormatting>
  <conditionalFormatting sqref="F862">
    <cfRule type="cellIs" priority="2572" operator="greaterThan" aboveAverage="0" equalAverage="0" bottom="0" percent="0" rank="0" text="" dxfId="10">
      <formula>30</formula>
    </cfRule>
  </conditionalFormatting>
  <conditionalFormatting sqref="G863">
    <cfRule type="cellIs" priority="2573" operator="greaterThan" aboveAverage="0" equalAverage="0" bottom="0" percent="0" rank="0" text="" dxfId="1">
      <formula>0</formula>
    </cfRule>
    <cfRule type="cellIs" priority="2574" operator="lessThanOrEqual" aboveAverage="0" equalAverage="0" bottom="0" percent="0" rank="0" text="" dxfId="0">
      <formula>0</formula>
    </cfRule>
  </conditionalFormatting>
  <conditionalFormatting sqref="F863">
    <cfRule type="cellIs" priority="2575" operator="greaterThan" aboveAverage="0" equalAverage="0" bottom="0" percent="0" rank="0" text="" dxfId="10">
      <formula>30</formula>
    </cfRule>
  </conditionalFormatting>
  <conditionalFormatting sqref="G864">
    <cfRule type="cellIs" priority="2576" operator="greaterThan" aboveAverage="0" equalAverage="0" bottom="0" percent="0" rank="0" text="" dxfId="1">
      <formula>0</formula>
    </cfRule>
    <cfRule type="cellIs" priority="2577" operator="lessThanOrEqual" aboveAverage="0" equalAverage="0" bottom="0" percent="0" rank="0" text="" dxfId="0">
      <formula>0</formula>
    </cfRule>
  </conditionalFormatting>
  <conditionalFormatting sqref="F864">
    <cfRule type="cellIs" priority="2578" operator="greaterThan" aboveAverage="0" equalAverage="0" bottom="0" percent="0" rank="0" text="" dxfId="10">
      <formula>30</formula>
    </cfRule>
  </conditionalFormatting>
  <conditionalFormatting sqref="G865">
    <cfRule type="cellIs" priority="2579" operator="greaterThan" aboveAverage="0" equalAverage="0" bottom="0" percent="0" rank="0" text="" dxfId="1">
      <formula>0</formula>
    </cfRule>
    <cfRule type="cellIs" priority="2580" operator="lessThanOrEqual" aboveAverage="0" equalAverage="0" bottom="0" percent="0" rank="0" text="" dxfId="0">
      <formula>0</formula>
    </cfRule>
  </conditionalFormatting>
  <conditionalFormatting sqref="F865">
    <cfRule type="cellIs" priority="2581" operator="greaterThan" aboveAverage="0" equalAverage="0" bottom="0" percent="0" rank="0" text="" dxfId="10">
      <formula>30</formula>
    </cfRule>
  </conditionalFormatting>
  <conditionalFormatting sqref="G866">
    <cfRule type="cellIs" priority="2582" operator="greaterThan" aboveAverage="0" equalAverage="0" bottom="0" percent="0" rank="0" text="" dxfId="1">
      <formula>0</formula>
    </cfRule>
    <cfRule type="cellIs" priority="2583" operator="lessThanOrEqual" aboveAverage="0" equalAverage="0" bottom="0" percent="0" rank="0" text="" dxfId="0">
      <formula>0</formula>
    </cfRule>
  </conditionalFormatting>
  <conditionalFormatting sqref="F866">
    <cfRule type="cellIs" priority="2584" operator="greaterThan" aboveAverage="0" equalAverage="0" bottom="0" percent="0" rank="0" text="" dxfId="10">
      <formula>30</formula>
    </cfRule>
  </conditionalFormatting>
  <conditionalFormatting sqref="G867">
    <cfRule type="cellIs" priority="2585" operator="greaterThan" aboveAverage="0" equalAverage="0" bottom="0" percent="0" rank="0" text="" dxfId="1">
      <formula>0</formula>
    </cfRule>
    <cfRule type="cellIs" priority="2586" operator="lessThanOrEqual" aboveAverage="0" equalAverage="0" bottom="0" percent="0" rank="0" text="" dxfId="0">
      <formula>0</formula>
    </cfRule>
  </conditionalFormatting>
  <conditionalFormatting sqref="F867">
    <cfRule type="cellIs" priority="2587" operator="greaterThan" aboveAverage="0" equalAverage="0" bottom="0" percent="0" rank="0" text="" dxfId="10">
      <formula>30</formula>
    </cfRule>
  </conditionalFormatting>
  <conditionalFormatting sqref="G868">
    <cfRule type="cellIs" priority="2588" operator="greaterThan" aboveAverage="0" equalAverage="0" bottom="0" percent="0" rank="0" text="" dxfId="1">
      <formula>0</formula>
    </cfRule>
    <cfRule type="cellIs" priority="2589" operator="lessThanOrEqual" aboveAverage="0" equalAverage="0" bottom="0" percent="0" rank="0" text="" dxfId="0">
      <formula>0</formula>
    </cfRule>
  </conditionalFormatting>
  <conditionalFormatting sqref="F868">
    <cfRule type="cellIs" priority="2590" operator="greaterThan" aboveAverage="0" equalAverage="0" bottom="0" percent="0" rank="0" text="" dxfId="10">
      <formula>30</formula>
    </cfRule>
  </conditionalFormatting>
  <conditionalFormatting sqref="G869">
    <cfRule type="cellIs" priority="2591" operator="greaterThan" aboveAverage="0" equalAverage="0" bottom="0" percent="0" rank="0" text="" dxfId="1">
      <formula>0</formula>
    </cfRule>
    <cfRule type="cellIs" priority="2592" operator="lessThanOrEqual" aboveAverage="0" equalAverage="0" bottom="0" percent="0" rank="0" text="" dxfId="0">
      <formula>0</formula>
    </cfRule>
  </conditionalFormatting>
  <conditionalFormatting sqref="F869">
    <cfRule type="cellIs" priority="2593" operator="greaterThan" aboveAverage="0" equalAverage="0" bottom="0" percent="0" rank="0" text="" dxfId="10">
      <formula>30</formula>
    </cfRule>
  </conditionalFormatting>
  <conditionalFormatting sqref="G870">
    <cfRule type="cellIs" priority="2594" operator="greaterThan" aboveAverage="0" equalAverage="0" bottom="0" percent="0" rank="0" text="" dxfId="1">
      <formula>0</formula>
    </cfRule>
    <cfRule type="cellIs" priority="2595" operator="lessThanOrEqual" aboveAverage="0" equalAverage="0" bottom="0" percent="0" rank="0" text="" dxfId="0">
      <formula>0</formula>
    </cfRule>
  </conditionalFormatting>
  <conditionalFormatting sqref="F870">
    <cfRule type="cellIs" priority="2596" operator="greaterThan" aboveAverage="0" equalAverage="0" bottom="0" percent="0" rank="0" text="" dxfId="10">
      <formula>30</formula>
    </cfRule>
  </conditionalFormatting>
  <conditionalFormatting sqref="G871">
    <cfRule type="cellIs" priority="2597" operator="greaterThan" aboveAverage="0" equalAverage="0" bottom="0" percent="0" rank="0" text="" dxfId="1">
      <formula>0</formula>
    </cfRule>
    <cfRule type="cellIs" priority="2598" operator="lessThanOrEqual" aboveAverage="0" equalAverage="0" bottom="0" percent="0" rank="0" text="" dxfId="0">
      <formula>0</formula>
    </cfRule>
  </conditionalFormatting>
  <conditionalFormatting sqref="F871">
    <cfRule type="cellIs" priority="2599" operator="greaterThan" aboveAverage="0" equalAverage="0" bottom="0" percent="0" rank="0" text="" dxfId="10">
      <formula>30</formula>
    </cfRule>
  </conditionalFormatting>
  <conditionalFormatting sqref="G872">
    <cfRule type="cellIs" priority="2600" operator="greaterThan" aboveAverage="0" equalAverage="0" bottom="0" percent="0" rank="0" text="" dxfId="1">
      <formula>0</formula>
    </cfRule>
    <cfRule type="cellIs" priority="2601" operator="lessThanOrEqual" aboveAverage="0" equalAverage="0" bottom="0" percent="0" rank="0" text="" dxfId="0">
      <formula>0</formula>
    </cfRule>
  </conditionalFormatting>
  <conditionalFormatting sqref="F872">
    <cfRule type="cellIs" priority="2602" operator="greaterThan" aboveAverage="0" equalAverage="0" bottom="0" percent="0" rank="0" text="" dxfId="10">
      <formula>30</formula>
    </cfRule>
  </conditionalFormatting>
  <conditionalFormatting sqref="G873">
    <cfRule type="cellIs" priority="2603" operator="greaterThan" aboveAverage="0" equalAverage="0" bottom="0" percent="0" rank="0" text="" dxfId="1">
      <formula>0</formula>
    </cfRule>
    <cfRule type="cellIs" priority="2604" operator="lessThanOrEqual" aboveAverage="0" equalAverage="0" bottom="0" percent="0" rank="0" text="" dxfId="0">
      <formula>0</formula>
    </cfRule>
  </conditionalFormatting>
  <conditionalFormatting sqref="F873">
    <cfRule type="cellIs" priority="2605" operator="greaterThan" aboveAverage="0" equalAverage="0" bottom="0" percent="0" rank="0" text="" dxfId="10">
      <formula>30</formula>
    </cfRule>
  </conditionalFormatting>
  <conditionalFormatting sqref="G874">
    <cfRule type="cellIs" priority="2606" operator="greaterThan" aboveAverage="0" equalAverage="0" bottom="0" percent="0" rank="0" text="" dxfId="1">
      <formula>0</formula>
    </cfRule>
    <cfRule type="cellIs" priority="2607" operator="lessThanOrEqual" aboveAverage="0" equalAverage="0" bottom="0" percent="0" rank="0" text="" dxfId="0">
      <formula>0</formula>
    </cfRule>
  </conditionalFormatting>
  <conditionalFormatting sqref="F874">
    <cfRule type="cellIs" priority="2608" operator="greaterThan" aboveAverage="0" equalAverage="0" bottom="0" percent="0" rank="0" text="" dxfId="10">
      <formula>30</formula>
    </cfRule>
  </conditionalFormatting>
  <conditionalFormatting sqref="G875">
    <cfRule type="cellIs" priority="2609" operator="greaterThan" aboveAverage="0" equalAverage="0" bottom="0" percent="0" rank="0" text="" dxfId="1">
      <formula>0</formula>
    </cfRule>
    <cfRule type="cellIs" priority="2610" operator="lessThanOrEqual" aboveAverage="0" equalAverage="0" bottom="0" percent="0" rank="0" text="" dxfId="0">
      <formula>0</formula>
    </cfRule>
  </conditionalFormatting>
  <conditionalFormatting sqref="F875">
    <cfRule type="cellIs" priority="2611" operator="greaterThan" aboveAverage="0" equalAverage="0" bottom="0" percent="0" rank="0" text="" dxfId="10">
      <formula>30</formula>
    </cfRule>
  </conditionalFormatting>
  <conditionalFormatting sqref="G876">
    <cfRule type="cellIs" priority="2612" operator="greaterThan" aboveAverage="0" equalAverage="0" bottom="0" percent="0" rank="0" text="" dxfId="1">
      <formula>0</formula>
    </cfRule>
    <cfRule type="cellIs" priority="2613" operator="lessThanOrEqual" aboveAverage="0" equalAverage="0" bottom="0" percent="0" rank="0" text="" dxfId="0">
      <formula>0</formula>
    </cfRule>
  </conditionalFormatting>
  <conditionalFormatting sqref="F876">
    <cfRule type="cellIs" priority="2614" operator="greaterThan" aboveAverage="0" equalAverage="0" bottom="0" percent="0" rank="0" text="" dxfId="10">
      <formula>30</formula>
    </cfRule>
  </conditionalFormatting>
  <conditionalFormatting sqref="G877">
    <cfRule type="cellIs" priority="2615" operator="greaterThan" aboveAverage="0" equalAverage="0" bottom="0" percent="0" rank="0" text="" dxfId="1">
      <formula>0</formula>
    </cfRule>
    <cfRule type="cellIs" priority="2616" operator="lessThanOrEqual" aboveAverage="0" equalAverage="0" bottom="0" percent="0" rank="0" text="" dxfId="0">
      <formula>0</formula>
    </cfRule>
  </conditionalFormatting>
  <conditionalFormatting sqref="F877">
    <cfRule type="cellIs" priority="2617" operator="greaterThan" aboveAverage="0" equalAverage="0" bottom="0" percent="0" rank="0" text="" dxfId="10">
      <formula>30</formula>
    </cfRule>
  </conditionalFormatting>
  <conditionalFormatting sqref="G878">
    <cfRule type="cellIs" priority="2618" operator="greaterThan" aboveAverage="0" equalAverage="0" bottom="0" percent="0" rank="0" text="" dxfId="1">
      <formula>0</formula>
    </cfRule>
    <cfRule type="cellIs" priority="2619" operator="lessThanOrEqual" aboveAverage="0" equalAverage="0" bottom="0" percent="0" rank="0" text="" dxfId="0">
      <formula>0</formula>
    </cfRule>
  </conditionalFormatting>
  <conditionalFormatting sqref="F878">
    <cfRule type="cellIs" priority="2620" operator="greaterThan" aboveAverage="0" equalAverage="0" bottom="0" percent="0" rank="0" text="" dxfId="10">
      <formula>30</formula>
    </cfRule>
  </conditionalFormatting>
  <conditionalFormatting sqref="G879">
    <cfRule type="cellIs" priority="2621" operator="greaterThan" aboveAverage="0" equalAverage="0" bottom="0" percent="0" rank="0" text="" dxfId="1">
      <formula>0</formula>
    </cfRule>
    <cfRule type="cellIs" priority="2622" operator="lessThanOrEqual" aboveAverage="0" equalAverage="0" bottom="0" percent="0" rank="0" text="" dxfId="0">
      <formula>0</formula>
    </cfRule>
  </conditionalFormatting>
  <conditionalFormatting sqref="F879">
    <cfRule type="cellIs" priority="2623" operator="greaterThan" aboveAverage="0" equalAverage="0" bottom="0" percent="0" rank="0" text="" dxfId="10">
      <formula>30</formula>
    </cfRule>
  </conditionalFormatting>
  <conditionalFormatting sqref="G880">
    <cfRule type="cellIs" priority="2624" operator="greaterThan" aboveAverage="0" equalAverage="0" bottom="0" percent="0" rank="0" text="" dxfId="1">
      <formula>0</formula>
    </cfRule>
    <cfRule type="cellIs" priority="2625" operator="lessThanOrEqual" aboveAverage="0" equalAverage="0" bottom="0" percent="0" rank="0" text="" dxfId="0">
      <formula>0</formula>
    </cfRule>
  </conditionalFormatting>
  <conditionalFormatting sqref="F880">
    <cfRule type="cellIs" priority="2626" operator="greaterThan" aboveAverage="0" equalAverage="0" bottom="0" percent="0" rank="0" text="" dxfId="10">
      <formula>30</formula>
    </cfRule>
  </conditionalFormatting>
  <conditionalFormatting sqref="G881">
    <cfRule type="cellIs" priority="2627" operator="greaterThan" aboveAverage="0" equalAverage="0" bottom="0" percent="0" rank="0" text="" dxfId="1">
      <formula>0</formula>
    </cfRule>
    <cfRule type="cellIs" priority="2628" operator="lessThanOrEqual" aboveAverage="0" equalAverage="0" bottom="0" percent="0" rank="0" text="" dxfId="0">
      <formula>0</formula>
    </cfRule>
  </conditionalFormatting>
  <conditionalFormatting sqref="F881">
    <cfRule type="cellIs" priority="2629" operator="greaterThan" aboveAverage="0" equalAverage="0" bottom="0" percent="0" rank="0" text="" dxfId="10">
      <formula>30</formula>
    </cfRule>
  </conditionalFormatting>
  <conditionalFormatting sqref="G882">
    <cfRule type="cellIs" priority="2630" operator="greaterThan" aboveAverage="0" equalAverage="0" bottom="0" percent="0" rank="0" text="" dxfId="1">
      <formula>0</formula>
    </cfRule>
    <cfRule type="cellIs" priority="2631" operator="lessThanOrEqual" aboveAverage="0" equalAverage="0" bottom="0" percent="0" rank="0" text="" dxfId="0">
      <formula>0</formula>
    </cfRule>
  </conditionalFormatting>
  <conditionalFormatting sqref="F882">
    <cfRule type="cellIs" priority="2632" operator="greaterThan" aboveAverage="0" equalAverage="0" bottom="0" percent="0" rank="0" text="" dxfId="10">
      <formula>30</formula>
    </cfRule>
  </conditionalFormatting>
  <conditionalFormatting sqref="G883">
    <cfRule type="cellIs" priority="2633" operator="greaterThan" aboveAverage="0" equalAverage="0" bottom="0" percent="0" rank="0" text="" dxfId="1">
      <formula>0</formula>
    </cfRule>
    <cfRule type="cellIs" priority="2634" operator="lessThanOrEqual" aboveAverage="0" equalAverage="0" bottom="0" percent="0" rank="0" text="" dxfId="0">
      <formula>0</formula>
    </cfRule>
  </conditionalFormatting>
  <conditionalFormatting sqref="F883">
    <cfRule type="cellIs" priority="2635" operator="greaterThan" aboveAverage="0" equalAverage="0" bottom="0" percent="0" rank="0" text="" dxfId="10">
      <formula>30</formula>
    </cfRule>
  </conditionalFormatting>
  <conditionalFormatting sqref="G884">
    <cfRule type="cellIs" priority="2636" operator="greaterThan" aboveAverage="0" equalAverage="0" bottom="0" percent="0" rank="0" text="" dxfId="1">
      <formula>0</formula>
    </cfRule>
    <cfRule type="cellIs" priority="2637" operator="lessThanOrEqual" aboveAverage="0" equalAverage="0" bottom="0" percent="0" rank="0" text="" dxfId="0">
      <formula>0</formula>
    </cfRule>
  </conditionalFormatting>
  <conditionalFormatting sqref="F884">
    <cfRule type="cellIs" priority="2638" operator="greaterThan" aboveAverage="0" equalAverage="0" bottom="0" percent="0" rank="0" text="" dxfId="10">
      <formula>30</formula>
    </cfRule>
  </conditionalFormatting>
  <conditionalFormatting sqref="G885">
    <cfRule type="cellIs" priority="2639" operator="greaterThan" aboveAverage="0" equalAverage="0" bottom="0" percent="0" rank="0" text="" dxfId="1">
      <formula>0</formula>
    </cfRule>
    <cfRule type="cellIs" priority="2640" operator="lessThanOrEqual" aboveAverage="0" equalAverage="0" bottom="0" percent="0" rank="0" text="" dxfId="0">
      <formula>0</formula>
    </cfRule>
  </conditionalFormatting>
  <conditionalFormatting sqref="F885">
    <cfRule type="cellIs" priority="2641" operator="greaterThan" aboveAverage="0" equalAverage="0" bottom="0" percent="0" rank="0" text="" dxfId="10">
      <formula>30</formula>
    </cfRule>
  </conditionalFormatting>
  <conditionalFormatting sqref="G886">
    <cfRule type="cellIs" priority="2642" operator="greaterThan" aboveAverage="0" equalAverage="0" bottom="0" percent="0" rank="0" text="" dxfId="1">
      <formula>0</formula>
    </cfRule>
    <cfRule type="cellIs" priority="2643" operator="lessThanOrEqual" aboveAverage="0" equalAverage="0" bottom="0" percent="0" rank="0" text="" dxfId="0">
      <formula>0</formula>
    </cfRule>
  </conditionalFormatting>
  <conditionalFormatting sqref="F886">
    <cfRule type="cellIs" priority="2644" operator="greaterThan" aboveAverage="0" equalAverage="0" bottom="0" percent="0" rank="0" text="" dxfId="10">
      <formula>30</formula>
    </cfRule>
  </conditionalFormatting>
  <conditionalFormatting sqref="G887">
    <cfRule type="cellIs" priority="2645" operator="greaterThan" aboveAverage="0" equalAverage="0" bottom="0" percent="0" rank="0" text="" dxfId="1">
      <formula>0</formula>
    </cfRule>
    <cfRule type="cellIs" priority="2646" operator="lessThanOrEqual" aboveAverage="0" equalAverage="0" bottom="0" percent="0" rank="0" text="" dxfId="0">
      <formula>0</formula>
    </cfRule>
  </conditionalFormatting>
  <conditionalFormatting sqref="F887">
    <cfRule type="cellIs" priority="2647" operator="greaterThan" aboveAverage="0" equalAverage="0" bottom="0" percent="0" rank="0" text="" dxfId="10">
      <formula>30</formula>
    </cfRule>
  </conditionalFormatting>
  <conditionalFormatting sqref="G888">
    <cfRule type="cellIs" priority="2648" operator="greaterThan" aboveAverage="0" equalAverage="0" bottom="0" percent="0" rank="0" text="" dxfId="1">
      <formula>0</formula>
    </cfRule>
    <cfRule type="cellIs" priority="2649" operator="lessThanOrEqual" aboveAverage="0" equalAverage="0" bottom="0" percent="0" rank="0" text="" dxfId="0">
      <formula>0</formula>
    </cfRule>
  </conditionalFormatting>
  <conditionalFormatting sqref="F888">
    <cfRule type="cellIs" priority="2650" operator="greaterThan" aboveAverage="0" equalAverage="0" bottom="0" percent="0" rank="0" text="" dxfId="10">
      <formula>30</formula>
    </cfRule>
  </conditionalFormatting>
  <conditionalFormatting sqref="G889">
    <cfRule type="cellIs" priority="2651" operator="greaterThan" aboveAverage="0" equalAverage="0" bottom="0" percent="0" rank="0" text="" dxfId="1">
      <formula>0</formula>
    </cfRule>
    <cfRule type="cellIs" priority="2652" operator="lessThanOrEqual" aboveAverage="0" equalAverage="0" bottom="0" percent="0" rank="0" text="" dxfId="0">
      <formula>0</formula>
    </cfRule>
  </conditionalFormatting>
  <conditionalFormatting sqref="F889">
    <cfRule type="cellIs" priority="2653" operator="greaterThan" aboveAverage="0" equalAverage="0" bottom="0" percent="0" rank="0" text="" dxfId="10">
      <formula>30</formula>
    </cfRule>
  </conditionalFormatting>
  <conditionalFormatting sqref="G890">
    <cfRule type="cellIs" priority="2654" operator="greaterThan" aboveAverage="0" equalAverage="0" bottom="0" percent="0" rank="0" text="" dxfId="1">
      <formula>0</formula>
    </cfRule>
    <cfRule type="cellIs" priority="2655" operator="lessThanOrEqual" aboveAverage="0" equalAverage="0" bottom="0" percent="0" rank="0" text="" dxfId="0">
      <formula>0</formula>
    </cfRule>
  </conditionalFormatting>
  <conditionalFormatting sqref="F890">
    <cfRule type="cellIs" priority="2656" operator="greaterThan" aboveAverage="0" equalAverage="0" bottom="0" percent="0" rank="0" text="" dxfId="10">
      <formula>30</formula>
    </cfRule>
  </conditionalFormatting>
  <conditionalFormatting sqref="G891">
    <cfRule type="cellIs" priority="2657" operator="greaterThan" aboveAverage="0" equalAverage="0" bottom="0" percent="0" rank="0" text="" dxfId="1">
      <formula>0</formula>
    </cfRule>
    <cfRule type="cellIs" priority="2658" operator="lessThanOrEqual" aboveAverage="0" equalAverage="0" bottom="0" percent="0" rank="0" text="" dxfId="0">
      <formula>0</formula>
    </cfRule>
  </conditionalFormatting>
  <conditionalFormatting sqref="F891">
    <cfRule type="cellIs" priority="2659" operator="greaterThan" aboveAverage="0" equalAverage="0" bottom="0" percent="0" rank="0" text="" dxfId="10">
      <formula>30</formula>
    </cfRule>
  </conditionalFormatting>
  <conditionalFormatting sqref="G892">
    <cfRule type="cellIs" priority="2660" operator="greaterThan" aboveAverage="0" equalAverage="0" bottom="0" percent="0" rank="0" text="" dxfId="1">
      <formula>0</formula>
    </cfRule>
    <cfRule type="cellIs" priority="2661" operator="lessThanOrEqual" aboveAverage="0" equalAverage="0" bottom="0" percent="0" rank="0" text="" dxfId="0">
      <formula>0</formula>
    </cfRule>
  </conditionalFormatting>
  <conditionalFormatting sqref="F892">
    <cfRule type="cellIs" priority="2662" operator="greaterThan" aboveAverage="0" equalAverage="0" bottom="0" percent="0" rank="0" text="" dxfId="10">
      <formula>30</formula>
    </cfRule>
  </conditionalFormatting>
  <conditionalFormatting sqref="G893">
    <cfRule type="cellIs" priority="2663" operator="greaterThan" aboveAverage="0" equalAverage="0" bottom="0" percent="0" rank="0" text="" dxfId="1">
      <formula>0</formula>
    </cfRule>
    <cfRule type="cellIs" priority="2664" operator="lessThanOrEqual" aboveAverage="0" equalAverage="0" bottom="0" percent="0" rank="0" text="" dxfId="0">
      <formula>0</formula>
    </cfRule>
  </conditionalFormatting>
  <conditionalFormatting sqref="F893">
    <cfRule type="cellIs" priority="2665" operator="greaterThan" aboveAverage="0" equalAverage="0" bottom="0" percent="0" rank="0" text="" dxfId="10">
      <formula>30</formula>
    </cfRule>
  </conditionalFormatting>
  <conditionalFormatting sqref="G894">
    <cfRule type="cellIs" priority="2666" operator="greaterThan" aboveAverage="0" equalAverage="0" bottom="0" percent="0" rank="0" text="" dxfId="1">
      <formula>0</formula>
    </cfRule>
    <cfRule type="cellIs" priority="2667" operator="lessThanOrEqual" aboveAverage="0" equalAverage="0" bottom="0" percent="0" rank="0" text="" dxfId="0">
      <formula>0</formula>
    </cfRule>
  </conditionalFormatting>
  <conditionalFormatting sqref="F894">
    <cfRule type="cellIs" priority="2668" operator="greaterThan" aboveAverage="0" equalAverage="0" bottom="0" percent="0" rank="0" text="" dxfId="10">
      <formula>30</formula>
    </cfRule>
  </conditionalFormatting>
  <conditionalFormatting sqref="G895">
    <cfRule type="cellIs" priority="2669" operator="greaterThan" aboveAverage="0" equalAverage="0" bottom="0" percent="0" rank="0" text="" dxfId="1">
      <formula>0</formula>
    </cfRule>
    <cfRule type="cellIs" priority="2670" operator="lessThanOrEqual" aboveAverage="0" equalAverage="0" bottom="0" percent="0" rank="0" text="" dxfId="0">
      <formula>0</formula>
    </cfRule>
  </conditionalFormatting>
  <conditionalFormatting sqref="F895">
    <cfRule type="cellIs" priority="2671" operator="greaterThan" aboveAverage="0" equalAverage="0" bottom="0" percent="0" rank="0" text="" dxfId="10">
      <formula>30</formula>
    </cfRule>
  </conditionalFormatting>
  <conditionalFormatting sqref="G896">
    <cfRule type="cellIs" priority="2672" operator="greaterThan" aboveAverage="0" equalAverage="0" bottom="0" percent="0" rank="0" text="" dxfId="1">
      <formula>0</formula>
    </cfRule>
    <cfRule type="cellIs" priority="2673" operator="lessThanOrEqual" aboveAverage="0" equalAverage="0" bottom="0" percent="0" rank="0" text="" dxfId="0">
      <formula>0</formula>
    </cfRule>
  </conditionalFormatting>
  <conditionalFormatting sqref="F896">
    <cfRule type="cellIs" priority="2674" operator="greaterThan" aboveAverage="0" equalAverage="0" bottom="0" percent="0" rank="0" text="" dxfId="10">
      <formula>30</formula>
    </cfRule>
  </conditionalFormatting>
  <conditionalFormatting sqref="G897">
    <cfRule type="cellIs" priority="2675" operator="greaterThan" aboveAverage="0" equalAverage="0" bottom="0" percent="0" rank="0" text="" dxfId="1">
      <formula>0</formula>
    </cfRule>
    <cfRule type="cellIs" priority="2676" operator="lessThanOrEqual" aboveAverage="0" equalAverage="0" bottom="0" percent="0" rank="0" text="" dxfId="0">
      <formula>0</formula>
    </cfRule>
  </conditionalFormatting>
  <conditionalFormatting sqref="F897">
    <cfRule type="cellIs" priority="2677" operator="greaterThan" aboveAverage="0" equalAverage="0" bottom="0" percent="0" rank="0" text="" dxfId="10">
      <formula>30</formula>
    </cfRule>
  </conditionalFormatting>
  <conditionalFormatting sqref="G898">
    <cfRule type="cellIs" priority="2678" operator="greaterThan" aboveAverage="0" equalAverage="0" bottom="0" percent="0" rank="0" text="" dxfId="1">
      <formula>0</formula>
    </cfRule>
    <cfRule type="cellIs" priority="2679" operator="lessThanOrEqual" aboveAverage="0" equalAverage="0" bottom="0" percent="0" rank="0" text="" dxfId="0">
      <formula>0</formula>
    </cfRule>
  </conditionalFormatting>
  <conditionalFormatting sqref="F898">
    <cfRule type="cellIs" priority="2680" operator="greaterThan" aboveAverage="0" equalAverage="0" bottom="0" percent="0" rank="0" text="" dxfId="10">
      <formula>30</formula>
    </cfRule>
  </conditionalFormatting>
  <conditionalFormatting sqref="G899">
    <cfRule type="cellIs" priority="2681" operator="greaterThan" aboveAverage="0" equalAverage="0" bottom="0" percent="0" rank="0" text="" dxfId="1">
      <formula>0</formula>
    </cfRule>
    <cfRule type="cellIs" priority="2682" operator="lessThanOrEqual" aboveAverage="0" equalAverage="0" bottom="0" percent="0" rank="0" text="" dxfId="0">
      <formula>0</formula>
    </cfRule>
  </conditionalFormatting>
  <conditionalFormatting sqref="F899">
    <cfRule type="cellIs" priority="2683" operator="greaterThan" aboveAverage="0" equalAverage="0" bottom="0" percent="0" rank="0" text="" dxfId="10">
      <formula>30</formula>
    </cfRule>
  </conditionalFormatting>
  <conditionalFormatting sqref="G900">
    <cfRule type="cellIs" priority="2684" operator="greaterThan" aboveAverage="0" equalAverage="0" bottom="0" percent="0" rank="0" text="" dxfId="1">
      <formula>0</formula>
    </cfRule>
    <cfRule type="cellIs" priority="2685" operator="lessThanOrEqual" aboveAverage="0" equalAverage="0" bottom="0" percent="0" rank="0" text="" dxfId="0">
      <formula>0</formula>
    </cfRule>
  </conditionalFormatting>
  <conditionalFormatting sqref="F900">
    <cfRule type="cellIs" priority="2686" operator="greaterThan" aboveAverage="0" equalAverage="0" bottom="0" percent="0" rank="0" text="" dxfId="10">
      <formula>30</formula>
    </cfRule>
  </conditionalFormatting>
  <conditionalFormatting sqref="G901">
    <cfRule type="cellIs" priority="2687" operator="greaterThan" aboveAverage="0" equalAverage="0" bottom="0" percent="0" rank="0" text="" dxfId="1">
      <formula>0</formula>
    </cfRule>
    <cfRule type="cellIs" priority="2688" operator="lessThanOrEqual" aboveAverage="0" equalAverage="0" bottom="0" percent="0" rank="0" text="" dxfId="0">
      <formula>0</formula>
    </cfRule>
  </conditionalFormatting>
  <conditionalFormatting sqref="F901">
    <cfRule type="cellIs" priority="2689" operator="greaterThan" aboveAverage="0" equalAverage="0" bottom="0" percent="0" rank="0" text="" dxfId="10">
      <formula>30</formula>
    </cfRule>
  </conditionalFormatting>
  <conditionalFormatting sqref="G902">
    <cfRule type="cellIs" priority="2690" operator="greaterThan" aboveAverage="0" equalAverage="0" bottom="0" percent="0" rank="0" text="" dxfId="1">
      <formula>0</formula>
    </cfRule>
    <cfRule type="cellIs" priority="2691" operator="lessThanOrEqual" aboveAverage="0" equalAverage="0" bottom="0" percent="0" rank="0" text="" dxfId="0">
      <formula>0</formula>
    </cfRule>
  </conditionalFormatting>
  <conditionalFormatting sqref="F902">
    <cfRule type="cellIs" priority="2692" operator="greaterThan" aboveAverage="0" equalAverage="0" bottom="0" percent="0" rank="0" text="" dxfId="10">
      <formula>30</formula>
    </cfRule>
  </conditionalFormatting>
  <conditionalFormatting sqref="G903">
    <cfRule type="cellIs" priority="2693" operator="greaterThan" aboveAverage="0" equalAverage="0" bottom="0" percent="0" rank="0" text="" dxfId="1">
      <formula>0</formula>
    </cfRule>
    <cfRule type="cellIs" priority="2694" operator="lessThanOrEqual" aboveAverage="0" equalAverage="0" bottom="0" percent="0" rank="0" text="" dxfId="0">
      <formula>0</formula>
    </cfRule>
  </conditionalFormatting>
  <conditionalFormatting sqref="F903">
    <cfRule type="cellIs" priority="2695" operator="greaterThan" aboveAverage="0" equalAverage="0" bottom="0" percent="0" rank="0" text="" dxfId="10">
      <formula>30</formula>
    </cfRule>
  </conditionalFormatting>
  <conditionalFormatting sqref="G904">
    <cfRule type="cellIs" priority="2696" operator="greaterThan" aboveAverage="0" equalAverage="0" bottom="0" percent="0" rank="0" text="" dxfId="1">
      <formula>0</formula>
    </cfRule>
    <cfRule type="cellIs" priority="2697" operator="lessThanOrEqual" aboveAverage="0" equalAverage="0" bottom="0" percent="0" rank="0" text="" dxfId="0">
      <formula>0</formula>
    </cfRule>
  </conditionalFormatting>
  <conditionalFormatting sqref="F904">
    <cfRule type="cellIs" priority="2698" operator="greaterThan" aboveAverage="0" equalAverage="0" bottom="0" percent="0" rank="0" text="" dxfId="10">
      <formula>30</formula>
    </cfRule>
  </conditionalFormatting>
  <conditionalFormatting sqref="G905">
    <cfRule type="cellIs" priority="2699" operator="greaterThan" aboveAverage="0" equalAverage="0" bottom="0" percent="0" rank="0" text="" dxfId="1">
      <formula>0</formula>
    </cfRule>
    <cfRule type="cellIs" priority="2700" operator="lessThanOrEqual" aboveAverage="0" equalAverage="0" bottom="0" percent="0" rank="0" text="" dxfId="0">
      <formula>0</formula>
    </cfRule>
  </conditionalFormatting>
  <conditionalFormatting sqref="F905">
    <cfRule type="cellIs" priority="2701" operator="greaterThan" aboveAverage="0" equalAverage="0" bottom="0" percent="0" rank="0" text="" dxfId="10">
      <formula>30</formula>
    </cfRule>
  </conditionalFormatting>
  <conditionalFormatting sqref="G906">
    <cfRule type="cellIs" priority="2702" operator="greaterThan" aboveAverage="0" equalAverage="0" bottom="0" percent="0" rank="0" text="" dxfId="1">
      <formula>0</formula>
    </cfRule>
    <cfRule type="cellIs" priority="2703" operator="lessThanOrEqual" aboveAverage="0" equalAverage="0" bottom="0" percent="0" rank="0" text="" dxfId="0">
      <formula>0</formula>
    </cfRule>
  </conditionalFormatting>
  <conditionalFormatting sqref="F906">
    <cfRule type="cellIs" priority="2704" operator="greaterThan" aboveAverage="0" equalAverage="0" bottom="0" percent="0" rank="0" text="" dxfId="10">
      <formula>30</formula>
    </cfRule>
  </conditionalFormatting>
  <conditionalFormatting sqref="G907">
    <cfRule type="cellIs" priority="2705" operator="greaterThan" aboveAverage="0" equalAverage="0" bottom="0" percent="0" rank="0" text="" dxfId="1">
      <formula>0</formula>
    </cfRule>
    <cfRule type="cellIs" priority="2706" operator="lessThanOrEqual" aboveAverage="0" equalAverage="0" bottom="0" percent="0" rank="0" text="" dxfId="0">
      <formula>0</formula>
    </cfRule>
  </conditionalFormatting>
  <conditionalFormatting sqref="F907">
    <cfRule type="cellIs" priority="2707" operator="greaterThan" aboveAverage="0" equalAverage="0" bottom="0" percent="0" rank="0" text="" dxfId="10">
      <formula>30</formula>
    </cfRule>
  </conditionalFormatting>
  <conditionalFormatting sqref="G908">
    <cfRule type="cellIs" priority="2708" operator="greaterThan" aboveAverage="0" equalAverage="0" bottom="0" percent="0" rank="0" text="" dxfId="1">
      <formula>0</formula>
    </cfRule>
    <cfRule type="cellIs" priority="2709" operator="lessThanOrEqual" aboveAverage="0" equalAverage="0" bottom="0" percent="0" rank="0" text="" dxfId="0">
      <formula>0</formula>
    </cfRule>
  </conditionalFormatting>
  <conditionalFormatting sqref="F908">
    <cfRule type="cellIs" priority="2710" operator="greaterThan" aboveAverage="0" equalAverage="0" bottom="0" percent="0" rank="0" text="" dxfId="10">
      <formula>30</formula>
    </cfRule>
  </conditionalFormatting>
  <conditionalFormatting sqref="G909">
    <cfRule type="cellIs" priority="2711" operator="greaterThan" aboveAverage="0" equalAverage="0" bottom="0" percent="0" rank="0" text="" dxfId="1">
      <formula>0</formula>
    </cfRule>
    <cfRule type="cellIs" priority="2712" operator="lessThanOrEqual" aboveAverage="0" equalAverage="0" bottom="0" percent="0" rank="0" text="" dxfId="0">
      <formula>0</formula>
    </cfRule>
  </conditionalFormatting>
  <conditionalFormatting sqref="F909">
    <cfRule type="cellIs" priority="2713" operator="greaterThan" aboveAverage="0" equalAverage="0" bottom="0" percent="0" rank="0" text="" dxfId="10">
      <formula>30</formula>
    </cfRule>
  </conditionalFormatting>
  <conditionalFormatting sqref="G910">
    <cfRule type="cellIs" priority="2714" operator="greaterThan" aboveAverage="0" equalAverage="0" bottom="0" percent="0" rank="0" text="" dxfId="1">
      <formula>0</formula>
    </cfRule>
    <cfRule type="cellIs" priority="2715" operator="lessThanOrEqual" aboveAverage="0" equalAverage="0" bottom="0" percent="0" rank="0" text="" dxfId="0">
      <formula>0</formula>
    </cfRule>
  </conditionalFormatting>
  <conditionalFormatting sqref="F910">
    <cfRule type="cellIs" priority="2716" operator="greaterThan" aboveAverage="0" equalAverage="0" bottom="0" percent="0" rank="0" text="" dxfId="10">
      <formula>30</formula>
    </cfRule>
  </conditionalFormatting>
  <conditionalFormatting sqref="G911">
    <cfRule type="cellIs" priority="2717" operator="greaterThan" aboveAverage="0" equalAverage="0" bottom="0" percent="0" rank="0" text="" dxfId="1">
      <formula>0</formula>
    </cfRule>
    <cfRule type="cellIs" priority="2718" operator="lessThanOrEqual" aboveAverage="0" equalAverage="0" bottom="0" percent="0" rank="0" text="" dxfId="0">
      <formula>0</formula>
    </cfRule>
  </conditionalFormatting>
  <conditionalFormatting sqref="F911">
    <cfRule type="cellIs" priority="2719" operator="greaterThan" aboveAverage="0" equalAverage="0" bottom="0" percent="0" rank="0" text="" dxfId="10">
      <formula>30</formula>
    </cfRule>
  </conditionalFormatting>
  <conditionalFormatting sqref="G912">
    <cfRule type="cellIs" priority="2720" operator="greaterThan" aboveAverage="0" equalAverage="0" bottom="0" percent="0" rank="0" text="" dxfId="1">
      <formula>0</formula>
    </cfRule>
    <cfRule type="cellIs" priority="2721" operator="lessThanOrEqual" aboveAverage="0" equalAverage="0" bottom="0" percent="0" rank="0" text="" dxfId="0">
      <formula>0</formula>
    </cfRule>
  </conditionalFormatting>
  <conditionalFormatting sqref="F912">
    <cfRule type="cellIs" priority="2722" operator="greaterThan" aboveAverage="0" equalAverage="0" bottom="0" percent="0" rank="0" text="" dxfId="10">
      <formula>30</formula>
    </cfRule>
  </conditionalFormatting>
  <conditionalFormatting sqref="G913">
    <cfRule type="cellIs" priority="2723" operator="greaterThan" aboveAverage="0" equalAverage="0" bottom="0" percent="0" rank="0" text="" dxfId="1">
      <formula>0</formula>
    </cfRule>
    <cfRule type="cellIs" priority="2724" operator="lessThanOrEqual" aboveAverage="0" equalAverage="0" bottom="0" percent="0" rank="0" text="" dxfId="0">
      <formula>0</formula>
    </cfRule>
  </conditionalFormatting>
  <conditionalFormatting sqref="F913">
    <cfRule type="cellIs" priority="2725" operator="greaterThan" aboveAverage="0" equalAverage="0" bottom="0" percent="0" rank="0" text="" dxfId="10">
      <formula>30</formula>
    </cfRule>
  </conditionalFormatting>
  <conditionalFormatting sqref="G914">
    <cfRule type="cellIs" priority="2726" operator="greaterThan" aboveAverage="0" equalAverage="0" bottom="0" percent="0" rank="0" text="" dxfId="1">
      <formula>0</formula>
    </cfRule>
    <cfRule type="cellIs" priority="2727" operator="lessThanOrEqual" aboveAverage="0" equalAverage="0" bottom="0" percent="0" rank="0" text="" dxfId="0">
      <formula>0</formula>
    </cfRule>
  </conditionalFormatting>
  <conditionalFormatting sqref="F914">
    <cfRule type="cellIs" priority="2728" operator="greaterThan" aboveAverage="0" equalAverage="0" bottom="0" percent="0" rank="0" text="" dxfId="10">
      <formula>30</formula>
    </cfRule>
  </conditionalFormatting>
  <conditionalFormatting sqref="G915">
    <cfRule type="cellIs" priority="2729" operator="greaterThan" aboveAverage="0" equalAverage="0" bottom="0" percent="0" rank="0" text="" dxfId="1">
      <formula>0</formula>
    </cfRule>
    <cfRule type="cellIs" priority="2730" operator="lessThanOrEqual" aboveAverage="0" equalAverage="0" bottom="0" percent="0" rank="0" text="" dxfId="0">
      <formula>0</formula>
    </cfRule>
  </conditionalFormatting>
  <conditionalFormatting sqref="F915">
    <cfRule type="cellIs" priority="2731" operator="greaterThan" aboveAverage="0" equalAverage="0" bottom="0" percent="0" rank="0" text="" dxfId="10">
      <formula>30</formula>
    </cfRule>
  </conditionalFormatting>
  <conditionalFormatting sqref="G916">
    <cfRule type="cellIs" priority="2732" operator="greaterThan" aboveAverage="0" equalAverage="0" bottom="0" percent="0" rank="0" text="" dxfId="1">
      <formula>0</formula>
    </cfRule>
    <cfRule type="cellIs" priority="2733" operator="lessThanOrEqual" aboveAverage="0" equalAverage="0" bottom="0" percent="0" rank="0" text="" dxfId="0">
      <formula>0</formula>
    </cfRule>
  </conditionalFormatting>
  <conditionalFormatting sqref="F916">
    <cfRule type="cellIs" priority="2734" operator="greaterThan" aboveAverage="0" equalAverage="0" bottom="0" percent="0" rank="0" text="" dxfId="10">
      <formula>30</formula>
    </cfRule>
  </conditionalFormatting>
  <conditionalFormatting sqref="G917">
    <cfRule type="cellIs" priority="2735" operator="greaterThan" aboveAverage="0" equalAverage="0" bottom="0" percent="0" rank="0" text="" dxfId="1">
      <formula>0</formula>
    </cfRule>
    <cfRule type="cellIs" priority="2736" operator="lessThanOrEqual" aboveAverage="0" equalAverage="0" bottom="0" percent="0" rank="0" text="" dxfId="0">
      <formula>0</formula>
    </cfRule>
  </conditionalFormatting>
  <conditionalFormatting sqref="F917">
    <cfRule type="cellIs" priority="2737" operator="greaterThan" aboveAverage="0" equalAverage="0" bottom="0" percent="0" rank="0" text="" dxfId="10">
      <formula>30</formula>
    </cfRule>
  </conditionalFormatting>
  <conditionalFormatting sqref="G918">
    <cfRule type="cellIs" priority="2738" operator="greaterThan" aboveAverage="0" equalAverage="0" bottom="0" percent="0" rank="0" text="" dxfId="1">
      <formula>0</formula>
    </cfRule>
    <cfRule type="cellIs" priority="2739" operator="lessThanOrEqual" aboveAverage="0" equalAverage="0" bottom="0" percent="0" rank="0" text="" dxfId="0">
      <formula>0</formula>
    </cfRule>
  </conditionalFormatting>
  <conditionalFormatting sqref="F918">
    <cfRule type="cellIs" priority="2740" operator="greaterThan" aboveAverage="0" equalAverage="0" bottom="0" percent="0" rank="0" text="" dxfId="10">
      <formula>30</formula>
    </cfRule>
  </conditionalFormatting>
  <conditionalFormatting sqref="G919">
    <cfRule type="cellIs" priority="2741" operator="greaterThan" aboveAverage="0" equalAverage="0" bottom="0" percent="0" rank="0" text="" dxfId="1">
      <formula>0</formula>
    </cfRule>
    <cfRule type="cellIs" priority="2742" operator="lessThanOrEqual" aboveAverage="0" equalAverage="0" bottom="0" percent="0" rank="0" text="" dxfId="0">
      <formula>0</formula>
    </cfRule>
  </conditionalFormatting>
  <conditionalFormatting sqref="F919">
    <cfRule type="cellIs" priority="2743" operator="greaterThan" aboveAverage="0" equalAverage="0" bottom="0" percent="0" rank="0" text="" dxfId="10">
      <formula>30</formula>
    </cfRule>
  </conditionalFormatting>
  <conditionalFormatting sqref="G920">
    <cfRule type="cellIs" priority="2744" operator="greaterThan" aboveAverage="0" equalAverage="0" bottom="0" percent="0" rank="0" text="" dxfId="1">
      <formula>0</formula>
    </cfRule>
    <cfRule type="cellIs" priority="2745" operator="lessThanOrEqual" aboveAverage="0" equalAverage="0" bottom="0" percent="0" rank="0" text="" dxfId="0">
      <formula>0</formula>
    </cfRule>
  </conditionalFormatting>
  <conditionalFormatting sqref="F920">
    <cfRule type="cellIs" priority="2746" operator="greaterThan" aboveAverage="0" equalAverage="0" bottom="0" percent="0" rank="0" text="" dxfId="10">
      <formula>30</formula>
    </cfRule>
  </conditionalFormatting>
  <conditionalFormatting sqref="G921">
    <cfRule type="cellIs" priority="2747" operator="greaterThan" aboveAverage="0" equalAverage="0" bottom="0" percent="0" rank="0" text="" dxfId="1">
      <formula>0</formula>
    </cfRule>
    <cfRule type="cellIs" priority="2748" operator="lessThanOrEqual" aboveAverage="0" equalAverage="0" bottom="0" percent="0" rank="0" text="" dxfId="0">
      <formula>0</formula>
    </cfRule>
  </conditionalFormatting>
  <conditionalFormatting sqref="F921">
    <cfRule type="cellIs" priority="2749" operator="greaterThan" aboveAverage="0" equalAverage="0" bottom="0" percent="0" rank="0" text="" dxfId="10">
      <formula>30</formula>
    </cfRule>
  </conditionalFormatting>
  <conditionalFormatting sqref="G922">
    <cfRule type="cellIs" priority="2750" operator="greaterThan" aboveAverage="0" equalAverage="0" bottom="0" percent="0" rank="0" text="" dxfId="1">
      <formula>0</formula>
    </cfRule>
    <cfRule type="cellIs" priority="2751" operator="lessThanOrEqual" aboveAverage="0" equalAverage="0" bottom="0" percent="0" rank="0" text="" dxfId="0">
      <formula>0</formula>
    </cfRule>
  </conditionalFormatting>
  <conditionalFormatting sqref="F922">
    <cfRule type="cellIs" priority="2752" operator="greaterThan" aboveAverage="0" equalAverage="0" bottom="0" percent="0" rank="0" text="" dxfId="10">
      <formula>30</formula>
    </cfRule>
  </conditionalFormatting>
  <conditionalFormatting sqref="G923">
    <cfRule type="cellIs" priority="2753" operator="greaterThan" aboveAverage="0" equalAverage="0" bottom="0" percent="0" rank="0" text="" dxfId="1">
      <formula>0</formula>
    </cfRule>
    <cfRule type="cellIs" priority="2754" operator="lessThanOrEqual" aboveAverage="0" equalAverage="0" bottom="0" percent="0" rank="0" text="" dxfId="0">
      <formula>0</formula>
    </cfRule>
  </conditionalFormatting>
  <conditionalFormatting sqref="F923">
    <cfRule type="cellIs" priority="2755" operator="greaterThan" aboveAverage="0" equalAverage="0" bottom="0" percent="0" rank="0" text="" dxfId="10">
      <formula>30</formula>
    </cfRule>
  </conditionalFormatting>
  <conditionalFormatting sqref="G924">
    <cfRule type="cellIs" priority="2756" operator="greaterThan" aboveAverage="0" equalAverage="0" bottom="0" percent="0" rank="0" text="" dxfId="1">
      <formula>0</formula>
    </cfRule>
    <cfRule type="cellIs" priority="2757" operator="lessThanOrEqual" aboveAverage="0" equalAverage="0" bottom="0" percent="0" rank="0" text="" dxfId="0">
      <formula>0</formula>
    </cfRule>
  </conditionalFormatting>
  <conditionalFormatting sqref="F924">
    <cfRule type="cellIs" priority="2758" operator="greaterThan" aboveAverage="0" equalAverage="0" bottom="0" percent="0" rank="0" text="" dxfId="10">
      <formula>30</formula>
    </cfRule>
  </conditionalFormatting>
  <conditionalFormatting sqref="G925">
    <cfRule type="cellIs" priority="2759" operator="greaterThan" aboveAverage="0" equalAverage="0" bottom="0" percent="0" rank="0" text="" dxfId="1">
      <formula>0</formula>
    </cfRule>
    <cfRule type="cellIs" priority="2760" operator="lessThanOrEqual" aboveAverage="0" equalAverage="0" bottom="0" percent="0" rank="0" text="" dxfId="0">
      <formula>0</formula>
    </cfRule>
  </conditionalFormatting>
  <conditionalFormatting sqref="F925">
    <cfRule type="cellIs" priority="2761" operator="greaterThan" aboveAverage="0" equalAverage="0" bottom="0" percent="0" rank="0" text="" dxfId="10">
      <formula>30</formula>
    </cfRule>
  </conditionalFormatting>
  <conditionalFormatting sqref="G926">
    <cfRule type="cellIs" priority="2762" operator="greaterThan" aboveAverage="0" equalAverage="0" bottom="0" percent="0" rank="0" text="" dxfId="1">
      <formula>0</formula>
    </cfRule>
    <cfRule type="cellIs" priority="2763" operator="lessThanOrEqual" aboveAverage="0" equalAverage="0" bottom="0" percent="0" rank="0" text="" dxfId="0">
      <formula>0</formula>
    </cfRule>
  </conditionalFormatting>
  <conditionalFormatting sqref="F926">
    <cfRule type="cellIs" priority="2764" operator="greaterThan" aboveAverage="0" equalAverage="0" bottom="0" percent="0" rank="0" text="" dxfId="10">
      <formula>30</formula>
    </cfRule>
  </conditionalFormatting>
  <conditionalFormatting sqref="G927">
    <cfRule type="cellIs" priority="2765" operator="greaterThan" aboveAverage="0" equalAverage="0" bottom="0" percent="0" rank="0" text="" dxfId="1">
      <formula>0</formula>
    </cfRule>
    <cfRule type="cellIs" priority="2766" operator="lessThanOrEqual" aboveAverage="0" equalAverage="0" bottom="0" percent="0" rank="0" text="" dxfId="0">
      <formula>0</formula>
    </cfRule>
  </conditionalFormatting>
  <conditionalFormatting sqref="F927">
    <cfRule type="cellIs" priority="2767" operator="greaterThan" aboveAverage="0" equalAverage="0" bottom="0" percent="0" rank="0" text="" dxfId="10">
      <formula>30</formula>
    </cfRule>
  </conditionalFormatting>
  <conditionalFormatting sqref="G928">
    <cfRule type="cellIs" priority="2768" operator="greaterThan" aboveAverage="0" equalAverage="0" bottom="0" percent="0" rank="0" text="" dxfId="1">
      <formula>0</formula>
    </cfRule>
    <cfRule type="cellIs" priority="2769" operator="lessThanOrEqual" aboveAverage="0" equalAverage="0" bottom="0" percent="0" rank="0" text="" dxfId="0">
      <formula>0</formula>
    </cfRule>
  </conditionalFormatting>
  <conditionalFormatting sqref="F928">
    <cfRule type="cellIs" priority="2770" operator="greaterThan" aboveAverage="0" equalAverage="0" bottom="0" percent="0" rank="0" text="" dxfId="10">
      <formula>30</formula>
    </cfRule>
  </conditionalFormatting>
  <conditionalFormatting sqref="G929">
    <cfRule type="cellIs" priority="2771" operator="greaterThan" aboveAverage="0" equalAverage="0" bottom="0" percent="0" rank="0" text="" dxfId="1">
      <formula>0</formula>
    </cfRule>
    <cfRule type="cellIs" priority="2772" operator="lessThanOrEqual" aboveAverage="0" equalAverage="0" bottom="0" percent="0" rank="0" text="" dxfId="0">
      <formula>0</formula>
    </cfRule>
  </conditionalFormatting>
  <conditionalFormatting sqref="F929">
    <cfRule type="cellIs" priority="2773" operator="greaterThan" aboveAverage="0" equalAverage="0" bottom="0" percent="0" rank="0" text="" dxfId="10">
      <formula>30</formula>
    </cfRule>
  </conditionalFormatting>
  <conditionalFormatting sqref="G930">
    <cfRule type="cellIs" priority="2774" operator="greaterThan" aboveAverage="0" equalAverage="0" bottom="0" percent="0" rank="0" text="" dxfId="1">
      <formula>0</formula>
    </cfRule>
    <cfRule type="cellIs" priority="2775" operator="lessThanOrEqual" aboveAverage="0" equalAverage="0" bottom="0" percent="0" rank="0" text="" dxfId="0">
      <formula>0</formula>
    </cfRule>
  </conditionalFormatting>
  <conditionalFormatting sqref="F930">
    <cfRule type="cellIs" priority="2776" operator="greaterThan" aboveAverage="0" equalAverage="0" bottom="0" percent="0" rank="0" text="" dxfId="10">
      <formula>30</formula>
    </cfRule>
  </conditionalFormatting>
  <conditionalFormatting sqref="G931">
    <cfRule type="cellIs" priority="2777" operator="greaterThan" aboveAverage="0" equalAverage="0" bottom="0" percent="0" rank="0" text="" dxfId="1">
      <formula>0</formula>
    </cfRule>
    <cfRule type="cellIs" priority="2778" operator="lessThanOrEqual" aboveAverage="0" equalAverage="0" bottom="0" percent="0" rank="0" text="" dxfId="0">
      <formula>0</formula>
    </cfRule>
  </conditionalFormatting>
  <conditionalFormatting sqref="F931">
    <cfRule type="cellIs" priority="2779" operator="greaterThan" aboveAverage="0" equalAverage="0" bottom="0" percent="0" rank="0" text="" dxfId="10">
      <formula>30</formula>
    </cfRule>
  </conditionalFormatting>
  <conditionalFormatting sqref="G932">
    <cfRule type="cellIs" priority="2780" operator="greaterThan" aboveAverage="0" equalAverage="0" bottom="0" percent="0" rank="0" text="" dxfId="1">
      <formula>0</formula>
    </cfRule>
    <cfRule type="cellIs" priority="2781" operator="lessThanOrEqual" aboveAverage="0" equalAverage="0" bottom="0" percent="0" rank="0" text="" dxfId="0">
      <formula>0</formula>
    </cfRule>
  </conditionalFormatting>
  <conditionalFormatting sqref="F932">
    <cfRule type="cellIs" priority="2782" operator="greaterThan" aboveAverage="0" equalAverage="0" bottom="0" percent="0" rank="0" text="" dxfId="10">
      <formula>30</formula>
    </cfRule>
  </conditionalFormatting>
  <conditionalFormatting sqref="G933">
    <cfRule type="cellIs" priority="2783" operator="greaterThan" aboveAverage="0" equalAverage="0" bottom="0" percent="0" rank="0" text="" dxfId="1">
      <formula>0</formula>
    </cfRule>
    <cfRule type="cellIs" priority="2784" operator="lessThanOrEqual" aboveAverage="0" equalAverage="0" bottom="0" percent="0" rank="0" text="" dxfId="0">
      <formula>0</formula>
    </cfRule>
  </conditionalFormatting>
  <conditionalFormatting sqref="F933">
    <cfRule type="cellIs" priority="2785" operator="greaterThan" aboveAverage="0" equalAverage="0" bottom="0" percent="0" rank="0" text="" dxfId="10">
      <formula>30</formula>
    </cfRule>
  </conditionalFormatting>
  <conditionalFormatting sqref="G934">
    <cfRule type="cellIs" priority="2786" operator="greaterThan" aboveAverage="0" equalAverage="0" bottom="0" percent="0" rank="0" text="" dxfId="1">
      <formula>0</formula>
    </cfRule>
    <cfRule type="cellIs" priority="2787" operator="lessThanOrEqual" aboveAverage="0" equalAverage="0" bottom="0" percent="0" rank="0" text="" dxfId="0">
      <formula>0</formula>
    </cfRule>
  </conditionalFormatting>
  <conditionalFormatting sqref="F934">
    <cfRule type="cellIs" priority="2788" operator="greaterThan" aboveAverage="0" equalAverage="0" bottom="0" percent="0" rank="0" text="" dxfId="10">
      <formula>30</formula>
    </cfRule>
  </conditionalFormatting>
  <conditionalFormatting sqref="G935">
    <cfRule type="cellIs" priority="2789" operator="greaterThan" aboveAverage="0" equalAverage="0" bottom="0" percent="0" rank="0" text="" dxfId="1">
      <formula>0</formula>
    </cfRule>
    <cfRule type="cellIs" priority="2790" operator="lessThanOrEqual" aboveAverage="0" equalAverage="0" bottom="0" percent="0" rank="0" text="" dxfId="0">
      <formula>0</formula>
    </cfRule>
  </conditionalFormatting>
  <conditionalFormatting sqref="F935">
    <cfRule type="cellIs" priority="2791" operator="greaterThan" aboveAverage="0" equalAverage="0" bottom="0" percent="0" rank="0" text="" dxfId="10">
      <formula>30</formula>
    </cfRule>
  </conditionalFormatting>
  <conditionalFormatting sqref="G936">
    <cfRule type="cellIs" priority="2792" operator="greaterThan" aboveAverage="0" equalAverage="0" bottom="0" percent="0" rank="0" text="" dxfId="1">
      <formula>0</formula>
    </cfRule>
    <cfRule type="cellIs" priority="2793" operator="lessThanOrEqual" aboveAverage="0" equalAverage="0" bottom="0" percent="0" rank="0" text="" dxfId="0">
      <formula>0</formula>
    </cfRule>
  </conditionalFormatting>
  <conditionalFormatting sqref="F936">
    <cfRule type="cellIs" priority="2794" operator="greaterThan" aboveAverage="0" equalAverage="0" bottom="0" percent="0" rank="0" text="" dxfId="10">
      <formula>30</formula>
    </cfRule>
  </conditionalFormatting>
  <conditionalFormatting sqref="G937">
    <cfRule type="cellIs" priority="2795" operator="greaterThan" aboveAverage="0" equalAverage="0" bottom="0" percent="0" rank="0" text="" dxfId="1">
      <formula>0</formula>
    </cfRule>
    <cfRule type="cellIs" priority="2796" operator="lessThanOrEqual" aboveAverage="0" equalAverage="0" bottom="0" percent="0" rank="0" text="" dxfId="0">
      <formula>0</formula>
    </cfRule>
  </conditionalFormatting>
  <conditionalFormatting sqref="F937">
    <cfRule type="cellIs" priority="2797" operator="greaterThan" aboveAverage="0" equalAverage="0" bottom="0" percent="0" rank="0" text="" dxfId="10">
      <formula>30</formula>
    </cfRule>
  </conditionalFormatting>
  <conditionalFormatting sqref="G938">
    <cfRule type="cellIs" priority="2798" operator="greaterThan" aboveAverage="0" equalAverage="0" bottom="0" percent="0" rank="0" text="" dxfId="1">
      <formula>0</formula>
    </cfRule>
    <cfRule type="cellIs" priority="2799" operator="lessThanOrEqual" aboveAverage="0" equalAverage="0" bottom="0" percent="0" rank="0" text="" dxfId="0">
      <formula>0</formula>
    </cfRule>
  </conditionalFormatting>
  <conditionalFormatting sqref="F938">
    <cfRule type="cellIs" priority="2800" operator="greaterThan" aboveAverage="0" equalAverage="0" bottom="0" percent="0" rank="0" text="" dxfId="10">
      <formula>30</formula>
    </cfRule>
  </conditionalFormatting>
  <conditionalFormatting sqref="G939">
    <cfRule type="cellIs" priority="2801" operator="greaterThan" aboveAverage="0" equalAverage="0" bottom="0" percent="0" rank="0" text="" dxfId="1">
      <formula>0</formula>
    </cfRule>
    <cfRule type="cellIs" priority="2802" operator="lessThanOrEqual" aboveAverage="0" equalAverage="0" bottom="0" percent="0" rank="0" text="" dxfId="0">
      <formula>0</formula>
    </cfRule>
  </conditionalFormatting>
  <conditionalFormatting sqref="F939">
    <cfRule type="cellIs" priority="2803" operator="greaterThan" aboveAverage="0" equalAverage="0" bottom="0" percent="0" rank="0" text="" dxfId="10">
      <formula>30</formula>
    </cfRule>
  </conditionalFormatting>
  <conditionalFormatting sqref="G940">
    <cfRule type="cellIs" priority="2804" operator="greaterThan" aboveAverage="0" equalAverage="0" bottom="0" percent="0" rank="0" text="" dxfId="1">
      <formula>0</formula>
    </cfRule>
    <cfRule type="cellIs" priority="2805" operator="lessThanOrEqual" aboveAverage="0" equalAverage="0" bottom="0" percent="0" rank="0" text="" dxfId="0">
      <formula>0</formula>
    </cfRule>
  </conditionalFormatting>
  <conditionalFormatting sqref="F940">
    <cfRule type="cellIs" priority="2806" operator="greaterThan" aboveAverage="0" equalAverage="0" bottom="0" percent="0" rank="0" text="" dxfId="10">
      <formula>30</formula>
    </cfRule>
  </conditionalFormatting>
  <conditionalFormatting sqref="G941">
    <cfRule type="cellIs" priority="2807" operator="greaterThan" aboveAverage="0" equalAverage="0" bottom="0" percent="0" rank="0" text="" dxfId="1">
      <formula>0</formula>
    </cfRule>
    <cfRule type="cellIs" priority="2808" operator="lessThanOrEqual" aboveAverage="0" equalAverage="0" bottom="0" percent="0" rank="0" text="" dxfId="0">
      <formula>0</formula>
    </cfRule>
  </conditionalFormatting>
  <conditionalFormatting sqref="F941">
    <cfRule type="cellIs" priority="2809" operator="greaterThan" aboveAverage="0" equalAverage="0" bottom="0" percent="0" rank="0" text="" dxfId="10">
      <formula>30</formula>
    </cfRule>
  </conditionalFormatting>
  <conditionalFormatting sqref="G942">
    <cfRule type="cellIs" priority="2810" operator="greaterThan" aboveAverage="0" equalAverage="0" bottom="0" percent="0" rank="0" text="" dxfId="1">
      <formula>0</formula>
    </cfRule>
    <cfRule type="cellIs" priority="2811" operator="lessThanOrEqual" aboveAverage="0" equalAverage="0" bottom="0" percent="0" rank="0" text="" dxfId="0">
      <formula>0</formula>
    </cfRule>
  </conditionalFormatting>
  <conditionalFormatting sqref="F942">
    <cfRule type="cellIs" priority="2812" operator="greaterThan" aboveAverage="0" equalAverage="0" bottom="0" percent="0" rank="0" text="" dxfId="10">
      <formula>30</formula>
    </cfRule>
  </conditionalFormatting>
  <conditionalFormatting sqref="G943">
    <cfRule type="cellIs" priority="2813" operator="greaterThan" aboveAverage="0" equalAverage="0" bottom="0" percent="0" rank="0" text="" dxfId="1">
      <formula>0</formula>
    </cfRule>
    <cfRule type="cellIs" priority="2814" operator="lessThanOrEqual" aboveAverage="0" equalAverage="0" bottom="0" percent="0" rank="0" text="" dxfId="0">
      <formula>0</formula>
    </cfRule>
  </conditionalFormatting>
  <conditionalFormatting sqref="F943">
    <cfRule type="cellIs" priority="2815" operator="greaterThan" aboveAverage="0" equalAverage="0" bottom="0" percent="0" rank="0" text="" dxfId="10">
      <formula>30</formula>
    </cfRule>
  </conditionalFormatting>
  <conditionalFormatting sqref="G944">
    <cfRule type="cellIs" priority="2816" operator="greaterThan" aboveAverage="0" equalAverage="0" bottom="0" percent="0" rank="0" text="" dxfId="1">
      <formula>0</formula>
    </cfRule>
    <cfRule type="cellIs" priority="2817" operator="lessThanOrEqual" aboveAverage="0" equalAverage="0" bottom="0" percent="0" rank="0" text="" dxfId="0">
      <formula>0</formula>
    </cfRule>
  </conditionalFormatting>
  <conditionalFormatting sqref="F944">
    <cfRule type="cellIs" priority="2818" operator="greaterThan" aboveAverage="0" equalAverage="0" bottom="0" percent="0" rank="0" text="" dxfId="10">
      <formula>30</formula>
    </cfRule>
  </conditionalFormatting>
  <conditionalFormatting sqref="G945">
    <cfRule type="cellIs" priority="2819" operator="greaterThan" aboveAverage="0" equalAverage="0" bottom="0" percent="0" rank="0" text="" dxfId="1">
      <formula>0</formula>
    </cfRule>
    <cfRule type="cellIs" priority="2820" operator="lessThanOrEqual" aboveAverage="0" equalAverage="0" bottom="0" percent="0" rank="0" text="" dxfId="0">
      <formula>0</formula>
    </cfRule>
  </conditionalFormatting>
  <conditionalFormatting sqref="F945">
    <cfRule type="cellIs" priority="2821" operator="greaterThan" aboveAverage="0" equalAverage="0" bottom="0" percent="0" rank="0" text="" dxfId="10">
      <formula>30</formula>
    </cfRule>
  </conditionalFormatting>
  <conditionalFormatting sqref="G946">
    <cfRule type="cellIs" priority="2822" operator="greaterThan" aboveAverage="0" equalAverage="0" bottom="0" percent="0" rank="0" text="" dxfId="1">
      <formula>0</formula>
    </cfRule>
    <cfRule type="cellIs" priority="2823" operator="lessThanOrEqual" aboveAverage="0" equalAverage="0" bottom="0" percent="0" rank="0" text="" dxfId="0">
      <formula>0</formula>
    </cfRule>
  </conditionalFormatting>
  <conditionalFormatting sqref="F946">
    <cfRule type="cellIs" priority="2824" operator="greaterThan" aboveAverage="0" equalAverage="0" bottom="0" percent="0" rank="0" text="" dxfId="10">
      <formula>30</formula>
    </cfRule>
  </conditionalFormatting>
  <conditionalFormatting sqref="G947">
    <cfRule type="cellIs" priority="2825" operator="greaterThan" aboveAverage="0" equalAverage="0" bottom="0" percent="0" rank="0" text="" dxfId="1">
      <formula>0</formula>
    </cfRule>
    <cfRule type="cellIs" priority="2826" operator="lessThanOrEqual" aboveAverage="0" equalAverage="0" bottom="0" percent="0" rank="0" text="" dxfId="0">
      <formula>0</formula>
    </cfRule>
  </conditionalFormatting>
  <conditionalFormatting sqref="F947">
    <cfRule type="cellIs" priority="2827" operator="greaterThan" aboveAverage="0" equalAverage="0" bottom="0" percent="0" rank="0" text="" dxfId="10">
      <formula>30</formula>
    </cfRule>
  </conditionalFormatting>
  <conditionalFormatting sqref="G948">
    <cfRule type="cellIs" priority="2828" operator="greaterThan" aboveAverage="0" equalAverage="0" bottom="0" percent="0" rank="0" text="" dxfId="1">
      <formula>0</formula>
    </cfRule>
    <cfRule type="cellIs" priority="2829" operator="lessThanOrEqual" aboveAverage="0" equalAverage="0" bottom="0" percent="0" rank="0" text="" dxfId="0">
      <formula>0</formula>
    </cfRule>
  </conditionalFormatting>
  <conditionalFormatting sqref="F948">
    <cfRule type="cellIs" priority="2830" operator="greaterThan" aboveAverage="0" equalAverage="0" bottom="0" percent="0" rank="0" text="" dxfId="10">
      <formula>30</formula>
    </cfRule>
  </conditionalFormatting>
  <conditionalFormatting sqref="G949">
    <cfRule type="cellIs" priority="2831" operator="greaterThan" aboveAverage="0" equalAverage="0" bottom="0" percent="0" rank="0" text="" dxfId="1">
      <formula>0</formula>
    </cfRule>
    <cfRule type="cellIs" priority="2832" operator="lessThanOrEqual" aboveAverage="0" equalAverage="0" bottom="0" percent="0" rank="0" text="" dxfId="0">
      <formula>0</formula>
    </cfRule>
  </conditionalFormatting>
  <conditionalFormatting sqref="F949">
    <cfRule type="cellIs" priority="2833" operator="greaterThan" aboveAverage="0" equalAverage="0" bottom="0" percent="0" rank="0" text="" dxfId="10">
      <formula>30</formula>
    </cfRule>
  </conditionalFormatting>
  <conditionalFormatting sqref="G950">
    <cfRule type="cellIs" priority="2834" operator="greaterThan" aboveAverage="0" equalAverage="0" bottom="0" percent="0" rank="0" text="" dxfId="1">
      <formula>0</formula>
    </cfRule>
    <cfRule type="cellIs" priority="2835" operator="lessThanOrEqual" aboveAverage="0" equalAverage="0" bottom="0" percent="0" rank="0" text="" dxfId="0">
      <formula>0</formula>
    </cfRule>
  </conditionalFormatting>
  <conditionalFormatting sqref="F950">
    <cfRule type="cellIs" priority="2836" operator="greaterThan" aboveAverage="0" equalAverage="0" bottom="0" percent="0" rank="0" text="" dxfId="10">
      <formula>30</formula>
    </cfRule>
  </conditionalFormatting>
  <conditionalFormatting sqref="G951">
    <cfRule type="cellIs" priority="2837" operator="greaterThan" aboveAverage="0" equalAverage="0" bottom="0" percent="0" rank="0" text="" dxfId="1">
      <formula>0</formula>
    </cfRule>
    <cfRule type="cellIs" priority="2838" operator="lessThanOrEqual" aboveAverage="0" equalAverage="0" bottom="0" percent="0" rank="0" text="" dxfId="0">
      <formula>0</formula>
    </cfRule>
  </conditionalFormatting>
  <conditionalFormatting sqref="F951">
    <cfRule type="cellIs" priority="2839" operator="greaterThan" aboveAverage="0" equalAverage="0" bottom="0" percent="0" rank="0" text="" dxfId="10">
      <formula>30</formula>
    </cfRule>
  </conditionalFormatting>
  <conditionalFormatting sqref="G952">
    <cfRule type="cellIs" priority="2840" operator="greaterThan" aboveAverage="0" equalAverage="0" bottom="0" percent="0" rank="0" text="" dxfId="1">
      <formula>0</formula>
    </cfRule>
    <cfRule type="cellIs" priority="2841" operator="lessThanOrEqual" aboveAverage="0" equalAverage="0" bottom="0" percent="0" rank="0" text="" dxfId="0">
      <formula>0</formula>
    </cfRule>
  </conditionalFormatting>
  <conditionalFormatting sqref="F952">
    <cfRule type="cellIs" priority="2842" operator="greaterThan" aboveAverage="0" equalAverage="0" bottom="0" percent="0" rank="0" text="" dxfId="10">
      <formula>30</formula>
    </cfRule>
  </conditionalFormatting>
  <conditionalFormatting sqref="G953">
    <cfRule type="cellIs" priority="2843" operator="greaterThan" aboveAverage="0" equalAverage="0" bottom="0" percent="0" rank="0" text="" dxfId="1">
      <formula>0</formula>
    </cfRule>
    <cfRule type="cellIs" priority="2844" operator="lessThanOrEqual" aboveAverage="0" equalAverage="0" bottom="0" percent="0" rank="0" text="" dxfId="0">
      <formula>0</formula>
    </cfRule>
  </conditionalFormatting>
  <conditionalFormatting sqref="F953">
    <cfRule type="cellIs" priority="2845" operator="greaterThan" aboveAverage="0" equalAverage="0" bottom="0" percent="0" rank="0" text="" dxfId="10">
      <formula>30</formula>
    </cfRule>
  </conditionalFormatting>
  <conditionalFormatting sqref="G954">
    <cfRule type="cellIs" priority="2846" operator="greaterThan" aboveAverage="0" equalAverage="0" bottom="0" percent="0" rank="0" text="" dxfId="1">
      <formula>0</formula>
    </cfRule>
    <cfRule type="cellIs" priority="2847" operator="lessThanOrEqual" aboveAverage="0" equalAverage="0" bottom="0" percent="0" rank="0" text="" dxfId="0">
      <formula>0</formula>
    </cfRule>
  </conditionalFormatting>
  <conditionalFormatting sqref="F954">
    <cfRule type="cellIs" priority="2848" operator="greaterThan" aboveAverage="0" equalAverage="0" bottom="0" percent="0" rank="0" text="" dxfId="10">
      <formula>30</formula>
    </cfRule>
  </conditionalFormatting>
  <conditionalFormatting sqref="G955">
    <cfRule type="cellIs" priority="2849" operator="greaterThan" aboveAverage="0" equalAverage="0" bottom="0" percent="0" rank="0" text="" dxfId="1">
      <formula>0</formula>
    </cfRule>
    <cfRule type="cellIs" priority="2850" operator="lessThanOrEqual" aboveAverage="0" equalAverage="0" bottom="0" percent="0" rank="0" text="" dxfId="0">
      <formula>0</formula>
    </cfRule>
  </conditionalFormatting>
  <conditionalFormatting sqref="F955">
    <cfRule type="cellIs" priority="2851" operator="greaterThan" aboveAverage="0" equalAverage="0" bottom="0" percent="0" rank="0" text="" dxfId="10">
      <formula>30</formula>
    </cfRule>
  </conditionalFormatting>
  <conditionalFormatting sqref="G956">
    <cfRule type="cellIs" priority="2852" operator="greaterThan" aboveAverage="0" equalAverage="0" bottom="0" percent="0" rank="0" text="" dxfId="1">
      <formula>0</formula>
    </cfRule>
    <cfRule type="cellIs" priority="2853" operator="lessThanOrEqual" aboveAverage="0" equalAverage="0" bottom="0" percent="0" rank="0" text="" dxfId="0">
      <formula>0</formula>
    </cfRule>
  </conditionalFormatting>
  <conditionalFormatting sqref="F956">
    <cfRule type="cellIs" priority="2854" operator="greaterThan" aboveAverage="0" equalAverage="0" bottom="0" percent="0" rank="0" text="" dxfId="10">
      <formula>30</formula>
    </cfRule>
  </conditionalFormatting>
  <conditionalFormatting sqref="G957">
    <cfRule type="cellIs" priority="2855" operator="greaterThan" aboveAverage="0" equalAverage="0" bottom="0" percent="0" rank="0" text="" dxfId="1">
      <formula>0</formula>
    </cfRule>
    <cfRule type="cellIs" priority="2856" operator="lessThanOrEqual" aboveAverage="0" equalAverage="0" bottom="0" percent="0" rank="0" text="" dxfId="0">
      <formula>0</formula>
    </cfRule>
  </conditionalFormatting>
  <conditionalFormatting sqref="F957">
    <cfRule type="cellIs" priority="2857" operator="greaterThan" aboveAverage="0" equalAverage="0" bottom="0" percent="0" rank="0" text="" dxfId="10">
      <formula>30</formula>
    </cfRule>
  </conditionalFormatting>
  <conditionalFormatting sqref="G958">
    <cfRule type="cellIs" priority="2858" operator="greaterThan" aboveAverage="0" equalAverage="0" bottom="0" percent="0" rank="0" text="" dxfId="1">
      <formula>0</formula>
    </cfRule>
    <cfRule type="cellIs" priority="2859" operator="lessThanOrEqual" aboveAverage="0" equalAverage="0" bottom="0" percent="0" rank="0" text="" dxfId="0">
      <formula>0</formula>
    </cfRule>
  </conditionalFormatting>
  <conditionalFormatting sqref="F958">
    <cfRule type="cellIs" priority="2860" operator="greaterThan" aboveAverage="0" equalAverage="0" bottom="0" percent="0" rank="0" text="" dxfId="10">
      <formula>30</formula>
    </cfRule>
  </conditionalFormatting>
  <conditionalFormatting sqref="G959">
    <cfRule type="cellIs" priority="2861" operator="greaterThan" aboveAverage="0" equalAverage="0" bottom="0" percent="0" rank="0" text="" dxfId="1">
      <formula>0</formula>
    </cfRule>
    <cfRule type="cellIs" priority="2862" operator="lessThanOrEqual" aboveAverage="0" equalAverage="0" bottom="0" percent="0" rank="0" text="" dxfId="0">
      <formula>0</formula>
    </cfRule>
  </conditionalFormatting>
  <conditionalFormatting sqref="F959">
    <cfRule type="cellIs" priority="2863" operator="greaterThan" aboveAverage="0" equalAverage="0" bottom="0" percent="0" rank="0" text="" dxfId="10">
      <formula>30</formula>
    </cfRule>
  </conditionalFormatting>
  <conditionalFormatting sqref="G960">
    <cfRule type="cellIs" priority="2864" operator="greaterThan" aboveAverage="0" equalAverage="0" bottom="0" percent="0" rank="0" text="" dxfId="1">
      <formula>0</formula>
    </cfRule>
    <cfRule type="cellIs" priority="2865" operator="lessThanOrEqual" aboveAverage="0" equalAverage="0" bottom="0" percent="0" rank="0" text="" dxfId="0">
      <formula>0</formula>
    </cfRule>
  </conditionalFormatting>
  <conditionalFormatting sqref="F960">
    <cfRule type="cellIs" priority="2866" operator="greaterThan" aboveAverage="0" equalAverage="0" bottom="0" percent="0" rank="0" text="" dxfId="10">
      <formula>30</formula>
    </cfRule>
  </conditionalFormatting>
  <conditionalFormatting sqref="G961">
    <cfRule type="cellIs" priority="2867" operator="greaterThan" aboveAverage="0" equalAverage="0" bottom="0" percent="0" rank="0" text="" dxfId="1">
      <formula>0</formula>
    </cfRule>
    <cfRule type="cellIs" priority="2868" operator="lessThanOrEqual" aboveAverage="0" equalAverage="0" bottom="0" percent="0" rank="0" text="" dxfId="0">
      <formula>0</formula>
    </cfRule>
  </conditionalFormatting>
  <conditionalFormatting sqref="F961">
    <cfRule type="cellIs" priority="2869" operator="greaterThan" aboveAverage="0" equalAverage="0" bottom="0" percent="0" rank="0" text="" dxfId="10">
      <formula>30</formula>
    </cfRule>
  </conditionalFormatting>
  <conditionalFormatting sqref="G962">
    <cfRule type="cellIs" priority="2870" operator="greaterThan" aboveAverage="0" equalAverage="0" bottom="0" percent="0" rank="0" text="" dxfId="1">
      <formula>0</formula>
    </cfRule>
    <cfRule type="cellIs" priority="2871" operator="lessThanOrEqual" aboveAverage="0" equalAverage="0" bottom="0" percent="0" rank="0" text="" dxfId="0">
      <formula>0</formula>
    </cfRule>
  </conditionalFormatting>
  <conditionalFormatting sqref="F962">
    <cfRule type="cellIs" priority="2872" operator="greaterThan" aboveAverage="0" equalAverage="0" bottom="0" percent="0" rank="0" text="" dxfId="10">
      <formula>30</formula>
    </cfRule>
  </conditionalFormatting>
  <conditionalFormatting sqref="G963">
    <cfRule type="cellIs" priority="2873" operator="greaterThan" aboveAverage="0" equalAverage="0" bottom="0" percent="0" rank="0" text="" dxfId="1">
      <formula>0</formula>
    </cfRule>
    <cfRule type="cellIs" priority="2874" operator="lessThanOrEqual" aboveAverage="0" equalAverage="0" bottom="0" percent="0" rank="0" text="" dxfId="0">
      <formula>0</formula>
    </cfRule>
  </conditionalFormatting>
  <conditionalFormatting sqref="F963">
    <cfRule type="cellIs" priority="2875" operator="greaterThan" aboveAverage="0" equalAverage="0" bottom="0" percent="0" rank="0" text="" dxfId="10">
      <formula>30</formula>
    </cfRule>
  </conditionalFormatting>
  <conditionalFormatting sqref="G964">
    <cfRule type="cellIs" priority="2876" operator="greaterThan" aboveAverage="0" equalAverage="0" bottom="0" percent="0" rank="0" text="" dxfId="1">
      <formula>0</formula>
    </cfRule>
    <cfRule type="cellIs" priority="2877" operator="lessThanOrEqual" aboveAverage="0" equalAverage="0" bottom="0" percent="0" rank="0" text="" dxfId="0">
      <formula>0</formula>
    </cfRule>
  </conditionalFormatting>
  <conditionalFormatting sqref="F964">
    <cfRule type="cellIs" priority="2878" operator="greaterThan" aboveAverage="0" equalAverage="0" bottom="0" percent="0" rank="0" text="" dxfId="10">
      <formula>30</formula>
    </cfRule>
  </conditionalFormatting>
  <conditionalFormatting sqref="G965">
    <cfRule type="cellIs" priority="2879" operator="greaterThan" aboveAverage="0" equalAverage="0" bottom="0" percent="0" rank="0" text="" dxfId="1">
      <formula>0</formula>
    </cfRule>
    <cfRule type="cellIs" priority="2880" operator="lessThanOrEqual" aboveAverage="0" equalAverage="0" bottom="0" percent="0" rank="0" text="" dxfId="0">
      <formula>0</formula>
    </cfRule>
  </conditionalFormatting>
  <conditionalFormatting sqref="F965">
    <cfRule type="cellIs" priority="2881" operator="greaterThan" aboveAverage="0" equalAverage="0" bottom="0" percent="0" rank="0" text="" dxfId="10">
      <formula>30</formula>
    </cfRule>
  </conditionalFormatting>
  <conditionalFormatting sqref="G966">
    <cfRule type="cellIs" priority="2882" operator="greaterThan" aboveAverage="0" equalAverage="0" bottom="0" percent="0" rank="0" text="" dxfId="1">
      <formula>0</formula>
    </cfRule>
    <cfRule type="cellIs" priority="2883" operator="lessThanOrEqual" aboveAverage="0" equalAverage="0" bottom="0" percent="0" rank="0" text="" dxfId="0">
      <formula>0</formula>
    </cfRule>
  </conditionalFormatting>
  <conditionalFormatting sqref="F966">
    <cfRule type="cellIs" priority="2884" operator="greaterThan" aboveAverage="0" equalAverage="0" bottom="0" percent="0" rank="0" text="" dxfId="10">
      <formula>30</formula>
    </cfRule>
  </conditionalFormatting>
  <conditionalFormatting sqref="G967">
    <cfRule type="cellIs" priority="2885" operator="greaterThan" aboveAverage="0" equalAverage="0" bottom="0" percent="0" rank="0" text="" dxfId="1">
      <formula>0</formula>
    </cfRule>
    <cfRule type="cellIs" priority="2886" operator="lessThanOrEqual" aboveAverage="0" equalAverage="0" bottom="0" percent="0" rank="0" text="" dxfId="0">
      <formula>0</formula>
    </cfRule>
  </conditionalFormatting>
  <conditionalFormatting sqref="F967">
    <cfRule type="cellIs" priority="2887" operator="greaterThan" aboveAverage="0" equalAverage="0" bottom="0" percent="0" rank="0" text="" dxfId="10">
      <formula>30</formula>
    </cfRule>
  </conditionalFormatting>
  <conditionalFormatting sqref="G968">
    <cfRule type="cellIs" priority="2888" operator="greaterThan" aboveAverage="0" equalAverage="0" bottom="0" percent="0" rank="0" text="" dxfId="1">
      <formula>0</formula>
    </cfRule>
    <cfRule type="cellIs" priority="2889" operator="lessThanOrEqual" aboveAverage="0" equalAverage="0" bottom="0" percent="0" rank="0" text="" dxfId="0">
      <formula>0</formula>
    </cfRule>
  </conditionalFormatting>
  <conditionalFormatting sqref="F968">
    <cfRule type="cellIs" priority="2890" operator="greaterThan" aboveAverage="0" equalAverage="0" bottom="0" percent="0" rank="0" text="" dxfId="10">
      <formula>30</formula>
    </cfRule>
  </conditionalFormatting>
  <conditionalFormatting sqref="G969">
    <cfRule type="cellIs" priority="2891" operator="greaterThan" aboveAverage="0" equalAverage="0" bottom="0" percent="0" rank="0" text="" dxfId="1">
      <formula>0</formula>
    </cfRule>
    <cfRule type="cellIs" priority="2892" operator="lessThanOrEqual" aboveAverage="0" equalAverage="0" bottom="0" percent="0" rank="0" text="" dxfId="0">
      <formula>0</formula>
    </cfRule>
  </conditionalFormatting>
  <conditionalFormatting sqref="F969">
    <cfRule type="cellIs" priority="2893" operator="greaterThan" aboveAverage="0" equalAverage="0" bottom="0" percent="0" rank="0" text="" dxfId="10">
      <formula>30</formula>
    </cfRule>
  </conditionalFormatting>
  <conditionalFormatting sqref="G970">
    <cfRule type="cellIs" priority="2894" operator="greaterThan" aboveAverage="0" equalAverage="0" bottom="0" percent="0" rank="0" text="" dxfId="1">
      <formula>0</formula>
    </cfRule>
    <cfRule type="cellIs" priority="2895" operator="lessThanOrEqual" aboveAverage="0" equalAverage="0" bottom="0" percent="0" rank="0" text="" dxfId="0">
      <formula>0</formula>
    </cfRule>
  </conditionalFormatting>
  <conditionalFormatting sqref="F970">
    <cfRule type="cellIs" priority="2896" operator="greaterThan" aboveAverage="0" equalAverage="0" bottom="0" percent="0" rank="0" text="" dxfId="10">
      <formula>30</formula>
    </cfRule>
  </conditionalFormatting>
  <conditionalFormatting sqref="G971">
    <cfRule type="cellIs" priority="2897" operator="greaterThan" aboveAverage="0" equalAverage="0" bottom="0" percent="0" rank="0" text="" dxfId="1">
      <formula>0</formula>
    </cfRule>
    <cfRule type="cellIs" priority="2898" operator="lessThanOrEqual" aboveAverage="0" equalAverage="0" bottom="0" percent="0" rank="0" text="" dxfId="0">
      <formula>0</formula>
    </cfRule>
  </conditionalFormatting>
  <conditionalFormatting sqref="F971">
    <cfRule type="cellIs" priority="2899" operator="greaterThan" aboveAverage="0" equalAverage="0" bottom="0" percent="0" rank="0" text="" dxfId="10">
      <formula>30</formula>
    </cfRule>
  </conditionalFormatting>
  <conditionalFormatting sqref="G972">
    <cfRule type="cellIs" priority="2900" operator="greaterThan" aboveAverage="0" equalAverage="0" bottom="0" percent="0" rank="0" text="" dxfId="1">
      <formula>0</formula>
    </cfRule>
    <cfRule type="cellIs" priority="2901" operator="lessThanOrEqual" aboveAverage="0" equalAverage="0" bottom="0" percent="0" rank="0" text="" dxfId="0">
      <formula>0</formula>
    </cfRule>
  </conditionalFormatting>
  <conditionalFormatting sqref="F972">
    <cfRule type="cellIs" priority="2902" operator="greaterThan" aboveAverage="0" equalAverage="0" bottom="0" percent="0" rank="0" text="" dxfId="10">
      <formula>30</formula>
    </cfRule>
  </conditionalFormatting>
  <conditionalFormatting sqref="G973">
    <cfRule type="cellIs" priority="2903" operator="greaterThan" aboveAverage="0" equalAverage="0" bottom="0" percent="0" rank="0" text="" dxfId="1">
      <formula>0</formula>
    </cfRule>
    <cfRule type="cellIs" priority="2904" operator="lessThanOrEqual" aboveAverage="0" equalAverage="0" bottom="0" percent="0" rank="0" text="" dxfId="0">
      <formula>0</formula>
    </cfRule>
  </conditionalFormatting>
  <conditionalFormatting sqref="F973">
    <cfRule type="cellIs" priority="2905" operator="greaterThan" aboveAverage="0" equalAverage="0" bottom="0" percent="0" rank="0" text="" dxfId="10">
      <formula>30</formula>
    </cfRule>
  </conditionalFormatting>
  <conditionalFormatting sqref="G974">
    <cfRule type="cellIs" priority="2906" operator="greaterThan" aboveAverage="0" equalAverage="0" bottom="0" percent="0" rank="0" text="" dxfId="1">
      <formula>0</formula>
    </cfRule>
    <cfRule type="cellIs" priority="2907" operator="lessThanOrEqual" aboveAverage="0" equalAverage="0" bottom="0" percent="0" rank="0" text="" dxfId="0">
      <formula>0</formula>
    </cfRule>
  </conditionalFormatting>
  <conditionalFormatting sqref="F974">
    <cfRule type="cellIs" priority="2908" operator="greaterThan" aboveAverage="0" equalAverage="0" bottom="0" percent="0" rank="0" text="" dxfId="10">
      <formula>30</formula>
    </cfRule>
  </conditionalFormatting>
  <conditionalFormatting sqref="G975">
    <cfRule type="cellIs" priority="2909" operator="greaterThan" aboveAverage="0" equalAverage="0" bottom="0" percent="0" rank="0" text="" dxfId="1">
      <formula>0</formula>
    </cfRule>
    <cfRule type="cellIs" priority="2910" operator="lessThanOrEqual" aboveAverage="0" equalAverage="0" bottom="0" percent="0" rank="0" text="" dxfId="0">
      <formula>0</formula>
    </cfRule>
  </conditionalFormatting>
  <conditionalFormatting sqref="F975">
    <cfRule type="cellIs" priority="2911" operator="greaterThan" aboveAverage="0" equalAverage="0" bottom="0" percent="0" rank="0" text="" dxfId="10">
      <formula>30</formula>
    </cfRule>
  </conditionalFormatting>
  <conditionalFormatting sqref="G976">
    <cfRule type="cellIs" priority="2912" operator="greaterThan" aboveAverage="0" equalAverage="0" bottom="0" percent="0" rank="0" text="" dxfId="1">
      <formula>0</formula>
    </cfRule>
    <cfRule type="cellIs" priority="2913" operator="lessThanOrEqual" aboveAverage="0" equalAverage="0" bottom="0" percent="0" rank="0" text="" dxfId="0">
      <formula>0</formula>
    </cfRule>
  </conditionalFormatting>
  <conditionalFormatting sqref="F976">
    <cfRule type="cellIs" priority="2914" operator="greaterThan" aboveAverage="0" equalAverage="0" bottom="0" percent="0" rank="0" text="" dxfId="10">
      <formula>30</formula>
    </cfRule>
  </conditionalFormatting>
  <conditionalFormatting sqref="G977">
    <cfRule type="cellIs" priority="2915" operator="greaterThan" aboveAverage="0" equalAverage="0" bottom="0" percent="0" rank="0" text="" dxfId="1">
      <formula>0</formula>
    </cfRule>
    <cfRule type="cellIs" priority="2916" operator="lessThanOrEqual" aboveAverage="0" equalAverage="0" bottom="0" percent="0" rank="0" text="" dxfId="0">
      <formula>0</formula>
    </cfRule>
  </conditionalFormatting>
  <conditionalFormatting sqref="F977">
    <cfRule type="cellIs" priority="2917" operator="greaterThan" aboveAverage="0" equalAverage="0" bottom="0" percent="0" rank="0" text="" dxfId="10">
      <formula>30</formula>
    </cfRule>
  </conditionalFormatting>
  <conditionalFormatting sqref="G978">
    <cfRule type="cellIs" priority="2918" operator="greaterThan" aboveAverage="0" equalAverage="0" bottom="0" percent="0" rank="0" text="" dxfId="1">
      <formula>0</formula>
    </cfRule>
    <cfRule type="cellIs" priority="2919" operator="lessThanOrEqual" aboveAverage="0" equalAverage="0" bottom="0" percent="0" rank="0" text="" dxfId="0">
      <formula>0</formula>
    </cfRule>
  </conditionalFormatting>
  <conditionalFormatting sqref="F978">
    <cfRule type="cellIs" priority="2920" operator="greaterThan" aboveAverage="0" equalAverage="0" bottom="0" percent="0" rank="0" text="" dxfId="10">
      <formula>30</formula>
    </cfRule>
  </conditionalFormatting>
  <conditionalFormatting sqref="G979">
    <cfRule type="cellIs" priority="2921" operator="greaterThan" aboveAverage="0" equalAverage="0" bottom="0" percent="0" rank="0" text="" dxfId="1">
      <formula>0</formula>
    </cfRule>
    <cfRule type="cellIs" priority="2922" operator="lessThanOrEqual" aboveAverage="0" equalAverage="0" bottom="0" percent="0" rank="0" text="" dxfId="0">
      <formula>0</formula>
    </cfRule>
  </conditionalFormatting>
  <conditionalFormatting sqref="F979">
    <cfRule type="cellIs" priority="2923" operator="greaterThan" aboveAverage="0" equalAverage="0" bottom="0" percent="0" rank="0" text="" dxfId="10">
      <formula>30</formula>
    </cfRule>
  </conditionalFormatting>
  <conditionalFormatting sqref="G980">
    <cfRule type="cellIs" priority="2924" operator="greaterThan" aboveAverage="0" equalAverage="0" bottom="0" percent="0" rank="0" text="" dxfId="1">
      <formula>0</formula>
    </cfRule>
    <cfRule type="cellIs" priority="2925" operator="lessThanOrEqual" aboveAverage="0" equalAverage="0" bottom="0" percent="0" rank="0" text="" dxfId="0">
      <formula>0</formula>
    </cfRule>
  </conditionalFormatting>
  <conditionalFormatting sqref="F980">
    <cfRule type="cellIs" priority="2926" operator="greaterThan" aboveAverage="0" equalAverage="0" bottom="0" percent="0" rank="0" text="" dxfId="10">
      <formula>30</formula>
    </cfRule>
  </conditionalFormatting>
  <conditionalFormatting sqref="G981">
    <cfRule type="cellIs" priority="2927" operator="greaterThan" aboveAverage="0" equalAverage="0" bottom="0" percent="0" rank="0" text="" dxfId="1">
      <formula>0</formula>
    </cfRule>
    <cfRule type="cellIs" priority="2928" operator="lessThanOrEqual" aboveAverage="0" equalAverage="0" bottom="0" percent="0" rank="0" text="" dxfId="0">
      <formula>0</formula>
    </cfRule>
  </conditionalFormatting>
  <conditionalFormatting sqref="F981">
    <cfRule type="cellIs" priority="2929" operator="greaterThan" aboveAverage="0" equalAverage="0" bottom="0" percent="0" rank="0" text="" dxfId="10">
      <formula>30</formula>
    </cfRule>
  </conditionalFormatting>
  <conditionalFormatting sqref="G982">
    <cfRule type="cellIs" priority="2930" operator="greaterThan" aboveAverage="0" equalAverage="0" bottom="0" percent="0" rank="0" text="" dxfId="1">
      <formula>0</formula>
    </cfRule>
    <cfRule type="cellIs" priority="2931" operator="lessThanOrEqual" aboveAverage="0" equalAverage="0" bottom="0" percent="0" rank="0" text="" dxfId="0">
      <formula>0</formula>
    </cfRule>
  </conditionalFormatting>
  <conditionalFormatting sqref="F982">
    <cfRule type="cellIs" priority="2932" operator="greaterThan" aboveAverage="0" equalAverage="0" bottom="0" percent="0" rank="0" text="" dxfId="10">
      <formula>30</formula>
    </cfRule>
  </conditionalFormatting>
  <conditionalFormatting sqref="G983">
    <cfRule type="cellIs" priority="2933" operator="greaterThan" aboveAverage="0" equalAverage="0" bottom="0" percent="0" rank="0" text="" dxfId="1">
      <formula>0</formula>
    </cfRule>
    <cfRule type="cellIs" priority="2934" operator="lessThanOrEqual" aboveAverage="0" equalAverage="0" bottom="0" percent="0" rank="0" text="" dxfId="0">
      <formula>0</formula>
    </cfRule>
  </conditionalFormatting>
  <conditionalFormatting sqref="F983">
    <cfRule type="cellIs" priority="2935" operator="greaterThan" aboveAverage="0" equalAverage="0" bottom="0" percent="0" rank="0" text="" dxfId="10">
      <formula>30</formula>
    </cfRule>
  </conditionalFormatting>
  <conditionalFormatting sqref="G984">
    <cfRule type="cellIs" priority="2936" operator="greaterThan" aboveAverage="0" equalAverage="0" bottom="0" percent="0" rank="0" text="" dxfId="1">
      <formula>0</formula>
    </cfRule>
    <cfRule type="cellIs" priority="2937" operator="lessThanOrEqual" aboveAverage="0" equalAverage="0" bottom="0" percent="0" rank="0" text="" dxfId="0">
      <formula>0</formula>
    </cfRule>
  </conditionalFormatting>
  <conditionalFormatting sqref="F984">
    <cfRule type="cellIs" priority="2938" operator="greaterThan" aboveAverage="0" equalAverage="0" bottom="0" percent="0" rank="0" text="" dxfId="10">
      <formula>30</formula>
    </cfRule>
  </conditionalFormatting>
  <conditionalFormatting sqref="G985">
    <cfRule type="cellIs" priority="2939" operator="greaterThan" aboveAverage="0" equalAverage="0" bottom="0" percent="0" rank="0" text="" dxfId="1">
      <formula>0</formula>
    </cfRule>
    <cfRule type="cellIs" priority="2940" operator="lessThanOrEqual" aboveAverage="0" equalAverage="0" bottom="0" percent="0" rank="0" text="" dxfId="0">
      <formula>0</formula>
    </cfRule>
  </conditionalFormatting>
  <conditionalFormatting sqref="F985">
    <cfRule type="cellIs" priority="2941" operator="greaterThan" aboveAverage="0" equalAverage="0" bottom="0" percent="0" rank="0" text="" dxfId="10">
      <formula>30</formula>
    </cfRule>
  </conditionalFormatting>
  <conditionalFormatting sqref="G986">
    <cfRule type="cellIs" priority="2942" operator="greaterThan" aboveAverage="0" equalAverage="0" bottom="0" percent="0" rank="0" text="" dxfId="1">
      <formula>0</formula>
    </cfRule>
    <cfRule type="cellIs" priority="2943" operator="lessThanOrEqual" aboveAverage="0" equalAverage="0" bottom="0" percent="0" rank="0" text="" dxfId="0">
      <formula>0</formula>
    </cfRule>
  </conditionalFormatting>
  <conditionalFormatting sqref="F986">
    <cfRule type="cellIs" priority="2944" operator="greaterThan" aboveAverage="0" equalAverage="0" bottom="0" percent="0" rank="0" text="" dxfId="10">
      <formula>30</formula>
    </cfRule>
  </conditionalFormatting>
  <conditionalFormatting sqref="G987">
    <cfRule type="cellIs" priority="2945" operator="greaterThan" aboveAverage="0" equalAverage="0" bottom="0" percent="0" rank="0" text="" dxfId="1">
      <formula>0</formula>
    </cfRule>
    <cfRule type="cellIs" priority="2946" operator="lessThanOrEqual" aboveAverage="0" equalAverage="0" bottom="0" percent="0" rank="0" text="" dxfId="0">
      <formula>0</formula>
    </cfRule>
  </conditionalFormatting>
  <conditionalFormatting sqref="F987">
    <cfRule type="cellIs" priority="2947" operator="greaterThan" aboveAverage="0" equalAverage="0" bottom="0" percent="0" rank="0" text="" dxfId="10">
      <formula>30</formula>
    </cfRule>
  </conditionalFormatting>
  <conditionalFormatting sqref="G988">
    <cfRule type="cellIs" priority="2948" operator="greaterThan" aboveAverage="0" equalAverage="0" bottom="0" percent="0" rank="0" text="" dxfId="1">
      <formula>0</formula>
    </cfRule>
    <cfRule type="cellIs" priority="2949" operator="lessThanOrEqual" aboveAverage="0" equalAverage="0" bottom="0" percent="0" rank="0" text="" dxfId="0">
      <formula>0</formula>
    </cfRule>
  </conditionalFormatting>
  <conditionalFormatting sqref="F988">
    <cfRule type="cellIs" priority="2950" operator="greaterThan" aboveAverage="0" equalAverage="0" bottom="0" percent="0" rank="0" text="" dxfId="10">
      <formula>30</formula>
    </cfRule>
  </conditionalFormatting>
  <conditionalFormatting sqref="G989">
    <cfRule type="cellIs" priority="2951" operator="greaterThan" aboveAverage="0" equalAverage="0" bottom="0" percent="0" rank="0" text="" dxfId="1">
      <formula>0</formula>
    </cfRule>
    <cfRule type="cellIs" priority="2952" operator="lessThanOrEqual" aboveAverage="0" equalAverage="0" bottom="0" percent="0" rank="0" text="" dxfId="0">
      <formula>0</formula>
    </cfRule>
  </conditionalFormatting>
  <conditionalFormatting sqref="F989">
    <cfRule type="cellIs" priority="2953" operator="greaterThan" aboveAverage="0" equalAverage="0" bottom="0" percent="0" rank="0" text="" dxfId="10">
      <formula>30</formula>
    </cfRule>
  </conditionalFormatting>
  <conditionalFormatting sqref="G990">
    <cfRule type="cellIs" priority="2954" operator="greaterThan" aboveAverage="0" equalAverage="0" bottom="0" percent="0" rank="0" text="" dxfId="1">
      <formula>0</formula>
    </cfRule>
    <cfRule type="cellIs" priority="2955" operator="lessThanOrEqual" aboveAverage="0" equalAverage="0" bottom="0" percent="0" rank="0" text="" dxfId="0">
      <formula>0</formula>
    </cfRule>
  </conditionalFormatting>
  <conditionalFormatting sqref="F990">
    <cfRule type="cellIs" priority="2956" operator="greaterThan" aboveAverage="0" equalAverage="0" bottom="0" percent="0" rank="0" text="" dxfId="10">
      <formula>30</formula>
    </cfRule>
  </conditionalFormatting>
  <conditionalFormatting sqref="G991">
    <cfRule type="cellIs" priority="2957" operator="greaterThan" aboveAverage="0" equalAverage="0" bottom="0" percent="0" rank="0" text="" dxfId="1">
      <formula>0</formula>
    </cfRule>
    <cfRule type="cellIs" priority="2958" operator="lessThanOrEqual" aboveAverage="0" equalAverage="0" bottom="0" percent="0" rank="0" text="" dxfId="0">
      <formula>0</formula>
    </cfRule>
  </conditionalFormatting>
  <conditionalFormatting sqref="F991">
    <cfRule type="cellIs" priority="2959" operator="greaterThan" aboveAverage="0" equalAverage="0" bottom="0" percent="0" rank="0" text="" dxfId="10">
      <formula>30</formula>
    </cfRule>
  </conditionalFormatting>
  <conditionalFormatting sqref="G992">
    <cfRule type="cellIs" priority="2960" operator="greaterThan" aboveAverage="0" equalAverage="0" bottom="0" percent="0" rank="0" text="" dxfId="1">
      <formula>0</formula>
    </cfRule>
    <cfRule type="cellIs" priority="2961" operator="lessThanOrEqual" aboveAverage="0" equalAverage="0" bottom="0" percent="0" rank="0" text="" dxfId="0">
      <formula>0</formula>
    </cfRule>
  </conditionalFormatting>
  <conditionalFormatting sqref="F992">
    <cfRule type="cellIs" priority="2962" operator="greaterThan" aboveAverage="0" equalAverage="0" bottom="0" percent="0" rank="0" text="" dxfId="10">
      <formula>30</formula>
    </cfRule>
  </conditionalFormatting>
  <conditionalFormatting sqref="G993">
    <cfRule type="cellIs" priority="2963" operator="greaterThan" aboveAverage="0" equalAverage="0" bottom="0" percent="0" rank="0" text="" dxfId="1">
      <formula>0</formula>
    </cfRule>
    <cfRule type="cellIs" priority="2964" operator="lessThanOrEqual" aboveAverage="0" equalAverage="0" bottom="0" percent="0" rank="0" text="" dxfId="0">
      <formula>0</formula>
    </cfRule>
  </conditionalFormatting>
  <conditionalFormatting sqref="F993">
    <cfRule type="cellIs" priority="2965" operator="greaterThan" aboveAverage="0" equalAverage="0" bottom="0" percent="0" rank="0" text="" dxfId="10">
      <formula>30</formula>
    </cfRule>
  </conditionalFormatting>
  <conditionalFormatting sqref="G994">
    <cfRule type="cellIs" priority="2966" operator="greaterThan" aboveAverage="0" equalAverage="0" bottom="0" percent="0" rank="0" text="" dxfId="1">
      <formula>0</formula>
    </cfRule>
    <cfRule type="cellIs" priority="2967" operator="lessThanOrEqual" aboveAverage="0" equalAverage="0" bottom="0" percent="0" rank="0" text="" dxfId="0">
      <formula>0</formula>
    </cfRule>
  </conditionalFormatting>
  <conditionalFormatting sqref="F994">
    <cfRule type="cellIs" priority="2968" operator="greaterThan" aboveAverage="0" equalAverage="0" bottom="0" percent="0" rank="0" text="" dxfId="10">
      <formula>30</formula>
    </cfRule>
  </conditionalFormatting>
  <conditionalFormatting sqref="G995">
    <cfRule type="cellIs" priority="2969" operator="greaterThan" aboveAverage="0" equalAverage="0" bottom="0" percent="0" rank="0" text="" dxfId="1">
      <formula>0</formula>
    </cfRule>
    <cfRule type="cellIs" priority="2970" operator="lessThanOrEqual" aboveAverage="0" equalAverage="0" bottom="0" percent="0" rank="0" text="" dxfId="0">
      <formula>0</formula>
    </cfRule>
  </conditionalFormatting>
  <conditionalFormatting sqref="F995">
    <cfRule type="cellIs" priority="2971" operator="greaterThan" aboveAverage="0" equalAverage="0" bottom="0" percent="0" rank="0" text="" dxfId="10">
      <formula>30</formula>
    </cfRule>
  </conditionalFormatting>
  <conditionalFormatting sqref="G996">
    <cfRule type="cellIs" priority="2972" operator="greaterThan" aboveAverage="0" equalAverage="0" bottom="0" percent="0" rank="0" text="" dxfId="1">
      <formula>0</formula>
    </cfRule>
    <cfRule type="cellIs" priority="2973" operator="lessThanOrEqual" aboveAverage="0" equalAverage="0" bottom="0" percent="0" rank="0" text="" dxfId="0">
      <formula>0</formula>
    </cfRule>
  </conditionalFormatting>
  <conditionalFormatting sqref="F996">
    <cfRule type="cellIs" priority="2974" operator="greaterThan" aboveAverage="0" equalAverage="0" bottom="0" percent="0" rank="0" text="" dxfId="10">
      <formula>30</formula>
    </cfRule>
  </conditionalFormatting>
  <conditionalFormatting sqref="G997">
    <cfRule type="cellIs" priority="2975" operator="greaterThan" aboveAverage="0" equalAverage="0" bottom="0" percent="0" rank="0" text="" dxfId="1">
      <formula>0</formula>
    </cfRule>
    <cfRule type="cellIs" priority="2976" operator="lessThanOrEqual" aboveAverage="0" equalAverage="0" bottom="0" percent="0" rank="0" text="" dxfId="0">
      <formula>0</formula>
    </cfRule>
  </conditionalFormatting>
  <conditionalFormatting sqref="F997">
    <cfRule type="cellIs" priority="2977" operator="greaterThan" aboveAverage="0" equalAverage="0" bottom="0" percent="0" rank="0" text="" dxfId="10">
      <formula>30</formula>
    </cfRule>
  </conditionalFormatting>
  <conditionalFormatting sqref="G998">
    <cfRule type="cellIs" priority="2978" operator="greaterThan" aboveAverage="0" equalAverage="0" bottom="0" percent="0" rank="0" text="" dxfId="1">
      <formula>0</formula>
    </cfRule>
    <cfRule type="cellIs" priority="2979" operator="lessThanOrEqual" aboveAverage="0" equalAverage="0" bottom="0" percent="0" rank="0" text="" dxfId="0">
      <formula>0</formula>
    </cfRule>
  </conditionalFormatting>
  <conditionalFormatting sqref="F998">
    <cfRule type="cellIs" priority="2980" operator="greaterThan" aboveAverage="0" equalAverage="0" bottom="0" percent="0" rank="0" text="" dxfId="10">
      <formula>30</formula>
    </cfRule>
  </conditionalFormatting>
  <conditionalFormatting sqref="G999">
    <cfRule type="cellIs" priority="2981" operator="greaterThan" aboveAverage="0" equalAverage="0" bottom="0" percent="0" rank="0" text="" dxfId="1">
      <formula>0</formula>
    </cfRule>
    <cfRule type="cellIs" priority="2982" operator="lessThanOrEqual" aboveAverage="0" equalAverage="0" bottom="0" percent="0" rank="0" text="" dxfId="0">
      <formula>0</formula>
    </cfRule>
  </conditionalFormatting>
  <conditionalFormatting sqref="F999">
    <cfRule type="cellIs" priority="2983" operator="greaterThan" aboveAverage="0" equalAverage="0" bottom="0" percent="0" rank="0" text="" dxfId="10">
      <formula>30</formula>
    </cfRule>
  </conditionalFormatting>
  <conditionalFormatting sqref="G1000">
    <cfRule type="cellIs" priority="2984" operator="greaterThan" aboveAverage="0" equalAverage="0" bottom="0" percent="0" rank="0" text="" dxfId="1">
      <formula>0</formula>
    </cfRule>
    <cfRule type="cellIs" priority="2985" operator="lessThanOrEqual" aboveAverage="0" equalAverage="0" bottom="0" percent="0" rank="0" text="" dxfId="0">
      <formula>0</formula>
    </cfRule>
  </conditionalFormatting>
  <conditionalFormatting sqref="F1000">
    <cfRule type="cellIs" priority="2986" operator="greaterThan" aboveAverage="0" equalAverage="0" bottom="0" percent="0" rank="0" text="" dxfId="10">
      <formula>30</formula>
    </cfRule>
  </conditionalFormatting>
  <conditionalFormatting sqref="G1001">
    <cfRule type="cellIs" priority="2987" operator="greaterThan" aboveAverage="0" equalAverage="0" bottom="0" percent="0" rank="0" text="" dxfId="1">
      <formula>0</formula>
    </cfRule>
    <cfRule type="cellIs" priority="2988" operator="lessThanOrEqual" aboveAverage="0" equalAverage="0" bottom="0" percent="0" rank="0" text="" dxfId="0">
      <formula>0</formula>
    </cfRule>
  </conditionalFormatting>
  <conditionalFormatting sqref="F1001">
    <cfRule type="cellIs" priority="2989" operator="greaterThan" aboveAverage="0" equalAverage="0" bottom="0" percent="0" rank="0" text="" dxfId="10">
      <formula>30</formula>
    </cfRule>
  </conditionalFormatting>
  <conditionalFormatting sqref="G1002">
    <cfRule type="cellIs" priority="2990" operator="greaterThan" aboveAverage="0" equalAverage="0" bottom="0" percent="0" rank="0" text="" dxfId="1">
      <formula>0</formula>
    </cfRule>
    <cfRule type="cellIs" priority="2991" operator="lessThanOrEqual" aboveAverage="0" equalAverage="0" bottom="0" percent="0" rank="0" text="" dxfId="0">
      <formula>0</formula>
    </cfRule>
  </conditionalFormatting>
  <conditionalFormatting sqref="F1002">
    <cfRule type="cellIs" priority="2992" operator="greaterThan" aboveAverage="0" equalAverage="0" bottom="0" percent="0" rank="0" text="" dxfId="10">
      <formula>30</formula>
    </cfRule>
  </conditionalFormatting>
  <conditionalFormatting sqref="G1003">
    <cfRule type="cellIs" priority="2993" operator="greaterThan" aboveAverage="0" equalAverage="0" bottom="0" percent="0" rank="0" text="" dxfId="1">
      <formula>0</formula>
    </cfRule>
    <cfRule type="cellIs" priority="2994" operator="lessThanOrEqual" aboveAverage="0" equalAverage="0" bottom="0" percent="0" rank="0" text="" dxfId="0">
      <formula>0</formula>
    </cfRule>
  </conditionalFormatting>
  <conditionalFormatting sqref="F1003">
    <cfRule type="cellIs" priority="2995" operator="greaterThan" aboveAverage="0" equalAverage="0" bottom="0" percent="0" rank="0" text="" dxfId="10">
      <formula>30</formula>
    </cfRule>
  </conditionalFormatting>
  <dataValidations count="1">
    <dataValidation allowBlank="true" error="Tutar 1 ₺'den büyük olmalı." errorStyle="stop" errorTitle="Geçersiz tutar" operator="greaterThan" prompt="Dönem hakediş tutarını KDV hariç girin." promptTitle="Hakediş Tutarı (₺)" showDropDown="false" showErrorMessage="true" showInputMessage="true" sqref="C6:C1004" type="whole">
      <formula1>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32"/>
  </cols>
  <sheetData>
    <row r="1" customFormat="false" ht="25.5" hidden="false" customHeight="true" outlineLevel="0" collapsed="false">
      <c r="A1" s="12" t="s">
        <v>102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103</v>
      </c>
    </row>
    <row r="6" customFormat="false" ht="15" hidden="false" customHeight="false" outlineLevel="0" collapsed="false">
      <c r="A6" s="36" t="s">
        <v>104</v>
      </c>
      <c r="B6" s="19" t="n">
        <f aca="false">IFERROR(INDEX(tblEndeks[Değişim Oranı],MATCH("İşçilik",tblEndeks[Endeks Adı],0)),0)</f>
        <v>0.0666666666666667</v>
      </c>
    </row>
    <row r="7" customFormat="false" ht="15" hidden="false" customHeight="false" outlineLevel="0" collapsed="false">
      <c r="A7" s="36" t="s">
        <v>105</v>
      </c>
      <c r="B7" s="19" t="n">
        <f aca="false">IFERROR(INDEX(tblEndeks[Değişim Oranı],MATCH("Malzeme",tblEndeks[Endeks Adı],0)),0)</f>
        <v>0.0921052631578947</v>
      </c>
    </row>
    <row r="8" customFormat="false" ht="15" hidden="false" customHeight="false" outlineLevel="0" collapsed="false">
      <c r="A8" s="36" t="s">
        <v>106</v>
      </c>
      <c r="B8" s="19" t="n">
        <f aca="false">IFERROR(INDEX(tblEndeks[Değişim Oranı],MATCH("Makine",tblEndeks[Endeks Adı],0)),0)</f>
        <v>0.04</v>
      </c>
    </row>
    <row r="9" customFormat="false" ht="15" hidden="false" customHeight="false" outlineLevel="0" collapsed="false">
      <c r="A9" s="36" t="s">
        <v>107</v>
      </c>
      <c r="B9" s="19" t="n">
        <f aca="false">IFERROR(a+b+_c+d,0)</f>
        <v>1</v>
      </c>
    </row>
    <row r="10" customFormat="false" ht="15" hidden="false" customHeight="false" outlineLevel="0" collapsed="false">
      <c r="A10" s="37" t="s">
        <v>108</v>
      </c>
      <c r="B10" s="19" t="n">
        <f aca="false">IF(OR(FiyatFarkiVarMi="Hayır",AgirlikToplam=0),0,IFERROR((a+b*(1+IsciEndeksOran)+_c*(1+MalzemeEndeksOran)+d*(1+MakineEndeksOran))-1,0))</f>
        <v>0.0595701754385964</v>
      </c>
    </row>
    <row r="11" customFormat="false" ht="15" hidden="false" customHeight="false" outlineLevel="0" collapsed="false">
      <c r="A11" s="36" t="s">
        <v>109</v>
      </c>
      <c r="B11" s="38" t="n">
        <f aca="false">IFERROR(ROUND(DonemHakedisToplam*FiyatFarkiKatsayi,0),0)</f>
        <v>160839</v>
      </c>
    </row>
    <row r="12" customFormat="false" ht="15" hidden="false" customHeight="false" outlineLevel="0" collapsed="false">
      <c r="A12" s="36" t="s">
        <v>110</v>
      </c>
      <c r="B12" s="38" t="n">
        <f aca="false">IFERROR(ROUND(DonemFiyatFarki*COUNTA(tblDonem[Dönem Numarası]),0),0)</f>
        <v>1286712</v>
      </c>
    </row>
    <row r="13" customFormat="false" ht="15" hidden="false" customHeight="false" outlineLevel="0" collapsed="false">
      <c r="A13" s="36" t="s">
        <v>111</v>
      </c>
      <c r="B13" s="38" t="n">
        <f aca="false">IFERROR(ROUND(SUM(tblKalem[Hakediş Tutarı (₺)]),0),0)</f>
        <v>11175600</v>
      </c>
    </row>
    <row r="14" customFormat="false" ht="15" hidden="false" customHeight="false" outlineLevel="0" collapsed="false">
      <c r="A14" s="36" t="s">
        <v>112</v>
      </c>
      <c r="B14" s="38" t="n">
        <f aca="false">IFERROR(ROUND(SUM(tblKalem[Piyasa Tutarı (₺)]),0),0)</f>
        <v>11562300</v>
      </c>
    </row>
    <row r="15" customFormat="false" ht="15" hidden="false" customHeight="false" outlineLevel="0" collapsed="false">
      <c r="A15" s="37" t="s">
        <v>113</v>
      </c>
      <c r="B15" s="38" t="n">
        <f aca="false">IFERROR(ROUND(SUM(tblKalem[Kayıp (₺)]),0),0)</f>
        <v>386700</v>
      </c>
    </row>
    <row r="16" customFormat="false" ht="15" hidden="false" customHeight="false" outlineLevel="0" collapsed="false">
      <c r="A16" s="36" t="s">
        <v>114</v>
      </c>
      <c r="B16" s="19" t="n">
        <f aca="false">IFERROR(IF(HakedisKalemToplam=0,0,HakKaybiToplam/HakedisKalemToplam),0)</f>
        <v>0.0346021690110598</v>
      </c>
    </row>
    <row r="17" customFormat="false" ht="15" hidden="false" customHeight="false" outlineLevel="0" collapsed="false">
      <c r="A17" s="36" t="s">
        <v>115</v>
      </c>
      <c r="B17" s="39" t="str">
        <f aca="false">IF(OR(HakedisKalemToplam=0,HakKaybiToplam=0),"VERİ YETERSİZ",IF(HakKaybiOran&lt;=KayipEsikOran,"NORMAL",IF(HakKaybiOran&lt;=KayipDikkatOran,"DİKKAT","KRİTİK")))</f>
        <v>NORMAL</v>
      </c>
    </row>
    <row r="18" customFormat="false" ht="15" hidden="false" customHeight="false" outlineLevel="0" collapsed="false">
      <c r="A18" s="36" t="s">
        <v>116</v>
      </c>
      <c r="B18" s="19" t="n">
        <f aca="false">IFERROR(AVERAGE(tblEndeks[Değişim Oranı]),0)</f>
        <v>0.0682648729194782</v>
      </c>
    </row>
    <row r="19" customFormat="false" ht="15" hidden="false" customHeight="false" outlineLevel="0" collapsed="false">
      <c r="A19" s="36" t="s">
        <v>117</v>
      </c>
      <c r="B19" s="40" t="n">
        <f aca="false">IFERROR(forecast.lınear(COUNTA(tblEndeks[Endeks Adı])+1,tblEndeks[Dönem Endeksi],ROW(tblEndeks[Dönem Endeksi])-ROW(tblEndeks[[#Headers],[Dönem Endeksi]])),0)</f>
        <v>0</v>
      </c>
    </row>
    <row r="20" customFormat="false" ht="15" hidden="false" customHeight="false" outlineLevel="0" collapsed="false">
      <c r="A20" s="36" t="s">
        <v>118</v>
      </c>
      <c r="B20" s="40" t="n">
        <f aca="false">IFERROR(EndeksProjeksiyon-EndeksOrtalama*EndeksBantOrani,0)</f>
        <v>-0.00682648729194782</v>
      </c>
    </row>
    <row r="21" customFormat="false" ht="15" hidden="false" customHeight="false" outlineLevel="0" collapsed="false">
      <c r="A21" s="36" t="s">
        <v>119</v>
      </c>
      <c r="B21" s="40" t="n">
        <f aca="false">IFERROR(EndeksProjeksiyon+EndeksOrtalama*EndeksBantOrani,0)</f>
        <v>0.00682648729194782</v>
      </c>
    </row>
    <row r="22" customFormat="false" ht="15" hidden="false" customHeight="false" outlineLevel="0" collapsed="false">
      <c r="A22" s="36" t="s">
        <v>120</v>
      </c>
      <c r="B22" s="41" t="n">
        <f aca="false">SUMPRODUCT(--(tblEndeks[Değişim Oranı]&lt;&gt;""),--(ABS(tblEndeks[Değişim Oranı]-EndeksOrtalama)&gt;AnomaliZEsik*IFERROR(stdev.p(tblEndeks[Değişim Oranı]),0)))</f>
        <v>6</v>
      </c>
    </row>
    <row r="23" customFormat="false" ht="15" hidden="false" customHeight="false" outlineLevel="0" collapsed="false">
      <c r="A23" s="13" t="s">
        <v>121</v>
      </c>
    </row>
    <row r="24" customFormat="false" ht="15" hidden="false" customHeight="false" outlineLevel="0" collapsed="false">
      <c r="A24" s="36" t="s">
        <v>122</v>
      </c>
      <c r="B24" s="19" t="n">
        <f aca="false">IFERROR(SLOPE(tblEndeks[Dönem Endeksi],ROW(tblEndeks[Dönem Endeksi])-ROW(tblEndeks[[#Headers],[Dönem Endeksi]]))/MAX(1,AVERAGE(tblEndeks[Dönem Endeksi])),0)</f>
        <v>-0.0854220304780461</v>
      </c>
    </row>
    <row r="25" customFormat="false" ht="15" hidden="false" customHeight="false" outlineLevel="0" collapsed="false">
      <c r="A25" s="36" t="s">
        <v>123</v>
      </c>
      <c r="B25" s="19" t="n">
        <f aca="false">IFERROR(LARGE(tblKalem[Kayıp (₺)],1)/MAX(1,SUM(tblKalem[Kayıp (₺)])),0)</f>
        <v>0.197827773467805</v>
      </c>
    </row>
    <row r="26" customFormat="false" ht="15" hidden="false" customHeight="false" outlineLevel="0" collapsed="false">
      <c r="A26" s="36" t="s">
        <v>124</v>
      </c>
      <c r="B26" s="38" t="n">
        <f aca="false">IFERROR(HakedisKalemToplam-DonemHakedisToplam,0)</f>
        <v>8475600</v>
      </c>
    </row>
    <row r="27" customFormat="false" ht="15" hidden="false" customHeight="false" outlineLevel="0" collapsed="false">
      <c r="A27" s="36" t="s">
        <v>125</v>
      </c>
      <c r="B27" s="19" t="n">
        <f aca="false">IFERROR(IF(KayipDikkatOran=0,0,HakKaybiOran/KayipDikkatOran),0)</f>
        <v>0.230681126740399</v>
      </c>
    </row>
    <row r="28" customFormat="false" ht="15" hidden="false" customHeight="false" outlineLevel="0" collapsed="false">
      <c r="A28" s="36" t="s">
        <v>126</v>
      </c>
      <c r="B28" s="41" t="n">
        <f aca="false">AnomaliEndeksAdet</f>
        <v>6</v>
      </c>
    </row>
    <row r="29" customFormat="false" ht="15" hidden="false" customHeight="false" outlineLevel="0" collapsed="false">
      <c r="A29" s="36" t="s">
        <v>127</v>
      </c>
      <c r="B29" s="39" t="str">
        <f aca="false">IFERROR(INDEX(SENARYO_DUYARLILIK!$A$13:$A$15,MATCH(MAX(SENARYO_DUYARLILIK!$G$13:$G$15),SENARYO_DUYARLILIK!$G$13:$G$15,0)),"VERİ YETERSİZ")</f>
        <v>b Ağırlığı</v>
      </c>
    </row>
    <row r="30" customFormat="false" ht="15" hidden="false" customHeight="false" outlineLevel="0" collapsed="false">
      <c r="A30" s="36" t="s">
        <v>128</v>
      </c>
      <c r="B30" s="19" t="n">
        <f aca="false">SENARYO_DUYARLILIK!$D$8</f>
        <v>0.0595701754385964</v>
      </c>
    </row>
    <row r="31" customFormat="false" ht="15" hidden="false" customHeight="false" outlineLevel="0" collapsed="false">
      <c r="A31" s="36" t="s">
        <v>129</v>
      </c>
      <c r="B31" s="41" t="n">
        <f aca="false">IFERROR(AVERAGE(tblDonem[Geç Ödeme Gün]),0)</f>
        <v>218.375</v>
      </c>
    </row>
    <row r="32" customFormat="false" ht="15" hidden="false" customHeight="false" outlineLevel="0" collapsed="false">
      <c r="A32" s="36" t="s">
        <v>130</v>
      </c>
      <c r="B32" s="41" t="n">
        <f aca="false">KONTROL!$B$19</f>
        <v>100</v>
      </c>
    </row>
    <row r="33" customFormat="false" ht="15" hidden="false" customHeight="false" outlineLevel="0" collapsed="false">
      <c r="A33" s="36" t="s">
        <v>131</v>
      </c>
      <c r="B33" s="40" t="n">
        <f aca="false">EndeksProjeksiyon</f>
        <v>0</v>
      </c>
    </row>
    <row r="34" customFormat="false" ht="15" hidden="false" customHeight="false" outlineLevel="0" collapsed="false">
      <c r="A34" s="36" t="s">
        <v>132</v>
      </c>
      <c r="B34" s="40" t="n">
        <f aca="false">IFERROR(PERCENTILE(tblEndeks[Dönem Endeksi],P90Kuantil),0)</f>
        <v>431.5</v>
      </c>
    </row>
    <row r="35" customFormat="false" ht="15" hidden="false" customHeight="false" outlineLevel="0" collapsed="false">
      <c r="A35" s="36" t="s">
        <v>133</v>
      </c>
      <c r="B35" s="38" t="n">
        <f aca="false">IFERROR(ROUND(DonemHakedisToplam*KayipOraniEsik*MAX(0,modulO4NakitGunu-ODemeGecikmeEsik)/MAX(ODemeGecikmeEsik,1),0),0)</f>
        <v>339075</v>
      </c>
    </row>
    <row r="36" customFormat="false" ht="15" hidden="false" customHeight="false" outlineLevel="0" collapsed="false">
      <c r="A36" s="36" t="s">
        <v>134</v>
      </c>
      <c r="B36" s="38" t="n">
        <f aca="false">IFERROR(BirikimliFiyatFarki+MAX(0,HakKaybiToplam),0)</f>
        <v>1673412</v>
      </c>
    </row>
    <row r="37" customFormat="false" ht="15" hidden="false" customHeight="false" outlineLevel="0" collapsed="false">
      <c r="A37" s="36" t="s">
        <v>135</v>
      </c>
      <c r="B37" s="19" t="n">
        <f aca="false">IFERROR(IF(SozlesmeBedeli=0,0,degerKazanim/SozlesmeBedeli),0)</f>
        <v>0.196872</v>
      </c>
    </row>
    <row r="39" customFormat="false" ht="15" hidden="false" customHeight="false" outlineLevel="0" collapsed="false">
      <c r="A39" s="13" t="s">
        <v>136</v>
      </c>
    </row>
    <row r="40" customFormat="false" ht="37.3" hidden="false" customHeight="false" outlineLevel="0" collapsed="false">
      <c r="A40" s="42" t="s">
        <v>137</v>
      </c>
      <c r="B40" s="43" t="n">
        <f aca="false">modulT2EndeksEgim</f>
        <v>-0.0854220304780461</v>
      </c>
      <c r="C40" s="44" t="str">
        <f aca="false">_xlfn.TEXTJOIN(" | ",TRUE(),"T2: Endeks eğilimi dönem başına "&amp;TEXT(modulT2EndeksEgim*100,"0,0")&amp;"% değişim öngörüyor",IF(modulT2EndeksEgim&gt;0,"endeksler yükselme eğiliminde, fiyat farkı lehte","endeksler düşme eğiliminde, fiyat farkı sınırlı"))</f>
        <v>T2: Endeks eğilimi dönem başına -8,5% değişim öngörüyor | endeksler düşme eğiliminde, fiyat farkı sınırlı</v>
      </c>
      <c r="D40" s="44"/>
      <c r="E40" s="44"/>
      <c r="F40" s="44"/>
    </row>
    <row r="41" customFormat="false" ht="37.3" hidden="false" customHeight="false" outlineLevel="0" collapsed="false">
      <c r="A41" s="42" t="s">
        <v>138</v>
      </c>
      <c r="B41" s="43" t="n">
        <f aca="false">modulT3ParetoPayi</f>
        <v>0.197827773467805</v>
      </c>
      <c r="C41" s="44" t="str">
        <f aca="false">_xlfn.TEXTJOIN(" | ",TRUE(),"T3: Kayıp yoğunlaşması — en büyük kalem toplam kaybın "&amp;TEXT(modulT3ParetoPayi*100,"0")&amp;"% tutarında",IF(modulT3ParetoPayi&gt;ParetoEsikOran,"kayıp tek kalemde yoğun, revize birim fiyat öncelikli","kayıp kalemlere dağılmış"))</f>
        <v>T3: Kayıp yoğunlaşması — en büyük kalem toplam kaybın 20% tutarında | kayıp kalemlere dağılmış</v>
      </c>
      <c r="D41" s="44"/>
      <c r="E41" s="44"/>
      <c r="F41" s="44"/>
    </row>
    <row r="42" customFormat="false" ht="37.3" hidden="false" customHeight="false" outlineLevel="0" collapsed="false">
      <c r="A42" s="42" t="s">
        <v>139</v>
      </c>
      <c r="B42" s="45" t="n">
        <f aca="false">modulT5MutabakatFark</f>
        <v>8475600</v>
      </c>
      <c r="C42" s="44" t="str">
        <f aca="false">_xlfn.TEXTJOIN(" | ",TRUE(),"T5: Kalem toplamı ile dönem hakedişi arası fark "&amp;TEXT(modulT5MutabakatFark,"#,##0")&amp;" TL",IF(ABS(modulT5MutabakatFark)&lt;=MutabakatTolerans,"mutabakat sağlandı","mutabakat farkı var, dönem kayıtlarını kontrol edin"))</f>
        <v>T5: Kalem toplamı ile dönem hakedişi arası fark 8.475.600 TL | mutabakat farkı var, dönem kayıtlarını kontrol edin</v>
      </c>
      <c r="D42" s="44"/>
      <c r="E42" s="44"/>
      <c r="F42" s="44"/>
    </row>
    <row r="43" customFormat="false" ht="25.35" hidden="false" customHeight="false" outlineLevel="0" collapsed="false">
      <c r="A43" s="42" t="s">
        <v>140</v>
      </c>
      <c r="B43" s="43" t="n">
        <f aca="false">modulT6KirilimOrani</f>
        <v>0.230681126740399</v>
      </c>
      <c r="C43" s="44" t="str">
        <f aca="false">_xlfn.TEXTJOIN(" | ",TRUE(),"T6: Kayıp oranı dikkat eşiğinin "&amp;TEXT(modulT6KirilimOrani*100,"0")&amp;"% seviyesinde",IF(modulT6KirilimOrani&gt;=1,"kayıp kritik bölgede","kayıp eşik altında"))</f>
        <v>T6: Kayıp oranı dikkat eşiğinin 23% seviyesinde | kayıp eşik altında</v>
      </c>
      <c r="D43" s="44"/>
      <c r="E43" s="44"/>
      <c r="F43" s="44"/>
    </row>
    <row r="44" customFormat="false" ht="37.3" hidden="false" customHeight="false" outlineLevel="0" collapsed="false">
      <c r="A44" s="42" t="s">
        <v>141</v>
      </c>
      <c r="B44" s="46" t="n">
        <f aca="false">modulO1AnomaliSayisi</f>
        <v>6</v>
      </c>
      <c r="C44" s="44" t="str">
        <f aca="false">_xlfn.TEXTJOIN(" | ",TRUE(),"O1: Anomali — "&amp;modulO1AnomaliSayisi&amp;" endeks hareketi Z eşiğini aşıyor",IF(modulO1AnomaliSayisi&gt;0,"uç endeksleri TÜİK yayınıyla mutabakat edin","endeks hareketleri tutarlı"))</f>
        <v>O1: Anomali — 6 endeks hareketi Z eşiğini aşıyor | uç endeksleri TÜİK yayınıyla mutabakat edin</v>
      </c>
      <c r="D44" s="44"/>
      <c r="E44" s="44"/>
      <c r="F44" s="44"/>
    </row>
    <row r="45" customFormat="false" ht="25.35" hidden="false" customHeight="false" outlineLevel="0" collapsed="false">
      <c r="A45" s="42" t="s">
        <v>142</v>
      </c>
      <c r="B45" s="47" t="str">
        <f aca="false">modulO2TornadoZirve</f>
        <v>b Ağırlığı</v>
      </c>
      <c r="C45" s="44" t="str">
        <f aca="false">_xlfn.TEXTJOIN(" | ",TRUE(),"O2: Duyarlılık — katsayıyı en çok etkileyen değişken: "&amp;modulO2TornadoZirve,IF(modulO2TornadoZirve="İşçilik Endeksi","işçilik verisini sözleşme ve TÜİK endekslerinden teyit edin","ana değişken netleşti"))</f>
        <v>O2: Duyarlılık — katsayıyı en çok etkileyen değişken: b Ağırlığı | ana değişken netleşti</v>
      </c>
      <c r="D45" s="44"/>
      <c r="E45" s="44"/>
      <c r="F45" s="44"/>
    </row>
    <row r="46" customFormat="false" ht="25.35" hidden="false" customHeight="false" outlineLevel="0" collapsed="false">
      <c r="A46" s="42" t="s">
        <v>143</v>
      </c>
      <c r="B46" s="43" t="n">
        <f aca="false">modulO3SenaryoBaz</f>
        <v>0.0595701754385964</v>
      </c>
      <c r="C46" s="44" t="str">
        <f aca="false">_xlfn.TEXTJOIN(" | ",TRUE(),"O3: Senaryo motoru — baz senaryo katsayısı "&amp;TEXT(modulO3SenaryoBaz,"0,0%"),IF(modulO3SenaryoBaz&lt;=0,"baz senaryo fiyat farkı üretmiyor","senaryo aralığı karar için yeterli"))</f>
        <v>O3: Senaryo motoru — baz senaryo katsayısı 6,0% | senaryo aralığı karar için yeterli</v>
      </c>
      <c r="D46" s="44"/>
      <c r="E46" s="44"/>
      <c r="F46" s="44"/>
    </row>
    <row r="47" customFormat="false" ht="37.3" hidden="false" customHeight="false" outlineLevel="0" collapsed="false">
      <c r="A47" s="42" t="s">
        <v>144</v>
      </c>
      <c r="B47" s="46" t="n">
        <f aca="false">modulO4NakitGunu</f>
        <v>218.375</v>
      </c>
      <c r="C47" s="44" t="str">
        <f aca="false">_xlfn.TEXTJOIN(" | ",TRUE(),"O4: Ortalama geç ödeme "&amp;modulO4NakitGunu&amp;" gün",IF(modulO4NakitGunu&gt;ODemeGecikmeEsik,"ödemeler eşik üstü gecikiyor, nakit planını gözden geçirin","ödemeler eşik içinde"))</f>
        <v>O4: Ortalama geç ödeme 218,375 gün | ödemeler eşik üstü gecikiyor, nakit planını gözden geçirin</v>
      </c>
      <c r="D47" s="44"/>
      <c r="E47" s="44"/>
      <c r="F47" s="44"/>
    </row>
    <row r="48" customFormat="false" ht="25.35" hidden="false" customHeight="false" outlineLevel="0" collapsed="false">
      <c r="A48" s="42" t="s">
        <v>145</v>
      </c>
      <c r="B48" s="46" t="n">
        <f aca="false">modulO8KaliteSkoru</f>
        <v>100</v>
      </c>
      <c r="C48" s="44" t="str">
        <f aca="false">_xlfn.TEXTJOIN(" | ",TRUE(),"O8: Veri kalitesi "&amp;modulO8KaliteSkoru&amp;"/100",IF(modulO8KaliteSkoru&lt;VeriKaliteOrtaEsik,"girişler eksik, karar güvenilir değil","giriş kalitesi karar için yeterli"))</f>
        <v>O8: Veri kalitesi 100/100 | giriş kalitesi karar için yeterli</v>
      </c>
      <c r="D48" s="44"/>
      <c r="E48" s="44"/>
      <c r="F48" s="44"/>
    </row>
    <row r="49" customFormat="false" ht="25.35" hidden="false" customHeight="false" outlineLevel="0" collapsed="false">
      <c r="A49" s="42" t="s">
        <v>146</v>
      </c>
      <c r="B49" s="48" t="n">
        <f aca="false">modulI1TahminOrta</f>
        <v>0</v>
      </c>
      <c r="C49" s="44" t="str">
        <f aca="false">_xlfn.TEXTJOIN(" | ",TRUE(),"I1: Tahmin — sonraki dönem endeksi "&amp;TEXT(modulI1TahminOrta,"#,##0")&amp;" öngörülüyor",IF(modulI1TahminOrta&gt;MAX(tblEndeks[Dönem Endeksi]),"tahmin mevcut endekslerin üzerinde","tahmin mevcut seviyeye yakın"))</f>
        <v>I1: Tahmin — sonraki dönem endeksi 0 öngörülüyor | tahmin mevcut seviyeye yakın</v>
      </c>
      <c r="D49" s="44"/>
      <c r="E49" s="44"/>
      <c r="F49" s="44"/>
    </row>
    <row r="50" customFormat="false" ht="25.35" hidden="false" customHeight="false" outlineLevel="0" collapsed="false">
      <c r="A50" s="42" t="s">
        <v>147</v>
      </c>
      <c r="B50" s="48" t="n">
        <f aca="false">modulI2P90</f>
        <v>431.5</v>
      </c>
      <c r="C50" s="44" t="str">
        <f aca="false">_xlfn.TEXTJOIN(" | ",TRUE(),"I2: Dağılım — endekslerin %90'ı "&amp;TEXT(modulI2P90,"#,##0")&amp;" değerinin altında",IF(modulI2P90&gt;0,"dağılım genişliği okunabilir","veri az, dağılım güvenilir değil"))</f>
        <v>I2: Dağılım — endekslerin %90'ı 432 değerinin altında | dağılım genişliği okunabilir</v>
      </c>
      <c r="D50" s="44"/>
      <c r="E50" s="44"/>
      <c r="F50" s="44"/>
    </row>
    <row r="51" customFormat="false" ht="37.3" hidden="false" customHeight="false" outlineLevel="0" collapsed="false">
      <c r="A51" s="42" t="s">
        <v>148</v>
      </c>
      <c r="B51" s="45" t="n">
        <f aca="false">modulI7NakitAcigi</f>
        <v>339075</v>
      </c>
      <c r="C51" s="44" t="str">
        <f aca="false">_xlfn.TEXTJOIN(" | ",TRUE(),"I7: Geç ödeme kaynaklı tahmini nakit ihtiyacı "&amp;TEXT(modulI7NakitAcigi,"#,##0")&amp;" TL",IF(modulI7NakitAcigi&gt;0,"nakit akışına eşik üstü gecikme maliyeti yansıyor","gecikme kaynaklı ek maliyet yok"))</f>
        <v>I7: Geç ödeme kaynaklı tahmini nakit ihtiyacı 339.075 TL | nakit akışına eşik üstü gecikme maliyeti yansıyor</v>
      </c>
      <c r="D51" s="44"/>
      <c r="E51" s="44"/>
      <c r="F51" s="44"/>
    </row>
    <row r="53" customFormat="false" ht="19.5" hidden="false" customHeight="true" outlineLevel="0" collapsed="false">
      <c r="A53" s="11" t="s">
        <v>149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</row>
  </sheetData>
  <sheetProtection sheet="true" password="cc3d" objects="true" scenarios="true" deleteColumns="false" deleteRows="false"/>
  <mergeCells count="14">
    <mergeCell ref="A1:AD1"/>
    <mergeCell ref="C40:F40"/>
    <mergeCell ref="C41:F41"/>
    <mergeCell ref="C42:F42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A53:AN53"/>
  </mergeCells>
  <conditionalFormatting sqref="B10">
    <cfRule type="cellIs" priority="2" operator="greaterThan" aboveAverage="0" equalAverage="0" bottom="0" percent="0" rank="0" text="" dxfId="0">
      <formula>0</formula>
    </cfRule>
    <cfRule type="cellIs" priority="3" operator="lessThanOrEqual" aboveAverage="0" equalAverage="0" bottom="0" percent="0" rank="0" text="" dxfId="1">
      <formula>0</formula>
    </cfRule>
  </conditionalFormatting>
  <conditionalFormatting sqref="B15">
    <cfRule type="cellIs" priority="4" operator="greaterThan" aboveAverage="0" equalAverage="0" bottom="0" percent="0" rank="0" text="" dxfId="10">
      <formula>0</formula>
    </cfRule>
  </conditionalFormatting>
  <conditionalFormatting sqref="B9">
    <cfRule type="cellIs" priority="5" operator="between" aboveAverage="0" equalAverage="0" bottom="0" percent="0" rank="0" text="" dxfId="0">
      <formula>0.99</formula>
      <formula>1.01</formula>
    </cfRule>
    <cfRule type="cellIs" priority="6" operator="notBetween" aboveAverage="0" equalAverage="0" bottom="0" percent="0" rank="0" text="" dxfId="1">
      <formula>0.99</formula>
      <formula>1.01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</cols>
  <sheetData>
    <row r="1" customFormat="false" ht="25.5" hidden="false" customHeight="true" outlineLevel="0" collapsed="false">
      <c r="A1" s="12" t="s">
        <v>150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151</v>
      </c>
    </row>
    <row r="5" customFormat="false" ht="15" hidden="false" customHeight="false" outlineLevel="0" collapsed="false">
      <c r="A5" s="49" t="s">
        <v>152</v>
      </c>
    </row>
    <row r="7" customFormat="false" ht="15" hidden="false" customHeight="false" outlineLevel="0" collapsed="false">
      <c r="A7" s="50" t="s">
        <v>153</v>
      </c>
      <c r="B7" s="51" t="str">
        <f aca="false">IF(SozlesmeAdi="","FAIL","PASS")</f>
        <v>PASS</v>
      </c>
    </row>
    <row r="8" customFormat="false" ht="15" hidden="false" customHeight="false" outlineLevel="0" collapsed="false">
      <c r="A8" s="50" t="s">
        <v>154</v>
      </c>
      <c r="B8" s="51" t="str">
        <f aca="false">IF(OR(SozlesmeBedeli="",SozlesmeBedeli&lt;=0),"FAIL","PASS")</f>
        <v>PASS</v>
      </c>
    </row>
    <row r="9" customFormat="false" ht="15" hidden="false" customHeight="false" outlineLevel="0" collapsed="false">
      <c r="A9" s="50" t="s">
        <v>155</v>
      </c>
      <c r="B9" s="51" t="str">
        <f aca="false">IF(ABS(AgirlikToplam-1)&gt;AgirlikTolerans,"FAIL","PASS")</f>
        <v>PASS</v>
      </c>
    </row>
    <row r="10" customFormat="false" ht="15" hidden="false" customHeight="false" outlineLevel="0" collapsed="false">
      <c r="A10" s="50" t="s">
        <v>156</v>
      </c>
      <c r="B10" s="51" t="str">
        <f aca="false">IF(FiyatFarkiVarMi="","FAIL","PASS")</f>
        <v>PASS</v>
      </c>
    </row>
    <row r="11" customFormat="false" ht="15" hidden="false" customHeight="false" outlineLevel="0" collapsed="false">
      <c r="A11" s="50" t="s">
        <v>157</v>
      </c>
      <c r="B11" s="51" t="str">
        <f aca="false">IF(COUNT(tblEndeks[Dönem Endeksi])=0,"FAIL","PASS")</f>
        <v>PASS</v>
      </c>
    </row>
    <row r="12" customFormat="false" ht="15" hidden="false" customHeight="false" outlineLevel="0" collapsed="false">
      <c r="A12" s="50" t="s">
        <v>158</v>
      </c>
      <c r="B12" s="51" t="str">
        <f aca="false">IF(COUNT(tblKalem[Hakediş Tutarı (₺)])=0,"WARN","PASS")</f>
        <v>PASS</v>
      </c>
    </row>
    <row r="13" customFormat="false" ht="15" hidden="false" customHeight="false" outlineLevel="0" collapsed="false">
      <c r="A13" s="50" t="s">
        <v>159</v>
      </c>
      <c r="B13" s="51" t="str">
        <f aca="false">IF(KayipDurumu="DİKKAT","WARN",IF(KayipDurumu="KRİTİK","FAIL","PASS"))</f>
        <v>PASS</v>
      </c>
    </row>
    <row r="15" customFormat="false" ht="15" hidden="false" customHeight="false" outlineLevel="0" collapsed="false">
      <c r="A15" s="49" t="s">
        <v>160</v>
      </c>
    </row>
    <row r="16" customFormat="false" ht="15" hidden="false" customHeight="false" outlineLevel="0" collapsed="false">
      <c r="A16" s="50" t="s">
        <v>161</v>
      </c>
      <c r="B16" s="52" t="n">
        <f aca="false">COUNTIF(tblKalem[Hakediş Miktarı],"&gt;0")+COUNTIF(tblEndeks[Dönem Endeksi],"&gt;0")+COUNTIF(tblDonem[Hakediş Tutarı (₺)],"&gt;0")</f>
        <v>26</v>
      </c>
    </row>
    <row r="17" customFormat="false" ht="15" hidden="false" customHeight="false" outlineLevel="0" collapsed="false">
      <c r="A17" s="50" t="s">
        <v>162</v>
      </c>
      <c r="B17" s="52" t="n">
        <f aca="false">COUNTIF(B7:B13,"PASS")</f>
        <v>7</v>
      </c>
    </row>
    <row r="18" customFormat="false" ht="15" hidden="false" customHeight="false" outlineLevel="0" collapsed="false">
      <c r="A18" s="50" t="s">
        <v>163</v>
      </c>
      <c r="B18" s="52" t="n">
        <f aca="false">COUNTIF(B7:B13,"FAIL")</f>
        <v>0</v>
      </c>
    </row>
    <row r="19" customFormat="false" ht="15" hidden="false" customHeight="false" outlineLevel="0" collapsed="false">
      <c r="A19" s="53" t="s">
        <v>164</v>
      </c>
      <c r="B19" s="54" t="n">
        <f aca="false">IF(COUNTIF(B7:B13,"FAIL")=0,ROUND(100-COUNTIF(B7:B13,"WARN")*VeriKaliteUyariCeza,0),0)</f>
        <v>100</v>
      </c>
    </row>
    <row r="20" customFormat="false" ht="15" hidden="false" customHeight="false" outlineLevel="0" collapsed="false">
      <c r="A20" s="50" t="s">
        <v>165</v>
      </c>
      <c r="B20" s="53" t="str">
        <f aca="false">IF(VeriKaliteSkoru=0,"VERİ YETERSİZ",IF(VeriKaliteSkoru&gt;=VeriKaliteIyiEsik,"YÜKSEK",IF(VeriKaliteSkoru&gt;=VeriKaliteOrtaEsik,"ORTA","DÜŞÜK")))</f>
        <v>YÜKSEK</v>
      </c>
    </row>
    <row r="22" customFormat="false" ht="15" hidden="false" customHeight="false" outlineLevel="0" collapsed="false">
      <c r="A22" s="50" t="s">
        <v>166</v>
      </c>
      <c r="B22" s="53" t="str">
        <f aca="false">IF(FAIL_Sayisi=0,"SAĞLIKLI","İNCELE")</f>
        <v>SAĞLIKLI</v>
      </c>
    </row>
    <row r="24" customFormat="false" ht="19.5" hidden="false" customHeight="true" outlineLevel="0" collapsed="false">
      <c r="A24" s="11" t="s">
        <v>167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</sheetData>
  <sheetProtection sheet="true" password="cc3d" objects="true" scenarios="true" deleteColumns="false" deleteRows="false"/>
  <mergeCells count="2">
    <mergeCell ref="A1:AD1"/>
    <mergeCell ref="A24:AN24"/>
  </mergeCells>
  <conditionalFormatting sqref="B7">
    <cfRule type="cellIs" priority="2" operator="equal" aboveAverage="0" equalAverage="0" bottom="0" percent="0" rank="0" text="" dxfId="1">
      <formula>"FAIL"</formula>
    </cfRule>
    <cfRule type="cellIs" priority="3" operator="equal" aboveAverage="0" equalAverage="0" bottom="0" percent="0" rank="0" text="" dxfId="10">
      <formula>"WARN"</formula>
    </cfRule>
    <cfRule type="cellIs" priority="4" operator="equal" aboveAverage="0" equalAverage="0" bottom="0" percent="0" rank="0" text="" dxfId="0">
      <formula>"PASS"</formula>
    </cfRule>
  </conditionalFormatting>
  <conditionalFormatting sqref="B8">
    <cfRule type="cellIs" priority="5" operator="equal" aboveAverage="0" equalAverage="0" bottom="0" percent="0" rank="0" text="" dxfId="1">
      <formula>"FAIL"</formula>
    </cfRule>
    <cfRule type="cellIs" priority="6" operator="equal" aboveAverage="0" equalAverage="0" bottom="0" percent="0" rank="0" text="" dxfId="10">
      <formula>"WARN"</formula>
    </cfRule>
    <cfRule type="cellIs" priority="7" operator="equal" aboveAverage="0" equalAverage="0" bottom="0" percent="0" rank="0" text="" dxfId="0">
      <formula>"PASS"</formula>
    </cfRule>
  </conditionalFormatting>
  <conditionalFormatting sqref="B9">
    <cfRule type="cellIs" priority="8" operator="equal" aboveAverage="0" equalAverage="0" bottom="0" percent="0" rank="0" text="" dxfId="1">
      <formula>"FAIL"</formula>
    </cfRule>
    <cfRule type="cellIs" priority="9" operator="equal" aboveAverage="0" equalAverage="0" bottom="0" percent="0" rank="0" text="" dxfId="10">
      <formula>"WARN"</formula>
    </cfRule>
    <cfRule type="cellIs" priority="10" operator="equal" aboveAverage="0" equalAverage="0" bottom="0" percent="0" rank="0" text="" dxfId="0">
      <formula>"PASS"</formula>
    </cfRule>
  </conditionalFormatting>
  <conditionalFormatting sqref="B10">
    <cfRule type="cellIs" priority="11" operator="equal" aboveAverage="0" equalAverage="0" bottom="0" percent="0" rank="0" text="" dxfId="1">
      <formula>"FAIL"</formula>
    </cfRule>
    <cfRule type="cellIs" priority="12" operator="equal" aboveAverage="0" equalAverage="0" bottom="0" percent="0" rank="0" text="" dxfId="10">
      <formula>"WARN"</formula>
    </cfRule>
    <cfRule type="cellIs" priority="13" operator="equal" aboveAverage="0" equalAverage="0" bottom="0" percent="0" rank="0" text="" dxfId="0">
      <formula>"PASS"</formula>
    </cfRule>
  </conditionalFormatting>
  <conditionalFormatting sqref="B11">
    <cfRule type="cellIs" priority="14" operator="equal" aboveAverage="0" equalAverage="0" bottom="0" percent="0" rank="0" text="" dxfId="1">
      <formula>"FAIL"</formula>
    </cfRule>
    <cfRule type="cellIs" priority="15" operator="equal" aboveAverage="0" equalAverage="0" bottom="0" percent="0" rank="0" text="" dxfId="10">
      <formula>"WARN"</formula>
    </cfRule>
    <cfRule type="cellIs" priority="16" operator="equal" aboveAverage="0" equalAverage="0" bottom="0" percent="0" rank="0" text="" dxfId="0">
      <formula>"PASS"</formula>
    </cfRule>
  </conditionalFormatting>
  <conditionalFormatting sqref="B12">
    <cfRule type="cellIs" priority="17" operator="equal" aboveAverage="0" equalAverage="0" bottom="0" percent="0" rank="0" text="" dxfId="1">
      <formula>"FAIL"</formula>
    </cfRule>
    <cfRule type="cellIs" priority="18" operator="equal" aboveAverage="0" equalAverage="0" bottom="0" percent="0" rank="0" text="" dxfId="10">
      <formula>"WARN"</formula>
    </cfRule>
    <cfRule type="cellIs" priority="19" operator="equal" aboveAverage="0" equalAverage="0" bottom="0" percent="0" rank="0" text="" dxfId="0">
      <formula>"PASS"</formula>
    </cfRule>
  </conditionalFormatting>
  <conditionalFormatting sqref="B13">
    <cfRule type="cellIs" priority="20" operator="equal" aboveAverage="0" equalAverage="0" bottom="0" percent="0" rank="0" text="" dxfId="1">
      <formula>"FAIL"</formula>
    </cfRule>
    <cfRule type="cellIs" priority="21" operator="equal" aboveAverage="0" equalAverage="0" bottom="0" percent="0" rank="0" text="" dxfId="10">
      <formula>"WARN"</formula>
    </cfRule>
    <cfRule type="cellIs" priority="22" operator="equal" aboveAverage="0" equalAverage="0" bottom="0" percent="0" rank="0" text="" dxfId="0">
      <formula>"PASS"</formula>
    </cfRule>
  </conditionalFormatting>
  <conditionalFormatting sqref="B19">
    <cfRule type="cellIs" priority="23" operator="greaterThanOrEqual" aboveAverage="0" equalAverage="0" bottom="0" percent="0" rank="0" text="" dxfId="0">
      <formula>90</formula>
    </cfRule>
    <cfRule type="cellIs" priority="24" operator="lessThan" aboveAverage="0" equalAverage="0" bottom="0" percent="0" rank="0" text="" dxfId="1">
      <formula>70</formula>
    </cfRule>
  </conditionalFormatting>
  <conditionalFormatting sqref="B22">
    <cfRule type="cellIs" priority="25" operator="equal" aboveAverage="0" equalAverage="0" bottom="0" percent="0" rank="0" text="" dxfId="0">
      <formula>"SAĞLIKLI"</formula>
    </cfRule>
    <cfRule type="cellIs" priority="26" operator="equal" aboveAverage="0" equalAverage="0" bottom="0" percent="0" rank="0" text="" dxfId="10">
      <formula>"İNCELE"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22"/>
  </cols>
  <sheetData>
    <row r="1" customFormat="false" ht="25.5" hidden="false" customHeight="true" outlineLevel="0" collapsed="false">
      <c r="A1" s="12" t="s">
        <v>168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169</v>
      </c>
    </row>
    <row r="5" customFormat="false" ht="15" hidden="false" customHeight="false" outlineLevel="0" collapsed="false">
      <c r="A5" s="49" t="s">
        <v>170</v>
      </c>
    </row>
    <row r="6" customFormat="false" ht="15" hidden="false" customHeight="false" outlineLevel="0" collapsed="false">
      <c r="A6" s="53" t="s">
        <v>171</v>
      </c>
      <c r="B6" s="19" t="n">
        <f aca="false">FiyatFarkiKatsayi</f>
        <v>0.0595701754385964</v>
      </c>
    </row>
    <row r="7" customFormat="false" ht="15" hidden="false" customHeight="false" outlineLevel="0" collapsed="false">
      <c r="A7" s="53" t="s">
        <v>172</v>
      </c>
      <c r="B7" s="38" t="n">
        <f aca="false">DonemFiyatFarki</f>
        <v>160839</v>
      </c>
    </row>
    <row r="8" customFormat="false" ht="15" hidden="false" customHeight="false" outlineLevel="0" collapsed="false">
      <c r="A8" s="53" t="s">
        <v>113</v>
      </c>
      <c r="B8" s="38" t="n">
        <f aca="false">HakKaybiToplam</f>
        <v>386700</v>
      </c>
    </row>
    <row r="9" customFormat="false" ht="15" hidden="false" customHeight="false" outlineLevel="0" collapsed="false">
      <c r="A9" s="53" t="s">
        <v>114</v>
      </c>
      <c r="B9" s="19" t="n">
        <f aca="false">HakKaybiOran</f>
        <v>0.0346021690110598</v>
      </c>
    </row>
    <row r="11" customFormat="false" ht="19.4" hidden="false" customHeight="false" outlineLevel="0" collapsed="false">
      <c r="A11" s="13" t="s">
        <v>173</v>
      </c>
      <c r="B11" s="55" t="str">
        <f aca="false">IF(DoluGirisHucre=0,"VERİ YOK",IF(VeriKaliteSkoru=0,"VERİ YETERSİZ",IF(OR(AgirlikToplam&gt;1+AgirlikTolerans,AgirlikToplam&lt;1-AgirlikTolerans),"DURDUR",IF(KayipDurumu="KRİTİK","DURDUR",IF(OR(FiyatFarkiKatsayi&lt;=0,KayipDurumu="DİKKAT"),"İNCELE","UYGUN")))))</f>
        <v>UYGUN</v>
      </c>
    </row>
    <row r="12" customFormat="false" ht="28.35" hidden="false" customHeight="false" outlineLevel="0" collapsed="false">
      <c r="A12" s="53" t="s">
        <v>174</v>
      </c>
      <c r="B12" s="56" t="str">
        <f aca="false">IF(DoluGirisHucre=0,"Hiç veri girilmedi; lütfen sarı hücreleri doldurun.",IF(VeriKaliteSkoru=0,"Girdi eksik; lütfen sarı hücreleri doldurun.",IF(ABS(AgirlikToplam-1)&gt;AgirlikTolerans,"Ağırlık toplamı 1 değil: "&amp;TEXT(AgirlikToplam,"0.0%")&amp;". Katsayıları sözleşmeden kontrol edin.",IF(KayipDurumu="KRİTİK","Hak kaybı oranı "&amp;TEXT(HakKaybiOran,"0.0%")&amp;" ile kritik seviyede.",IF(FiyatFarkiKatsayi&lt;=0,"Fiyat farkı katsayısı pozitif değil; endeks ve ağırlıkları inceleyin.",IF(KayipDurumu="DİKKAT","Hak kaybı oranı "&amp;TEXT(HakKaybiOran,"0.0%")&amp;" ile dikkat seviyesinde.","Fiyat farkı ve hak kaybı kabul edilebilir aralıkta."))))))</f>
        <v>Fiyat farkı ve hak kaybı kabul edilebilir aralıkta.</v>
      </c>
    </row>
    <row r="14" customFormat="false" ht="15" hidden="false" customHeight="false" outlineLevel="0" collapsed="false">
      <c r="A14" s="49" t="s">
        <v>175</v>
      </c>
    </row>
    <row r="15" customFormat="false" ht="15" hidden="false" customHeight="false" outlineLevel="0" collapsed="false">
      <c r="A15" s="57" t="str">
        <f aca="false">IF(OR(KararSonuc="VERİ YOK",KararSonuc="VERİ YETERSİZ",KararSonuc="DURDUR"),"Ağırlık katsayılarını ve girdileri sözleşme/endeks belgelerinden kontrol edin",IF(FiyatFarkiKatsayi&lt;=0,"Endeks kayıtlarını güncelleyin; temel-dönem endeksi sıralamasını doğrulayın","Fiyat farkı tahakkukunu dönem hakedişine yansıtın"))</f>
        <v>Fiyat farkı tahakkukunu dönem hakedişine yansıtın</v>
      </c>
      <c r="B15" s="57"/>
      <c r="C15" s="57"/>
    </row>
    <row r="16" customFormat="false" ht="15" hidden="false" customHeight="false" outlineLevel="0" collapsed="false">
      <c r="A16" s="57" t="str">
        <f aca="false">IF(HakKaybiOran&gt;KayipEsikOran,"Hak kaybını yüklenici ile görüşün; revize birim fiyat veya zam farkı gündemini değerlendirin","Hak kaybı kabul edilebilir aralıkta")</f>
        <v>Hak kaybı kabul edilebilir aralıkta</v>
      </c>
      <c r="B16" s="57"/>
      <c r="C16" s="57"/>
    </row>
    <row r="17" customFormat="false" ht="15" hidden="false" customHeight="false" outlineLevel="0" collapsed="false">
      <c r="A17" s="57" t="str">
        <f aca="false">IF(KayipDurumu="KRİTİK","Piyasa birim fiyatlarını üçüncü taraftan teyit edin ve kayıp tutarını belgelendirin","Piyasa verisi normal görünüyor")</f>
        <v>Piyasa verisi normal görünüyor</v>
      </c>
      <c r="B17" s="57"/>
      <c r="C17" s="57"/>
    </row>
    <row r="18" customFormat="false" ht="15" hidden="false" customHeight="false" outlineLevel="0" collapsed="false">
      <c r="A18" s="57" t="str">
        <f aca="false">IF(AnomaliEndeksAdet&gt;0,"Uç endeks hareketlerini TÜİK yayınlarıyla mutabakat edin","Endeks hareketleri tutarlı")</f>
        <v>Uç endeks hareketlerini TÜİK yayınlarıyla mutabakat edin</v>
      </c>
      <c r="B18" s="57"/>
      <c r="C18" s="57"/>
    </row>
    <row r="21" customFormat="false" ht="19.5" hidden="false" customHeight="true" outlineLevel="0" collapsed="false">
      <c r="A21" s="11" t="s">
        <v>176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</sheetData>
  <sheetProtection sheet="true" password="cc3d" objects="true" scenarios="true" deleteColumns="false" deleteRows="false"/>
  <mergeCells count="6">
    <mergeCell ref="A1:AD1"/>
    <mergeCell ref="A15:C15"/>
    <mergeCell ref="A16:C16"/>
    <mergeCell ref="A17:C17"/>
    <mergeCell ref="A18:C18"/>
    <mergeCell ref="A21:AN21"/>
  </mergeCells>
  <conditionalFormatting sqref="B11">
    <cfRule type="cellIs" priority="2" operator="equal" aboveAverage="0" equalAverage="0" bottom="0" percent="0" rank="0" text="" dxfId="11">
      <formula>"UYGUN"</formula>
    </cfRule>
    <cfRule type="cellIs" priority="3" operator="equal" aboveAverage="0" equalAverage="0" bottom="0" percent="0" rank="0" text="" dxfId="12">
      <formula>"İNCELE"</formula>
    </cfRule>
    <cfRule type="cellIs" priority="4" operator="equal" aboveAverage="0" equalAverage="0" bottom="0" percent="0" rank="0" text="" dxfId="13">
      <formula>"DURDUR"</formula>
    </cfRule>
    <cfRule type="cellIs" priority="5" operator="equal" aboveAverage="0" equalAverage="0" bottom="0" percent="0" rank="0" text="" dxfId="14">
      <formula>"VERİ YETERSİZ"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6"/>
  </cols>
  <sheetData>
    <row r="1" customFormat="false" ht="25.5" hidden="false" customHeight="true" outlineLevel="0" collapsed="false">
      <c r="A1" s="12" t="s">
        <v>177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7.35" hidden="false" customHeight="false" outlineLevel="0" collapsed="false">
      <c r="A3" s="58" t="s">
        <v>178</v>
      </c>
    </row>
    <row r="5" customFormat="false" ht="15" hidden="false" customHeight="false" outlineLevel="0" collapsed="false">
      <c r="A5" s="59" t="s">
        <v>179</v>
      </c>
      <c r="B5" s="59"/>
      <c r="D5" s="60" t="s">
        <v>180</v>
      </c>
      <c r="E5" s="60"/>
      <c r="G5" s="61" t="s">
        <v>181</v>
      </c>
      <c r="H5" s="61"/>
      <c r="J5" s="62" t="s">
        <v>173</v>
      </c>
      <c r="K5" s="62"/>
    </row>
    <row r="6" customFormat="false" ht="19.4" hidden="false" customHeight="false" outlineLevel="0" collapsed="false">
      <c r="A6" s="63" t="n">
        <f aca="false">FiyatFarkiKatsayi</f>
        <v>0.0595701754385964</v>
      </c>
      <c r="B6" s="63"/>
      <c r="D6" s="64" t="n">
        <f aca="false">DonemFiyatFarki</f>
        <v>160839</v>
      </c>
      <c r="E6" s="64"/>
      <c r="G6" s="63" t="n">
        <f aca="false">HakKaybiOran</f>
        <v>0.0346021690110598</v>
      </c>
      <c r="H6" s="63"/>
      <c r="J6" s="65" t="str">
        <f aca="false">KararSonuc</f>
        <v>UYGUN</v>
      </c>
      <c r="K6" s="65"/>
    </row>
    <row r="8" customFormat="false" ht="15" hidden="false" customHeight="false" outlineLevel="0" collapsed="false">
      <c r="A8" s="37" t="s">
        <v>41</v>
      </c>
      <c r="B8" s="19" t="n">
        <f aca="false">AgirlikToplam</f>
        <v>1</v>
      </c>
    </row>
    <row r="9" customFormat="false" ht="15" hidden="false" customHeight="false" outlineLevel="0" collapsed="false">
      <c r="A9" s="37" t="s">
        <v>116</v>
      </c>
      <c r="B9" s="19" t="n">
        <f aca="false">EndeksOrtalama</f>
        <v>0.0682648729194782</v>
      </c>
    </row>
    <row r="10" customFormat="false" ht="15" hidden="false" customHeight="false" outlineLevel="0" collapsed="false">
      <c r="A10" s="37" t="s">
        <v>115</v>
      </c>
      <c r="B10" s="39" t="str">
        <f aca="false">KayipDurumu</f>
        <v>NORMAL</v>
      </c>
    </row>
    <row r="11" customFormat="false" ht="15" hidden="false" customHeight="false" outlineLevel="0" collapsed="false">
      <c r="A11" s="37" t="s">
        <v>182</v>
      </c>
      <c r="B11" s="41" t="n">
        <f aca="false">VeriKaliteSkoru</f>
        <v>100</v>
      </c>
    </row>
    <row r="13" customFormat="false" ht="15" hidden="false" customHeight="false" outlineLevel="0" collapsed="false">
      <c r="A13" s="49" t="s">
        <v>183</v>
      </c>
    </row>
    <row r="14" customFormat="false" ht="15" hidden="false" customHeight="false" outlineLevel="0" collapsed="false">
      <c r="A14" s="57" t="str">
        <f aca="false">"Fiyat farkı katsayısı %"&amp;TEXT(FiyatFarkiKatsayi,"0.0%")&amp;" düzeyinde."</f>
        <v>Fiyat farkı katsayısı %06% düzeyinde.</v>
      </c>
      <c r="B14" s="57"/>
      <c r="C14" s="57"/>
      <c r="D14" s="57"/>
      <c r="E14" s="57"/>
      <c r="F14" s="57"/>
    </row>
    <row r="15" customFormat="false" ht="15" hidden="false" customHeight="false" outlineLevel="0" collapsed="false">
      <c r="A15" s="57" t="str">
        <f aca="false">"Toplam hak kaybı "&amp;TEXT(HakKaybiToplam,"#,##0")&amp;" ₺, oran "&amp;TEXT(HakKaybiOran,"0.0%")&amp;"."</f>
        <v>Toplam hak kaybı 386.700 ₺, oran 03%.</v>
      </c>
      <c r="B15" s="57"/>
      <c r="C15" s="57"/>
      <c r="D15" s="57"/>
      <c r="E15" s="57"/>
      <c r="F15" s="57"/>
    </row>
    <row r="16" customFormat="false" ht="15" hidden="false" customHeight="false" outlineLevel="0" collapsed="false">
      <c r="A16" s="57" t="str">
        <f aca="false">"Endeks ortalaması %"&amp;TEXT(EndeksOrtalama,"0.0%")&amp;" değişti."</f>
        <v>Endeks ortalaması %07% değişti.</v>
      </c>
      <c r="B16" s="57"/>
      <c r="C16" s="57"/>
      <c r="D16" s="57"/>
      <c r="E16" s="57"/>
      <c r="F16" s="57"/>
    </row>
    <row r="18" customFormat="false" ht="15" hidden="false" customHeight="false" outlineLevel="0" collapsed="false">
      <c r="A18" s="37" t="s">
        <v>184</v>
      </c>
      <c r="B18" s="0" t="s">
        <v>185</v>
      </c>
      <c r="C18" s="29" t="n">
        <f aca="false">HakedisKalemToplam</f>
        <v>11175600</v>
      </c>
    </row>
    <row r="19" customFormat="false" ht="15" hidden="false" customHeight="false" outlineLevel="0" collapsed="false">
      <c r="B19" s="0" t="s">
        <v>186</v>
      </c>
      <c r="C19" s="29" t="n">
        <f aca="false">PiyasaKalemToplam</f>
        <v>11562300</v>
      </c>
    </row>
    <row r="21" customFormat="false" ht="15" hidden="false" customHeight="false" outlineLevel="0" collapsed="false">
      <c r="A21" s="37" t="s">
        <v>187</v>
      </c>
      <c r="B21" s="0" t="s">
        <v>188</v>
      </c>
      <c r="C21" s="66" t="n">
        <f aca="false">EndeksProjeksiyon</f>
        <v>0</v>
      </c>
    </row>
    <row r="22" customFormat="false" ht="15" hidden="false" customHeight="false" outlineLevel="0" collapsed="false">
      <c r="B22" s="0" t="s">
        <v>189</v>
      </c>
      <c r="C22" s="66" t="n">
        <f aca="false">TahminAltSinir</f>
        <v>-0.00682648729194782</v>
      </c>
    </row>
    <row r="23" customFormat="false" ht="15" hidden="false" customHeight="false" outlineLevel="0" collapsed="false">
      <c r="B23" s="0" t="s">
        <v>190</v>
      </c>
      <c r="C23" s="66" t="n">
        <f aca="false">TahminUstSinir</f>
        <v>0.00682648729194782</v>
      </c>
    </row>
    <row r="26" customFormat="false" ht="15" hidden="false" customHeight="false" outlineLevel="0" collapsed="false">
      <c r="A26" s="37" t="s">
        <v>120</v>
      </c>
      <c r="B26" s="41" t="n">
        <f aca="false">AnomaliEndeksAdet</f>
        <v>6</v>
      </c>
    </row>
    <row r="27" customFormat="false" ht="15" hidden="false" customHeight="false" outlineLevel="0" collapsed="false">
      <c r="A27" s="37" t="s">
        <v>110</v>
      </c>
      <c r="B27" s="38" t="n">
        <f aca="false">BirikimliFiyatFarki</f>
        <v>1286712</v>
      </c>
    </row>
    <row r="29" customFormat="false" ht="15" hidden="false" customHeight="false" outlineLevel="0" collapsed="false">
      <c r="A29" s="49" t="s">
        <v>191</v>
      </c>
      <c r="B29" s="0" t="s">
        <v>192</v>
      </c>
      <c r="C29" s="29" t="n">
        <f aca="false">HakKaybiToplam</f>
        <v>386700</v>
      </c>
    </row>
  </sheetData>
  <sheetProtection sheet="true" password="cc3d" objects="true" scenarios="true" deleteColumns="false" deleteRows="false"/>
  <mergeCells count="12">
    <mergeCell ref="A1:AD1"/>
    <mergeCell ref="A5:B5"/>
    <mergeCell ref="D5:E5"/>
    <mergeCell ref="G5:H5"/>
    <mergeCell ref="J5:K5"/>
    <mergeCell ref="A6:B6"/>
    <mergeCell ref="D6:E6"/>
    <mergeCell ref="G6:H6"/>
    <mergeCell ref="J6:K6"/>
    <mergeCell ref="A14:F14"/>
    <mergeCell ref="A15:F15"/>
    <mergeCell ref="A16:F16"/>
  </mergeCells>
  <conditionalFormatting sqref="C18">
    <cfRule type="cellIs" priority="2" operator="greaterThan" aboveAverage="0" equalAverage="0" bottom="0" percent="0" rank="0" text="" dxfId="1">
      <formula>C19</formula>
    </cfRule>
  </conditionalFormatting>
  <conditionalFormatting sqref="C19">
    <cfRule type="cellIs" priority="3" operator="greaterThan" aboveAverage="0" equalAverage="0" bottom="0" percent="0" rank="0" text="" dxfId="0">
      <formula>C18</formula>
    </cfRule>
  </conditionalFormatting>
  <conditionalFormatting sqref="A6">
    <cfRule type="cellIs" priority="4" operator="greaterThan" aboveAverage="0" equalAverage="0" bottom="0" percent="0" rank="0" text="" dxfId="10">
      <formula>0</formula>
    </cfRule>
  </conditionalFormatting>
  <conditionalFormatting sqref="D6">
    <cfRule type="cellIs" priority="5" operator="greaterThan" aboveAverage="0" equalAverage="0" bottom="0" percent="0" rank="0" text="" dxfId="10">
      <formula>0</formula>
    </cfRule>
  </conditionalFormatting>
  <conditionalFormatting sqref="G6">
    <cfRule type="cellIs" priority="6" operator="greaterThan" aboveAverage="0" equalAverage="0" bottom="0" percent="0" rank="0" text="" dxfId="10">
      <formula>0</formula>
    </cfRule>
  </conditionalFormatting>
  <conditionalFormatting sqref="A7">
    <cfRule type="cellIs" priority="7" operator="greaterThan" aboveAverage="0" equalAverage="0" bottom="0" percent="0" rank="0" text="" dxfId="10">
      <formula>0</formula>
    </cfRule>
  </conditionalFormatting>
  <conditionalFormatting sqref="D7">
    <cfRule type="cellIs" priority="8" operator="greaterThan" aboveAverage="0" equalAverage="0" bottom="0" percent="0" rank="0" text="" dxfId="10">
      <formula>0</formula>
    </cfRule>
  </conditionalFormatting>
  <conditionalFormatting sqref="G7">
    <cfRule type="cellIs" priority="9" operator="greaterThan" aboveAverage="0" equalAverage="0" bottom="0" percent="0" rank="0" text="" dxfId="10">
      <formula>0</formula>
    </cfRule>
  </conditionalFormatting>
  <conditionalFormatting sqref="A8">
    <cfRule type="cellIs" priority="10" operator="greaterThan" aboveAverage="0" equalAverage="0" bottom="0" percent="0" rank="0" text="" dxfId="10">
      <formula>0</formula>
    </cfRule>
  </conditionalFormatting>
  <conditionalFormatting sqref="D8">
    <cfRule type="cellIs" priority="11" operator="greaterThan" aboveAverage="0" equalAverage="0" bottom="0" percent="0" rank="0" text="" dxfId="10">
      <formula>0</formula>
    </cfRule>
  </conditionalFormatting>
  <conditionalFormatting sqref="G8">
    <cfRule type="cellIs" priority="12" operator="greaterThan" aboveAverage="0" equalAverage="0" bottom="0" percent="0" rank="0" text="" dxfId="10">
      <formula>0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&amp;LHAKEDİŞ FİYAT FARKI VE HAK KAYBI CETVELİ&amp;CExcelArşiv&amp;RSayfa &amp;P /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25.5" hidden="false" customHeight="true" outlineLevel="0" collapsed="false">
      <c r="A1" s="12" t="s">
        <v>193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194</v>
      </c>
    </row>
    <row r="5" customFormat="false" ht="15" hidden="false" customHeight="false" outlineLevel="0" collapsed="false">
      <c r="A5" s="49" t="s">
        <v>195</v>
      </c>
    </row>
    <row r="6" customFormat="false" ht="30" hidden="false" customHeight="true" outlineLevel="0" collapsed="false">
      <c r="A6" s="21" t="s">
        <v>196</v>
      </c>
      <c r="B6" s="21" t="s">
        <v>197</v>
      </c>
      <c r="C6" s="21" t="s">
        <v>198</v>
      </c>
      <c r="D6" s="21" t="s">
        <v>171</v>
      </c>
      <c r="E6" s="21" t="s">
        <v>199</v>
      </c>
      <c r="F6" s="21" t="s">
        <v>114</v>
      </c>
      <c r="G6" s="21" t="s">
        <v>200</v>
      </c>
    </row>
    <row r="7" customFormat="false" ht="15" hidden="false" customHeight="false" outlineLevel="0" collapsed="false">
      <c r="A7" s="14" t="s">
        <v>201</v>
      </c>
      <c r="B7" s="19" t="n">
        <f aca="false">IsciEndeksOran*(1+SenaryoKotumserKat)</f>
        <v>0.0766666666666667</v>
      </c>
      <c r="C7" s="19" t="n">
        <f aca="false">MalzemeEndeksOran*(1+SenaryoKotumserKat)</f>
        <v>0.105921052631579</v>
      </c>
      <c r="D7" s="19" t="n">
        <f aca="false">IF(FiyatFarkiVarMi="Hayır",0,(a+b*(1+B7)+_c*(1+C7)+d*(1+MakineEndeksOran))-1)</f>
        <v>0.067905701754386</v>
      </c>
      <c r="E7" s="38" t="n">
        <f aca="false">ROUND(DonemHakedisToplam*D7,0)</f>
        <v>183345</v>
      </c>
      <c r="F7" s="19" t="n">
        <f aca="false">IFERROR(IF(HakedisKalemToplam=0,0,HakKaybiToplam/HakedisKalemToplam*(1+SenaryoKotumserKat)),0)</f>
        <v>0.0397924943627188</v>
      </c>
      <c r="G7" s="51" t="str">
        <f aca="false">IF(E7&lt;=0,"DURDUR",IF(F7&gt;KayipDikkatOran,"DURDUR","İNCELE"))</f>
        <v>İNCELE</v>
      </c>
    </row>
    <row r="8" customFormat="false" ht="15" hidden="false" customHeight="false" outlineLevel="0" collapsed="false">
      <c r="A8" s="14" t="s">
        <v>202</v>
      </c>
      <c r="B8" s="19" t="n">
        <f aca="false">IsciEndeksOran</f>
        <v>0.0666666666666667</v>
      </c>
      <c r="C8" s="19" t="n">
        <f aca="false">MalzemeEndeksOran</f>
        <v>0.0921052631578947</v>
      </c>
      <c r="D8" s="19" t="n">
        <f aca="false">IF(FiyatFarkiVarMi="Hayır",0,(a+b*(1+B8)+_c*(1+C8)+d*(1+MakineEndeksOran))-1)</f>
        <v>0.0595701754385964</v>
      </c>
      <c r="E8" s="38" t="n">
        <f aca="false">ROUND(DonemHakedisToplam*D8,0)</f>
        <v>160839</v>
      </c>
      <c r="F8" s="19" t="n">
        <f aca="false">IFERROR(IF(HakedisKalemToplam=0,0,HakKaybiToplam/HakedisKalemToplam),0)</f>
        <v>0.0346021690110598</v>
      </c>
      <c r="G8" s="51" t="str">
        <f aca="false">IF(E8&lt;=0,"DURDUR",IF(F8&gt;KayipDikkatOran,"DURDUR","UYGUN"))</f>
        <v>UYGUN</v>
      </c>
    </row>
    <row r="9" customFormat="false" ht="15" hidden="false" customHeight="false" outlineLevel="0" collapsed="false">
      <c r="A9" s="14" t="s">
        <v>203</v>
      </c>
      <c r="B9" s="19" t="n">
        <f aca="false">IsciEndeksOran*(1-SenaryoIyimserKat)</f>
        <v>0.0566666666666667</v>
      </c>
      <c r="C9" s="19" t="n">
        <f aca="false">MalzemeEndeksOran*(1-SenaryoIyimserKat)</f>
        <v>0.0782894736842105</v>
      </c>
      <c r="D9" s="19" t="n">
        <f aca="false">IF(FiyatFarkiVarMi="Hayır",0,(a+b*(1+B9)+_c*(1+C9)+d*(1+MakineEndeksOran))-1)</f>
        <v>0.0512346491228071</v>
      </c>
      <c r="E9" s="38" t="n">
        <f aca="false">ROUND(DonemHakedisToplam*D9,0)</f>
        <v>138334</v>
      </c>
      <c r="F9" s="19" t="n">
        <f aca="false">IFERROR(IF(HakedisKalemToplam=0,0,HakKaybiToplam/HakedisKalemToplam*(1-SenaryoIyimserKat)),0)</f>
        <v>0.0294118436594008</v>
      </c>
      <c r="G9" s="51" t="str">
        <f aca="false">IF(E9&lt;=0,"DURDUR",IF(F9&gt;KayipDikkatOran,"DURDUR","UYGUN"))</f>
        <v>UYGUN</v>
      </c>
    </row>
    <row r="11" customFormat="false" ht="15" hidden="false" customHeight="false" outlineLevel="0" collapsed="false">
      <c r="A11" s="49" t="s">
        <v>204</v>
      </c>
    </row>
    <row r="12" customFormat="false" ht="30" hidden="false" customHeight="true" outlineLevel="0" collapsed="false">
      <c r="A12" s="21" t="s">
        <v>205</v>
      </c>
      <c r="B12" s="21" t="s">
        <v>206</v>
      </c>
      <c r="C12" s="21" t="s">
        <v>207</v>
      </c>
      <c r="D12" s="21" t="s">
        <v>208</v>
      </c>
      <c r="E12" s="21" t="s">
        <v>209</v>
      </c>
      <c r="F12" s="21" t="s">
        <v>210</v>
      </c>
      <c r="G12" s="21" t="s">
        <v>211</v>
      </c>
    </row>
    <row r="13" customFormat="false" ht="15" hidden="false" customHeight="false" outlineLevel="0" collapsed="false">
      <c r="A13" s="53" t="s">
        <v>212</v>
      </c>
      <c r="B13" s="19" t="n">
        <f aca="false">IsciEndeksOran-DuyarliDegisim</f>
        <v>0.0166666666666667</v>
      </c>
      <c r="C13" s="19" t="n">
        <f aca="false">IsciEndeksOran</f>
        <v>0.0666666666666667</v>
      </c>
      <c r="D13" s="19" t="n">
        <f aca="false">IsciEndeksOran+DuyarliDegisim</f>
        <v>0.116666666666667</v>
      </c>
      <c r="E13" s="19" t="n">
        <f aca="false">IF(FiyatFarkiVarMi="Hayır",0,(a+b*(1+B13)+_c*(1+MalzemeEndeksOran)+d*(1+MakineEndeksOran))-1)</f>
        <v>0.0420701754385964</v>
      </c>
      <c r="F13" s="19" t="n">
        <f aca="false">IF(FiyatFarkiVarMi="Hayır",0,(a+b*(1+D13)+_c*(1+MalzemeEndeksOran)+d*(1+MakineEndeksOran))-1)</f>
        <v>0.0770701754385965</v>
      </c>
      <c r="G13" s="19" t="n">
        <f aca="false">ABS(F13-E13)</f>
        <v>0.0350000000000001</v>
      </c>
    </row>
    <row r="14" customFormat="false" ht="15" hidden="false" customHeight="false" outlineLevel="0" collapsed="false">
      <c r="A14" s="53" t="s">
        <v>213</v>
      </c>
      <c r="B14" s="19" t="n">
        <f aca="false">MalzemeEndeksOran-DuyarliDegisim</f>
        <v>0.0421052631578947</v>
      </c>
      <c r="C14" s="19" t="n">
        <f aca="false">MalzemeEndeksOran</f>
        <v>0.0921052631578947</v>
      </c>
      <c r="D14" s="19" t="n">
        <f aca="false">MalzemeEndeksOran+DuyarliDegisim</f>
        <v>0.142105263157895</v>
      </c>
      <c r="E14" s="19" t="n">
        <f aca="false">IF(FiyatFarkiVarMi="Hayır",0,(a+b*(1+IsciEndeksOran)+_c*(1+B14)+d*(1+MakineEndeksOran))-1)</f>
        <v>0.0420701754385964</v>
      </c>
      <c r="F14" s="19" t="n">
        <f aca="false">IF(FiyatFarkiVarMi="Hayır",0,(a+b*(1+IsciEndeksOran)+_c*(1+D14)+d*(1+MakineEndeksOran))-1)</f>
        <v>0.0770701754385965</v>
      </c>
      <c r="G14" s="19" t="n">
        <f aca="false">ABS(F14-E14)</f>
        <v>0.0350000000000001</v>
      </c>
    </row>
    <row r="15" customFormat="false" ht="15" hidden="false" customHeight="false" outlineLevel="0" collapsed="false">
      <c r="A15" s="53" t="s">
        <v>214</v>
      </c>
      <c r="B15" s="19" t="n">
        <f aca="false">MAX(0,b-DuyarliDegisim)</f>
        <v>0.3</v>
      </c>
      <c r="C15" s="19" t="n">
        <f aca="false">b</f>
        <v>0.35</v>
      </c>
      <c r="D15" s="19" t="n">
        <f aca="false">MIN(1,b+DuyarliDegisim)</f>
        <v>0.4</v>
      </c>
      <c r="E15" s="19" t="n">
        <f aca="false">IF(FiyatFarkiVarMi="Hayır",0,(a+B15*(1+IsciEndeksOran)+_c*(1+MalzemeEndeksOran)+d*(1+MakineEndeksOran))-1)</f>
        <v>0.00623684210526321</v>
      </c>
      <c r="F15" s="19" t="n">
        <f aca="false">IF(FiyatFarkiVarMi="Hayır",0,(a+D15*(1+IsciEndeksOran)+_c*(1+MalzemeEndeksOran)+d*(1+MakineEndeksOran))-1)</f>
        <v>0.11290350877193</v>
      </c>
      <c r="G15" s="19" t="n">
        <f aca="false">ABS(F15-E15)</f>
        <v>0.106666666666667</v>
      </c>
    </row>
    <row r="17" customFormat="false" ht="15" hidden="false" customHeight="false" outlineLevel="0" collapsed="false">
      <c r="A17" s="49" t="s">
        <v>215</v>
      </c>
    </row>
    <row r="18" customFormat="false" ht="15" hidden="false" customHeight="false" outlineLevel="0" collapsed="false">
      <c r="A18" s="53" t="s">
        <v>216</v>
      </c>
      <c r="B18" s="19" t="n">
        <f aca="false">IFERROR(-(a-1)/(b+_c+d),0)</f>
        <v>1</v>
      </c>
    </row>
    <row r="19" customFormat="false" ht="15" hidden="false" customHeight="false" outlineLevel="0" collapsed="false">
      <c r="A19" s="53" t="s">
        <v>217</v>
      </c>
      <c r="B19" s="19" t="n">
        <f aca="false">IFERROR(HakKaybiOran-KayipEsikOran,0)</f>
        <v>-0.0153978309889402</v>
      </c>
    </row>
    <row r="20" customFormat="false" ht="15" hidden="false" customHeight="false" outlineLevel="0" collapsed="false">
      <c r="A20" s="53" t="s">
        <v>218</v>
      </c>
      <c r="B20" s="38" t="n">
        <f aca="false">IFERROR(BirikimliFiyatFarki+HakKaybiToplam,0)</f>
        <v>1673412</v>
      </c>
    </row>
    <row r="23" customFormat="false" ht="19.5" hidden="false" customHeight="true" outlineLevel="0" collapsed="false">
      <c r="A23" s="11" t="s">
        <v>219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</sheetData>
  <sheetProtection sheet="true" password="cc3d" objects="true" scenarios="true" deleteColumns="false" deleteRows="false"/>
  <mergeCells count="2">
    <mergeCell ref="A1:AD1"/>
    <mergeCell ref="A23:AN23"/>
  </mergeCells>
  <conditionalFormatting sqref="G7">
    <cfRule type="cellIs" priority="2" operator="equal" aboveAverage="0" equalAverage="0" bottom="0" percent="0" rank="0" text="" dxfId="0">
      <formula>"UYGUN"</formula>
    </cfRule>
    <cfRule type="cellIs" priority="3" operator="equal" aboveAverage="0" equalAverage="0" bottom="0" percent="0" rank="0" text="" dxfId="10">
      <formula>"İNCELE"</formula>
    </cfRule>
    <cfRule type="cellIs" priority="4" operator="equal" aboveAverage="0" equalAverage="0" bottom="0" percent="0" rank="0" text="" dxfId="1">
      <formula>"DURDUR"</formula>
    </cfRule>
  </conditionalFormatting>
  <conditionalFormatting sqref="G8">
    <cfRule type="cellIs" priority="5" operator="equal" aboveAverage="0" equalAverage="0" bottom="0" percent="0" rank="0" text="" dxfId="0">
      <formula>"UYGUN"</formula>
    </cfRule>
    <cfRule type="cellIs" priority="6" operator="equal" aboveAverage="0" equalAverage="0" bottom="0" percent="0" rank="0" text="" dxfId="10">
      <formula>"İNCELE"</formula>
    </cfRule>
    <cfRule type="cellIs" priority="7" operator="equal" aboveAverage="0" equalAverage="0" bottom="0" percent="0" rank="0" text="" dxfId="1">
      <formula>"DURDUR"</formula>
    </cfRule>
  </conditionalFormatting>
  <conditionalFormatting sqref="G9">
    <cfRule type="cellIs" priority="8" operator="equal" aboveAverage="0" equalAverage="0" bottom="0" percent="0" rank="0" text="" dxfId="0">
      <formula>"UYGUN"</formula>
    </cfRule>
    <cfRule type="cellIs" priority="9" operator="equal" aboveAverage="0" equalAverage="0" bottom="0" percent="0" rank="0" text="" dxfId="10">
      <formula>"İNCELE"</formula>
    </cfRule>
    <cfRule type="cellIs" priority="10" operator="equal" aboveAverage="0" equalAverage="0" bottom="0" percent="0" rank="0" text="" dxfId="1">
      <formula>"DURDUR"</formula>
    </cfRule>
  </conditionalFormatting>
  <conditionalFormatting sqref="G13">
    <cfRule type="cellIs" priority="11" operator="greaterThan" aboveAverage="0" equalAverage="0" bottom="0" percent="0" rank="0" text="" dxfId="0">
      <formula>0</formula>
    </cfRule>
  </conditionalFormatting>
  <conditionalFormatting sqref="G14">
    <cfRule type="cellIs" priority="12" operator="greaterThan" aboveAverage="0" equalAverage="0" bottom="0" percent="0" rank="0" text="" dxfId="0">
      <formula>0</formula>
    </cfRule>
  </conditionalFormatting>
  <conditionalFormatting sqref="G15">
    <cfRule type="cellIs" priority="13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14"/>
  </cols>
  <sheetData>
    <row r="1" customFormat="false" ht="25.5" hidden="false" customHeight="true" outlineLevel="0" collapsed="false">
      <c r="A1" s="67" t="s">
        <v>220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</row>
    <row r="2" customFormat="false" ht="15" hidden="false" customHeight="false" outlineLevel="0" collapsed="false">
      <c r="A2" s="68" t="str">
        <f aca="false">SozlesmeAdi &amp; " — " &amp; Yuklenici</f>
        <v>Okul İnşaatı — Yapı A A.Ş.</v>
      </c>
    </row>
    <row r="3" customFormat="false" ht="15" hidden="false" customHeight="false" outlineLevel="0" collapsed="false">
      <c r="A3" s="69" t="str">
        <f aca="false">TEXT(SozlesmeTarihi,"gg.aa.yyyy") &amp; " | Rapor: " &amp; TEXT(raporTarihi,"gg.aa.yyyy")</f>
        <v>MS.aa.2026 | Rapor: MS.aa.2026</v>
      </c>
    </row>
    <row r="5" customFormat="false" ht="15" hidden="false" customHeight="false" outlineLevel="0" collapsed="false">
      <c r="A5" s="49" t="s">
        <v>221</v>
      </c>
    </row>
    <row r="6" customFormat="false" ht="15" hidden="false" customHeight="false" outlineLevel="0" collapsed="false">
      <c r="A6" s="50" t="s">
        <v>222</v>
      </c>
      <c r="B6" s="70" t="n">
        <f aca="false">SozlesmeBedeli</f>
        <v>8500000</v>
      </c>
    </row>
    <row r="7" customFormat="false" ht="15" hidden="false" customHeight="false" outlineLevel="0" collapsed="false">
      <c r="A7" s="50" t="s">
        <v>171</v>
      </c>
      <c r="B7" s="71" t="n">
        <f aca="false">FiyatFarkiKatsayi</f>
        <v>0.0595701754385964</v>
      </c>
    </row>
    <row r="8" customFormat="false" ht="15" hidden="false" customHeight="false" outlineLevel="0" collapsed="false">
      <c r="A8" s="50" t="s">
        <v>172</v>
      </c>
      <c r="B8" s="70" t="n">
        <f aca="false">DonemFiyatFarki</f>
        <v>160839</v>
      </c>
    </row>
    <row r="9" customFormat="false" ht="15" hidden="false" customHeight="false" outlineLevel="0" collapsed="false">
      <c r="A9" s="50" t="s">
        <v>113</v>
      </c>
      <c r="B9" s="70" t="n">
        <f aca="false">HakKaybiToplam</f>
        <v>386700</v>
      </c>
    </row>
    <row r="10" customFormat="false" ht="15" hidden="false" customHeight="false" outlineLevel="0" collapsed="false">
      <c r="A10" s="50" t="s">
        <v>200</v>
      </c>
      <c r="B10" s="50" t="str">
        <f aca="false">KararSonuc</f>
        <v>UYGUN</v>
      </c>
    </row>
    <row r="12" customFormat="false" ht="15" hidden="false" customHeight="false" outlineLevel="0" collapsed="false">
      <c r="A12" s="49" t="s">
        <v>223</v>
      </c>
    </row>
    <row r="13" customFormat="false" ht="15" hidden="false" customHeight="false" outlineLevel="0" collapsed="false">
      <c r="A13" s="57" t="str">
        <f aca="false">KararGerekce</f>
        <v>Fiyat farkı ve hak kaybı kabul edilebilir aralıkta.</v>
      </c>
      <c r="B13" s="57"/>
      <c r="C13" s="57"/>
      <c r="D13" s="57"/>
      <c r="E13" s="57"/>
      <c r="F13" s="57"/>
    </row>
    <row r="15" customFormat="false" ht="15" hidden="false" customHeight="false" outlineLevel="0" collapsed="false">
      <c r="A15" s="49" t="s">
        <v>224</v>
      </c>
    </row>
    <row r="16" customFormat="false" ht="15" hidden="false" customHeight="false" outlineLevel="0" collapsed="false">
      <c r="A16" s="7" t="s">
        <v>225</v>
      </c>
      <c r="B16" s="7"/>
      <c r="C16" s="7"/>
      <c r="D16" s="7"/>
      <c r="E16" s="7"/>
      <c r="F16" s="7"/>
    </row>
    <row r="17" customFormat="false" ht="15" hidden="false" customHeight="false" outlineLevel="0" collapsed="false">
      <c r="A17" s="7" t="s">
        <v>226</v>
      </c>
      <c r="B17" s="7"/>
      <c r="C17" s="7"/>
      <c r="D17" s="7"/>
      <c r="E17" s="7"/>
      <c r="F17" s="7"/>
    </row>
    <row r="18" customFormat="false" ht="15" hidden="false" customHeight="false" outlineLevel="0" collapsed="false">
      <c r="A18" s="7" t="s">
        <v>227</v>
      </c>
      <c r="B18" s="7"/>
      <c r="C18" s="7"/>
      <c r="D18" s="7"/>
      <c r="E18" s="7"/>
      <c r="F18" s="7"/>
    </row>
    <row r="19" customFormat="false" ht="15" hidden="false" customHeight="false" outlineLevel="0" collapsed="false">
      <c r="A19" s="7" t="s">
        <v>228</v>
      </c>
      <c r="B19" s="7"/>
      <c r="C19" s="7"/>
      <c r="D19" s="7"/>
      <c r="E19" s="7"/>
      <c r="F19" s="7"/>
    </row>
    <row r="21" customFormat="false" ht="15" hidden="false" customHeight="false" outlineLevel="0" collapsed="false">
      <c r="A21" s="49" t="s">
        <v>229</v>
      </c>
    </row>
    <row r="22" customFormat="false" ht="15" hidden="false" customHeight="false" outlineLevel="0" collapsed="false">
      <c r="A22" s="72" t="str">
        <f aca="false">IF(KayipDurumu="KRİTİK","Hak kaybı kritik seviyede; yüklenici ile mutabakat önerilir.","Hak kaybı kabul edilebilir seviyede.")</f>
        <v>Hak kaybı kabul edilebilir seviyede.</v>
      </c>
      <c r="B22" s="72"/>
      <c r="C22" s="72"/>
      <c r="D22" s="72"/>
      <c r="E22" s="72"/>
      <c r="F22" s="72"/>
    </row>
    <row r="23" customFormat="false" ht="15" hidden="false" customHeight="false" outlineLevel="0" collapsed="false">
      <c r="A23" s="72" t="str">
        <f aca="false">IF(AnomaliEndeksAdet&gt;0,"Uç endeks hareketi var; TÜİK verisiyle teyit edin.","Endeks hareketleri tutarlı.")</f>
        <v>Uç endeks hareketi var; TÜİK verisiyle teyit edin.</v>
      </c>
      <c r="B23" s="72"/>
      <c r="C23" s="72"/>
      <c r="D23" s="72"/>
      <c r="E23" s="72"/>
      <c r="F23" s="72"/>
    </row>
    <row r="25" customFormat="false" ht="15" hidden="false" customHeight="false" outlineLevel="0" collapsed="false">
      <c r="A25" s="49" t="s">
        <v>230</v>
      </c>
    </row>
    <row r="26" customFormat="false" ht="15" hidden="false" customHeight="false" outlineLevel="0" collapsed="false">
      <c r="A26" s="73" t="str">
        <f aca="false">Aksiyon1</f>
        <v>Fiyat farkı tahakkukunu dönem hakedişine yansıtın</v>
      </c>
      <c r="B26" s="73"/>
      <c r="C26" s="73"/>
      <c r="D26" s="73"/>
      <c r="E26" s="73"/>
      <c r="F26" s="73"/>
    </row>
    <row r="27" customFormat="false" ht="15" hidden="false" customHeight="false" outlineLevel="0" collapsed="false">
      <c r="A27" s="73" t="str">
        <f aca="false">Aksiyon2</f>
        <v>Hak kaybı kabul edilebilir aralıkta</v>
      </c>
      <c r="B27" s="73"/>
      <c r="C27" s="73"/>
      <c r="D27" s="73"/>
      <c r="E27" s="73"/>
      <c r="F27" s="73"/>
    </row>
    <row r="28" customFormat="false" ht="15" hidden="false" customHeight="false" outlineLevel="0" collapsed="false">
      <c r="A28" s="73" t="str">
        <f aca="false">Aksiyon3</f>
        <v>Piyasa verisi normal görünüyor</v>
      </c>
      <c r="B28" s="73"/>
      <c r="C28" s="73"/>
      <c r="D28" s="73"/>
      <c r="E28" s="73"/>
      <c r="F28" s="73"/>
    </row>
    <row r="30" customFormat="false" ht="15" hidden="false" customHeight="false" outlineLevel="0" collapsed="false">
      <c r="A30" s="74" t="str">
        <f aca="false">SozlesmeAdi &amp; " | " &amp; TEXT(raporTarihi,"gg.aa.yyyy") &amp; " | Rev 1.0"</f>
        <v>Okul İnşaatı | MS.aa.2026 | Rev 1.0</v>
      </c>
      <c r="B30" s="74"/>
      <c r="C30" s="74"/>
      <c r="D30" s="74"/>
      <c r="E30" s="74"/>
      <c r="F30" s="74"/>
    </row>
    <row r="31" customFormat="false" ht="15" hidden="false" customHeight="false" outlineLevel="0" collapsed="false">
      <c r="A31" s="74" t="s">
        <v>231</v>
      </c>
      <c r="B31" s="74"/>
      <c r="C31" s="74"/>
      <c r="D31" s="74"/>
      <c r="E31" s="74"/>
      <c r="F31" s="74"/>
    </row>
  </sheetData>
  <sheetProtection sheet="true" password="cc3d" objects="true" scenarios="true" deleteColumns="false" deleteRows="false"/>
  <mergeCells count="13">
    <mergeCell ref="A1:AN1"/>
    <mergeCell ref="A13:F13"/>
    <mergeCell ref="A16:F16"/>
    <mergeCell ref="A17:F17"/>
    <mergeCell ref="A18:F18"/>
    <mergeCell ref="A19:F19"/>
    <mergeCell ref="A22:F22"/>
    <mergeCell ref="A23:F23"/>
    <mergeCell ref="A26:F26"/>
    <mergeCell ref="A27:F27"/>
    <mergeCell ref="A28:F28"/>
    <mergeCell ref="A30:F30"/>
    <mergeCell ref="A31:F31"/>
  </mergeCells>
  <conditionalFormatting sqref="B10">
    <cfRule type="cellIs" priority="2" operator="equal" aboveAverage="0" equalAverage="0" bottom="0" percent="0" rank="0" text="" dxfId="11">
      <formula>"UYGUN"</formula>
    </cfRule>
    <cfRule type="cellIs" priority="3" operator="equal" aboveAverage="0" equalAverage="0" bottom="0" percent="0" rank="0" text="" dxfId="12">
      <formula>"İNCELE"</formula>
    </cfRule>
    <cfRule type="cellIs" priority="4" operator="equal" aboveAverage="0" equalAverage="0" bottom="0" percent="0" rank="0" text="" dxfId="13">
      <formula>"DURDUR"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&amp;LHAKEDİŞ FİYAT FARKI VE HAK KAYBI CETVELİ&amp;CExcelArşiv&amp;RSayfa 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6" min="6" style="0" width="14"/>
  </cols>
  <sheetData>
    <row r="1" customFormat="false" ht="25.5" hidden="false" customHeight="true" outlineLevel="0" collapsed="false">
      <c r="A1" s="12" t="s">
        <v>232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233</v>
      </c>
    </row>
    <row r="4" customFormat="false" ht="15" hidden="false" customHeight="false" outlineLevel="0" collapsed="false">
      <c r="A4" s="7" t="s">
        <v>234</v>
      </c>
      <c r="B4" s="7"/>
      <c r="C4" s="7"/>
      <c r="D4" s="7"/>
      <c r="E4" s="7"/>
      <c r="F4" s="7"/>
    </row>
    <row r="6" customFormat="false" ht="30" hidden="false" customHeight="true" outlineLevel="0" collapsed="false">
      <c r="A6" s="21" t="s">
        <v>45</v>
      </c>
      <c r="B6" s="21" t="s">
        <v>46</v>
      </c>
      <c r="C6" s="21" t="s">
        <v>47</v>
      </c>
      <c r="D6" s="21" t="s">
        <v>48</v>
      </c>
      <c r="E6" s="21" t="s">
        <v>50</v>
      </c>
    </row>
    <row r="7" customFormat="false" ht="15" hidden="false" customHeight="false" outlineLevel="0" collapsed="false">
      <c r="A7" s="22" t="s">
        <v>53</v>
      </c>
      <c r="B7" s="22" t="s">
        <v>54</v>
      </c>
      <c r="C7" s="23" t="n">
        <v>1200</v>
      </c>
      <c r="D7" s="24" t="n">
        <v>1450</v>
      </c>
      <c r="E7" s="24" t="n">
        <v>1680</v>
      </c>
    </row>
    <row r="8" customFormat="false" ht="15" hidden="false" customHeight="false" outlineLevel="0" collapsed="false">
      <c r="A8" s="22" t="s">
        <v>55</v>
      </c>
      <c r="B8" s="22" t="s">
        <v>56</v>
      </c>
      <c r="C8" s="23" t="n">
        <v>85</v>
      </c>
      <c r="D8" s="24" t="n">
        <v>27500</v>
      </c>
      <c r="E8" s="24" t="n">
        <v>32000</v>
      </c>
    </row>
    <row r="9" customFormat="false" ht="15" hidden="false" customHeight="false" outlineLevel="0" collapsed="false">
      <c r="A9" s="22" t="s">
        <v>57</v>
      </c>
      <c r="B9" s="22" t="s">
        <v>58</v>
      </c>
      <c r="C9" s="23" t="n">
        <v>4500</v>
      </c>
      <c r="D9" s="24" t="n">
        <v>320</v>
      </c>
      <c r="E9" s="24" t="n">
        <v>395</v>
      </c>
    </row>
    <row r="10" customFormat="false" ht="15" hidden="false" customHeight="false" outlineLevel="0" collapsed="false">
      <c r="A10" s="22" t="s">
        <v>59</v>
      </c>
      <c r="B10" s="22" t="s">
        <v>58</v>
      </c>
      <c r="C10" s="23" t="n">
        <v>3800</v>
      </c>
      <c r="D10" s="24" t="n">
        <v>480</v>
      </c>
      <c r="E10" s="24" t="n">
        <v>540</v>
      </c>
    </row>
    <row r="13" customFormat="false" ht="19.5" hidden="false" customHeight="true" outlineLevel="0" collapsed="false">
      <c r="A13" s="11" t="s">
        <v>235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</sheetData>
  <sheetProtection sheet="true" password="cc3d" objects="true" scenarios="true" deleteColumns="false" deleteRows="false"/>
  <mergeCells count="3">
    <mergeCell ref="A1:AD1"/>
    <mergeCell ref="A4:F4"/>
    <mergeCell ref="A13:AN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80"/>
  </cols>
  <sheetData>
    <row r="1" customFormat="false" ht="25.5" hidden="false" customHeight="true" outlineLevel="0" collapsed="false">
      <c r="A1" s="12" t="s">
        <v>236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237</v>
      </c>
    </row>
    <row r="5" customFormat="false" ht="30" hidden="false" customHeight="true" outlineLevel="0" collapsed="false">
      <c r="A5" s="21" t="s">
        <v>238</v>
      </c>
      <c r="B5" s="21" t="s">
        <v>239</v>
      </c>
      <c r="C5" s="21" t="s">
        <v>240</v>
      </c>
    </row>
    <row r="6" customFormat="false" ht="15" hidden="false" customHeight="true" outlineLevel="0" collapsed="false">
      <c r="A6" s="50" t="s">
        <v>241</v>
      </c>
      <c r="B6" s="50" t="s">
        <v>242</v>
      </c>
      <c r="C6" s="57" t="s">
        <v>243</v>
      </c>
      <c r="D6" s="57"/>
      <c r="E6" s="57"/>
      <c r="F6" s="57"/>
      <c r="G6" s="57"/>
      <c r="H6" s="57"/>
    </row>
    <row r="8" customFormat="false" ht="19.5" hidden="false" customHeight="true" outlineLevel="0" collapsed="false">
      <c r="A8" s="11" t="s">
        <v>244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</sheetData>
  <sheetProtection sheet="true" password="cc3d" objects="true" scenarios="true" deleteColumns="false" deleteRows="false"/>
  <mergeCells count="3">
    <mergeCell ref="A1:AD1"/>
    <mergeCell ref="C6:H6"/>
    <mergeCell ref="A8:AN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"/>
    <col collapsed="false" customWidth="true" hidden="false" outlineLevel="0" max="3" min="3" style="0" width="30"/>
    <col collapsed="false" customWidth="true" hidden="false" outlineLevel="0" max="4" min="4" style="0" width="3"/>
    <col collapsed="false" customWidth="true" hidden="false" outlineLevel="0" max="5" min="5" style="0" width="30"/>
  </cols>
  <sheetData>
    <row r="1" customFormat="false" ht="25.5" hidden="false" customHeight="true" outlineLevel="0" collapsed="false">
      <c r="A1" s="12" t="s">
        <v>245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246</v>
      </c>
    </row>
    <row r="4" customFormat="false" ht="15" hidden="false" customHeight="false" outlineLevel="0" collapsed="false">
      <c r="A4" s="14" t="s">
        <v>247</v>
      </c>
      <c r="C4" s="14" t="s">
        <v>248</v>
      </c>
    </row>
    <row r="6" customFormat="false" ht="15" hidden="false" customHeight="false" outlineLevel="0" collapsed="false">
      <c r="A6" s="22" t="s">
        <v>39</v>
      </c>
      <c r="C6" s="22" t="s">
        <v>249</v>
      </c>
    </row>
    <row r="7" customFormat="false" ht="15" hidden="false" customHeight="false" outlineLevel="0" collapsed="false">
      <c r="A7" s="22" t="s">
        <v>250</v>
      </c>
      <c r="C7" s="22" t="s">
        <v>251</v>
      </c>
    </row>
    <row r="12" customFormat="false" ht="19.5" hidden="false" customHeight="true" outlineLevel="0" collapsed="false">
      <c r="A12" s="11" t="s">
        <v>252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</sheetData>
  <sheetProtection sheet="true" password="cc3d" objects="true" scenarios="true" deleteColumns="false" deleteRows="false"/>
  <mergeCells count="2">
    <mergeCell ref="A1:AD1"/>
    <mergeCell ref="A12:AN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62"/>
    <col collapsed="false" customWidth="true" hidden="false" outlineLevel="0" max="6" min="6" style="0" width="28"/>
    <col collapsed="false" customWidth="true" hidden="false" outlineLevel="0" max="8" min="7" style="0" width="14"/>
  </cols>
  <sheetData>
    <row r="1" customFormat="false" ht="25.5" hidden="false" customHeight="true" outlineLevel="0" collapsed="false">
      <c r="A1" s="12" t="s">
        <v>253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20" t="s">
        <v>254</v>
      </c>
      <c r="B3" s="20"/>
      <c r="C3" s="20"/>
      <c r="D3" s="20"/>
      <c r="E3" s="20"/>
      <c r="F3" s="20"/>
      <c r="G3" s="20"/>
      <c r="H3" s="20"/>
    </row>
    <row r="4" customFormat="false" ht="15" hidden="false" customHeight="true" outlineLevel="0" collapsed="false">
      <c r="A4" s="75" t="s">
        <v>255</v>
      </c>
      <c r="B4" s="75"/>
      <c r="C4" s="75"/>
      <c r="D4" s="75"/>
      <c r="E4" s="75"/>
      <c r="F4" s="75"/>
      <c r="G4" s="75"/>
      <c r="H4" s="75"/>
    </row>
    <row r="5" customFormat="false" ht="30" hidden="false" customHeight="true" outlineLevel="0" collapsed="false">
      <c r="A5" s="21" t="s">
        <v>256</v>
      </c>
      <c r="B5" s="21" t="s">
        <v>257</v>
      </c>
      <c r="C5" s="21" t="s">
        <v>258</v>
      </c>
      <c r="D5" s="21" t="s">
        <v>46</v>
      </c>
      <c r="E5" s="21" t="s">
        <v>259</v>
      </c>
      <c r="F5" s="21" t="s">
        <v>260</v>
      </c>
      <c r="G5" s="21" t="s">
        <v>261</v>
      </c>
      <c r="H5" s="21" t="s">
        <v>262</v>
      </c>
    </row>
    <row r="6" customFormat="false" ht="15" hidden="false" customHeight="false" outlineLevel="0" collapsed="false">
      <c r="A6" s="76" t="s">
        <v>263</v>
      </c>
      <c r="B6" s="76" t="s">
        <v>264</v>
      </c>
      <c r="C6" s="22" t="s">
        <v>265</v>
      </c>
      <c r="D6" s="76" t="s">
        <v>266</v>
      </c>
      <c r="E6" s="77" t="s">
        <v>267</v>
      </c>
      <c r="F6" s="76" t="s">
        <v>268</v>
      </c>
      <c r="G6" s="76" t="s">
        <v>269</v>
      </c>
      <c r="H6" s="76" t="s">
        <v>269</v>
      </c>
    </row>
    <row r="7" customFormat="false" ht="15" hidden="false" customHeight="false" outlineLevel="0" collapsed="false">
      <c r="A7" s="76" t="s">
        <v>263</v>
      </c>
      <c r="B7" s="76" t="s">
        <v>270</v>
      </c>
      <c r="C7" s="78" t="n">
        <f aca="true">TODAY()</f>
        <v>46244</v>
      </c>
      <c r="D7" s="76" t="s">
        <v>271</v>
      </c>
      <c r="E7" s="77" t="s">
        <v>272</v>
      </c>
      <c r="F7" s="76" t="s">
        <v>268</v>
      </c>
      <c r="G7" s="76" t="s">
        <v>269</v>
      </c>
      <c r="H7" s="76" t="s">
        <v>269</v>
      </c>
    </row>
    <row r="8" customFormat="false" ht="15" hidden="false" customHeight="false" outlineLevel="0" collapsed="false">
      <c r="A8" s="76" t="s">
        <v>273</v>
      </c>
      <c r="B8" s="76" t="s">
        <v>274</v>
      </c>
      <c r="C8" s="30" t="n">
        <v>0.05</v>
      </c>
      <c r="D8" s="76" t="s">
        <v>275</v>
      </c>
      <c r="E8" s="77" t="s">
        <v>276</v>
      </c>
      <c r="F8" s="76" t="s">
        <v>277</v>
      </c>
      <c r="G8" s="76" t="s">
        <v>269</v>
      </c>
      <c r="H8" s="76" t="s">
        <v>269</v>
      </c>
    </row>
    <row r="9" customFormat="false" ht="15" hidden="false" customHeight="false" outlineLevel="0" collapsed="false">
      <c r="A9" s="76" t="s">
        <v>273</v>
      </c>
      <c r="B9" s="76" t="s">
        <v>278</v>
      </c>
      <c r="C9" s="30" t="n">
        <v>0.15</v>
      </c>
      <c r="D9" s="76" t="s">
        <v>275</v>
      </c>
      <c r="E9" s="77" t="s">
        <v>279</v>
      </c>
      <c r="F9" s="76" t="s">
        <v>277</v>
      </c>
      <c r="G9" s="76" t="s">
        <v>269</v>
      </c>
      <c r="H9" s="76" t="s">
        <v>269</v>
      </c>
    </row>
    <row r="10" customFormat="false" ht="15" hidden="false" customHeight="false" outlineLevel="0" collapsed="false">
      <c r="A10" s="76" t="s">
        <v>273</v>
      </c>
      <c r="B10" s="76" t="s">
        <v>280</v>
      </c>
      <c r="C10" s="30" t="n">
        <v>0.01</v>
      </c>
      <c r="D10" s="76" t="s">
        <v>275</v>
      </c>
      <c r="E10" s="77" t="s">
        <v>281</v>
      </c>
      <c r="F10" s="76" t="s">
        <v>282</v>
      </c>
      <c r="G10" s="76" t="s">
        <v>283</v>
      </c>
      <c r="H10" s="76" t="s">
        <v>269</v>
      </c>
    </row>
    <row r="11" customFormat="false" ht="15" hidden="false" customHeight="false" outlineLevel="0" collapsed="false">
      <c r="A11" s="76" t="s">
        <v>273</v>
      </c>
      <c r="B11" s="76" t="s">
        <v>284</v>
      </c>
      <c r="C11" s="24" t="n">
        <v>100</v>
      </c>
      <c r="D11" s="76" t="s">
        <v>285</v>
      </c>
      <c r="E11" s="77" t="s">
        <v>286</v>
      </c>
      <c r="F11" s="76" t="s">
        <v>277</v>
      </c>
      <c r="G11" s="76" t="s">
        <v>269</v>
      </c>
      <c r="H11" s="76" t="s">
        <v>269</v>
      </c>
    </row>
    <row r="12" customFormat="false" ht="15" hidden="false" customHeight="false" outlineLevel="0" collapsed="false">
      <c r="A12" s="76" t="s">
        <v>273</v>
      </c>
      <c r="B12" s="76" t="s">
        <v>287</v>
      </c>
      <c r="C12" s="30" t="n">
        <v>2</v>
      </c>
      <c r="D12" s="76" t="s">
        <v>275</v>
      </c>
      <c r="E12" s="77" t="s">
        <v>288</v>
      </c>
      <c r="F12" s="76" t="s">
        <v>277</v>
      </c>
      <c r="G12" s="76" t="s">
        <v>269</v>
      </c>
      <c r="H12" s="76" t="s">
        <v>269</v>
      </c>
    </row>
    <row r="13" customFormat="false" ht="15" hidden="false" customHeight="false" outlineLevel="0" collapsed="false">
      <c r="A13" s="76" t="s">
        <v>273</v>
      </c>
      <c r="B13" s="76" t="s">
        <v>289</v>
      </c>
      <c r="C13" s="23" t="n">
        <v>90</v>
      </c>
      <c r="D13" s="76" t="s">
        <v>290</v>
      </c>
      <c r="E13" s="77" t="s">
        <v>291</v>
      </c>
      <c r="F13" s="76" t="s">
        <v>277</v>
      </c>
      <c r="G13" s="76" t="s">
        <v>269</v>
      </c>
      <c r="H13" s="76" t="s">
        <v>269</v>
      </c>
    </row>
    <row r="14" customFormat="false" ht="15" hidden="false" customHeight="false" outlineLevel="0" collapsed="false">
      <c r="A14" s="76" t="s">
        <v>273</v>
      </c>
      <c r="B14" s="76" t="s">
        <v>292</v>
      </c>
      <c r="C14" s="23" t="n">
        <v>70</v>
      </c>
      <c r="D14" s="76" t="s">
        <v>290</v>
      </c>
      <c r="E14" s="77" t="s">
        <v>293</v>
      </c>
      <c r="F14" s="76" t="s">
        <v>277</v>
      </c>
      <c r="G14" s="76" t="s">
        <v>269</v>
      </c>
      <c r="H14" s="76" t="s">
        <v>269</v>
      </c>
    </row>
    <row r="15" customFormat="false" ht="15" hidden="false" customHeight="false" outlineLevel="0" collapsed="false">
      <c r="A15" s="76" t="s">
        <v>273</v>
      </c>
      <c r="B15" s="76" t="s">
        <v>294</v>
      </c>
      <c r="C15" s="23" t="n">
        <v>10</v>
      </c>
      <c r="D15" s="76" t="s">
        <v>290</v>
      </c>
      <c r="E15" s="77" t="s">
        <v>295</v>
      </c>
      <c r="F15" s="76" t="s">
        <v>277</v>
      </c>
      <c r="G15" s="76" t="s">
        <v>269</v>
      </c>
      <c r="H15" s="76" t="s">
        <v>269</v>
      </c>
    </row>
    <row r="16" customFormat="false" ht="15" hidden="false" customHeight="false" outlineLevel="0" collapsed="false">
      <c r="A16" s="76" t="s">
        <v>196</v>
      </c>
      <c r="B16" s="76" t="s">
        <v>296</v>
      </c>
      <c r="C16" s="30" t="n">
        <v>0.15</v>
      </c>
      <c r="D16" s="76" t="s">
        <v>275</v>
      </c>
      <c r="E16" s="77" t="s">
        <v>297</v>
      </c>
      <c r="F16" s="76" t="s">
        <v>277</v>
      </c>
      <c r="G16" s="76" t="s">
        <v>269</v>
      </c>
      <c r="H16" s="76" t="s">
        <v>269</v>
      </c>
    </row>
    <row r="17" customFormat="false" ht="15" hidden="false" customHeight="false" outlineLevel="0" collapsed="false">
      <c r="A17" s="76" t="s">
        <v>196</v>
      </c>
      <c r="B17" s="76" t="s">
        <v>298</v>
      </c>
      <c r="C17" s="30" t="n">
        <v>0.15</v>
      </c>
      <c r="D17" s="76" t="s">
        <v>275</v>
      </c>
      <c r="E17" s="77" t="s">
        <v>299</v>
      </c>
      <c r="F17" s="76" t="s">
        <v>277</v>
      </c>
      <c r="G17" s="76" t="s">
        <v>269</v>
      </c>
      <c r="H17" s="76" t="s">
        <v>269</v>
      </c>
    </row>
    <row r="18" customFormat="false" ht="15" hidden="false" customHeight="false" outlineLevel="0" collapsed="false">
      <c r="A18" s="76" t="s">
        <v>300</v>
      </c>
      <c r="B18" s="76" t="s">
        <v>301</v>
      </c>
      <c r="C18" s="30" t="n">
        <v>0.05</v>
      </c>
      <c r="D18" s="76" t="s">
        <v>275</v>
      </c>
      <c r="E18" s="77" t="s">
        <v>302</v>
      </c>
      <c r="F18" s="76" t="s">
        <v>277</v>
      </c>
      <c r="G18" s="76" t="s">
        <v>269</v>
      </c>
      <c r="H18" s="76" t="s">
        <v>269</v>
      </c>
    </row>
    <row r="19" customFormat="false" ht="15" hidden="false" customHeight="false" outlineLevel="0" collapsed="false">
      <c r="A19" s="76" t="s">
        <v>300</v>
      </c>
      <c r="B19" s="76" t="s">
        <v>303</v>
      </c>
      <c r="C19" s="30" t="n">
        <v>0.5</v>
      </c>
      <c r="D19" s="76" t="s">
        <v>275</v>
      </c>
      <c r="E19" s="77" t="s">
        <v>304</v>
      </c>
      <c r="F19" s="76" t="s">
        <v>277</v>
      </c>
      <c r="G19" s="76" t="s">
        <v>269</v>
      </c>
      <c r="H19" s="76" t="s">
        <v>269</v>
      </c>
    </row>
    <row r="20" customFormat="false" ht="15" hidden="false" customHeight="false" outlineLevel="0" collapsed="false">
      <c r="A20" s="76" t="s">
        <v>188</v>
      </c>
      <c r="B20" s="76" t="s">
        <v>305</v>
      </c>
      <c r="C20" s="30" t="n">
        <v>0.9</v>
      </c>
      <c r="D20" s="76" t="s">
        <v>275</v>
      </c>
      <c r="E20" s="77" t="s">
        <v>306</v>
      </c>
      <c r="F20" s="76" t="s">
        <v>277</v>
      </c>
      <c r="G20" s="76" t="s">
        <v>269</v>
      </c>
      <c r="H20" s="76" t="s">
        <v>269</v>
      </c>
    </row>
    <row r="21" customFormat="false" ht="15" hidden="false" customHeight="false" outlineLevel="0" collapsed="false">
      <c r="A21" s="76" t="s">
        <v>188</v>
      </c>
      <c r="B21" s="76" t="s">
        <v>307</v>
      </c>
      <c r="C21" s="30" t="n">
        <v>0.1</v>
      </c>
      <c r="D21" s="76" t="s">
        <v>275</v>
      </c>
      <c r="E21" s="77" t="s">
        <v>308</v>
      </c>
      <c r="F21" s="76" t="s">
        <v>277</v>
      </c>
      <c r="G21" s="76" t="s">
        <v>269</v>
      </c>
      <c r="H21" s="76" t="s">
        <v>269</v>
      </c>
    </row>
    <row r="22" customFormat="false" ht="15" hidden="false" customHeight="false" outlineLevel="0" collapsed="false">
      <c r="A22" s="76" t="s">
        <v>309</v>
      </c>
      <c r="B22" s="76" t="s">
        <v>310</v>
      </c>
      <c r="C22" s="23" t="n">
        <v>30</v>
      </c>
      <c r="D22" s="76" t="s">
        <v>311</v>
      </c>
      <c r="E22" s="77" t="s">
        <v>312</v>
      </c>
      <c r="F22" s="76" t="s">
        <v>313</v>
      </c>
      <c r="G22" s="76" t="s">
        <v>314</v>
      </c>
      <c r="H22" s="76" t="s">
        <v>269</v>
      </c>
    </row>
    <row r="23" customFormat="false" ht="15" hidden="false" customHeight="false" outlineLevel="0" collapsed="false">
      <c r="A23" s="76" t="s">
        <v>309</v>
      </c>
      <c r="B23" s="76" t="s">
        <v>315</v>
      </c>
      <c r="C23" s="30" t="n">
        <v>0.02</v>
      </c>
      <c r="D23" s="76" t="s">
        <v>275</v>
      </c>
      <c r="E23" s="77" t="s">
        <v>316</v>
      </c>
      <c r="F23" s="76" t="s">
        <v>277</v>
      </c>
      <c r="G23" s="76" t="s">
        <v>269</v>
      </c>
      <c r="H23" s="76" t="s">
        <v>269</v>
      </c>
    </row>
    <row r="24" customFormat="false" ht="15" hidden="false" customHeight="false" outlineLevel="0" collapsed="false">
      <c r="A24" s="7" t="s">
        <v>317</v>
      </c>
      <c r="B24" s="7"/>
      <c r="C24" s="7"/>
      <c r="D24" s="7"/>
      <c r="E24" s="7"/>
      <c r="F24" s="7"/>
      <c r="G24" s="7"/>
      <c r="H24" s="7"/>
    </row>
    <row r="26" customFormat="false" ht="19.5" hidden="false" customHeight="true" outlineLevel="0" collapsed="false">
      <c r="A26" s="11" t="s">
        <v>318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</sheetData>
  <sheetProtection sheet="true" password="cc3d" objects="true" scenarios="true" deleteColumns="false" deleteRows="false"/>
  <mergeCells count="5">
    <mergeCell ref="A1:AD1"/>
    <mergeCell ref="A3:H3"/>
    <mergeCell ref="A4:H4"/>
    <mergeCell ref="A24:H24"/>
    <mergeCell ref="A26:AN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40"/>
  </cols>
  <sheetData>
    <row r="1" customFormat="false" ht="25.5" hidden="false" customHeight="true" outlineLevel="0" collapsed="false">
      <c r="A1" s="12" t="s">
        <v>319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</row>
    <row r="3" customFormat="false" ht="16.15" hidden="false" customHeight="false" outlineLevel="0" collapsed="false">
      <c r="A3" s="8" t="s">
        <v>320</v>
      </c>
    </row>
    <row r="5" customFormat="false" ht="15" hidden="false" customHeight="false" outlineLevel="0" collapsed="false">
      <c r="A5" s="79" t="s">
        <v>321</v>
      </c>
    </row>
    <row r="6" customFormat="false" ht="15" hidden="false" customHeight="false" outlineLevel="0" collapsed="false">
      <c r="A6" s="80" t="s">
        <v>322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</row>
    <row r="7" customFormat="false" ht="15" hidden="false" customHeight="false" outlineLevel="0" collapsed="false">
      <c r="A7" s="80" t="s">
        <v>323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</row>
    <row r="8" customFormat="false" ht="15" hidden="false" customHeight="false" outlineLevel="0" collapsed="false">
      <c r="A8" s="80" t="s">
        <v>324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</row>
    <row r="9" customFormat="false" ht="15" hidden="false" customHeight="false" outlineLevel="0" collapsed="false">
      <c r="A9" s="80" t="s">
        <v>325</v>
      </c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</row>
    <row r="10" customFormat="false" ht="15" hidden="false" customHeight="false" outlineLevel="0" collapsed="false">
      <c r="A10" s="80" t="s">
        <v>326</v>
      </c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</row>
    <row r="11" customFormat="false" ht="15" hidden="false" customHeight="false" outlineLevel="0" collapsed="false">
      <c r="A11" s="80" t="s">
        <v>327</v>
      </c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</row>
    <row r="12" customFormat="false" ht="15" hidden="false" customHeight="false" outlineLevel="0" collapsed="false">
      <c r="A12" s="80" t="s">
        <v>328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</row>
    <row r="13" customFormat="false" ht="15" hidden="false" customHeight="false" outlineLevel="0" collapsed="false">
      <c r="A13" s="80" t="s">
        <v>329</v>
      </c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</row>
    <row r="14" customFormat="false" ht="15" hidden="false" customHeight="false" outlineLevel="0" collapsed="false">
      <c r="A14" s="80" t="s">
        <v>330</v>
      </c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</row>
    <row r="15" customFormat="false" ht="15" hidden="false" customHeight="false" outlineLevel="0" collapsed="false">
      <c r="A15" s="80" t="s">
        <v>331</v>
      </c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</row>
    <row r="16" customFormat="false" ht="15" hidden="false" customHeight="true" outlineLevel="0" collapsed="false">
      <c r="A16" s="9" t="s">
        <v>332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</row>
    <row r="28" customFormat="false" ht="19.5" hidden="false" customHeight="true" outlineLevel="0" collapsed="false">
      <c r="A28" s="11" t="s">
        <v>333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</sheetData>
  <sheetProtection sheet="true" password="cc3d" objects="true" scenarios="true" deleteColumns="false" deleteRows="false"/>
  <mergeCells count="13">
    <mergeCell ref="A1:AN1"/>
    <mergeCell ref="A6:AN6"/>
    <mergeCell ref="A7:AN7"/>
    <mergeCell ref="A8:AN8"/>
    <mergeCell ref="A9:AN9"/>
    <mergeCell ref="A10:AN10"/>
    <mergeCell ref="A11:AN11"/>
    <mergeCell ref="A12:AN12"/>
    <mergeCell ref="A13:AN13"/>
    <mergeCell ref="A14:AN14"/>
    <mergeCell ref="A15:AN15"/>
    <mergeCell ref="A16:AN16"/>
    <mergeCell ref="A28:A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2026-08-09T21:01:32Z</dcterms:created>
  <dc:creator>openpyxl</dc:creator>
  <dc:description/>
  <dc:language>tr-TR</dc:language>
  <cp:lastModifiedBy/>
  <dcterms:modified xsi:type="dcterms:W3CDTF">2026-08-09T21:01:33Z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